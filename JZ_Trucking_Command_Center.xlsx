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Trips" sheetId="2" state="visible" r:id="rId2"/>
    <sheet name="Expenses" sheetId="3" state="visible" r:id="rId3"/>
    <sheet name="Payroll" sheetId="4" state="visible" r:id="rId4"/>
    <sheet name="Setup" sheetId="5" state="visible" r:id="rId5"/>
    <sheet name="Read Me" sheetId="6" state="visible" r:id="rId6"/>
    <sheet name="Calc" sheetId="7" state="hidden" r:id="rId7"/>
  </sheets>
  <definedNames>
    <definedName name="Reporting_Month">Dashboard!$C$4</definedName>
    <definedName name="Truck_Filter">Dashboard!$F$4</definedName>
    <definedName name="Gross_Fee_Month">Dashboard!$B$8</definedName>
    <definedName name="Cash_Profit_Month">Dashboard!$L$8</definedName>
    <definedName name="Margin_Month">Dashboard!$B$12</definedName>
    <definedName name="Crew_To_Pay">Dashboard!$H$12</definedName>
    <definedName name="Loan_Balance">Dashboard!$J$12</definedName>
    <definedName name="Unpaid_Invoices">Dashboard!$L$12</definedName>
    <definedName name="_xlnm._FilterDatabase" localSheetId="1" hidden="1">'Trips'!$A$4:$X$1004</definedName>
    <definedName name="_xlnm.Print_Titles" localSheetId="1">'Trips'!$4:$4</definedName>
    <definedName name="_xlnm._FilterDatabase" localSheetId="2" hidden="1">'Expenses'!$A$4:$I$1004</definedName>
    <definedName name="_xlnm.Print_Titles" localSheetId="2">'Expenses'!$4:$4</definedName>
  </definedNames>
  <calcPr calcId="124519" fullCalcOnLoad="1"/>
</workbook>
</file>

<file path=xl/styles.xml><?xml version="1.0" encoding="utf-8"?>
<styleSheet xmlns="http://schemas.openxmlformats.org/spreadsheetml/2006/main">
  <numFmts count="6">
    <numFmt numFmtId="164" formatCode="0.0%"/>
    <numFmt numFmtId="165" formatCode="&quot;₱&quot;#,##0;[Red]-&quot;₱&quot;#,##0;&quot;–&quot;"/>
    <numFmt numFmtId="166" formatCode="&quot;₱&quot;#,##0.00;[Red]-&quot;₱&quot;#,##0.00;&quot;–&quot;"/>
    <numFmt numFmtId="167" formatCode="yyyy-mm-dd"/>
    <numFmt numFmtId="168" formatCode="dd mmm yyyy"/>
    <numFmt numFmtId="169" formatCode="mmmm yyyy"/>
  </numFmts>
  <fonts count="53">
    <font>
      <name val="Calibri"/>
      <family val="2"/>
      <color theme="1"/>
      <sz val="11"/>
      <scheme val="minor"/>
    </font>
    <font>
      <name val="Calibri"/>
      <b val="1"/>
      <color rgb="00FFFFFF"/>
      <sz val="18"/>
    </font>
    <font>
      <name val="Calibri"/>
      <i val="1"/>
      <color rgb="00D6E4F0"/>
      <sz val="9.5"/>
    </font>
    <font>
      <name val="Calibri"/>
      <i val="1"/>
      <color rgb="00B7791F"/>
      <sz val="8.5"/>
    </font>
    <font>
      <name val="Calibri"/>
      <b val="1"/>
      <color rgb="00FFFFFF"/>
      <sz val="10.5"/>
    </font>
    <font>
      <name val="Calibri"/>
      <color rgb="001F2937"/>
      <sz val="10"/>
    </font>
    <font>
      <name val="Calibri"/>
      <b val="1"/>
      <color rgb="000B2545"/>
      <sz val="10"/>
    </font>
    <font>
      <name val="Calibri"/>
      <b val="1"/>
      <color rgb="000B2545"/>
      <sz val="11"/>
    </font>
    <font>
      <name val="Calibri"/>
      <i val="1"/>
      <color rgb="00667085"/>
      <sz val="8.5"/>
    </font>
    <font>
      <name val="Calibri"/>
      <b val="1"/>
      <color rgb="000B2545"/>
      <sz val="9"/>
    </font>
    <font>
      <name val="Calibri"/>
      <color rgb="00667085"/>
      <sz val="9"/>
    </font>
    <font>
      <name val="Calibri"/>
      <color rgb="001F2937"/>
      <sz val="9"/>
    </font>
    <font>
      <name val="Calibri"/>
      <b val="1"/>
      <color rgb="000E7C7B"/>
      <sz val="10"/>
    </font>
    <font>
      <name val="Calibri"/>
      <color rgb="00667085"/>
      <sz val="10"/>
    </font>
    <font>
      <name val="Calibri"/>
      <b val="1"/>
      <color rgb="00B42318"/>
      <sz val="10"/>
    </font>
    <font>
      <name val="Calibri"/>
      <color rgb="001F2937"/>
      <sz val="9.5"/>
    </font>
    <font>
      <name val="Calibri"/>
      <b val="1"/>
      <color rgb="00B42318"/>
      <sz val="12"/>
    </font>
    <font>
      <name val="Calibri"/>
      <i val="1"/>
      <color rgb="00667085"/>
      <sz val="9"/>
    </font>
    <font>
      <name val="Calibri"/>
      <b val="1"/>
      <color rgb="00FFFFFF"/>
      <sz val="10"/>
    </font>
    <font>
      <name val="Calibri"/>
      <b val="1"/>
      <color rgb="00FFFFFF"/>
      <sz val="9"/>
    </font>
    <font>
      <name val="Calibri"/>
      <color rgb="00667085"/>
      <sz val="8.5"/>
    </font>
    <font>
      <name val="Calibri"/>
      <b val="1"/>
      <color rgb="000B2545"/>
      <sz val="8"/>
    </font>
    <font>
      <name val="Calibri"/>
      <b val="1"/>
      <color rgb="001F2937"/>
      <sz val="9"/>
    </font>
    <font>
      <name val="Calibri"/>
      <color rgb="00667085"/>
      <sz val="8"/>
    </font>
    <font>
      <name val="Calibri"/>
      <b val="1"/>
      <color rgb="00FFFFFF"/>
      <sz val="8"/>
    </font>
    <font>
      <name val="Calibri"/>
      <b val="1"/>
      <color rgb="00667085"/>
      <sz val="9"/>
    </font>
    <font>
      <name val="Calibri"/>
      <b val="1"/>
      <color rgb="00FFFFFF"/>
      <sz val="8.5"/>
    </font>
    <font>
      <name val="Calibri"/>
      <b val="1"/>
      <color rgb="000B2545"/>
      <sz val="8.5"/>
    </font>
    <font>
      <name val="Calibri"/>
      <b val="1"/>
      <color rgb="00667085"/>
      <sz val="9.5"/>
    </font>
    <font>
      <name val="Calibri"/>
      <b val="1"/>
      <color rgb="00FFFFFF"/>
      <sz val="11"/>
    </font>
    <font>
      <name val="Calibri"/>
      <b val="1"/>
      <color rgb="001F2937"/>
      <sz val="9.5"/>
    </font>
    <font>
      <name val="Calibri"/>
      <b val="1"/>
      <color rgb="000B2545"/>
      <sz val="9.5"/>
    </font>
    <font>
      <name val="Calibri"/>
      <color rgb="00B42318"/>
      <sz val="8"/>
    </font>
    <font>
      <name val="Calibri"/>
      <b val="1"/>
      <color rgb="00667085"/>
      <sz val="8"/>
    </font>
    <font>
      <name val="Calibri"/>
      <color rgb="001F2937"/>
      <sz val="8"/>
    </font>
    <font>
      <name val="Calibri"/>
      <b val="1"/>
      <color rgb="00FFFFFF"/>
      <sz val="20"/>
    </font>
    <font>
      <name val="Calibri"/>
      <i val="1"/>
      <color rgb="00D6E4F0"/>
      <sz val="9"/>
    </font>
    <font>
      <name val="Calibri"/>
      <b val="1"/>
      <color rgb="000E7C7B"/>
      <sz val="8.5"/>
      <u val="single"/>
    </font>
    <font>
      <name val="Calibri"/>
      <b val="1"/>
      <color rgb="000B2545"/>
      <sz val="12"/>
    </font>
    <font>
      <name val="Calibri"/>
      <i val="1"/>
      <color rgb="00667085"/>
      <sz val="7.5"/>
    </font>
    <font>
      <name val="Calibri"/>
      <b val="1"/>
      <color rgb="00B42318"/>
      <sz val="9"/>
    </font>
    <font>
      <name val="Calibri"/>
      <b val="1"/>
      <color rgb="00667085"/>
      <sz val="7.5"/>
    </font>
    <font>
      <name val="Calibri"/>
      <b val="1"/>
      <color rgb="000B2545"/>
      <sz val="19"/>
    </font>
    <font>
      <name val="Calibri"/>
      <b val="1"/>
      <color rgb="00B7791F"/>
      <sz val="19"/>
    </font>
    <font>
      <name val="Calibri"/>
      <b val="1"/>
      <color rgb="000E7C7B"/>
      <sz val="19"/>
    </font>
    <font>
      <name val="Calibri"/>
      <b val="1"/>
      <color rgb="001E6F42"/>
      <sz val="19"/>
    </font>
    <font>
      <name val="Calibri"/>
      <b val="1"/>
      <color rgb="00B42318"/>
      <sz val="19"/>
    </font>
    <font>
      <name val="Calibri"/>
      <b val="1"/>
      <color rgb="00FFFFFF"/>
      <sz val="9.5"/>
    </font>
    <font>
      <name val="Calibri"/>
      <b val="1"/>
      <color rgb="001E6F42"/>
      <sz val="11"/>
    </font>
    <font>
      <name val="Calibri"/>
      <i val="1"/>
      <color rgb="00667085"/>
      <sz val="8"/>
    </font>
    <font>
      <name val="Calibri"/>
      <b val="1"/>
      <color rgb="00667085"/>
      <sz val="8.5"/>
    </font>
    <font>
      <name val="Calibri"/>
      <color rgb="00B42318"/>
      <sz val="9"/>
    </font>
    <font>
      <name val="Calibri"/>
      <i val="1"/>
      <color rgb="001F2937"/>
      <sz val="9"/>
    </font>
  </fonts>
  <fills count="14">
    <fill>
      <patternFill/>
    </fill>
    <fill>
      <patternFill patternType="gray125"/>
    </fill>
    <fill>
      <patternFill patternType="solid">
        <fgColor rgb="000B2545"/>
      </patternFill>
    </fill>
    <fill>
      <patternFill patternType="solid">
        <fgColor rgb="0013315C"/>
      </patternFill>
    </fill>
    <fill>
      <patternFill patternType="solid">
        <fgColor rgb="000E7C7B"/>
      </patternFill>
    </fill>
    <fill>
      <patternFill patternType="solid">
        <fgColor rgb="00FDF6E3"/>
      </patternFill>
    </fill>
    <fill>
      <patternFill patternType="solid">
        <fgColor rgb="00EEF1F4"/>
      </patternFill>
    </fill>
    <fill>
      <patternFill patternType="solid">
        <fgColor rgb="00FFFFFF"/>
      </patternFill>
    </fill>
    <fill>
      <patternFill patternType="solid">
        <fgColor rgb="00F4F6F8"/>
      </patternFill>
    </fill>
    <fill>
      <patternFill patternType="solid">
        <fgColor rgb="00FAFBFC"/>
      </patternFill>
    </fill>
    <fill>
      <patternFill patternType="solid">
        <fgColor rgb="00B7791F"/>
      </patternFill>
    </fill>
    <fill>
      <patternFill patternType="solid">
        <fgColor rgb="001E6F42"/>
      </patternFill>
    </fill>
    <fill>
      <patternFill patternType="solid">
        <fgColor rgb="00E6F4EA"/>
      </patternFill>
    </fill>
    <fill>
      <patternFill patternType="solid">
        <fgColor rgb="00B42318"/>
      </patternFill>
    </fill>
  </fills>
  <borders count="19">
    <border>
      <left/>
      <right/>
      <top/>
      <bottom/>
      <diagonal/>
    </border>
    <border>
      <left style="thin">
        <color rgb="00D5DBE1"/>
      </left>
      <right style="thin">
        <color rgb="00D5DBE1"/>
      </right>
      <top style="thin">
        <color rgb="00D5DBE1"/>
      </top>
      <bottom style="thin">
        <color rgb="00D5DBE1"/>
      </bottom>
    </border>
    <border>
      <left/>
      <right/>
      <top style="thin">
        <color rgb="00D5DBE1"/>
      </top>
      <bottom/>
      <diagonal/>
    </border>
    <border>
      <left/>
      <right style="thin">
        <color rgb="00D5DBE1"/>
      </right>
      <top style="thin">
        <color rgb="00D5DBE1"/>
      </top>
      <bottom/>
      <diagonal/>
    </border>
    <border>
      <left/>
      <right/>
      <top style="thin">
        <color rgb="00D5DBE1"/>
      </top>
      <bottom style="thin">
        <color rgb="00D5DBE1"/>
      </bottom>
      <diagonal/>
    </border>
    <border>
      <left/>
      <right style="thin">
        <color rgb="00D5DBE1"/>
      </right>
      <top style="thin">
        <color rgb="00D5DBE1"/>
      </top>
      <bottom style="thin">
        <color rgb="00D5DBE1"/>
      </bottom>
      <diagonal/>
    </border>
    <border>
      <top style="thin">
        <color rgb="00D5DBE1"/>
      </top>
      <bottom style="thin">
        <color rgb="00D5DBE1"/>
      </bottom>
    </border>
    <border>
      <left style="thin">
        <color rgb="00D5DBE1"/>
      </left>
    </border>
    <border>
      <left style="thin">
        <color rgb="00FFFFFF"/>
      </left>
      <right style="thin">
        <color rgb="00FFFFFF"/>
      </right>
      <top style="thin">
        <color rgb="000B2545"/>
      </top>
      <bottom style="thin">
        <color rgb="000B2545"/>
      </bottom>
    </border>
    <border>
      <bottom style="thin">
        <color rgb="00E8ECEF"/>
      </bottom>
    </border>
    <border>
      <left style="thin">
        <color rgb="00FFFFFF"/>
      </left>
      <right style="thin">
        <color rgb="00FFFFFF"/>
      </right>
      <top style="thin">
        <color rgb="001E6F42"/>
      </top>
      <bottom style="thin">
        <color rgb="001E6F42"/>
      </bottom>
    </border>
    <border>
      <top style="thin">
        <color rgb="001E6F42"/>
      </top>
      <bottom style="thin">
        <color rgb="00D5DBE1"/>
      </bottom>
    </border>
    <border>
      <left style="thin">
        <color rgb="00B7791F"/>
      </left>
      <right style="thin">
        <color rgb="00B7791F"/>
      </right>
      <top style="thin">
        <color rgb="00B7791F"/>
      </top>
      <bottom style="thin">
        <color rgb="00B7791F"/>
      </bottom>
    </border>
    <border>
      <left style="thin">
        <color rgb="00D5DBE1"/>
      </left>
      <right style="thin">
        <color rgb="00D5DBE1"/>
      </right>
      <top style="thin">
        <color rgb="00D5DBE1"/>
      </top>
    </border>
    <border>
      <left style="thin">
        <color rgb="00D5DBE1"/>
      </left>
      <right style="thin">
        <color rgb="00D5DBE1"/>
      </right>
    </border>
    <border>
      <left style="thin">
        <color rgb="00D5DBE1"/>
      </left>
      <right style="thin">
        <color rgb="00D5DBE1"/>
      </right>
      <bottom style="thin">
        <color rgb="00D5DBE1"/>
      </bottom>
    </border>
    <border>
      <bottom style="thin">
        <color rgb="00D5DBE1"/>
      </bottom>
    </border>
    <border>
      <top style="thin">
        <color rgb="00E8ECEF"/>
      </top>
      <bottom style="thin">
        <color rgb="00E8ECEF"/>
      </bottom>
    </border>
    <border>
      <top style="thin">
        <color rgb="0013315C"/>
      </top>
      <bottom style="thin">
        <color rgb="00E8ECEF"/>
      </bottom>
    </border>
  </borders>
  <cellStyleXfs count="1">
    <xf numFmtId="0" fontId="0" fillId="0" borderId="0"/>
  </cellStyleXfs>
  <cellXfs count="207">
    <xf numFmtId="0" fontId="0" fillId="0" borderId="0" pivotButton="0" quotePrefix="0" xfId="0"/>
    <xf numFmtId="0" fontId="35" fillId="2" borderId="0" applyAlignment="1" pivotButton="0" quotePrefix="0" xfId="0">
      <alignment horizontal="left" vertical="center" indent="1"/>
    </xf>
    <xf numFmtId="0" fontId="36" fillId="3" borderId="0" applyAlignment="1" pivotButton="0" quotePrefix="0" xfId="0">
      <alignment horizontal="left" vertical="center" indent="1"/>
    </xf>
    <xf numFmtId="0" fontId="0" fillId="7" borderId="0" pivotButton="0" quotePrefix="0" xfId="0"/>
    <xf numFmtId="0" fontId="33" fillId="0" borderId="0" applyAlignment="1" pivotButton="0" quotePrefix="0" xfId="0">
      <alignment horizontal="right" vertical="center"/>
    </xf>
    <xf numFmtId="0" fontId="37" fillId="0" borderId="0" applyAlignment="1" pivotButton="0" quotePrefix="0" xfId="0">
      <alignment horizontal="center" vertical="center"/>
    </xf>
    <xf numFmtId="169" fontId="38" fillId="5" borderId="12" applyAlignment="1" pivotButton="0" quotePrefix="0" xfId="0">
      <alignment horizontal="center" vertical="center"/>
    </xf>
    <xf numFmtId="0" fontId="39" fillId="0" borderId="0" applyAlignment="1" pivotButton="0" quotePrefix="0" xfId="0">
      <alignment horizontal="left" vertical="center"/>
    </xf>
    <xf numFmtId="0" fontId="38" fillId="5" borderId="12" applyAlignment="1" pivotButton="0" quotePrefix="0" xfId="0">
      <alignment horizontal="center" vertical="center"/>
    </xf>
    <xf numFmtId="0" fontId="8" fillId="0" borderId="0" applyAlignment="1" pivotButton="0" quotePrefix="0" xfId="0">
      <alignment horizontal="left" vertical="center"/>
    </xf>
    <xf numFmtId="0" fontId="40" fillId="0" borderId="0" applyAlignment="1" pivotButton="0" quotePrefix="0" xfId="0">
      <alignment horizontal="left" vertical="center" indent="1"/>
    </xf>
    <xf numFmtId="0" fontId="41" fillId="8" borderId="13" applyAlignment="1" pivotButton="0" quotePrefix="0" xfId="0">
      <alignment horizontal="center" vertical="center"/>
    </xf>
    <xf numFmtId="0" fontId="0" fillId="0" borderId="13" pivotButton="0" quotePrefix="0" xfId="0"/>
    <xf numFmtId="165" fontId="42" fillId="0" borderId="14" applyAlignment="1" pivotButton="0" quotePrefix="0" xfId="0">
      <alignment horizontal="center" vertical="center"/>
    </xf>
    <xf numFmtId="0" fontId="0" fillId="0" borderId="14" pivotButton="0" quotePrefix="0" xfId="0"/>
    <xf numFmtId="165" fontId="43" fillId="0" borderId="14" applyAlignment="1" pivotButton="0" quotePrefix="0" xfId="0">
      <alignment horizontal="center" vertical="center"/>
    </xf>
    <xf numFmtId="165" fontId="44" fillId="0" borderId="14" applyAlignment="1" pivotButton="0" quotePrefix="0" xfId="0">
      <alignment horizontal="center" vertical="center"/>
    </xf>
    <xf numFmtId="165" fontId="45" fillId="0" borderId="14" applyAlignment="1" pivotButton="0" quotePrefix="0" xfId="0">
      <alignment horizontal="center" vertical="center"/>
    </xf>
    <xf numFmtId="0" fontId="39" fillId="0" borderId="15" applyAlignment="1" pivotButton="0" quotePrefix="0" xfId="0">
      <alignment horizontal="center" vertical="center"/>
    </xf>
    <xf numFmtId="0" fontId="0" fillId="0" borderId="15" pivotButton="0" quotePrefix="0" xfId="0"/>
    <xf numFmtId="164" fontId="45" fillId="0" borderId="14" applyAlignment="1" pivotButton="0" quotePrefix="0" xfId="0">
      <alignment horizontal="center" vertical="center"/>
    </xf>
    <xf numFmtId="1" fontId="42" fillId="0" borderId="14" applyAlignment="1" pivotButton="0" quotePrefix="0" xfId="0">
      <alignment horizontal="center" vertical="center"/>
    </xf>
    <xf numFmtId="4" fontId="42" fillId="0" borderId="14" applyAlignment="1" pivotButton="0" quotePrefix="0" xfId="0">
      <alignment horizontal="center" vertical="center"/>
    </xf>
    <xf numFmtId="165" fontId="46" fillId="0" borderId="14" applyAlignment="1" pivotButton="0" quotePrefix="0" xfId="0">
      <alignment horizontal="center" vertical="center"/>
    </xf>
    <xf numFmtId="0" fontId="47" fillId="3" borderId="0" applyAlignment="1" pivotButton="0" quotePrefix="0" xfId="0">
      <alignment horizontal="left" vertical="center" indent="1"/>
    </xf>
    <xf numFmtId="0" fontId="33" fillId="0" borderId="16" applyAlignment="1" pivotButton="0" quotePrefix="0" xfId="0">
      <alignment horizontal="left" vertical="center" indent="1"/>
    </xf>
    <xf numFmtId="0" fontId="0" fillId="0" borderId="16" pivotButton="0" quotePrefix="0" xfId="0"/>
    <xf numFmtId="0" fontId="33" fillId="0" borderId="16" applyAlignment="1" pivotButton="0" quotePrefix="0" xfId="0">
      <alignment horizontal="right" vertical="center" indent="1"/>
    </xf>
    <xf numFmtId="0" fontId="15" fillId="7" borderId="17" applyAlignment="1" pivotButton="0" quotePrefix="0" xfId="0">
      <alignment horizontal="left" vertical="center" indent="1"/>
    </xf>
    <xf numFmtId="0" fontId="0" fillId="7" borderId="17" pivotButton="0" quotePrefix="0" xfId="0"/>
    <xf numFmtId="166" fontId="15" fillId="7" borderId="17" applyAlignment="1" pivotButton="0" quotePrefix="0" xfId="0">
      <alignment horizontal="right" vertical="center" indent="1"/>
    </xf>
    <xf numFmtId="164" fontId="20" fillId="7" borderId="17" applyAlignment="1" pivotButton="0" quotePrefix="0" xfId="0">
      <alignment horizontal="right" vertical="center" indent="1"/>
    </xf>
    <xf numFmtId="0" fontId="39" fillId="7" borderId="17" applyAlignment="1" pivotButton="0" quotePrefix="0" xfId="0">
      <alignment horizontal="left" vertical="center" indent="1"/>
    </xf>
    <xf numFmtId="0" fontId="15" fillId="7" borderId="17" applyAlignment="1" pivotButton="0" quotePrefix="0" xfId="0">
      <alignment horizontal="left" vertical="center" indent="2"/>
    </xf>
    <xf numFmtId="0" fontId="31" fillId="8" borderId="18" applyAlignment="1" pivotButton="0" quotePrefix="0" xfId="0">
      <alignment horizontal="left" vertical="center" indent="2"/>
    </xf>
    <xf numFmtId="0" fontId="0" fillId="8" borderId="18" pivotButton="0" quotePrefix="0" xfId="0"/>
    <xf numFmtId="166" fontId="31" fillId="8" borderId="18" applyAlignment="1" pivotButton="0" quotePrefix="0" xfId="0">
      <alignment horizontal="right" vertical="center" indent="1"/>
    </xf>
    <xf numFmtId="164" fontId="20" fillId="8" borderId="18" applyAlignment="1" pivotButton="0" quotePrefix="0" xfId="0">
      <alignment horizontal="right" vertical="center" indent="1"/>
    </xf>
    <xf numFmtId="0" fontId="39" fillId="8" borderId="18" applyAlignment="1" pivotButton="0" quotePrefix="0" xfId="0">
      <alignment horizontal="left" vertical="center" indent="1"/>
    </xf>
    <xf numFmtId="0" fontId="48" fillId="12" borderId="18" applyAlignment="1" pivotButton="0" quotePrefix="0" xfId="0">
      <alignment horizontal="left" vertical="center" indent="2"/>
    </xf>
    <xf numFmtId="0" fontId="0" fillId="12" borderId="18" pivotButton="0" quotePrefix="0" xfId="0"/>
    <xf numFmtId="166" fontId="48" fillId="12" borderId="18" applyAlignment="1" pivotButton="0" quotePrefix="0" xfId="0">
      <alignment horizontal="right" vertical="center" indent="1"/>
    </xf>
    <xf numFmtId="164" fontId="20" fillId="12" borderId="18" applyAlignment="1" pivotButton="0" quotePrefix="0" xfId="0">
      <alignment horizontal="right" vertical="center" indent="1"/>
    </xf>
    <xf numFmtId="0" fontId="39" fillId="12" borderId="18" applyAlignment="1" pivotButton="0" quotePrefix="0" xfId="0">
      <alignment horizontal="left" vertical="center" indent="1"/>
    </xf>
    <xf numFmtId="164" fontId="15" fillId="7" borderId="17" applyAlignment="1" pivotButton="0" quotePrefix="0" xfId="0">
      <alignment horizontal="right" vertical="center" indent="1"/>
    </xf>
    <xf numFmtId="0" fontId="41" fillId="0" borderId="16" applyAlignment="1" pivotButton="0" quotePrefix="0" xfId="0">
      <alignment horizontal="center" vertical="center" wrapText="1"/>
    </xf>
    <xf numFmtId="0" fontId="41" fillId="0" borderId="16" applyAlignment="1" pivotButton="0" quotePrefix="0" xfId="0">
      <alignment horizontal="left" vertical="center" indent="1"/>
    </xf>
    <xf numFmtId="0" fontId="9" fillId="0" borderId="9" applyAlignment="1" pivotButton="0" quotePrefix="0" xfId="0">
      <alignment horizontal="left" vertical="center" indent="1"/>
    </xf>
    <xf numFmtId="1" fontId="11" fillId="0" borderId="9" applyAlignment="1" pivotButton="0" quotePrefix="0" xfId="0">
      <alignment horizontal="center" vertical="center" indent="1"/>
    </xf>
    <xf numFmtId="4" fontId="11" fillId="0" borderId="9" applyAlignment="1" pivotButton="0" quotePrefix="0" xfId="0">
      <alignment horizontal="center" vertical="center" indent="1"/>
    </xf>
    <xf numFmtId="166" fontId="11" fillId="0" borderId="9" applyAlignment="1" pivotButton="0" quotePrefix="0" xfId="0">
      <alignment horizontal="right" vertical="center" indent="1"/>
    </xf>
    <xf numFmtId="164" fontId="11" fillId="0" borderId="9" applyAlignment="1" pivotButton="0" quotePrefix="0" xfId="0">
      <alignment horizontal="center" vertical="center" indent="1"/>
    </xf>
    <xf numFmtId="0" fontId="0" fillId="0" borderId="9" pivotButton="0" quotePrefix="0" xfId="0"/>
    <xf numFmtId="0" fontId="19" fillId="13" borderId="0" applyAlignment="1" pivotButton="0" quotePrefix="0" xfId="0">
      <alignment horizontal="left" vertical="center" indent="1"/>
    </xf>
    <xf numFmtId="0" fontId="0" fillId="13" borderId="0" pivotButton="0" quotePrefix="0" xfId="0"/>
    <xf numFmtId="166" fontId="19" fillId="13" borderId="0" applyAlignment="1" pivotButton="0" quotePrefix="0" xfId="0">
      <alignment horizontal="right" vertical="center" indent="1"/>
    </xf>
    <xf numFmtId="1" fontId="19" fillId="13" borderId="0" applyAlignment="1" pivotButton="0" quotePrefix="0" xfId="0">
      <alignment horizontal="center" vertical="center" indent="1"/>
    </xf>
    <xf numFmtId="164" fontId="19" fillId="13" borderId="0" applyAlignment="1" pivotButton="0" quotePrefix="0" xfId="0">
      <alignment horizontal="center" vertical="center" indent="1"/>
    </xf>
    <xf numFmtId="0" fontId="19" fillId="4" borderId="0" pivotButton="0" quotePrefix="0" xfId="0"/>
    <xf numFmtId="1" fontId="19" fillId="4" borderId="0" applyAlignment="1" pivotButton="0" quotePrefix="0" xfId="0">
      <alignment horizontal="center" vertical="center"/>
    </xf>
    <xf numFmtId="4" fontId="19" fillId="4" borderId="0" applyAlignment="1" pivotButton="0" quotePrefix="0" xfId="0">
      <alignment horizontal="center" vertical="center"/>
    </xf>
    <xf numFmtId="166" fontId="19" fillId="4" borderId="0" applyAlignment="1" pivotButton="0" quotePrefix="0" xfId="0">
      <alignment horizontal="center" vertical="center"/>
    </xf>
    <xf numFmtId="164" fontId="19" fillId="4" borderId="0" applyAlignment="1" pivotButton="0" quotePrefix="0" xfId="0">
      <alignment horizontal="center" vertical="center"/>
    </xf>
    <xf numFmtId="164" fontId="11" fillId="0" borderId="9" applyAlignment="1" pivotButton="0" quotePrefix="0" xfId="0">
      <alignment horizontal="center" vertical="center"/>
    </xf>
    <xf numFmtId="0" fontId="49" fillId="0" borderId="9" applyAlignment="1" pivotButton="0" quotePrefix="0" xfId="0">
      <alignment horizontal="left" vertical="center" indent="1"/>
    </xf>
    <xf numFmtId="0" fontId="19" fillId="10" borderId="0" applyAlignment="1" pivotButton="0" quotePrefix="0" xfId="0">
      <alignment horizontal="left" vertical="center" indent="1"/>
    </xf>
    <xf numFmtId="0" fontId="0" fillId="10" borderId="0" pivotButton="0" quotePrefix="0" xfId="0"/>
    <xf numFmtId="166" fontId="19" fillId="10" borderId="0" applyAlignment="1" pivotButton="0" quotePrefix="0" xfId="0">
      <alignment horizontal="right" vertical="center" indent="1"/>
    </xf>
    <xf numFmtId="164" fontId="19" fillId="10" borderId="0" applyAlignment="1" pivotButton="0" quotePrefix="0" xfId="0">
      <alignment horizontal="center" vertical="center"/>
    </xf>
    <xf numFmtId="0" fontId="11" fillId="0" borderId="9" applyAlignment="1" pivotButton="0" quotePrefix="0" xfId="0">
      <alignment horizontal="center" vertical="center"/>
    </xf>
    <xf numFmtId="1" fontId="11" fillId="0" borderId="9" applyAlignment="1" pivotButton="0" quotePrefix="0" xfId="0">
      <alignment horizontal="center" vertical="center"/>
    </xf>
    <xf numFmtId="166" fontId="9" fillId="0" borderId="9" applyAlignment="1" pivotButton="0" quotePrefix="0" xfId="0">
      <alignment horizontal="right" vertical="center" indent="1"/>
    </xf>
    <xf numFmtId="0" fontId="50" fillId="0" borderId="9" applyAlignment="1" pivotButton="0" quotePrefix="0" xfId="0">
      <alignment horizontal="center" vertical="center"/>
    </xf>
    <xf numFmtId="0" fontId="19" fillId="11" borderId="0" pivotButton="0" quotePrefix="0" xfId="0"/>
    <xf numFmtId="0" fontId="0" fillId="11" borderId="0" pivotButton="0" quotePrefix="0" xfId="0"/>
    <xf numFmtId="1" fontId="19" fillId="11" borderId="0" applyAlignment="1" pivotButton="0" quotePrefix="0" xfId="0">
      <alignment horizontal="center" vertical="center" indent="1"/>
    </xf>
    <xf numFmtId="166" fontId="19" fillId="11" borderId="0" applyAlignment="1" pivotButton="0" quotePrefix="0" xfId="0">
      <alignment horizontal="right" vertical="center" indent="1"/>
    </xf>
    <xf numFmtId="0" fontId="49" fillId="0" borderId="0" applyAlignment="1" pivotButton="0" quotePrefix="0" xfId="0">
      <alignment horizontal="left" vertical="center"/>
    </xf>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27" fillId="6" borderId="0" applyAlignment="1" pivotButton="0" quotePrefix="0" xfId="0">
      <alignment horizontal="left" vertical="center" indent="1"/>
    </xf>
    <xf numFmtId="0" fontId="27" fillId="6" borderId="0" applyAlignment="1" pivotButton="0" quotePrefix="0" xfId="0">
      <alignment horizontal="center" vertical="center"/>
    </xf>
    <xf numFmtId="4" fontId="27" fillId="6" borderId="0" applyAlignment="1" pivotButton="0" quotePrefix="0" xfId="0">
      <alignment horizontal="center" vertical="center"/>
    </xf>
    <xf numFmtId="165" fontId="27" fillId="6" borderId="0" applyAlignment="1" pivotButton="0" quotePrefix="0" xfId="0">
      <alignment horizontal="right" vertical="center" indent="1"/>
    </xf>
    <xf numFmtId="0" fontId="26" fillId="4" borderId="8" applyAlignment="1" pivotButton="0" quotePrefix="0" xfId="0">
      <alignment horizontal="center" vertical="center" wrapText="1"/>
    </xf>
    <xf numFmtId="0" fontId="26" fillId="3" borderId="8" applyAlignment="1" pivotButton="0" quotePrefix="0" xfId="0">
      <alignment horizontal="center" vertical="center" wrapText="1"/>
    </xf>
    <xf numFmtId="168" fontId="15" fillId="7" borderId="9" applyAlignment="1" pivotButton="0" quotePrefix="0" xfId="0">
      <alignment horizontal="center" vertical="center"/>
    </xf>
    <xf numFmtId="0" fontId="15" fillId="7" borderId="9" applyAlignment="1" pivotButton="0" quotePrefix="0" xfId="0">
      <alignment horizontal="center" vertical="center"/>
    </xf>
    <xf numFmtId="0" fontId="15" fillId="7" borderId="9" applyAlignment="1" pivotButton="0" quotePrefix="0" xfId="0">
      <alignment horizontal="left" vertical="center"/>
    </xf>
    <xf numFmtId="4" fontId="15" fillId="7" borderId="9" applyAlignment="1" pivotButton="0" quotePrefix="0" xfId="0">
      <alignment horizontal="right" vertical="center"/>
    </xf>
    <xf numFmtId="166" fontId="28" fillId="6" borderId="9" applyAlignment="1" pivotButton="0" quotePrefix="0" xfId="0">
      <alignment horizontal="right" vertical="center"/>
    </xf>
    <xf numFmtId="164" fontId="15" fillId="7" borderId="9" applyAlignment="1" pivotButton="0" quotePrefix="0" xfId="0">
      <alignment horizontal="right" vertical="center"/>
    </xf>
    <xf numFmtId="166" fontId="15" fillId="7" borderId="9" applyAlignment="1" pivotButton="0" quotePrefix="0" xfId="0">
      <alignment horizontal="right" vertical="center"/>
    </xf>
    <xf numFmtId="0" fontId="23" fillId="0" borderId="0" pivotButton="0" quotePrefix="0" xfId="0"/>
    <xf numFmtId="168" fontId="15" fillId="9" borderId="9" applyAlignment="1" pivotButton="0" quotePrefix="0" xfId="0">
      <alignment horizontal="center" vertical="center"/>
    </xf>
    <xf numFmtId="0" fontId="15" fillId="9" borderId="9" applyAlignment="1" pivotButton="0" quotePrefix="0" xfId="0">
      <alignment horizontal="center" vertical="center"/>
    </xf>
    <xf numFmtId="0" fontId="15" fillId="9" borderId="9" applyAlignment="1" pivotButton="0" quotePrefix="0" xfId="0">
      <alignment horizontal="left" vertical="center"/>
    </xf>
    <xf numFmtId="4" fontId="15" fillId="9" borderId="9" applyAlignment="1" pivotButton="0" quotePrefix="0" xfId="0">
      <alignment horizontal="right" vertical="center"/>
    </xf>
    <xf numFmtId="164" fontId="15" fillId="9" borderId="9" applyAlignment="1" pivotButton="0" quotePrefix="0" xfId="0">
      <alignment horizontal="right" vertical="center"/>
    </xf>
    <xf numFmtId="166" fontId="15" fillId="9" borderId="9" applyAlignment="1" pivotButton="0" quotePrefix="0" xfId="0">
      <alignment horizontal="right" vertical="center"/>
    </xf>
    <xf numFmtId="0" fontId="26" fillId="10" borderId="8" applyAlignment="1" pivotButton="0" quotePrefix="0" xfId="0">
      <alignment horizontal="center" vertical="center" wrapText="1"/>
    </xf>
    <xf numFmtId="0" fontId="28" fillId="6" borderId="9" applyAlignment="1" pivotButton="0" quotePrefix="0" xfId="0">
      <alignment horizontal="right" vertical="center"/>
    </xf>
    <xf numFmtId="0" fontId="26" fillId="11" borderId="10" applyAlignment="1" pivotButton="0" quotePrefix="0" xfId="0">
      <alignment horizontal="center" vertical="center" wrapText="1"/>
    </xf>
    <xf numFmtId="0" fontId="29" fillId="4" borderId="0" applyAlignment="1" pivotButton="0" quotePrefix="0" xfId="0">
      <alignment horizontal="left" vertical="center" indent="1"/>
    </xf>
    <xf numFmtId="0" fontId="31" fillId="0" borderId="0" applyAlignment="1" pivotButton="0" quotePrefix="0" xfId="0">
      <alignment horizontal="left" vertical="center" indent="1"/>
    </xf>
    <xf numFmtId="0" fontId="0" fillId="0" borderId="0" applyAlignment="1" pivotButton="0" quotePrefix="0" xfId="0">
      <alignment horizontal="center" vertical="center"/>
    </xf>
    <xf numFmtId="1" fontId="15" fillId="0" borderId="0" applyAlignment="1" pivotButton="0" quotePrefix="0" xfId="0">
      <alignment horizontal="center" vertical="center"/>
    </xf>
    <xf numFmtId="165" fontId="15" fillId="0" borderId="0" applyAlignment="1" pivotButton="0" quotePrefix="0" xfId="0">
      <alignment horizontal="right" vertical="center"/>
    </xf>
    <xf numFmtId="166" fontId="30" fillId="0" borderId="0" applyAlignment="1" pivotButton="0" quotePrefix="0" xfId="0">
      <alignment horizontal="right" vertical="center"/>
    </xf>
    <xf numFmtId="166" fontId="15" fillId="0" borderId="0" applyAlignment="1" pivotButton="0" quotePrefix="0" xfId="0">
      <alignment horizontal="right" vertical="center"/>
    </xf>
    <xf numFmtId="166" fontId="31" fillId="0" borderId="0" applyAlignment="1" pivotButton="0" quotePrefix="0" xfId="0">
      <alignment horizontal="right" vertical="center"/>
    </xf>
    <xf numFmtId="0" fontId="25" fillId="0" borderId="0" applyAlignment="1" pivotButton="0" quotePrefix="0" xfId="0">
      <alignment horizontal="center" vertical="center"/>
    </xf>
    <xf numFmtId="167" fontId="0" fillId="0" borderId="0" pivotButton="0" quotePrefix="0" xfId="0"/>
    <xf numFmtId="0" fontId="31" fillId="12" borderId="11" applyAlignment="1" pivotButton="0" quotePrefix="0" xfId="0">
      <alignment horizontal="left" vertical="center" indent="1"/>
    </xf>
    <xf numFmtId="0" fontId="0" fillId="12" borderId="11" pivotButton="0" quotePrefix="0" xfId="0"/>
    <xf numFmtId="1" fontId="31" fillId="12" borderId="11" applyAlignment="1" pivotButton="0" quotePrefix="0" xfId="0">
      <alignment horizontal="center" vertical="center"/>
    </xf>
    <xf numFmtId="165" fontId="31" fillId="12" borderId="11" applyAlignment="1" pivotButton="0" quotePrefix="0" xfId="0">
      <alignment horizontal="right" vertical="center"/>
    </xf>
    <xf numFmtId="166" fontId="31" fillId="12" borderId="11" applyAlignment="1" pivotButton="0" quotePrefix="0" xfId="0">
      <alignment horizontal="right" vertical="center"/>
    </xf>
    <xf numFmtId="0" fontId="0" fillId="0" borderId="11" pivotButton="0" quotePrefix="0" xfId="0"/>
    <xf numFmtId="0" fontId="4" fillId="4" borderId="0" applyAlignment="1" pivotButton="0" quotePrefix="0" xfId="0">
      <alignment horizontal="left" vertical="center" indent="1"/>
    </xf>
    <xf numFmtId="0" fontId="5" fillId="0" borderId="0" applyAlignment="1" pivotButton="0" quotePrefix="0" xfId="0">
      <alignment horizontal="left" vertical="center" indent="1"/>
    </xf>
    <xf numFmtId="0" fontId="6" fillId="5" borderId="1" applyAlignment="1" pivotButton="0" quotePrefix="0" xfId="0">
      <alignment horizontal="left" vertical="center" indent="1"/>
    </xf>
    <xf numFmtId="0" fontId="0" fillId="0" borderId="4" pivotButton="0" quotePrefix="0" xfId="0"/>
    <xf numFmtId="0" fontId="0" fillId="0" borderId="5" pivotButton="0" quotePrefix="0" xfId="0"/>
    <xf numFmtId="164" fontId="7" fillId="5" borderId="1" applyAlignment="1" pivotButton="0" quotePrefix="0" xfId="0">
      <alignment horizontal="center" vertical="center"/>
    </xf>
    <xf numFmtId="0" fontId="8" fillId="0" borderId="0" applyAlignment="1" pivotButton="0" quotePrefix="0" xfId="0">
      <alignment horizontal="left" vertical="center" indent="1"/>
    </xf>
    <xf numFmtId="165" fontId="7" fillId="5" borderId="1" applyAlignment="1" pivotButton="0" quotePrefix="0" xfId="0">
      <alignment horizontal="center" vertical="center"/>
    </xf>
    <xf numFmtId="0" fontId="9" fillId="6" borderId="6" applyAlignment="1" pivotButton="0" quotePrefix="0" xfId="0">
      <alignment horizontal="center" vertical="center" wrapText="1"/>
    </xf>
    <xf numFmtId="0" fontId="5" fillId="7" borderId="7" applyAlignment="1" pivotButton="0" quotePrefix="0" xfId="0">
      <alignment horizontal="left" vertical="center" indent="1"/>
    </xf>
    <xf numFmtId="166" fontId="5" fillId="5" borderId="7" applyAlignment="1" pivotButton="0" quotePrefix="0" xfId="0">
      <alignment horizontal="right" vertical="center" indent="1"/>
    </xf>
    <xf numFmtId="164" fontId="10" fillId="7" borderId="7" applyAlignment="1" pivotButton="0" quotePrefix="0" xfId="0">
      <alignment horizontal="center" vertical="center"/>
    </xf>
    <xf numFmtId="165" fontId="10" fillId="7" borderId="7" applyAlignment="1" pivotButton="0" quotePrefix="0" xfId="0">
      <alignment horizontal="right" vertical="center" indent="1"/>
    </xf>
    <xf numFmtId="0" fontId="5" fillId="8" borderId="7" applyAlignment="1" pivotButton="0" quotePrefix="0" xfId="0">
      <alignment horizontal="left" vertical="center" indent="1"/>
    </xf>
    <xf numFmtId="164" fontId="10" fillId="8" borderId="7" applyAlignment="1" pivotButton="0" quotePrefix="0" xfId="0">
      <alignment horizontal="center" vertical="center"/>
    </xf>
    <xf numFmtId="165" fontId="10" fillId="8" borderId="7" applyAlignment="1" pivotButton="0" quotePrefix="0" xfId="0">
      <alignment horizontal="right" vertical="center" indent="1"/>
    </xf>
    <xf numFmtId="166" fontId="5" fillId="8" borderId="7" applyAlignment="1" pivotButton="0" quotePrefix="0" xfId="0">
      <alignment horizontal="right" vertical="center" indent="1"/>
    </xf>
    <xf numFmtId="166" fontId="5" fillId="7" borderId="7" applyAlignment="1" pivotButton="0" quotePrefix="0" xfId="0">
      <alignment horizontal="right" vertical="center" indent="1"/>
    </xf>
    <xf numFmtId="4" fontId="5" fillId="7" borderId="7" applyAlignment="1" pivotButton="0" quotePrefix="0" xfId="0">
      <alignment horizontal="center" vertical="center"/>
    </xf>
    <xf numFmtId="4" fontId="5" fillId="8" borderId="7" applyAlignment="1" pivotButton="0" quotePrefix="0" xfId="0">
      <alignment horizontal="center" vertical="center"/>
    </xf>
    <xf numFmtId="0" fontId="5" fillId="7" borderId="7" applyAlignment="1" pivotButton="0" quotePrefix="0" xfId="0">
      <alignment horizontal="center" vertical="center"/>
    </xf>
    <xf numFmtId="164" fontId="5" fillId="7" borderId="7" applyAlignment="1" pivotButton="0" quotePrefix="0" xfId="0">
      <alignment horizontal="center" vertical="center"/>
    </xf>
    <xf numFmtId="0" fontId="11" fillId="7" borderId="7" applyAlignment="1" pivotButton="0" quotePrefix="0" xfId="0">
      <alignment horizontal="left" vertical="center" indent="1"/>
    </xf>
    <xf numFmtId="0" fontId="5" fillId="8" borderId="7" applyAlignment="1" pivotButton="0" quotePrefix="0" xfId="0">
      <alignment horizontal="center" vertical="center"/>
    </xf>
    <xf numFmtId="164" fontId="5" fillId="8" borderId="7" applyAlignment="1" pivotButton="0" quotePrefix="0" xfId="0">
      <alignment horizontal="center" vertical="center"/>
    </xf>
    <xf numFmtId="0" fontId="11" fillId="8" borderId="7" applyAlignment="1" pivotButton="0" quotePrefix="0" xfId="0">
      <alignment horizontal="left" vertical="center" indent="1"/>
    </xf>
    <xf numFmtId="0" fontId="12" fillId="7" borderId="7" applyAlignment="1" pivotButton="0" quotePrefix="0" xfId="0">
      <alignment horizontal="center" vertical="center"/>
    </xf>
    <xf numFmtId="0" fontId="8" fillId="7" borderId="7" applyAlignment="1" pivotButton="0" quotePrefix="0" xfId="0">
      <alignment horizontal="left" vertical="center" indent="1"/>
    </xf>
    <xf numFmtId="0" fontId="12" fillId="8" borderId="7" applyAlignment="1" pivotButton="0" quotePrefix="0" xfId="0">
      <alignment horizontal="center" vertical="center"/>
    </xf>
    <xf numFmtId="0" fontId="8" fillId="8" borderId="7" applyAlignment="1" pivotButton="0" quotePrefix="0" xfId="0">
      <alignment horizontal="left" vertical="center" indent="1"/>
    </xf>
    <xf numFmtId="0" fontId="6" fillId="7" borderId="7" applyAlignment="1" pivotButton="0" quotePrefix="0" xfId="0">
      <alignment horizontal="left" vertical="center" indent="1"/>
    </xf>
    <xf numFmtId="165" fontId="5" fillId="7" borderId="7" applyAlignment="1" pivotButton="0" quotePrefix="0" xfId="0">
      <alignment horizontal="right" vertical="center" indent="1"/>
    </xf>
    <xf numFmtId="1" fontId="5" fillId="7" borderId="7" applyAlignment="1" pivotButton="0" quotePrefix="0" xfId="0">
      <alignment horizontal="center" vertical="center"/>
    </xf>
    <xf numFmtId="168" fontId="5" fillId="7" borderId="7" applyAlignment="1" pivotButton="0" quotePrefix="0" xfId="0">
      <alignment horizontal="center" vertical="center"/>
    </xf>
    <xf numFmtId="1" fontId="13" fillId="6" borderId="7" applyAlignment="1" pivotButton="0" quotePrefix="0" xfId="0">
      <alignment horizontal="center" vertical="center"/>
    </xf>
    <xf numFmtId="165" fontId="13" fillId="6" borderId="7" applyAlignment="1" pivotButton="0" quotePrefix="0" xfId="0">
      <alignment horizontal="right" vertical="center" indent="1"/>
    </xf>
    <xf numFmtId="165" fontId="6" fillId="6" borderId="7" applyAlignment="1" pivotButton="0" quotePrefix="0" xfId="0">
      <alignment horizontal="right" vertical="center" indent="1"/>
    </xf>
    <xf numFmtId="165" fontId="14" fillId="6" borderId="7" applyAlignment="1" pivotButton="0" quotePrefix="0" xfId="0">
      <alignment horizontal="right" vertical="center" indent="1"/>
    </xf>
    <xf numFmtId="164" fontId="13" fillId="6" borderId="7" applyAlignment="1" pivotButton="0" quotePrefix="0" xfId="0">
      <alignment horizontal="center" vertical="center"/>
    </xf>
    <xf numFmtId="0" fontId="6" fillId="8" borderId="7" applyAlignment="1" pivotButton="0" quotePrefix="0" xfId="0">
      <alignment horizontal="left" vertical="center" indent="1"/>
    </xf>
    <xf numFmtId="165" fontId="5" fillId="8" borderId="7" applyAlignment="1" pivotButton="0" quotePrefix="0" xfId="0">
      <alignment horizontal="right" vertical="center" indent="1"/>
    </xf>
    <xf numFmtId="1" fontId="5" fillId="8" borderId="7" applyAlignment="1" pivotButton="0" quotePrefix="0" xfId="0">
      <alignment horizontal="center" vertical="center"/>
    </xf>
    <xf numFmtId="168" fontId="5" fillId="8" borderId="7" applyAlignment="1" pivotButton="0" quotePrefix="0" xfId="0">
      <alignment horizontal="center" vertical="center"/>
    </xf>
    <xf numFmtId="0" fontId="15" fillId="7" borderId="7" applyAlignment="1" pivotButton="0" quotePrefix="0" xfId="0">
      <alignment horizontal="left" vertical="center" indent="1"/>
    </xf>
    <xf numFmtId="0" fontId="15" fillId="8" borderId="7" applyAlignment="1" pivotButton="0" quotePrefix="0" xfId="0">
      <alignment horizontal="left" vertical="center" indent="1"/>
    </xf>
    <xf numFmtId="0" fontId="5" fillId="0" borderId="7" applyAlignment="1" pivotButton="0" quotePrefix="0" xfId="0">
      <alignment horizontal="left" vertical="center" indent="1"/>
    </xf>
    <xf numFmtId="0" fontId="10" fillId="0" borderId="7" applyAlignment="1" pivotButton="0" quotePrefix="0" xfId="0">
      <alignment horizontal="center" vertical="center"/>
    </xf>
    <xf numFmtId="0" fontId="15" fillId="0" borderId="0" applyAlignment="1" pivotButton="0" quotePrefix="0" xfId="0">
      <alignment horizontal="left" vertical="top" wrapText="1" indent="1"/>
    </xf>
    <xf numFmtId="0" fontId="11" fillId="0" borderId="0" applyAlignment="1" pivotButton="0" quotePrefix="0" xfId="0">
      <alignment horizontal="left" vertical="top" wrapText="1" indent="1"/>
    </xf>
    <xf numFmtId="0" fontId="9" fillId="5" borderId="0" applyAlignment="1" pivotButton="0" quotePrefix="0" xfId="0">
      <alignment horizontal="left" vertical="top" wrapText="1" indent="1"/>
    </xf>
    <xf numFmtId="0" fontId="40" fillId="0" borderId="0" applyAlignment="1" pivotButton="0" quotePrefix="0" xfId="0">
      <alignment horizontal="left" vertical="top" wrapText="1" indent="1"/>
    </xf>
    <xf numFmtId="0" fontId="51" fillId="0" borderId="0" applyAlignment="1" pivotButton="0" quotePrefix="0" xfId="0">
      <alignment horizontal="left" vertical="top" wrapText="1" indent="1"/>
    </xf>
    <xf numFmtId="0" fontId="52" fillId="0" borderId="0" applyAlignment="1" pivotButton="0" quotePrefix="0" xfId="0">
      <alignment horizontal="left" vertical="top" wrapText="1" indent="1"/>
    </xf>
    <xf numFmtId="0" fontId="16" fillId="0" borderId="0" pivotButton="0" quotePrefix="0" xfId="0"/>
    <xf numFmtId="0" fontId="33" fillId="0" borderId="0" pivotButton="0" quotePrefix="0" xfId="0"/>
    <xf numFmtId="0" fontId="34" fillId="0" borderId="0" pivotButton="0" quotePrefix="0" xfId="0"/>
    <xf numFmtId="0" fontId="17" fillId="0" borderId="0" pivotButton="0" quotePrefix="0" xfId="0"/>
    <xf numFmtId="167" fontId="34" fillId="0" borderId="0" pivotButton="0" quotePrefix="0" xfId="0"/>
    <xf numFmtId="0" fontId="10" fillId="0" borderId="0" pivotButton="0" quotePrefix="0" xfId="0"/>
    <xf numFmtId="168" fontId="9" fillId="0" borderId="0" pivotButton="0" quotePrefix="0" xfId="0"/>
    <xf numFmtId="0" fontId="9" fillId="0" borderId="0" pivotButton="0" quotePrefix="0" xfId="0"/>
    <xf numFmtId="0" fontId="19" fillId="2" borderId="0" pivotButton="0" quotePrefix="0" xfId="0"/>
    <xf numFmtId="1" fontId="10" fillId="0" borderId="0" pivotButton="0" quotePrefix="0" xfId="0"/>
    <xf numFmtId="0" fontId="18" fillId="2" borderId="0" pivotButton="0" quotePrefix="0" xfId="0"/>
    <xf numFmtId="0" fontId="0" fillId="2" borderId="0" pivotButton="0" quotePrefix="0" xfId="0"/>
    <xf numFmtId="166" fontId="10" fillId="0" borderId="0" pivotButton="0" quotePrefix="0" xfId="0"/>
    <xf numFmtId="166" fontId="6" fillId="0" borderId="0" applyAlignment="1" pivotButton="0" quotePrefix="0" xfId="0">
      <alignment horizontal="right" vertical="center"/>
    </xf>
    <xf numFmtId="0" fontId="20" fillId="0" borderId="0" pivotButton="0" quotePrefix="0" xfId="0"/>
    <xf numFmtId="166" fontId="11" fillId="0" borderId="0" pivotButton="0" quotePrefix="0" xfId="0"/>
    <xf numFmtId="164" fontId="6" fillId="0" borderId="0" applyAlignment="1" pivotButton="0" quotePrefix="0" xfId="0">
      <alignment horizontal="right" vertical="center"/>
    </xf>
    <xf numFmtId="1" fontId="6" fillId="0" borderId="0" applyAlignment="1" pivotButton="0" quotePrefix="0" xfId="0">
      <alignment horizontal="right" vertical="center"/>
    </xf>
    <xf numFmtId="0" fontId="32" fillId="0" borderId="0" pivotButton="0" quotePrefix="0" xfId="0"/>
    <xf numFmtId="4" fontId="6" fillId="0" borderId="0" applyAlignment="1" pivotButton="0" quotePrefix="0" xfId="0">
      <alignment horizontal="right" vertical="center"/>
    </xf>
    <xf numFmtId="0" fontId="21" fillId="6" borderId="0" applyAlignment="1" pivotButton="0" quotePrefix="0" xfId="0">
      <alignment horizontal="center" vertical="center" wrapText="1"/>
    </xf>
    <xf numFmtId="167" fontId="11" fillId="0" borderId="0" pivotButton="0" quotePrefix="0" xfId="0"/>
    <xf numFmtId="0" fontId="11" fillId="0" borderId="0" pivotButton="0" quotePrefix="0" xfId="0"/>
    <xf numFmtId="1" fontId="11" fillId="0" borderId="0" pivotButton="0" quotePrefix="0" xfId="0"/>
    <xf numFmtId="4" fontId="11" fillId="0" borderId="0" pivotButton="0" quotePrefix="0" xfId="0"/>
    <xf numFmtId="166" fontId="22" fillId="0" borderId="0" pivotButton="0" quotePrefix="0" xfId="0"/>
    <xf numFmtId="164" fontId="11" fillId="0" borderId="0" pivotButton="0" quotePrefix="0" xfId="0"/>
    <xf numFmtId="165" fontId="11" fillId="0" borderId="0" pivotButton="0" quotePrefix="0" xfId="0"/>
    <xf numFmtId="0" fontId="21" fillId="6" borderId="0" applyAlignment="1" pivotButton="0" quotePrefix="0" xfId="0">
      <alignment horizontal="center" vertical="center"/>
    </xf>
    <xf numFmtId="167" fontId="23" fillId="0" borderId="0" pivotButton="0" quotePrefix="0" xfId="0"/>
    <xf numFmtId="4" fontId="10" fillId="0" borderId="0" pivotButton="0" quotePrefix="0" xfId="0"/>
    <xf numFmtId="0" fontId="24" fillId="2" borderId="0" pivotButton="0" quotePrefix="0" xfId="0"/>
    <xf numFmtId="1" fontId="23" fillId="0" borderId="0" pivotButton="0" quotePrefix="0" xfId="0"/>
    <xf numFmtId="0" fontId="22" fillId="0" borderId="0" pivotButton="0" quotePrefix="0" xfId="0"/>
    <xf numFmtId="0" fontId="25" fillId="0" borderId="0" pivotButton="0" quotePrefix="0" xfId="0"/>
  </cellXfs>
  <cellStyles count="1">
    <cellStyle name="Normal" xfId="0" builtinId="0" hidden="0"/>
  </cellStyles>
  <dxfs count="12">
    <dxf>
      <font>
        <name val="Calibri"/>
        <b val="1"/>
        <color rgb="00B42318"/>
        <sz val="9"/>
      </font>
      <fill>
        <patternFill patternType="solid">
          <fgColor rgb="00FDECEA"/>
        </patternFill>
      </fill>
    </dxf>
    <dxf>
      <font>
        <name val="Calibri"/>
        <b val="1"/>
        <color rgb="00B7791F"/>
        <sz val="9"/>
      </font>
      <fill>
        <patternFill patternType="solid">
          <fgColor rgb="00FDF6E3"/>
        </patternFill>
      </fill>
    </dxf>
    <dxf>
      <font>
        <name val="Calibri"/>
        <b val="1"/>
        <color rgb="00FFFFFF"/>
        <sz val="9"/>
      </font>
    </dxf>
    <dxf>
      <font>
        <name val="Calibri"/>
        <b val="1"/>
        <color rgb="00B42318"/>
        <sz val="19"/>
      </font>
    </dxf>
    <dxf>
      <font>
        <name val="Calibri"/>
        <b val="1"/>
        <color rgb="00B42318"/>
        <sz val="9.5"/>
      </font>
    </dxf>
    <dxf>
      <font>
        <name val="Calibri"/>
        <b val="1"/>
        <color rgb="00B42318"/>
        <sz val="9"/>
      </font>
    </dxf>
    <dxf>
      <font>
        <name val="Calibri"/>
        <b val="1"/>
        <color rgb="001E6F42"/>
        <sz val="9"/>
      </font>
    </dxf>
    <dxf>
      <fill>
        <patternFill patternType="solid">
          <fgColor rgb="00FDF6E3"/>
        </patternFill>
      </fill>
    </dxf>
    <dxf>
      <font>
        <name val="Calibri"/>
        <b val="1"/>
        <color rgb="00B42318"/>
        <sz val="9.5"/>
      </font>
      <fill>
        <patternFill patternType="solid">
          <fgColor rgb="00FDECEA"/>
        </patternFill>
      </fill>
    </dxf>
    <dxf>
      <font>
        <name val="Calibri"/>
        <b val="1"/>
        <color rgb="001E6F42"/>
        <sz val="9.5"/>
      </font>
    </dxf>
    <dxf>
      <font>
        <name val="Calibri"/>
        <b val="1"/>
        <color rgb="00B7791F"/>
        <sz val="9.5"/>
      </font>
      <fill>
        <patternFill patternType="solid">
          <fgColor rgb="00FDF6E3"/>
        </patternFill>
      </fill>
    </dxf>
    <dxf>
      <font>
        <name val="Calibri"/>
        <b val="1"/>
        <color rgb="001E6F42"/>
        <sz val="9.5"/>
      </font>
      <fill>
        <patternFill patternType="solid">
          <fgColor rgb="00E6F4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2"/>
  <chart>
    <title>
      <tx>
        <rich>
          <a:bodyPr/>
          <a:p>
            <a:pPr>
              <a:defRPr/>
            </a:pPr>
            <a:r>
              <a:t>Monthly trend — fee, total cost, net profit</a:t>
            </a:r>
          </a:p>
        </rich>
      </tx>
    </title>
    <plotArea>
      <lineChart>
        <grouping val="standard"/>
        <ser>
          <idx val="0"/>
          <order val="0"/>
          <tx>
            <strRef>
              <f>'Calc'!E22</f>
            </strRef>
          </tx>
          <spPr>
            <a:ln>
              <a:prstDash val="solid"/>
            </a:ln>
          </spPr>
          <marker>
            <symbol val="none"/>
            <spPr>
              <a:ln>
                <a:prstDash val="solid"/>
              </a:ln>
            </spPr>
          </marker>
          <cat>
            <strRef>
              <f>Calc!$B$23:$B$46</f>
            </strRef>
          </cat>
          <val>
            <numRef>
              <f>'Calc'!$E$23:$E$46</f>
            </numRef>
          </val>
        </ser>
        <ser>
          <idx val="1"/>
          <order val="1"/>
          <tx>
            <strRef>
              <f>'Calc'!L22</f>
            </strRef>
          </tx>
          <spPr>
            <a:ln>
              <a:prstDash val="solid"/>
            </a:ln>
          </spPr>
          <marker>
            <symbol val="none"/>
            <spPr>
              <a:ln>
                <a:prstDash val="solid"/>
              </a:ln>
            </spPr>
          </marker>
          <cat>
            <strRef>
              <f>Calc!$B$23:$B$46</f>
            </strRef>
          </cat>
          <val>
            <numRef>
              <f>'Calc'!$L$23:$L$46</f>
            </numRef>
          </val>
        </ser>
        <ser>
          <idx val="2"/>
          <order val="2"/>
          <tx>
            <strRef>
              <f>'Calc'!M22</f>
            </strRef>
          </tx>
          <spPr>
            <a:ln>
              <a:prstDash val="solid"/>
            </a:ln>
          </spPr>
          <marker>
            <symbol val="none"/>
            <spPr>
              <a:ln>
                <a:prstDash val="solid"/>
              </a:ln>
            </spPr>
          </marker>
          <cat>
            <strRef>
              <f>Calc!$B$23:$B$46</f>
            </strRef>
          </cat>
          <val>
            <numRef>
              <f>'Calc'!$M$23:$M$46</f>
            </numRef>
          </val>
        </ser>
        <axId val="10"/>
        <axId val="100"/>
      </lineChart>
      <catAx>
        <axId val="10"/>
        <scaling>
          <orientation val="minMax"/>
        </scaling>
        <axPos val="l"/>
        <majorTickMark val="none"/>
        <minorTickMark val="none"/>
        <crossAx val="100"/>
        <lblOffset val="100"/>
      </catAx>
      <valAx>
        <axId val="100"/>
        <scaling>
          <orientation val="minMax"/>
        </scaling>
        <axPos val="l"/>
        <numFmt formatCode="&quot;₱&quot;#,##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Booked expenses by cost group (this month)</a:t>
            </a:r>
          </a:p>
        </rich>
      </tx>
    </title>
    <plotArea>
      <barChart>
        <barDir val="col"/>
        <grouping val="clustered"/>
        <ser>
          <idx val="0"/>
          <order val="0"/>
          <tx>
            <strRef>
              <f>'Calc'!B90</f>
            </strRef>
          </tx>
          <spPr>
            <a:ln>
              <a:prstDash val="solid"/>
            </a:ln>
          </spPr>
          <cat>
            <strRef>
              <f>Calc!$A$91:$A$95</f>
            </strRef>
          </cat>
          <val>
            <numRef>
              <f>'Calc'!$B$91:$B$95</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quot;₱&quot;#,##0" sourceLinked="0"/>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Where the revenue comes from (by destination)</a:t>
            </a:r>
          </a:p>
        </rich>
      </tx>
    </title>
    <plotArea>
      <pieChart>
        <varyColors val="1"/>
        <ser>
          <idx val="0"/>
          <order val="0"/>
          <tx>
            <strRef>
              <f>'Calc'!D50</f>
            </strRef>
          </tx>
          <spPr>
            <a:ln>
              <a:prstDash val="solid"/>
            </a:ln>
          </spPr>
          <cat>
            <strRef>
              <f>Calc!$A$51:$A$57</f>
            </strRef>
          </cat>
          <val>
            <numRef>
              <f>'Calc'!$D$51:$D$57</f>
            </numRef>
          </val>
        </ser>
        <dLbls>
          <showPercent val="1"/>
        </dLbls>
        <firstSliceAng val="0"/>
      </pieChart>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Trip net profit per truck (this month)</a:t>
            </a:r>
          </a:p>
        </rich>
      </tx>
    </title>
    <plotArea>
      <barChart>
        <barDir val="bar"/>
        <grouping val="clustered"/>
        <ser>
          <idx val="0"/>
          <order val="0"/>
          <tx>
            <strRef>
              <f>'Calc'!U31</f>
            </strRef>
          </tx>
          <spPr>
            <a:ln>
              <a:prstDash val="solid"/>
            </a:ln>
          </spPr>
          <cat>
            <strRef>
              <f>Calc!$Q$32:$Q$41</f>
            </strRef>
          </cat>
          <val>
            <numRef>
              <f>'Calc'!$U$32:$U$41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quot;₱&quot;#,##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15</row>
      <rowOff>0</rowOff>
    </from>
    <ext cx="4536000" cy="2664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15</row>
      <rowOff>0</rowOff>
    </from>
    <ext cx="4536000" cy="2664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30</row>
      <rowOff>0</rowOff>
    </from>
    <ext cx="4536000" cy="2664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30</row>
      <rowOff>0</rowOff>
    </from>
    <ext cx="4536000" cy="2664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B47" TargetMode="External" Id="rId1" /><Relationship Type="http://schemas.openxmlformats.org/officeDocument/2006/relationships/hyperlink" Target="#'Dashboard'!B70" TargetMode="External" Id="rId2" /><Relationship Type="http://schemas.openxmlformats.org/officeDocument/2006/relationships/hyperlink" Target="#'Dashboard'!H70" TargetMode="External" Id="rId3" /><Relationship Type="http://schemas.openxmlformats.org/officeDocument/2006/relationships/hyperlink" Target="#'Dashboard'!B84" TargetMode="External" Id="rId4" /><Relationship Type="http://schemas.openxmlformats.org/officeDocument/2006/relationships/hyperlink" Target="#'Dashboard'!B99" TargetMode="External" Id="rId5" /><Relationship Type="http://schemas.openxmlformats.org/officeDocument/2006/relationships/hyperlink" Target="#'Trips'!A1" TargetMode="External" Id="rId6" /><Relationship Type="http://schemas.openxmlformats.org/officeDocument/2006/relationships/hyperlink" Target="#'Expenses'!A1" TargetMode="External" Id="rId7" /><Relationship Type="http://schemas.openxmlformats.org/officeDocument/2006/relationships/hyperlink" Target="#'Payroll'!A1" TargetMode="External" Id="rId8" /><Relationship Type="http://schemas.openxmlformats.org/officeDocument/2006/relationships/hyperlink" Target="#'Setup'!A1" TargetMode="External" Id="rId9" /><Relationship Type="http://schemas.openxmlformats.org/officeDocument/2006/relationships/hyperlink" Target="#'Read Me'!A1" TargetMode="External" Id="rId10" /><Relationship Type="http://schemas.openxmlformats.org/officeDocument/2006/relationships/drawing" Target="/xl/drawings/drawing1.xml" Id="rId11" /></Relationships>
</file>

<file path=xl/worksheets/sheet1.xml><?xml version="1.0" encoding="utf-8"?>
<worksheet xmlns="http://schemas.openxmlformats.org/spreadsheetml/2006/main">
  <sheetPr>
    <tabColor rgb="000B2545"/>
    <outlinePr summaryBelow="1" summaryRight="1"/>
    <pageSetUpPr fitToPage="1"/>
  </sheetPr>
  <dimension ref="A1:M115"/>
  <sheetViews>
    <sheetView showGridLines="0" zoomScale="90" workbookViewId="0">
      <pane ySplit="5" topLeftCell="A6" activePane="bottomLeft" state="frozen"/>
      <selection pane="bottomLeft" activeCell="A1" sqref="A1"/>
    </sheetView>
  </sheetViews>
  <sheetFormatPr baseColWidth="8" defaultRowHeight="15"/>
  <cols>
    <col width="2.5" customWidth="1" min="1" max="1"/>
    <col width="17.5" customWidth="1" min="2" max="2"/>
    <col width="17.5" customWidth="1" min="3" max="3"/>
    <col width="17.5" customWidth="1" min="4" max="4"/>
    <col width="17.5" customWidth="1" min="5" max="5"/>
    <col width="17.5" customWidth="1" min="6" max="6"/>
    <col width="17.5" customWidth="1" min="7" max="7"/>
    <col width="17.5" customWidth="1" min="8" max="8"/>
    <col width="17.5" customWidth="1" min="9" max="9"/>
    <col width="17.5" customWidth="1" min="10" max="10"/>
    <col width="17.5" customWidth="1" min="11" max="11"/>
    <col width="17.5" customWidth="1" min="12" max="12"/>
    <col width="17.5" customWidth="1" min="13" max="13"/>
    <col width="2.5" customWidth="1" min="14" max="14"/>
  </cols>
  <sheetData>
    <row r="1" ht="44" customHeight="1">
      <c r="A1" s="1" t="inlineStr">
        <is>
          <t>🚚  J&amp;Z TRUCKING  ·  COMMAND CENTER</t>
        </is>
      </c>
    </row>
    <row r="2" ht="20" customHeight="1">
      <c r="A2" s="2" t="inlineStr">
        <is>
          <t>Live figures from every trip, every receipt and every loan. Change the two filters below — the whole page follows.</t>
        </is>
      </c>
    </row>
    <row r="3">
      <c r="A3" s="3" t="inlineStr"/>
      <c r="B3" s="4" t="inlineStr">
        <is>
          <t>GO TO  ▸</t>
        </is>
      </c>
      <c r="C3" s="5" t="inlineStr">
        <is>
          <t>P&amp;L</t>
        </is>
      </c>
      <c r="D3" s="5" t="inlineStr">
        <is>
          <t>Trucks</t>
        </is>
      </c>
      <c r="E3" s="5" t="inlineStr">
        <is>
          <t>Loans</t>
        </is>
      </c>
      <c r="F3" s="5" t="inlineStr">
        <is>
          <t>Destinations</t>
        </is>
      </c>
      <c r="G3" s="5" t="inlineStr">
        <is>
          <t>Crew pay</t>
        </is>
      </c>
      <c r="H3" s="5" t="inlineStr">
        <is>
          <t>Trips log</t>
        </is>
      </c>
      <c r="I3" s="5" t="inlineStr">
        <is>
          <t>Expenses</t>
        </is>
      </c>
      <c r="J3" s="5" t="inlineStr">
        <is>
          <t>Payroll</t>
        </is>
      </c>
      <c r="K3" s="5" t="inlineStr">
        <is>
          <t>Setup</t>
        </is>
      </c>
      <c r="L3" s="5" t="inlineStr">
        <is>
          <t>Read me</t>
        </is>
      </c>
    </row>
    <row r="4" ht="30" customHeight="1">
      <c r="B4" s="4" t="inlineStr">
        <is>
          <t>MONTH</t>
        </is>
      </c>
      <c r="C4" s="6" t="n">
        <v>46296</v>
      </c>
      <c r="D4" s="7" t="inlineStr">
        <is>
          <t>◀ change</t>
        </is>
      </c>
      <c r="E4" s="4" t="inlineStr">
        <is>
          <t>TRUCK</t>
        </is>
      </c>
      <c r="F4" s="8" t="inlineStr">
        <is>
          <t>All</t>
        </is>
      </c>
      <c r="G4" s="7" t="inlineStr">
        <is>
          <t>all units</t>
        </is>
      </c>
      <c r="H4" s="9">
        <f>"vs previous month   ▸   fee "&amp;IF(N(Calc!$B$40)=0,"n/a",IF(Calc!$B$7&gt;=Calc!$B$40,"+","")&amp;ROUND((Calc!$B$7/Calc!$B$40-1)*100,1)&amp;"%")&amp;"      trips "&amp;IF(N(Calc!$B$41)=0,"n/a",IF(Calc!$B$10&gt;=Calc!$B$41,"+","")&amp;(Calc!$B$10-Calc!$B$41))&amp;"      tons "&amp;IF(N(Calc!$B$42)=0,"n/a",IF(Calc!$B$11&gt;=Calc!$B$42,"+","")&amp;ROUND((Calc!$B$11/Calc!$B$42-1)*100,1)&amp;"%")&amp;"      (pick a truck to see that unit alone)"</f>
        <v/>
      </c>
    </row>
    <row r="5" ht="16" customHeight="1">
      <c r="B5" s="10">
        <f>Calc!$Y$10</f>
        <v/>
      </c>
    </row>
    <row r="7">
      <c r="B7" s="11" t="inlineStr">
        <is>
          <t>GROSS HAULING FEE</t>
        </is>
      </c>
      <c r="C7" s="12" t="n"/>
      <c r="D7" s="11" t="inlineStr">
        <is>
          <t>NET HAULING FEE</t>
        </is>
      </c>
      <c r="E7" s="12" t="n"/>
      <c r="F7" s="11" t="inlineStr">
        <is>
          <t>CREW COST</t>
        </is>
      </c>
      <c r="G7" s="12" t="n"/>
      <c r="H7" s="11" t="inlineStr">
        <is>
          <t>TRIP NET PROFIT</t>
        </is>
      </c>
      <c r="I7" s="12" t="n"/>
      <c r="J7" s="11" t="inlineStr">
        <is>
          <t>OPERATING PROFIT</t>
        </is>
      </c>
      <c r="K7" s="12" t="n"/>
      <c r="L7" s="11" t="inlineStr">
        <is>
          <t>CASH PROFIT AFTER LOANS</t>
        </is>
      </c>
      <c r="M7" s="12" t="n"/>
    </row>
    <row r="8" ht="32" customHeight="1">
      <c r="B8" s="13">
        <f>Calc!$B$7</f>
        <v/>
      </c>
      <c r="C8" s="14" t="n"/>
      <c r="D8" s="13">
        <f>Calc!$Q$9</f>
        <v/>
      </c>
      <c r="E8" s="14" t="n"/>
      <c r="F8" s="15">
        <f>Calc!$B$15</f>
        <v/>
      </c>
      <c r="G8" s="14" t="n"/>
      <c r="H8" s="16">
        <f>Calc!$Q$19</f>
        <v/>
      </c>
      <c r="I8" s="14" t="n"/>
      <c r="J8" s="17">
        <f>Calc!$Q$22</f>
        <v/>
      </c>
      <c r="K8" s="14" t="n"/>
      <c r="L8" s="17">
        <f>Calc!$Q$24</f>
        <v/>
      </c>
      <c r="M8" s="14" t="n"/>
    </row>
    <row r="9" ht="16" customHeight="1">
      <c r="B9" s="18" t="inlineStr">
        <is>
          <t>total fee invoiced this month</t>
        </is>
      </c>
      <c r="C9" s="19" t="n"/>
      <c r="D9" s="18" t="inlineStr">
        <is>
          <t>after the 2% withholding tax</t>
        </is>
      </c>
      <c r="E9" s="19" t="n"/>
      <c r="F9" s="18" t="inlineStr">
        <is>
          <t>driver + helper share + allowance</t>
        </is>
      </c>
      <c r="G9" s="19" t="n"/>
      <c r="H9" s="18" t="inlineStr">
        <is>
          <t>after fuel, toll &amp; crew</t>
        </is>
      </c>
      <c r="I9" s="19" t="n"/>
      <c r="J9" s="18" t="inlineStr">
        <is>
          <t>after repairs, rent &amp; overhead</t>
        </is>
      </c>
      <c r="K9" s="19" t="n"/>
      <c r="L9" s="18" t="inlineStr">
        <is>
          <t>what is really left in your pocket</t>
        </is>
      </c>
      <c r="M9" s="19" t="n"/>
    </row>
    <row r="11">
      <c r="B11" s="11" t="inlineStr">
        <is>
          <t>PROFIT MARGIN</t>
        </is>
      </c>
      <c r="C11" s="12" t="n"/>
      <c r="D11" s="11" t="inlineStr">
        <is>
          <t>TRIPS DELIVERED</t>
        </is>
      </c>
      <c r="E11" s="12" t="n"/>
      <c r="F11" s="11" t="inlineStr">
        <is>
          <t>TONS HAULED</t>
        </is>
      </c>
      <c r="G11" s="12" t="n"/>
      <c r="H11" s="11" t="inlineStr">
        <is>
          <t>STILL TO PAY CREW</t>
        </is>
      </c>
      <c r="I11" s="12" t="n"/>
      <c r="J11" s="11" t="inlineStr">
        <is>
          <t>LOAN BALANCE</t>
        </is>
      </c>
      <c r="K11" s="12" t="n"/>
      <c r="L11" s="11" t="inlineStr">
        <is>
          <t>UNPAID INVOICES</t>
        </is>
      </c>
      <c r="M11" s="12" t="n"/>
    </row>
    <row r="12" ht="32" customHeight="1">
      <c r="B12" s="20">
        <f>Calc!$Q$25</f>
        <v/>
      </c>
      <c r="C12" s="14" t="n"/>
      <c r="D12" s="21">
        <f>Calc!$B$10</f>
        <v/>
      </c>
      <c r="E12" s="14" t="n"/>
      <c r="F12" s="22">
        <f>Calc!$B$11</f>
        <v/>
      </c>
      <c r="G12" s="14" t="n"/>
      <c r="H12" s="15">
        <f>Calc!$B$30</f>
        <v/>
      </c>
      <c r="I12" s="14" t="n"/>
      <c r="J12" s="23">
        <f>Calc!$B$99</f>
        <v/>
      </c>
      <c r="K12" s="14" t="n"/>
      <c r="L12" s="23">
        <f>Calc!$B$31</f>
        <v/>
      </c>
      <c r="M12" s="14" t="n"/>
    </row>
    <row r="13" ht="16" customHeight="1">
      <c r="B13" s="18" t="inlineStr">
        <is>
          <t>cash profit ÷ gross fee</t>
        </is>
      </c>
      <c r="C13" s="19" t="n"/>
      <c r="D13" s="18" t="inlineStr">
        <is>
          <t>this month</t>
        </is>
      </c>
      <c r="E13" s="19" t="n"/>
      <c r="F13" s="18" t="inlineStr">
        <is>
          <t>total weight moved</t>
        </is>
      </c>
      <c r="G13" s="19" t="n"/>
      <c r="H13" s="18" t="inlineStr">
        <is>
          <t>unsettled balance this month</t>
        </is>
      </c>
      <c r="I13" s="19" t="n"/>
      <c r="J13" s="18" t="inlineStr">
        <is>
          <t>principal still owed, all lenders</t>
        </is>
      </c>
      <c r="K13" s="19" t="n"/>
      <c r="L13" s="18" t="inlineStr">
        <is>
          <t>customer fees not yet collected</t>
        </is>
      </c>
      <c r="M13" s="19" t="n"/>
    </row>
    <row r="47" ht="24" customHeight="1">
      <c r="B47" s="24" t="inlineStr">
        <is>
          <t>PROFIT &amp; LOSS  ·  selected month</t>
        </is>
      </c>
    </row>
    <row r="48">
      <c r="B48" s="25" t="inlineStr">
        <is>
          <t>LINE ITEM</t>
        </is>
      </c>
      <c r="C48" s="26" t="n"/>
      <c r="D48" s="27" t="inlineStr">
        <is>
          <t>AMOUNT</t>
        </is>
      </c>
      <c r="E48" s="27" t="inlineStr">
        <is>
          <t>% OF FEE</t>
        </is>
      </c>
      <c r="F48" s="25" t="inlineStr">
        <is>
          <t>HOW IT IS BUILT</t>
        </is>
      </c>
      <c r="G48" s="26" t="n"/>
    </row>
    <row r="49" ht="18" customHeight="1">
      <c r="B49" s="28" t="inlineStr">
        <is>
          <t>Gross hauling fee</t>
        </is>
      </c>
      <c r="C49" s="29" t="n"/>
      <c r="D49" s="30">
        <f>Calc!$Q$7</f>
        <v/>
      </c>
      <c r="E49" s="31">
        <f>IF(Calc!$Q$7=0,"",D49/Calc!$Q$7)</f>
        <v/>
      </c>
      <c r="F49" s="32" t="inlineStr">
        <is>
          <t>tons × rate × (1 + fuel surcharge)</t>
        </is>
      </c>
      <c r="G49" s="29" t="n"/>
    </row>
    <row r="50" ht="18" customHeight="1">
      <c r="B50" s="33" t="inlineStr">
        <is>
          <t>Withholding tax (2%)</t>
        </is>
      </c>
      <c r="C50" s="29" t="n"/>
      <c r="D50" s="30">
        <f>Calc!$Q$8</f>
        <v/>
      </c>
      <c r="E50" s="31">
        <f>IF(Calc!$Q$7=0,"",D50/Calc!$Q$7)</f>
        <v/>
      </c>
      <c r="F50" s="32" t="inlineStr">
        <is>
          <t>2% withheld by the client</t>
        </is>
      </c>
      <c r="G50" s="29" t="n"/>
    </row>
    <row r="51" ht="18" customHeight="1">
      <c r="B51" s="34" t="inlineStr">
        <is>
          <t>Net hauling fee</t>
        </is>
      </c>
      <c r="C51" s="35" t="n"/>
      <c r="D51" s="36">
        <f>Calc!$Q$9</f>
        <v/>
      </c>
      <c r="E51" s="37">
        <f>IF(Calc!$Q$7=0,"",D51/Calc!$Q$7)</f>
        <v/>
      </c>
      <c r="F51" s="38" t="inlineStr">
        <is>
          <t>the base for the crew shares</t>
        </is>
      </c>
      <c r="G51" s="35" t="n"/>
    </row>
    <row r="52" ht="18" customHeight="1">
      <c r="B52" s="33" t="inlineStr">
        <is>
          <t>Driver share</t>
        </is>
      </c>
      <c r="C52" s="29" t="n"/>
      <c r="D52" s="30">
        <f>Calc!$Q$10</f>
        <v/>
      </c>
      <c r="E52" s="31">
        <f>IF(Calc!$Q$7=0,"",D52/Calc!$Q$7)</f>
        <v/>
      </c>
      <c r="F52" s="32" t="inlineStr">
        <is>
          <t>driver share of net fee</t>
        </is>
      </c>
      <c r="G52" s="29" t="n"/>
    </row>
    <row r="53" ht="18" customHeight="1">
      <c r="B53" s="33" t="inlineStr">
        <is>
          <t>Helper share</t>
        </is>
      </c>
      <c r="C53" s="29" t="n"/>
      <c r="D53" s="30">
        <f>Calc!$Q$11</f>
        <v/>
      </c>
      <c r="E53" s="31">
        <f>IF(Calc!$Q$7=0,"",D53/Calc!$Q$7)</f>
        <v/>
      </c>
      <c r="F53" s="32" t="inlineStr">
        <is>
          <t>helper share of net fee</t>
        </is>
      </c>
      <c r="G53" s="29" t="n"/>
    </row>
    <row r="54" ht="18" customHeight="1">
      <c r="B54" s="33" t="inlineStr">
        <is>
          <t>Driver allowance</t>
        </is>
      </c>
      <c r="C54" s="29" t="n"/>
      <c r="D54" s="30">
        <f>Calc!$Q$12</f>
        <v/>
      </c>
      <c r="E54" s="31">
        <f>IF(Calc!$Q$7=0,"",D54/Calc!$Q$7)</f>
        <v/>
      </c>
      <c r="F54" s="32" t="inlineStr">
        <is>
          <t>cash given per trip</t>
        </is>
      </c>
      <c r="G54" s="29" t="n"/>
    </row>
    <row r="55" ht="18" customHeight="1">
      <c r="B55" s="33" t="inlineStr">
        <is>
          <t>Reimbursable expenses</t>
        </is>
      </c>
      <c r="C55" s="29" t="n"/>
      <c r="D55" s="30">
        <f>Calc!$Q$13</f>
        <v/>
      </c>
      <c r="E55" s="31">
        <f>IF(Calc!$Q$7=0,"",D55/Calc!$Q$7)</f>
        <v/>
      </c>
      <c r="F55" s="32" t="inlineStr">
        <is>
          <t>driver receipts to pay back</t>
        </is>
      </c>
      <c r="G55" s="29" t="n"/>
    </row>
    <row r="56" ht="18" customHeight="1">
      <c r="B56" s="34" t="inlineStr">
        <is>
          <t>Gross profit</t>
        </is>
      </c>
      <c r="C56" s="35" t="n"/>
      <c r="D56" s="36">
        <f>Calc!$Q$14</f>
        <v/>
      </c>
      <c r="E56" s="37">
        <f>IF(Calc!$Q$7=0,"",D56/Calc!$Q$7)</f>
        <v/>
      </c>
      <c r="F56" s="38" t="inlineStr">
        <is>
          <t>after crew and reimbursables</t>
        </is>
      </c>
      <c r="G56" s="35" t="n"/>
    </row>
    <row r="57" ht="18" customHeight="1">
      <c r="B57" s="33" t="inlineStr">
        <is>
          <t>Fuel</t>
        </is>
      </c>
      <c r="C57" s="29" t="n"/>
      <c r="D57" s="30">
        <f>Calc!$Q$15</f>
        <v/>
      </c>
      <c r="E57" s="31">
        <f>IF(Calc!$Q$7=0,"",D57/Calc!$Q$7)</f>
        <v/>
      </c>
      <c r="F57" s="32" t="inlineStr">
        <is>
          <t>diesel logged per trip</t>
        </is>
      </c>
      <c r="G57" s="29" t="n"/>
    </row>
    <row r="58" ht="18" customHeight="1">
      <c r="B58" s="33" t="inlineStr">
        <is>
          <t>Toll &amp; parking</t>
        </is>
      </c>
      <c r="C58" s="29" t="n"/>
      <c r="D58" s="30">
        <f>Calc!$Q$16</f>
        <v/>
      </c>
      <c r="E58" s="31">
        <f>IF(Calc!$Q$7=0,"",D58/Calc!$Q$7)</f>
        <v/>
      </c>
      <c r="F58" s="32" t="inlineStr">
        <is>
          <t>expressway + parking</t>
        </is>
      </c>
      <c r="G58" s="29" t="n"/>
    </row>
    <row r="59" ht="18" customHeight="1">
      <c r="B59" s="33" t="inlineStr">
        <is>
          <t>Other trip costs</t>
        </is>
      </c>
      <c r="C59" s="29" t="n"/>
      <c r="D59" s="30">
        <f>Calc!$Q$17</f>
        <v/>
      </c>
      <c r="E59" s="31">
        <f>IF(Calc!$Q$7=0,"",D59/Calc!$Q$7)</f>
        <v/>
      </c>
      <c r="F59" s="32" t="inlineStr">
        <is>
          <t>weighing, grease, tips</t>
        </is>
      </c>
      <c r="G59" s="29" t="n"/>
    </row>
    <row r="60" ht="18" customHeight="1">
      <c r="B60" s="33" t="inlineStr">
        <is>
          <t>Total trip cost</t>
        </is>
      </c>
      <c r="C60" s="29" t="n"/>
      <c r="D60" s="30">
        <f>Calc!$Q$18</f>
        <v/>
      </c>
      <c r="E60" s="31">
        <f>IF(Calc!$Q$7=0,"",D60/Calc!$Q$7)</f>
        <v/>
      </c>
      <c r="F60" s="32" t="inlineStr"/>
      <c r="G60" s="29" t="n"/>
    </row>
    <row r="61" ht="18" customHeight="1">
      <c r="B61" s="34" t="inlineStr">
        <is>
          <t>Trip net profit</t>
        </is>
      </c>
      <c r="C61" s="35" t="n"/>
      <c r="D61" s="36">
        <f>Calc!$Q$19</f>
        <v/>
      </c>
      <c r="E61" s="37">
        <f>IF(Calc!$Q$7=0,"",D61/Calc!$Q$7)</f>
        <v/>
      </c>
      <c r="F61" s="38" t="inlineStr">
        <is>
          <t>before truck running costs</t>
        </is>
      </c>
      <c r="G61" s="35" t="n"/>
    </row>
    <row r="62" ht="18" customHeight="1">
      <c r="B62" s="33" t="inlineStr">
        <is>
          <t>Vehicle costs booked in Expenses</t>
        </is>
      </c>
      <c r="C62" s="29" t="n"/>
      <c r="D62" s="30">
        <f>Calc!$Q$20</f>
        <v/>
      </c>
      <c r="E62" s="31">
        <f>IF(Calc!$Q$7=0,"",D62/Calc!$Q$7)</f>
        <v/>
      </c>
      <c r="F62" s="32" t="inlineStr">
        <is>
          <t>repairs, tires, insurance, LTO, wash, bulk diesel</t>
        </is>
      </c>
      <c r="G62" s="29" t="n"/>
    </row>
    <row r="63" ht="18" customHeight="1">
      <c r="B63" s="33" t="inlineStr">
        <is>
          <t>Overhead (rent, office, salaries…)</t>
        </is>
      </c>
      <c r="C63" s="29" t="n"/>
      <c r="D63" s="30">
        <f>Calc!$Q$21</f>
        <v/>
      </c>
      <c r="E63" s="31">
        <f>IF(Calc!$Q$7=0,"",D63/Calc!$Q$7)</f>
        <v/>
      </c>
      <c r="F63" s="32" t="inlineStr">
        <is>
          <t>rent, office salary, utilities, fees</t>
        </is>
      </c>
      <c r="G63" s="29" t="n"/>
    </row>
    <row r="64" ht="18" customHeight="1">
      <c r="B64" s="34" t="inlineStr">
        <is>
          <t>Operating profit</t>
        </is>
      </c>
      <c r="C64" s="35" t="n"/>
      <c r="D64" s="36">
        <f>Calc!$Q$22</f>
        <v/>
      </c>
      <c r="E64" s="37">
        <f>IF(Calc!$Q$7=0,"",D64/Calc!$Q$7)</f>
        <v/>
      </c>
      <c r="F64" s="38" t="inlineStr">
        <is>
          <t>the operating result</t>
        </is>
      </c>
      <c r="G64" s="35" t="n"/>
    </row>
    <row r="65" ht="18" customHeight="1">
      <c r="B65" s="33" t="inlineStr">
        <is>
          <t>Loan amortisation paid</t>
        </is>
      </c>
      <c r="C65" s="29" t="n"/>
      <c r="D65" s="30">
        <f>Calc!$Q$23</f>
        <v/>
      </c>
      <c r="E65" s="31">
        <f>IF(Calc!$Q$7=0,"",D65/Calc!$Q$7)</f>
        <v/>
      </c>
      <c r="F65" s="32" t="inlineStr">
        <is>
          <t>principal + interest to all lenders</t>
        </is>
      </c>
      <c r="G65" s="29" t="n"/>
    </row>
    <row r="66" ht="22" customHeight="1">
      <c r="B66" s="39" t="inlineStr">
        <is>
          <t>Cash profit after loans</t>
        </is>
      </c>
      <c r="C66" s="40" t="n"/>
      <c r="D66" s="41">
        <f>Calc!$Q$24</f>
        <v/>
      </c>
      <c r="E66" s="42">
        <f>IF(Calc!$Q$7=0,"",D66/Calc!$Q$7)</f>
        <v/>
      </c>
      <c r="F66" s="43" t="inlineStr">
        <is>
          <t>money actually left with you</t>
        </is>
      </c>
      <c r="G66" s="40" t="n"/>
    </row>
    <row r="67" ht="18" customHeight="1">
      <c r="B67" s="33" t="inlineStr">
        <is>
          <t>Margin on hauling fee</t>
        </is>
      </c>
      <c r="C67" s="29" t="n"/>
      <c r="D67" s="44">
        <f>Calc!$Q$25</f>
        <v/>
      </c>
      <c r="E67" s="31" t="inlineStr"/>
      <c r="F67" s="32" t="inlineStr">
        <is>
          <t>cash profit ÷ gross fee</t>
        </is>
      </c>
      <c r="G67" s="29" t="n"/>
    </row>
    <row r="68" ht="18" customHeight="1">
      <c r="B68" s="33" t="inlineStr">
        <is>
          <t>Memo: advances &amp; payouts (not a cost)</t>
        </is>
      </c>
      <c r="C68" s="29" t="n"/>
      <c r="D68" s="30">
        <f>Calc!$Q$26</f>
        <v/>
      </c>
      <c r="E68" s="31">
        <f>IF(Calc!$Q$7=0,"",D68/Calc!$Q$7)</f>
        <v/>
      </c>
      <c r="F68" s="32" t="inlineStr">
        <is>
          <t>advances are a transfer, not a cost</t>
        </is>
      </c>
      <c r="G68" s="29" t="n"/>
    </row>
    <row r="70" ht="24" customHeight="1">
      <c r="B70" s="24" t="inlineStr">
        <is>
          <t>TRUCK PERFORMANCE  ·  selected month</t>
        </is>
      </c>
      <c r="H70" s="24" t="inlineStr">
        <is>
          <t>LOAN BOOK  ·  all lenders, self-updating</t>
        </is>
      </c>
    </row>
    <row r="71">
      <c r="B71" s="45" t="inlineStr">
        <is>
          <t>TRUCK</t>
        </is>
      </c>
      <c r="C71" s="45" t="inlineStr">
        <is>
          <t>TRIPS</t>
        </is>
      </c>
      <c r="D71" s="45" t="inlineStr">
        <is>
          <t>TONS</t>
        </is>
      </c>
      <c r="E71" s="45" t="inlineStr">
        <is>
          <t>GROSS FEE</t>
        </is>
      </c>
      <c r="F71" s="45" t="inlineStr">
        <is>
          <t>TRIP PROFIT</t>
        </is>
      </c>
      <c r="G71" s="45" t="inlineStr">
        <is>
          <t>MARGIN</t>
        </is>
      </c>
      <c r="H71" s="46" t="inlineStr">
        <is>
          <t>LENDER  ·  TRUCK</t>
        </is>
      </c>
      <c r="I71" s="26" t="n"/>
      <c r="J71" s="45" t="inlineStr">
        <is>
          <t>AMORT.</t>
        </is>
      </c>
      <c r="K71" s="45" t="inlineStr">
        <is>
          <t>BALANCE</t>
        </is>
      </c>
      <c r="L71" s="45" t="inlineStr">
        <is>
          <t>MONTHS LEFT</t>
        </is>
      </c>
      <c r="M71" s="45" t="inlineStr">
        <is>
          <t>PAID %</t>
        </is>
      </c>
    </row>
    <row r="72" ht="18" customHeight="1">
      <c r="B72" s="47">
        <f>Calc!$Q$32</f>
        <v/>
      </c>
      <c r="C72" s="48">
        <f>Calc!$R$32</f>
        <v/>
      </c>
      <c r="D72" s="49">
        <f>Calc!$S$32</f>
        <v/>
      </c>
      <c r="E72" s="50">
        <f>Calc!$T$32</f>
        <v/>
      </c>
      <c r="F72" s="50">
        <f>Calc!$U$32</f>
        <v/>
      </c>
      <c r="G72" s="51">
        <f>Calc!$V$32</f>
        <v/>
      </c>
      <c r="H72" s="47">
        <f>IF(Setup!$A133="","",Setup!$A133&amp;"  ·  "&amp;Setup!$B133)</f>
        <v/>
      </c>
      <c r="I72" s="52" t="n"/>
      <c r="J72" s="50">
        <f>Setup!$E133</f>
        <v/>
      </c>
      <c r="K72" s="50">
        <f>Setup!$K133</f>
        <v/>
      </c>
      <c r="L72" s="48">
        <f>Setup!$J133</f>
        <v/>
      </c>
      <c r="M72" s="51">
        <f>Setup!$M133</f>
        <v/>
      </c>
    </row>
    <row r="73" ht="18" customHeight="1">
      <c r="B73" s="47">
        <f>Calc!$Q$33</f>
        <v/>
      </c>
      <c r="C73" s="48">
        <f>Calc!$R$33</f>
        <v/>
      </c>
      <c r="D73" s="49">
        <f>Calc!$S$33</f>
        <v/>
      </c>
      <c r="E73" s="50">
        <f>Calc!$T$33</f>
        <v/>
      </c>
      <c r="F73" s="50">
        <f>Calc!$U$33</f>
        <v/>
      </c>
      <c r="G73" s="51">
        <f>Calc!$V$33</f>
        <v/>
      </c>
      <c r="H73" s="47">
        <f>IF(Setup!$A134="","",Setup!$A134&amp;"  ·  "&amp;Setup!$B134)</f>
        <v/>
      </c>
      <c r="I73" s="52" t="n"/>
      <c r="J73" s="50">
        <f>Setup!$E134</f>
        <v/>
      </c>
      <c r="K73" s="50">
        <f>Setup!$K134</f>
        <v/>
      </c>
      <c r="L73" s="48">
        <f>Setup!$J134</f>
        <v/>
      </c>
      <c r="M73" s="51">
        <f>Setup!$M134</f>
        <v/>
      </c>
    </row>
    <row r="74" ht="18" customHeight="1">
      <c r="B74" s="47">
        <f>Calc!$Q$34</f>
        <v/>
      </c>
      <c r="C74" s="48">
        <f>Calc!$R$34</f>
        <v/>
      </c>
      <c r="D74" s="49">
        <f>Calc!$S$34</f>
        <v/>
      </c>
      <c r="E74" s="50">
        <f>Calc!$T$34</f>
        <v/>
      </c>
      <c r="F74" s="50">
        <f>Calc!$U$34</f>
        <v/>
      </c>
      <c r="G74" s="51">
        <f>Calc!$V$34</f>
        <v/>
      </c>
      <c r="H74" s="47">
        <f>IF(Setup!$A135="","",Setup!$A135&amp;"  ·  "&amp;Setup!$B135)</f>
        <v/>
      </c>
      <c r="I74" s="52" t="n"/>
      <c r="J74" s="50">
        <f>Setup!$E135</f>
        <v/>
      </c>
      <c r="K74" s="50">
        <f>Setup!$K135</f>
        <v/>
      </c>
      <c r="L74" s="48">
        <f>Setup!$J135</f>
        <v/>
      </c>
      <c r="M74" s="51">
        <f>Setup!$M135</f>
        <v/>
      </c>
    </row>
    <row r="75" ht="18" customHeight="1">
      <c r="B75" s="47">
        <f>Calc!$Q$35</f>
        <v/>
      </c>
      <c r="C75" s="48">
        <f>Calc!$R$35</f>
        <v/>
      </c>
      <c r="D75" s="49">
        <f>Calc!$S$35</f>
        <v/>
      </c>
      <c r="E75" s="50">
        <f>Calc!$T$35</f>
        <v/>
      </c>
      <c r="F75" s="50">
        <f>Calc!$U$35</f>
        <v/>
      </c>
      <c r="G75" s="51">
        <f>Calc!$V$35</f>
        <v/>
      </c>
      <c r="H75" s="47">
        <f>IF(Setup!$A136="","",Setup!$A136&amp;"  ·  "&amp;Setup!$B136)</f>
        <v/>
      </c>
      <c r="I75" s="52" t="n"/>
      <c r="J75" s="50">
        <f>Setup!$E136</f>
        <v/>
      </c>
      <c r="K75" s="50">
        <f>Setup!$K136</f>
        <v/>
      </c>
      <c r="L75" s="48">
        <f>Setup!$J136</f>
        <v/>
      </c>
      <c r="M75" s="51">
        <f>Setup!$M136</f>
        <v/>
      </c>
    </row>
    <row r="76" ht="18" customHeight="1">
      <c r="B76" s="47">
        <f>Calc!$Q$36</f>
        <v/>
      </c>
      <c r="C76" s="48">
        <f>Calc!$R$36</f>
        <v/>
      </c>
      <c r="D76" s="49">
        <f>Calc!$S$36</f>
        <v/>
      </c>
      <c r="E76" s="50">
        <f>Calc!$T$36</f>
        <v/>
      </c>
      <c r="F76" s="50">
        <f>Calc!$U$36</f>
        <v/>
      </c>
      <c r="G76" s="51">
        <f>Calc!$V$36</f>
        <v/>
      </c>
      <c r="H76" s="47">
        <f>IF(Setup!$A137="","",Setup!$A137&amp;"  ·  "&amp;Setup!$B137)</f>
        <v/>
      </c>
      <c r="I76" s="52" t="n"/>
      <c r="J76" s="50">
        <f>Setup!$E137</f>
        <v/>
      </c>
      <c r="K76" s="50">
        <f>Setup!$K137</f>
        <v/>
      </c>
      <c r="L76" s="48">
        <f>Setup!$J137</f>
        <v/>
      </c>
      <c r="M76" s="51">
        <f>Setup!$M137</f>
        <v/>
      </c>
    </row>
    <row r="77" ht="18" customHeight="1">
      <c r="B77" s="47">
        <f>Calc!$Q$37</f>
        <v/>
      </c>
      <c r="C77" s="48">
        <f>Calc!$R$37</f>
        <v/>
      </c>
      <c r="D77" s="49">
        <f>Calc!$S$37</f>
        <v/>
      </c>
      <c r="E77" s="50">
        <f>Calc!$T$37</f>
        <v/>
      </c>
      <c r="F77" s="50">
        <f>Calc!$U$37</f>
        <v/>
      </c>
      <c r="G77" s="51">
        <f>Calc!$V$37</f>
        <v/>
      </c>
      <c r="H77" s="47">
        <f>IF(Setup!$A138="","",Setup!$A138&amp;"  ·  "&amp;Setup!$B138)</f>
        <v/>
      </c>
      <c r="I77" s="52" t="n"/>
      <c r="J77" s="50">
        <f>Setup!$E138</f>
        <v/>
      </c>
      <c r="K77" s="50">
        <f>Setup!$K138</f>
        <v/>
      </c>
      <c r="L77" s="48">
        <f>Setup!$J138</f>
        <v/>
      </c>
      <c r="M77" s="51">
        <f>Setup!$M138</f>
        <v/>
      </c>
    </row>
    <row r="78" ht="18" customHeight="1">
      <c r="B78" s="47">
        <f>Calc!$Q$38</f>
        <v/>
      </c>
      <c r="C78" s="48">
        <f>Calc!$R$38</f>
        <v/>
      </c>
      <c r="D78" s="49">
        <f>Calc!$S$38</f>
        <v/>
      </c>
      <c r="E78" s="50">
        <f>Calc!$T$38</f>
        <v/>
      </c>
      <c r="F78" s="50">
        <f>Calc!$U$38</f>
        <v/>
      </c>
      <c r="G78" s="51">
        <f>Calc!$V$38</f>
        <v/>
      </c>
      <c r="H78" s="53" t="inlineStr">
        <is>
          <t>TOTAL</t>
        </is>
      </c>
      <c r="I78" s="54" t="n"/>
      <c r="J78" s="55">
        <f>SUM(J72:J77)</f>
        <v/>
      </c>
      <c r="K78" s="55">
        <f>SUM(K72:K77)</f>
        <v/>
      </c>
      <c r="L78" s="56">
        <f>SUM(L72:L77)</f>
        <v/>
      </c>
      <c r="M78" s="57">
        <f>IF(SUM(Setup!$C$133:$C$138)=0,0,1-K78/SUM(Setup!$C$133:$C$138))</f>
        <v/>
      </c>
    </row>
    <row r="79" ht="18" customHeight="1">
      <c r="B79" s="47">
        <f>Calc!$Q$39</f>
        <v/>
      </c>
      <c r="C79" s="48">
        <f>Calc!$R$39</f>
        <v/>
      </c>
      <c r="D79" s="49">
        <f>Calc!$S$39</f>
        <v/>
      </c>
      <c r="E79" s="50">
        <f>Calc!$T$39</f>
        <v/>
      </c>
      <c r="F79" s="50">
        <f>Calc!$U$39</f>
        <v/>
      </c>
      <c r="G79" s="51">
        <f>Calc!$V$39</f>
        <v/>
      </c>
    </row>
    <row r="80" ht="18" customHeight="1">
      <c r="B80" s="47">
        <f>Calc!$Q$40</f>
        <v/>
      </c>
      <c r="C80" s="48">
        <f>Calc!$R$40</f>
        <v/>
      </c>
      <c r="D80" s="49">
        <f>Calc!$S$40</f>
        <v/>
      </c>
      <c r="E80" s="50">
        <f>Calc!$T$40</f>
        <v/>
      </c>
      <c r="F80" s="50">
        <f>Calc!$U$40</f>
        <v/>
      </c>
      <c r="G80" s="51">
        <f>Calc!$V$40</f>
        <v/>
      </c>
    </row>
    <row r="81" ht="18" customHeight="1">
      <c r="B81" s="47">
        <f>Calc!$Q$41</f>
        <v/>
      </c>
      <c r="C81" s="48">
        <f>Calc!$R$41</f>
        <v/>
      </c>
      <c r="D81" s="49">
        <f>Calc!$S$41</f>
        <v/>
      </c>
      <c r="E81" s="50">
        <f>Calc!$T$41</f>
        <v/>
      </c>
      <c r="F81" s="50">
        <f>Calc!$U$41</f>
        <v/>
      </c>
      <c r="G81" s="51">
        <f>Calc!$V$41</f>
        <v/>
      </c>
    </row>
    <row r="82">
      <c r="B82" s="58" t="inlineStr">
        <is>
          <t>TOTAL</t>
        </is>
      </c>
      <c r="C82" s="59">
        <f>SUM(C72:C81)</f>
        <v/>
      </c>
      <c r="D82" s="60">
        <f>SUM(D72:D81)</f>
        <v/>
      </c>
      <c r="E82" s="61">
        <f>SUM(E72:E81)</f>
        <v/>
      </c>
      <c r="F82" s="61">
        <f>SUM(F72:F81)</f>
        <v/>
      </c>
      <c r="G82" s="62">
        <f>SUM(G72:G81)</f>
        <v/>
      </c>
    </row>
    <row r="84" ht="24" customHeight="1">
      <c r="B84" s="24" t="inlineStr">
        <is>
          <t>TOP DESTINATIONS  ·  selected month</t>
        </is>
      </c>
      <c r="H84" s="24" t="inlineStr">
        <is>
          <t>WHERE THE MONEY WENT  ·  booked expenses</t>
        </is>
      </c>
    </row>
    <row r="85">
      <c r="B85" s="45" t="inlineStr">
        <is>
          <t>DESTINATION</t>
        </is>
      </c>
      <c r="C85" s="45" t="inlineStr">
        <is>
          <t>TRIPS</t>
        </is>
      </c>
      <c r="D85" s="45" t="inlineStr">
        <is>
          <t>TONS</t>
        </is>
      </c>
      <c r="E85" s="45" t="inlineStr">
        <is>
          <t>GROSS FEE</t>
        </is>
      </c>
      <c r="F85" s="45" t="inlineStr">
        <is>
          <t>TRIP PROFIT</t>
        </is>
      </c>
      <c r="G85" s="45" t="inlineStr">
        <is>
          <t>MARGIN</t>
        </is>
      </c>
      <c r="H85" s="46" t="inlineStr">
        <is>
          <t>COST GROUP</t>
        </is>
      </c>
      <c r="I85" s="26" t="n"/>
      <c r="J85" s="26" t="n"/>
      <c r="K85" s="45" t="inlineStr">
        <is>
          <t>AMOUNT</t>
        </is>
      </c>
      <c r="L85" s="45" t="inlineStr">
        <is>
          <t>SHARE</t>
        </is>
      </c>
      <c r="M85" s="45" t="inlineStr">
        <is>
          <t>COUNTED IN PROFIT?</t>
        </is>
      </c>
    </row>
    <row r="86" ht="18" customHeight="1">
      <c r="B86" s="47">
        <f>Calc!$J$51</f>
        <v/>
      </c>
      <c r="C86" s="48">
        <f>IF(Calc!$J$51="","",Calc!$K$51)</f>
        <v/>
      </c>
      <c r="D86" s="49">
        <f>IF(Calc!$J$51="","",Calc!$L$51)</f>
        <v/>
      </c>
      <c r="E86" s="50">
        <f>IF(Calc!$J$51="","",Calc!$M$51)</f>
        <v/>
      </c>
      <c r="F86" s="50">
        <f>IF(Calc!$J$51="","",Calc!$N$51)</f>
        <v/>
      </c>
      <c r="G86" s="51">
        <f>IF(Calc!$J$51="","",Calc!$O$51)</f>
        <v/>
      </c>
      <c r="H86" s="47" t="inlineStr">
        <is>
          <t>Vehicle</t>
        </is>
      </c>
      <c r="I86" s="52" t="n"/>
      <c r="J86" s="52" t="n"/>
      <c r="K86" s="50">
        <f>Calc!$B$91</f>
        <v/>
      </c>
      <c r="L86" s="63">
        <f>IF(Calc!$B$97=0,"",K86/Calc!$B$97)</f>
        <v/>
      </c>
      <c r="M86" s="64" t="inlineStr">
        <is>
          <t>yes — running cost</t>
        </is>
      </c>
    </row>
    <row r="87" ht="18" customHeight="1">
      <c r="B87" s="47">
        <f>Calc!$J$52</f>
        <v/>
      </c>
      <c r="C87" s="48">
        <f>IF(Calc!$J$52="","",Calc!$K$52)</f>
        <v/>
      </c>
      <c r="D87" s="49">
        <f>IF(Calc!$J$52="","",Calc!$L$52)</f>
        <v/>
      </c>
      <c r="E87" s="50">
        <f>IF(Calc!$J$52="","",Calc!$M$52)</f>
        <v/>
      </c>
      <c r="F87" s="50">
        <f>IF(Calc!$J$52="","",Calc!$N$52)</f>
        <v/>
      </c>
      <c r="G87" s="51">
        <f>IF(Calc!$J$52="","",Calc!$O$52)</f>
        <v/>
      </c>
      <c r="H87" s="47" t="inlineStr">
        <is>
          <t>Financing</t>
        </is>
      </c>
      <c r="I87" s="52" t="n"/>
      <c r="J87" s="52" t="n"/>
      <c r="K87" s="50">
        <f>Calc!$B$92</f>
        <v/>
      </c>
      <c r="L87" s="63">
        <f>IF(Calc!$B$97=0,"",K87/Calc!$B$97)</f>
        <v/>
      </c>
      <c r="M87" s="64" t="inlineStr">
        <is>
          <t>yes — after operating profit</t>
        </is>
      </c>
    </row>
    <row r="88" ht="18" customHeight="1">
      <c r="B88" s="47">
        <f>Calc!$J$53</f>
        <v/>
      </c>
      <c r="C88" s="48">
        <f>IF(Calc!$J$53="","",Calc!$K$53)</f>
        <v/>
      </c>
      <c r="D88" s="49">
        <f>IF(Calc!$J$53="","",Calc!$L$53)</f>
        <v/>
      </c>
      <c r="E88" s="50">
        <f>IF(Calc!$J$53="","",Calc!$M$53)</f>
        <v/>
      </c>
      <c r="F88" s="50">
        <f>IF(Calc!$J$53="","",Calc!$N$53)</f>
        <v/>
      </c>
      <c r="G88" s="51">
        <f>IF(Calc!$J$53="","",Calc!$O$53)</f>
        <v/>
      </c>
      <c r="H88" s="47" t="inlineStr">
        <is>
          <t>Transfer</t>
        </is>
      </c>
      <c r="I88" s="52" t="n"/>
      <c r="J88" s="52" t="n"/>
      <c r="K88" s="50">
        <f>Calc!$B$93</f>
        <v/>
      </c>
      <c r="L88" s="63">
        <f>IF(Calc!$B$97=0,"",K88/Calc!$B$97)</f>
        <v/>
      </c>
      <c r="M88" s="64" t="inlineStr">
        <is>
          <t>no — advances</t>
        </is>
      </c>
    </row>
    <row r="89" ht="18" customHeight="1">
      <c r="B89" s="47">
        <f>Calc!$J$54</f>
        <v/>
      </c>
      <c r="C89" s="48">
        <f>IF(Calc!$J$54="","",Calc!$K$54)</f>
        <v/>
      </c>
      <c r="D89" s="49">
        <f>IF(Calc!$J$54="","",Calc!$L$54)</f>
        <v/>
      </c>
      <c r="E89" s="50">
        <f>IF(Calc!$J$54="","",Calc!$M$54)</f>
        <v/>
      </c>
      <c r="F89" s="50">
        <f>IF(Calc!$J$54="","",Calc!$N$54)</f>
        <v/>
      </c>
      <c r="G89" s="51">
        <f>IF(Calc!$J$54="","",Calc!$O$54)</f>
        <v/>
      </c>
      <c r="H89" s="47" t="inlineStr">
        <is>
          <t>Overhead</t>
        </is>
      </c>
      <c r="I89" s="52" t="n"/>
      <c r="J89" s="52" t="n"/>
      <c r="K89" s="50">
        <f>Calc!$B$94</f>
        <v/>
      </c>
      <c r="L89" s="63">
        <f>IF(Calc!$B$97=0,"",K89/Calc!$B$97)</f>
        <v/>
      </c>
      <c r="M89" s="64" t="inlineStr">
        <is>
          <t>yes — overhead</t>
        </is>
      </c>
    </row>
    <row r="90" ht="18" customHeight="1">
      <c r="B90" s="47">
        <f>Calc!$J$55</f>
        <v/>
      </c>
      <c r="C90" s="48">
        <f>IF(Calc!$J$55="","",Calc!$K$55)</f>
        <v/>
      </c>
      <c r="D90" s="49">
        <f>IF(Calc!$J$55="","",Calc!$L$55)</f>
        <v/>
      </c>
      <c r="E90" s="50">
        <f>IF(Calc!$J$55="","",Calc!$M$55)</f>
        <v/>
      </c>
      <c r="F90" s="50">
        <f>IF(Calc!$J$55="","",Calc!$N$55)</f>
        <v/>
      </c>
      <c r="G90" s="51">
        <f>IF(Calc!$J$55="","",Calc!$O$55)</f>
        <v/>
      </c>
      <c r="H90" s="47" t="inlineStr">
        <is>
          <t>Other</t>
        </is>
      </c>
      <c r="I90" s="52" t="n"/>
      <c r="J90" s="52" t="n"/>
      <c r="K90" s="50">
        <f>Calc!$B$95</f>
        <v/>
      </c>
      <c r="L90" s="63">
        <f>IF(Calc!$B$97=0,"",K90/Calc!$B$97)</f>
        <v/>
      </c>
      <c r="M90" s="64" t="inlineStr">
        <is>
          <t>no — owner / capital</t>
        </is>
      </c>
    </row>
    <row r="91" ht="18" customHeight="1">
      <c r="B91" s="47">
        <f>Calc!$J$56</f>
        <v/>
      </c>
      <c r="C91" s="48">
        <f>IF(Calc!$J$56="","",Calc!$K$56)</f>
        <v/>
      </c>
      <c r="D91" s="49">
        <f>IF(Calc!$J$56="","",Calc!$L$56)</f>
        <v/>
      </c>
      <c r="E91" s="50">
        <f>IF(Calc!$J$56="","",Calc!$M$56)</f>
        <v/>
      </c>
      <c r="F91" s="50">
        <f>IF(Calc!$J$56="","",Calc!$N$56)</f>
        <v/>
      </c>
      <c r="G91" s="51">
        <f>IF(Calc!$J$56="","",Calc!$O$56)</f>
        <v/>
      </c>
      <c r="H91" s="65" t="inlineStr">
        <is>
          <t>TOTAL BOOKED</t>
        </is>
      </c>
      <c r="I91" s="66" t="n"/>
      <c r="J91" s="66" t="n"/>
      <c r="K91" s="67">
        <f>Calc!$B$97</f>
        <v/>
      </c>
      <c r="L91" s="68" t="n">
        <v>1</v>
      </c>
      <c r="M91" s="66" t="n"/>
    </row>
    <row r="92" ht="18" customHeight="1">
      <c r="B92" s="47">
        <f>Calc!$J$57</f>
        <v/>
      </c>
      <c r="C92" s="48">
        <f>IF(Calc!$J$57="","",Calc!$K$57)</f>
        <v/>
      </c>
      <c r="D92" s="49">
        <f>IF(Calc!$J$57="","",Calc!$L$57)</f>
        <v/>
      </c>
      <c r="E92" s="50">
        <f>IF(Calc!$J$57="","",Calc!$M$57)</f>
        <v/>
      </c>
      <c r="F92" s="50">
        <f>IF(Calc!$J$57="","",Calc!$N$57)</f>
        <v/>
      </c>
      <c r="G92" s="51">
        <f>IF(Calc!$J$57="","",Calc!$O$57)</f>
        <v/>
      </c>
      <c r="H92" s="7" t="inlineStr">
        <is>
          <t>Only Vehicle / Overhead / Financing reach the P&amp;L. Advances, payouts, owner's draw and asset buys are excluded.</t>
        </is>
      </c>
    </row>
    <row r="93" ht="18" customHeight="1">
      <c r="B93" s="47">
        <f>Calc!$J$58</f>
        <v/>
      </c>
      <c r="C93" s="48">
        <f>IF(Calc!$J$58="","",Calc!$K$58)</f>
        <v/>
      </c>
      <c r="D93" s="49">
        <f>IF(Calc!$J$58="","",Calc!$L$58)</f>
        <v/>
      </c>
      <c r="E93" s="50">
        <f>IF(Calc!$J$58="","",Calc!$M$58)</f>
        <v/>
      </c>
      <c r="F93" s="50">
        <f>IF(Calc!$J$58="","",Calc!$N$58)</f>
        <v/>
      </c>
      <c r="G93" s="51">
        <f>IF(Calc!$J$58="","",Calc!$O$58)</f>
        <v/>
      </c>
    </row>
    <row r="94" ht="18" customHeight="1">
      <c r="B94" s="47">
        <f>Calc!$J$59</f>
        <v/>
      </c>
      <c r="C94" s="48">
        <f>IF(Calc!$J$59="","",Calc!$K$59)</f>
        <v/>
      </c>
      <c r="D94" s="49">
        <f>IF(Calc!$J$59="","",Calc!$L$59)</f>
        <v/>
      </c>
      <c r="E94" s="50">
        <f>IF(Calc!$J$59="","",Calc!$M$59)</f>
        <v/>
      </c>
      <c r="F94" s="50">
        <f>IF(Calc!$J$59="","",Calc!$N$59)</f>
        <v/>
      </c>
      <c r="G94" s="51">
        <f>IF(Calc!$J$59="","",Calc!$O$59)</f>
        <v/>
      </c>
    </row>
    <row r="95" ht="18" customHeight="1">
      <c r="B95" s="47">
        <f>Calc!$J$60</f>
        <v/>
      </c>
      <c r="C95" s="48">
        <f>IF(Calc!$J$60="","",Calc!$K$60)</f>
        <v/>
      </c>
      <c r="D95" s="49">
        <f>IF(Calc!$J$60="","",Calc!$L$60)</f>
        <v/>
      </c>
      <c r="E95" s="50">
        <f>IF(Calc!$J$60="","",Calc!$M$60)</f>
        <v/>
      </c>
      <c r="F95" s="50">
        <f>IF(Calc!$J$60="","",Calc!$N$60)</f>
        <v/>
      </c>
      <c r="G95" s="51">
        <f>IF(Calc!$J$60="","",Calc!$O$60)</f>
        <v/>
      </c>
    </row>
    <row r="96">
      <c r="B96" s="7" t="inlineStr">
        <is>
          <t>Full list (20 destinations) is on the Calc sheet — add new lanes in Setup §8.</t>
        </is>
      </c>
    </row>
    <row r="99" ht="24" customHeight="1">
      <c r="B99" s="24" t="inlineStr">
        <is>
          <t>CREW SETTLEMENT  ·  selected month  (auto — mirrors the Payroll sheet)</t>
        </is>
      </c>
    </row>
    <row r="100">
      <c r="B100" s="45" t="inlineStr">
        <is>
          <t>CREW NAME</t>
        </is>
      </c>
      <c r="C100" s="45" t="inlineStr">
        <is>
          <t>ROLE</t>
        </is>
      </c>
      <c r="D100" s="45" t="inlineStr">
        <is>
          <t>TRIPS</t>
        </is>
      </c>
      <c r="E100" s="45" t="inlineStr">
        <is>
          <t>GROSS FEE HANDLED</t>
        </is>
      </c>
      <c r="F100" s="45" t="inlineStr">
        <is>
          <t>SHARE</t>
        </is>
      </c>
      <c r="G100" s="45" t="inlineStr">
        <is>
          <t>ALLOWANCE + REIMB.</t>
        </is>
      </c>
      <c r="H100" s="45" t="inlineStr">
        <is>
          <t>CASH ADVANCE</t>
        </is>
      </c>
      <c r="I100" s="45" t="inlineStr">
        <is>
          <t>PAYOUT RELEASED</t>
        </is>
      </c>
      <c r="J100" s="45" t="inlineStr">
        <is>
          <t>BALANCE</t>
        </is>
      </c>
      <c r="K100" s="45" t="inlineStr">
        <is>
          <t>STATUS</t>
        </is>
      </c>
    </row>
    <row r="101" ht="18" customHeight="1">
      <c r="B101" s="47">
        <f>Calc!$A$75</f>
        <v/>
      </c>
      <c r="C101" s="69">
        <f>Calc!$B$75</f>
        <v/>
      </c>
      <c r="D101" s="70">
        <f>IF(Calc!$A$75="","",Calc!$C$75)</f>
        <v/>
      </c>
      <c r="E101" s="50">
        <f>IF(Calc!$A$75="","",Calc!$D$75)</f>
        <v/>
      </c>
      <c r="F101" s="50">
        <f>IF(Calc!$A$75="","",Calc!$E$75)</f>
        <v/>
      </c>
      <c r="G101" s="50">
        <f>IF(Calc!$A$75="","",Calc!$F$75+Calc!$G$75)</f>
        <v/>
      </c>
      <c r="H101" s="50">
        <f>IF(Calc!$A$75="","",Calc!$H$75)</f>
        <v/>
      </c>
      <c r="I101" s="50">
        <f>IF(Calc!$A$75="","",Calc!$I$75)</f>
        <v/>
      </c>
      <c r="J101" s="71">
        <f>IF(Calc!$A$75="","",Calc!$J$75)</f>
        <v/>
      </c>
      <c r="K101" s="72">
        <f>IF(B101="","",IF(AND(Calc!$E$75=0,Calc!$H$75=0,Calc!$I$75=0),"",IF(J101&gt;0.5,"TO PAY",IF(J101&lt;-0.5,"OWES ADVANCE","SETTLED"))))</f>
        <v/>
      </c>
    </row>
    <row r="102" ht="18" customHeight="1">
      <c r="B102" s="47">
        <f>Calc!$A$76</f>
        <v/>
      </c>
      <c r="C102" s="69">
        <f>Calc!$B$76</f>
        <v/>
      </c>
      <c r="D102" s="70">
        <f>IF(Calc!$A$76="","",Calc!$C$76)</f>
        <v/>
      </c>
      <c r="E102" s="50">
        <f>IF(Calc!$A$76="","",Calc!$D$76)</f>
        <v/>
      </c>
      <c r="F102" s="50">
        <f>IF(Calc!$A$76="","",Calc!$E$76)</f>
        <v/>
      </c>
      <c r="G102" s="50">
        <f>IF(Calc!$A$76="","",Calc!$F$76+Calc!$G$76)</f>
        <v/>
      </c>
      <c r="H102" s="50">
        <f>IF(Calc!$A$76="","",Calc!$H$76)</f>
        <v/>
      </c>
      <c r="I102" s="50">
        <f>IF(Calc!$A$76="","",Calc!$I$76)</f>
        <v/>
      </c>
      <c r="J102" s="71">
        <f>IF(Calc!$A$76="","",Calc!$J$76)</f>
        <v/>
      </c>
      <c r="K102" s="72">
        <f>IF(B102="","",IF(AND(Calc!$E$76=0,Calc!$H$76=0,Calc!$I$76=0),"",IF(J102&gt;0.5,"TO PAY",IF(J102&lt;-0.5,"OWES ADVANCE","SETTLED"))))</f>
        <v/>
      </c>
    </row>
    <row r="103" ht="18" customHeight="1">
      <c r="B103" s="47">
        <f>Calc!$A$77</f>
        <v/>
      </c>
      <c r="C103" s="69">
        <f>Calc!$B$77</f>
        <v/>
      </c>
      <c r="D103" s="70">
        <f>IF(Calc!$A$77="","",Calc!$C$77)</f>
        <v/>
      </c>
      <c r="E103" s="50">
        <f>IF(Calc!$A$77="","",Calc!$D$77)</f>
        <v/>
      </c>
      <c r="F103" s="50">
        <f>IF(Calc!$A$77="","",Calc!$E$77)</f>
        <v/>
      </c>
      <c r="G103" s="50">
        <f>IF(Calc!$A$77="","",Calc!$F$77+Calc!$G$77)</f>
        <v/>
      </c>
      <c r="H103" s="50">
        <f>IF(Calc!$A$77="","",Calc!$H$77)</f>
        <v/>
      </c>
      <c r="I103" s="50">
        <f>IF(Calc!$A$77="","",Calc!$I$77)</f>
        <v/>
      </c>
      <c r="J103" s="71">
        <f>IF(Calc!$A$77="","",Calc!$J$77)</f>
        <v/>
      </c>
      <c r="K103" s="72">
        <f>IF(B103="","",IF(AND(Calc!$E$77=0,Calc!$H$77=0,Calc!$I$77=0),"",IF(J103&gt;0.5,"TO PAY",IF(J103&lt;-0.5,"OWES ADVANCE","SETTLED"))))</f>
        <v/>
      </c>
    </row>
    <row r="104" ht="18" customHeight="1">
      <c r="B104" s="47">
        <f>Calc!$A$78</f>
        <v/>
      </c>
      <c r="C104" s="69">
        <f>Calc!$B$78</f>
        <v/>
      </c>
      <c r="D104" s="70">
        <f>IF(Calc!$A$78="","",Calc!$C$78)</f>
        <v/>
      </c>
      <c r="E104" s="50">
        <f>IF(Calc!$A$78="","",Calc!$D$78)</f>
        <v/>
      </c>
      <c r="F104" s="50">
        <f>IF(Calc!$A$78="","",Calc!$E$78)</f>
        <v/>
      </c>
      <c r="G104" s="50">
        <f>IF(Calc!$A$78="","",Calc!$F$78+Calc!$G$78)</f>
        <v/>
      </c>
      <c r="H104" s="50">
        <f>IF(Calc!$A$78="","",Calc!$H$78)</f>
        <v/>
      </c>
      <c r="I104" s="50">
        <f>IF(Calc!$A$78="","",Calc!$I$78)</f>
        <v/>
      </c>
      <c r="J104" s="71">
        <f>IF(Calc!$A$78="","",Calc!$J$78)</f>
        <v/>
      </c>
      <c r="K104" s="72">
        <f>IF(B104="","",IF(AND(Calc!$E$78=0,Calc!$H$78=0,Calc!$I$78=0),"",IF(J104&gt;0.5,"TO PAY",IF(J104&lt;-0.5,"OWES ADVANCE","SETTLED"))))</f>
        <v/>
      </c>
    </row>
    <row r="105" ht="18" customHeight="1">
      <c r="B105" s="47">
        <f>Calc!$A$79</f>
        <v/>
      </c>
      <c r="C105" s="69">
        <f>Calc!$B$79</f>
        <v/>
      </c>
      <c r="D105" s="70">
        <f>IF(Calc!$A$79="","",Calc!$C$79)</f>
        <v/>
      </c>
      <c r="E105" s="50">
        <f>IF(Calc!$A$79="","",Calc!$D$79)</f>
        <v/>
      </c>
      <c r="F105" s="50">
        <f>IF(Calc!$A$79="","",Calc!$E$79)</f>
        <v/>
      </c>
      <c r="G105" s="50">
        <f>IF(Calc!$A$79="","",Calc!$F$79+Calc!$G$79)</f>
        <v/>
      </c>
      <c r="H105" s="50">
        <f>IF(Calc!$A$79="","",Calc!$H$79)</f>
        <v/>
      </c>
      <c r="I105" s="50">
        <f>IF(Calc!$A$79="","",Calc!$I$79)</f>
        <v/>
      </c>
      <c r="J105" s="71">
        <f>IF(Calc!$A$79="","",Calc!$J$79)</f>
        <v/>
      </c>
      <c r="K105" s="72">
        <f>IF(B105="","",IF(AND(Calc!$E$79=0,Calc!$H$79=0,Calc!$I$79=0),"",IF(J105&gt;0.5,"TO PAY",IF(J105&lt;-0.5,"OWES ADVANCE","SETTLED"))))</f>
        <v/>
      </c>
    </row>
    <row r="106" ht="18" customHeight="1">
      <c r="B106" s="47">
        <f>Calc!$A$80</f>
        <v/>
      </c>
      <c r="C106" s="69">
        <f>Calc!$B$80</f>
        <v/>
      </c>
      <c r="D106" s="70">
        <f>IF(Calc!$A$80="","",Calc!$C$80)</f>
        <v/>
      </c>
      <c r="E106" s="50">
        <f>IF(Calc!$A$80="","",Calc!$D$80)</f>
        <v/>
      </c>
      <c r="F106" s="50">
        <f>IF(Calc!$A$80="","",Calc!$E$80)</f>
        <v/>
      </c>
      <c r="G106" s="50">
        <f>IF(Calc!$A$80="","",Calc!$F$80+Calc!$G$80)</f>
        <v/>
      </c>
      <c r="H106" s="50">
        <f>IF(Calc!$A$80="","",Calc!$H$80)</f>
        <v/>
      </c>
      <c r="I106" s="50">
        <f>IF(Calc!$A$80="","",Calc!$I$80)</f>
        <v/>
      </c>
      <c r="J106" s="71">
        <f>IF(Calc!$A$80="","",Calc!$J$80)</f>
        <v/>
      </c>
      <c r="K106" s="72">
        <f>IF(B106="","",IF(AND(Calc!$E$80=0,Calc!$H$80=0,Calc!$I$80=0),"",IF(J106&gt;0.5,"TO PAY",IF(J106&lt;-0.5,"OWES ADVANCE","SETTLED"))))</f>
        <v/>
      </c>
    </row>
    <row r="107" ht="18" customHeight="1">
      <c r="B107" s="47">
        <f>Calc!$A$81</f>
        <v/>
      </c>
      <c r="C107" s="69">
        <f>Calc!$B$81</f>
        <v/>
      </c>
      <c r="D107" s="70">
        <f>IF(Calc!$A$81="","",Calc!$C$81)</f>
        <v/>
      </c>
      <c r="E107" s="50">
        <f>IF(Calc!$A$81="","",Calc!$D$81)</f>
        <v/>
      </c>
      <c r="F107" s="50">
        <f>IF(Calc!$A$81="","",Calc!$E$81)</f>
        <v/>
      </c>
      <c r="G107" s="50">
        <f>IF(Calc!$A$81="","",Calc!$F$81+Calc!$G$81)</f>
        <v/>
      </c>
      <c r="H107" s="50">
        <f>IF(Calc!$A$81="","",Calc!$H$81)</f>
        <v/>
      </c>
      <c r="I107" s="50">
        <f>IF(Calc!$A$81="","",Calc!$I$81)</f>
        <v/>
      </c>
      <c r="J107" s="71">
        <f>IF(Calc!$A$81="","",Calc!$J$81)</f>
        <v/>
      </c>
      <c r="K107" s="72">
        <f>IF(B107="","",IF(AND(Calc!$E$81=0,Calc!$H$81=0,Calc!$I$81=0),"",IF(J107&gt;0.5,"TO PAY",IF(J107&lt;-0.5,"OWES ADVANCE","SETTLED"))))</f>
        <v/>
      </c>
    </row>
    <row r="108" ht="18" customHeight="1">
      <c r="B108" s="47">
        <f>Calc!$A$82</f>
        <v/>
      </c>
      <c r="C108" s="69">
        <f>Calc!$B$82</f>
        <v/>
      </c>
      <c r="D108" s="70">
        <f>IF(Calc!$A$82="","",Calc!$C$82)</f>
        <v/>
      </c>
      <c r="E108" s="50">
        <f>IF(Calc!$A$82="","",Calc!$D$82)</f>
        <v/>
      </c>
      <c r="F108" s="50">
        <f>IF(Calc!$A$82="","",Calc!$E$82)</f>
        <v/>
      </c>
      <c r="G108" s="50">
        <f>IF(Calc!$A$82="","",Calc!$F$82+Calc!$G$82)</f>
        <v/>
      </c>
      <c r="H108" s="50">
        <f>IF(Calc!$A$82="","",Calc!$H$82)</f>
        <v/>
      </c>
      <c r="I108" s="50">
        <f>IF(Calc!$A$82="","",Calc!$I$82)</f>
        <v/>
      </c>
      <c r="J108" s="71">
        <f>IF(Calc!$A$82="","",Calc!$J$82)</f>
        <v/>
      </c>
      <c r="K108" s="72">
        <f>IF(B108="","",IF(AND(Calc!$E$82=0,Calc!$H$82=0,Calc!$I$82=0),"",IF(J108&gt;0.5,"TO PAY",IF(J108&lt;-0.5,"OWES ADVANCE","SETTLED"))))</f>
        <v/>
      </c>
    </row>
    <row r="109" ht="18" customHeight="1">
      <c r="B109" s="47">
        <f>Calc!$A$83</f>
        <v/>
      </c>
      <c r="C109" s="69">
        <f>Calc!$B$83</f>
        <v/>
      </c>
      <c r="D109" s="70">
        <f>IF(Calc!$A$83="","",Calc!$C$83)</f>
        <v/>
      </c>
      <c r="E109" s="50">
        <f>IF(Calc!$A$83="","",Calc!$D$83)</f>
        <v/>
      </c>
      <c r="F109" s="50">
        <f>IF(Calc!$A$83="","",Calc!$E$83)</f>
        <v/>
      </c>
      <c r="G109" s="50">
        <f>IF(Calc!$A$83="","",Calc!$F$83+Calc!$G$83)</f>
        <v/>
      </c>
      <c r="H109" s="50">
        <f>IF(Calc!$A$83="","",Calc!$H$83)</f>
        <v/>
      </c>
      <c r="I109" s="50">
        <f>IF(Calc!$A$83="","",Calc!$I$83)</f>
        <v/>
      </c>
      <c r="J109" s="71">
        <f>IF(Calc!$A$83="","",Calc!$J$83)</f>
        <v/>
      </c>
      <c r="K109" s="72">
        <f>IF(B109="","",IF(AND(Calc!$E$83=0,Calc!$H$83=0,Calc!$I$83=0),"",IF(J109&gt;0.5,"TO PAY",IF(J109&lt;-0.5,"OWES ADVANCE","SETTLED"))))</f>
        <v/>
      </c>
    </row>
    <row r="110" ht="18" customHeight="1">
      <c r="B110" s="47">
        <f>Calc!$A$84</f>
        <v/>
      </c>
      <c r="C110" s="69">
        <f>Calc!$B$84</f>
        <v/>
      </c>
      <c r="D110" s="70">
        <f>IF(Calc!$A$84="","",Calc!$C$84)</f>
        <v/>
      </c>
      <c r="E110" s="50">
        <f>IF(Calc!$A$84="","",Calc!$D$84)</f>
        <v/>
      </c>
      <c r="F110" s="50">
        <f>IF(Calc!$A$84="","",Calc!$E$84)</f>
        <v/>
      </c>
      <c r="G110" s="50">
        <f>IF(Calc!$A$84="","",Calc!$F$84+Calc!$G$84)</f>
        <v/>
      </c>
      <c r="H110" s="50">
        <f>IF(Calc!$A$84="","",Calc!$H$84)</f>
        <v/>
      </c>
      <c r="I110" s="50">
        <f>IF(Calc!$A$84="","",Calc!$I$84)</f>
        <v/>
      </c>
      <c r="J110" s="71">
        <f>IF(Calc!$A$84="","",Calc!$J$84)</f>
        <v/>
      </c>
      <c r="K110" s="72">
        <f>IF(B110="","",IF(AND(Calc!$E$84=0,Calc!$H$84=0,Calc!$I$84=0),"",IF(J110&gt;0.5,"TO PAY",IF(J110&lt;-0.5,"OWES ADVANCE","SETTLED"))))</f>
        <v/>
      </c>
    </row>
    <row r="111" ht="18" customHeight="1">
      <c r="B111" s="47">
        <f>Calc!$A$85</f>
        <v/>
      </c>
      <c r="C111" s="69">
        <f>Calc!$B$85</f>
        <v/>
      </c>
      <c r="D111" s="70">
        <f>IF(Calc!$A$85="","",Calc!$C$85)</f>
        <v/>
      </c>
      <c r="E111" s="50">
        <f>IF(Calc!$A$85="","",Calc!$D$85)</f>
        <v/>
      </c>
      <c r="F111" s="50">
        <f>IF(Calc!$A$85="","",Calc!$E$85)</f>
        <v/>
      </c>
      <c r="G111" s="50">
        <f>IF(Calc!$A$85="","",Calc!$F$85+Calc!$G$85)</f>
        <v/>
      </c>
      <c r="H111" s="50">
        <f>IF(Calc!$A$85="","",Calc!$H$85)</f>
        <v/>
      </c>
      <c r="I111" s="50">
        <f>IF(Calc!$A$85="","",Calc!$I$85)</f>
        <v/>
      </c>
      <c r="J111" s="71">
        <f>IF(Calc!$A$85="","",Calc!$J$85)</f>
        <v/>
      </c>
      <c r="K111" s="72">
        <f>IF(B111="","",IF(AND(Calc!$E$85=0,Calc!$H$85=0,Calc!$I$85=0),"",IF(J111&gt;0.5,"TO PAY",IF(J111&lt;-0.5,"OWES ADVANCE","SETTLED"))))</f>
        <v/>
      </c>
    </row>
    <row r="112" ht="18" customHeight="1">
      <c r="B112" s="47">
        <f>Calc!$A$86</f>
        <v/>
      </c>
      <c r="C112" s="69">
        <f>Calc!$B$86</f>
        <v/>
      </c>
      <c r="D112" s="70">
        <f>IF(Calc!$A$86="","",Calc!$C$86)</f>
        <v/>
      </c>
      <c r="E112" s="50">
        <f>IF(Calc!$A$86="","",Calc!$D$86)</f>
        <v/>
      </c>
      <c r="F112" s="50">
        <f>IF(Calc!$A$86="","",Calc!$E$86)</f>
        <v/>
      </c>
      <c r="G112" s="50">
        <f>IF(Calc!$A$86="","",Calc!$F$86+Calc!$G$86)</f>
        <v/>
      </c>
      <c r="H112" s="50">
        <f>IF(Calc!$A$86="","",Calc!$H$86)</f>
        <v/>
      </c>
      <c r="I112" s="50">
        <f>IF(Calc!$A$86="","",Calc!$I$86)</f>
        <v/>
      </c>
      <c r="J112" s="71">
        <f>IF(Calc!$A$86="","",Calc!$J$86)</f>
        <v/>
      </c>
      <c r="K112" s="72">
        <f>IF(B112="","",IF(AND(Calc!$E$86=0,Calc!$H$86=0,Calc!$I$86=0),"",IF(J112&gt;0.5,"TO PAY",IF(J112&lt;-0.5,"OWES ADVANCE","SETTLED"))))</f>
        <v/>
      </c>
    </row>
    <row r="113">
      <c r="B113" s="73" t="inlineStr">
        <is>
          <t>TOTAL</t>
        </is>
      </c>
      <c r="C113" s="74" t="n"/>
      <c r="D113" s="75">
        <f>SUM(D101:D112)</f>
        <v/>
      </c>
      <c r="E113" s="76">
        <f>SUM(E101:E112)</f>
        <v/>
      </c>
      <c r="F113" s="76">
        <f>SUM(F101:F112)</f>
        <v/>
      </c>
      <c r="G113" s="76">
        <f>SUM(G101:G112)</f>
        <v/>
      </c>
      <c r="H113" s="76">
        <f>SUM(H101:H112)</f>
        <v/>
      </c>
      <c r="I113" s="76">
        <f>SUM(I101:I112)</f>
        <v/>
      </c>
      <c r="J113" s="76">
        <f>SUM(J101:J112)</f>
        <v/>
      </c>
      <c r="K113" s="74" t="n"/>
    </row>
    <row r="115">
      <c r="B115" s="77" t="inlineStr">
        <is>
          <t>Every number above is a live formula. Nothing on this page is typed by hand — only the two filters at the top.</t>
        </is>
      </c>
    </row>
  </sheetData>
  <mergeCells count="106">
    <mergeCell ref="F68:G68"/>
    <mergeCell ref="H70:M70"/>
    <mergeCell ref="H9:I9"/>
    <mergeCell ref="J9:K9"/>
    <mergeCell ref="B12:C12"/>
    <mergeCell ref="L12:M12"/>
    <mergeCell ref="D13:E13"/>
    <mergeCell ref="B67:C67"/>
    <mergeCell ref="B61:C61"/>
    <mergeCell ref="H86:J86"/>
    <mergeCell ref="B13:C13"/>
    <mergeCell ref="D7:E7"/>
    <mergeCell ref="H72:I72"/>
    <mergeCell ref="F13:G13"/>
    <mergeCell ref="H13:I13"/>
    <mergeCell ref="B49:C49"/>
    <mergeCell ref="F56:G56"/>
    <mergeCell ref="B47:G47"/>
    <mergeCell ref="B55:C55"/>
    <mergeCell ref="B64:C64"/>
    <mergeCell ref="B51:C51"/>
    <mergeCell ref="H71:I71"/>
    <mergeCell ref="B63:C63"/>
    <mergeCell ref="F57:G57"/>
    <mergeCell ref="A2:M2"/>
    <mergeCell ref="L7:M7"/>
    <mergeCell ref="F54:G54"/>
    <mergeCell ref="F63:G63"/>
    <mergeCell ref="B66:C66"/>
    <mergeCell ref="H74:I74"/>
    <mergeCell ref="B11:C11"/>
    <mergeCell ref="D11:E11"/>
    <mergeCell ref="B99:M99"/>
    <mergeCell ref="B53:C53"/>
    <mergeCell ref="F66:G66"/>
    <mergeCell ref="H11:I11"/>
    <mergeCell ref="J11:K11"/>
    <mergeCell ref="F62:G62"/>
    <mergeCell ref="B5:M5"/>
    <mergeCell ref="H75:I75"/>
    <mergeCell ref="D9:E9"/>
    <mergeCell ref="F9:G9"/>
    <mergeCell ref="F61:G61"/>
    <mergeCell ref="H12:I12"/>
    <mergeCell ref="J12:K12"/>
    <mergeCell ref="F48:G48"/>
    <mergeCell ref="F64:G64"/>
    <mergeCell ref="B54:C54"/>
    <mergeCell ref="H89:J89"/>
    <mergeCell ref="B7:C7"/>
    <mergeCell ref="H88:J88"/>
    <mergeCell ref="B56:C56"/>
    <mergeCell ref="F7:G7"/>
    <mergeCell ref="B58:C58"/>
    <mergeCell ref="B52:C52"/>
    <mergeCell ref="H73:I73"/>
    <mergeCell ref="H90:J90"/>
    <mergeCell ref="B84:G84"/>
    <mergeCell ref="B60:C60"/>
    <mergeCell ref="H87:J87"/>
    <mergeCell ref="F50:G50"/>
    <mergeCell ref="L8:M8"/>
    <mergeCell ref="B57:C57"/>
    <mergeCell ref="F8:G8"/>
    <mergeCell ref="A1:M1"/>
    <mergeCell ref="B9:C9"/>
    <mergeCell ref="L9:M9"/>
    <mergeCell ref="D12:E12"/>
    <mergeCell ref="H77:I77"/>
    <mergeCell ref="B115:M115"/>
    <mergeCell ref="F49:G49"/>
    <mergeCell ref="L11:M11"/>
    <mergeCell ref="F11:G11"/>
    <mergeCell ref="B62:C62"/>
    <mergeCell ref="H85:J85"/>
    <mergeCell ref="B59:C59"/>
    <mergeCell ref="H78:I78"/>
    <mergeCell ref="F65:G65"/>
    <mergeCell ref="J13:K13"/>
    <mergeCell ref="L13:M13"/>
    <mergeCell ref="F59:G59"/>
    <mergeCell ref="F55:G55"/>
    <mergeCell ref="F12:G12"/>
    <mergeCell ref="B48:C48"/>
    <mergeCell ref="H84:M84"/>
    <mergeCell ref="F51:G51"/>
    <mergeCell ref="B8:C8"/>
    <mergeCell ref="H7:I7"/>
    <mergeCell ref="J7:K7"/>
    <mergeCell ref="H92:M92"/>
    <mergeCell ref="F58:G58"/>
    <mergeCell ref="H91:J91"/>
    <mergeCell ref="B65:C65"/>
    <mergeCell ref="F52:G52"/>
    <mergeCell ref="F67:G67"/>
    <mergeCell ref="D8:E8"/>
    <mergeCell ref="B68:C68"/>
    <mergeCell ref="H4:M4"/>
    <mergeCell ref="F60:G60"/>
    <mergeCell ref="H76:I76"/>
    <mergeCell ref="B50:C50"/>
    <mergeCell ref="B96:G96"/>
    <mergeCell ref="H8:I8"/>
    <mergeCell ref="B70:G70"/>
    <mergeCell ref="J8:K8"/>
    <mergeCell ref="F53:G53"/>
  </mergeCells>
  <conditionalFormatting sqref="B5:M5">
    <cfRule type="expression" priority="1" dxfId="0">
      <formula>LEFT($B$5,1)="⚠"</formula>
    </cfRule>
    <cfRule type="expression" priority="2" dxfId="1">
      <formula>LEFT($B$5,1)="ℹ"</formula>
    </cfRule>
    <cfRule type="expression" priority="3" dxfId="2">
      <formula>LEN($B$5)=0</formula>
    </cfRule>
  </conditionalFormatting>
  <conditionalFormatting sqref="B8">
    <cfRule type="cellIs" priority="4" operator="lessThan" dxfId="3">
      <formula>0</formula>
    </cfRule>
  </conditionalFormatting>
  <conditionalFormatting sqref="D8">
    <cfRule type="cellIs" priority="5" operator="lessThan" dxfId="3">
      <formula>0</formula>
    </cfRule>
  </conditionalFormatting>
  <conditionalFormatting sqref="F8">
    <cfRule type="cellIs" priority="6" operator="lessThan" dxfId="3">
      <formula>0</formula>
    </cfRule>
  </conditionalFormatting>
  <conditionalFormatting sqref="H8">
    <cfRule type="cellIs" priority="7" operator="lessThan" dxfId="3">
      <formula>0</formula>
    </cfRule>
  </conditionalFormatting>
  <conditionalFormatting sqref="J8">
    <cfRule type="cellIs" priority="8" operator="lessThan" dxfId="3">
      <formula>0</formula>
    </cfRule>
  </conditionalFormatting>
  <conditionalFormatting sqref="L8">
    <cfRule type="cellIs" priority="9" operator="lessThan" dxfId="3">
      <formula>0</formula>
    </cfRule>
  </conditionalFormatting>
  <conditionalFormatting sqref="B12">
    <cfRule type="cellIs" priority="10" operator="lessThan" dxfId="3">
      <formula>0</formula>
    </cfRule>
  </conditionalFormatting>
  <conditionalFormatting sqref="D12">
    <cfRule type="cellIs" priority="11" operator="lessThan" dxfId="3">
      <formula>0</formula>
    </cfRule>
  </conditionalFormatting>
  <conditionalFormatting sqref="F12">
    <cfRule type="cellIs" priority="12" operator="lessThan" dxfId="3">
      <formula>0</formula>
    </cfRule>
  </conditionalFormatting>
  <conditionalFormatting sqref="H12">
    <cfRule type="cellIs" priority="13" operator="lessThan" dxfId="3">
      <formula>0</formula>
    </cfRule>
  </conditionalFormatting>
  <conditionalFormatting sqref="J12">
    <cfRule type="cellIs" priority="14" operator="lessThan" dxfId="3">
      <formula>0</formula>
    </cfRule>
  </conditionalFormatting>
  <conditionalFormatting sqref="L12">
    <cfRule type="cellIs" priority="15" operator="lessThan" dxfId="3">
      <formula>0</formula>
    </cfRule>
  </conditionalFormatting>
  <conditionalFormatting sqref="D49">
    <cfRule type="cellIs" priority="16" operator="lessThan" dxfId="4">
      <formula>0</formula>
    </cfRule>
  </conditionalFormatting>
  <conditionalFormatting sqref="D50">
    <cfRule type="cellIs" priority="17" operator="lessThan" dxfId="4">
      <formula>0</formula>
    </cfRule>
  </conditionalFormatting>
  <conditionalFormatting sqref="D51">
    <cfRule type="cellIs" priority="18" operator="lessThan" dxfId="4">
      <formula>0</formula>
    </cfRule>
  </conditionalFormatting>
  <conditionalFormatting sqref="D52">
    <cfRule type="cellIs" priority="19" operator="lessThan" dxfId="4">
      <formula>0</formula>
    </cfRule>
  </conditionalFormatting>
  <conditionalFormatting sqref="D53">
    <cfRule type="cellIs" priority="20" operator="lessThan" dxfId="4">
      <formula>0</formula>
    </cfRule>
  </conditionalFormatting>
  <conditionalFormatting sqref="D54">
    <cfRule type="cellIs" priority="21" operator="lessThan" dxfId="4">
      <formula>0</formula>
    </cfRule>
  </conditionalFormatting>
  <conditionalFormatting sqref="D55">
    <cfRule type="cellIs" priority="22" operator="lessThan" dxfId="4">
      <formula>0</formula>
    </cfRule>
  </conditionalFormatting>
  <conditionalFormatting sqref="D56">
    <cfRule type="cellIs" priority="23" operator="lessThan" dxfId="4">
      <formula>0</formula>
    </cfRule>
  </conditionalFormatting>
  <conditionalFormatting sqref="D57">
    <cfRule type="cellIs" priority="24" operator="lessThan" dxfId="4">
      <formula>0</formula>
    </cfRule>
  </conditionalFormatting>
  <conditionalFormatting sqref="D58">
    <cfRule type="cellIs" priority="25" operator="lessThan" dxfId="4">
      <formula>0</formula>
    </cfRule>
  </conditionalFormatting>
  <conditionalFormatting sqref="D59">
    <cfRule type="cellIs" priority="26" operator="lessThan" dxfId="4">
      <formula>0</formula>
    </cfRule>
  </conditionalFormatting>
  <conditionalFormatting sqref="D60">
    <cfRule type="cellIs" priority="27" operator="lessThan" dxfId="4">
      <formula>0</formula>
    </cfRule>
  </conditionalFormatting>
  <conditionalFormatting sqref="D61">
    <cfRule type="cellIs" priority="28" operator="lessThan" dxfId="4">
      <formula>0</formula>
    </cfRule>
  </conditionalFormatting>
  <conditionalFormatting sqref="D62">
    <cfRule type="cellIs" priority="29" operator="lessThan" dxfId="4">
      <formula>0</formula>
    </cfRule>
  </conditionalFormatting>
  <conditionalFormatting sqref="D63">
    <cfRule type="cellIs" priority="30" operator="lessThan" dxfId="4">
      <formula>0</formula>
    </cfRule>
  </conditionalFormatting>
  <conditionalFormatting sqref="D64">
    <cfRule type="cellIs" priority="31" operator="lessThan" dxfId="4">
      <formula>0</formula>
    </cfRule>
  </conditionalFormatting>
  <conditionalFormatting sqref="D65">
    <cfRule type="cellIs" priority="32" operator="lessThan" dxfId="4">
      <formula>0</formula>
    </cfRule>
  </conditionalFormatting>
  <conditionalFormatting sqref="D66">
    <cfRule type="cellIs" priority="33" operator="lessThan" dxfId="4">
      <formula>0</formula>
    </cfRule>
  </conditionalFormatting>
  <conditionalFormatting sqref="D67">
    <cfRule type="cellIs" priority="34" operator="lessThan" dxfId="4">
      <formula>0</formula>
    </cfRule>
  </conditionalFormatting>
  <conditionalFormatting sqref="D68">
    <cfRule type="cellIs" priority="35" operator="lessThan" dxfId="4">
      <formula>0</formula>
    </cfRule>
  </conditionalFormatting>
  <conditionalFormatting sqref="F72:F82">
    <cfRule type="cellIs" priority="36" operator="lessThan" dxfId="5">
      <formula>0</formula>
    </cfRule>
  </conditionalFormatting>
  <conditionalFormatting sqref="J101:J113">
    <cfRule type="cellIs" priority="37" operator="lessThan" dxfId="5">
      <formula>-0.5</formula>
    </cfRule>
    <cfRule type="cellIs" priority="38" operator="greaterThan" dxfId="6">
      <formula>0.5</formula>
    </cfRule>
  </conditionalFormatting>
  <dataValidations count="2">
    <dataValidation sqref="C4" showDropDown="0" showInputMessage="1" showErrorMessage="1" allowBlank="1" errorTitle="Reporting month" error="Pick a month from the list (this drives the whole dashboard)." promptTitle="Reporting month" prompt="Pick a month from the list (this drives the whole dashboard)." type="list" errorStyle="warning">
      <formula1>=Calc!$AA$2:$AA$25</formula1>
    </dataValidation>
    <dataValidation sqref="F4" showDropDown="0" showInputMessage="1" showErrorMessage="1" allowBlank="1" errorTitle="Truck filter" error="Pick 'All' or one truck." promptTitle="Truck filter" prompt="Pick 'All' or one truck." type="list" errorStyle="warning">
      <formula1>=Calc!$AB$1:$AB$11</formula1>
    </dataValidation>
  </dataValidations>
  <hyperlinks>
    <hyperlink xmlns:r="http://schemas.openxmlformats.org/officeDocument/2006/relationships" ref="C3" r:id="rId1"/>
    <hyperlink xmlns:r="http://schemas.openxmlformats.org/officeDocument/2006/relationships" ref="D3" r:id="rId2"/>
    <hyperlink xmlns:r="http://schemas.openxmlformats.org/officeDocument/2006/relationships" ref="E3" r:id="rId3"/>
    <hyperlink xmlns:r="http://schemas.openxmlformats.org/officeDocument/2006/relationships" ref="F3" r:id="rId4"/>
    <hyperlink xmlns:r="http://schemas.openxmlformats.org/officeDocument/2006/relationships" ref="G3" r:id="rId5"/>
    <hyperlink xmlns:r="http://schemas.openxmlformats.org/officeDocument/2006/relationships" ref="H3" r:id="rId6"/>
    <hyperlink xmlns:r="http://schemas.openxmlformats.org/officeDocument/2006/relationships" ref="I3" r:id="rId7"/>
    <hyperlink xmlns:r="http://schemas.openxmlformats.org/officeDocument/2006/relationships" ref="J3" r:id="rId8"/>
    <hyperlink xmlns:r="http://schemas.openxmlformats.org/officeDocument/2006/relationships" ref="K3" r:id="rId9"/>
    <hyperlink xmlns:r="http://schemas.openxmlformats.org/officeDocument/2006/relationships" ref="L3" r:id="rId10"/>
  </hyperlinks>
  <pageMargins left="0.75" right="0.75" top="1" bottom="1" header="0.5" footer="0.5"/>
  <pageSetup orientation="landscape" fitToHeight="0" fitToWidth="1"/>
  <drawing xmlns:r="http://schemas.openxmlformats.org/officeDocument/2006/relationships" r:id="rId11"/>
</worksheet>
</file>

<file path=xl/worksheets/sheet2.xml><?xml version="1.0" encoding="utf-8"?>
<worksheet xmlns="http://schemas.openxmlformats.org/spreadsheetml/2006/main">
  <sheetPr>
    <tabColor rgb="000E7C7B"/>
    <outlinePr summaryBelow="1" summaryRight="1"/>
    <pageSetUpPr fitToPage="1"/>
  </sheetPr>
  <dimension ref="A1:Z10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2" customWidth="1" min="3" max="3"/>
    <col width="16" customWidth="1" min="4" max="4"/>
    <col width="16" customWidth="1" min="5" max="5"/>
    <col width="18" customWidth="1" min="6" max="6"/>
    <col width="23" customWidth="1" min="7" max="7"/>
    <col width="8" customWidth="1" min="8" max="8"/>
    <col width="11" customWidth="1" min="9" max="9"/>
    <col width="9" customWidth="1" min="10" max="10"/>
    <col width="12" customWidth="1" min="11" max="11"/>
    <col width="10" customWidth="1" min="12" max="12"/>
    <col width="12" customWidth="1" min="13" max="13"/>
    <col width="11" customWidth="1" min="14" max="14"/>
    <col width="11" customWidth="1" min="15" max="15"/>
    <col width="11" customWidth="1" min="16" max="16"/>
    <col width="13" customWidth="1" min="17" max="17"/>
    <col width="11" customWidth="1" min="18" max="18"/>
    <col width="11" customWidth="1" min="19" max="19"/>
    <col width="12" customWidth="1" min="20" max="20"/>
    <col width="11" customWidth="1" min="21" max="21"/>
    <col width="13" customWidth="1" min="22" max="22"/>
    <col width="10" customWidth="1" min="23" max="23"/>
    <col width="26" customWidth="1" min="24" max="24"/>
    <col width="2" customWidth="1" min="25" max="25"/>
    <col hidden="1" width="13" customWidth="1" min="26" max="26"/>
  </cols>
  <sheetData>
    <row r="1" ht="40" customHeight="1">
      <c r="A1" s="78" t="inlineStr">
        <is>
          <t>🚚  TRIPS  —  one row per delivery  (this is the only sheet you fill in daily)</t>
        </is>
      </c>
    </row>
    <row r="2" ht="20" customHeight="1">
      <c r="A2" s="79" t="inlineStr">
        <is>
          <t>Type only in the WHITE columns. Grey columns calculate themselves. Leave the fuel surcharge blank to use the 18% default — leave allowance blank to use the default.</t>
        </is>
      </c>
    </row>
    <row r="3" ht="18" customHeight="1">
      <c r="A3" s="80" t="inlineStr">
        <is>
          <t>ALL-TIME TOTALS  →</t>
        </is>
      </c>
      <c r="B3" s="81">
        <f>COUNT(5:1004)&amp;" trips logged"</f>
        <v/>
      </c>
      <c r="H3" s="82">
        <f>SUM(H5:H1004)</f>
        <v/>
      </c>
      <c r="K3" s="83">
        <f>SUM(K5:K1004)</f>
        <v/>
      </c>
      <c r="L3" s="83">
        <f>SUM(L5:L1004)</f>
        <v/>
      </c>
      <c r="M3" s="83">
        <f>SUM(M5:M1004)</f>
        <v/>
      </c>
      <c r="N3" s="83">
        <f>SUM(N5:N1004)</f>
        <v/>
      </c>
      <c r="O3" s="83">
        <f>SUM(O5:O1004)</f>
        <v/>
      </c>
      <c r="P3" s="83">
        <f>SUM(P5:P1004)</f>
        <v/>
      </c>
      <c r="Q3" s="83">
        <f>SUM(Q5:Q1004)</f>
        <v/>
      </c>
      <c r="R3" s="83">
        <f>SUM(R5:R1004)</f>
        <v/>
      </c>
      <c r="S3" s="83">
        <f>SUM(S5:S1004)</f>
        <v/>
      </c>
      <c r="T3" s="83">
        <f>SUM(T5:T1004)</f>
        <v/>
      </c>
      <c r="U3" s="83">
        <f>SUM(U5:U1004)</f>
        <v/>
      </c>
      <c r="V3" s="83">
        <f>SUM(V5:V1004)</f>
        <v/>
      </c>
    </row>
    <row r="4" ht="38" customHeight="1">
      <c r="A4" s="84" t="inlineStr">
        <is>
          <t>DATE</t>
        </is>
      </c>
      <c r="B4" s="84" t="inlineStr">
        <is>
          <t>INVOICE / DR NO.</t>
        </is>
      </c>
      <c r="C4" s="84" t="inlineStr">
        <is>
          <t>TRUCK</t>
        </is>
      </c>
      <c r="D4" s="84" t="inlineStr">
        <is>
          <t>DRIVER</t>
        </is>
      </c>
      <c r="E4" s="84" t="inlineStr">
        <is>
          <t>HELPER</t>
        </is>
      </c>
      <c r="F4" s="84" t="inlineStr">
        <is>
          <t>SOURCE</t>
        </is>
      </c>
      <c r="G4" s="84" t="inlineStr">
        <is>
          <t>DESTINATION</t>
        </is>
      </c>
      <c r="H4" s="84" t="inlineStr">
        <is>
          <t>TONS</t>
        </is>
      </c>
      <c r="I4" s="85" t="inlineStr">
        <is>
          <t>RATE /
TON</t>
        </is>
      </c>
      <c r="J4" s="84" t="inlineStr">
        <is>
          <t>FUEL
SURCH. %</t>
        </is>
      </c>
      <c r="K4" s="85" t="inlineStr">
        <is>
          <t>GROSS
FEE</t>
        </is>
      </c>
      <c r="L4" s="85" t="inlineStr">
        <is>
          <t>2% TAX</t>
        </is>
      </c>
      <c r="M4" s="85" t="inlineStr">
        <is>
          <t>NET FEE</t>
        </is>
      </c>
      <c r="N4" s="85" t="inlineStr">
        <is>
          <t>DRIVER
PAY</t>
        </is>
      </c>
      <c r="O4" s="85" t="inlineStr">
        <is>
          <t>HELPER
PAY</t>
        </is>
      </c>
      <c r="P4" s="84" t="inlineStr">
        <is>
          <t>ALLOWANCE</t>
        </is>
      </c>
      <c r="Q4" s="84" t="inlineStr">
        <is>
          <t>REIMBURSABLE</t>
        </is>
      </c>
      <c r="R4" s="84" t="inlineStr">
        <is>
          <t>FUEL COST</t>
        </is>
      </c>
      <c r="S4" s="84" t="inlineStr">
        <is>
          <t>TOLL +
PARKING</t>
        </is>
      </c>
      <c r="T4" s="84" t="inlineStr">
        <is>
          <t>OTHER TRIP
COST</t>
        </is>
      </c>
      <c r="U4" s="85" t="inlineStr">
        <is>
          <t>DIRECT
COST</t>
        </is>
      </c>
      <c r="V4" s="85" t="inlineStr">
        <is>
          <t>TRIP NET
PROFIT</t>
        </is>
      </c>
      <c r="W4" s="84" t="inlineStr">
        <is>
          <t>BILLING</t>
        </is>
      </c>
      <c r="X4" s="84" t="inlineStr">
        <is>
          <t>REMARKS</t>
        </is>
      </c>
    </row>
    <row r="5">
      <c r="A5" s="86" t="n">
        <v>46235</v>
      </c>
      <c r="B5" s="87" t="inlineStr">
        <is>
          <t>DR-1001</t>
        </is>
      </c>
      <c r="C5" s="87" t="inlineStr">
        <is>
          <t>TRUCK 1</t>
        </is>
      </c>
      <c r="D5" s="88" t="inlineStr">
        <is>
          <t>R. Dela Cruz</t>
        </is>
      </c>
      <c r="E5" s="88" t="inlineStr">
        <is>
          <t>J. Santos</t>
        </is>
      </c>
      <c r="F5" s="88" t="inlineStr">
        <is>
          <t>BATAAN</t>
        </is>
      </c>
      <c r="G5" s="88" t="inlineStr">
        <is>
          <t>TARLAC</t>
        </is>
      </c>
      <c r="H5" s="89" t="n">
        <v>17</v>
      </c>
      <c r="I5" s="90">
        <f>IF($G5="","",IF($F5="",IFERROR(INDEX(Setup!$C$21:$C$60,MATCH("|"&amp;UPPER(TRIM($G5)),Setup!$Q$21:$Q$60,0)),"NO RATE"),IFERROR(INDEX(Setup!$C$21:$C$60,MATCH(UPPER(TRIM($F5))&amp;"|"&amp;UPPER(TRIM($G5)),Setup!$P$21:$P$60,0)),IFERROR(INDEX(Setup!$C$21:$C$60,MATCH(UPPER(TRIM($G5))&amp;"|"&amp;UPPER(TRIM($F5)),Setup!$P$21:$P$60,0)),"NO RATE"))))</f>
        <v/>
      </c>
      <c r="J5" s="91" t="n"/>
      <c r="K5" s="90">
        <f>IF(OR($G5="",$H5="",NOT(ISNUMBER($I5))),"",ROUND($H5*$I5*(1+IF($J5="",Setup!$B$16,$J5)),2))</f>
        <v/>
      </c>
      <c r="L5" s="90">
        <f>IF($K5="","",ROUND($K5*Setup!$B$13,2))</f>
        <v/>
      </c>
      <c r="M5" s="90">
        <f>IF($K5="","",$K5-$L5)</f>
        <v/>
      </c>
      <c r="N5" s="90">
        <f>IF(OR($M5="",$D5=""),"",ROUND($M5*IFERROR(IF(VLOOKUP($D5,Setup!$A$76:$C$87,3,FALSE)="",Setup!$B$14,VLOOKUP($D5,Setup!$A$76:$C$87,3,FALSE)),Setup!$B$14),2))</f>
        <v/>
      </c>
      <c r="O5" s="90">
        <f>IF(OR($M5="",$E5=""),"",ROUND($M5*IFERROR(IF(VLOOKUP($E5,Setup!$A$76:$C$87,3,FALSE)="",Setup!$B$15,VLOOKUP($E5,Setup!$A$76:$C$87,3,FALSE)),Setup!$B$15),2))</f>
        <v/>
      </c>
      <c r="P5" s="92" t="n">
        <v>500</v>
      </c>
      <c r="Q5" s="92" t="n">
        <v>450</v>
      </c>
      <c r="R5" s="92" t="n">
        <v>5600</v>
      </c>
      <c r="S5" s="92" t="n">
        <v>620</v>
      </c>
      <c r="T5" s="92" t="n">
        <v>0</v>
      </c>
      <c r="U5" s="90">
        <f>IF($K5="","",SUM($R5:$T5))</f>
        <v/>
      </c>
      <c r="V5" s="90">
        <f>IF($K5="","",$M5-(N($N5)+N($O5)+IF($P5="",Setup!$B$17,$P5)+N($Q5))-N($U5))</f>
        <v/>
      </c>
      <c r="W5" s="87" t="inlineStr">
        <is>
          <t>Paid</t>
        </is>
      </c>
      <c r="X5" s="88" t="inlineStr"/>
      <c r="Z5" s="93">
        <f>IF($A5="","",DATE(YEAR($A5),MONTH($A5),1))</f>
        <v/>
      </c>
    </row>
    <row r="6">
      <c r="A6" s="94" t="n">
        <v>46237</v>
      </c>
      <c r="B6" s="95" t="inlineStr">
        <is>
          <t>DR-1002</t>
        </is>
      </c>
      <c r="C6" s="95" t="inlineStr">
        <is>
          <t>TRUCK 1</t>
        </is>
      </c>
      <c r="D6" s="96" t="inlineStr">
        <is>
          <t>M. Reyes</t>
        </is>
      </c>
      <c r="E6" s="96" t="inlineStr">
        <is>
          <t>A. Bautista</t>
        </is>
      </c>
      <c r="F6" s="96" t="inlineStr">
        <is>
          <t>BATAAN</t>
        </is>
      </c>
      <c r="G6" s="96" t="inlineStr">
        <is>
          <t>BMPP</t>
        </is>
      </c>
      <c r="H6" s="97" t="n">
        <v>20</v>
      </c>
      <c r="I6" s="90">
        <f>IF($G6="","",IF($F6="",IFERROR(INDEX(Setup!$C$21:$C$60,MATCH("|"&amp;UPPER(TRIM($G6)),Setup!$Q$21:$Q$60,0)),"NO RATE"),IFERROR(INDEX(Setup!$C$21:$C$60,MATCH(UPPER(TRIM($F6))&amp;"|"&amp;UPPER(TRIM($G6)),Setup!$P$21:$P$60,0)),IFERROR(INDEX(Setup!$C$21:$C$60,MATCH(UPPER(TRIM($G6))&amp;"|"&amp;UPPER(TRIM($F6)),Setup!$P$21:$P$60,0)),"NO RATE"))))</f>
        <v/>
      </c>
      <c r="J6" s="98" t="n"/>
      <c r="K6" s="90">
        <f>IF(OR($G6="",$H6="",NOT(ISNUMBER($I6))),"",ROUND($H6*$I6*(1+IF($J6="",Setup!$B$16,$J6)),2))</f>
        <v/>
      </c>
      <c r="L6" s="90">
        <f>IF($K6="","",ROUND($K6*Setup!$B$13,2))</f>
        <v/>
      </c>
      <c r="M6" s="90">
        <f>IF($K6="","",$K6-$L6)</f>
        <v/>
      </c>
      <c r="N6" s="90">
        <f>IF(OR($M6="",$D6=""),"",ROUND($M6*IFERROR(IF(VLOOKUP($D6,Setup!$A$76:$C$87,3,FALSE)="",Setup!$B$14,VLOOKUP($D6,Setup!$A$76:$C$87,3,FALSE)),Setup!$B$14),2))</f>
        <v/>
      </c>
      <c r="O6" s="90">
        <f>IF(OR($M6="",$E6=""),"",ROUND($M6*IFERROR(IF(VLOOKUP($E6,Setup!$A$76:$C$87,3,FALSE)="",Setup!$B$15,VLOOKUP($E6,Setup!$A$76:$C$87,3,FALSE)),Setup!$B$15),2))</f>
        <v/>
      </c>
      <c r="P6" s="99" t="n">
        <v>500</v>
      </c>
      <c r="Q6" s="99" t="n">
        <v>0</v>
      </c>
      <c r="R6" s="99" t="n">
        <v>8300</v>
      </c>
      <c r="S6" s="99" t="n">
        <v>560</v>
      </c>
      <c r="T6" s="99" t="n">
        <v>0</v>
      </c>
      <c r="U6" s="90">
        <f>IF($K6="","",SUM($R6:$T6))</f>
        <v/>
      </c>
      <c r="V6" s="90">
        <f>IF($K6="","",$M6-(N($N6)+N($O6)+IF($P6="",Setup!$B$17,$P6)+N($Q6))-N($U6))</f>
        <v/>
      </c>
      <c r="W6" s="95" t="inlineStr">
        <is>
          <t>Paid</t>
        </is>
      </c>
      <c r="X6" s="96" t="inlineStr"/>
      <c r="Z6" s="93">
        <f>IF($A6="","",DATE(YEAR($A6),MONTH($A6),1))</f>
        <v/>
      </c>
    </row>
    <row r="7">
      <c r="A7" s="86" t="n">
        <v>46239</v>
      </c>
      <c r="B7" s="87" t="inlineStr">
        <is>
          <t>DR-1003</t>
        </is>
      </c>
      <c r="C7" s="87" t="inlineStr">
        <is>
          <t>TRUCK 1</t>
        </is>
      </c>
      <c r="D7" s="88" t="inlineStr">
        <is>
          <t>R. Dela Cruz</t>
        </is>
      </c>
      <c r="E7" s="88" t="inlineStr">
        <is>
          <t>J. Santos</t>
        </is>
      </c>
      <c r="F7" s="88" t="inlineStr">
        <is>
          <t>ORION</t>
        </is>
      </c>
      <c r="G7" s="88" t="inlineStr">
        <is>
          <t>BMPP</t>
        </is>
      </c>
      <c r="H7" s="89" t="n">
        <v>23</v>
      </c>
      <c r="I7" s="90">
        <f>IF($G7="","",IF($F7="",IFERROR(INDEX(Setup!$C$21:$C$60,MATCH("|"&amp;UPPER(TRIM($G7)),Setup!$Q$21:$Q$60,0)),"NO RATE"),IFERROR(INDEX(Setup!$C$21:$C$60,MATCH(UPPER(TRIM($F7))&amp;"|"&amp;UPPER(TRIM($G7)),Setup!$P$21:$P$60,0)),IFERROR(INDEX(Setup!$C$21:$C$60,MATCH(UPPER(TRIM($G7))&amp;"|"&amp;UPPER(TRIM($F7)),Setup!$P$21:$P$60,0)),"NO RATE"))))</f>
        <v/>
      </c>
      <c r="J7" s="91" t="n"/>
      <c r="K7" s="90">
        <f>IF(OR($G7="",$H7="",NOT(ISNUMBER($I7))),"",ROUND($H7*$I7*(1+IF($J7="",Setup!$B$16,$J7)),2))</f>
        <v/>
      </c>
      <c r="L7" s="90">
        <f>IF($K7="","",ROUND($K7*Setup!$B$13,2))</f>
        <v/>
      </c>
      <c r="M7" s="90">
        <f>IF($K7="","",$K7-$L7)</f>
        <v/>
      </c>
      <c r="N7" s="90">
        <f>IF(OR($M7="",$D7=""),"",ROUND($M7*IFERROR(IF(VLOOKUP($D7,Setup!$A$76:$C$87,3,FALSE)="",Setup!$B$14,VLOOKUP($D7,Setup!$A$76:$C$87,3,FALSE)),Setup!$B$14),2))</f>
        <v/>
      </c>
      <c r="O7" s="90">
        <f>IF(OR($M7="",$E7=""),"",ROUND($M7*IFERROR(IF(VLOOKUP($E7,Setup!$A$76:$C$87,3,FALSE)="",Setup!$B$15,VLOOKUP($E7,Setup!$A$76:$C$87,3,FALSE)),Setup!$B$15),2))</f>
        <v/>
      </c>
      <c r="P7" s="92" t="n">
        <v>500</v>
      </c>
      <c r="Q7" s="92" t="n">
        <v>0</v>
      </c>
      <c r="R7" s="92" t="n">
        <v>9800</v>
      </c>
      <c r="S7" s="92" t="n">
        <v>540</v>
      </c>
      <c r="T7" s="92" t="n">
        <v>0</v>
      </c>
      <c r="U7" s="90">
        <f>IF($K7="","",SUM($R7:$T7))</f>
        <v/>
      </c>
      <c r="V7" s="90">
        <f>IF($K7="","",$M7-(N($N7)+N($O7)+IF($P7="",Setup!$B$17,$P7)+N($Q7))-N($U7))</f>
        <v/>
      </c>
      <c r="W7" s="87" t="inlineStr">
        <is>
          <t>Paid</t>
        </is>
      </c>
      <c r="X7" s="88" t="inlineStr"/>
      <c r="Z7" s="93">
        <f>IF($A7="","",DATE(YEAR($A7),MONTH($A7),1))</f>
        <v/>
      </c>
    </row>
    <row r="8">
      <c r="A8" s="94" t="n">
        <v>46241</v>
      </c>
      <c r="B8" s="95" t="inlineStr">
        <is>
          <t>DR-1004</t>
        </is>
      </c>
      <c r="C8" s="95" t="inlineStr">
        <is>
          <t>TRUCK 1</t>
        </is>
      </c>
      <c r="D8" s="96" t="inlineStr">
        <is>
          <t>M. Reyes</t>
        </is>
      </c>
      <c r="E8" s="96" t="inlineStr">
        <is>
          <t>A. Bautista</t>
        </is>
      </c>
      <c r="F8" s="96" t="inlineStr">
        <is>
          <t>MABINI, BATANGAS</t>
        </is>
      </c>
      <c r="G8" s="96" t="inlineStr">
        <is>
          <t>BMPP</t>
        </is>
      </c>
      <c r="H8" s="97" t="n">
        <v>19</v>
      </c>
      <c r="I8" s="90">
        <f>IF($G8="","",IF($F8="",IFERROR(INDEX(Setup!$C$21:$C$60,MATCH("|"&amp;UPPER(TRIM($G8)),Setup!$Q$21:$Q$60,0)),"NO RATE"),IFERROR(INDEX(Setup!$C$21:$C$60,MATCH(UPPER(TRIM($F8))&amp;"|"&amp;UPPER(TRIM($G8)),Setup!$P$21:$P$60,0)),IFERROR(INDEX(Setup!$C$21:$C$60,MATCH(UPPER(TRIM($G8))&amp;"|"&amp;UPPER(TRIM($F8)),Setup!$P$21:$P$60,0)),"NO RATE"))))</f>
        <v/>
      </c>
      <c r="J8" s="98" t="n"/>
      <c r="K8" s="90">
        <f>IF(OR($G8="",$H8="",NOT(ISNUMBER($I8))),"",ROUND($H8*$I8*(1+IF($J8="",Setup!$B$16,$J8)),2))</f>
        <v/>
      </c>
      <c r="L8" s="90">
        <f>IF($K8="","",ROUND($K8*Setup!$B$13,2))</f>
        <v/>
      </c>
      <c r="M8" s="90">
        <f>IF($K8="","",$K8-$L8)</f>
        <v/>
      </c>
      <c r="N8" s="90">
        <f>IF(OR($M8="",$D8=""),"",ROUND($M8*IFERROR(IF(VLOOKUP($D8,Setup!$A$76:$C$87,3,FALSE)="",Setup!$B$14,VLOOKUP($D8,Setup!$A$76:$C$87,3,FALSE)),Setup!$B$14),2))</f>
        <v/>
      </c>
      <c r="O8" s="90">
        <f>IF(OR($M8="",$E8=""),"",ROUND($M8*IFERROR(IF(VLOOKUP($E8,Setup!$A$76:$C$87,3,FALSE)="",Setup!$B$15,VLOOKUP($E8,Setup!$A$76:$C$87,3,FALSE)),Setup!$B$15),2))</f>
        <v/>
      </c>
      <c r="P8" s="99" t="n">
        <v>500</v>
      </c>
      <c r="Q8" s="99" t="n">
        <v>0</v>
      </c>
      <c r="R8" s="99" t="n">
        <v>11100</v>
      </c>
      <c r="S8" s="99" t="n">
        <v>980</v>
      </c>
      <c r="T8" s="99" t="n">
        <v>0</v>
      </c>
      <c r="U8" s="90">
        <f>IF($K8="","",SUM($R8:$T8))</f>
        <v/>
      </c>
      <c r="V8" s="90">
        <f>IF($K8="","",$M8-(N($N8)+N($O8)+IF($P8="",Setup!$B$17,$P8)+N($Q8))-N($U8))</f>
        <v/>
      </c>
      <c r="W8" s="95" t="inlineStr">
        <is>
          <t>Paid</t>
        </is>
      </c>
      <c r="X8" s="96" t="inlineStr"/>
      <c r="Z8" s="93">
        <f>IF($A8="","",DATE(YEAR($A8),MONTH($A8),1))</f>
        <v/>
      </c>
    </row>
    <row r="9">
      <c r="A9" s="86" t="n">
        <v>46243</v>
      </c>
      <c r="B9" s="87" t="inlineStr">
        <is>
          <t>DR-1005</t>
        </is>
      </c>
      <c r="C9" s="87" t="inlineStr">
        <is>
          <t>TRUCK 1</t>
        </is>
      </c>
      <c r="D9" s="88" t="inlineStr">
        <is>
          <t>R. Dela Cruz</t>
        </is>
      </c>
      <c r="E9" s="88" t="inlineStr">
        <is>
          <t>J. Santos</t>
        </is>
      </c>
      <c r="F9" s="88" t="inlineStr">
        <is>
          <t>BATAAN</t>
        </is>
      </c>
      <c r="G9" s="88" t="inlineStr">
        <is>
          <t>ISABELA</t>
        </is>
      </c>
      <c r="H9" s="89" t="n">
        <v>18</v>
      </c>
      <c r="I9" s="90">
        <f>IF($G9="","",IF($F9="",IFERROR(INDEX(Setup!$C$21:$C$60,MATCH("|"&amp;UPPER(TRIM($G9)),Setup!$Q$21:$Q$60,0)),"NO RATE"),IFERROR(INDEX(Setup!$C$21:$C$60,MATCH(UPPER(TRIM($F9))&amp;"|"&amp;UPPER(TRIM($G9)),Setup!$P$21:$P$60,0)),IFERROR(INDEX(Setup!$C$21:$C$60,MATCH(UPPER(TRIM($G9))&amp;"|"&amp;UPPER(TRIM($F9)),Setup!$P$21:$P$60,0)),"NO RATE"))))</f>
        <v/>
      </c>
      <c r="J9" s="91" t="n"/>
      <c r="K9" s="90">
        <f>IF(OR($G9="",$H9="",NOT(ISNUMBER($I9))),"",ROUND($H9*$I9*(1+IF($J9="",Setup!$B$16,$J9)),2))</f>
        <v/>
      </c>
      <c r="L9" s="90">
        <f>IF($K9="","",ROUND($K9*Setup!$B$13,2))</f>
        <v/>
      </c>
      <c r="M9" s="90">
        <f>IF($K9="","",$K9-$L9)</f>
        <v/>
      </c>
      <c r="N9" s="90">
        <f>IF(OR($M9="",$D9=""),"",ROUND($M9*IFERROR(IF(VLOOKUP($D9,Setup!$A$76:$C$87,3,FALSE)="",Setup!$B$14,VLOOKUP($D9,Setup!$A$76:$C$87,3,FALSE)),Setup!$B$14),2))</f>
        <v/>
      </c>
      <c r="O9" s="90">
        <f>IF(OR($M9="",$E9=""),"",ROUND($M9*IFERROR(IF(VLOOKUP($E9,Setup!$A$76:$C$87,3,FALSE)="",Setup!$B$15,VLOOKUP($E9,Setup!$A$76:$C$87,3,FALSE)),Setup!$B$15),2))</f>
        <v/>
      </c>
      <c r="P9" s="92" t="n">
        <v>500</v>
      </c>
      <c r="Q9" s="92" t="n">
        <v>0</v>
      </c>
      <c r="R9" s="92" t="n">
        <v>16500</v>
      </c>
      <c r="S9" s="92" t="n">
        <v>1250</v>
      </c>
      <c r="T9" s="92" t="n">
        <v>0</v>
      </c>
      <c r="U9" s="90">
        <f>IF($K9="","",SUM($R9:$T9))</f>
        <v/>
      </c>
      <c r="V9" s="90">
        <f>IF($K9="","",$M9-(N($N9)+N($O9)+IF($P9="",Setup!$B$17,$P9)+N($Q9))-N($U9))</f>
        <v/>
      </c>
      <c r="W9" s="87" t="inlineStr">
        <is>
          <t>Paid</t>
        </is>
      </c>
      <c r="X9" s="88" t="inlineStr">
        <is>
          <t>long haul — diesel receipt attached</t>
        </is>
      </c>
      <c r="Z9" s="93">
        <f>IF($A9="","",DATE(YEAR($A9),MONTH($A9),1))</f>
        <v/>
      </c>
    </row>
    <row r="10">
      <c r="A10" s="94" t="n">
        <v>46245</v>
      </c>
      <c r="B10" s="95" t="inlineStr">
        <is>
          <t>DR-1006</t>
        </is>
      </c>
      <c r="C10" s="95" t="inlineStr">
        <is>
          <t>TRUCK 1</t>
        </is>
      </c>
      <c r="D10" s="96" t="inlineStr">
        <is>
          <t>M. Reyes</t>
        </is>
      </c>
      <c r="E10" s="96" t="inlineStr">
        <is>
          <t>A. Bautista</t>
        </is>
      </c>
      <c r="F10" s="96" t="inlineStr">
        <is>
          <t>ORION</t>
        </is>
      </c>
      <c r="G10" s="96" t="inlineStr">
        <is>
          <t>TARLAC</t>
        </is>
      </c>
      <c r="H10" s="97" t="n">
        <v>21</v>
      </c>
      <c r="I10" s="90">
        <f>IF($G10="","",IF($F10="",IFERROR(INDEX(Setup!$C$21:$C$60,MATCH("|"&amp;UPPER(TRIM($G10)),Setup!$Q$21:$Q$60,0)),"NO RATE"),IFERROR(INDEX(Setup!$C$21:$C$60,MATCH(UPPER(TRIM($F10))&amp;"|"&amp;UPPER(TRIM($G10)),Setup!$P$21:$P$60,0)),IFERROR(INDEX(Setup!$C$21:$C$60,MATCH(UPPER(TRIM($G10))&amp;"|"&amp;UPPER(TRIM($F10)),Setup!$P$21:$P$60,0)),"NO RATE"))))</f>
        <v/>
      </c>
      <c r="J10" s="98" t="n"/>
      <c r="K10" s="90">
        <f>IF(OR($G10="",$H10="",NOT(ISNUMBER($I10))),"",ROUND($H10*$I10*(1+IF($J10="",Setup!$B$16,$J10)),2))</f>
        <v/>
      </c>
      <c r="L10" s="90">
        <f>IF($K10="","",ROUND($K10*Setup!$B$13,2))</f>
        <v/>
      </c>
      <c r="M10" s="90">
        <f>IF($K10="","",$K10-$L10)</f>
        <v/>
      </c>
      <c r="N10" s="90">
        <f>IF(OR($M10="",$D10=""),"",ROUND($M10*IFERROR(IF(VLOOKUP($D10,Setup!$A$76:$C$87,3,FALSE)="",Setup!$B$14,VLOOKUP($D10,Setup!$A$76:$C$87,3,FALSE)),Setup!$B$14),2))</f>
        <v/>
      </c>
      <c r="O10" s="90">
        <f>IF(OR($M10="",$E10=""),"",ROUND($M10*IFERROR(IF(VLOOKUP($E10,Setup!$A$76:$C$87,3,FALSE)="",Setup!$B$15,VLOOKUP($E10,Setup!$A$76:$C$87,3,FALSE)),Setup!$B$15),2))</f>
        <v/>
      </c>
      <c r="P10" s="99" t="n">
        <v>500</v>
      </c>
      <c r="Q10" s="99" t="n">
        <v>450</v>
      </c>
      <c r="R10" s="99" t="n">
        <v>7200</v>
      </c>
      <c r="S10" s="99" t="n">
        <v>610</v>
      </c>
      <c r="T10" s="99" t="n">
        <v>0</v>
      </c>
      <c r="U10" s="90">
        <f>IF($K10="","",SUM($R10:$T10))</f>
        <v/>
      </c>
      <c r="V10" s="90">
        <f>IF($K10="","",$M10-(N($N10)+N($O10)+IF($P10="",Setup!$B$17,$P10)+N($Q10))-N($U10))</f>
        <v/>
      </c>
      <c r="W10" s="95" t="inlineStr">
        <is>
          <t>Paid</t>
        </is>
      </c>
      <c r="X10" s="96" t="inlineStr"/>
      <c r="Z10" s="93">
        <f>IF($A10="","",DATE(YEAR($A10),MONTH($A10),1))</f>
        <v/>
      </c>
    </row>
    <row r="11">
      <c r="A11" s="86" t="n">
        <v>46247</v>
      </c>
      <c r="B11" s="87" t="inlineStr">
        <is>
          <t>DR-1007</t>
        </is>
      </c>
      <c r="C11" s="87" t="inlineStr">
        <is>
          <t>TRUCK 1</t>
        </is>
      </c>
      <c r="D11" s="88" t="inlineStr">
        <is>
          <t>R. Dela Cruz</t>
        </is>
      </c>
      <c r="E11" s="88" t="inlineStr">
        <is>
          <t>J. Santos</t>
        </is>
      </c>
      <c r="F11" s="88" t="inlineStr">
        <is>
          <t>MABINI, BATANGAS</t>
        </is>
      </c>
      <c r="G11" s="88" t="inlineStr">
        <is>
          <t>TARLAC</t>
        </is>
      </c>
      <c r="H11" s="89" t="n">
        <v>17</v>
      </c>
      <c r="I11" s="90">
        <f>IF($G11="","",IF($F11="",IFERROR(INDEX(Setup!$C$21:$C$60,MATCH("|"&amp;UPPER(TRIM($G11)),Setup!$Q$21:$Q$60,0)),"NO RATE"),IFERROR(INDEX(Setup!$C$21:$C$60,MATCH(UPPER(TRIM($F11))&amp;"|"&amp;UPPER(TRIM($G11)),Setup!$P$21:$P$60,0)),IFERROR(INDEX(Setup!$C$21:$C$60,MATCH(UPPER(TRIM($G11))&amp;"|"&amp;UPPER(TRIM($F11)),Setup!$P$21:$P$60,0)),"NO RATE"))))</f>
        <v/>
      </c>
      <c r="J11" s="91" t="n"/>
      <c r="K11" s="90">
        <f>IF(OR($G11="",$H11="",NOT(ISNUMBER($I11))),"",ROUND($H11*$I11*(1+IF($J11="",Setup!$B$16,$J11)),2))</f>
        <v/>
      </c>
      <c r="L11" s="90">
        <f>IF($K11="","",ROUND($K11*Setup!$B$13,2))</f>
        <v/>
      </c>
      <c r="M11" s="90">
        <f>IF($K11="","",$K11-$L11)</f>
        <v/>
      </c>
      <c r="N11" s="90">
        <f>IF(OR($M11="",$D11=""),"",ROUND($M11*IFERROR(IF(VLOOKUP($D11,Setup!$A$76:$C$87,3,FALSE)="",Setup!$B$14,VLOOKUP($D11,Setup!$A$76:$C$87,3,FALSE)),Setup!$B$14),2))</f>
        <v/>
      </c>
      <c r="O11" s="90">
        <f>IF(OR($M11="",$E11=""),"",ROUND($M11*IFERROR(IF(VLOOKUP($E11,Setup!$A$76:$C$87,3,FALSE)="",Setup!$B$15,VLOOKUP($E11,Setup!$A$76:$C$87,3,FALSE)),Setup!$B$15),2))</f>
        <v/>
      </c>
      <c r="P11" s="92" t="n">
        <v>500</v>
      </c>
      <c r="Q11" s="92" t="n">
        <v>0</v>
      </c>
      <c r="R11" s="92" t="n">
        <v>8900</v>
      </c>
      <c r="S11" s="92" t="n">
        <v>900</v>
      </c>
      <c r="T11" s="92" t="n">
        <v>0</v>
      </c>
      <c r="U11" s="90">
        <f>IF($K11="","",SUM($R11:$T11))</f>
        <v/>
      </c>
      <c r="V11" s="90">
        <f>IF($K11="","",$M11-(N($N11)+N($O11)+IF($P11="",Setup!$B$17,$P11)+N($Q11))-N($U11))</f>
        <v/>
      </c>
      <c r="W11" s="87" t="inlineStr">
        <is>
          <t>Paid</t>
        </is>
      </c>
      <c r="X11" s="88" t="inlineStr"/>
      <c r="Z11" s="93">
        <f>IF($A11="","",DATE(YEAR($A11),MONTH($A11),1))</f>
        <v/>
      </c>
    </row>
    <row r="12">
      <c r="A12" s="94" t="n">
        <v>46249</v>
      </c>
      <c r="B12" s="95" t="inlineStr">
        <is>
          <t>DR-1008</t>
        </is>
      </c>
      <c r="C12" s="95" t="inlineStr">
        <is>
          <t>TRUCK 1</t>
        </is>
      </c>
      <c r="D12" s="96" t="inlineStr">
        <is>
          <t>M. Reyes</t>
        </is>
      </c>
      <c r="E12" s="96" t="inlineStr">
        <is>
          <t>A. Bautista</t>
        </is>
      </c>
      <c r="F12" s="96" t="inlineStr">
        <is>
          <t>BATAAN</t>
        </is>
      </c>
      <c r="G12" s="96" t="inlineStr">
        <is>
          <t>ARMOR</t>
        </is>
      </c>
      <c r="H12" s="97" t="n">
        <v>20</v>
      </c>
      <c r="I12" s="90">
        <f>IF($G12="","",IF($F12="",IFERROR(INDEX(Setup!$C$21:$C$60,MATCH("|"&amp;UPPER(TRIM($G12)),Setup!$Q$21:$Q$60,0)),"NO RATE"),IFERROR(INDEX(Setup!$C$21:$C$60,MATCH(UPPER(TRIM($F12))&amp;"|"&amp;UPPER(TRIM($G12)),Setup!$P$21:$P$60,0)),IFERROR(INDEX(Setup!$C$21:$C$60,MATCH(UPPER(TRIM($G12))&amp;"|"&amp;UPPER(TRIM($F12)),Setup!$P$21:$P$60,0)),"NO RATE"))))</f>
        <v/>
      </c>
      <c r="J12" s="98" t="n"/>
      <c r="K12" s="90">
        <f>IF(OR($G12="",$H12="",NOT(ISNUMBER($I12))),"",ROUND($H12*$I12*(1+IF($J12="",Setup!$B$16,$J12)),2))</f>
        <v/>
      </c>
      <c r="L12" s="90">
        <f>IF($K12="","",ROUND($K12*Setup!$B$13,2))</f>
        <v/>
      </c>
      <c r="M12" s="90">
        <f>IF($K12="","",$K12-$L12)</f>
        <v/>
      </c>
      <c r="N12" s="90">
        <f>IF(OR($M12="",$D12=""),"",ROUND($M12*IFERROR(IF(VLOOKUP($D12,Setup!$A$76:$C$87,3,FALSE)="",Setup!$B$14,VLOOKUP($D12,Setup!$A$76:$C$87,3,FALSE)),Setup!$B$14),2))</f>
        <v/>
      </c>
      <c r="O12" s="90">
        <f>IF(OR($M12="",$E12=""),"",ROUND($M12*IFERROR(IF(VLOOKUP($E12,Setup!$A$76:$C$87,3,FALSE)="",Setup!$B$15,VLOOKUP($E12,Setup!$A$76:$C$87,3,FALSE)),Setup!$B$15),2))</f>
        <v/>
      </c>
      <c r="P12" s="99" t="n">
        <v>500</v>
      </c>
      <c r="Q12" s="99" t="n">
        <v>0</v>
      </c>
      <c r="R12" s="99" t="n">
        <v>7900</v>
      </c>
      <c r="S12" s="99" t="n">
        <v>520</v>
      </c>
      <c r="T12" s="99" t="n">
        <v>0</v>
      </c>
      <c r="U12" s="90">
        <f>IF($K12="","",SUM($R12:$T12))</f>
        <v/>
      </c>
      <c r="V12" s="90">
        <f>IF($K12="","",$M12-(N($N12)+N($O12)+IF($P12="",Setup!$B$17,$P12)+N($Q12))-N($U12))</f>
        <v/>
      </c>
      <c r="W12" s="95" t="inlineStr">
        <is>
          <t>Paid</t>
        </is>
      </c>
      <c r="X12" s="96" t="inlineStr"/>
      <c r="Z12" s="93">
        <f>IF($A12="","",DATE(YEAR($A12),MONTH($A12),1))</f>
        <v/>
      </c>
    </row>
    <row r="13">
      <c r="A13" s="86" t="n">
        <v>46251</v>
      </c>
      <c r="B13" s="87" t="inlineStr">
        <is>
          <t>DR-1009</t>
        </is>
      </c>
      <c r="C13" s="87" t="inlineStr">
        <is>
          <t>TRUCK 1</t>
        </is>
      </c>
      <c r="D13" s="88" t="inlineStr">
        <is>
          <t>R. Dela Cruz</t>
        </is>
      </c>
      <c r="E13" s="88" t="inlineStr">
        <is>
          <t>J. Santos</t>
        </is>
      </c>
      <c r="F13" s="88" t="inlineStr">
        <is>
          <t>ORION</t>
        </is>
      </c>
      <c r="G13" s="88" t="inlineStr">
        <is>
          <t>BULACAN</t>
        </is>
      </c>
      <c r="H13" s="89" t="n">
        <v>23</v>
      </c>
      <c r="I13" s="90">
        <f>IF($G13="","",IF($F13="",IFERROR(INDEX(Setup!$C$21:$C$60,MATCH("|"&amp;UPPER(TRIM($G13)),Setup!$Q$21:$Q$60,0)),"NO RATE"),IFERROR(INDEX(Setup!$C$21:$C$60,MATCH(UPPER(TRIM($F13))&amp;"|"&amp;UPPER(TRIM($G13)),Setup!$P$21:$P$60,0)),IFERROR(INDEX(Setup!$C$21:$C$60,MATCH(UPPER(TRIM($G13))&amp;"|"&amp;UPPER(TRIM($F13)),Setup!$P$21:$P$60,0)),"NO RATE"))))</f>
        <v/>
      </c>
      <c r="J13" s="91" t="n"/>
      <c r="K13" s="90">
        <f>IF(OR($G13="",$H13="",NOT(ISNUMBER($I13))),"",ROUND($H13*$I13*(1+IF($J13="",Setup!$B$16,$J13)),2))</f>
        <v/>
      </c>
      <c r="L13" s="90">
        <f>IF($K13="","",ROUND($K13*Setup!$B$13,2))</f>
        <v/>
      </c>
      <c r="M13" s="90">
        <f>IF($K13="","",$K13-$L13)</f>
        <v/>
      </c>
      <c r="N13" s="90">
        <f>IF(OR($M13="",$D13=""),"",ROUND($M13*IFERROR(IF(VLOOKUP($D13,Setup!$A$76:$C$87,3,FALSE)="",Setup!$B$14,VLOOKUP($D13,Setup!$A$76:$C$87,3,FALSE)),Setup!$B$14),2))</f>
        <v/>
      </c>
      <c r="O13" s="90">
        <f>IF(OR($M13="",$E13=""),"",ROUND($M13*IFERROR(IF(VLOOKUP($E13,Setup!$A$76:$C$87,3,FALSE)="",Setup!$B$15,VLOOKUP($E13,Setup!$A$76:$C$87,3,FALSE)),Setup!$B$15),2))</f>
        <v/>
      </c>
      <c r="P13" s="92" t="n">
        <v>500</v>
      </c>
      <c r="Q13" s="92" t="n">
        <v>0</v>
      </c>
      <c r="R13" s="92" t="n">
        <v>7700</v>
      </c>
      <c r="S13" s="92" t="n">
        <v>590</v>
      </c>
      <c r="T13" s="92" t="n">
        <v>0</v>
      </c>
      <c r="U13" s="90">
        <f>IF($K13="","",SUM($R13:$T13))</f>
        <v/>
      </c>
      <c r="V13" s="90">
        <f>IF($K13="","",$M13-(N($N13)+N($O13)+IF($P13="",Setup!$B$17,$P13)+N($Q13))-N($U13))</f>
        <v/>
      </c>
      <c r="W13" s="87" t="inlineStr">
        <is>
          <t>Paid</t>
        </is>
      </c>
      <c r="X13" s="88" t="inlineStr"/>
      <c r="Z13" s="93">
        <f>IF($A13="","",DATE(YEAR($A13),MONTH($A13),1))</f>
        <v/>
      </c>
    </row>
    <row r="14">
      <c r="A14" s="94" t="n">
        <v>46253</v>
      </c>
      <c r="B14" s="95" t="inlineStr">
        <is>
          <t>DR-1010</t>
        </is>
      </c>
      <c r="C14" s="95" t="inlineStr">
        <is>
          <t>TRUCK 1</t>
        </is>
      </c>
      <c r="D14" s="96" t="inlineStr">
        <is>
          <t>M. Reyes</t>
        </is>
      </c>
      <c r="E14" s="96" t="inlineStr">
        <is>
          <t>A. Bautista</t>
        </is>
      </c>
      <c r="F14" s="96" t="inlineStr">
        <is>
          <t>MABINI, BATANGAS</t>
        </is>
      </c>
      <c r="G14" s="96" t="inlineStr">
        <is>
          <t>MONCADA</t>
        </is>
      </c>
      <c r="H14" s="97" t="n">
        <v>17</v>
      </c>
      <c r="I14" s="90">
        <f>IF($G14="","",IF($F14="",IFERROR(INDEX(Setup!$C$21:$C$60,MATCH("|"&amp;UPPER(TRIM($G14)),Setup!$Q$21:$Q$60,0)),"NO RATE"),IFERROR(INDEX(Setup!$C$21:$C$60,MATCH(UPPER(TRIM($F14))&amp;"|"&amp;UPPER(TRIM($G14)),Setup!$P$21:$P$60,0)),IFERROR(INDEX(Setup!$C$21:$C$60,MATCH(UPPER(TRIM($G14))&amp;"|"&amp;UPPER(TRIM($F14)),Setup!$P$21:$P$60,0)),"NO RATE"))))</f>
        <v/>
      </c>
      <c r="J14" s="98" t="n"/>
      <c r="K14" s="90">
        <f>IF(OR($G14="",$H14="",NOT(ISNUMBER($I14))),"",ROUND($H14*$I14*(1+IF($J14="",Setup!$B$16,$J14)),2))</f>
        <v/>
      </c>
      <c r="L14" s="90">
        <f>IF($K14="","",ROUND($K14*Setup!$B$13,2))</f>
        <v/>
      </c>
      <c r="M14" s="90">
        <f>IF($K14="","",$K14-$L14)</f>
        <v/>
      </c>
      <c r="N14" s="90">
        <f>IF(OR($M14="",$D14=""),"",ROUND($M14*IFERROR(IF(VLOOKUP($D14,Setup!$A$76:$C$87,3,FALSE)="",Setup!$B$14,VLOOKUP($D14,Setup!$A$76:$C$87,3,FALSE)),Setup!$B$14),2))</f>
        <v/>
      </c>
      <c r="O14" s="90">
        <f>IF(OR($M14="",$E14=""),"",ROUND($M14*IFERROR(IF(VLOOKUP($E14,Setup!$A$76:$C$87,3,FALSE)="",Setup!$B$15,VLOOKUP($E14,Setup!$A$76:$C$87,3,FALSE)),Setup!$B$15),2))</f>
        <v/>
      </c>
      <c r="P14" s="99" t="n">
        <v>500</v>
      </c>
      <c r="Q14" s="99" t="n">
        <v>0</v>
      </c>
      <c r="R14" s="99" t="n">
        <v>6600</v>
      </c>
      <c r="S14" s="99" t="n">
        <v>430</v>
      </c>
      <c r="T14" s="99" t="n">
        <v>0</v>
      </c>
      <c r="U14" s="90">
        <f>IF($K14="","",SUM($R14:$T14))</f>
        <v/>
      </c>
      <c r="V14" s="90">
        <f>IF($K14="","",$M14-(N($N14)+N($O14)+IF($P14="",Setup!$B$17,$P14)+N($Q14))-N($U14))</f>
        <v/>
      </c>
      <c r="W14" s="95" t="inlineStr">
        <is>
          <t>Paid</t>
        </is>
      </c>
      <c r="X14" s="96" t="inlineStr">
        <is>
          <t>helper not available, driver solo</t>
        </is>
      </c>
      <c r="Z14" s="93">
        <f>IF($A14="","",DATE(YEAR($A14),MONTH($A14),1))</f>
        <v/>
      </c>
    </row>
    <row r="15">
      <c r="A15" s="86" t="n">
        <v>46255</v>
      </c>
      <c r="B15" s="87" t="inlineStr">
        <is>
          <t>DR-1011</t>
        </is>
      </c>
      <c r="C15" s="87" t="inlineStr">
        <is>
          <t>TRUCK 1</t>
        </is>
      </c>
      <c r="D15" s="88" t="inlineStr">
        <is>
          <t>R. Dela Cruz</t>
        </is>
      </c>
      <c r="E15" s="88" t="inlineStr">
        <is>
          <t>J. Santos</t>
        </is>
      </c>
      <c r="F15" s="88" t="inlineStr">
        <is>
          <t>BATAAN</t>
        </is>
      </c>
      <c r="G15" s="88" t="inlineStr">
        <is>
          <t>BULACAN</t>
        </is>
      </c>
      <c r="H15" s="89" t="n">
        <v>20</v>
      </c>
      <c r="I15" s="90">
        <f>IF($G15="","",IF($F15="",IFERROR(INDEX(Setup!$C$21:$C$60,MATCH("|"&amp;UPPER(TRIM($G15)),Setup!$Q$21:$Q$60,0)),"NO RATE"),IFERROR(INDEX(Setup!$C$21:$C$60,MATCH(UPPER(TRIM($F15))&amp;"|"&amp;UPPER(TRIM($G15)),Setup!$P$21:$P$60,0)),IFERROR(INDEX(Setup!$C$21:$C$60,MATCH(UPPER(TRIM($G15))&amp;"|"&amp;UPPER(TRIM($F15)),Setup!$P$21:$P$60,0)),"NO RATE"))))</f>
        <v/>
      </c>
      <c r="J15" s="91" t="n"/>
      <c r="K15" s="90">
        <f>IF(OR($G15="",$H15="",NOT(ISNUMBER($I15))),"",ROUND($H15*$I15*(1+IF($J15="",Setup!$B$16,$J15)),2))</f>
        <v/>
      </c>
      <c r="L15" s="90">
        <f>IF($K15="","",ROUND($K15*Setup!$B$13,2))</f>
        <v/>
      </c>
      <c r="M15" s="90">
        <f>IF($K15="","",$K15-$L15)</f>
        <v/>
      </c>
      <c r="N15" s="90">
        <f>IF(OR($M15="",$D15=""),"",ROUND($M15*IFERROR(IF(VLOOKUP($D15,Setup!$A$76:$C$87,3,FALSE)="",Setup!$B$14,VLOOKUP($D15,Setup!$A$76:$C$87,3,FALSE)),Setup!$B$14),2))</f>
        <v/>
      </c>
      <c r="O15" s="90">
        <f>IF(OR($M15="",$E15=""),"",ROUND($M15*IFERROR(IF(VLOOKUP($E15,Setup!$A$76:$C$87,3,FALSE)="",Setup!$B$15,VLOOKUP($E15,Setup!$A$76:$C$87,3,FALSE)),Setup!$B$15),2))</f>
        <v/>
      </c>
      <c r="P15" s="92" t="n">
        <v>500</v>
      </c>
      <c r="Q15" s="92" t="n">
        <v>450</v>
      </c>
      <c r="R15" s="92" t="n">
        <v>7600</v>
      </c>
      <c r="S15" s="92" t="n">
        <v>480</v>
      </c>
      <c r="T15" s="92" t="n">
        <v>0</v>
      </c>
      <c r="U15" s="90">
        <f>IF($K15="","",SUM($R15:$T15))</f>
        <v/>
      </c>
      <c r="V15" s="90">
        <f>IF($K15="","",$M15-(N($N15)+N($O15)+IF($P15="",Setup!$B$17,$P15)+N($Q15))-N($U15))</f>
        <v/>
      </c>
      <c r="W15" s="87" t="inlineStr">
        <is>
          <t>Paid</t>
        </is>
      </c>
      <c r="X15" s="88" t="inlineStr"/>
      <c r="Z15" s="93">
        <f>IF($A15="","",DATE(YEAR($A15),MONTH($A15),1))</f>
        <v/>
      </c>
    </row>
    <row r="16">
      <c r="A16" s="94" t="n">
        <v>46257</v>
      </c>
      <c r="B16" s="95" t="inlineStr">
        <is>
          <t>DR-1012</t>
        </is>
      </c>
      <c r="C16" s="95" t="inlineStr">
        <is>
          <t>TRUCK 1</t>
        </is>
      </c>
      <c r="D16" s="96" t="inlineStr">
        <is>
          <t>M. Reyes</t>
        </is>
      </c>
      <c r="E16" s="96" t="inlineStr">
        <is>
          <t>A. Bautista</t>
        </is>
      </c>
      <c r="F16" s="96" t="inlineStr">
        <is>
          <t>ORION</t>
        </is>
      </c>
      <c r="G16" s="96" t="inlineStr">
        <is>
          <t>ROSALES</t>
        </is>
      </c>
      <c r="H16" s="97" t="n">
        <v>21</v>
      </c>
      <c r="I16" s="90">
        <f>IF($G16="","",IF($F16="",IFERROR(INDEX(Setup!$C$21:$C$60,MATCH("|"&amp;UPPER(TRIM($G16)),Setup!$Q$21:$Q$60,0)),"NO RATE"),IFERROR(INDEX(Setup!$C$21:$C$60,MATCH(UPPER(TRIM($F16))&amp;"|"&amp;UPPER(TRIM($G16)),Setup!$P$21:$P$60,0)),IFERROR(INDEX(Setup!$C$21:$C$60,MATCH(UPPER(TRIM($G16))&amp;"|"&amp;UPPER(TRIM($F16)),Setup!$P$21:$P$60,0)),"NO RATE"))))</f>
        <v/>
      </c>
      <c r="J16" s="98" t="n"/>
      <c r="K16" s="90">
        <f>IF(OR($G16="",$H16="",NOT(ISNUMBER($I16))),"",ROUND($H16*$I16*(1+IF($J16="",Setup!$B$16,$J16)),2))</f>
        <v/>
      </c>
      <c r="L16" s="90">
        <f>IF($K16="","",ROUND($K16*Setup!$B$13,2))</f>
        <v/>
      </c>
      <c r="M16" s="90">
        <f>IF($K16="","",$K16-$L16)</f>
        <v/>
      </c>
      <c r="N16" s="90">
        <f>IF(OR($M16="",$D16=""),"",ROUND($M16*IFERROR(IF(VLOOKUP($D16,Setup!$A$76:$C$87,3,FALSE)="",Setup!$B$14,VLOOKUP($D16,Setup!$A$76:$C$87,3,FALSE)),Setup!$B$14),2))</f>
        <v/>
      </c>
      <c r="O16" s="90">
        <f>IF(OR($M16="",$E16=""),"",ROUND($M16*IFERROR(IF(VLOOKUP($E16,Setup!$A$76:$C$87,3,FALSE)="",Setup!$B$15,VLOOKUP($E16,Setup!$A$76:$C$87,3,FALSE)),Setup!$B$15),2))</f>
        <v/>
      </c>
      <c r="P16" s="99" t="n">
        <v>500</v>
      </c>
      <c r="Q16" s="99" t="n">
        <v>0</v>
      </c>
      <c r="R16" s="99" t="n">
        <v>7800</v>
      </c>
      <c r="S16" s="99" t="n">
        <v>700</v>
      </c>
      <c r="T16" s="99" t="n">
        <v>0</v>
      </c>
      <c r="U16" s="90">
        <f>IF($K16="","",SUM($R16:$T16))</f>
        <v/>
      </c>
      <c r="V16" s="90">
        <f>IF($K16="","",$M16-(N($N16)+N($O16)+IF($P16="",Setup!$B$17,$P16)+N($Q16))-N($U16))</f>
        <v/>
      </c>
      <c r="W16" s="95" t="inlineStr">
        <is>
          <t>Paid</t>
        </is>
      </c>
      <c r="X16" s="96" t="inlineStr"/>
      <c r="Z16" s="93">
        <f>IF($A16="","",DATE(YEAR($A16),MONTH($A16),1))</f>
        <v/>
      </c>
    </row>
    <row r="17">
      <c r="A17" s="86" t="n">
        <v>46259</v>
      </c>
      <c r="B17" s="87" t="inlineStr">
        <is>
          <t>DR-1013</t>
        </is>
      </c>
      <c r="C17" s="87" t="inlineStr">
        <is>
          <t>TRUCK 1</t>
        </is>
      </c>
      <c r="D17" s="88" t="inlineStr">
        <is>
          <t>R. Dela Cruz</t>
        </is>
      </c>
      <c r="E17" s="88" t="inlineStr">
        <is>
          <t>J. Santos</t>
        </is>
      </c>
      <c r="F17" s="88" t="inlineStr">
        <is>
          <t>MABINI, BATANGAS</t>
        </is>
      </c>
      <c r="G17" s="88" t="inlineStr">
        <is>
          <t>BATAAN</t>
        </is>
      </c>
      <c r="H17" s="89" t="n">
        <v>17</v>
      </c>
      <c r="I17" s="90">
        <f>IF($G17="","",IF($F17="",IFERROR(INDEX(Setup!$C$21:$C$60,MATCH("|"&amp;UPPER(TRIM($G17)),Setup!$Q$21:$Q$60,0)),"NO RATE"),IFERROR(INDEX(Setup!$C$21:$C$60,MATCH(UPPER(TRIM($F17))&amp;"|"&amp;UPPER(TRIM($G17)),Setup!$P$21:$P$60,0)),IFERROR(INDEX(Setup!$C$21:$C$60,MATCH(UPPER(TRIM($G17))&amp;"|"&amp;UPPER(TRIM($F17)),Setup!$P$21:$P$60,0)),"NO RATE"))))</f>
        <v/>
      </c>
      <c r="J17" s="91" t="n"/>
      <c r="K17" s="90">
        <f>IF(OR($G17="",$H17="",NOT(ISNUMBER($I17))),"",ROUND($H17*$I17*(1+IF($J17="",Setup!$B$16,$J17)),2))</f>
        <v/>
      </c>
      <c r="L17" s="90">
        <f>IF($K17="","",ROUND($K17*Setup!$B$13,2))</f>
        <v/>
      </c>
      <c r="M17" s="90">
        <f>IF($K17="","",$K17-$L17)</f>
        <v/>
      </c>
      <c r="N17" s="90">
        <f>IF(OR($M17="",$D17=""),"",ROUND($M17*IFERROR(IF(VLOOKUP($D17,Setup!$A$76:$C$87,3,FALSE)="",Setup!$B$14,VLOOKUP($D17,Setup!$A$76:$C$87,3,FALSE)),Setup!$B$14),2))</f>
        <v/>
      </c>
      <c r="O17" s="90">
        <f>IF(OR($M17="",$E17=""),"",ROUND($M17*IFERROR(IF(VLOOKUP($E17,Setup!$A$76:$C$87,3,FALSE)="",Setup!$B$15,VLOOKUP($E17,Setup!$A$76:$C$87,3,FALSE)),Setup!$B$15),2))</f>
        <v/>
      </c>
      <c r="P17" s="92" t="n">
        <v>500</v>
      </c>
      <c r="Q17" s="92" t="n">
        <v>0</v>
      </c>
      <c r="R17" s="92" t="n">
        <v>10000</v>
      </c>
      <c r="S17" s="92" t="n">
        <v>880</v>
      </c>
      <c r="T17" s="92" t="n">
        <v>0</v>
      </c>
      <c r="U17" s="90">
        <f>IF($K17="","",SUM($R17:$T17))</f>
        <v/>
      </c>
      <c r="V17" s="90">
        <f>IF($K17="","",$M17-(N($N17)+N($O17)+IF($P17="",Setup!$B$17,$P17)+N($Q17))-N($U17))</f>
        <v/>
      </c>
      <c r="W17" s="87" t="inlineStr">
        <is>
          <t>Paid</t>
        </is>
      </c>
      <c r="X17" s="88" t="inlineStr"/>
      <c r="Z17" s="93">
        <f>IF($A17="","",DATE(YEAR($A17),MONTH($A17),1))</f>
        <v/>
      </c>
    </row>
    <row r="18">
      <c r="A18" s="94" t="n">
        <v>46261</v>
      </c>
      <c r="B18" s="95" t="inlineStr">
        <is>
          <t>DR-1014</t>
        </is>
      </c>
      <c r="C18" s="95" t="inlineStr">
        <is>
          <t>TRUCK 1</t>
        </is>
      </c>
      <c r="D18" s="96" t="inlineStr">
        <is>
          <t>M. Reyes</t>
        </is>
      </c>
      <c r="E18" s="96" t="inlineStr">
        <is>
          <t>A. Bautista</t>
        </is>
      </c>
      <c r="F18" s="96" t="inlineStr">
        <is>
          <t>BATAAN</t>
        </is>
      </c>
      <c r="G18" s="96" t="inlineStr">
        <is>
          <t>BMEG BATAAN</t>
        </is>
      </c>
      <c r="H18" s="97" t="n">
        <v>20</v>
      </c>
      <c r="I18" s="90">
        <f>IF($G18="","",IF($F18="",IFERROR(INDEX(Setup!$C$21:$C$60,MATCH("|"&amp;UPPER(TRIM($G18)),Setup!$Q$21:$Q$60,0)),"NO RATE"),IFERROR(INDEX(Setup!$C$21:$C$60,MATCH(UPPER(TRIM($F18))&amp;"|"&amp;UPPER(TRIM($G18)),Setup!$P$21:$P$60,0)),IFERROR(INDEX(Setup!$C$21:$C$60,MATCH(UPPER(TRIM($G18))&amp;"|"&amp;UPPER(TRIM($F18)),Setup!$P$21:$P$60,0)),"NO RATE"))))</f>
        <v/>
      </c>
      <c r="J18" s="98" t="n"/>
      <c r="K18" s="90">
        <f>IF(OR($G18="",$H18="",NOT(ISNUMBER($I18))),"",ROUND($H18*$I18*(1+IF($J18="",Setup!$B$16,$J18)),2))</f>
        <v/>
      </c>
      <c r="L18" s="90">
        <f>IF($K18="","",ROUND($K18*Setup!$B$13,2))</f>
        <v/>
      </c>
      <c r="M18" s="90">
        <f>IF($K18="","",$K18-$L18)</f>
        <v/>
      </c>
      <c r="N18" s="90">
        <f>IF(OR($M18="",$D18=""),"",ROUND($M18*IFERROR(IF(VLOOKUP($D18,Setup!$A$76:$C$87,3,FALSE)="",Setup!$B$14,VLOOKUP($D18,Setup!$A$76:$C$87,3,FALSE)),Setup!$B$14),2))</f>
        <v/>
      </c>
      <c r="O18" s="90">
        <f>IF(OR($M18="",$E18=""),"",ROUND($M18*IFERROR(IF(VLOOKUP($E18,Setup!$A$76:$C$87,3,FALSE)="",Setup!$B$15,VLOOKUP($E18,Setup!$A$76:$C$87,3,FALSE)),Setup!$B$15),2))</f>
        <v/>
      </c>
      <c r="P18" s="99" t="n">
        <v>400</v>
      </c>
      <c r="Q18" s="99" t="n">
        <v>0</v>
      </c>
      <c r="R18" s="99" t="n">
        <v>900</v>
      </c>
      <c r="S18" s="99" t="n">
        <v>120</v>
      </c>
      <c r="T18" s="99" t="n">
        <v>0</v>
      </c>
      <c r="U18" s="90">
        <f>IF($K18="","",SUM($R18:$T18))</f>
        <v/>
      </c>
      <c r="V18" s="90">
        <f>IF($K18="","",$M18-(N($N18)+N($O18)+IF($P18="",Setup!$B$17,$P18)+N($Q18))-N($U18))</f>
        <v/>
      </c>
      <c r="W18" s="95" t="inlineStr">
        <is>
          <t>Paid</t>
        </is>
      </c>
      <c r="X18" s="96" t="inlineStr"/>
      <c r="Z18" s="93">
        <f>IF($A18="","",DATE(YEAR($A18),MONTH($A18),1))</f>
        <v/>
      </c>
    </row>
    <row r="19">
      <c r="A19" s="86" t="n">
        <v>46266</v>
      </c>
      <c r="B19" s="87" t="inlineStr">
        <is>
          <t>DR-1015</t>
        </is>
      </c>
      <c r="C19" s="87" t="inlineStr">
        <is>
          <t>TRUCK 1</t>
        </is>
      </c>
      <c r="D19" s="88" t="inlineStr">
        <is>
          <t>M. Reyes</t>
        </is>
      </c>
      <c r="E19" s="88" t="inlineStr">
        <is>
          <t>A. Bautista</t>
        </is>
      </c>
      <c r="F19" s="88" t="inlineStr">
        <is>
          <t>BATAAN</t>
        </is>
      </c>
      <c r="G19" s="88" t="inlineStr">
        <is>
          <t>TARLAC</t>
        </is>
      </c>
      <c r="H19" s="89" t="n">
        <v>18</v>
      </c>
      <c r="I19" s="90">
        <f>IF($G19="","",IF($F19="",IFERROR(INDEX(Setup!$C$21:$C$60,MATCH("|"&amp;UPPER(TRIM($G19)),Setup!$Q$21:$Q$60,0)),"NO RATE"),IFERROR(INDEX(Setup!$C$21:$C$60,MATCH(UPPER(TRIM($F19))&amp;"|"&amp;UPPER(TRIM($G19)),Setup!$P$21:$P$60,0)),IFERROR(INDEX(Setup!$C$21:$C$60,MATCH(UPPER(TRIM($G19))&amp;"|"&amp;UPPER(TRIM($F19)),Setup!$P$21:$P$60,0)),"NO RATE"))))</f>
        <v/>
      </c>
      <c r="J19" s="91" t="n"/>
      <c r="K19" s="90">
        <f>IF(OR($G19="",$H19="",NOT(ISNUMBER($I19))),"",ROUND($H19*$I19*(1+IF($J19="",Setup!$B$16,$J19)),2))</f>
        <v/>
      </c>
      <c r="L19" s="90">
        <f>IF($K19="","",ROUND($K19*Setup!$B$13,2))</f>
        <v/>
      </c>
      <c r="M19" s="90">
        <f>IF($K19="","",$K19-$L19)</f>
        <v/>
      </c>
      <c r="N19" s="90">
        <f>IF(OR($M19="",$D19=""),"",ROUND($M19*IFERROR(IF(VLOOKUP($D19,Setup!$A$76:$C$87,3,FALSE)="",Setup!$B$14,VLOOKUP($D19,Setup!$A$76:$C$87,3,FALSE)),Setup!$B$14),2))</f>
        <v/>
      </c>
      <c r="O19" s="90">
        <f>IF(OR($M19="",$E19=""),"",ROUND($M19*IFERROR(IF(VLOOKUP($E19,Setup!$A$76:$C$87,3,FALSE)="",Setup!$B$15,VLOOKUP($E19,Setup!$A$76:$C$87,3,FALSE)),Setup!$B$15),2))</f>
        <v/>
      </c>
      <c r="P19" s="92" t="n">
        <v>500</v>
      </c>
      <c r="Q19" s="92" t="n">
        <v>0</v>
      </c>
      <c r="R19" s="92" t="n">
        <v>6400</v>
      </c>
      <c r="S19" s="92" t="n">
        <v>620</v>
      </c>
      <c r="T19" s="92" t="n">
        <v>0</v>
      </c>
      <c r="U19" s="90">
        <f>IF($K19="","",SUM($R19:$T19))</f>
        <v/>
      </c>
      <c r="V19" s="90">
        <f>IF($K19="","",$M19-(N($N19)+N($O19)+IF($P19="",Setup!$B$17,$P19)+N($Q19))-N($U19))</f>
        <v/>
      </c>
      <c r="W19" s="87" t="inlineStr">
        <is>
          <t>Paid</t>
        </is>
      </c>
      <c r="X19" s="88" t="inlineStr"/>
      <c r="Z19" s="93">
        <f>IF($A19="","",DATE(YEAR($A19),MONTH($A19),1))</f>
        <v/>
      </c>
    </row>
    <row r="20">
      <c r="A20" s="94" t="n">
        <v>46267</v>
      </c>
      <c r="B20" s="95" t="inlineStr">
        <is>
          <t>DR-1016</t>
        </is>
      </c>
      <c r="C20" s="95" t="inlineStr">
        <is>
          <t>TRUCK 1</t>
        </is>
      </c>
      <c r="D20" s="96" t="inlineStr">
        <is>
          <t>R. Dela Cruz</t>
        </is>
      </c>
      <c r="E20" s="96" t="inlineStr">
        <is>
          <t>J. Santos</t>
        </is>
      </c>
      <c r="F20" s="96" t="inlineStr">
        <is>
          <t>BATAAN</t>
        </is>
      </c>
      <c r="G20" s="96" t="inlineStr">
        <is>
          <t>BMPP</t>
        </is>
      </c>
      <c r="H20" s="97" t="n">
        <v>21</v>
      </c>
      <c r="I20" s="90">
        <f>IF($G20="","",IF($F20="",IFERROR(INDEX(Setup!$C$21:$C$60,MATCH("|"&amp;UPPER(TRIM($G20)),Setup!$Q$21:$Q$60,0)),"NO RATE"),IFERROR(INDEX(Setup!$C$21:$C$60,MATCH(UPPER(TRIM($F20))&amp;"|"&amp;UPPER(TRIM($G20)),Setup!$P$21:$P$60,0)),IFERROR(INDEX(Setup!$C$21:$C$60,MATCH(UPPER(TRIM($G20))&amp;"|"&amp;UPPER(TRIM($F20)),Setup!$P$21:$P$60,0)),"NO RATE"))))</f>
        <v/>
      </c>
      <c r="J20" s="98" t="n"/>
      <c r="K20" s="90">
        <f>IF(OR($G20="",$H20="",NOT(ISNUMBER($I20))),"",ROUND($H20*$I20*(1+IF($J20="",Setup!$B$16,$J20)),2))</f>
        <v/>
      </c>
      <c r="L20" s="90">
        <f>IF($K20="","",ROUND($K20*Setup!$B$13,2))</f>
        <v/>
      </c>
      <c r="M20" s="90">
        <f>IF($K20="","",$K20-$L20)</f>
        <v/>
      </c>
      <c r="N20" s="90">
        <f>IF(OR($M20="",$D20=""),"",ROUND($M20*IFERROR(IF(VLOOKUP($D20,Setup!$A$76:$C$87,3,FALSE)="",Setup!$B$14,VLOOKUP($D20,Setup!$A$76:$C$87,3,FALSE)),Setup!$B$14),2))</f>
        <v/>
      </c>
      <c r="O20" s="90">
        <f>IF(OR($M20="",$E20=""),"",ROUND($M20*IFERROR(IF(VLOOKUP($E20,Setup!$A$76:$C$87,3,FALSE)="",Setup!$B$15,VLOOKUP($E20,Setup!$A$76:$C$87,3,FALSE)),Setup!$B$15),2))</f>
        <v/>
      </c>
      <c r="P20" s="99" t="n">
        <v>500</v>
      </c>
      <c r="Q20" s="99" t="n">
        <v>0</v>
      </c>
      <c r="R20" s="99" t="n">
        <v>9400</v>
      </c>
      <c r="S20" s="99" t="n">
        <v>560</v>
      </c>
      <c r="T20" s="99" t="n">
        <v>0</v>
      </c>
      <c r="U20" s="90">
        <f>IF($K20="","",SUM($R20:$T20))</f>
        <v/>
      </c>
      <c r="V20" s="90">
        <f>IF($K20="","",$M20-(N($N20)+N($O20)+IF($P20="",Setup!$B$17,$P20)+N($Q20))-N($U20))</f>
        <v/>
      </c>
      <c r="W20" s="95" t="inlineStr">
        <is>
          <t>Paid</t>
        </is>
      </c>
      <c r="X20" s="96" t="inlineStr"/>
      <c r="Z20" s="93">
        <f>IF($A20="","",DATE(YEAR($A20),MONTH($A20),1))</f>
        <v/>
      </c>
    </row>
    <row r="21">
      <c r="A21" s="86" t="n">
        <v>46269</v>
      </c>
      <c r="B21" s="87" t="inlineStr">
        <is>
          <t>DR-1017</t>
        </is>
      </c>
      <c r="C21" s="87" t="inlineStr">
        <is>
          <t>TRUCK 1</t>
        </is>
      </c>
      <c r="D21" s="88" t="inlineStr">
        <is>
          <t>M. Reyes</t>
        </is>
      </c>
      <c r="E21" s="88" t="inlineStr">
        <is>
          <t>A. Bautista</t>
        </is>
      </c>
      <c r="F21" s="88" t="inlineStr">
        <is>
          <t>ORION</t>
        </is>
      </c>
      <c r="G21" s="88" t="inlineStr">
        <is>
          <t>BMPP</t>
        </is>
      </c>
      <c r="H21" s="89" t="n">
        <v>21</v>
      </c>
      <c r="I21" s="90">
        <f>IF($G21="","",IF($F21="",IFERROR(INDEX(Setup!$C$21:$C$60,MATCH("|"&amp;UPPER(TRIM($G21)),Setup!$Q$21:$Q$60,0)),"NO RATE"),IFERROR(INDEX(Setup!$C$21:$C$60,MATCH(UPPER(TRIM($F21))&amp;"|"&amp;UPPER(TRIM($G21)),Setup!$P$21:$P$60,0)),IFERROR(INDEX(Setup!$C$21:$C$60,MATCH(UPPER(TRIM($G21))&amp;"|"&amp;UPPER(TRIM($F21)),Setup!$P$21:$P$60,0)),"NO RATE"))))</f>
        <v/>
      </c>
      <c r="J21" s="91" t="n"/>
      <c r="K21" s="90">
        <f>IF(OR($G21="",$H21="",NOT(ISNUMBER($I21))),"",ROUND($H21*$I21*(1+IF($J21="",Setup!$B$16,$J21)),2))</f>
        <v/>
      </c>
      <c r="L21" s="90">
        <f>IF($K21="","",ROUND($K21*Setup!$B$13,2))</f>
        <v/>
      </c>
      <c r="M21" s="90">
        <f>IF($K21="","",$K21-$L21)</f>
        <v/>
      </c>
      <c r="N21" s="90">
        <f>IF(OR($M21="",$D21=""),"",ROUND($M21*IFERROR(IF(VLOOKUP($D21,Setup!$A$76:$C$87,3,FALSE)="",Setup!$B$14,VLOOKUP($D21,Setup!$A$76:$C$87,3,FALSE)),Setup!$B$14),2))</f>
        <v/>
      </c>
      <c r="O21" s="90">
        <f>IF(OR($M21="",$E21=""),"",ROUND($M21*IFERROR(IF(VLOOKUP($E21,Setup!$A$76:$C$87,3,FALSE)="",Setup!$B$15,VLOOKUP($E21,Setup!$A$76:$C$87,3,FALSE)),Setup!$B$15),2))</f>
        <v/>
      </c>
      <c r="P21" s="92" t="n">
        <v>500</v>
      </c>
      <c r="Q21" s="92" t="n">
        <v>0</v>
      </c>
      <c r="R21" s="92" t="n">
        <v>7600</v>
      </c>
      <c r="S21" s="92" t="n">
        <v>540</v>
      </c>
      <c r="T21" s="92" t="n">
        <v>0</v>
      </c>
      <c r="U21" s="90">
        <f>IF($K21="","",SUM($R21:$T21))</f>
        <v/>
      </c>
      <c r="V21" s="90">
        <f>IF($K21="","",$M21-(N($N21)+N($O21)+IF($P21="",Setup!$B$17,$P21)+N($Q21))-N($U21))</f>
        <v/>
      </c>
      <c r="W21" s="87" t="inlineStr">
        <is>
          <t>Paid</t>
        </is>
      </c>
      <c r="X21" s="88" t="inlineStr"/>
      <c r="Z21" s="93">
        <f>IF($A21="","",DATE(YEAR($A21),MONTH($A21),1))</f>
        <v/>
      </c>
    </row>
    <row r="22">
      <c r="A22" s="94" t="n">
        <v>46271</v>
      </c>
      <c r="B22" s="95" t="inlineStr">
        <is>
          <t>DR-1018</t>
        </is>
      </c>
      <c r="C22" s="95" t="inlineStr">
        <is>
          <t>TRUCK 1</t>
        </is>
      </c>
      <c r="D22" s="96" t="inlineStr">
        <is>
          <t>R. Dela Cruz</t>
        </is>
      </c>
      <c r="E22" s="96" t="inlineStr">
        <is>
          <t>J. Santos</t>
        </is>
      </c>
      <c r="F22" s="96" t="inlineStr">
        <is>
          <t>MABINI, BATANGAS</t>
        </is>
      </c>
      <c r="G22" s="96" t="inlineStr">
        <is>
          <t>BMPP</t>
        </is>
      </c>
      <c r="H22" s="97" t="n">
        <v>20</v>
      </c>
      <c r="I22" s="90">
        <f>IF($G22="","",IF($F22="",IFERROR(INDEX(Setup!$C$21:$C$60,MATCH("|"&amp;UPPER(TRIM($G22)),Setup!$Q$21:$Q$60,0)),"NO RATE"),IFERROR(INDEX(Setup!$C$21:$C$60,MATCH(UPPER(TRIM($F22))&amp;"|"&amp;UPPER(TRIM($G22)),Setup!$P$21:$P$60,0)),IFERROR(INDEX(Setup!$C$21:$C$60,MATCH(UPPER(TRIM($G22))&amp;"|"&amp;UPPER(TRIM($F22)),Setup!$P$21:$P$60,0)),"NO RATE"))))</f>
        <v/>
      </c>
      <c r="J22" s="98" t="n"/>
      <c r="K22" s="90">
        <f>IF(OR($G22="",$H22="",NOT(ISNUMBER($I22))),"",ROUND($H22*$I22*(1+IF($J22="",Setup!$B$16,$J22)),2))</f>
        <v/>
      </c>
      <c r="L22" s="90">
        <f>IF($K22="","",ROUND($K22*Setup!$B$13,2))</f>
        <v/>
      </c>
      <c r="M22" s="90">
        <f>IF($K22="","",$K22-$L22)</f>
        <v/>
      </c>
      <c r="N22" s="90">
        <f>IF(OR($M22="",$D22=""),"",ROUND($M22*IFERROR(IF(VLOOKUP($D22,Setup!$A$76:$C$87,3,FALSE)="",Setup!$B$14,VLOOKUP($D22,Setup!$A$76:$C$87,3,FALSE)),Setup!$B$14),2))</f>
        <v/>
      </c>
      <c r="O22" s="90">
        <f>IF(OR($M22="",$E22=""),"",ROUND($M22*IFERROR(IF(VLOOKUP($E22,Setup!$A$76:$C$87,3,FALSE)="",Setup!$B$15,VLOOKUP($E22,Setup!$A$76:$C$87,3,FALSE)),Setup!$B$15),2))</f>
        <v/>
      </c>
      <c r="P22" s="99" t="n">
        <v>500</v>
      </c>
      <c r="Q22" s="99" t="n">
        <v>0</v>
      </c>
      <c r="R22" s="99" t="n">
        <v>12700</v>
      </c>
      <c r="S22" s="99" t="n">
        <v>980</v>
      </c>
      <c r="T22" s="99" t="n">
        <v>0</v>
      </c>
      <c r="U22" s="90">
        <f>IF($K22="","",SUM($R22:$T22))</f>
        <v/>
      </c>
      <c r="V22" s="90">
        <f>IF($K22="","",$M22-(N($N22)+N($O22)+IF($P22="",Setup!$B$17,$P22)+N($Q22))-N($U22))</f>
        <v/>
      </c>
      <c r="W22" s="95" t="inlineStr">
        <is>
          <t>Paid</t>
        </is>
      </c>
      <c r="X22" s="96" t="inlineStr"/>
      <c r="Z22" s="93">
        <f>IF($A22="","",DATE(YEAR($A22),MONTH($A22),1))</f>
        <v/>
      </c>
    </row>
    <row r="23">
      <c r="A23" s="86" t="n">
        <v>46273</v>
      </c>
      <c r="B23" s="87" t="inlineStr">
        <is>
          <t>DR-1019</t>
        </is>
      </c>
      <c r="C23" s="87" t="inlineStr">
        <is>
          <t>TRUCK 1</t>
        </is>
      </c>
      <c r="D23" s="88" t="inlineStr">
        <is>
          <t>M. Reyes</t>
        </is>
      </c>
      <c r="E23" s="88" t="inlineStr">
        <is>
          <t>A. Bautista</t>
        </is>
      </c>
      <c r="F23" s="88" t="inlineStr">
        <is>
          <t>BATAAN</t>
        </is>
      </c>
      <c r="G23" s="88" t="inlineStr">
        <is>
          <t>ISABELA</t>
        </is>
      </c>
      <c r="H23" s="89" t="n">
        <v>19</v>
      </c>
      <c r="I23" s="90">
        <f>IF($G23="","",IF($F23="",IFERROR(INDEX(Setup!$C$21:$C$60,MATCH("|"&amp;UPPER(TRIM($G23)),Setup!$Q$21:$Q$60,0)),"NO RATE"),IFERROR(INDEX(Setup!$C$21:$C$60,MATCH(UPPER(TRIM($F23))&amp;"|"&amp;UPPER(TRIM($G23)),Setup!$P$21:$P$60,0)),IFERROR(INDEX(Setup!$C$21:$C$60,MATCH(UPPER(TRIM($G23))&amp;"|"&amp;UPPER(TRIM($F23)),Setup!$P$21:$P$60,0)),"NO RATE"))))</f>
        <v/>
      </c>
      <c r="J23" s="91" t="n"/>
      <c r="K23" s="90">
        <f>IF(OR($G23="",$H23="",NOT(ISNUMBER($I23))),"",ROUND($H23*$I23*(1+IF($J23="",Setup!$B$16,$J23)),2))</f>
        <v/>
      </c>
      <c r="L23" s="90">
        <f>IF($K23="","",ROUND($K23*Setup!$B$13,2))</f>
        <v/>
      </c>
      <c r="M23" s="90">
        <f>IF($K23="","",$K23-$L23)</f>
        <v/>
      </c>
      <c r="N23" s="90">
        <f>IF(OR($M23="",$D23=""),"",ROUND($M23*IFERROR(IF(VLOOKUP($D23,Setup!$A$76:$C$87,3,FALSE)="",Setup!$B$14,VLOOKUP($D23,Setup!$A$76:$C$87,3,FALSE)),Setup!$B$14),2))</f>
        <v/>
      </c>
      <c r="O23" s="90">
        <f>IF(OR($M23="",$E23=""),"",ROUND($M23*IFERROR(IF(VLOOKUP($E23,Setup!$A$76:$C$87,3,FALSE)="",Setup!$B$15,VLOOKUP($E23,Setup!$A$76:$C$87,3,FALSE)),Setup!$B$15),2))</f>
        <v/>
      </c>
      <c r="P23" s="92" t="n">
        <v>500</v>
      </c>
      <c r="Q23" s="92" t="n">
        <v>450</v>
      </c>
      <c r="R23" s="92" t="n">
        <v>18800</v>
      </c>
      <c r="S23" s="92" t="n">
        <v>1250</v>
      </c>
      <c r="T23" s="92" t="n">
        <v>0</v>
      </c>
      <c r="U23" s="90">
        <f>IF($K23="","",SUM($R23:$T23))</f>
        <v/>
      </c>
      <c r="V23" s="90">
        <f>IF($K23="","",$M23-(N($N23)+N($O23)+IF($P23="",Setup!$B$17,$P23)+N($Q23))-N($U23))</f>
        <v/>
      </c>
      <c r="W23" s="87" t="inlineStr">
        <is>
          <t>Paid</t>
        </is>
      </c>
      <c r="X23" s="88" t="inlineStr">
        <is>
          <t>long haul — diesel receipt attached</t>
        </is>
      </c>
      <c r="Z23" s="93">
        <f>IF($A23="","",DATE(YEAR($A23),MONTH($A23),1))</f>
        <v/>
      </c>
    </row>
    <row r="24">
      <c r="A24" s="94" t="n">
        <v>46274</v>
      </c>
      <c r="B24" s="95" t="inlineStr">
        <is>
          <t>DR-1020</t>
        </is>
      </c>
      <c r="C24" s="95" t="inlineStr">
        <is>
          <t>TRUCK 1</t>
        </is>
      </c>
      <c r="D24" s="96" t="inlineStr">
        <is>
          <t>R. Dela Cruz</t>
        </is>
      </c>
      <c r="E24" s="96" t="inlineStr">
        <is>
          <t>J. Santos</t>
        </is>
      </c>
      <c r="F24" s="96" t="inlineStr">
        <is>
          <t>ORION</t>
        </is>
      </c>
      <c r="G24" s="96" t="inlineStr">
        <is>
          <t>TARLAC</t>
        </is>
      </c>
      <c r="H24" s="97" t="n">
        <v>19</v>
      </c>
      <c r="I24" s="90">
        <f>IF($G24="","",IF($F24="",IFERROR(INDEX(Setup!$C$21:$C$60,MATCH("|"&amp;UPPER(TRIM($G24)),Setup!$Q$21:$Q$60,0)),"NO RATE"),IFERROR(INDEX(Setup!$C$21:$C$60,MATCH(UPPER(TRIM($F24))&amp;"|"&amp;UPPER(TRIM($G24)),Setup!$P$21:$P$60,0)),IFERROR(INDEX(Setup!$C$21:$C$60,MATCH(UPPER(TRIM($G24))&amp;"|"&amp;UPPER(TRIM($F24)),Setup!$P$21:$P$60,0)),"NO RATE"))))</f>
        <v/>
      </c>
      <c r="J24" s="98" t="n"/>
      <c r="K24" s="90">
        <f>IF(OR($G24="",$H24="",NOT(ISNUMBER($I24))),"",ROUND($H24*$I24*(1+IF($J24="",Setup!$B$16,$J24)),2))</f>
        <v/>
      </c>
      <c r="L24" s="90">
        <f>IF($K24="","",ROUND($K24*Setup!$B$13,2))</f>
        <v/>
      </c>
      <c r="M24" s="90">
        <f>IF($K24="","",$K24-$L24)</f>
        <v/>
      </c>
      <c r="N24" s="90">
        <f>IF(OR($M24="",$D24=""),"",ROUND($M24*IFERROR(IF(VLOOKUP($D24,Setup!$A$76:$C$87,3,FALSE)="",Setup!$B$14,VLOOKUP($D24,Setup!$A$76:$C$87,3,FALSE)),Setup!$B$14),2))</f>
        <v/>
      </c>
      <c r="O24" s="90">
        <f>IF(OR($M24="",$E24=""),"",ROUND($M24*IFERROR(IF(VLOOKUP($E24,Setup!$A$76:$C$87,3,FALSE)="",Setup!$B$15,VLOOKUP($E24,Setup!$A$76:$C$87,3,FALSE)),Setup!$B$15),2))</f>
        <v/>
      </c>
      <c r="P24" s="99" t="n">
        <v>500</v>
      </c>
      <c r="Q24" s="99" t="n">
        <v>0</v>
      </c>
      <c r="R24" s="99" t="n">
        <v>5600</v>
      </c>
      <c r="S24" s="99" t="n">
        <v>610</v>
      </c>
      <c r="T24" s="99" t="n">
        <v>0</v>
      </c>
      <c r="U24" s="90">
        <f>IF($K24="","",SUM($R24:$T24))</f>
        <v/>
      </c>
      <c r="V24" s="90">
        <f>IF($K24="","",$M24-(N($N24)+N($O24)+IF($P24="",Setup!$B$17,$P24)+N($Q24))-N($U24))</f>
        <v/>
      </c>
      <c r="W24" s="95" t="inlineStr">
        <is>
          <t>Paid</t>
        </is>
      </c>
      <c r="X24" s="96" t="inlineStr"/>
      <c r="Z24" s="93">
        <f>IF($A24="","",DATE(YEAR($A24),MONTH($A24),1))</f>
        <v/>
      </c>
    </row>
    <row r="25">
      <c r="A25" s="86" t="n">
        <v>46276</v>
      </c>
      <c r="B25" s="87" t="inlineStr">
        <is>
          <t>DR-1021</t>
        </is>
      </c>
      <c r="C25" s="87" t="inlineStr">
        <is>
          <t>TRUCK 1</t>
        </is>
      </c>
      <c r="D25" s="88" t="inlineStr">
        <is>
          <t>M. Reyes</t>
        </is>
      </c>
      <c r="E25" s="88" t="inlineStr">
        <is>
          <t>A. Bautista</t>
        </is>
      </c>
      <c r="F25" s="88" t="inlineStr">
        <is>
          <t>MABINI, BATANGAS</t>
        </is>
      </c>
      <c r="G25" s="88" t="inlineStr">
        <is>
          <t>TARLAC</t>
        </is>
      </c>
      <c r="H25" s="89" t="n">
        <v>18</v>
      </c>
      <c r="I25" s="90">
        <f>IF($G25="","",IF($F25="",IFERROR(INDEX(Setup!$C$21:$C$60,MATCH("|"&amp;UPPER(TRIM($G25)),Setup!$Q$21:$Q$60,0)),"NO RATE"),IFERROR(INDEX(Setup!$C$21:$C$60,MATCH(UPPER(TRIM($F25))&amp;"|"&amp;UPPER(TRIM($G25)),Setup!$P$21:$P$60,0)),IFERROR(INDEX(Setup!$C$21:$C$60,MATCH(UPPER(TRIM($G25))&amp;"|"&amp;UPPER(TRIM($F25)),Setup!$P$21:$P$60,0)),"NO RATE"))))</f>
        <v/>
      </c>
      <c r="J25" s="91" t="n"/>
      <c r="K25" s="90">
        <f>IF(OR($G25="",$H25="",NOT(ISNUMBER($I25))),"",ROUND($H25*$I25*(1+IF($J25="",Setup!$B$16,$J25)),2))</f>
        <v/>
      </c>
      <c r="L25" s="90">
        <f>IF($K25="","",ROUND($K25*Setup!$B$13,2))</f>
        <v/>
      </c>
      <c r="M25" s="90">
        <f>IF($K25="","",$K25-$L25)</f>
        <v/>
      </c>
      <c r="N25" s="90">
        <f>IF(OR($M25="",$D25=""),"",ROUND($M25*IFERROR(IF(VLOOKUP($D25,Setup!$A$76:$C$87,3,FALSE)="",Setup!$B$14,VLOOKUP($D25,Setup!$A$76:$C$87,3,FALSE)),Setup!$B$14),2))</f>
        <v/>
      </c>
      <c r="O25" s="90">
        <f>IF(OR($M25="",$E25=""),"",ROUND($M25*IFERROR(IF(VLOOKUP($E25,Setup!$A$76:$C$87,3,FALSE)="",Setup!$B$15,VLOOKUP($E25,Setup!$A$76:$C$87,3,FALSE)),Setup!$B$15),2))</f>
        <v/>
      </c>
      <c r="P25" s="92" t="n">
        <v>500</v>
      </c>
      <c r="Q25" s="92" t="n">
        <v>0</v>
      </c>
      <c r="R25" s="92" t="n">
        <v>10200</v>
      </c>
      <c r="S25" s="92" t="n">
        <v>900</v>
      </c>
      <c r="T25" s="92" t="n">
        <v>0</v>
      </c>
      <c r="U25" s="90">
        <f>IF($K25="","",SUM($R25:$T25))</f>
        <v/>
      </c>
      <c r="V25" s="90">
        <f>IF($K25="","",$M25-(N($N25)+N($O25)+IF($P25="",Setup!$B$17,$P25)+N($Q25))-N($U25))</f>
        <v/>
      </c>
      <c r="W25" s="87" t="inlineStr">
        <is>
          <t>Paid</t>
        </is>
      </c>
      <c r="X25" s="88" t="inlineStr"/>
      <c r="Z25" s="93">
        <f>IF($A25="","",DATE(YEAR($A25),MONTH($A25),1))</f>
        <v/>
      </c>
    </row>
    <row r="26">
      <c r="A26" s="94" t="n">
        <v>46278</v>
      </c>
      <c r="B26" s="95" t="inlineStr">
        <is>
          <t>DR-1022</t>
        </is>
      </c>
      <c r="C26" s="95" t="inlineStr">
        <is>
          <t>TRUCK 1</t>
        </is>
      </c>
      <c r="D26" s="96" t="inlineStr">
        <is>
          <t>R. Dela Cruz</t>
        </is>
      </c>
      <c r="E26" s="96" t="inlineStr">
        <is>
          <t>J. Santos</t>
        </is>
      </c>
      <c r="F26" s="96" t="inlineStr">
        <is>
          <t>BATAAN</t>
        </is>
      </c>
      <c r="G26" s="96" t="inlineStr">
        <is>
          <t>ARMOR</t>
        </is>
      </c>
      <c r="H26" s="97" t="n">
        <v>21</v>
      </c>
      <c r="I26" s="90">
        <f>IF($G26="","",IF($F26="",IFERROR(INDEX(Setup!$C$21:$C$60,MATCH("|"&amp;UPPER(TRIM($G26)),Setup!$Q$21:$Q$60,0)),"NO RATE"),IFERROR(INDEX(Setup!$C$21:$C$60,MATCH(UPPER(TRIM($F26))&amp;"|"&amp;UPPER(TRIM($G26)),Setup!$P$21:$P$60,0)),IFERROR(INDEX(Setup!$C$21:$C$60,MATCH(UPPER(TRIM($G26))&amp;"|"&amp;UPPER(TRIM($F26)),Setup!$P$21:$P$60,0)),"NO RATE"))))</f>
        <v/>
      </c>
      <c r="J26" s="98" t="n"/>
      <c r="K26" s="90">
        <f>IF(OR($G26="",$H26="",NOT(ISNUMBER($I26))),"",ROUND($H26*$I26*(1+IF($J26="",Setup!$B$16,$J26)),2))</f>
        <v/>
      </c>
      <c r="L26" s="90">
        <f>IF($K26="","",ROUND($K26*Setup!$B$13,2))</f>
        <v/>
      </c>
      <c r="M26" s="90">
        <f>IF($K26="","",$K26-$L26)</f>
        <v/>
      </c>
      <c r="N26" s="90">
        <f>IF(OR($M26="",$D26=""),"",ROUND($M26*IFERROR(IF(VLOOKUP($D26,Setup!$A$76:$C$87,3,FALSE)="",Setup!$B$14,VLOOKUP($D26,Setup!$A$76:$C$87,3,FALSE)),Setup!$B$14),2))</f>
        <v/>
      </c>
      <c r="O26" s="90">
        <f>IF(OR($M26="",$E26=""),"",ROUND($M26*IFERROR(IF(VLOOKUP($E26,Setup!$A$76:$C$87,3,FALSE)="",Setup!$B$15,VLOOKUP($E26,Setup!$A$76:$C$87,3,FALSE)),Setup!$B$15),2))</f>
        <v/>
      </c>
      <c r="P26" s="99" t="n">
        <v>500</v>
      </c>
      <c r="Q26" s="99" t="n">
        <v>0</v>
      </c>
      <c r="R26" s="99" t="n">
        <v>8900</v>
      </c>
      <c r="S26" s="99" t="n">
        <v>520</v>
      </c>
      <c r="T26" s="99" t="n">
        <v>0</v>
      </c>
      <c r="U26" s="90">
        <f>IF($K26="","",SUM($R26:$T26))</f>
        <v/>
      </c>
      <c r="V26" s="90">
        <f>IF($K26="","",$M26-(N($N26)+N($O26)+IF($P26="",Setup!$B$17,$P26)+N($Q26))-N($U26))</f>
        <v/>
      </c>
      <c r="W26" s="95" t="inlineStr">
        <is>
          <t>Paid</t>
        </is>
      </c>
      <c r="X26" s="96" t="inlineStr"/>
      <c r="Z26" s="93">
        <f>IF($A26="","",DATE(YEAR($A26),MONTH($A26),1))</f>
        <v/>
      </c>
    </row>
    <row r="27">
      <c r="A27" s="86" t="n">
        <v>46280</v>
      </c>
      <c r="B27" s="87" t="inlineStr">
        <is>
          <t>DR-1023</t>
        </is>
      </c>
      <c r="C27" s="87" t="inlineStr">
        <is>
          <t>TRUCK 1</t>
        </is>
      </c>
      <c r="D27" s="88" t="inlineStr">
        <is>
          <t>M. Reyes</t>
        </is>
      </c>
      <c r="E27" s="88" t="inlineStr">
        <is>
          <t>A. Bautista</t>
        </is>
      </c>
      <c r="F27" s="88" t="inlineStr">
        <is>
          <t>ORION</t>
        </is>
      </c>
      <c r="G27" s="88" t="inlineStr">
        <is>
          <t>BULACAN</t>
        </is>
      </c>
      <c r="H27" s="89" t="n">
        <v>21</v>
      </c>
      <c r="I27" s="90">
        <f>IF($G27="","",IF($F27="",IFERROR(INDEX(Setup!$C$21:$C$60,MATCH("|"&amp;UPPER(TRIM($G27)),Setup!$Q$21:$Q$60,0)),"NO RATE"),IFERROR(INDEX(Setup!$C$21:$C$60,MATCH(UPPER(TRIM($F27))&amp;"|"&amp;UPPER(TRIM($G27)),Setup!$P$21:$P$60,0)),IFERROR(INDEX(Setup!$C$21:$C$60,MATCH(UPPER(TRIM($G27))&amp;"|"&amp;UPPER(TRIM($F27)),Setup!$P$21:$P$60,0)),"NO RATE"))))</f>
        <v/>
      </c>
      <c r="J27" s="91" t="n"/>
      <c r="K27" s="90">
        <f>IF(OR($G27="",$H27="",NOT(ISNUMBER($I27))),"",ROUND($H27*$I27*(1+IF($J27="",Setup!$B$16,$J27)),2))</f>
        <v/>
      </c>
      <c r="L27" s="90">
        <f>IF($K27="","",ROUND($K27*Setup!$B$13,2))</f>
        <v/>
      </c>
      <c r="M27" s="90">
        <f>IF($K27="","",$K27-$L27)</f>
        <v/>
      </c>
      <c r="N27" s="90">
        <f>IF(OR($M27="",$D27=""),"",ROUND($M27*IFERROR(IF(VLOOKUP($D27,Setup!$A$76:$C$87,3,FALSE)="",Setup!$B$14,VLOOKUP($D27,Setup!$A$76:$C$87,3,FALSE)),Setup!$B$14),2))</f>
        <v/>
      </c>
      <c r="O27" s="90">
        <f>IF(OR($M27="",$E27=""),"",ROUND($M27*IFERROR(IF(VLOOKUP($E27,Setup!$A$76:$C$87,3,FALSE)="",Setup!$B$15,VLOOKUP($E27,Setup!$A$76:$C$87,3,FALSE)),Setup!$B$15),2))</f>
        <v/>
      </c>
      <c r="P27" s="92" t="n">
        <v>500</v>
      </c>
      <c r="Q27" s="92" t="n">
        <v>0</v>
      </c>
      <c r="R27" s="92" t="n">
        <v>6000</v>
      </c>
      <c r="S27" s="92" t="n">
        <v>590</v>
      </c>
      <c r="T27" s="92" t="n">
        <v>0</v>
      </c>
      <c r="U27" s="90">
        <f>IF($K27="","",SUM($R27:$T27))</f>
        <v/>
      </c>
      <c r="V27" s="90">
        <f>IF($K27="","",$M27-(N($N27)+N($O27)+IF($P27="",Setup!$B$17,$P27)+N($Q27))-N($U27))</f>
        <v/>
      </c>
      <c r="W27" s="87" t="inlineStr">
        <is>
          <t>Paid</t>
        </is>
      </c>
      <c r="X27" s="88" t="inlineStr"/>
      <c r="Z27" s="93">
        <f>IF($A27="","",DATE(YEAR($A27),MONTH($A27),1))</f>
        <v/>
      </c>
    </row>
    <row r="28">
      <c r="A28" s="94" t="n">
        <v>46281</v>
      </c>
      <c r="B28" s="95" t="inlineStr">
        <is>
          <t>DR-1024</t>
        </is>
      </c>
      <c r="C28" s="95" t="inlineStr">
        <is>
          <t>TRUCK 1</t>
        </is>
      </c>
      <c r="D28" s="96" t="inlineStr">
        <is>
          <t>R. Dela Cruz</t>
        </is>
      </c>
      <c r="E28" s="96" t="inlineStr">
        <is>
          <t>J. Santos</t>
        </is>
      </c>
      <c r="F28" s="96" t="inlineStr">
        <is>
          <t>MABINI, BATANGAS</t>
        </is>
      </c>
      <c r="G28" s="96" t="inlineStr">
        <is>
          <t>MONCADA</t>
        </is>
      </c>
      <c r="H28" s="97" t="n">
        <v>18</v>
      </c>
      <c r="I28" s="90">
        <f>IF($G28="","",IF($F28="",IFERROR(INDEX(Setup!$C$21:$C$60,MATCH("|"&amp;UPPER(TRIM($G28)),Setup!$Q$21:$Q$60,0)),"NO RATE"),IFERROR(INDEX(Setup!$C$21:$C$60,MATCH(UPPER(TRIM($F28))&amp;"|"&amp;UPPER(TRIM($G28)),Setup!$P$21:$P$60,0)),IFERROR(INDEX(Setup!$C$21:$C$60,MATCH(UPPER(TRIM($G28))&amp;"|"&amp;UPPER(TRIM($F28)),Setup!$P$21:$P$60,0)),"NO RATE"))))</f>
        <v/>
      </c>
      <c r="J28" s="98" t="n"/>
      <c r="K28" s="90">
        <f>IF(OR($G28="",$H28="",NOT(ISNUMBER($I28))),"",ROUND($H28*$I28*(1+IF($J28="",Setup!$B$16,$J28)),2))</f>
        <v/>
      </c>
      <c r="L28" s="90">
        <f>IF($K28="","",ROUND($K28*Setup!$B$13,2))</f>
        <v/>
      </c>
      <c r="M28" s="90">
        <f>IF($K28="","",$K28-$L28)</f>
        <v/>
      </c>
      <c r="N28" s="90">
        <f>IF(OR($M28="",$D28=""),"",ROUND($M28*IFERROR(IF(VLOOKUP($D28,Setup!$A$76:$C$87,3,FALSE)="",Setup!$B$14,VLOOKUP($D28,Setup!$A$76:$C$87,3,FALSE)),Setup!$B$14),2))</f>
        <v/>
      </c>
      <c r="O28" s="90">
        <f>IF(OR($M28="",$E28=""),"",ROUND($M28*IFERROR(IF(VLOOKUP($E28,Setup!$A$76:$C$87,3,FALSE)="",Setup!$B$15,VLOOKUP($E28,Setup!$A$76:$C$87,3,FALSE)),Setup!$B$15),2))</f>
        <v/>
      </c>
      <c r="P28" s="99" t="n">
        <v>500</v>
      </c>
      <c r="Q28" s="99" t="n">
        <v>450</v>
      </c>
      <c r="R28" s="99" t="n">
        <v>7700</v>
      </c>
      <c r="S28" s="99" t="n">
        <v>430</v>
      </c>
      <c r="T28" s="99" t="n">
        <v>0</v>
      </c>
      <c r="U28" s="90">
        <f>IF($K28="","",SUM($R28:$T28))</f>
        <v/>
      </c>
      <c r="V28" s="90">
        <f>IF($K28="","",$M28-(N($N28)+N($O28)+IF($P28="",Setup!$B$17,$P28)+N($Q28))-N($U28))</f>
        <v/>
      </c>
      <c r="W28" s="95" t="inlineStr">
        <is>
          <t>Paid</t>
        </is>
      </c>
      <c r="X28" s="96" t="inlineStr">
        <is>
          <t>helper not available, driver solo</t>
        </is>
      </c>
      <c r="Z28" s="93">
        <f>IF($A28="","",DATE(YEAR($A28),MONTH($A28),1))</f>
        <v/>
      </c>
    </row>
    <row r="29">
      <c r="A29" s="86" t="n">
        <v>46283</v>
      </c>
      <c r="B29" s="87" t="inlineStr">
        <is>
          <t>DR-1025</t>
        </is>
      </c>
      <c r="C29" s="87" t="inlineStr">
        <is>
          <t>TRUCK 1</t>
        </is>
      </c>
      <c r="D29" s="88" t="inlineStr">
        <is>
          <t>M. Reyes</t>
        </is>
      </c>
      <c r="E29" s="88" t="inlineStr">
        <is>
          <t>A. Bautista</t>
        </is>
      </c>
      <c r="F29" s="88" t="inlineStr">
        <is>
          <t>BATAAN</t>
        </is>
      </c>
      <c r="G29" s="88" t="inlineStr">
        <is>
          <t>BULACAN</t>
        </is>
      </c>
      <c r="H29" s="89" t="n">
        <v>21</v>
      </c>
      <c r="I29" s="90">
        <f>IF($G29="","",IF($F29="",IFERROR(INDEX(Setup!$C$21:$C$60,MATCH("|"&amp;UPPER(TRIM($G29)),Setup!$Q$21:$Q$60,0)),"NO RATE"),IFERROR(INDEX(Setup!$C$21:$C$60,MATCH(UPPER(TRIM($F29))&amp;"|"&amp;UPPER(TRIM($G29)),Setup!$P$21:$P$60,0)),IFERROR(INDEX(Setup!$C$21:$C$60,MATCH(UPPER(TRIM($G29))&amp;"|"&amp;UPPER(TRIM($F29)),Setup!$P$21:$P$60,0)),"NO RATE"))))</f>
        <v/>
      </c>
      <c r="J29" s="91" t="n"/>
      <c r="K29" s="90">
        <f>IF(OR($G29="",$H29="",NOT(ISNUMBER($I29))),"",ROUND($H29*$I29*(1+IF($J29="",Setup!$B$16,$J29)),2))</f>
        <v/>
      </c>
      <c r="L29" s="90">
        <f>IF($K29="","",ROUND($K29*Setup!$B$13,2))</f>
        <v/>
      </c>
      <c r="M29" s="90">
        <f>IF($K29="","",$K29-$L29)</f>
        <v/>
      </c>
      <c r="N29" s="90">
        <f>IF(OR($M29="",$D29=""),"",ROUND($M29*IFERROR(IF(VLOOKUP($D29,Setup!$A$76:$C$87,3,FALSE)="",Setup!$B$14,VLOOKUP($D29,Setup!$A$76:$C$87,3,FALSE)),Setup!$B$14),2))</f>
        <v/>
      </c>
      <c r="O29" s="90">
        <f>IF(OR($M29="",$E29=""),"",ROUND($M29*IFERROR(IF(VLOOKUP($E29,Setup!$A$76:$C$87,3,FALSE)="",Setup!$B$15,VLOOKUP($E29,Setup!$A$76:$C$87,3,FALSE)),Setup!$B$15),2))</f>
        <v/>
      </c>
      <c r="P29" s="92" t="n">
        <v>500</v>
      </c>
      <c r="Q29" s="92" t="n">
        <v>0</v>
      </c>
      <c r="R29" s="92" t="n">
        <v>8600</v>
      </c>
      <c r="S29" s="92" t="n">
        <v>480</v>
      </c>
      <c r="T29" s="92" t="n">
        <v>0</v>
      </c>
      <c r="U29" s="90">
        <f>IF($K29="","",SUM($R29:$T29))</f>
        <v/>
      </c>
      <c r="V29" s="90">
        <f>IF($K29="","",$M29-(N($N29)+N($O29)+IF($P29="",Setup!$B$17,$P29)+N($Q29))-N($U29))</f>
        <v/>
      </c>
      <c r="W29" s="87" t="inlineStr">
        <is>
          <t>Paid</t>
        </is>
      </c>
      <c r="X29" s="88" t="inlineStr"/>
      <c r="Z29" s="93">
        <f>IF($A29="","",DATE(YEAR($A29),MONTH($A29),1))</f>
        <v/>
      </c>
    </row>
    <row r="30">
      <c r="A30" s="94" t="n">
        <v>46285</v>
      </c>
      <c r="B30" s="95" t="inlineStr">
        <is>
          <t>DR-1026</t>
        </is>
      </c>
      <c r="C30" s="95" t="inlineStr">
        <is>
          <t>TRUCK 1</t>
        </is>
      </c>
      <c r="D30" s="96" t="inlineStr">
        <is>
          <t>R. Dela Cruz</t>
        </is>
      </c>
      <c r="E30" s="96" t="inlineStr">
        <is>
          <t>J. Santos</t>
        </is>
      </c>
      <c r="F30" s="96" t="inlineStr">
        <is>
          <t>ORION</t>
        </is>
      </c>
      <c r="G30" s="96" t="inlineStr">
        <is>
          <t>ROSALES</t>
        </is>
      </c>
      <c r="H30" s="97" t="n">
        <v>19</v>
      </c>
      <c r="I30" s="90">
        <f>IF($G30="","",IF($F30="",IFERROR(INDEX(Setup!$C$21:$C$60,MATCH("|"&amp;UPPER(TRIM($G30)),Setup!$Q$21:$Q$60,0)),"NO RATE"),IFERROR(INDEX(Setup!$C$21:$C$60,MATCH(UPPER(TRIM($F30))&amp;"|"&amp;UPPER(TRIM($G30)),Setup!$P$21:$P$60,0)),IFERROR(INDEX(Setup!$C$21:$C$60,MATCH(UPPER(TRIM($G30))&amp;"|"&amp;UPPER(TRIM($F30)),Setup!$P$21:$P$60,0)),"NO RATE"))))</f>
        <v/>
      </c>
      <c r="J30" s="98" t="n"/>
      <c r="K30" s="90">
        <f>IF(OR($G30="",$H30="",NOT(ISNUMBER($I30))),"",ROUND($H30*$I30*(1+IF($J30="",Setup!$B$16,$J30)),2))</f>
        <v/>
      </c>
      <c r="L30" s="90">
        <f>IF($K30="","",ROUND($K30*Setup!$B$13,2))</f>
        <v/>
      </c>
      <c r="M30" s="90">
        <f>IF($K30="","",$K30-$L30)</f>
        <v/>
      </c>
      <c r="N30" s="90">
        <f>IF(OR($M30="",$D30=""),"",ROUND($M30*IFERROR(IF(VLOOKUP($D30,Setup!$A$76:$C$87,3,FALSE)="",Setup!$B$14,VLOOKUP($D30,Setup!$A$76:$C$87,3,FALSE)),Setup!$B$14),2))</f>
        <v/>
      </c>
      <c r="O30" s="90">
        <f>IF(OR($M30="",$E30=""),"",ROUND($M30*IFERROR(IF(VLOOKUP($E30,Setup!$A$76:$C$87,3,FALSE)="",Setup!$B$15,VLOOKUP($E30,Setup!$A$76:$C$87,3,FALSE)),Setup!$B$15),2))</f>
        <v/>
      </c>
      <c r="P30" s="99" t="n">
        <v>500</v>
      </c>
      <c r="Q30" s="99" t="n">
        <v>0</v>
      </c>
      <c r="R30" s="99" t="n">
        <v>6000</v>
      </c>
      <c r="S30" s="99" t="n">
        <v>700</v>
      </c>
      <c r="T30" s="99" t="n">
        <v>0</v>
      </c>
      <c r="U30" s="90">
        <f>IF($K30="","",SUM($R30:$T30))</f>
        <v/>
      </c>
      <c r="V30" s="90">
        <f>IF($K30="","",$M30-(N($N30)+N($O30)+IF($P30="",Setup!$B$17,$P30)+N($Q30))-N($U30))</f>
        <v/>
      </c>
      <c r="W30" s="95" t="inlineStr">
        <is>
          <t>Paid</t>
        </is>
      </c>
      <c r="X30" s="96" t="inlineStr"/>
      <c r="Z30" s="93">
        <f>IF($A30="","",DATE(YEAR($A30),MONTH($A30),1))</f>
        <v/>
      </c>
    </row>
    <row r="31">
      <c r="A31" s="86" t="n">
        <v>46287</v>
      </c>
      <c r="B31" s="87" t="inlineStr">
        <is>
          <t>DR-1027</t>
        </is>
      </c>
      <c r="C31" s="87" t="inlineStr">
        <is>
          <t>TRUCK 1</t>
        </is>
      </c>
      <c r="D31" s="88" t="inlineStr">
        <is>
          <t>M. Reyes</t>
        </is>
      </c>
      <c r="E31" s="88" t="inlineStr">
        <is>
          <t>A. Bautista</t>
        </is>
      </c>
      <c r="F31" s="88" t="inlineStr">
        <is>
          <t>MABINI, BATANGAS</t>
        </is>
      </c>
      <c r="G31" s="88" t="inlineStr">
        <is>
          <t>BATAAN</t>
        </is>
      </c>
      <c r="H31" s="89" t="n">
        <v>18</v>
      </c>
      <c r="I31" s="90">
        <f>IF($G31="","",IF($F31="",IFERROR(INDEX(Setup!$C$21:$C$60,MATCH("|"&amp;UPPER(TRIM($G31)),Setup!$Q$21:$Q$60,0)),"NO RATE"),IFERROR(INDEX(Setup!$C$21:$C$60,MATCH(UPPER(TRIM($F31))&amp;"|"&amp;UPPER(TRIM($G31)),Setup!$P$21:$P$60,0)),IFERROR(INDEX(Setup!$C$21:$C$60,MATCH(UPPER(TRIM($G31))&amp;"|"&amp;UPPER(TRIM($F31)),Setup!$P$21:$P$60,0)),"NO RATE"))))</f>
        <v/>
      </c>
      <c r="J31" s="91" t="n"/>
      <c r="K31" s="90">
        <f>IF(OR($G31="",$H31="",NOT(ISNUMBER($I31))),"",ROUND($H31*$I31*(1+IF($J31="",Setup!$B$16,$J31)),2))</f>
        <v/>
      </c>
      <c r="L31" s="90">
        <f>IF($K31="","",ROUND($K31*Setup!$B$13,2))</f>
        <v/>
      </c>
      <c r="M31" s="90">
        <f>IF($K31="","",$K31-$L31)</f>
        <v/>
      </c>
      <c r="N31" s="90">
        <f>IF(OR($M31="",$D31=""),"",ROUND($M31*IFERROR(IF(VLOOKUP($D31,Setup!$A$76:$C$87,3,FALSE)="",Setup!$B$14,VLOOKUP($D31,Setup!$A$76:$C$87,3,FALSE)),Setup!$B$14),2))</f>
        <v/>
      </c>
      <c r="O31" s="90">
        <f>IF(OR($M31="",$E31=""),"",ROUND($M31*IFERROR(IF(VLOOKUP($E31,Setup!$A$76:$C$87,3,FALSE)="",Setup!$B$15,VLOOKUP($E31,Setup!$A$76:$C$87,3,FALSE)),Setup!$B$15),2))</f>
        <v/>
      </c>
      <c r="P31" s="92" t="n">
        <v>500</v>
      </c>
      <c r="Q31" s="92" t="n">
        <v>0</v>
      </c>
      <c r="R31" s="92" t="n">
        <v>11500</v>
      </c>
      <c r="S31" s="92" t="n">
        <v>880</v>
      </c>
      <c r="T31" s="92" t="n">
        <v>0</v>
      </c>
      <c r="U31" s="90">
        <f>IF($K31="","",SUM($R31:$T31))</f>
        <v/>
      </c>
      <c r="V31" s="90">
        <f>IF($K31="","",$M31-(N($N31)+N($O31)+IF($P31="",Setup!$B$17,$P31)+N($Q31))-N($U31))</f>
        <v/>
      </c>
      <c r="W31" s="87" t="inlineStr">
        <is>
          <t>Paid</t>
        </is>
      </c>
      <c r="X31" s="88" t="inlineStr"/>
      <c r="Z31" s="93">
        <f>IF($A31="","",DATE(YEAR($A31),MONTH($A31),1))</f>
        <v/>
      </c>
    </row>
    <row r="32">
      <c r="A32" s="94" t="n">
        <v>46288</v>
      </c>
      <c r="B32" s="95" t="inlineStr">
        <is>
          <t>DR-1028</t>
        </is>
      </c>
      <c r="C32" s="95" t="inlineStr">
        <is>
          <t>TRUCK 1</t>
        </is>
      </c>
      <c r="D32" s="96" t="inlineStr">
        <is>
          <t>R. Dela Cruz</t>
        </is>
      </c>
      <c r="E32" s="96" t="inlineStr">
        <is>
          <t>J. Santos</t>
        </is>
      </c>
      <c r="F32" s="96" t="inlineStr">
        <is>
          <t>BATAAN</t>
        </is>
      </c>
      <c r="G32" s="96" t="inlineStr">
        <is>
          <t>BMEG BATAAN</t>
        </is>
      </c>
      <c r="H32" s="97" t="n">
        <v>21</v>
      </c>
      <c r="I32" s="90">
        <f>IF($G32="","",IF($F32="",IFERROR(INDEX(Setup!$C$21:$C$60,MATCH("|"&amp;UPPER(TRIM($G32)),Setup!$Q$21:$Q$60,0)),"NO RATE"),IFERROR(INDEX(Setup!$C$21:$C$60,MATCH(UPPER(TRIM($F32))&amp;"|"&amp;UPPER(TRIM($G32)),Setup!$P$21:$P$60,0)),IFERROR(INDEX(Setup!$C$21:$C$60,MATCH(UPPER(TRIM($G32))&amp;"|"&amp;UPPER(TRIM($F32)),Setup!$P$21:$P$60,0)),"NO RATE"))))</f>
        <v/>
      </c>
      <c r="J32" s="98" t="n"/>
      <c r="K32" s="90">
        <f>IF(OR($G32="",$H32="",NOT(ISNUMBER($I32))),"",ROUND($H32*$I32*(1+IF($J32="",Setup!$B$16,$J32)),2))</f>
        <v/>
      </c>
      <c r="L32" s="90">
        <f>IF($K32="","",ROUND($K32*Setup!$B$13,2))</f>
        <v/>
      </c>
      <c r="M32" s="90">
        <f>IF($K32="","",$K32-$L32)</f>
        <v/>
      </c>
      <c r="N32" s="90">
        <f>IF(OR($M32="",$D32=""),"",ROUND($M32*IFERROR(IF(VLOOKUP($D32,Setup!$A$76:$C$87,3,FALSE)="",Setup!$B$14,VLOOKUP($D32,Setup!$A$76:$C$87,3,FALSE)),Setup!$B$14),2))</f>
        <v/>
      </c>
      <c r="O32" s="90">
        <f>IF(OR($M32="",$E32=""),"",ROUND($M32*IFERROR(IF(VLOOKUP($E32,Setup!$A$76:$C$87,3,FALSE)="",Setup!$B$15,VLOOKUP($E32,Setup!$A$76:$C$87,3,FALSE)),Setup!$B$15),2))</f>
        <v/>
      </c>
      <c r="P32" s="99" t="n">
        <v>400</v>
      </c>
      <c r="Q32" s="99" t="n">
        <v>0</v>
      </c>
      <c r="R32" s="99" t="n">
        <v>1000</v>
      </c>
      <c r="S32" s="99" t="n">
        <v>120</v>
      </c>
      <c r="T32" s="99" t="n">
        <v>0</v>
      </c>
      <c r="U32" s="90">
        <f>IF($K32="","",SUM($R32:$T32))</f>
        <v/>
      </c>
      <c r="V32" s="90">
        <f>IF($K32="","",$M32-(N($N32)+N($O32)+IF($P32="",Setup!$B$17,$P32)+N($Q32))-N($U32))</f>
        <v/>
      </c>
      <c r="W32" s="95" t="inlineStr">
        <is>
          <t>Paid</t>
        </is>
      </c>
      <c r="X32" s="96" t="inlineStr"/>
      <c r="Z32" s="93">
        <f>IF($A32="","",DATE(YEAR($A32),MONTH($A32),1))</f>
        <v/>
      </c>
    </row>
    <row r="33">
      <c r="A33" s="86" t="n">
        <v>46290</v>
      </c>
      <c r="B33" s="87" t="inlineStr">
        <is>
          <t>DR-1029</t>
        </is>
      </c>
      <c r="C33" s="87" t="inlineStr">
        <is>
          <t>TRUCK 1</t>
        </is>
      </c>
      <c r="D33" s="88" t="inlineStr">
        <is>
          <t>M. Reyes</t>
        </is>
      </c>
      <c r="E33" s="88" t="inlineStr">
        <is>
          <t>A. Bautista</t>
        </is>
      </c>
      <c r="F33" s="88" t="inlineStr">
        <is>
          <t>BATAAN</t>
        </is>
      </c>
      <c r="G33" s="88" t="inlineStr">
        <is>
          <t>TARLAC</t>
        </is>
      </c>
      <c r="H33" s="89" t="n">
        <v>17</v>
      </c>
      <c r="I33" s="90">
        <f>IF($G33="","",IF($F33="",IFERROR(INDEX(Setup!$C$21:$C$60,MATCH("|"&amp;UPPER(TRIM($G33)),Setup!$Q$21:$Q$60,0)),"NO RATE"),IFERROR(INDEX(Setup!$C$21:$C$60,MATCH(UPPER(TRIM($F33))&amp;"|"&amp;UPPER(TRIM($G33)),Setup!$P$21:$P$60,0)),IFERROR(INDEX(Setup!$C$21:$C$60,MATCH(UPPER(TRIM($G33))&amp;"|"&amp;UPPER(TRIM($F33)),Setup!$P$21:$P$60,0)),"NO RATE"))))</f>
        <v/>
      </c>
      <c r="J33" s="91" t="n"/>
      <c r="K33" s="90">
        <f>IF(OR($G33="",$H33="",NOT(ISNUMBER($I33))),"",ROUND($H33*$I33*(1+IF($J33="",Setup!$B$16,$J33)),2))</f>
        <v/>
      </c>
      <c r="L33" s="90">
        <f>IF($K33="","",ROUND($K33*Setup!$B$13,2))</f>
        <v/>
      </c>
      <c r="M33" s="90">
        <f>IF($K33="","",$K33-$L33)</f>
        <v/>
      </c>
      <c r="N33" s="90">
        <f>IF(OR($M33="",$D33=""),"",ROUND($M33*IFERROR(IF(VLOOKUP($D33,Setup!$A$76:$C$87,3,FALSE)="",Setup!$B$14,VLOOKUP($D33,Setup!$A$76:$C$87,3,FALSE)),Setup!$B$14),2))</f>
        <v/>
      </c>
      <c r="O33" s="90">
        <f>IF(OR($M33="",$E33=""),"",ROUND($M33*IFERROR(IF(VLOOKUP($E33,Setup!$A$76:$C$87,3,FALSE)="",Setup!$B$15,VLOOKUP($E33,Setup!$A$76:$C$87,3,FALSE)),Setup!$B$15),2))</f>
        <v/>
      </c>
      <c r="P33" s="92" t="n">
        <v>500</v>
      </c>
      <c r="Q33" s="92" t="n">
        <v>450</v>
      </c>
      <c r="R33" s="92" t="n">
        <v>5600</v>
      </c>
      <c r="S33" s="92" t="n">
        <v>620</v>
      </c>
      <c r="T33" s="92" t="n">
        <v>0</v>
      </c>
      <c r="U33" s="90">
        <f>IF($K33="","",SUM($R33:$T33))</f>
        <v/>
      </c>
      <c r="V33" s="90">
        <f>IF($K33="","",$M33-(N($N33)+N($O33)+IF($P33="",Setup!$B$17,$P33)+N($Q33))-N($U33))</f>
        <v/>
      </c>
      <c r="W33" s="87" t="inlineStr">
        <is>
          <t>Partial</t>
        </is>
      </c>
      <c r="X33" s="88" t="inlineStr"/>
      <c r="Z33" s="93">
        <f>IF($A33="","",DATE(YEAR($A33),MONTH($A33),1))</f>
        <v/>
      </c>
    </row>
    <row r="34">
      <c r="A34" s="94" t="n">
        <v>46292</v>
      </c>
      <c r="B34" s="95" t="inlineStr">
        <is>
          <t>DR-1030</t>
        </is>
      </c>
      <c r="C34" s="95" t="inlineStr">
        <is>
          <t>TRUCK 1</t>
        </is>
      </c>
      <c r="D34" s="96" t="inlineStr">
        <is>
          <t>R. Dela Cruz</t>
        </is>
      </c>
      <c r="E34" s="96" t="inlineStr">
        <is>
          <t>J. Santos</t>
        </is>
      </c>
      <c r="F34" s="96" t="inlineStr">
        <is>
          <t>BATAAN</t>
        </is>
      </c>
      <c r="G34" s="96" t="inlineStr">
        <is>
          <t>BMPP</t>
        </is>
      </c>
      <c r="H34" s="97" t="n">
        <v>20</v>
      </c>
      <c r="I34" s="90">
        <f>IF($G34="","",IF($F34="",IFERROR(INDEX(Setup!$C$21:$C$60,MATCH("|"&amp;UPPER(TRIM($G34)),Setup!$Q$21:$Q$60,0)),"NO RATE"),IFERROR(INDEX(Setup!$C$21:$C$60,MATCH(UPPER(TRIM($F34))&amp;"|"&amp;UPPER(TRIM($G34)),Setup!$P$21:$P$60,0)),IFERROR(INDEX(Setup!$C$21:$C$60,MATCH(UPPER(TRIM($G34))&amp;"|"&amp;UPPER(TRIM($F34)),Setup!$P$21:$P$60,0)),"NO RATE"))))</f>
        <v/>
      </c>
      <c r="J34" s="98" t="n"/>
      <c r="K34" s="90">
        <f>IF(OR($G34="",$H34="",NOT(ISNUMBER($I34))),"",ROUND($H34*$I34*(1+IF($J34="",Setup!$B$16,$J34)),2))</f>
        <v/>
      </c>
      <c r="L34" s="90">
        <f>IF($K34="","",ROUND($K34*Setup!$B$13,2))</f>
        <v/>
      </c>
      <c r="M34" s="90">
        <f>IF($K34="","",$K34-$L34)</f>
        <v/>
      </c>
      <c r="N34" s="90">
        <f>IF(OR($M34="",$D34=""),"",ROUND($M34*IFERROR(IF(VLOOKUP($D34,Setup!$A$76:$C$87,3,FALSE)="",Setup!$B$14,VLOOKUP($D34,Setup!$A$76:$C$87,3,FALSE)),Setup!$B$14),2))</f>
        <v/>
      </c>
      <c r="O34" s="90">
        <f>IF(OR($M34="",$E34=""),"",ROUND($M34*IFERROR(IF(VLOOKUP($E34,Setup!$A$76:$C$87,3,FALSE)="",Setup!$B$15,VLOOKUP($E34,Setup!$A$76:$C$87,3,FALSE)),Setup!$B$15),2))</f>
        <v/>
      </c>
      <c r="P34" s="99" t="n">
        <v>500</v>
      </c>
      <c r="Q34" s="99" t="n">
        <v>0</v>
      </c>
      <c r="R34" s="99" t="n">
        <v>8300</v>
      </c>
      <c r="S34" s="99" t="n">
        <v>560</v>
      </c>
      <c r="T34" s="99" t="n">
        <v>0</v>
      </c>
      <c r="U34" s="90">
        <f>IF($K34="","",SUM($R34:$T34))</f>
        <v/>
      </c>
      <c r="V34" s="90">
        <f>IF($K34="","",$M34-(N($N34)+N($O34)+IF($P34="",Setup!$B$17,$P34)+N($Q34))-N($U34))</f>
        <v/>
      </c>
      <c r="W34" s="95" t="inlineStr">
        <is>
          <t>Partial</t>
        </is>
      </c>
      <c r="X34" s="96" t="inlineStr"/>
      <c r="Z34" s="93">
        <f>IF($A34="","",DATE(YEAR($A34),MONTH($A34),1))</f>
        <v/>
      </c>
    </row>
    <row r="35">
      <c r="A35" s="86" t="n">
        <v>46296</v>
      </c>
      <c r="B35" s="87" t="inlineStr">
        <is>
          <t>DR-1031</t>
        </is>
      </c>
      <c r="C35" s="87" t="inlineStr">
        <is>
          <t>TRUCK 1</t>
        </is>
      </c>
      <c r="D35" s="88" t="inlineStr">
        <is>
          <t>R. Dela Cruz</t>
        </is>
      </c>
      <c r="E35" s="88" t="inlineStr">
        <is>
          <t>J. Santos</t>
        </is>
      </c>
      <c r="F35" s="88" t="inlineStr">
        <is>
          <t>BATAAN</t>
        </is>
      </c>
      <c r="G35" s="88" t="inlineStr">
        <is>
          <t>TARLAC</t>
        </is>
      </c>
      <c r="H35" s="89" t="n">
        <v>19</v>
      </c>
      <c r="I35" s="90">
        <f>IF($G35="","",IF($F35="",IFERROR(INDEX(Setup!$C$21:$C$60,MATCH("|"&amp;UPPER(TRIM($G35)),Setup!$Q$21:$Q$60,0)),"NO RATE"),IFERROR(INDEX(Setup!$C$21:$C$60,MATCH(UPPER(TRIM($F35))&amp;"|"&amp;UPPER(TRIM($G35)),Setup!$P$21:$P$60,0)),IFERROR(INDEX(Setup!$C$21:$C$60,MATCH(UPPER(TRIM($G35))&amp;"|"&amp;UPPER(TRIM($F35)),Setup!$P$21:$P$60,0)),"NO RATE"))))</f>
        <v/>
      </c>
      <c r="J35" s="91" t="n"/>
      <c r="K35" s="90">
        <f>IF(OR($G35="",$H35="",NOT(ISNUMBER($I35))),"",ROUND($H35*$I35*(1+IF($J35="",Setup!$B$16,$J35)),2))</f>
        <v/>
      </c>
      <c r="L35" s="90">
        <f>IF($K35="","",ROUND($K35*Setup!$B$13,2))</f>
        <v/>
      </c>
      <c r="M35" s="90">
        <f>IF($K35="","",$K35-$L35)</f>
        <v/>
      </c>
      <c r="N35" s="90">
        <f>IF(OR($M35="",$D35=""),"",ROUND($M35*IFERROR(IF(VLOOKUP($D35,Setup!$A$76:$C$87,3,FALSE)="",Setup!$B$14,VLOOKUP($D35,Setup!$A$76:$C$87,3,FALSE)),Setup!$B$14),2))</f>
        <v/>
      </c>
      <c r="O35" s="90">
        <f>IF(OR($M35="",$E35=""),"",ROUND($M35*IFERROR(IF(VLOOKUP($E35,Setup!$A$76:$C$87,3,FALSE)="",Setup!$B$15,VLOOKUP($E35,Setup!$A$76:$C$87,3,FALSE)),Setup!$B$15),2))</f>
        <v/>
      </c>
      <c r="P35" s="92" t="n">
        <v>500</v>
      </c>
      <c r="Q35" s="92" t="n">
        <v>0</v>
      </c>
      <c r="R35" s="92" t="n">
        <v>7400</v>
      </c>
      <c r="S35" s="92" t="n">
        <v>620</v>
      </c>
      <c r="T35" s="92" t="n">
        <v>0</v>
      </c>
      <c r="U35" s="90">
        <f>IF($K35="","",SUM($R35:$T35))</f>
        <v/>
      </c>
      <c r="V35" s="90">
        <f>IF($K35="","",$M35-(N($N35)+N($O35)+IF($P35="",Setup!$B$17,$P35)+N($Q35))-N($U35))</f>
        <v/>
      </c>
      <c r="W35" s="87" t="inlineStr">
        <is>
          <t>Paid</t>
        </is>
      </c>
      <c r="X35" s="88" t="inlineStr"/>
      <c r="Z35" s="93">
        <f>IF($A35="","",DATE(YEAR($A35),MONTH($A35),1))</f>
        <v/>
      </c>
    </row>
    <row r="36">
      <c r="A36" s="94" t="n">
        <v>46297</v>
      </c>
      <c r="B36" s="95" t="inlineStr">
        <is>
          <t>DR-1032</t>
        </is>
      </c>
      <c r="C36" s="95" t="inlineStr">
        <is>
          <t>TRUCK 1</t>
        </is>
      </c>
      <c r="D36" s="96" t="inlineStr">
        <is>
          <t>M. Reyes</t>
        </is>
      </c>
      <c r="E36" s="96" t="inlineStr">
        <is>
          <t>A. Bautista</t>
        </is>
      </c>
      <c r="F36" s="96" t="inlineStr">
        <is>
          <t>BATAAN</t>
        </is>
      </c>
      <c r="G36" s="96" t="inlineStr">
        <is>
          <t>BMPP</t>
        </is>
      </c>
      <c r="H36" s="97" t="n">
        <v>19</v>
      </c>
      <c r="I36" s="90">
        <f>IF($G36="","",IF($F36="",IFERROR(INDEX(Setup!$C$21:$C$60,MATCH("|"&amp;UPPER(TRIM($G36)),Setup!$Q$21:$Q$60,0)),"NO RATE"),IFERROR(INDEX(Setup!$C$21:$C$60,MATCH(UPPER(TRIM($F36))&amp;"|"&amp;UPPER(TRIM($G36)),Setup!$P$21:$P$60,0)),IFERROR(INDEX(Setup!$C$21:$C$60,MATCH(UPPER(TRIM($G36))&amp;"|"&amp;UPPER(TRIM($F36)),Setup!$P$21:$P$60,0)),"NO RATE"))))</f>
        <v/>
      </c>
      <c r="J36" s="98" t="n"/>
      <c r="K36" s="90">
        <f>IF(OR($G36="",$H36="",NOT(ISNUMBER($I36))),"",ROUND($H36*$I36*(1+IF($J36="",Setup!$B$16,$J36)),2))</f>
        <v/>
      </c>
      <c r="L36" s="90">
        <f>IF($K36="","",ROUND($K36*Setup!$B$13,2))</f>
        <v/>
      </c>
      <c r="M36" s="90">
        <f>IF($K36="","",$K36-$L36)</f>
        <v/>
      </c>
      <c r="N36" s="90">
        <f>IF(OR($M36="",$D36=""),"",ROUND($M36*IFERROR(IF(VLOOKUP($D36,Setup!$A$76:$C$87,3,FALSE)="",Setup!$B$14,VLOOKUP($D36,Setup!$A$76:$C$87,3,FALSE)),Setup!$B$14),2))</f>
        <v/>
      </c>
      <c r="O36" s="90">
        <f>IF(OR($M36="",$E36=""),"",ROUND($M36*IFERROR(IF(VLOOKUP($E36,Setup!$A$76:$C$87,3,FALSE)="",Setup!$B$15,VLOOKUP($E36,Setup!$A$76:$C$87,3,FALSE)),Setup!$B$15),2))</f>
        <v/>
      </c>
      <c r="P36" s="99" t="n">
        <v>500</v>
      </c>
      <c r="Q36" s="99" t="n">
        <v>0</v>
      </c>
      <c r="R36" s="99" t="n">
        <v>7200</v>
      </c>
      <c r="S36" s="99" t="n">
        <v>560</v>
      </c>
      <c r="T36" s="99" t="n">
        <v>0</v>
      </c>
      <c r="U36" s="90">
        <f>IF($K36="","",SUM($R36:$T36))</f>
        <v/>
      </c>
      <c r="V36" s="90">
        <f>IF($K36="","",$M36-(N($N36)+N($O36)+IF($P36="",Setup!$B$17,$P36)+N($Q36))-N($U36))</f>
        <v/>
      </c>
      <c r="W36" s="95" t="inlineStr">
        <is>
          <t>Paid</t>
        </is>
      </c>
      <c r="X36" s="96" t="inlineStr"/>
      <c r="Z36" s="93">
        <f>IF($A36="","",DATE(YEAR($A36),MONTH($A36),1))</f>
        <v/>
      </c>
    </row>
    <row r="37">
      <c r="A37" s="86" t="n">
        <v>46299</v>
      </c>
      <c r="B37" s="87" t="inlineStr">
        <is>
          <t>DR-1033</t>
        </is>
      </c>
      <c r="C37" s="87" t="inlineStr">
        <is>
          <t>TRUCK 1</t>
        </is>
      </c>
      <c r="D37" s="88" t="inlineStr">
        <is>
          <t>R. Dela Cruz</t>
        </is>
      </c>
      <c r="E37" s="88" t="inlineStr">
        <is>
          <t>J. Santos</t>
        </is>
      </c>
      <c r="F37" s="88" t="inlineStr">
        <is>
          <t>ORION</t>
        </is>
      </c>
      <c r="G37" s="88" t="inlineStr">
        <is>
          <t>BMPP</t>
        </is>
      </c>
      <c r="H37" s="89" t="n">
        <v>22</v>
      </c>
      <c r="I37" s="90">
        <f>IF($G37="","",IF($F37="",IFERROR(INDEX(Setup!$C$21:$C$60,MATCH("|"&amp;UPPER(TRIM($G37)),Setup!$Q$21:$Q$60,0)),"NO RATE"),IFERROR(INDEX(Setup!$C$21:$C$60,MATCH(UPPER(TRIM($F37))&amp;"|"&amp;UPPER(TRIM($G37)),Setup!$P$21:$P$60,0)),IFERROR(INDEX(Setup!$C$21:$C$60,MATCH(UPPER(TRIM($G37))&amp;"|"&amp;UPPER(TRIM($F37)),Setup!$P$21:$P$60,0)),"NO RATE"))))</f>
        <v/>
      </c>
      <c r="J37" s="91" t="n"/>
      <c r="K37" s="90">
        <f>IF(OR($G37="",$H37="",NOT(ISNUMBER($I37))),"",ROUND($H37*$I37*(1+IF($J37="",Setup!$B$16,$J37)),2))</f>
        <v/>
      </c>
      <c r="L37" s="90">
        <f>IF($K37="","",ROUND($K37*Setup!$B$13,2))</f>
        <v/>
      </c>
      <c r="M37" s="90">
        <f>IF($K37="","",$K37-$L37)</f>
        <v/>
      </c>
      <c r="N37" s="90">
        <f>IF(OR($M37="",$D37=""),"",ROUND($M37*IFERROR(IF(VLOOKUP($D37,Setup!$A$76:$C$87,3,FALSE)="",Setup!$B$14,VLOOKUP($D37,Setup!$A$76:$C$87,3,FALSE)),Setup!$B$14),2))</f>
        <v/>
      </c>
      <c r="O37" s="90">
        <f>IF(OR($M37="",$E37=""),"",ROUND($M37*IFERROR(IF(VLOOKUP($E37,Setup!$A$76:$C$87,3,FALSE)="",Setup!$B$15,VLOOKUP($E37,Setup!$A$76:$C$87,3,FALSE)),Setup!$B$15),2))</f>
        <v/>
      </c>
      <c r="P37" s="92" t="n">
        <v>500</v>
      </c>
      <c r="Q37" s="92" t="n">
        <v>0</v>
      </c>
      <c r="R37" s="92" t="n">
        <v>8600</v>
      </c>
      <c r="S37" s="92" t="n">
        <v>540</v>
      </c>
      <c r="T37" s="92" t="n">
        <v>0</v>
      </c>
      <c r="U37" s="90">
        <f>IF($K37="","",SUM($R37:$T37))</f>
        <v/>
      </c>
      <c r="V37" s="90">
        <f>IF($K37="","",$M37-(N($N37)+N($O37)+IF($P37="",Setup!$B$17,$P37)+N($Q37))-N($U37))</f>
        <v/>
      </c>
      <c r="W37" s="87" t="inlineStr">
        <is>
          <t>Paid</t>
        </is>
      </c>
      <c r="X37" s="88" t="inlineStr"/>
      <c r="Z37" s="93">
        <f>IF($A37="","",DATE(YEAR($A37),MONTH($A37),1))</f>
        <v/>
      </c>
    </row>
    <row r="38">
      <c r="A38" s="94" t="n">
        <v>46301</v>
      </c>
      <c r="B38" s="95" t="inlineStr">
        <is>
          <t>DR-1034</t>
        </is>
      </c>
      <c r="C38" s="95" t="inlineStr">
        <is>
          <t>TRUCK 1</t>
        </is>
      </c>
      <c r="D38" s="96" t="inlineStr">
        <is>
          <t>M. Reyes</t>
        </is>
      </c>
      <c r="E38" s="96" t="inlineStr">
        <is>
          <t>A. Bautista</t>
        </is>
      </c>
      <c r="F38" s="96" t="inlineStr">
        <is>
          <t>MABINI, BATANGAS</t>
        </is>
      </c>
      <c r="G38" s="96" t="inlineStr">
        <is>
          <t>BMPP</t>
        </is>
      </c>
      <c r="H38" s="97" t="n">
        <v>21</v>
      </c>
      <c r="I38" s="90">
        <f>IF($G38="","",IF($F38="",IFERROR(INDEX(Setup!$C$21:$C$60,MATCH("|"&amp;UPPER(TRIM($G38)),Setup!$Q$21:$Q$60,0)),"NO RATE"),IFERROR(INDEX(Setup!$C$21:$C$60,MATCH(UPPER(TRIM($F38))&amp;"|"&amp;UPPER(TRIM($G38)),Setup!$P$21:$P$60,0)),IFERROR(INDEX(Setup!$C$21:$C$60,MATCH(UPPER(TRIM($G38))&amp;"|"&amp;UPPER(TRIM($F38)),Setup!$P$21:$P$60,0)),"NO RATE"))))</f>
        <v/>
      </c>
      <c r="J38" s="98" t="n"/>
      <c r="K38" s="90">
        <f>IF(OR($G38="",$H38="",NOT(ISNUMBER($I38))),"",ROUND($H38*$I38*(1+IF($J38="",Setup!$B$16,$J38)),2))</f>
        <v/>
      </c>
      <c r="L38" s="90">
        <f>IF($K38="","",ROUND($K38*Setup!$B$13,2))</f>
        <v/>
      </c>
      <c r="M38" s="90">
        <f>IF($K38="","",$K38-$L38)</f>
        <v/>
      </c>
      <c r="N38" s="90">
        <f>IF(OR($M38="",$D38=""),"",ROUND($M38*IFERROR(IF(VLOOKUP($D38,Setup!$A$76:$C$87,3,FALSE)="",Setup!$B$14,VLOOKUP($D38,Setup!$A$76:$C$87,3,FALSE)),Setup!$B$14),2))</f>
        <v/>
      </c>
      <c r="O38" s="90">
        <f>IF(OR($M38="",$E38=""),"",ROUND($M38*IFERROR(IF(VLOOKUP($E38,Setup!$A$76:$C$87,3,FALSE)="",Setup!$B$15,VLOOKUP($E38,Setup!$A$76:$C$87,3,FALSE)),Setup!$B$15),2))</f>
        <v/>
      </c>
      <c r="P38" s="99" t="n">
        <v>500</v>
      </c>
      <c r="Q38" s="99" t="n">
        <v>450</v>
      </c>
      <c r="R38" s="99" t="n">
        <v>14400</v>
      </c>
      <c r="S38" s="99" t="n">
        <v>980</v>
      </c>
      <c r="T38" s="99" t="n">
        <v>0</v>
      </c>
      <c r="U38" s="90">
        <f>IF($K38="","",SUM($R38:$T38))</f>
        <v/>
      </c>
      <c r="V38" s="90">
        <f>IF($K38="","",$M38-(N($N38)+N($O38)+IF($P38="",Setup!$B$17,$P38)+N($Q38))-N($U38))</f>
        <v/>
      </c>
      <c r="W38" s="95" t="inlineStr">
        <is>
          <t>Paid</t>
        </is>
      </c>
      <c r="X38" s="96" t="inlineStr"/>
      <c r="Z38" s="93">
        <f>IF($A38="","",DATE(YEAR($A38),MONTH($A38),1))</f>
        <v/>
      </c>
    </row>
    <row r="39">
      <c r="A39" s="86" t="n">
        <v>46303</v>
      </c>
      <c r="B39" s="87" t="inlineStr">
        <is>
          <t>DR-1035</t>
        </is>
      </c>
      <c r="C39" s="87" t="inlineStr">
        <is>
          <t>TRUCK 1</t>
        </is>
      </c>
      <c r="D39" s="88" t="inlineStr">
        <is>
          <t>R. Dela Cruz</t>
        </is>
      </c>
      <c r="E39" s="88" t="inlineStr">
        <is>
          <t>J. Santos</t>
        </is>
      </c>
      <c r="F39" s="88" t="inlineStr">
        <is>
          <t>BATAAN</t>
        </is>
      </c>
      <c r="G39" s="88" t="inlineStr">
        <is>
          <t>ISABELA</t>
        </is>
      </c>
      <c r="H39" s="89" t="n">
        <v>17</v>
      </c>
      <c r="I39" s="90">
        <f>IF($G39="","",IF($F39="",IFERROR(INDEX(Setup!$C$21:$C$60,MATCH("|"&amp;UPPER(TRIM($G39)),Setup!$Q$21:$Q$60,0)),"NO RATE"),IFERROR(INDEX(Setup!$C$21:$C$60,MATCH(UPPER(TRIM($F39))&amp;"|"&amp;UPPER(TRIM($G39)),Setup!$P$21:$P$60,0)),IFERROR(INDEX(Setup!$C$21:$C$60,MATCH(UPPER(TRIM($G39))&amp;"|"&amp;UPPER(TRIM($F39)),Setup!$P$21:$P$60,0)),"NO RATE"))))</f>
        <v/>
      </c>
      <c r="J39" s="91" t="n"/>
      <c r="K39" s="90">
        <f>IF(OR($G39="",$H39="",NOT(ISNUMBER($I39))),"",ROUND($H39*$I39*(1+IF($J39="",Setup!$B$16,$J39)),2))</f>
        <v/>
      </c>
      <c r="L39" s="90">
        <f>IF($K39="","",ROUND($K39*Setup!$B$13,2))</f>
        <v/>
      </c>
      <c r="M39" s="90">
        <f>IF($K39="","",$K39-$L39)</f>
        <v/>
      </c>
      <c r="N39" s="90">
        <f>IF(OR($M39="",$D39=""),"",ROUND($M39*IFERROR(IF(VLOOKUP($D39,Setup!$A$76:$C$87,3,FALSE)="",Setup!$B$14,VLOOKUP($D39,Setup!$A$76:$C$87,3,FALSE)),Setup!$B$14),2))</f>
        <v/>
      </c>
      <c r="O39" s="90">
        <f>IF(OR($M39="",$E39=""),"",ROUND($M39*IFERROR(IF(VLOOKUP($E39,Setup!$A$76:$C$87,3,FALSE)="",Setup!$B$15,VLOOKUP($E39,Setup!$A$76:$C$87,3,FALSE)),Setup!$B$15),2))</f>
        <v/>
      </c>
      <c r="P39" s="92" t="n">
        <v>500</v>
      </c>
      <c r="Q39" s="92" t="n">
        <v>0</v>
      </c>
      <c r="R39" s="92" t="n">
        <v>14300</v>
      </c>
      <c r="S39" s="92" t="n">
        <v>1250</v>
      </c>
      <c r="T39" s="92" t="n">
        <v>0</v>
      </c>
      <c r="U39" s="90">
        <f>IF($K39="","",SUM($R39:$T39))</f>
        <v/>
      </c>
      <c r="V39" s="90">
        <f>IF($K39="","",$M39-(N($N39)+N($O39)+IF($P39="",Setup!$B$17,$P39)+N($Q39))-N($U39))</f>
        <v/>
      </c>
      <c r="W39" s="87" t="inlineStr">
        <is>
          <t>Paid</t>
        </is>
      </c>
      <c r="X39" s="88" t="inlineStr">
        <is>
          <t>long haul — diesel receipt attached</t>
        </is>
      </c>
      <c r="Z39" s="93">
        <f>IF($A39="","",DATE(YEAR($A39),MONTH($A39),1))</f>
        <v/>
      </c>
    </row>
    <row r="40">
      <c r="A40" s="94" t="n">
        <v>46305</v>
      </c>
      <c r="B40" s="95" t="inlineStr">
        <is>
          <t>DR-1036</t>
        </is>
      </c>
      <c r="C40" s="95" t="inlineStr">
        <is>
          <t>TRUCK 1</t>
        </is>
      </c>
      <c r="D40" s="96" t="inlineStr">
        <is>
          <t>M. Reyes</t>
        </is>
      </c>
      <c r="E40" s="96" t="inlineStr">
        <is>
          <t>A. Bautista</t>
        </is>
      </c>
      <c r="F40" s="96" t="inlineStr">
        <is>
          <t>ORION</t>
        </is>
      </c>
      <c r="G40" s="96" t="inlineStr">
        <is>
          <t>TARLAC</t>
        </is>
      </c>
      <c r="H40" s="97" t="n">
        <v>20</v>
      </c>
      <c r="I40" s="90">
        <f>IF($G40="","",IF($F40="",IFERROR(INDEX(Setup!$C$21:$C$60,MATCH("|"&amp;UPPER(TRIM($G40)),Setup!$Q$21:$Q$60,0)),"NO RATE"),IFERROR(INDEX(Setup!$C$21:$C$60,MATCH(UPPER(TRIM($F40))&amp;"|"&amp;UPPER(TRIM($G40)),Setup!$P$21:$P$60,0)),IFERROR(INDEX(Setup!$C$21:$C$60,MATCH(UPPER(TRIM($G40))&amp;"|"&amp;UPPER(TRIM($F40)),Setup!$P$21:$P$60,0)),"NO RATE"))))</f>
        <v/>
      </c>
      <c r="J40" s="98" t="n"/>
      <c r="K40" s="90">
        <f>IF(OR($G40="",$H40="",NOT(ISNUMBER($I40))),"",ROUND($H40*$I40*(1+IF($J40="",Setup!$B$16,$J40)),2))</f>
        <v/>
      </c>
      <c r="L40" s="90">
        <f>IF($K40="","",ROUND($K40*Setup!$B$13,2))</f>
        <v/>
      </c>
      <c r="M40" s="90">
        <f>IF($K40="","",$K40-$L40)</f>
        <v/>
      </c>
      <c r="N40" s="90">
        <f>IF(OR($M40="",$D40=""),"",ROUND($M40*IFERROR(IF(VLOOKUP($D40,Setup!$A$76:$C$87,3,FALSE)="",Setup!$B$14,VLOOKUP($D40,Setup!$A$76:$C$87,3,FALSE)),Setup!$B$14),2))</f>
        <v/>
      </c>
      <c r="O40" s="90">
        <f>IF(OR($M40="",$E40=""),"",ROUND($M40*IFERROR(IF(VLOOKUP($E40,Setup!$A$76:$C$87,3,FALSE)="",Setup!$B$15,VLOOKUP($E40,Setup!$A$76:$C$87,3,FALSE)),Setup!$B$15),2))</f>
        <v/>
      </c>
      <c r="P40" s="99" t="n">
        <v>500</v>
      </c>
      <c r="Q40" s="99" t="n">
        <v>0</v>
      </c>
      <c r="R40" s="99" t="n">
        <v>6400</v>
      </c>
      <c r="S40" s="99" t="n">
        <v>610</v>
      </c>
      <c r="T40" s="99" t="n">
        <v>0</v>
      </c>
      <c r="U40" s="90">
        <f>IF($K40="","",SUM($R40:$T40))</f>
        <v/>
      </c>
      <c r="V40" s="90">
        <f>IF($K40="","",$M40-(N($N40)+N($O40)+IF($P40="",Setup!$B$17,$P40)+N($Q40))-N($U40))</f>
        <v/>
      </c>
      <c r="W40" s="95" t="inlineStr">
        <is>
          <t>Paid</t>
        </is>
      </c>
      <c r="X40" s="96" t="inlineStr"/>
      <c r="Z40" s="93">
        <f>IF($A40="","",DATE(YEAR($A40),MONTH($A40),1))</f>
        <v/>
      </c>
    </row>
    <row r="41">
      <c r="A41" s="86" t="n">
        <v>46307</v>
      </c>
      <c r="B41" s="87" t="inlineStr">
        <is>
          <t>DR-1037</t>
        </is>
      </c>
      <c r="C41" s="87" t="inlineStr">
        <is>
          <t>TRUCK 1</t>
        </is>
      </c>
      <c r="D41" s="88" t="inlineStr">
        <is>
          <t>R. Dela Cruz</t>
        </is>
      </c>
      <c r="E41" s="88" t="inlineStr">
        <is>
          <t>J. Santos</t>
        </is>
      </c>
      <c r="F41" s="88" t="inlineStr">
        <is>
          <t>MABINI, BATANGAS</t>
        </is>
      </c>
      <c r="G41" s="88" t="inlineStr">
        <is>
          <t>TARLAC</t>
        </is>
      </c>
      <c r="H41" s="89" t="n">
        <v>19</v>
      </c>
      <c r="I41" s="90">
        <f>IF($G41="","",IF($F41="",IFERROR(INDEX(Setup!$C$21:$C$60,MATCH("|"&amp;UPPER(TRIM($G41)),Setup!$Q$21:$Q$60,0)),"NO RATE"),IFERROR(INDEX(Setup!$C$21:$C$60,MATCH(UPPER(TRIM($F41))&amp;"|"&amp;UPPER(TRIM($G41)),Setup!$P$21:$P$60,0)),IFERROR(INDEX(Setup!$C$21:$C$60,MATCH(UPPER(TRIM($G41))&amp;"|"&amp;UPPER(TRIM($F41)),Setup!$P$21:$P$60,0)),"NO RATE"))))</f>
        <v/>
      </c>
      <c r="J41" s="91" t="n"/>
      <c r="K41" s="90">
        <f>IF(OR($G41="",$H41="",NOT(ISNUMBER($I41))),"",ROUND($H41*$I41*(1+IF($J41="",Setup!$B$16,$J41)),2))</f>
        <v/>
      </c>
      <c r="L41" s="90">
        <f>IF($K41="","",ROUND($K41*Setup!$B$13,2))</f>
        <v/>
      </c>
      <c r="M41" s="90">
        <f>IF($K41="","",$K41-$L41)</f>
        <v/>
      </c>
      <c r="N41" s="90">
        <f>IF(OR($M41="",$D41=""),"",ROUND($M41*IFERROR(IF(VLOOKUP($D41,Setup!$A$76:$C$87,3,FALSE)="",Setup!$B$14,VLOOKUP($D41,Setup!$A$76:$C$87,3,FALSE)),Setup!$B$14),2))</f>
        <v/>
      </c>
      <c r="O41" s="90">
        <f>IF(OR($M41="",$E41=""),"",ROUND($M41*IFERROR(IF(VLOOKUP($E41,Setup!$A$76:$C$87,3,FALSE)="",Setup!$B$15,VLOOKUP($E41,Setup!$A$76:$C$87,3,FALSE)),Setup!$B$15),2))</f>
        <v/>
      </c>
      <c r="P41" s="92" t="n">
        <v>500</v>
      </c>
      <c r="Q41" s="92" t="n">
        <v>0</v>
      </c>
      <c r="R41" s="92" t="n">
        <v>11700</v>
      </c>
      <c r="S41" s="92" t="n">
        <v>900</v>
      </c>
      <c r="T41" s="92" t="n">
        <v>0</v>
      </c>
      <c r="U41" s="90">
        <f>IF($K41="","",SUM($R41:$T41))</f>
        <v/>
      </c>
      <c r="V41" s="90">
        <f>IF($K41="","",$M41-(N($N41)+N($O41)+IF($P41="",Setup!$B$17,$P41)+N($Q41))-N($U41))</f>
        <v/>
      </c>
      <c r="W41" s="87" t="inlineStr">
        <is>
          <t>Paid</t>
        </is>
      </c>
      <c r="X41" s="88" t="inlineStr"/>
      <c r="Z41" s="93">
        <f>IF($A41="","",DATE(YEAR($A41),MONTH($A41),1))</f>
        <v/>
      </c>
    </row>
    <row r="42">
      <c r="A42" s="94" t="n">
        <v>46309</v>
      </c>
      <c r="B42" s="95" t="inlineStr">
        <is>
          <t>DR-1038</t>
        </is>
      </c>
      <c r="C42" s="95" t="inlineStr">
        <is>
          <t>TRUCK 1</t>
        </is>
      </c>
      <c r="D42" s="96" t="inlineStr">
        <is>
          <t>M. Reyes</t>
        </is>
      </c>
      <c r="E42" s="96" t="inlineStr">
        <is>
          <t>A. Bautista</t>
        </is>
      </c>
      <c r="F42" s="96" t="inlineStr">
        <is>
          <t>BATAAN</t>
        </is>
      </c>
      <c r="G42" s="96" t="inlineStr">
        <is>
          <t>ARMOR</t>
        </is>
      </c>
      <c r="H42" s="97" t="n">
        <v>19</v>
      </c>
      <c r="I42" s="90">
        <f>IF($G42="","",IF($F42="",IFERROR(INDEX(Setup!$C$21:$C$60,MATCH("|"&amp;UPPER(TRIM($G42)),Setup!$Q$21:$Q$60,0)),"NO RATE"),IFERROR(INDEX(Setup!$C$21:$C$60,MATCH(UPPER(TRIM($F42))&amp;"|"&amp;UPPER(TRIM($G42)),Setup!$P$21:$P$60,0)),IFERROR(INDEX(Setup!$C$21:$C$60,MATCH(UPPER(TRIM($G42))&amp;"|"&amp;UPPER(TRIM($F42)),Setup!$P$21:$P$60,0)),"NO RATE"))))</f>
        <v/>
      </c>
      <c r="J42" s="98" t="n"/>
      <c r="K42" s="90">
        <f>IF(OR($G42="",$H42="",NOT(ISNUMBER($I42))),"",ROUND($H42*$I42*(1+IF($J42="",Setup!$B$16,$J42)),2))</f>
        <v/>
      </c>
      <c r="L42" s="90">
        <f>IF($K42="","",ROUND($K42*Setup!$B$13,2))</f>
        <v/>
      </c>
      <c r="M42" s="90">
        <f>IF($K42="","",$K42-$L42)</f>
        <v/>
      </c>
      <c r="N42" s="90">
        <f>IF(OR($M42="",$D42=""),"",ROUND($M42*IFERROR(IF(VLOOKUP($D42,Setup!$A$76:$C$87,3,FALSE)="",Setup!$B$14,VLOOKUP($D42,Setup!$A$76:$C$87,3,FALSE)),Setup!$B$14),2))</f>
        <v/>
      </c>
      <c r="O42" s="90">
        <f>IF(OR($M42="",$E42=""),"",ROUND($M42*IFERROR(IF(VLOOKUP($E42,Setup!$A$76:$C$87,3,FALSE)="",Setup!$B$15,VLOOKUP($E42,Setup!$A$76:$C$87,3,FALSE)),Setup!$B$15),2))</f>
        <v/>
      </c>
      <c r="P42" s="99" t="n">
        <v>500</v>
      </c>
      <c r="Q42" s="99" t="n">
        <v>0</v>
      </c>
      <c r="R42" s="99" t="n">
        <v>6900</v>
      </c>
      <c r="S42" s="99" t="n">
        <v>520</v>
      </c>
      <c r="T42" s="99" t="n">
        <v>0</v>
      </c>
      <c r="U42" s="90">
        <f>IF($K42="","",SUM($R42:$T42))</f>
        <v/>
      </c>
      <c r="V42" s="90">
        <f>IF($K42="","",$M42-(N($N42)+N($O42)+IF($P42="",Setup!$B$17,$P42)+N($Q42))-N($U42))</f>
        <v/>
      </c>
      <c r="W42" s="95" t="inlineStr">
        <is>
          <t>Paid</t>
        </is>
      </c>
      <c r="X42" s="96" t="inlineStr"/>
      <c r="Z42" s="93">
        <f>IF($A42="","",DATE(YEAR($A42),MONTH($A42),1))</f>
        <v/>
      </c>
    </row>
    <row r="43">
      <c r="A43" s="86" t="n">
        <v>46310</v>
      </c>
      <c r="B43" s="87" t="inlineStr">
        <is>
          <t>DR-1039</t>
        </is>
      </c>
      <c r="C43" s="87" t="inlineStr">
        <is>
          <t>TRUCK 1</t>
        </is>
      </c>
      <c r="D43" s="88" t="inlineStr">
        <is>
          <t>R. Dela Cruz</t>
        </is>
      </c>
      <c r="E43" s="88" t="inlineStr">
        <is>
          <t>J. Santos</t>
        </is>
      </c>
      <c r="F43" s="88" t="inlineStr">
        <is>
          <t>ORION</t>
        </is>
      </c>
      <c r="G43" s="88" t="inlineStr">
        <is>
          <t>BULACAN</t>
        </is>
      </c>
      <c r="H43" s="89" t="n">
        <v>22</v>
      </c>
      <c r="I43" s="90">
        <f>IF($G43="","",IF($F43="",IFERROR(INDEX(Setup!$C$21:$C$60,MATCH("|"&amp;UPPER(TRIM($G43)),Setup!$Q$21:$Q$60,0)),"NO RATE"),IFERROR(INDEX(Setup!$C$21:$C$60,MATCH(UPPER(TRIM($F43))&amp;"|"&amp;UPPER(TRIM($G43)),Setup!$P$21:$P$60,0)),IFERROR(INDEX(Setup!$C$21:$C$60,MATCH(UPPER(TRIM($G43))&amp;"|"&amp;UPPER(TRIM($F43)),Setup!$P$21:$P$60,0)),"NO RATE"))))</f>
        <v/>
      </c>
      <c r="J43" s="91" t="n"/>
      <c r="K43" s="90">
        <f>IF(OR($G43="",$H43="",NOT(ISNUMBER($I43))),"",ROUND($H43*$I43*(1+IF($J43="",Setup!$B$16,$J43)),2))</f>
        <v/>
      </c>
      <c r="L43" s="90">
        <f>IF($K43="","",ROUND($K43*Setup!$B$13,2))</f>
        <v/>
      </c>
      <c r="M43" s="90">
        <f>IF($K43="","",$K43-$L43)</f>
        <v/>
      </c>
      <c r="N43" s="90">
        <f>IF(OR($M43="",$D43=""),"",ROUND($M43*IFERROR(IF(VLOOKUP($D43,Setup!$A$76:$C$87,3,FALSE)="",Setup!$B$14,VLOOKUP($D43,Setup!$A$76:$C$87,3,FALSE)),Setup!$B$14),2))</f>
        <v/>
      </c>
      <c r="O43" s="90">
        <f>IF(OR($M43="",$E43=""),"",ROUND($M43*IFERROR(IF(VLOOKUP($E43,Setup!$A$76:$C$87,3,FALSE)="",Setup!$B$15,VLOOKUP($E43,Setup!$A$76:$C$87,3,FALSE)),Setup!$B$15),2))</f>
        <v/>
      </c>
      <c r="P43" s="92" t="n">
        <v>500</v>
      </c>
      <c r="Q43" s="92" t="n">
        <v>450</v>
      </c>
      <c r="R43" s="92" t="n">
        <v>6800</v>
      </c>
      <c r="S43" s="92" t="n">
        <v>590</v>
      </c>
      <c r="T43" s="92" t="n">
        <v>0</v>
      </c>
      <c r="U43" s="90">
        <f>IF($K43="","",SUM($R43:$T43))</f>
        <v/>
      </c>
      <c r="V43" s="90">
        <f>IF($K43="","",$M43-(N($N43)+N($O43)+IF($P43="",Setup!$B$17,$P43)+N($Q43))-N($U43))</f>
        <v/>
      </c>
      <c r="W43" s="87" t="inlineStr">
        <is>
          <t>Paid</t>
        </is>
      </c>
      <c r="X43" s="88" t="inlineStr"/>
      <c r="Z43" s="93">
        <f>IF($A43="","",DATE(YEAR($A43),MONTH($A43),1))</f>
        <v/>
      </c>
    </row>
    <row r="44">
      <c r="A44" s="94" t="n">
        <v>46312</v>
      </c>
      <c r="B44" s="95" t="inlineStr">
        <is>
          <t>DR-1040</t>
        </is>
      </c>
      <c r="C44" s="95" t="inlineStr">
        <is>
          <t>TRUCK 1</t>
        </is>
      </c>
      <c r="D44" s="96" t="inlineStr">
        <is>
          <t>M. Reyes</t>
        </is>
      </c>
      <c r="E44" s="96" t="inlineStr">
        <is>
          <t>A. Bautista</t>
        </is>
      </c>
      <c r="F44" s="96" t="inlineStr">
        <is>
          <t>MABINI, BATANGAS</t>
        </is>
      </c>
      <c r="G44" s="96" t="inlineStr">
        <is>
          <t>MONCADA</t>
        </is>
      </c>
      <c r="H44" s="97" t="n">
        <v>19</v>
      </c>
      <c r="I44" s="90">
        <f>IF($G44="","",IF($F44="",IFERROR(INDEX(Setup!$C$21:$C$60,MATCH("|"&amp;UPPER(TRIM($G44)),Setup!$Q$21:$Q$60,0)),"NO RATE"),IFERROR(INDEX(Setup!$C$21:$C$60,MATCH(UPPER(TRIM($F44))&amp;"|"&amp;UPPER(TRIM($G44)),Setup!$P$21:$P$60,0)),IFERROR(INDEX(Setup!$C$21:$C$60,MATCH(UPPER(TRIM($G44))&amp;"|"&amp;UPPER(TRIM($F44)),Setup!$P$21:$P$60,0)),"NO RATE"))))</f>
        <v/>
      </c>
      <c r="J44" s="98" t="n"/>
      <c r="K44" s="90">
        <f>IF(OR($G44="",$H44="",NOT(ISNUMBER($I44))),"",ROUND($H44*$I44*(1+IF($J44="",Setup!$B$16,$J44)),2))</f>
        <v/>
      </c>
      <c r="L44" s="90">
        <f>IF($K44="","",ROUND($K44*Setup!$B$13,2))</f>
        <v/>
      </c>
      <c r="M44" s="90">
        <f>IF($K44="","",$K44-$L44)</f>
        <v/>
      </c>
      <c r="N44" s="90">
        <f>IF(OR($M44="",$D44=""),"",ROUND($M44*IFERROR(IF(VLOOKUP($D44,Setup!$A$76:$C$87,3,FALSE)="",Setup!$B$14,VLOOKUP($D44,Setup!$A$76:$C$87,3,FALSE)),Setup!$B$14),2))</f>
        <v/>
      </c>
      <c r="O44" s="90">
        <f>IF(OR($M44="",$E44=""),"",ROUND($M44*IFERROR(IF(VLOOKUP($E44,Setup!$A$76:$C$87,3,FALSE)="",Setup!$B$15,VLOOKUP($E44,Setup!$A$76:$C$87,3,FALSE)),Setup!$B$15),2))</f>
        <v/>
      </c>
      <c r="P44" s="99" t="n">
        <v>500</v>
      </c>
      <c r="Q44" s="99" t="n">
        <v>0</v>
      </c>
      <c r="R44" s="99" t="n">
        <v>8700</v>
      </c>
      <c r="S44" s="99" t="n">
        <v>430</v>
      </c>
      <c r="T44" s="99" t="n">
        <v>0</v>
      </c>
      <c r="U44" s="90">
        <f>IF($K44="","",SUM($R44:$T44))</f>
        <v/>
      </c>
      <c r="V44" s="90">
        <f>IF($K44="","",$M44-(N($N44)+N($O44)+IF($P44="",Setup!$B$17,$P44)+N($Q44))-N($U44))</f>
        <v/>
      </c>
      <c r="W44" s="95" t="inlineStr">
        <is>
          <t>Unpaid</t>
        </is>
      </c>
      <c r="X44" s="96" t="inlineStr">
        <is>
          <t>helper not available, driver solo</t>
        </is>
      </c>
      <c r="Z44" s="93">
        <f>IF($A44="","",DATE(YEAR($A44),MONTH($A44),1))</f>
        <v/>
      </c>
    </row>
    <row r="45">
      <c r="A45" s="86" t="n">
        <v>46314</v>
      </c>
      <c r="B45" s="87" t="inlineStr">
        <is>
          <t>DR-1041</t>
        </is>
      </c>
      <c r="C45" s="87" t="inlineStr">
        <is>
          <t>TRUCK 1</t>
        </is>
      </c>
      <c r="D45" s="88" t="inlineStr">
        <is>
          <t>R. Dela Cruz</t>
        </is>
      </c>
      <c r="E45" s="88" t="inlineStr">
        <is>
          <t>J. Santos</t>
        </is>
      </c>
      <c r="F45" s="88" t="inlineStr">
        <is>
          <t>BATAAN</t>
        </is>
      </c>
      <c r="G45" s="88" t="inlineStr">
        <is>
          <t>BULACAN</t>
        </is>
      </c>
      <c r="H45" s="89" t="n">
        <v>19</v>
      </c>
      <c r="I45" s="90">
        <f>IF($G45="","",IF($F45="",IFERROR(INDEX(Setup!$C$21:$C$60,MATCH("|"&amp;UPPER(TRIM($G45)),Setup!$Q$21:$Q$60,0)),"NO RATE"),IFERROR(INDEX(Setup!$C$21:$C$60,MATCH(UPPER(TRIM($F45))&amp;"|"&amp;UPPER(TRIM($G45)),Setup!$P$21:$P$60,0)),IFERROR(INDEX(Setup!$C$21:$C$60,MATCH(UPPER(TRIM($G45))&amp;"|"&amp;UPPER(TRIM($F45)),Setup!$P$21:$P$60,0)),"NO RATE"))))</f>
        <v/>
      </c>
      <c r="J45" s="91" t="n"/>
      <c r="K45" s="90">
        <f>IF(OR($G45="",$H45="",NOT(ISNUMBER($I45))),"",ROUND($H45*$I45*(1+IF($J45="",Setup!$B$16,$J45)),2))</f>
        <v/>
      </c>
      <c r="L45" s="90">
        <f>IF($K45="","",ROUND($K45*Setup!$B$13,2))</f>
        <v/>
      </c>
      <c r="M45" s="90">
        <f>IF($K45="","",$K45-$L45)</f>
        <v/>
      </c>
      <c r="N45" s="90">
        <f>IF(OR($M45="",$D45=""),"",ROUND($M45*IFERROR(IF(VLOOKUP($D45,Setup!$A$76:$C$87,3,FALSE)="",Setup!$B$14,VLOOKUP($D45,Setup!$A$76:$C$87,3,FALSE)),Setup!$B$14),2))</f>
        <v/>
      </c>
      <c r="O45" s="90">
        <f>IF(OR($M45="",$E45=""),"",ROUND($M45*IFERROR(IF(VLOOKUP($E45,Setup!$A$76:$C$87,3,FALSE)="",Setup!$B$15,VLOOKUP($E45,Setup!$A$76:$C$87,3,FALSE)),Setup!$B$15),2))</f>
        <v/>
      </c>
      <c r="P45" s="92" t="n">
        <v>500</v>
      </c>
      <c r="Q45" s="92" t="n">
        <v>0</v>
      </c>
      <c r="R45" s="92" t="n">
        <v>6600</v>
      </c>
      <c r="S45" s="92" t="n">
        <v>480</v>
      </c>
      <c r="T45" s="92" t="n">
        <v>0</v>
      </c>
      <c r="U45" s="90">
        <f>IF($K45="","",SUM($R45:$T45))</f>
        <v/>
      </c>
      <c r="V45" s="90">
        <f>IF($K45="","",$M45-(N($N45)+N($O45)+IF($P45="",Setup!$B$17,$P45)+N($Q45))-N($U45))</f>
        <v/>
      </c>
      <c r="W45" s="87" t="inlineStr">
        <is>
          <t>Unpaid</t>
        </is>
      </c>
      <c r="X45" s="88" t="inlineStr"/>
      <c r="Z45" s="93">
        <f>IF($A45="","",DATE(YEAR($A45),MONTH($A45),1))</f>
        <v/>
      </c>
    </row>
    <row r="46">
      <c r="A46" s="94" t="n">
        <v>46316</v>
      </c>
      <c r="B46" s="95" t="inlineStr">
        <is>
          <t>DR-1042</t>
        </is>
      </c>
      <c r="C46" s="95" t="inlineStr">
        <is>
          <t>TRUCK 1</t>
        </is>
      </c>
      <c r="D46" s="96" t="inlineStr">
        <is>
          <t>M. Reyes</t>
        </is>
      </c>
      <c r="E46" s="96" t="inlineStr">
        <is>
          <t>A. Bautista</t>
        </is>
      </c>
      <c r="F46" s="96" t="inlineStr">
        <is>
          <t>ORION</t>
        </is>
      </c>
      <c r="G46" s="96" t="inlineStr">
        <is>
          <t>ROSALES</t>
        </is>
      </c>
      <c r="H46" s="97" t="n">
        <v>20</v>
      </c>
      <c r="I46" s="90">
        <f>IF($G46="","",IF($F46="",IFERROR(INDEX(Setup!$C$21:$C$60,MATCH("|"&amp;UPPER(TRIM($G46)),Setup!$Q$21:$Q$60,0)),"NO RATE"),IFERROR(INDEX(Setup!$C$21:$C$60,MATCH(UPPER(TRIM($F46))&amp;"|"&amp;UPPER(TRIM($G46)),Setup!$P$21:$P$60,0)),IFERROR(INDEX(Setup!$C$21:$C$60,MATCH(UPPER(TRIM($G46))&amp;"|"&amp;UPPER(TRIM($F46)),Setup!$P$21:$P$60,0)),"NO RATE"))))</f>
        <v/>
      </c>
      <c r="J46" s="98" t="n"/>
      <c r="K46" s="90">
        <f>IF(OR($G46="",$H46="",NOT(ISNUMBER($I46))),"",ROUND($H46*$I46*(1+IF($J46="",Setup!$B$16,$J46)),2))</f>
        <v/>
      </c>
      <c r="L46" s="90">
        <f>IF($K46="","",ROUND($K46*Setup!$B$13,2))</f>
        <v/>
      </c>
      <c r="M46" s="90">
        <f>IF($K46="","",$K46-$L46)</f>
        <v/>
      </c>
      <c r="N46" s="90">
        <f>IF(OR($M46="",$D46=""),"",ROUND($M46*IFERROR(IF(VLOOKUP($D46,Setup!$A$76:$C$87,3,FALSE)="",Setup!$B$14,VLOOKUP($D46,Setup!$A$76:$C$87,3,FALSE)),Setup!$B$14),2))</f>
        <v/>
      </c>
      <c r="O46" s="90">
        <f>IF(OR($M46="",$E46=""),"",ROUND($M46*IFERROR(IF(VLOOKUP($E46,Setup!$A$76:$C$87,3,FALSE)="",Setup!$B$15,VLOOKUP($E46,Setup!$A$76:$C$87,3,FALSE)),Setup!$B$15),2))</f>
        <v/>
      </c>
      <c r="P46" s="99" t="n">
        <v>500</v>
      </c>
      <c r="Q46" s="99" t="n">
        <v>0</v>
      </c>
      <c r="R46" s="99" t="n">
        <v>6900</v>
      </c>
      <c r="S46" s="99" t="n">
        <v>700</v>
      </c>
      <c r="T46" s="99" t="n">
        <v>0</v>
      </c>
      <c r="U46" s="90">
        <f>IF($K46="","",SUM($R46:$T46))</f>
        <v/>
      </c>
      <c r="V46" s="90">
        <f>IF($K46="","",$M46-(N($N46)+N($O46)+IF($P46="",Setup!$B$17,$P46)+N($Q46))-N($U46))</f>
        <v/>
      </c>
      <c r="W46" s="95" t="inlineStr">
        <is>
          <t>Unpaid</t>
        </is>
      </c>
      <c r="X46" s="96" t="inlineStr"/>
      <c r="Z46" s="93">
        <f>IF($A46="","",DATE(YEAR($A46),MONTH($A46),1))</f>
        <v/>
      </c>
    </row>
    <row r="47">
      <c r="A47" s="86" t="n">
        <v>46318</v>
      </c>
      <c r="B47" s="87" t="inlineStr">
        <is>
          <t>DR-1043</t>
        </is>
      </c>
      <c r="C47" s="87" t="inlineStr">
        <is>
          <t>TRUCK 1</t>
        </is>
      </c>
      <c r="D47" s="88" t="inlineStr">
        <is>
          <t>R. Dela Cruz</t>
        </is>
      </c>
      <c r="E47" s="88" t="inlineStr">
        <is>
          <t>J. Santos</t>
        </is>
      </c>
      <c r="F47" s="88" t="inlineStr">
        <is>
          <t>MABINI, BATANGAS</t>
        </is>
      </c>
      <c r="G47" s="88" t="inlineStr">
        <is>
          <t>BATAAN</t>
        </is>
      </c>
      <c r="H47" s="89" t="n">
        <v>19</v>
      </c>
      <c r="I47" s="90">
        <f>IF($G47="","",IF($F47="",IFERROR(INDEX(Setup!$C$21:$C$60,MATCH("|"&amp;UPPER(TRIM($G47)),Setup!$Q$21:$Q$60,0)),"NO RATE"),IFERROR(INDEX(Setup!$C$21:$C$60,MATCH(UPPER(TRIM($F47))&amp;"|"&amp;UPPER(TRIM($G47)),Setup!$P$21:$P$60,0)),IFERROR(INDEX(Setup!$C$21:$C$60,MATCH(UPPER(TRIM($G47))&amp;"|"&amp;UPPER(TRIM($F47)),Setup!$P$21:$P$60,0)),"NO RATE"))))</f>
        <v/>
      </c>
      <c r="J47" s="91" t="n">
        <v>0.2</v>
      </c>
      <c r="K47" s="90">
        <f>IF(OR($G47="",$H47="",NOT(ISNUMBER($I47))),"",ROUND($H47*$I47*(1+IF($J47="",Setup!$B$16,$J47)),2))</f>
        <v/>
      </c>
      <c r="L47" s="90">
        <f>IF($K47="","",ROUND($K47*Setup!$B$13,2))</f>
        <v/>
      </c>
      <c r="M47" s="90">
        <f>IF($K47="","",$K47-$L47)</f>
        <v/>
      </c>
      <c r="N47" s="90">
        <f>IF(OR($M47="",$D47=""),"",ROUND($M47*IFERROR(IF(VLOOKUP($D47,Setup!$A$76:$C$87,3,FALSE)="",Setup!$B$14,VLOOKUP($D47,Setup!$A$76:$C$87,3,FALSE)),Setup!$B$14),2))</f>
        <v/>
      </c>
      <c r="O47" s="90">
        <f>IF(OR($M47="",$E47=""),"",ROUND($M47*IFERROR(IF(VLOOKUP($E47,Setup!$A$76:$C$87,3,FALSE)="",Setup!$B$15,VLOOKUP($E47,Setup!$A$76:$C$87,3,FALSE)),Setup!$B$15),2))</f>
        <v/>
      </c>
      <c r="P47" s="92" t="n">
        <v>500</v>
      </c>
      <c r="Q47" s="92" t="n">
        <v>0</v>
      </c>
      <c r="R47" s="92" t="n">
        <v>13100</v>
      </c>
      <c r="S47" s="92" t="n">
        <v>880</v>
      </c>
      <c r="T47" s="92" t="n">
        <v>0</v>
      </c>
      <c r="U47" s="90">
        <f>IF($K47="","",SUM($R47:$T47))</f>
        <v/>
      </c>
      <c r="V47" s="90">
        <f>IF($K47="","",$M47-(N($N47)+N($O47)+IF($P47="",Setup!$B$17,$P47)+N($Q47))-N($U47))</f>
        <v/>
      </c>
      <c r="W47" s="87" t="inlineStr">
        <is>
          <t>Unpaid</t>
        </is>
      </c>
      <c r="X47" s="88" t="inlineStr">
        <is>
          <t>surcharge raised to 20%</t>
        </is>
      </c>
      <c r="Z47" s="93">
        <f>IF($A47="","",DATE(YEAR($A47),MONTH($A47),1))</f>
        <v/>
      </c>
    </row>
    <row r="48">
      <c r="A48" s="94" t="n">
        <v>46320</v>
      </c>
      <c r="B48" s="95" t="inlineStr">
        <is>
          <t>DR-1044</t>
        </is>
      </c>
      <c r="C48" s="95" t="inlineStr">
        <is>
          <t>TRUCK 1</t>
        </is>
      </c>
      <c r="D48" s="96" t="inlineStr">
        <is>
          <t>M. Reyes</t>
        </is>
      </c>
      <c r="E48" s="96" t="inlineStr">
        <is>
          <t>A. Bautista</t>
        </is>
      </c>
      <c r="F48" s="96" t="inlineStr">
        <is>
          <t>BATAAN</t>
        </is>
      </c>
      <c r="G48" s="96" t="inlineStr">
        <is>
          <t>BMEG BATAAN</t>
        </is>
      </c>
      <c r="H48" s="97" t="n">
        <v>19</v>
      </c>
      <c r="I48" s="90">
        <f>IF($G48="","",IF($F48="",IFERROR(INDEX(Setup!$C$21:$C$60,MATCH("|"&amp;UPPER(TRIM($G48)),Setup!$Q$21:$Q$60,0)),"NO RATE"),IFERROR(INDEX(Setup!$C$21:$C$60,MATCH(UPPER(TRIM($F48))&amp;"|"&amp;UPPER(TRIM($G48)),Setup!$P$21:$P$60,0)),IFERROR(INDEX(Setup!$C$21:$C$60,MATCH(UPPER(TRIM($G48))&amp;"|"&amp;UPPER(TRIM($F48)),Setup!$P$21:$P$60,0)),"NO RATE"))))</f>
        <v/>
      </c>
      <c r="J48" s="98" t="n"/>
      <c r="K48" s="90">
        <f>IF(OR($G48="",$H48="",NOT(ISNUMBER($I48))),"",ROUND($H48*$I48*(1+IF($J48="",Setup!$B$16,$J48)),2))</f>
        <v/>
      </c>
      <c r="L48" s="90">
        <f>IF($K48="","",ROUND($K48*Setup!$B$13,2))</f>
        <v/>
      </c>
      <c r="M48" s="90">
        <f>IF($K48="","",$K48-$L48)</f>
        <v/>
      </c>
      <c r="N48" s="90">
        <f>IF(OR($M48="",$D48=""),"",ROUND($M48*IFERROR(IF(VLOOKUP($D48,Setup!$A$76:$C$87,3,FALSE)="",Setup!$B$14,VLOOKUP($D48,Setup!$A$76:$C$87,3,FALSE)),Setup!$B$14),2))</f>
        <v/>
      </c>
      <c r="O48" s="90">
        <f>IF(OR($M48="",$E48=""),"",ROUND($M48*IFERROR(IF(VLOOKUP($E48,Setup!$A$76:$C$87,3,FALSE)="",Setup!$B$15,VLOOKUP($E48,Setup!$A$76:$C$87,3,FALSE)),Setup!$B$15),2))</f>
        <v/>
      </c>
      <c r="P48" s="99" t="n">
        <v>400</v>
      </c>
      <c r="Q48" s="99" t="n">
        <v>450</v>
      </c>
      <c r="R48" s="99" t="n">
        <v>800</v>
      </c>
      <c r="S48" s="99" t="n">
        <v>120</v>
      </c>
      <c r="T48" s="99" t="n">
        <v>0</v>
      </c>
      <c r="U48" s="90">
        <f>IF($K48="","",SUM($R48:$T48))</f>
        <v/>
      </c>
      <c r="V48" s="90">
        <f>IF($K48="","",$M48-(N($N48)+N($O48)+IF($P48="",Setup!$B$17,$P48)+N($Q48))-N($U48))</f>
        <v/>
      </c>
      <c r="W48" s="95" t="inlineStr">
        <is>
          <t>Unpaid</t>
        </is>
      </c>
      <c r="X48" s="96" t="inlineStr"/>
      <c r="Z48" s="93">
        <f>IF($A48="","",DATE(YEAR($A48),MONTH($A48),1))</f>
        <v/>
      </c>
    </row>
    <row r="49">
      <c r="A49" s="86" t="n">
        <v>46322</v>
      </c>
      <c r="B49" s="87" t="inlineStr">
        <is>
          <t>DR-1045</t>
        </is>
      </c>
      <c r="C49" s="87" t="inlineStr">
        <is>
          <t>TRUCK 1</t>
        </is>
      </c>
      <c r="D49" s="88" t="inlineStr">
        <is>
          <t>R. Dela Cruz</t>
        </is>
      </c>
      <c r="E49" s="88" t="inlineStr">
        <is>
          <t>J. Santos</t>
        </is>
      </c>
      <c r="F49" s="88" t="inlineStr">
        <is>
          <t>BATAAN</t>
        </is>
      </c>
      <c r="G49" s="88" t="inlineStr">
        <is>
          <t>TARLAC</t>
        </is>
      </c>
      <c r="H49" s="89" t="n">
        <v>18</v>
      </c>
      <c r="I49" s="90">
        <f>IF($G49="","",IF($F49="",IFERROR(INDEX(Setup!$C$21:$C$60,MATCH("|"&amp;UPPER(TRIM($G49)),Setup!$Q$21:$Q$60,0)),"NO RATE"),IFERROR(INDEX(Setup!$C$21:$C$60,MATCH(UPPER(TRIM($F49))&amp;"|"&amp;UPPER(TRIM($G49)),Setup!$P$21:$P$60,0)),IFERROR(INDEX(Setup!$C$21:$C$60,MATCH(UPPER(TRIM($G49))&amp;"|"&amp;UPPER(TRIM($F49)),Setup!$P$21:$P$60,0)),"NO RATE"))))</f>
        <v/>
      </c>
      <c r="J49" s="91" t="n"/>
      <c r="K49" s="90">
        <f>IF(OR($G49="",$H49="",NOT(ISNUMBER($I49))),"",ROUND($H49*$I49*(1+IF($J49="",Setup!$B$16,$J49)),2))</f>
        <v/>
      </c>
      <c r="L49" s="90">
        <f>IF($K49="","",ROUND($K49*Setup!$B$13,2))</f>
        <v/>
      </c>
      <c r="M49" s="90">
        <f>IF($K49="","",$K49-$L49)</f>
        <v/>
      </c>
      <c r="N49" s="90">
        <f>IF(OR($M49="",$D49=""),"",ROUND($M49*IFERROR(IF(VLOOKUP($D49,Setup!$A$76:$C$87,3,FALSE)="",Setup!$B$14,VLOOKUP($D49,Setup!$A$76:$C$87,3,FALSE)),Setup!$B$14),2))</f>
        <v/>
      </c>
      <c r="O49" s="90">
        <f>IF(OR($M49="",$E49=""),"",ROUND($M49*IFERROR(IF(VLOOKUP($E49,Setup!$A$76:$C$87,3,FALSE)="",Setup!$B$15,VLOOKUP($E49,Setup!$A$76:$C$87,3,FALSE)),Setup!$B$15),2))</f>
        <v/>
      </c>
      <c r="P49" s="92" t="n">
        <v>500</v>
      </c>
      <c r="Q49" s="92" t="n">
        <v>0</v>
      </c>
      <c r="R49" s="92" t="n">
        <v>6400</v>
      </c>
      <c r="S49" s="92" t="n">
        <v>620</v>
      </c>
      <c r="T49" s="92" t="n">
        <v>0</v>
      </c>
      <c r="U49" s="90">
        <f>IF($K49="","",SUM($R49:$T49))</f>
        <v/>
      </c>
      <c r="V49" s="90">
        <f>IF($K49="","",$M49-(N($N49)+N($O49)+IF($P49="",Setup!$B$17,$P49)+N($Q49))-N($U49))</f>
        <v/>
      </c>
      <c r="W49" s="87" t="inlineStr">
        <is>
          <t>Unpaid</t>
        </is>
      </c>
      <c r="X49" s="88" t="inlineStr"/>
      <c r="Z49" s="93">
        <f>IF($A49="","",DATE(YEAR($A49),MONTH($A49),1))</f>
        <v/>
      </c>
    </row>
    <row r="50">
      <c r="A50" s="94" t="n"/>
      <c r="B50" s="95" t="n"/>
      <c r="C50" s="95" t="n"/>
      <c r="D50" s="96" t="n"/>
      <c r="E50" s="96" t="n"/>
      <c r="F50" s="96" t="n"/>
      <c r="G50" s="96" t="n"/>
      <c r="H50" s="97" t="n"/>
      <c r="I50" s="90">
        <f>IF($G50="","",IF($F50="",IFERROR(INDEX(Setup!$C$21:$C$60,MATCH("|"&amp;UPPER(TRIM($G50)),Setup!$Q$21:$Q$60,0)),"NO RATE"),IFERROR(INDEX(Setup!$C$21:$C$60,MATCH(UPPER(TRIM($F50))&amp;"|"&amp;UPPER(TRIM($G50)),Setup!$P$21:$P$60,0)),IFERROR(INDEX(Setup!$C$21:$C$60,MATCH(UPPER(TRIM($G50))&amp;"|"&amp;UPPER(TRIM($F50)),Setup!$P$21:$P$60,0)),"NO RATE"))))</f>
        <v/>
      </c>
      <c r="J50" s="98" t="n"/>
      <c r="K50" s="90">
        <f>IF(OR($G50="",$H50="",NOT(ISNUMBER($I50))),"",ROUND($H50*$I50*(1+IF($J50="",Setup!$B$16,$J50)),2))</f>
        <v/>
      </c>
      <c r="L50" s="90">
        <f>IF($K50="","",ROUND($K50*Setup!$B$13,2))</f>
        <v/>
      </c>
      <c r="M50" s="90">
        <f>IF($K50="","",$K50-$L50)</f>
        <v/>
      </c>
      <c r="N50" s="90">
        <f>IF(OR($M50="",$D50=""),"",ROUND($M50*IFERROR(IF(VLOOKUP($D50,Setup!$A$76:$C$87,3,FALSE)="",Setup!$B$14,VLOOKUP($D50,Setup!$A$76:$C$87,3,FALSE)),Setup!$B$14),2))</f>
        <v/>
      </c>
      <c r="O50" s="90">
        <f>IF(OR($M50="",$E50=""),"",ROUND($M50*IFERROR(IF(VLOOKUP($E50,Setup!$A$76:$C$87,3,FALSE)="",Setup!$B$15,VLOOKUP($E50,Setup!$A$76:$C$87,3,FALSE)),Setup!$B$15),2))</f>
        <v/>
      </c>
      <c r="P50" s="99" t="n"/>
      <c r="Q50" s="99" t="n"/>
      <c r="R50" s="99" t="n"/>
      <c r="S50" s="99" t="n"/>
      <c r="T50" s="99" t="n"/>
      <c r="U50" s="90">
        <f>IF($K50="","",SUM($R50:$T50))</f>
        <v/>
      </c>
      <c r="V50" s="90">
        <f>IF($K50="","",$M50-(N($N50)+N($O50)+IF($P50="",Setup!$B$17,$P50)+N($Q50))-N($U50))</f>
        <v/>
      </c>
      <c r="W50" s="95" t="n"/>
      <c r="X50" s="96" t="n"/>
      <c r="Z50" s="93">
        <f>IF($A50="","",DATE(YEAR($A50),MONTH($A50),1))</f>
        <v/>
      </c>
    </row>
    <row r="51">
      <c r="A51" s="86" t="n"/>
      <c r="B51" s="87" t="n"/>
      <c r="C51" s="87" t="n"/>
      <c r="D51" s="88" t="n"/>
      <c r="E51" s="88" t="n"/>
      <c r="F51" s="88" t="n"/>
      <c r="G51" s="88" t="n"/>
      <c r="H51" s="89" t="n"/>
      <c r="I51" s="90">
        <f>IF($G51="","",IF($F51="",IFERROR(INDEX(Setup!$C$21:$C$60,MATCH("|"&amp;UPPER(TRIM($G51)),Setup!$Q$21:$Q$60,0)),"NO RATE"),IFERROR(INDEX(Setup!$C$21:$C$60,MATCH(UPPER(TRIM($F51))&amp;"|"&amp;UPPER(TRIM($G51)),Setup!$P$21:$P$60,0)),IFERROR(INDEX(Setup!$C$21:$C$60,MATCH(UPPER(TRIM($G51))&amp;"|"&amp;UPPER(TRIM($F51)),Setup!$P$21:$P$60,0)),"NO RATE"))))</f>
        <v/>
      </c>
      <c r="J51" s="91" t="n"/>
      <c r="K51" s="90">
        <f>IF(OR($G51="",$H51="",NOT(ISNUMBER($I51))),"",ROUND($H51*$I51*(1+IF($J51="",Setup!$B$16,$J51)),2))</f>
        <v/>
      </c>
      <c r="L51" s="90">
        <f>IF($K51="","",ROUND($K51*Setup!$B$13,2))</f>
        <v/>
      </c>
      <c r="M51" s="90">
        <f>IF($K51="","",$K51-$L51)</f>
        <v/>
      </c>
      <c r="N51" s="90">
        <f>IF(OR($M51="",$D51=""),"",ROUND($M51*IFERROR(IF(VLOOKUP($D51,Setup!$A$76:$C$87,3,FALSE)="",Setup!$B$14,VLOOKUP($D51,Setup!$A$76:$C$87,3,FALSE)),Setup!$B$14),2))</f>
        <v/>
      </c>
      <c r="O51" s="90">
        <f>IF(OR($M51="",$E51=""),"",ROUND($M51*IFERROR(IF(VLOOKUP($E51,Setup!$A$76:$C$87,3,FALSE)="",Setup!$B$15,VLOOKUP($E51,Setup!$A$76:$C$87,3,FALSE)),Setup!$B$15),2))</f>
        <v/>
      </c>
      <c r="P51" s="92" t="n"/>
      <c r="Q51" s="92" t="n"/>
      <c r="R51" s="92" t="n"/>
      <c r="S51" s="92" t="n"/>
      <c r="T51" s="92" t="n"/>
      <c r="U51" s="90">
        <f>IF($K51="","",SUM($R51:$T51))</f>
        <v/>
      </c>
      <c r="V51" s="90">
        <f>IF($K51="","",$M51-(N($N51)+N($O51)+IF($P51="",Setup!$B$17,$P51)+N($Q51))-N($U51))</f>
        <v/>
      </c>
      <c r="W51" s="87" t="n"/>
      <c r="X51" s="88" t="n"/>
      <c r="Z51" s="93">
        <f>IF($A51="","",DATE(YEAR($A51),MONTH($A51),1))</f>
        <v/>
      </c>
    </row>
    <row r="52">
      <c r="A52" s="94" t="n"/>
      <c r="B52" s="95" t="n"/>
      <c r="C52" s="95" t="n"/>
      <c r="D52" s="96" t="n"/>
      <c r="E52" s="96" t="n"/>
      <c r="F52" s="96" t="n"/>
      <c r="G52" s="96" t="n"/>
      <c r="H52" s="97" t="n"/>
      <c r="I52" s="90">
        <f>IF($G52="","",IF($F52="",IFERROR(INDEX(Setup!$C$21:$C$60,MATCH("|"&amp;UPPER(TRIM($G52)),Setup!$Q$21:$Q$60,0)),"NO RATE"),IFERROR(INDEX(Setup!$C$21:$C$60,MATCH(UPPER(TRIM($F52))&amp;"|"&amp;UPPER(TRIM($G52)),Setup!$P$21:$P$60,0)),IFERROR(INDEX(Setup!$C$21:$C$60,MATCH(UPPER(TRIM($G52))&amp;"|"&amp;UPPER(TRIM($F52)),Setup!$P$21:$P$60,0)),"NO RATE"))))</f>
        <v/>
      </c>
      <c r="J52" s="98" t="n"/>
      <c r="K52" s="90">
        <f>IF(OR($G52="",$H52="",NOT(ISNUMBER($I52))),"",ROUND($H52*$I52*(1+IF($J52="",Setup!$B$16,$J52)),2))</f>
        <v/>
      </c>
      <c r="L52" s="90">
        <f>IF($K52="","",ROUND($K52*Setup!$B$13,2))</f>
        <v/>
      </c>
      <c r="M52" s="90">
        <f>IF($K52="","",$K52-$L52)</f>
        <v/>
      </c>
      <c r="N52" s="90">
        <f>IF(OR($M52="",$D52=""),"",ROUND($M52*IFERROR(IF(VLOOKUP($D52,Setup!$A$76:$C$87,3,FALSE)="",Setup!$B$14,VLOOKUP($D52,Setup!$A$76:$C$87,3,FALSE)),Setup!$B$14),2))</f>
        <v/>
      </c>
      <c r="O52" s="90">
        <f>IF(OR($M52="",$E52=""),"",ROUND($M52*IFERROR(IF(VLOOKUP($E52,Setup!$A$76:$C$87,3,FALSE)="",Setup!$B$15,VLOOKUP($E52,Setup!$A$76:$C$87,3,FALSE)),Setup!$B$15),2))</f>
        <v/>
      </c>
      <c r="P52" s="99" t="n"/>
      <c r="Q52" s="99" t="n"/>
      <c r="R52" s="99" t="n"/>
      <c r="S52" s="99" t="n"/>
      <c r="T52" s="99" t="n"/>
      <c r="U52" s="90">
        <f>IF($K52="","",SUM($R52:$T52))</f>
        <v/>
      </c>
      <c r="V52" s="90">
        <f>IF($K52="","",$M52-(N($N52)+N($O52)+IF($P52="",Setup!$B$17,$P52)+N($Q52))-N($U52))</f>
        <v/>
      </c>
      <c r="W52" s="95" t="n"/>
      <c r="X52" s="96" t="n"/>
      <c r="Z52" s="93">
        <f>IF($A52="","",DATE(YEAR($A52),MONTH($A52),1))</f>
        <v/>
      </c>
    </row>
    <row r="53">
      <c r="A53" s="86" t="n"/>
      <c r="B53" s="87" t="n"/>
      <c r="C53" s="87" t="n"/>
      <c r="D53" s="88" t="n"/>
      <c r="E53" s="88" t="n"/>
      <c r="F53" s="88" t="n"/>
      <c r="G53" s="88" t="n"/>
      <c r="H53" s="89" t="n"/>
      <c r="I53" s="90">
        <f>IF($G53="","",IF($F53="",IFERROR(INDEX(Setup!$C$21:$C$60,MATCH("|"&amp;UPPER(TRIM($G53)),Setup!$Q$21:$Q$60,0)),"NO RATE"),IFERROR(INDEX(Setup!$C$21:$C$60,MATCH(UPPER(TRIM($F53))&amp;"|"&amp;UPPER(TRIM($G53)),Setup!$P$21:$P$60,0)),IFERROR(INDEX(Setup!$C$21:$C$60,MATCH(UPPER(TRIM($G53))&amp;"|"&amp;UPPER(TRIM($F53)),Setup!$P$21:$P$60,0)),"NO RATE"))))</f>
        <v/>
      </c>
      <c r="J53" s="91" t="n"/>
      <c r="K53" s="90">
        <f>IF(OR($G53="",$H53="",NOT(ISNUMBER($I53))),"",ROUND($H53*$I53*(1+IF($J53="",Setup!$B$16,$J53)),2))</f>
        <v/>
      </c>
      <c r="L53" s="90">
        <f>IF($K53="","",ROUND($K53*Setup!$B$13,2))</f>
        <v/>
      </c>
      <c r="M53" s="90">
        <f>IF($K53="","",$K53-$L53)</f>
        <v/>
      </c>
      <c r="N53" s="90">
        <f>IF(OR($M53="",$D53=""),"",ROUND($M53*IFERROR(IF(VLOOKUP($D53,Setup!$A$76:$C$87,3,FALSE)="",Setup!$B$14,VLOOKUP($D53,Setup!$A$76:$C$87,3,FALSE)),Setup!$B$14),2))</f>
        <v/>
      </c>
      <c r="O53" s="90">
        <f>IF(OR($M53="",$E53=""),"",ROUND($M53*IFERROR(IF(VLOOKUP($E53,Setup!$A$76:$C$87,3,FALSE)="",Setup!$B$15,VLOOKUP($E53,Setup!$A$76:$C$87,3,FALSE)),Setup!$B$15),2))</f>
        <v/>
      </c>
      <c r="P53" s="92" t="n"/>
      <c r="Q53" s="92" t="n"/>
      <c r="R53" s="92" t="n"/>
      <c r="S53" s="92" t="n"/>
      <c r="T53" s="92" t="n"/>
      <c r="U53" s="90">
        <f>IF($K53="","",SUM($R53:$T53))</f>
        <v/>
      </c>
      <c r="V53" s="90">
        <f>IF($K53="","",$M53-(N($N53)+N($O53)+IF($P53="",Setup!$B$17,$P53)+N($Q53))-N($U53))</f>
        <v/>
      </c>
      <c r="W53" s="87" t="n"/>
      <c r="X53" s="88" t="n"/>
      <c r="Z53" s="93">
        <f>IF($A53="","",DATE(YEAR($A53),MONTH($A53),1))</f>
        <v/>
      </c>
    </row>
    <row r="54">
      <c r="A54" s="94" t="n"/>
      <c r="B54" s="95" t="n"/>
      <c r="C54" s="95" t="n"/>
      <c r="D54" s="96" t="n"/>
      <c r="E54" s="96" t="n"/>
      <c r="F54" s="96" t="n"/>
      <c r="G54" s="96" t="n"/>
      <c r="H54" s="97" t="n"/>
      <c r="I54" s="90">
        <f>IF($G54="","",IF($F54="",IFERROR(INDEX(Setup!$C$21:$C$60,MATCH("|"&amp;UPPER(TRIM($G54)),Setup!$Q$21:$Q$60,0)),"NO RATE"),IFERROR(INDEX(Setup!$C$21:$C$60,MATCH(UPPER(TRIM($F54))&amp;"|"&amp;UPPER(TRIM($G54)),Setup!$P$21:$P$60,0)),IFERROR(INDEX(Setup!$C$21:$C$60,MATCH(UPPER(TRIM($G54))&amp;"|"&amp;UPPER(TRIM($F54)),Setup!$P$21:$P$60,0)),"NO RATE"))))</f>
        <v/>
      </c>
      <c r="J54" s="98" t="n"/>
      <c r="K54" s="90">
        <f>IF(OR($G54="",$H54="",NOT(ISNUMBER($I54))),"",ROUND($H54*$I54*(1+IF($J54="",Setup!$B$16,$J54)),2))</f>
        <v/>
      </c>
      <c r="L54" s="90">
        <f>IF($K54="","",ROUND($K54*Setup!$B$13,2))</f>
        <v/>
      </c>
      <c r="M54" s="90">
        <f>IF($K54="","",$K54-$L54)</f>
        <v/>
      </c>
      <c r="N54" s="90">
        <f>IF(OR($M54="",$D54=""),"",ROUND($M54*IFERROR(IF(VLOOKUP($D54,Setup!$A$76:$C$87,3,FALSE)="",Setup!$B$14,VLOOKUP($D54,Setup!$A$76:$C$87,3,FALSE)),Setup!$B$14),2))</f>
        <v/>
      </c>
      <c r="O54" s="90">
        <f>IF(OR($M54="",$E54=""),"",ROUND($M54*IFERROR(IF(VLOOKUP($E54,Setup!$A$76:$C$87,3,FALSE)="",Setup!$B$15,VLOOKUP($E54,Setup!$A$76:$C$87,3,FALSE)),Setup!$B$15),2))</f>
        <v/>
      </c>
      <c r="P54" s="99" t="n"/>
      <c r="Q54" s="99" t="n"/>
      <c r="R54" s="99" t="n"/>
      <c r="S54" s="99" t="n"/>
      <c r="T54" s="99" t="n"/>
      <c r="U54" s="90">
        <f>IF($K54="","",SUM($R54:$T54))</f>
        <v/>
      </c>
      <c r="V54" s="90">
        <f>IF($K54="","",$M54-(N($N54)+N($O54)+IF($P54="",Setup!$B$17,$P54)+N($Q54))-N($U54))</f>
        <v/>
      </c>
      <c r="W54" s="95" t="n"/>
      <c r="X54" s="96" t="n"/>
      <c r="Z54" s="93">
        <f>IF($A54="","",DATE(YEAR($A54),MONTH($A54),1))</f>
        <v/>
      </c>
    </row>
    <row r="55">
      <c r="A55" s="86" t="n"/>
      <c r="B55" s="87" t="n"/>
      <c r="C55" s="87" t="n"/>
      <c r="D55" s="88" t="n"/>
      <c r="E55" s="88" t="n"/>
      <c r="F55" s="88" t="n"/>
      <c r="G55" s="88" t="n"/>
      <c r="H55" s="89" t="n"/>
      <c r="I55" s="90">
        <f>IF($G55="","",IF($F55="",IFERROR(INDEX(Setup!$C$21:$C$60,MATCH("|"&amp;UPPER(TRIM($G55)),Setup!$Q$21:$Q$60,0)),"NO RATE"),IFERROR(INDEX(Setup!$C$21:$C$60,MATCH(UPPER(TRIM($F55))&amp;"|"&amp;UPPER(TRIM($G55)),Setup!$P$21:$P$60,0)),IFERROR(INDEX(Setup!$C$21:$C$60,MATCH(UPPER(TRIM($G55))&amp;"|"&amp;UPPER(TRIM($F55)),Setup!$P$21:$P$60,0)),"NO RATE"))))</f>
        <v/>
      </c>
      <c r="J55" s="91" t="n"/>
      <c r="K55" s="90">
        <f>IF(OR($G55="",$H55="",NOT(ISNUMBER($I55))),"",ROUND($H55*$I55*(1+IF($J55="",Setup!$B$16,$J55)),2))</f>
        <v/>
      </c>
      <c r="L55" s="90">
        <f>IF($K55="","",ROUND($K55*Setup!$B$13,2))</f>
        <v/>
      </c>
      <c r="M55" s="90">
        <f>IF($K55="","",$K55-$L55)</f>
        <v/>
      </c>
      <c r="N55" s="90">
        <f>IF(OR($M55="",$D55=""),"",ROUND($M55*IFERROR(IF(VLOOKUP($D55,Setup!$A$76:$C$87,3,FALSE)="",Setup!$B$14,VLOOKUP($D55,Setup!$A$76:$C$87,3,FALSE)),Setup!$B$14),2))</f>
        <v/>
      </c>
      <c r="O55" s="90">
        <f>IF(OR($M55="",$E55=""),"",ROUND($M55*IFERROR(IF(VLOOKUP($E55,Setup!$A$76:$C$87,3,FALSE)="",Setup!$B$15,VLOOKUP($E55,Setup!$A$76:$C$87,3,FALSE)),Setup!$B$15),2))</f>
        <v/>
      </c>
      <c r="P55" s="92" t="n"/>
      <c r="Q55" s="92" t="n"/>
      <c r="R55" s="92" t="n"/>
      <c r="S55" s="92" t="n"/>
      <c r="T55" s="92" t="n"/>
      <c r="U55" s="90">
        <f>IF($K55="","",SUM($R55:$T55))</f>
        <v/>
      </c>
      <c r="V55" s="90">
        <f>IF($K55="","",$M55-(N($N55)+N($O55)+IF($P55="",Setup!$B$17,$P55)+N($Q55))-N($U55))</f>
        <v/>
      </c>
      <c r="W55" s="87" t="n"/>
      <c r="X55" s="88" t="n"/>
      <c r="Z55" s="93">
        <f>IF($A55="","",DATE(YEAR($A55),MONTH($A55),1))</f>
        <v/>
      </c>
    </row>
    <row r="56">
      <c r="A56" s="94" t="n"/>
      <c r="B56" s="95" t="n"/>
      <c r="C56" s="95" t="n"/>
      <c r="D56" s="96" t="n"/>
      <c r="E56" s="96" t="n"/>
      <c r="F56" s="96" t="n"/>
      <c r="G56" s="96" t="n"/>
      <c r="H56" s="97" t="n"/>
      <c r="I56" s="90">
        <f>IF($G56="","",IF($F56="",IFERROR(INDEX(Setup!$C$21:$C$60,MATCH("|"&amp;UPPER(TRIM($G56)),Setup!$Q$21:$Q$60,0)),"NO RATE"),IFERROR(INDEX(Setup!$C$21:$C$60,MATCH(UPPER(TRIM($F56))&amp;"|"&amp;UPPER(TRIM($G56)),Setup!$P$21:$P$60,0)),IFERROR(INDEX(Setup!$C$21:$C$60,MATCH(UPPER(TRIM($G56))&amp;"|"&amp;UPPER(TRIM($F56)),Setup!$P$21:$P$60,0)),"NO RATE"))))</f>
        <v/>
      </c>
      <c r="J56" s="98" t="n"/>
      <c r="K56" s="90">
        <f>IF(OR($G56="",$H56="",NOT(ISNUMBER($I56))),"",ROUND($H56*$I56*(1+IF($J56="",Setup!$B$16,$J56)),2))</f>
        <v/>
      </c>
      <c r="L56" s="90">
        <f>IF($K56="","",ROUND($K56*Setup!$B$13,2))</f>
        <v/>
      </c>
      <c r="M56" s="90">
        <f>IF($K56="","",$K56-$L56)</f>
        <v/>
      </c>
      <c r="N56" s="90">
        <f>IF(OR($M56="",$D56=""),"",ROUND($M56*IFERROR(IF(VLOOKUP($D56,Setup!$A$76:$C$87,3,FALSE)="",Setup!$B$14,VLOOKUP($D56,Setup!$A$76:$C$87,3,FALSE)),Setup!$B$14),2))</f>
        <v/>
      </c>
      <c r="O56" s="90">
        <f>IF(OR($M56="",$E56=""),"",ROUND($M56*IFERROR(IF(VLOOKUP($E56,Setup!$A$76:$C$87,3,FALSE)="",Setup!$B$15,VLOOKUP($E56,Setup!$A$76:$C$87,3,FALSE)),Setup!$B$15),2))</f>
        <v/>
      </c>
      <c r="P56" s="99" t="n"/>
      <c r="Q56" s="99" t="n"/>
      <c r="R56" s="99" t="n"/>
      <c r="S56" s="99" t="n"/>
      <c r="T56" s="99" t="n"/>
      <c r="U56" s="90">
        <f>IF($K56="","",SUM($R56:$T56))</f>
        <v/>
      </c>
      <c r="V56" s="90">
        <f>IF($K56="","",$M56-(N($N56)+N($O56)+IF($P56="",Setup!$B$17,$P56)+N($Q56))-N($U56))</f>
        <v/>
      </c>
      <c r="W56" s="95" t="n"/>
      <c r="X56" s="96" t="n"/>
      <c r="Z56" s="93">
        <f>IF($A56="","",DATE(YEAR($A56),MONTH($A56),1))</f>
        <v/>
      </c>
    </row>
    <row r="57">
      <c r="A57" s="86" t="n"/>
      <c r="B57" s="87" t="n"/>
      <c r="C57" s="87" t="n"/>
      <c r="D57" s="88" t="n"/>
      <c r="E57" s="88" t="n"/>
      <c r="F57" s="88" t="n"/>
      <c r="G57" s="88" t="n"/>
      <c r="H57" s="89" t="n"/>
      <c r="I57" s="90">
        <f>IF($G57="","",IF($F57="",IFERROR(INDEX(Setup!$C$21:$C$60,MATCH("|"&amp;UPPER(TRIM($G57)),Setup!$Q$21:$Q$60,0)),"NO RATE"),IFERROR(INDEX(Setup!$C$21:$C$60,MATCH(UPPER(TRIM($F57))&amp;"|"&amp;UPPER(TRIM($G57)),Setup!$P$21:$P$60,0)),IFERROR(INDEX(Setup!$C$21:$C$60,MATCH(UPPER(TRIM($G57))&amp;"|"&amp;UPPER(TRIM($F57)),Setup!$P$21:$P$60,0)),"NO RATE"))))</f>
        <v/>
      </c>
      <c r="J57" s="91" t="n"/>
      <c r="K57" s="90">
        <f>IF(OR($G57="",$H57="",NOT(ISNUMBER($I57))),"",ROUND($H57*$I57*(1+IF($J57="",Setup!$B$16,$J57)),2))</f>
        <v/>
      </c>
      <c r="L57" s="90">
        <f>IF($K57="","",ROUND($K57*Setup!$B$13,2))</f>
        <v/>
      </c>
      <c r="M57" s="90">
        <f>IF($K57="","",$K57-$L57)</f>
        <v/>
      </c>
      <c r="N57" s="90">
        <f>IF(OR($M57="",$D57=""),"",ROUND($M57*IFERROR(IF(VLOOKUP($D57,Setup!$A$76:$C$87,3,FALSE)="",Setup!$B$14,VLOOKUP($D57,Setup!$A$76:$C$87,3,FALSE)),Setup!$B$14),2))</f>
        <v/>
      </c>
      <c r="O57" s="90">
        <f>IF(OR($M57="",$E57=""),"",ROUND($M57*IFERROR(IF(VLOOKUP($E57,Setup!$A$76:$C$87,3,FALSE)="",Setup!$B$15,VLOOKUP($E57,Setup!$A$76:$C$87,3,FALSE)),Setup!$B$15),2))</f>
        <v/>
      </c>
      <c r="P57" s="92" t="n"/>
      <c r="Q57" s="92" t="n"/>
      <c r="R57" s="92" t="n"/>
      <c r="S57" s="92" t="n"/>
      <c r="T57" s="92" t="n"/>
      <c r="U57" s="90">
        <f>IF($K57="","",SUM($R57:$T57))</f>
        <v/>
      </c>
      <c r="V57" s="90">
        <f>IF($K57="","",$M57-(N($N57)+N($O57)+IF($P57="",Setup!$B$17,$P57)+N($Q57))-N($U57))</f>
        <v/>
      </c>
      <c r="W57" s="87" t="n"/>
      <c r="X57" s="88" t="n"/>
      <c r="Z57" s="93">
        <f>IF($A57="","",DATE(YEAR($A57),MONTH($A57),1))</f>
        <v/>
      </c>
    </row>
    <row r="58">
      <c r="A58" s="94" t="n"/>
      <c r="B58" s="95" t="n"/>
      <c r="C58" s="95" t="n"/>
      <c r="D58" s="96" t="n"/>
      <c r="E58" s="96" t="n"/>
      <c r="F58" s="96" t="n"/>
      <c r="G58" s="96" t="n"/>
      <c r="H58" s="97" t="n"/>
      <c r="I58" s="90">
        <f>IF($G58="","",IF($F58="",IFERROR(INDEX(Setup!$C$21:$C$60,MATCH("|"&amp;UPPER(TRIM($G58)),Setup!$Q$21:$Q$60,0)),"NO RATE"),IFERROR(INDEX(Setup!$C$21:$C$60,MATCH(UPPER(TRIM($F58))&amp;"|"&amp;UPPER(TRIM($G58)),Setup!$P$21:$P$60,0)),IFERROR(INDEX(Setup!$C$21:$C$60,MATCH(UPPER(TRIM($G58))&amp;"|"&amp;UPPER(TRIM($F58)),Setup!$P$21:$P$60,0)),"NO RATE"))))</f>
        <v/>
      </c>
      <c r="J58" s="98" t="n"/>
      <c r="K58" s="90">
        <f>IF(OR($G58="",$H58="",NOT(ISNUMBER($I58))),"",ROUND($H58*$I58*(1+IF($J58="",Setup!$B$16,$J58)),2))</f>
        <v/>
      </c>
      <c r="L58" s="90">
        <f>IF($K58="","",ROUND($K58*Setup!$B$13,2))</f>
        <v/>
      </c>
      <c r="M58" s="90">
        <f>IF($K58="","",$K58-$L58)</f>
        <v/>
      </c>
      <c r="N58" s="90">
        <f>IF(OR($M58="",$D58=""),"",ROUND($M58*IFERROR(IF(VLOOKUP($D58,Setup!$A$76:$C$87,3,FALSE)="",Setup!$B$14,VLOOKUP($D58,Setup!$A$76:$C$87,3,FALSE)),Setup!$B$14),2))</f>
        <v/>
      </c>
      <c r="O58" s="90">
        <f>IF(OR($M58="",$E58=""),"",ROUND($M58*IFERROR(IF(VLOOKUP($E58,Setup!$A$76:$C$87,3,FALSE)="",Setup!$B$15,VLOOKUP($E58,Setup!$A$76:$C$87,3,FALSE)),Setup!$B$15),2))</f>
        <v/>
      </c>
      <c r="P58" s="99" t="n"/>
      <c r="Q58" s="99" t="n"/>
      <c r="R58" s="99" t="n"/>
      <c r="S58" s="99" t="n"/>
      <c r="T58" s="99" t="n"/>
      <c r="U58" s="90">
        <f>IF($K58="","",SUM($R58:$T58))</f>
        <v/>
      </c>
      <c r="V58" s="90">
        <f>IF($K58="","",$M58-(N($N58)+N($O58)+IF($P58="",Setup!$B$17,$P58)+N($Q58))-N($U58))</f>
        <v/>
      </c>
      <c r="W58" s="95" t="n"/>
      <c r="X58" s="96" t="n"/>
      <c r="Z58" s="93">
        <f>IF($A58="","",DATE(YEAR($A58),MONTH($A58),1))</f>
        <v/>
      </c>
    </row>
    <row r="59">
      <c r="A59" s="86" t="n"/>
      <c r="B59" s="87" t="n"/>
      <c r="C59" s="87" t="n"/>
      <c r="D59" s="88" t="n"/>
      <c r="E59" s="88" t="n"/>
      <c r="F59" s="88" t="n"/>
      <c r="G59" s="88" t="n"/>
      <c r="H59" s="89" t="n"/>
      <c r="I59" s="90">
        <f>IF($G59="","",IF($F59="",IFERROR(INDEX(Setup!$C$21:$C$60,MATCH("|"&amp;UPPER(TRIM($G59)),Setup!$Q$21:$Q$60,0)),"NO RATE"),IFERROR(INDEX(Setup!$C$21:$C$60,MATCH(UPPER(TRIM($F59))&amp;"|"&amp;UPPER(TRIM($G59)),Setup!$P$21:$P$60,0)),IFERROR(INDEX(Setup!$C$21:$C$60,MATCH(UPPER(TRIM($G59))&amp;"|"&amp;UPPER(TRIM($F59)),Setup!$P$21:$P$60,0)),"NO RATE"))))</f>
        <v/>
      </c>
      <c r="J59" s="91" t="n"/>
      <c r="K59" s="90">
        <f>IF(OR($G59="",$H59="",NOT(ISNUMBER($I59))),"",ROUND($H59*$I59*(1+IF($J59="",Setup!$B$16,$J59)),2))</f>
        <v/>
      </c>
      <c r="L59" s="90">
        <f>IF($K59="","",ROUND($K59*Setup!$B$13,2))</f>
        <v/>
      </c>
      <c r="M59" s="90">
        <f>IF($K59="","",$K59-$L59)</f>
        <v/>
      </c>
      <c r="N59" s="90">
        <f>IF(OR($M59="",$D59=""),"",ROUND($M59*IFERROR(IF(VLOOKUP($D59,Setup!$A$76:$C$87,3,FALSE)="",Setup!$B$14,VLOOKUP($D59,Setup!$A$76:$C$87,3,FALSE)),Setup!$B$14),2))</f>
        <v/>
      </c>
      <c r="O59" s="90">
        <f>IF(OR($M59="",$E59=""),"",ROUND($M59*IFERROR(IF(VLOOKUP($E59,Setup!$A$76:$C$87,3,FALSE)="",Setup!$B$15,VLOOKUP($E59,Setup!$A$76:$C$87,3,FALSE)),Setup!$B$15),2))</f>
        <v/>
      </c>
      <c r="P59" s="92" t="n"/>
      <c r="Q59" s="92" t="n"/>
      <c r="R59" s="92" t="n"/>
      <c r="S59" s="92" t="n"/>
      <c r="T59" s="92" t="n"/>
      <c r="U59" s="90">
        <f>IF($K59="","",SUM($R59:$T59))</f>
        <v/>
      </c>
      <c r="V59" s="90">
        <f>IF($K59="","",$M59-(N($N59)+N($O59)+IF($P59="",Setup!$B$17,$P59)+N($Q59))-N($U59))</f>
        <v/>
      </c>
      <c r="W59" s="87" t="n"/>
      <c r="X59" s="88" t="n"/>
      <c r="Z59" s="93">
        <f>IF($A59="","",DATE(YEAR($A59),MONTH($A59),1))</f>
        <v/>
      </c>
    </row>
    <row r="60">
      <c r="A60" s="94" t="n"/>
      <c r="B60" s="95" t="n"/>
      <c r="C60" s="95" t="n"/>
      <c r="D60" s="96" t="n"/>
      <c r="E60" s="96" t="n"/>
      <c r="F60" s="96" t="n"/>
      <c r="G60" s="96" t="n"/>
      <c r="H60" s="97" t="n"/>
      <c r="I60" s="90">
        <f>IF($G60="","",IF($F60="",IFERROR(INDEX(Setup!$C$21:$C$60,MATCH("|"&amp;UPPER(TRIM($G60)),Setup!$Q$21:$Q$60,0)),"NO RATE"),IFERROR(INDEX(Setup!$C$21:$C$60,MATCH(UPPER(TRIM($F60))&amp;"|"&amp;UPPER(TRIM($G60)),Setup!$P$21:$P$60,0)),IFERROR(INDEX(Setup!$C$21:$C$60,MATCH(UPPER(TRIM($G60))&amp;"|"&amp;UPPER(TRIM($F60)),Setup!$P$21:$P$60,0)),"NO RATE"))))</f>
        <v/>
      </c>
      <c r="J60" s="98" t="n"/>
      <c r="K60" s="90">
        <f>IF(OR($G60="",$H60="",NOT(ISNUMBER($I60))),"",ROUND($H60*$I60*(1+IF($J60="",Setup!$B$16,$J60)),2))</f>
        <v/>
      </c>
      <c r="L60" s="90">
        <f>IF($K60="","",ROUND($K60*Setup!$B$13,2))</f>
        <v/>
      </c>
      <c r="M60" s="90">
        <f>IF($K60="","",$K60-$L60)</f>
        <v/>
      </c>
      <c r="N60" s="90">
        <f>IF(OR($M60="",$D60=""),"",ROUND($M60*IFERROR(IF(VLOOKUP($D60,Setup!$A$76:$C$87,3,FALSE)="",Setup!$B$14,VLOOKUP($D60,Setup!$A$76:$C$87,3,FALSE)),Setup!$B$14),2))</f>
        <v/>
      </c>
      <c r="O60" s="90">
        <f>IF(OR($M60="",$E60=""),"",ROUND($M60*IFERROR(IF(VLOOKUP($E60,Setup!$A$76:$C$87,3,FALSE)="",Setup!$B$15,VLOOKUP($E60,Setup!$A$76:$C$87,3,FALSE)),Setup!$B$15),2))</f>
        <v/>
      </c>
      <c r="P60" s="99" t="n"/>
      <c r="Q60" s="99" t="n"/>
      <c r="R60" s="99" t="n"/>
      <c r="S60" s="99" t="n"/>
      <c r="T60" s="99" t="n"/>
      <c r="U60" s="90">
        <f>IF($K60="","",SUM($R60:$T60))</f>
        <v/>
      </c>
      <c r="V60" s="90">
        <f>IF($K60="","",$M60-(N($N60)+N($O60)+IF($P60="",Setup!$B$17,$P60)+N($Q60))-N($U60))</f>
        <v/>
      </c>
      <c r="W60" s="95" t="n"/>
      <c r="X60" s="96" t="n"/>
      <c r="Z60" s="93">
        <f>IF($A60="","",DATE(YEAR($A60),MONTH($A60),1))</f>
        <v/>
      </c>
    </row>
    <row r="61">
      <c r="A61" s="86" t="n"/>
      <c r="B61" s="87" t="n"/>
      <c r="C61" s="87" t="n"/>
      <c r="D61" s="88" t="n"/>
      <c r="E61" s="88" t="n"/>
      <c r="F61" s="88" t="n"/>
      <c r="G61" s="88" t="n"/>
      <c r="H61" s="89" t="n"/>
      <c r="I61" s="90">
        <f>IF($G61="","",IF($F61="",IFERROR(INDEX(Setup!$C$21:$C$60,MATCH("|"&amp;UPPER(TRIM($G61)),Setup!$Q$21:$Q$60,0)),"NO RATE"),IFERROR(INDEX(Setup!$C$21:$C$60,MATCH(UPPER(TRIM($F61))&amp;"|"&amp;UPPER(TRIM($G61)),Setup!$P$21:$P$60,0)),IFERROR(INDEX(Setup!$C$21:$C$60,MATCH(UPPER(TRIM($G61))&amp;"|"&amp;UPPER(TRIM($F61)),Setup!$P$21:$P$60,0)),"NO RATE"))))</f>
        <v/>
      </c>
      <c r="J61" s="91" t="n"/>
      <c r="K61" s="90">
        <f>IF(OR($G61="",$H61="",NOT(ISNUMBER($I61))),"",ROUND($H61*$I61*(1+IF($J61="",Setup!$B$16,$J61)),2))</f>
        <v/>
      </c>
      <c r="L61" s="90">
        <f>IF($K61="","",ROUND($K61*Setup!$B$13,2))</f>
        <v/>
      </c>
      <c r="M61" s="90">
        <f>IF($K61="","",$K61-$L61)</f>
        <v/>
      </c>
      <c r="N61" s="90">
        <f>IF(OR($M61="",$D61=""),"",ROUND($M61*IFERROR(IF(VLOOKUP($D61,Setup!$A$76:$C$87,3,FALSE)="",Setup!$B$14,VLOOKUP($D61,Setup!$A$76:$C$87,3,FALSE)),Setup!$B$14),2))</f>
        <v/>
      </c>
      <c r="O61" s="90">
        <f>IF(OR($M61="",$E61=""),"",ROUND($M61*IFERROR(IF(VLOOKUP($E61,Setup!$A$76:$C$87,3,FALSE)="",Setup!$B$15,VLOOKUP($E61,Setup!$A$76:$C$87,3,FALSE)),Setup!$B$15),2))</f>
        <v/>
      </c>
      <c r="P61" s="92" t="n"/>
      <c r="Q61" s="92" t="n"/>
      <c r="R61" s="92" t="n"/>
      <c r="S61" s="92" t="n"/>
      <c r="T61" s="92" t="n"/>
      <c r="U61" s="90">
        <f>IF($K61="","",SUM($R61:$T61))</f>
        <v/>
      </c>
      <c r="V61" s="90">
        <f>IF($K61="","",$M61-(N($N61)+N($O61)+IF($P61="",Setup!$B$17,$P61)+N($Q61))-N($U61))</f>
        <v/>
      </c>
      <c r="W61" s="87" t="n"/>
      <c r="X61" s="88" t="n"/>
      <c r="Z61" s="93">
        <f>IF($A61="","",DATE(YEAR($A61),MONTH($A61),1))</f>
        <v/>
      </c>
    </row>
    <row r="62">
      <c r="A62" s="94" t="n"/>
      <c r="B62" s="95" t="n"/>
      <c r="C62" s="95" t="n"/>
      <c r="D62" s="96" t="n"/>
      <c r="E62" s="96" t="n"/>
      <c r="F62" s="96" t="n"/>
      <c r="G62" s="96" t="n"/>
      <c r="H62" s="97" t="n"/>
      <c r="I62" s="90">
        <f>IF($G62="","",IF($F62="",IFERROR(INDEX(Setup!$C$21:$C$60,MATCH("|"&amp;UPPER(TRIM($G62)),Setup!$Q$21:$Q$60,0)),"NO RATE"),IFERROR(INDEX(Setup!$C$21:$C$60,MATCH(UPPER(TRIM($F62))&amp;"|"&amp;UPPER(TRIM($G62)),Setup!$P$21:$P$60,0)),IFERROR(INDEX(Setup!$C$21:$C$60,MATCH(UPPER(TRIM($G62))&amp;"|"&amp;UPPER(TRIM($F62)),Setup!$P$21:$P$60,0)),"NO RATE"))))</f>
        <v/>
      </c>
      <c r="J62" s="98" t="n"/>
      <c r="K62" s="90">
        <f>IF(OR($G62="",$H62="",NOT(ISNUMBER($I62))),"",ROUND($H62*$I62*(1+IF($J62="",Setup!$B$16,$J62)),2))</f>
        <v/>
      </c>
      <c r="L62" s="90">
        <f>IF($K62="","",ROUND($K62*Setup!$B$13,2))</f>
        <v/>
      </c>
      <c r="M62" s="90">
        <f>IF($K62="","",$K62-$L62)</f>
        <v/>
      </c>
      <c r="N62" s="90">
        <f>IF(OR($M62="",$D62=""),"",ROUND($M62*IFERROR(IF(VLOOKUP($D62,Setup!$A$76:$C$87,3,FALSE)="",Setup!$B$14,VLOOKUP($D62,Setup!$A$76:$C$87,3,FALSE)),Setup!$B$14),2))</f>
        <v/>
      </c>
      <c r="O62" s="90">
        <f>IF(OR($M62="",$E62=""),"",ROUND($M62*IFERROR(IF(VLOOKUP($E62,Setup!$A$76:$C$87,3,FALSE)="",Setup!$B$15,VLOOKUP($E62,Setup!$A$76:$C$87,3,FALSE)),Setup!$B$15),2))</f>
        <v/>
      </c>
      <c r="P62" s="99" t="n"/>
      <c r="Q62" s="99" t="n"/>
      <c r="R62" s="99" t="n"/>
      <c r="S62" s="99" t="n"/>
      <c r="T62" s="99" t="n"/>
      <c r="U62" s="90">
        <f>IF($K62="","",SUM($R62:$T62))</f>
        <v/>
      </c>
      <c r="V62" s="90">
        <f>IF($K62="","",$M62-(N($N62)+N($O62)+IF($P62="",Setup!$B$17,$P62)+N($Q62))-N($U62))</f>
        <v/>
      </c>
      <c r="W62" s="95" t="n"/>
      <c r="X62" s="96" t="n"/>
      <c r="Z62" s="93">
        <f>IF($A62="","",DATE(YEAR($A62),MONTH($A62),1))</f>
        <v/>
      </c>
    </row>
    <row r="63">
      <c r="A63" s="86" t="n"/>
      <c r="B63" s="87" t="n"/>
      <c r="C63" s="87" t="n"/>
      <c r="D63" s="88" t="n"/>
      <c r="E63" s="88" t="n"/>
      <c r="F63" s="88" t="n"/>
      <c r="G63" s="88" t="n"/>
      <c r="H63" s="89" t="n"/>
      <c r="I63" s="90">
        <f>IF($G63="","",IF($F63="",IFERROR(INDEX(Setup!$C$21:$C$60,MATCH("|"&amp;UPPER(TRIM($G63)),Setup!$Q$21:$Q$60,0)),"NO RATE"),IFERROR(INDEX(Setup!$C$21:$C$60,MATCH(UPPER(TRIM($F63))&amp;"|"&amp;UPPER(TRIM($G63)),Setup!$P$21:$P$60,0)),IFERROR(INDEX(Setup!$C$21:$C$60,MATCH(UPPER(TRIM($G63))&amp;"|"&amp;UPPER(TRIM($F63)),Setup!$P$21:$P$60,0)),"NO RATE"))))</f>
        <v/>
      </c>
      <c r="J63" s="91" t="n"/>
      <c r="K63" s="90">
        <f>IF(OR($G63="",$H63="",NOT(ISNUMBER($I63))),"",ROUND($H63*$I63*(1+IF($J63="",Setup!$B$16,$J63)),2))</f>
        <v/>
      </c>
      <c r="L63" s="90">
        <f>IF($K63="","",ROUND($K63*Setup!$B$13,2))</f>
        <v/>
      </c>
      <c r="M63" s="90">
        <f>IF($K63="","",$K63-$L63)</f>
        <v/>
      </c>
      <c r="N63" s="90">
        <f>IF(OR($M63="",$D63=""),"",ROUND($M63*IFERROR(IF(VLOOKUP($D63,Setup!$A$76:$C$87,3,FALSE)="",Setup!$B$14,VLOOKUP($D63,Setup!$A$76:$C$87,3,FALSE)),Setup!$B$14),2))</f>
        <v/>
      </c>
      <c r="O63" s="90">
        <f>IF(OR($M63="",$E63=""),"",ROUND($M63*IFERROR(IF(VLOOKUP($E63,Setup!$A$76:$C$87,3,FALSE)="",Setup!$B$15,VLOOKUP($E63,Setup!$A$76:$C$87,3,FALSE)),Setup!$B$15),2))</f>
        <v/>
      </c>
      <c r="P63" s="92" t="n"/>
      <c r="Q63" s="92" t="n"/>
      <c r="R63" s="92" t="n"/>
      <c r="S63" s="92" t="n"/>
      <c r="T63" s="92" t="n"/>
      <c r="U63" s="90">
        <f>IF($K63="","",SUM($R63:$T63))</f>
        <v/>
      </c>
      <c r="V63" s="90">
        <f>IF($K63="","",$M63-(N($N63)+N($O63)+IF($P63="",Setup!$B$17,$P63)+N($Q63))-N($U63))</f>
        <v/>
      </c>
      <c r="W63" s="87" t="n"/>
      <c r="X63" s="88" t="n"/>
      <c r="Z63" s="93">
        <f>IF($A63="","",DATE(YEAR($A63),MONTH($A63),1))</f>
        <v/>
      </c>
    </row>
    <row r="64">
      <c r="A64" s="94" t="n"/>
      <c r="B64" s="95" t="n"/>
      <c r="C64" s="95" t="n"/>
      <c r="D64" s="96" t="n"/>
      <c r="E64" s="96" t="n"/>
      <c r="F64" s="96" t="n"/>
      <c r="G64" s="96" t="n"/>
      <c r="H64" s="97" t="n"/>
      <c r="I64" s="90">
        <f>IF($G64="","",IF($F64="",IFERROR(INDEX(Setup!$C$21:$C$60,MATCH("|"&amp;UPPER(TRIM($G64)),Setup!$Q$21:$Q$60,0)),"NO RATE"),IFERROR(INDEX(Setup!$C$21:$C$60,MATCH(UPPER(TRIM($F64))&amp;"|"&amp;UPPER(TRIM($G64)),Setup!$P$21:$P$60,0)),IFERROR(INDEX(Setup!$C$21:$C$60,MATCH(UPPER(TRIM($G64))&amp;"|"&amp;UPPER(TRIM($F64)),Setup!$P$21:$P$60,0)),"NO RATE"))))</f>
        <v/>
      </c>
      <c r="J64" s="98" t="n"/>
      <c r="K64" s="90">
        <f>IF(OR($G64="",$H64="",NOT(ISNUMBER($I64))),"",ROUND($H64*$I64*(1+IF($J64="",Setup!$B$16,$J64)),2))</f>
        <v/>
      </c>
      <c r="L64" s="90">
        <f>IF($K64="","",ROUND($K64*Setup!$B$13,2))</f>
        <v/>
      </c>
      <c r="M64" s="90">
        <f>IF($K64="","",$K64-$L64)</f>
        <v/>
      </c>
      <c r="N64" s="90">
        <f>IF(OR($M64="",$D64=""),"",ROUND($M64*IFERROR(IF(VLOOKUP($D64,Setup!$A$76:$C$87,3,FALSE)="",Setup!$B$14,VLOOKUP($D64,Setup!$A$76:$C$87,3,FALSE)),Setup!$B$14),2))</f>
        <v/>
      </c>
      <c r="O64" s="90">
        <f>IF(OR($M64="",$E64=""),"",ROUND($M64*IFERROR(IF(VLOOKUP($E64,Setup!$A$76:$C$87,3,FALSE)="",Setup!$B$15,VLOOKUP($E64,Setup!$A$76:$C$87,3,FALSE)),Setup!$B$15),2))</f>
        <v/>
      </c>
      <c r="P64" s="99" t="n"/>
      <c r="Q64" s="99" t="n"/>
      <c r="R64" s="99" t="n"/>
      <c r="S64" s="99" t="n"/>
      <c r="T64" s="99" t="n"/>
      <c r="U64" s="90">
        <f>IF($K64="","",SUM($R64:$T64))</f>
        <v/>
      </c>
      <c r="V64" s="90">
        <f>IF($K64="","",$M64-(N($N64)+N($O64)+IF($P64="",Setup!$B$17,$P64)+N($Q64))-N($U64))</f>
        <v/>
      </c>
      <c r="W64" s="95" t="n"/>
      <c r="X64" s="96" t="n"/>
      <c r="Z64" s="93">
        <f>IF($A64="","",DATE(YEAR($A64),MONTH($A64),1))</f>
        <v/>
      </c>
    </row>
    <row r="65">
      <c r="A65" s="86" t="n"/>
      <c r="B65" s="87" t="n"/>
      <c r="C65" s="87" t="n"/>
      <c r="D65" s="88" t="n"/>
      <c r="E65" s="88" t="n"/>
      <c r="F65" s="88" t="n"/>
      <c r="G65" s="88" t="n"/>
      <c r="H65" s="89" t="n"/>
      <c r="I65" s="90">
        <f>IF($G65="","",IF($F65="",IFERROR(INDEX(Setup!$C$21:$C$60,MATCH("|"&amp;UPPER(TRIM($G65)),Setup!$Q$21:$Q$60,0)),"NO RATE"),IFERROR(INDEX(Setup!$C$21:$C$60,MATCH(UPPER(TRIM($F65))&amp;"|"&amp;UPPER(TRIM($G65)),Setup!$P$21:$P$60,0)),IFERROR(INDEX(Setup!$C$21:$C$60,MATCH(UPPER(TRIM($G65))&amp;"|"&amp;UPPER(TRIM($F65)),Setup!$P$21:$P$60,0)),"NO RATE"))))</f>
        <v/>
      </c>
      <c r="J65" s="91" t="n"/>
      <c r="K65" s="90">
        <f>IF(OR($G65="",$H65="",NOT(ISNUMBER($I65))),"",ROUND($H65*$I65*(1+IF($J65="",Setup!$B$16,$J65)),2))</f>
        <v/>
      </c>
      <c r="L65" s="90">
        <f>IF($K65="","",ROUND($K65*Setup!$B$13,2))</f>
        <v/>
      </c>
      <c r="M65" s="90">
        <f>IF($K65="","",$K65-$L65)</f>
        <v/>
      </c>
      <c r="N65" s="90">
        <f>IF(OR($M65="",$D65=""),"",ROUND($M65*IFERROR(IF(VLOOKUP($D65,Setup!$A$76:$C$87,3,FALSE)="",Setup!$B$14,VLOOKUP($D65,Setup!$A$76:$C$87,3,FALSE)),Setup!$B$14),2))</f>
        <v/>
      </c>
      <c r="O65" s="90">
        <f>IF(OR($M65="",$E65=""),"",ROUND($M65*IFERROR(IF(VLOOKUP($E65,Setup!$A$76:$C$87,3,FALSE)="",Setup!$B$15,VLOOKUP($E65,Setup!$A$76:$C$87,3,FALSE)),Setup!$B$15),2))</f>
        <v/>
      </c>
      <c r="P65" s="92" t="n"/>
      <c r="Q65" s="92" t="n"/>
      <c r="R65" s="92" t="n"/>
      <c r="S65" s="92" t="n"/>
      <c r="T65" s="92" t="n"/>
      <c r="U65" s="90">
        <f>IF($K65="","",SUM($R65:$T65))</f>
        <v/>
      </c>
      <c r="V65" s="90">
        <f>IF($K65="","",$M65-(N($N65)+N($O65)+IF($P65="",Setup!$B$17,$P65)+N($Q65))-N($U65))</f>
        <v/>
      </c>
      <c r="W65" s="87" t="n"/>
      <c r="X65" s="88" t="n"/>
      <c r="Z65" s="93">
        <f>IF($A65="","",DATE(YEAR($A65),MONTH($A65),1))</f>
        <v/>
      </c>
    </row>
    <row r="66">
      <c r="A66" s="94" t="n"/>
      <c r="B66" s="95" t="n"/>
      <c r="C66" s="95" t="n"/>
      <c r="D66" s="96" t="n"/>
      <c r="E66" s="96" t="n"/>
      <c r="F66" s="96" t="n"/>
      <c r="G66" s="96" t="n"/>
      <c r="H66" s="97" t="n"/>
      <c r="I66" s="90">
        <f>IF($G66="","",IF($F66="",IFERROR(INDEX(Setup!$C$21:$C$60,MATCH("|"&amp;UPPER(TRIM($G66)),Setup!$Q$21:$Q$60,0)),"NO RATE"),IFERROR(INDEX(Setup!$C$21:$C$60,MATCH(UPPER(TRIM($F66))&amp;"|"&amp;UPPER(TRIM($G66)),Setup!$P$21:$P$60,0)),IFERROR(INDEX(Setup!$C$21:$C$60,MATCH(UPPER(TRIM($G66))&amp;"|"&amp;UPPER(TRIM($F66)),Setup!$P$21:$P$60,0)),"NO RATE"))))</f>
        <v/>
      </c>
      <c r="J66" s="98" t="n"/>
      <c r="K66" s="90">
        <f>IF(OR($G66="",$H66="",NOT(ISNUMBER($I66))),"",ROUND($H66*$I66*(1+IF($J66="",Setup!$B$16,$J66)),2))</f>
        <v/>
      </c>
      <c r="L66" s="90">
        <f>IF($K66="","",ROUND($K66*Setup!$B$13,2))</f>
        <v/>
      </c>
      <c r="M66" s="90">
        <f>IF($K66="","",$K66-$L66)</f>
        <v/>
      </c>
      <c r="N66" s="90">
        <f>IF(OR($M66="",$D66=""),"",ROUND($M66*IFERROR(IF(VLOOKUP($D66,Setup!$A$76:$C$87,3,FALSE)="",Setup!$B$14,VLOOKUP($D66,Setup!$A$76:$C$87,3,FALSE)),Setup!$B$14),2))</f>
        <v/>
      </c>
      <c r="O66" s="90">
        <f>IF(OR($M66="",$E66=""),"",ROUND($M66*IFERROR(IF(VLOOKUP($E66,Setup!$A$76:$C$87,3,FALSE)="",Setup!$B$15,VLOOKUP($E66,Setup!$A$76:$C$87,3,FALSE)),Setup!$B$15),2))</f>
        <v/>
      </c>
      <c r="P66" s="99" t="n"/>
      <c r="Q66" s="99" t="n"/>
      <c r="R66" s="99" t="n"/>
      <c r="S66" s="99" t="n"/>
      <c r="T66" s="99" t="n"/>
      <c r="U66" s="90">
        <f>IF($K66="","",SUM($R66:$T66))</f>
        <v/>
      </c>
      <c r="V66" s="90">
        <f>IF($K66="","",$M66-(N($N66)+N($O66)+IF($P66="",Setup!$B$17,$P66)+N($Q66))-N($U66))</f>
        <v/>
      </c>
      <c r="W66" s="95" t="n"/>
      <c r="X66" s="96" t="n"/>
      <c r="Z66" s="93">
        <f>IF($A66="","",DATE(YEAR($A66),MONTH($A66),1))</f>
        <v/>
      </c>
    </row>
    <row r="67">
      <c r="A67" s="86" t="n"/>
      <c r="B67" s="87" t="n"/>
      <c r="C67" s="87" t="n"/>
      <c r="D67" s="88" t="n"/>
      <c r="E67" s="88" t="n"/>
      <c r="F67" s="88" t="n"/>
      <c r="G67" s="88" t="n"/>
      <c r="H67" s="89" t="n"/>
      <c r="I67" s="90">
        <f>IF($G67="","",IF($F67="",IFERROR(INDEX(Setup!$C$21:$C$60,MATCH("|"&amp;UPPER(TRIM($G67)),Setup!$Q$21:$Q$60,0)),"NO RATE"),IFERROR(INDEX(Setup!$C$21:$C$60,MATCH(UPPER(TRIM($F67))&amp;"|"&amp;UPPER(TRIM($G67)),Setup!$P$21:$P$60,0)),IFERROR(INDEX(Setup!$C$21:$C$60,MATCH(UPPER(TRIM($G67))&amp;"|"&amp;UPPER(TRIM($F67)),Setup!$P$21:$P$60,0)),"NO RATE"))))</f>
        <v/>
      </c>
      <c r="J67" s="91" t="n"/>
      <c r="K67" s="90">
        <f>IF(OR($G67="",$H67="",NOT(ISNUMBER($I67))),"",ROUND($H67*$I67*(1+IF($J67="",Setup!$B$16,$J67)),2))</f>
        <v/>
      </c>
      <c r="L67" s="90">
        <f>IF($K67="","",ROUND($K67*Setup!$B$13,2))</f>
        <v/>
      </c>
      <c r="M67" s="90">
        <f>IF($K67="","",$K67-$L67)</f>
        <v/>
      </c>
      <c r="N67" s="90">
        <f>IF(OR($M67="",$D67=""),"",ROUND($M67*IFERROR(IF(VLOOKUP($D67,Setup!$A$76:$C$87,3,FALSE)="",Setup!$B$14,VLOOKUP($D67,Setup!$A$76:$C$87,3,FALSE)),Setup!$B$14),2))</f>
        <v/>
      </c>
      <c r="O67" s="90">
        <f>IF(OR($M67="",$E67=""),"",ROUND($M67*IFERROR(IF(VLOOKUP($E67,Setup!$A$76:$C$87,3,FALSE)="",Setup!$B$15,VLOOKUP($E67,Setup!$A$76:$C$87,3,FALSE)),Setup!$B$15),2))</f>
        <v/>
      </c>
      <c r="P67" s="92" t="n"/>
      <c r="Q67" s="92" t="n"/>
      <c r="R67" s="92" t="n"/>
      <c r="S67" s="92" t="n"/>
      <c r="T67" s="92" t="n"/>
      <c r="U67" s="90">
        <f>IF($K67="","",SUM($R67:$T67))</f>
        <v/>
      </c>
      <c r="V67" s="90">
        <f>IF($K67="","",$M67-(N($N67)+N($O67)+IF($P67="",Setup!$B$17,$P67)+N($Q67))-N($U67))</f>
        <v/>
      </c>
      <c r="W67" s="87" t="n"/>
      <c r="X67" s="88" t="n"/>
      <c r="Z67" s="93">
        <f>IF($A67="","",DATE(YEAR($A67),MONTH($A67),1))</f>
        <v/>
      </c>
    </row>
    <row r="68">
      <c r="A68" s="94" t="n"/>
      <c r="B68" s="95" t="n"/>
      <c r="C68" s="95" t="n"/>
      <c r="D68" s="96" t="n"/>
      <c r="E68" s="96" t="n"/>
      <c r="F68" s="96" t="n"/>
      <c r="G68" s="96" t="n"/>
      <c r="H68" s="97" t="n"/>
      <c r="I68" s="90">
        <f>IF($G68="","",IF($F68="",IFERROR(INDEX(Setup!$C$21:$C$60,MATCH("|"&amp;UPPER(TRIM($G68)),Setup!$Q$21:$Q$60,0)),"NO RATE"),IFERROR(INDEX(Setup!$C$21:$C$60,MATCH(UPPER(TRIM($F68))&amp;"|"&amp;UPPER(TRIM($G68)),Setup!$P$21:$P$60,0)),IFERROR(INDEX(Setup!$C$21:$C$60,MATCH(UPPER(TRIM($G68))&amp;"|"&amp;UPPER(TRIM($F68)),Setup!$P$21:$P$60,0)),"NO RATE"))))</f>
        <v/>
      </c>
      <c r="J68" s="98" t="n"/>
      <c r="K68" s="90">
        <f>IF(OR($G68="",$H68="",NOT(ISNUMBER($I68))),"",ROUND($H68*$I68*(1+IF($J68="",Setup!$B$16,$J68)),2))</f>
        <v/>
      </c>
      <c r="L68" s="90">
        <f>IF($K68="","",ROUND($K68*Setup!$B$13,2))</f>
        <v/>
      </c>
      <c r="M68" s="90">
        <f>IF($K68="","",$K68-$L68)</f>
        <v/>
      </c>
      <c r="N68" s="90">
        <f>IF(OR($M68="",$D68=""),"",ROUND($M68*IFERROR(IF(VLOOKUP($D68,Setup!$A$76:$C$87,3,FALSE)="",Setup!$B$14,VLOOKUP($D68,Setup!$A$76:$C$87,3,FALSE)),Setup!$B$14),2))</f>
        <v/>
      </c>
      <c r="O68" s="90">
        <f>IF(OR($M68="",$E68=""),"",ROUND($M68*IFERROR(IF(VLOOKUP($E68,Setup!$A$76:$C$87,3,FALSE)="",Setup!$B$15,VLOOKUP($E68,Setup!$A$76:$C$87,3,FALSE)),Setup!$B$15),2))</f>
        <v/>
      </c>
      <c r="P68" s="99" t="n"/>
      <c r="Q68" s="99" t="n"/>
      <c r="R68" s="99" t="n"/>
      <c r="S68" s="99" t="n"/>
      <c r="T68" s="99" t="n"/>
      <c r="U68" s="90">
        <f>IF($K68="","",SUM($R68:$T68))</f>
        <v/>
      </c>
      <c r="V68" s="90">
        <f>IF($K68="","",$M68-(N($N68)+N($O68)+IF($P68="",Setup!$B$17,$P68)+N($Q68))-N($U68))</f>
        <v/>
      </c>
      <c r="W68" s="95" t="n"/>
      <c r="X68" s="96" t="n"/>
      <c r="Z68" s="93">
        <f>IF($A68="","",DATE(YEAR($A68),MONTH($A68),1))</f>
        <v/>
      </c>
    </row>
    <row r="69">
      <c r="A69" s="86" t="n"/>
      <c r="B69" s="87" t="n"/>
      <c r="C69" s="87" t="n"/>
      <c r="D69" s="88" t="n"/>
      <c r="E69" s="88" t="n"/>
      <c r="F69" s="88" t="n"/>
      <c r="G69" s="88" t="n"/>
      <c r="H69" s="89" t="n"/>
      <c r="I69" s="90">
        <f>IF($G69="","",IF($F69="",IFERROR(INDEX(Setup!$C$21:$C$60,MATCH("|"&amp;UPPER(TRIM($G69)),Setup!$Q$21:$Q$60,0)),"NO RATE"),IFERROR(INDEX(Setup!$C$21:$C$60,MATCH(UPPER(TRIM($F69))&amp;"|"&amp;UPPER(TRIM($G69)),Setup!$P$21:$P$60,0)),IFERROR(INDEX(Setup!$C$21:$C$60,MATCH(UPPER(TRIM($G69))&amp;"|"&amp;UPPER(TRIM($F69)),Setup!$P$21:$P$60,0)),"NO RATE"))))</f>
        <v/>
      </c>
      <c r="J69" s="91" t="n"/>
      <c r="K69" s="90">
        <f>IF(OR($G69="",$H69="",NOT(ISNUMBER($I69))),"",ROUND($H69*$I69*(1+IF($J69="",Setup!$B$16,$J69)),2))</f>
        <v/>
      </c>
      <c r="L69" s="90">
        <f>IF($K69="","",ROUND($K69*Setup!$B$13,2))</f>
        <v/>
      </c>
      <c r="M69" s="90">
        <f>IF($K69="","",$K69-$L69)</f>
        <v/>
      </c>
      <c r="N69" s="90">
        <f>IF(OR($M69="",$D69=""),"",ROUND($M69*IFERROR(IF(VLOOKUP($D69,Setup!$A$76:$C$87,3,FALSE)="",Setup!$B$14,VLOOKUP($D69,Setup!$A$76:$C$87,3,FALSE)),Setup!$B$14),2))</f>
        <v/>
      </c>
      <c r="O69" s="90">
        <f>IF(OR($M69="",$E69=""),"",ROUND($M69*IFERROR(IF(VLOOKUP($E69,Setup!$A$76:$C$87,3,FALSE)="",Setup!$B$15,VLOOKUP($E69,Setup!$A$76:$C$87,3,FALSE)),Setup!$B$15),2))</f>
        <v/>
      </c>
      <c r="P69" s="92" t="n"/>
      <c r="Q69" s="92" t="n"/>
      <c r="R69" s="92" t="n"/>
      <c r="S69" s="92" t="n"/>
      <c r="T69" s="92" t="n"/>
      <c r="U69" s="90">
        <f>IF($K69="","",SUM($R69:$T69))</f>
        <v/>
      </c>
      <c r="V69" s="90">
        <f>IF($K69="","",$M69-(N($N69)+N($O69)+IF($P69="",Setup!$B$17,$P69)+N($Q69))-N($U69))</f>
        <v/>
      </c>
      <c r="W69" s="87" t="n"/>
      <c r="X69" s="88" t="n"/>
      <c r="Z69" s="93">
        <f>IF($A69="","",DATE(YEAR($A69),MONTH($A69),1))</f>
        <v/>
      </c>
    </row>
    <row r="70">
      <c r="A70" s="94" t="n"/>
      <c r="B70" s="95" t="n"/>
      <c r="C70" s="95" t="n"/>
      <c r="D70" s="96" t="n"/>
      <c r="E70" s="96" t="n"/>
      <c r="F70" s="96" t="n"/>
      <c r="G70" s="96" t="n"/>
      <c r="H70" s="97" t="n"/>
      <c r="I70" s="90">
        <f>IF($G70="","",IF($F70="",IFERROR(INDEX(Setup!$C$21:$C$60,MATCH("|"&amp;UPPER(TRIM($G70)),Setup!$Q$21:$Q$60,0)),"NO RATE"),IFERROR(INDEX(Setup!$C$21:$C$60,MATCH(UPPER(TRIM($F70))&amp;"|"&amp;UPPER(TRIM($G70)),Setup!$P$21:$P$60,0)),IFERROR(INDEX(Setup!$C$21:$C$60,MATCH(UPPER(TRIM($G70))&amp;"|"&amp;UPPER(TRIM($F70)),Setup!$P$21:$P$60,0)),"NO RATE"))))</f>
        <v/>
      </c>
      <c r="J70" s="98" t="n"/>
      <c r="K70" s="90">
        <f>IF(OR($G70="",$H70="",NOT(ISNUMBER($I70))),"",ROUND($H70*$I70*(1+IF($J70="",Setup!$B$16,$J70)),2))</f>
        <v/>
      </c>
      <c r="L70" s="90">
        <f>IF($K70="","",ROUND($K70*Setup!$B$13,2))</f>
        <v/>
      </c>
      <c r="M70" s="90">
        <f>IF($K70="","",$K70-$L70)</f>
        <v/>
      </c>
      <c r="N70" s="90">
        <f>IF(OR($M70="",$D70=""),"",ROUND($M70*IFERROR(IF(VLOOKUP($D70,Setup!$A$76:$C$87,3,FALSE)="",Setup!$B$14,VLOOKUP($D70,Setup!$A$76:$C$87,3,FALSE)),Setup!$B$14),2))</f>
        <v/>
      </c>
      <c r="O70" s="90">
        <f>IF(OR($M70="",$E70=""),"",ROUND($M70*IFERROR(IF(VLOOKUP($E70,Setup!$A$76:$C$87,3,FALSE)="",Setup!$B$15,VLOOKUP($E70,Setup!$A$76:$C$87,3,FALSE)),Setup!$B$15),2))</f>
        <v/>
      </c>
      <c r="P70" s="99" t="n"/>
      <c r="Q70" s="99" t="n"/>
      <c r="R70" s="99" t="n"/>
      <c r="S70" s="99" t="n"/>
      <c r="T70" s="99" t="n"/>
      <c r="U70" s="90">
        <f>IF($K70="","",SUM($R70:$T70))</f>
        <v/>
      </c>
      <c r="V70" s="90">
        <f>IF($K70="","",$M70-(N($N70)+N($O70)+IF($P70="",Setup!$B$17,$P70)+N($Q70))-N($U70))</f>
        <v/>
      </c>
      <c r="W70" s="95" t="n"/>
      <c r="X70" s="96" t="n"/>
      <c r="Z70" s="93">
        <f>IF($A70="","",DATE(YEAR($A70),MONTH($A70),1))</f>
        <v/>
      </c>
    </row>
    <row r="71">
      <c r="A71" s="86" t="n"/>
      <c r="B71" s="87" t="n"/>
      <c r="C71" s="87" t="n"/>
      <c r="D71" s="88" t="n"/>
      <c r="E71" s="88" t="n"/>
      <c r="F71" s="88" t="n"/>
      <c r="G71" s="88" t="n"/>
      <c r="H71" s="89" t="n"/>
      <c r="I71" s="90">
        <f>IF($G71="","",IF($F71="",IFERROR(INDEX(Setup!$C$21:$C$60,MATCH("|"&amp;UPPER(TRIM($G71)),Setup!$Q$21:$Q$60,0)),"NO RATE"),IFERROR(INDEX(Setup!$C$21:$C$60,MATCH(UPPER(TRIM($F71))&amp;"|"&amp;UPPER(TRIM($G71)),Setup!$P$21:$P$60,0)),IFERROR(INDEX(Setup!$C$21:$C$60,MATCH(UPPER(TRIM($G71))&amp;"|"&amp;UPPER(TRIM($F71)),Setup!$P$21:$P$60,0)),"NO RATE"))))</f>
        <v/>
      </c>
      <c r="J71" s="91" t="n"/>
      <c r="K71" s="90">
        <f>IF(OR($G71="",$H71="",NOT(ISNUMBER($I71))),"",ROUND($H71*$I71*(1+IF($J71="",Setup!$B$16,$J71)),2))</f>
        <v/>
      </c>
      <c r="L71" s="90">
        <f>IF($K71="","",ROUND($K71*Setup!$B$13,2))</f>
        <v/>
      </c>
      <c r="M71" s="90">
        <f>IF($K71="","",$K71-$L71)</f>
        <v/>
      </c>
      <c r="N71" s="90">
        <f>IF(OR($M71="",$D71=""),"",ROUND($M71*IFERROR(IF(VLOOKUP($D71,Setup!$A$76:$C$87,3,FALSE)="",Setup!$B$14,VLOOKUP($D71,Setup!$A$76:$C$87,3,FALSE)),Setup!$B$14),2))</f>
        <v/>
      </c>
      <c r="O71" s="90">
        <f>IF(OR($M71="",$E71=""),"",ROUND($M71*IFERROR(IF(VLOOKUP($E71,Setup!$A$76:$C$87,3,FALSE)="",Setup!$B$15,VLOOKUP($E71,Setup!$A$76:$C$87,3,FALSE)),Setup!$B$15),2))</f>
        <v/>
      </c>
      <c r="P71" s="92" t="n"/>
      <c r="Q71" s="92" t="n"/>
      <c r="R71" s="92" t="n"/>
      <c r="S71" s="92" t="n"/>
      <c r="T71" s="92" t="n"/>
      <c r="U71" s="90">
        <f>IF($K71="","",SUM($R71:$T71))</f>
        <v/>
      </c>
      <c r="V71" s="90">
        <f>IF($K71="","",$M71-(N($N71)+N($O71)+IF($P71="",Setup!$B$17,$P71)+N($Q71))-N($U71))</f>
        <v/>
      </c>
      <c r="W71" s="87" t="n"/>
      <c r="X71" s="88" t="n"/>
      <c r="Z71" s="93">
        <f>IF($A71="","",DATE(YEAR($A71),MONTH($A71),1))</f>
        <v/>
      </c>
    </row>
    <row r="72">
      <c r="A72" s="94" t="n"/>
      <c r="B72" s="95" t="n"/>
      <c r="C72" s="95" t="n"/>
      <c r="D72" s="96" t="n"/>
      <c r="E72" s="96" t="n"/>
      <c r="F72" s="96" t="n"/>
      <c r="G72" s="96" t="n"/>
      <c r="H72" s="97" t="n"/>
      <c r="I72" s="90">
        <f>IF($G72="","",IF($F72="",IFERROR(INDEX(Setup!$C$21:$C$60,MATCH("|"&amp;UPPER(TRIM($G72)),Setup!$Q$21:$Q$60,0)),"NO RATE"),IFERROR(INDEX(Setup!$C$21:$C$60,MATCH(UPPER(TRIM($F72))&amp;"|"&amp;UPPER(TRIM($G72)),Setup!$P$21:$P$60,0)),IFERROR(INDEX(Setup!$C$21:$C$60,MATCH(UPPER(TRIM($G72))&amp;"|"&amp;UPPER(TRIM($F72)),Setup!$P$21:$P$60,0)),"NO RATE"))))</f>
        <v/>
      </c>
      <c r="J72" s="98" t="n"/>
      <c r="K72" s="90">
        <f>IF(OR($G72="",$H72="",NOT(ISNUMBER($I72))),"",ROUND($H72*$I72*(1+IF($J72="",Setup!$B$16,$J72)),2))</f>
        <v/>
      </c>
      <c r="L72" s="90">
        <f>IF($K72="","",ROUND($K72*Setup!$B$13,2))</f>
        <v/>
      </c>
      <c r="M72" s="90">
        <f>IF($K72="","",$K72-$L72)</f>
        <v/>
      </c>
      <c r="N72" s="90">
        <f>IF(OR($M72="",$D72=""),"",ROUND($M72*IFERROR(IF(VLOOKUP($D72,Setup!$A$76:$C$87,3,FALSE)="",Setup!$B$14,VLOOKUP($D72,Setup!$A$76:$C$87,3,FALSE)),Setup!$B$14),2))</f>
        <v/>
      </c>
      <c r="O72" s="90">
        <f>IF(OR($M72="",$E72=""),"",ROUND($M72*IFERROR(IF(VLOOKUP($E72,Setup!$A$76:$C$87,3,FALSE)="",Setup!$B$15,VLOOKUP($E72,Setup!$A$76:$C$87,3,FALSE)),Setup!$B$15),2))</f>
        <v/>
      </c>
      <c r="P72" s="99" t="n"/>
      <c r="Q72" s="99" t="n"/>
      <c r="R72" s="99" t="n"/>
      <c r="S72" s="99" t="n"/>
      <c r="T72" s="99" t="n"/>
      <c r="U72" s="90">
        <f>IF($K72="","",SUM($R72:$T72))</f>
        <v/>
      </c>
      <c r="V72" s="90">
        <f>IF($K72="","",$M72-(N($N72)+N($O72)+IF($P72="",Setup!$B$17,$P72)+N($Q72))-N($U72))</f>
        <v/>
      </c>
      <c r="W72" s="95" t="n"/>
      <c r="X72" s="96" t="n"/>
      <c r="Z72" s="93">
        <f>IF($A72="","",DATE(YEAR($A72),MONTH($A72),1))</f>
        <v/>
      </c>
    </row>
    <row r="73">
      <c r="A73" s="86" t="n"/>
      <c r="B73" s="87" t="n"/>
      <c r="C73" s="87" t="n"/>
      <c r="D73" s="88" t="n"/>
      <c r="E73" s="88" t="n"/>
      <c r="F73" s="88" t="n"/>
      <c r="G73" s="88" t="n"/>
      <c r="H73" s="89" t="n"/>
      <c r="I73" s="90">
        <f>IF($G73="","",IF($F73="",IFERROR(INDEX(Setup!$C$21:$C$60,MATCH("|"&amp;UPPER(TRIM($G73)),Setup!$Q$21:$Q$60,0)),"NO RATE"),IFERROR(INDEX(Setup!$C$21:$C$60,MATCH(UPPER(TRIM($F73))&amp;"|"&amp;UPPER(TRIM($G73)),Setup!$P$21:$P$60,0)),IFERROR(INDEX(Setup!$C$21:$C$60,MATCH(UPPER(TRIM($G73))&amp;"|"&amp;UPPER(TRIM($F73)),Setup!$P$21:$P$60,0)),"NO RATE"))))</f>
        <v/>
      </c>
      <c r="J73" s="91" t="n"/>
      <c r="K73" s="90">
        <f>IF(OR($G73="",$H73="",NOT(ISNUMBER($I73))),"",ROUND($H73*$I73*(1+IF($J73="",Setup!$B$16,$J73)),2))</f>
        <v/>
      </c>
      <c r="L73" s="90">
        <f>IF($K73="","",ROUND($K73*Setup!$B$13,2))</f>
        <v/>
      </c>
      <c r="M73" s="90">
        <f>IF($K73="","",$K73-$L73)</f>
        <v/>
      </c>
      <c r="N73" s="90">
        <f>IF(OR($M73="",$D73=""),"",ROUND($M73*IFERROR(IF(VLOOKUP($D73,Setup!$A$76:$C$87,3,FALSE)="",Setup!$B$14,VLOOKUP($D73,Setup!$A$76:$C$87,3,FALSE)),Setup!$B$14),2))</f>
        <v/>
      </c>
      <c r="O73" s="90">
        <f>IF(OR($M73="",$E73=""),"",ROUND($M73*IFERROR(IF(VLOOKUP($E73,Setup!$A$76:$C$87,3,FALSE)="",Setup!$B$15,VLOOKUP($E73,Setup!$A$76:$C$87,3,FALSE)),Setup!$B$15),2))</f>
        <v/>
      </c>
      <c r="P73" s="92" t="n"/>
      <c r="Q73" s="92" t="n"/>
      <c r="R73" s="92" t="n"/>
      <c r="S73" s="92" t="n"/>
      <c r="T73" s="92" t="n"/>
      <c r="U73" s="90">
        <f>IF($K73="","",SUM($R73:$T73))</f>
        <v/>
      </c>
      <c r="V73" s="90">
        <f>IF($K73="","",$M73-(N($N73)+N($O73)+IF($P73="",Setup!$B$17,$P73)+N($Q73))-N($U73))</f>
        <v/>
      </c>
      <c r="W73" s="87" t="n"/>
      <c r="X73" s="88" t="n"/>
      <c r="Z73" s="93">
        <f>IF($A73="","",DATE(YEAR($A73),MONTH($A73),1))</f>
        <v/>
      </c>
    </row>
    <row r="74">
      <c r="A74" s="94" t="n"/>
      <c r="B74" s="95" t="n"/>
      <c r="C74" s="95" t="n"/>
      <c r="D74" s="96" t="n"/>
      <c r="E74" s="96" t="n"/>
      <c r="F74" s="96" t="n"/>
      <c r="G74" s="96" t="n"/>
      <c r="H74" s="97" t="n"/>
      <c r="I74" s="90">
        <f>IF($G74="","",IF($F74="",IFERROR(INDEX(Setup!$C$21:$C$60,MATCH("|"&amp;UPPER(TRIM($G74)),Setup!$Q$21:$Q$60,0)),"NO RATE"),IFERROR(INDEX(Setup!$C$21:$C$60,MATCH(UPPER(TRIM($F74))&amp;"|"&amp;UPPER(TRIM($G74)),Setup!$P$21:$P$60,0)),IFERROR(INDEX(Setup!$C$21:$C$60,MATCH(UPPER(TRIM($G74))&amp;"|"&amp;UPPER(TRIM($F74)),Setup!$P$21:$P$60,0)),"NO RATE"))))</f>
        <v/>
      </c>
      <c r="J74" s="98" t="n"/>
      <c r="K74" s="90">
        <f>IF(OR($G74="",$H74="",NOT(ISNUMBER($I74))),"",ROUND($H74*$I74*(1+IF($J74="",Setup!$B$16,$J74)),2))</f>
        <v/>
      </c>
      <c r="L74" s="90">
        <f>IF($K74="","",ROUND($K74*Setup!$B$13,2))</f>
        <v/>
      </c>
      <c r="M74" s="90">
        <f>IF($K74="","",$K74-$L74)</f>
        <v/>
      </c>
      <c r="N74" s="90">
        <f>IF(OR($M74="",$D74=""),"",ROUND($M74*IFERROR(IF(VLOOKUP($D74,Setup!$A$76:$C$87,3,FALSE)="",Setup!$B$14,VLOOKUP($D74,Setup!$A$76:$C$87,3,FALSE)),Setup!$B$14),2))</f>
        <v/>
      </c>
      <c r="O74" s="90">
        <f>IF(OR($M74="",$E74=""),"",ROUND($M74*IFERROR(IF(VLOOKUP($E74,Setup!$A$76:$C$87,3,FALSE)="",Setup!$B$15,VLOOKUP($E74,Setup!$A$76:$C$87,3,FALSE)),Setup!$B$15),2))</f>
        <v/>
      </c>
      <c r="P74" s="99" t="n"/>
      <c r="Q74" s="99" t="n"/>
      <c r="R74" s="99" t="n"/>
      <c r="S74" s="99" t="n"/>
      <c r="T74" s="99" t="n"/>
      <c r="U74" s="90">
        <f>IF($K74="","",SUM($R74:$T74))</f>
        <v/>
      </c>
      <c r="V74" s="90">
        <f>IF($K74="","",$M74-(N($N74)+N($O74)+IF($P74="",Setup!$B$17,$P74)+N($Q74))-N($U74))</f>
        <v/>
      </c>
      <c r="W74" s="95" t="n"/>
      <c r="X74" s="96" t="n"/>
      <c r="Z74" s="93">
        <f>IF($A74="","",DATE(YEAR($A74),MONTH($A74),1))</f>
        <v/>
      </c>
    </row>
    <row r="75">
      <c r="A75" s="86" t="n"/>
      <c r="B75" s="87" t="n"/>
      <c r="C75" s="87" t="n"/>
      <c r="D75" s="88" t="n"/>
      <c r="E75" s="88" t="n"/>
      <c r="F75" s="88" t="n"/>
      <c r="G75" s="88" t="n"/>
      <c r="H75" s="89" t="n"/>
      <c r="I75" s="90">
        <f>IF($G75="","",IF($F75="",IFERROR(INDEX(Setup!$C$21:$C$60,MATCH("|"&amp;UPPER(TRIM($G75)),Setup!$Q$21:$Q$60,0)),"NO RATE"),IFERROR(INDEX(Setup!$C$21:$C$60,MATCH(UPPER(TRIM($F75))&amp;"|"&amp;UPPER(TRIM($G75)),Setup!$P$21:$P$60,0)),IFERROR(INDEX(Setup!$C$21:$C$60,MATCH(UPPER(TRIM($G75))&amp;"|"&amp;UPPER(TRIM($F75)),Setup!$P$21:$P$60,0)),"NO RATE"))))</f>
        <v/>
      </c>
      <c r="J75" s="91" t="n"/>
      <c r="K75" s="90">
        <f>IF(OR($G75="",$H75="",NOT(ISNUMBER($I75))),"",ROUND($H75*$I75*(1+IF($J75="",Setup!$B$16,$J75)),2))</f>
        <v/>
      </c>
      <c r="L75" s="90">
        <f>IF($K75="","",ROUND($K75*Setup!$B$13,2))</f>
        <v/>
      </c>
      <c r="M75" s="90">
        <f>IF($K75="","",$K75-$L75)</f>
        <v/>
      </c>
      <c r="N75" s="90">
        <f>IF(OR($M75="",$D75=""),"",ROUND($M75*IFERROR(IF(VLOOKUP($D75,Setup!$A$76:$C$87,3,FALSE)="",Setup!$B$14,VLOOKUP($D75,Setup!$A$76:$C$87,3,FALSE)),Setup!$B$14),2))</f>
        <v/>
      </c>
      <c r="O75" s="90">
        <f>IF(OR($M75="",$E75=""),"",ROUND($M75*IFERROR(IF(VLOOKUP($E75,Setup!$A$76:$C$87,3,FALSE)="",Setup!$B$15,VLOOKUP($E75,Setup!$A$76:$C$87,3,FALSE)),Setup!$B$15),2))</f>
        <v/>
      </c>
      <c r="P75" s="92" t="n"/>
      <c r="Q75" s="92" t="n"/>
      <c r="R75" s="92" t="n"/>
      <c r="S75" s="92" t="n"/>
      <c r="T75" s="92" t="n"/>
      <c r="U75" s="90">
        <f>IF($K75="","",SUM($R75:$T75))</f>
        <v/>
      </c>
      <c r="V75" s="90">
        <f>IF($K75="","",$M75-(N($N75)+N($O75)+IF($P75="",Setup!$B$17,$P75)+N($Q75))-N($U75))</f>
        <v/>
      </c>
      <c r="W75" s="87" t="n"/>
      <c r="X75" s="88" t="n"/>
      <c r="Z75" s="93">
        <f>IF($A75="","",DATE(YEAR($A75),MONTH($A75),1))</f>
        <v/>
      </c>
    </row>
    <row r="76">
      <c r="A76" s="94" t="n"/>
      <c r="B76" s="95" t="n"/>
      <c r="C76" s="95" t="n"/>
      <c r="D76" s="96" t="n"/>
      <c r="E76" s="96" t="n"/>
      <c r="F76" s="96" t="n"/>
      <c r="G76" s="96" t="n"/>
      <c r="H76" s="97" t="n"/>
      <c r="I76" s="90">
        <f>IF($G76="","",IF($F76="",IFERROR(INDEX(Setup!$C$21:$C$60,MATCH("|"&amp;UPPER(TRIM($G76)),Setup!$Q$21:$Q$60,0)),"NO RATE"),IFERROR(INDEX(Setup!$C$21:$C$60,MATCH(UPPER(TRIM($F76))&amp;"|"&amp;UPPER(TRIM($G76)),Setup!$P$21:$P$60,0)),IFERROR(INDEX(Setup!$C$21:$C$60,MATCH(UPPER(TRIM($G76))&amp;"|"&amp;UPPER(TRIM($F76)),Setup!$P$21:$P$60,0)),"NO RATE"))))</f>
        <v/>
      </c>
      <c r="J76" s="98" t="n"/>
      <c r="K76" s="90">
        <f>IF(OR($G76="",$H76="",NOT(ISNUMBER($I76))),"",ROUND($H76*$I76*(1+IF($J76="",Setup!$B$16,$J76)),2))</f>
        <v/>
      </c>
      <c r="L76" s="90">
        <f>IF($K76="","",ROUND($K76*Setup!$B$13,2))</f>
        <v/>
      </c>
      <c r="M76" s="90">
        <f>IF($K76="","",$K76-$L76)</f>
        <v/>
      </c>
      <c r="N76" s="90">
        <f>IF(OR($M76="",$D76=""),"",ROUND($M76*IFERROR(IF(VLOOKUP($D76,Setup!$A$76:$C$87,3,FALSE)="",Setup!$B$14,VLOOKUP($D76,Setup!$A$76:$C$87,3,FALSE)),Setup!$B$14),2))</f>
        <v/>
      </c>
      <c r="O76" s="90">
        <f>IF(OR($M76="",$E76=""),"",ROUND($M76*IFERROR(IF(VLOOKUP($E76,Setup!$A$76:$C$87,3,FALSE)="",Setup!$B$15,VLOOKUP($E76,Setup!$A$76:$C$87,3,FALSE)),Setup!$B$15),2))</f>
        <v/>
      </c>
      <c r="P76" s="99" t="n"/>
      <c r="Q76" s="99" t="n"/>
      <c r="R76" s="99" t="n"/>
      <c r="S76" s="99" t="n"/>
      <c r="T76" s="99" t="n"/>
      <c r="U76" s="90">
        <f>IF($K76="","",SUM($R76:$T76))</f>
        <v/>
      </c>
      <c r="V76" s="90">
        <f>IF($K76="","",$M76-(N($N76)+N($O76)+IF($P76="",Setup!$B$17,$P76)+N($Q76))-N($U76))</f>
        <v/>
      </c>
      <c r="W76" s="95" t="n"/>
      <c r="X76" s="96" t="n"/>
      <c r="Z76" s="93">
        <f>IF($A76="","",DATE(YEAR($A76),MONTH($A76),1))</f>
        <v/>
      </c>
    </row>
    <row r="77">
      <c r="A77" s="86" t="n"/>
      <c r="B77" s="87" t="n"/>
      <c r="C77" s="87" t="n"/>
      <c r="D77" s="88" t="n"/>
      <c r="E77" s="88" t="n"/>
      <c r="F77" s="88" t="n"/>
      <c r="G77" s="88" t="n"/>
      <c r="H77" s="89" t="n"/>
      <c r="I77" s="90">
        <f>IF($G77="","",IF($F77="",IFERROR(INDEX(Setup!$C$21:$C$60,MATCH("|"&amp;UPPER(TRIM($G77)),Setup!$Q$21:$Q$60,0)),"NO RATE"),IFERROR(INDEX(Setup!$C$21:$C$60,MATCH(UPPER(TRIM($F77))&amp;"|"&amp;UPPER(TRIM($G77)),Setup!$P$21:$P$60,0)),IFERROR(INDEX(Setup!$C$21:$C$60,MATCH(UPPER(TRIM($G77))&amp;"|"&amp;UPPER(TRIM($F77)),Setup!$P$21:$P$60,0)),"NO RATE"))))</f>
        <v/>
      </c>
      <c r="J77" s="91" t="n"/>
      <c r="K77" s="90">
        <f>IF(OR($G77="",$H77="",NOT(ISNUMBER($I77))),"",ROUND($H77*$I77*(1+IF($J77="",Setup!$B$16,$J77)),2))</f>
        <v/>
      </c>
      <c r="L77" s="90">
        <f>IF($K77="","",ROUND($K77*Setup!$B$13,2))</f>
        <v/>
      </c>
      <c r="M77" s="90">
        <f>IF($K77="","",$K77-$L77)</f>
        <v/>
      </c>
      <c r="N77" s="90">
        <f>IF(OR($M77="",$D77=""),"",ROUND($M77*IFERROR(IF(VLOOKUP($D77,Setup!$A$76:$C$87,3,FALSE)="",Setup!$B$14,VLOOKUP($D77,Setup!$A$76:$C$87,3,FALSE)),Setup!$B$14),2))</f>
        <v/>
      </c>
      <c r="O77" s="90">
        <f>IF(OR($M77="",$E77=""),"",ROUND($M77*IFERROR(IF(VLOOKUP($E77,Setup!$A$76:$C$87,3,FALSE)="",Setup!$B$15,VLOOKUP($E77,Setup!$A$76:$C$87,3,FALSE)),Setup!$B$15),2))</f>
        <v/>
      </c>
      <c r="P77" s="92" t="n"/>
      <c r="Q77" s="92" t="n"/>
      <c r="R77" s="92" t="n"/>
      <c r="S77" s="92" t="n"/>
      <c r="T77" s="92" t="n"/>
      <c r="U77" s="90">
        <f>IF($K77="","",SUM($R77:$T77))</f>
        <v/>
      </c>
      <c r="V77" s="90">
        <f>IF($K77="","",$M77-(N($N77)+N($O77)+IF($P77="",Setup!$B$17,$P77)+N($Q77))-N($U77))</f>
        <v/>
      </c>
      <c r="W77" s="87" t="n"/>
      <c r="X77" s="88" t="n"/>
      <c r="Z77" s="93">
        <f>IF($A77="","",DATE(YEAR($A77),MONTH($A77),1))</f>
        <v/>
      </c>
    </row>
    <row r="78">
      <c r="A78" s="94" t="n"/>
      <c r="B78" s="95" t="n"/>
      <c r="C78" s="95" t="n"/>
      <c r="D78" s="96" t="n"/>
      <c r="E78" s="96" t="n"/>
      <c r="F78" s="96" t="n"/>
      <c r="G78" s="96" t="n"/>
      <c r="H78" s="97" t="n"/>
      <c r="I78" s="90">
        <f>IF($G78="","",IF($F78="",IFERROR(INDEX(Setup!$C$21:$C$60,MATCH("|"&amp;UPPER(TRIM($G78)),Setup!$Q$21:$Q$60,0)),"NO RATE"),IFERROR(INDEX(Setup!$C$21:$C$60,MATCH(UPPER(TRIM($F78))&amp;"|"&amp;UPPER(TRIM($G78)),Setup!$P$21:$P$60,0)),IFERROR(INDEX(Setup!$C$21:$C$60,MATCH(UPPER(TRIM($G78))&amp;"|"&amp;UPPER(TRIM($F78)),Setup!$P$21:$P$60,0)),"NO RATE"))))</f>
        <v/>
      </c>
      <c r="J78" s="98" t="n"/>
      <c r="K78" s="90">
        <f>IF(OR($G78="",$H78="",NOT(ISNUMBER($I78))),"",ROUND($H78*$I78*(1+IF($J78="",Setup!$B$16,$J78)),2))</f>
        <v/>
      </c>
      <c r="L78" s="90">
        <f>IF($K78="","",ROUND($K78*Setup!$B$13,2))</f>
        <v/>
      </c>
      <c r="M78" s="90">
        <f>IF($K78="","",$K78-$L78)</f>
        <v/>
      </c>
      <c r="N78" s="90">
        <f>IF(OR($M78="",$D78=""),"",ROUND($M78*IFERROR(IF(VLOOKUP($D78,Setup!$A$76:$C$87,3,FALSE)="",Setup!$B$14,VLOOKUP($D78,Setup!$A$76:$C$87,3,FALSE)),Setup!$B$14),2))</f>
        <v/>
      </c>
      <c r="O78" s="90">
        <f>IF(OR($M78="",$E78=""),"",ROUND($M78*IFERROR(IF(VLOOKUP($E78,Setup!$A$76:$C$87,3,FALSE)="",Setup!$B$15,VLOOKUP($E78,Setup!$A$76:$C$87,3,FALSE)),Setup!$B$15),2))</f>
        <v/>
      </c>
      <c r="P78" s="99" t="n"/>
      <c r="Q78" s="99" t="n"/>
      <c r="R78" s="99" t="n"/>
      <c r="S78" s="99" t="n"/>
      <c r="T78" s="99" t="n"/>
      <c r="U78" s="90">
        <f>IF($K78="","",SUM($R78:$T78))</f>
        <v/>
      </c>
      <c r="V78" s="90">
        <f>IF($K78="","",$M78-(N($N78)+N($O78)+IF($P78="",Setup!$B$17,$P78)+N($Q78))-N($U78))</f>
        <v/>
      </c>
      <c r="W78" s="95" t="n"/>
      <c r="X78" s="96" t="n"/>
      <c r="Z78" s="93">
        <f>IF($A78="","",DATE(YEAR($A78),MONTH($A78),1))</f>
        <v/>
      </c>
    </row>
    <row r="79">
      <c r="A79" s="86" t="n"/>
      <c r="B79" s="87" t="n"/>
      <c r="C79" s="87" t="n"/>
      <c r="D79" s="88" t="n"/>
      <c r="E79" s="88" t="n"/>
      <c r="F79" s="88" t="n"/>
      <c r="G79" s="88" t="n"/>
      <c r="H79" s="89" t="n"/>
      <c r="I79" s="90">
        <f>IF($G79="","",IF($F79="",IFERROR(INDEX(Setup!$C$21:$C$60,MATCH("|"&amp;UPPER(TRIM($G79)),Setup!$Q$21:$Q$60,0)),"NO RATE"),IFERROR(INDEX(Setup!$C$21:$C$60,MATCH(UPPER(TRIM($F79))&amp;"|"&amp;UPPER(TRIM($G79)),Setup!$P$21:$P$60,0)),IFERROR(INDEX(Setup!$C$21:$C$60,MATCH(UPPER(TRIM($G79))&amp;"|"&amp;UPPER(TRIM($F79)),Setup!$P$21:$P$60,0)),"NO RATE"))))</f>
        <v/>
      </c>
      <c r="J79" s="91" t="n"/>
      <c r="K79" s="90">
        <f>IF(OR($G79="",$H79="",NOT(ISNUMBER($I79))),"",ROUND($H79*$I79*(1+IF($J79="",Setup!$B$16,$J79)),2))</f>
        <v/>
      </c>
      <c r="L79" s="90">
        <f>IF($K79="","",ROUND($K79*Setup!$B$13,2))</f>
        <v/>
      </c>
      <c r="M79" s="90">
        <f>IF($K79="","",$K79-$L79)</f>
        <v/>
      </c>
      <c r="N79" s="90">
        <f>IF(OR($M79="",$D79=""),"",ROUND($M79*IFERROR(IF(VLOOKUP($D79,Setup!$A$76:$C$87,3,FALSE)="",Setup!$B$14,VLOOKUP($D79,Setup!$A$76:$C$87,3,FALSE)),Setup!$B$14),2))</f>
        <v/>
      </c>
      <c r="O79" s="90">
        <f>IF(OR($M79="",$E79=""),"",ROUND($M79*IFERROR(IF(VLOOKUP($E79,Setup!$A$76:$C$87,3,FALSE)="",Setup!$B$15,VLOOKUP($E79,Setup!$A$76:$C$87,3,FALSE)),Setup!$B$15),2))</f>
        <v/>
      </c>
      <c r="P79" s="92" t="n"/>
      <c r="Q79" s="92" t="n"/>
      <c r="R79" s="92" t="n"/>
      <c r="S79" s="92" t="n"/>
      <c r="T79" s="92" t="n"/>
      <c r="U79" s="90">
        <f>IF($K79="","",SUM($R79:$T79))</f>
        <v/>
      </c>
      <c r="V79" s="90">
        <f>IF($K79="","",$M79-(N($N79)+N($O79)+IF($P79="",Setup!$B$17,$P79)+N($Q79))-N($U79))</f>
        <v/>
      </c>
      <c r="W79" s="87" t="n"/>
      <c r="X79" s="88" t="n"/>
      <c r="Z79" s="93">
        <f>IF($A79="","",DATE(YEAR($A79),MONTH($A79),1))</f>
        <v/>
      </c>
    </row>
    <row r="80">
      <c r="A80" s="94" t="n"/>
      <c r="B80" s="95" t="n"/>
      <c r="C80" s="95" t="n"/>
      <c r="D80" s="96" t="n"/>
      <c r="E80" s="96" t="n"/>
      <c r="F80" s="96" t="n"/>
      <c r="G80" s="96" t="n"/>
      <c r="H80" s="97" t="n"/>
      <c r="I80" s="90">
        <f>IF($G80="","",IF($F80="",IFERROR(INDEX(Setup!$C$21:$C$60,MATCH("|"&amp;UPPER(TRIM($G80)),Setup!$Q$21:$Q$60,0)),"NO RATE"),IFERROR(INDEX(Setup!$C$21:$C$60,MATCH(UPPER(TRIM($F80))&amp;"|"&amp;UPPER(TRIM($G80)),Setup!$P$21:$P$60,0)),IFERROR(INDEX(Setup!$C$21:$C$60,MATCH(UPPER(TRIM($G80))&amp;"|"&amp;UPPER(TRIM($F80)),Setup!$P$21:$P$60,0)),"NO RATE"))))</f>
        <v/>
      </c>
      <c r="J80" s="98" t="n"/>
      <c r="K80" s="90">
        <f>IF(OR($G80="",$H80="",NOT(ISNUMBER($I80))),"",ROUND($H80*$I80*(1+IF($J80="",Setup!$B$16,$J80)),2))</f>
        <v/>
      </c>
      <c r="L80" s="90">
        <f>IF($K80="","",ROUND($K80*Setup!$B$13,2))</f>
        <v/>
      </c>
      <c r="M80" s="90">
        <f>IF($K80="","",$K80-$L80)</f>
        <v/>
      </c>
      <c r="N80" s="90">
        <f>IF(OR($M80="",$D80=""),"",ROUND($M80*IFERROR(IF(VLOOKUP($D80,Setup!$A$76:$C$87,3,FALSE)="",Setup!$B$14,VLOOKUP($D80,Setup!$A$76:$C$87,3,FALSE)),Setup!$B$14),2))</f>
        <v/>
      </c>
      <c r="O80" s="90">
        <f>IF(OR($M80="",$E80=""),"",ROUND($M80*IFERROR(IF(VLOOKUP($E80,Setup!$A$76:$C$87,3,FALSE)="",Setup!$B$15,VLOOKUP($E80,Setup!$A$76:$C$87,3,FALSE)),Setup!$B$15),2))</f>
        <v/>
      </c>
      <c r="P80" s="99" t="n"/>
      <c r="Q80" s="99" t="n"/>
      <c r="R80" s="99" t="n"/>
      <c r="S80" s="99" t="n"/>
      <c r="T80" s="99" t="n"/>
      <c r="U80" s="90">
        <f>IF($K80="","",SUM($R80:$T80))</f>
        <v/>
      </c>
      <c r="V80" s="90">
        <f>IF($K80="","",$M80-(N($N80)+N($O80)+IF($P80="",Setup!$B$17,$P80)+N($Q80))-N($U80))</f>
        <v/>
      </c>
      <c r="W80" s="95" t="n"/>
      <c r="X80" s="96" t="n"/>
      <c r="Z80" s="93">
        <f>IF($A80="","",DATE(YEAR($A80),MONTH($A80),1))</f>
        <v/>
      </c>
    </row>
    <row r="81">
      <c r="A81" s="86" t="n"/>
      <c r="B81" s="87" t="n"/>
      <c r="C81" s="87" t="n"/>
      <c r="D81" s="88" t="n"/>
      <c r="E81" s="88" t="n"/>
      <c r="F81" s="88" t="n"/>
      <c r="G81" s="88" t="n"/>
      <c r="H81" s="89" t="n"/>
      <c r="I81" s="90">
        <f>IF($G81="","",IF($F81="",IFERROR(INDEX(Setup!$C$21:$C$60,MATCH("|"&amp;UPPER(TRIM($G81)),Setup!$Q$21:$Q$60,0)),"NO RATE"),IFERROR(INDEX(Setup!$C$21:$C$60,MATCH(UPPER(TRIM($F81))&amp;"|"&amp;UPPER(TRIM($G81)),Setup!$P$21:$P$60,0)),IFERROR(INDEX(Setup!$C$21:$C$60,MATCH(UPPER(TRIM($G81))&amp;"|"&amp;UPPER(TRIM($F81)),Setup!$P$21:$P$60,0)),"NO RATE"))))</f>
        <v/>
      </c>
      <c r="J81" s="91" t="n"/>
      <c r="K81" s="90">
        <f>IF(OR($G81="",$H81="",NOT(ISNUMBER($I81))),"",ROUND($H81*$I81*(1+IF($J81="",Setup!$B$16,$J81)),2))</f>
        <v/>
      </c>
      <c r="L81" s="90">
        <f>IF($K81="","",ROUND($K81*Setup!$B$13,2))</f>
        <v/>
      </c>
      <c r="M81" s="90">
        <f>IF($K81="","",$K81-$L81)</f>
        <v/>
      </c>
      <c r="N81" s="90">
        <f>IF(OR($M81="",$D81=""),"",ROUND($M81*IFERROR(IF(VLOOKUP($D81,Setup!$A$76:$C$87,3,FALSE)="",Setup!$B$14,VLOOKUP($D81,Setup!$A$76:$C$87,3,FALSE)),Setup!$B$14),2))</f>
        <v/>
      </c>
      <c r="O81" s="90">
        <f>IF(OR($M81="",$E81=""),"",ROUND($M81*IFERROR(IF(VLOOKUP($E81,Setup!$A$76:$C$87,3,FALSE)="",Setup!$B$15,VLOOKUP($E81,Setup!$A$76:$C$87,3,FALSE)),Setup!$B$15),2))</f>
        <v/>
      </c>
      <c r="P81" s="92" t="n"/>
      <c r="Q81" s="92" t="n"/>
      <c r="R81" s="92" t="n"/>
      <c r="S81" s="92" t="n"/>
      <c r="T81" s="92" t="n"/>
      <c r="U81" s="90">
        <f>IF($K81="","",SUM($R81:$T81))</f>
        <v/>
      </c>
      <c r="V81" s="90">
        <f>IF($K81="","",$M81-(N($N81)+N($O81)+IF($P81="",Setup!$B$17,$P81)+N($Q81))-N($U81))</f>
        <v/>
      </c>
      <c r="W81" s="87" t="n"/>
      <c r="X81" s="88" t="n"/>
      <c r="Z81" s="93">
        <f>IF($A81="","",DATE(YEAR($A81),MONTH($A81),1))</f>
        <v/>
      </c>
    </row>
    <row r="82">
      <c r="A82" s="94" t="n"/>
      <c r="B82" s="95" t="n"/>
      <c r="C82" s="95" t="n"/>
      <c r="D82" s="96" t="n"/>
      <c r="E82" s="96" t="n"/>
      <c r="F82" s="96" t="n"/>
      <c r="G82" s="96" t="n"/>
      <c r="H82" s="97" t="n"/>
      <c r="I82" s="90">
        <f>IF($G82="","",IF($F82="",IFERROR(INDEX(Setup!$C$21:$C$60,MATCH("|"&amp;UPPER(TRIM($G82)),Setup!$Q$21:$Q$60,0)),"NO RATE"),IFERROR(INDEX(Setup!$C$21:$C$60,MATCH(UPPER(TRIM($F82))&amp;"|"&amp;UPPER(TRIM($G82)),Setup!$P$21:$P$60,0)),IFERROR(INDEX(Setup!$C$21:$C$60,MATCH(UPPER(TRIM($G82))&amp;"|"&amp;UPPER(TRIM($F82)),Setup!$P$21:$P$60,0)),"NO RATE"))))</f>
        <v/>
      </c>
      <c r="J82" s="98" t="n"/>
      <c r="K82" s="90">
        <f>IF(OR($G82="",$H82="",NOT(ISNUMBER($I82))),"",ROUND($H82*$I82*(1+IF($J82="",Setup!$B$16,$J82)),2))</f>
        <v/>
      </c>
      <c r="L82" s="90">
        <f>IF($K82="","",ROUND($K82*Setup!$B$13,2))</f>
        <v/>
      </c>
      <c r="M82" s="90">
        <f>IF($K82="","",$K82-$L82)</f>
        <v/>
      </c>
      <c r="N82" s="90">
        <f>IF(OR($M82="",$D82=""),"",ROUND($M82*IFERROR(IF(VLOOKUP($D82,Setup!$A$76:$C$87,3,FALSE)="",Setup!$B$14,VLOOKUP($D82,Setup!$A$76:$C$87,3,FALSE)),Setup!$B$14),2))</f>
        <v/>
      </c>
      <c r="O82" s="90">
        <f>IF(OR($M82="",$E82=""),"",ROUND($M82*IFERROR(IF(VLOOKUP($E82,Setup!$A$76:$C$87,3,FALSE)="",Setup!$B$15,VLOOKUP($E82,Setup!$A$76:$C$87,3,FALSE)),Setup!$B$15),2))</f>
        <v/>
      </c>
      <c r="P82" s="99" t="n"/>
      <c r="Q82" s="99" t="n"/>
      <c r="R82" s="99" t="n"/>
      <c r="S82" s="99" t="n"/>
      <c r="T82" s="99" t="n"/>
      <c r="U82" s="90">
        <f>IF($K82="","",SUM($R82:$T82))</f>
        <v/>
      </c>
      <c r="V82" s="90">
        <f>IF($K82="","",$M82-(N($N82)+N($O82)+IF($P82="",Setup!$B$17,$P82)+N($Q82))-N($U82))</f>
        <v/>
      </c>
      <c r="W82" s="95" t="n"/>
      <c r="X82" s="96" t="n"/>
      <c r="Z82" s="93">
        <f>IF($A82="","",DATE(YEAR($A82),MONTH($A82),1))</f>
        <v/>
      </c>
    </row>
    <row r="83">
      <c r="A83" s="86" t="n"/>
      <c r="B83" s="87" t="n"/>
      <c r="C83" s="87" t="n"/>
      <c r="D83" s="88" t="n"/>
      <c r="E83" s="88" t="n"/>
      <c r="F83" s="88" t="n"/>
      <c r="G83" s="88" t="n"/>
      <c r="H83" s="89" t="n"/>
      <c r="I83" s="90">
        <f>IF($G83="","",IF($F83="",IFERROR(INDEX(Setup!$C$21:$C$60,MATCH("|"&amp;UPPER(TRIM($G83)),Setup!$Q$21:$Q$60,0)),"NO RATE"),IFERROR(INDEX(Setup!$C$21:$C$60,MATCH(UPPER(TRIM($F83))&amp;"|"&amp;UPPER(TRIM($G83)),Setup!$P$21:$P$60,0)),IFERROR(INDEX(Setup!$C$21:$C$60,MATCH(UPPER(TRIM($G83))&amp;"|"&amp;UPPER(TRIM($F83)),Setup!$P$21:$P$60,0)),"NO RATE"))))</f>
        <v/>
      </c>
      <c r="J83" s="91" t="n"/>
      <c r="K83" s="90">
        <f>IF(OR($G83="",$H83="",NOT(ISNUMBER($I83))),"",ROUND($H83*$I83*(1+IF($J83="",Setup!$B$16,$J83)),2))</f>
        <v/>
      </c>
      <c r="L83" s="90">
        <f>IF($K83="","",ROUND($K83*Setup!$B$13,2))</f>
        <v/>
      </c>
      <c r="M83" s="90">
        <f>IF($K83="","",$K83-$L83)</f>
        <v/>
      </c>
      <c r="N83" s="90">
        <f>IF(OR($M83="",$D83=""),"",ROUND($M83*IFERROR(IF(VLOOKUP($D83,Setup!$A$76:$C$87,3,FALSE)="",Setup!$B$14,VLOOKUP($D83,Setup!$A$76:$C$87,3,FALSE)),Setup!$B$14),2))</f>
        <v/>
      </c>
      <c r="O83" s="90">
        <f>IF(OR($M83="",$E83=""),"",ROUND($M83*IFERROR(IF(VLOOKUP($E83,Setup!$A$76:$C$87,3,FALSE)="",Setup!$B$15,VLOOKUP($E83,Setup!$A$76:$C$87,3,FALSE)),Setup!$B$15),2))</f>
        <v/>
      </c>
      <c r="P83" s="92" t="n"/>
      <c r="Q83" s="92" t="n"/>
      <c r="R83" s="92" t="n"/>
      <c r="S83" s="92" t="n"/>
      <c r="T83" s="92" t="n"/>
      <c r="U83" s="90">
        <f>IF($K83="","",SUM($R83:$T83))</f>
        <v/>
      </c>
      <c r="V83" s="90">
        <f>IF($K83="","",$M83-(N($N83)+N($O83)+IF($P83="",Setup!$B$17,$P83)+N($Q83))-N($U83))</f>
        <v/>
      </c>
      <c r="W83" s="87" t="n"/>
      <c r="X83" s="88" t="n"/>
      <c r="Z83" s="93">
        <f>IF($A83="","",DATE(YEAR($A83),MONTH($A83),1))</f>
        <v/>
      </c>
    </row>
    <row r="84">
      <c r="A84" s="94" t="n"/>
      <c r="B84" s="95" t="n"/>
      <c r="C84" s="95" t="n"/>
      <c r="D84" s="96" t="n"/>
      <c r="E84" s="96" t="n"/>
      <c r="F84" s="96" t="n"/>
      <c r="G84" s="96" t="n"/>
      <c r="H84" s="97" t="n"/>
      <c r="I84" s="90">
        <f>IF($G84="","",IF($F84="",IFERROR(INDEX(Setup!$C$21:$C$60,MATCH("|"&amp;UPPER(TRIM($G84)),Setup!$Q$21:$Q$60,0)),"NO RATE"),IFERROR(INDEX(Setup!$C$21:$C$60,MATCH(UPPER(TRIM($F84))&amp;"|"&amp;UPPER(TRIM($G84)),Setup!$P$21:$P$60,0)),IFERROR(INDEX(Setup!$C$21:$C$60,MATCH(UPPER(TRIM($G84))&amp;"|"&amp;UPPER(TRIM($F84)),Setup!$P$21:$P$60,0)),"NO RATE"))))</f>
        <v/>
      </c>
      <c r="J84" s="98" t="n"/>
      <c r="K84" s="90">
        <f>IF(OR($G84="",$H84="",NOT(ISNUMBER($I84))),"",ROUND($H84*$I84*(1+IF($J84="",Setup!$B$16,$J84)),2))</f>
        <v/>
      </c>
      <c r="L84" s="90">
        <f>IF($K84="","",ROUND($K84*Setup!$B$13,2))</f>
        <v/>
      </c>
      <c r="M84" s="90">
        <f>IF($K84="","",$K84-$L84)</f>
        <v/>
      </c>
      <c r="N84" s="90">
        <f>IF(OR($M84="",$D84=""),"",ROUND($M84*IFERROR(IF(VLOOKUP($D84,Setup!$A$76:$C$87,3,FALSE)="",Setup!$B$14,VLOOKUP($D84,Setup!$A$76:$C$87,3,FALSE)),Setup!$B$14),2))</f>
        <v/>
      </c>
      <c r="O84" s="90">
        <f>IF(OR($M84="",$E84=""),"",ROUND($M84*IFERROR(IF(VLOOKUP($E84,Setup!$A$76:$C$87,3,FALSE)="",Setup!$B$15,VLOOKUP($E84,Setup!$A$76:$C$87,3,FALSE)),Setup!$B$15),2))</f>
        <v/>
      </c>
      <c r="P84" s="99" t="n"/>
      <c r="Q84" s="99" t="n"/>
      <c r="R84" s="99" t="n"/>
      <c r="S84" s="99" t="n"/>
      <c r="T84" s="99" t="n"/>
      <c r="U84" s="90">
        <f>IF($K84="","",SUM($R84:$T84))</f>
        <v/>
      </c>
      <c r="V84" s="90">
        <f>IF($K84="","",$M84-(N($N84)+N($O84)+IF($P84="",Setup!$B$17,$P84)+N($Q84))-N($U84))</f>
        <v/>
      </c>
      <c r="W84" s="95" t="n"/>
      <c r="X84" s="96" t="n"/>
      <c r="Z84" s="93">
        <f>IF($A84="","",DATE(YEAR($A84),MONTH($A84),1))</f>
        <v/>
      </c>
    </row>
    <row r="85">
      <c r="A85" s="86" t="n"/>
      <c r="B85" s="87" t="n"/>
      <c r="C85" s="87" t="n"/>
      <c r="D85" s="88" t="n"/>
      <c r="E85" s="88" t="n"/>
      <c r="F85" s="88" t="n"/>
      <c r="G85" s="88" t="n"/>
      <c r="H85" s="89" t="n"/>
      <c r="I85" s="90">
        <f>IF($G85="","",IF($F85="",IFERROR(INDEX(Setup!$C$21:$C$60,MATCH("|"&amp;UPPER(TRIM($G85)),Setup!$Q$21:$Q$60,0)),"NO RATE"),IFERROR(INDEX(Setup!$C$21:$C$60,MATCH(UPPER(TRIM($F85))&amp;"|"&amp;UPPER(TRIM($G85)),Setup!$P$21:$P$60,0)),IFERROR(INDEX(Setup!$C$21:$C$60,MATCH(UPPER(TRIM($G85))&amp;"|"&amp;UPPER(TRIM($F85)),Setup!$P$21:$P$60,0)),"NO RATE"))))</f>
        <v/>
      </c>
      <c r="J85" s="91" t="n"/>
      <c r="K85" s="90">
        <f>IF(OR($G85="",$H85="",NOT(ISNUMBER($I85))),"",ROUND($H85*$I85*(1+IF($J85="",Setup!$B$16,$J85)),2))</f>
        <v/>
      </c>
      <c r="L85" s="90">
        <f>IF($K85="","",ROUND($K85*Setup!$B$13,2))</f>
        <v/>
      </c>
      <c r="M85" s="90">
        <f>IF($K85="","",$K85-$L85)</f>
        <v/>
      </c>
      <c r="N85" s="90">
        <f>IF(OR($M85="",$D85=""),"",ROUND($M85*IFERROR(IF(VLOOKUP($D85,Setup!$A$76:$C$87,3,FALSE)="",Setup!$B$14,VLOOKUP($D85,Setup!$A$76:$C$87,3,FALSE)),Setup!$B$14),2))</f>
        <v/>
      </c>
      <c r="O85" s="90">
        <f>IF(OR($M85="",$E85=""),"",ROUND($M85*IFERROR(IF(VLOOKUP($E85,Setup!$A$76:$C$87,3,FALSE)="",Setup!$B$15,VLOOKUP($E85,Setup!$A$76:$C$87,3,FALSE)),Setup!$B$15),2))</f>
        <v/>
      </c>
      <c r="P85" s="92" t="n"/>
      <c r="Q85" s="92" t="n"/>
      <c r="R85" s="92" t="n"/>
      <c r="S85" s="92" t="n"/>
      <c r="T85" s="92" t="n"/>
      <c r="U85" s="90">
        <f>IF($K85="","",SUM($R85:$T85))</f>
        <v/>
      </c>
      <c r="V85" s="90">
        <f>IF($K85="","",$M85-(N($N85)+N($O85)+IF($P85="",Setup!$B$17,$P85)+N($Q85))-N($U85))</f>
        <v/>
      </c>
      <c r="W85" s="87" t="n"/>
      <c r="X85" s="88" t="n"/>
      <c r="Z85" s="93">
        <f>IF($A85="","",DATE(YEAR($A85),MONTH($A85),1))</f>
        <v/>
      </c>
    </row>
    <row r="86">
      <c r="A86" s="94" t="n"/>
      <c r="B86" s="95" t="n"/>
      <c r="C86" s="95" t="n"/>
      <c r="D86" s="96" t="n"/>
      <c r="E86" s="96" t="n"/>
      <c r="F86" s="96" t="n"/>
      <c r="G86" s="96" t="n"/>
      <c r="H86" s="97" t="n"/>
      <c r="I86" s="90">
        <f>IF($G86="","",IF($F86="",IFERROR(INDEX(Setup!$C$21:$C$60,MATCH("|"&amp;UPPER(TRIM($G86)),Setup!$Q$21:$Q$60,0)),"NO RATE"),IFERROR(INDEX(Setup!$C$21:$C$60,MATCH(UPPER(TRIM($F86))&amp;"|"&amp;UPPER(TRIM($G86)),Setup!$P$21:$P$60,0)),IFERROR(INDEX(Setup!$C$21:$C$60,MATCH(UPPER(TRIM($G86))&amp;"|"&amp;UPPER(TRIM($F86)),Setup!$P$21:$P$60,0)),"NO RATE"))))</f>
        <v/>
      </c>
      <c r="J86" s="98" t="n"/>
      <c r="K86" s="90">
        <f>IF(OR($G86="",$H86="",NOT(ISNUMBER($I86))),"",ROUND($H86*$I86*(1+IF($J86="",Setup!$B$16,$J86)),2))</f>
        <v/>
      </c>
      <c r="L86" s="90">
        <f>IF($K86="","",ROUND($K86*Setup!$B$13,2))</f>
        <v/>
      </c>
      <c r="M86" s="90">
        <f>IF($K86="","",$K86-$L86)</f>
        <v/>
      </c>
      <c r="N86" s="90">
        <f>IF(OR($M86="",$D86=""),"",ROUND($M86*IFERROR(IF(VLOOKUP($D86,Setup!$A$76:$C$87,3,FALSE)="",Setup!$B$14,VLOOKUP($D86,Setup!$A$76:$C$87,3,FALSE)),Setup!$B$14),2))</f>
        <v/>
      </c>
      <c r="O86" s="90">
        <f>IF(OR($M86="",$E86=""),"",ROUND($M86*IFERROR(IF(VLOOKUP($E86,Setup!$A$76:$C$87,3,FALSE)="",Setup!$B$15,VLOOKUP($E86,Setup!$A$76:$C$87,3,FALSE)),Setup!$B$15),2))</f>
        <v/>
      </c>
      <c r="P86" s="99" t="n"/>
      <c r="Q86" s="99" t="n"/>
      <c r="R86" s="99" t="n"/>
      <c r="S86" s="99" t="n"/>
      <c r="T86" s="99" t="n"/>
      <c r="U86" s="90">
        <f>IF($K86="","",SUM($R86:$T86))</f>
        <v/>
      </c>
      <c r="V86" s="90">
        <f>IF($K86="","",$M86-(N($N86)+N($O86)+IF($P86="",Setup!$B$17,$P86)+N($Q86))-N($U86))</f>
        <v/>
      </c>
      <c r="W86" s="95" t="n"/>
      <c r="X86" s="96" t="n"/>
      <c r="Z86" s="93">
        <f>IF($A86="","",DATE(YEAR($A86),MONTH($A86),1))</f>
        <v/>
      </c>
    </row>
    <row r="87">
      <c r="A87" s="86" t="n"/>
      <c r="B87" s="87" t="n"/>
      <c r="C87" s="87" t="n"/>
      <c r="D87" s="88" t="n"/>
      <c r="E87" s="88" t="n"/>
      <c r="F87" s="88" t="n"/>
      <c r="G87" s="88" t="n"/>
      <c r="H87" s="89" t="n"/>
      <c r="I87" s="90">
        <f>IF($G87="","",IF($F87="",IFERROR(INDEX(Setup!$C$21:$C$60,MATCH("|"&amp;UPPER(TRIM($G87)),Setup!$Q$21:$Q$60,0)),"NO RATE"),IFERROR(INDEX(Setup!$C$21:$C$60,MATCH(UPPER(TRIM($F87))&amp;"|"&amp;UPPER(TRIM($G87)),Setup!$P$21:$P$60,0)),IFERROR(INDEX(Setup!$C$21:$C$60,MATCH(UPPER(TRIM($G87))&amp;"|"&amp;UPPER(TRIM($F87)),Setup!$P$21:$P$60,0)),"NO RATE"))))</f>
        <v/>
      </c>
      <c r="J87" s="91" t="n"/>
      <c r="K87" s="90">
        <f>IF(OR($G87="",$H87="",NOT(ISNUMBER($I87))),"",ROUND($H87*$I87*(1+IF($J87="",Setup!$B$16,$J87)),2))</f>
        <v/>
      </c>
      <c r="L87" s="90">
        <f>IF($K87="","",ROUND($K87*Setup!$B$13,2))</f>
        <v/>
      </c>
      <c r="M87" s="90">
        <f>IF($K87="","",$K87-$L87)</f>
        <v/>
      </c>
      <c r="N87" s="90">
        <f>IF(OR($M87="",$D87=""),"",ROUND($M87*IFERROR(IF(VLOOKUP($D87,Setup!$A$76:$C$87,3,FALSE)="",Setup!$B$14,VLOOKUP($D87,Setup!$A$76:$C$87,3,FALSE)),Setup!$B$14),2))</f>
        <v/>
      </c>
      <c r="O87" s="90">
        <f>IF(OR($M87="",$E87=""),"",ROUND($M87*IFERROR(IF(VLOOKUP($E87,Setup!$A$76:$C$87,3,FALSE)="",Setup!$B$15,VLOOKUP($E87,Setup!$A$76:$C$87,3,FALSE)),Setup!$B$15),2))</f>
        <v/>
      </c>
      <c r="P87" s="92" t="n"/>
      <c r="Q87" s="92" t="n"/>
      <c r="R87" s="92" t="n"/>
      <c r="S87" s="92" t="n"/>
      <c r="T87" s="92" t="n"/>
      <c r="U87" s="90">
        <f>IF($K87="","",SUM($R87:$T87))</f>
        <v/>
      </c>
      <c r="V87" s="90">
        <f>IF($K87="","",$M87-(N($N87)+N($O87)+IF($P87="",Setup!$B$17,$P87)+N($Q87))-N($U87))</f>
        <v/>
      </c>
      <c r="W87" s="87" t="n"/>
      <c r="X87" s="88" t="n"/>
      <c r="Z87" s="93">
        <f>IF($A87="","",DATE(YEAR($A87),MONTH($A87),1))</f>
        <v/>
      </c>
    </row>
    <row r="88">
      <c r="A88" s="94" t="n"/>
      <c r="B88" s="95" t="n"/>
      <c r="C88" s="95" t="n"/>
      <c r="D88" s="96" t="n"/>
      <c r="E88" s="96" t="n"/>
      <c r="F88" s="96" t="n"/>
      <c r="G88" s="96" t="n"/>
      <c r="H88" s="97" t="n"/>
      <c r="I88" s="90">
        <f>IF($G88="","",IF($F88="",IFERROR(INDEX(Setup!$C$21:$C$60,MATCH("|"&amp;UPPER(TRIM($G88)),Setup!$Q$21:$Q$60,0)),"NO RATE"),IFERROR(INDEX(Setup!$C$21:$C$60,MATCH(UPPER(TRIM($F88))&amp;"|"&amp;UPPER(TRIM($G88)),Setup!$P$21:$P$60,0)),IFERROR(INDEX(Setup!$C$21:$C$60,MATCH(UPPER(TRIM($G88))&amp;"|"&amp;UPPER(TRIM($F88)),Setup!$P$21:$P$60,0)),"NO RATE"))))</f>
        <v/>
      </c>
      <c r="J88" s="98" t="n"/>
      <c r="K88" s="90">
        <f>IF(OR($G88="",$H88="",NOT(ISNUMBER($I88))),"",ROUND($H88*$I88*(1+IF($J88="",Setup!$B$16,$J88)),2))</f>
        <v/>
      </c>
      <c r="L88" s="90">
        <f>IF($K88="","",ROUND($K88*Setup!$B$13,2))</f>
        <v/>
      </c>
      <c r="M88" s="90">
        <f>IF($K88="","",$K88-$L88)</f>
        <v/>
      </c>
      <c r="N88" s="90">
        <f>IF(OR($M88="",$D88=""),"",ROUND($M88*IFERROR(IF(VLOOKUP($D88,Setup!$A$76:$C$87,3,FALSE)="",Setup!$B$14,VLOOKUP($D88,Setup!$A$76:$C$87,3,FALSE)),Setup!$B$14),2))</f>
        <v/>
      </c>
      <c r="O88" s="90">
        <f>IF(OR($M88="",$E88=""),"",ROUND($M88*IFERROR(IF(VLOOKUP($E88,Setup!$A$76:$C$87,3,FALSE)="",Setup!$B$15,VLOOKUP($E88,Setup!$A$76:$C$87,3,FALSE)),Setup!$B$15),2))</f>
        <v/>
      </c>
      <c r="P88" s="99" t="n"/>
      <c r="Q88" s="99" t="n"/>
      <c r="R88" s="99" t="n"/>
      <c r="S88" s="99" t="n"/>
      <c r="T88" s="99" t="n"/>
      <c r="U88" s="90">
        <f>IF($K88="","",SUM($R88:$T88))</f>
        <v/>
      </c>
      <c r="V88" s="90">
        <f>IF($K88="","",$M88-(N($N88)+N($O88)+IF($P88="",Setup!$B$17,$P88)+N($Q88))-N($U88))</f>
        <v/>
      </c>
      <c r="W88" s="95" t="n"/>
      <c r="X88" s="96" t="n"/>
      <c r="Z88" s="93">
        <f>IF($A88="","",DATE(YEAR($A88),MONTH($A88),1))</f>
        <v/>
      </c>
    </row>
    <row r="89">
      <c r="A89" s="86" t="n"/>
      <c r="B89" s="87" t="n"/>
      <c r="C89" s="87" t="n"/>
      <c r="D89" s="88" t="n"/>
      <c r="E89" s="88" t="n"/>
      <c r="F89" s="88" t="n"/>
      <c r="G89" s="88" t="n"/>
      <c r="H89" s="89" t="n"/>
      <c r="I89" s="90">
        <f>IF($G89="","",IF($F89="",IFERROR(INDEX(Setup!$C$21:$C$60,MATCH("|"&amp;UPPER(TRIM($G89)),Setup!$Q$21:$Q$60,0)),"NO RATE"),IFERROR(INDEX(Setup!$C$21:$C$60,MATCH(UPPER(TRIM($F89))&amp;"|"&amp;UPPER(TRIM($G89)),Setup!$P$21:$P$60,0)),IFERROR(INDEX(Setup!$C$21:$C$60,MATCH(UPPER(TRIM($G89))&amp;"|"&amp;UPPER(TRIM($F89)),Setup!$P$21:$P$60,0)),"NO RATE"))))</f>
        <v/>
      </c>
      <c r="J89" s="91" t="n"/>
      <c r="K89" s="90">
        <f>IF(OR($G89="",$H89="",NOT(ISNUMBER($I89))),"",ROUND($H89*$I89*(1+IF($J89="",Setup!$B$16,$J89)),2))</f>
        <v/>
      </c>
      <c r="L89" s="90">
        <f>IF($K89="","",ROUND($K89*Setup!$B$13,2))</f>
        <v/>
      </c>
      <c r="M89" s="90">
        <f>IF($K89="","",$K89-$L89)</f>
        <v/>
      </c>
      <c r="N89" s="90">
        <f>IF(OR($M89="",$D89=""),"",ROUND($M89*IFERROR(IF(VLOOKUP($D89,Setup!$A$76:$C$87,3,FALSE)="",Setup!$B$14,VLOOKUP($D89,Setup!$A$76:$C$87,3,FALSE)),Setup!$B$14),2))</f>
        <v/>
      </c>
      <c r="O89" s="90">
        <f>IF(OR($M89="",$E89=""),"",ROUND($M89*IFERROR(IF(VLOOKUP($E89,Setup!$A$76:$C$87,3,FALSE)="",Setup!$B$15,VLOOKUP($E89,Setup!$A$76:$C$87,3,FALSE)),Setup!$B$15),2))</f>
        <v/>
      </c>
      <c r="P89" s="92" t="n"/>
      <c r="Q89" s="92" t="n"/>
      <c r="R89" s="92" t="n"/>
      <c r="S89" s="92" t="n"/>
      <c r="T89" s="92" t="n"/>
      <c r="U89" s="90">
        <f>IF($K89="","",SUM($R89:$T89))</f>
        <v/>
      </c>
      <c r="V89" s="90">
        <f>IF($K89="","",$M89-(N($N89)+N($O89)+IF($P89="",Setup!$B$17,$P89)+N($Q89))-N($U89))</f>
        <v/>
      </c>
      <c r="W89" s="87" t="n"/>
      <c r="X89" s="88" t="n"/>
      <c r="Z89" s="93">
        <f>IF($A89="","",DATE(YEAR($A89),MONTH($A89),1))</f>
        <v/>
      </c>
    </row>
    <row r="90">
      <c r="A90" s="94" t="n"/>
      <c r="B90" s="95" t="n"/>
      <c r="C90" s="95" t="n"/>
      <c r="D90" s="96" t="n"/>
      <c r="E90" s="96" t="n"/>
      <c r="F90" s="96" t="n"/>
      <c r="G90" s="96" t="n"/>
      <c r="H90" s="97" t="n"/>
      <c r="I90" s="90">
        <f>IF($G90="","",IF($F90="",IFERROR(INDEX(Setup!$C$21:$C$60,MATCH("|"&amp;UPPER(TRIM($G90)),Setup!$Q$21:$Q$60,0)),"NO RATE"),IFERROR(INDEX(Setup!$C$21:$C$60,MATCH(UPPER(TRIM($F90))&amp;"|"&amp;UPPER(TRIM($G90)),Setup!$P$21:$P$60,0)),IFERROR(INDEX(Setup!$C$21:$C$60,MATCH(UPPER(TRIM($G90))&amp;"|"&amp;UPPER(TRIM($F90)),Setup!$P$21:$P$60,0)),"NO RATE"))))</f>
        <v/>
      </c>
      <c r="J90" s="98" t="n"/>
      <c r="K90" s="90">
        <f>IF(OR($G90="",$H90="",NOT(ISNUMBER($I90))),"",ROUND($H90*$I90*(1+IF($J90="",Setup!$B$16,$J90)),2))</f>
        <v/>
      </c>
      <c r="L90" s="90">
        <f>IF($K90="","",ROUND($K90*Setup!$B$13,2))</f>
        <v/>
      </c>
      <c r="M90" s="90">
        <f>IF($K90="","",$K90-$L90)</f>
        <v/>
      </c>
      <c r="N90" s="90">
        <f>IF(OR($M90="",$D90=""),"",ROUND($M90*IFERROR(IF(VLOOKUP($D90,Setup!$A$76:$C$87,3,FALSE)="",Setup!$B$14,VLOOKUP($D90,Setup!$A$76:$C$87,3,FALSE)),Setup!$B$14),2))</f>
        <v/>
      </c>
      <c r="O90" s="90">
        <f>IF(OR($M90="",$E90=""),"",ROUND($M90*IFERROR(IF(VLOOKUP($E90,Setup!$A$76:$C$87,3,FALSE)="",Setup!$B$15,VLOOKUP($E90,Setup!$A$76:$C$87,3,FALSE)),Setup!$B$15),2))</f>
        <v/>
      </c>
      <c r="P90" s="99" t="n"/>
      <c r="Q90" s="99" t="n"/>
      <c r="R90" s="99" t="n"/>
      <c r="S90" s="99" t="n"/>
      <c r="T90" s="99" t="n"/>
      <c r="U90" s="90">
        <f>IF($K90="","",SUM($R90:$T90))</f>
        <v/>
      </c>
      <c r="V90" s="90">
        <f>IF($K90="","",$M90-(N($N90)+N($O90)+IF($P90="",Setup!$B$17,$P90)+N($Q90))-N($U90))</f>
        <v/>
      </c>
      <c r="W90" s="95" t="n"/>
      <c r="X90" s="96" t="n"/>
      <c r="Z90" s="93">
        <f>IF($A90="","",DATE(YEAR($A90),MONTH($A90),1))</f>
        <v/>
      </c>
    </row>
    <row r="91">
      <c r="A91" s="86" t="n"/>
      <c r="B91" s="87" t="n"/>
      <c r="C91" s="87" t="n"/>
      <c r="D91" s="88" t="n"/>
      <c r="E91" s="88" t="n"/>
      <c r="F91" s="88" t="n"/>
      <c r="G91" s="88" t="n"/>
      <c r="H91" s="89" t="n"/>
      <c r="I91" s="90">
        <f>IF($G91="","",IF($F91="",IFERROR(INDEX(Setup!$C$21:$C$60,MATCH("|"&amp;UPPER(TRIM($G91)),Setup!$Q$21:$Q$60,0)),"NO RATE"),IFERROR(INDEX(Setup!$C$21:$C$60,MATCH(UPPER(TRIM($F91))&amp;"|"&amp;UPPER(TRIM($G91)),Setup!$P$21:$P$60,0)),IFERROR(INDEX(Setup!$C$21:$C$60,MATCH(UPPER(TRIM($G91))&amp;"|"&amp;UPPER(TRIM($F91)),Setup!$P$21:$P$60,0)),"NO RATE"))))</f>
        <v/>
      </c>
      <c r="J91" s="91" t="n"/>
      <c r="K91" s="90">
        <f>IF(OR($G91="",$H91="",NOT(ISNUMBER($I91))),"",ROUND($H91*$I91*(1+IF($J91="",Setup!$B$16,$J91)),2))</f>
        <v/>
      </c>
      <c r="L91" s="90">
        <f>IF($K91="","",ROUND($K91*Setup!$B$13,2))</f>
        <v/>
      </c>
      <c r="M91" s="90">
        <f>IF($K91="","",$K91-$L91)</f>
        <v/>
      </c>
      <c r="N91" s="90">
        <f>IF(OR($M91="",$D91=""),"",ROUND($M91*IFERROR(IF(VLOOKUP($D91,Setup!$A$76:$C$87,3,FALSE)="",Setup!$B$14,VLOOKUP($D91,Setup!$A$76:$C$87,3,FALSE)),Setup!$B$14),2))</f>
        <v/>
      </c>
      <c r="O91" s="90">
        <f>IF(OR($M91="",$E91=""),"",ROUND($M91*IFERROR(IF(VLOOKUP($E91,Setup!$A$76:$C$87,3,FALSE)="",Setup!$B$15,VLOOKUP($E91,Setup!$A$76:$C$87,3,FALSE)),Setup!$B$15),2))</f>
        <v/>
      </c>
      <c r="P91" s="92" t="n"/>
      <c r="Q91" s="92" t="n"/>
      <c r="R91" s="92" t="n"/>
      <c r="S91" s="92" t="n"/>
      <c r="T91" s="92" t="n"/>
      <c r="U91" s="90">
        <f>IF($K91="","",SUM($R91:$T91))</f>
        <v/>
      </c>
      <c r="V91" s="90">
        <f>IF($K91="","",$M91-(N($N91)+N($O91)+IF($P91="",Setup!$B$17,$P91)+N($Q91))-N($U91))</f>
        <v/>
      </c>
      <c r="W91" s="87" t="n"/>
      <c r="X91" s="88" t="n"/>
      <c r="Z91" s="93">
        <f>IF($A91="","",DATE(YEAR($A91),MONTH($A91),1))</f>
        <v/>
      </c>
    </row>
    <row r="92">
      <c r="A92" s="94" t="n"/>
      <c r="B92" s="95" t="n"/>
      <c r="C92" s="95" t="n"/>
      <c r="D92" s="96" t="n"/>
      <c r="E92" s="96" t="n"/>
      <c r="F92" s="96" t="n"/>
      <c r="G92" s="96" t="n"/>
      <c r="H92" s="97" t="n"/>
      <c r="I92" s="90">
        <f>IF($G92="","",IF($F92="",IFERROR(INDEX(Setup!$C$21:$C$60,MATCH("|"&amp;UPPER(TRIM($G92)),Setup!$Q$21:$Q$60,0)),"NO RATE"),IFERROR(INDEX(Setup!$C$21:$C$60,MATCH(UPPER(TRIM($F92))&amp;"|"&amp;UPPER(TRIM($G92)),Setup!$P$21:$P$60,0)),IFERROR(INDEX(Setup!$C$21:$C$60,MATCH(UPPER(TRIM($G92))&amp;"|"&amp;UPPER(TRIM($F92)),Setup!$P$21:$P$60,0)),"NO RATE"))))</f>
        <v/>
      </c>
      <c r="J92" s="98" t="n"/>
      <c r="K92" s="90">
        <f>IF(OR($G92="",$H92="",NOT(ISNUMBER($I92))),"",ROUND($H92*$I92*(1+IF($J92="",Setup!$B$16,$J92)),2))</f>
        <v/>
      </c>
      <c r="L92" s="90">
        <f>IF($K92="","",ROUND($K92*Setup!$B$13,2))</f>
        <v/>
      </c>
      <c r="M92" s="90">
        <f>IF($K92="","",$K92-$L92)</f>
        <v/>
      </c>
      <c r="N92" s="90">
        <f>IF(OR($M92="",$D92=""),"",ROUND($M92*IFERROR(IF(VLOOKUP($D92,Setup!$A$76:$C$87,3,FALSE)="",Setup!$B$14,VLOOKUP($D92,Setup!$A$76:$C$87,3,FALSE)),Setup!$B$14),2))</f>
        <v/>
      </c>
      <c r="O92" s="90">
        <f>IF(OR($M92="",$E92=""),"",ROUND($M92*IFERROR(IF(VLOOKUP($E92,Setup!$A$76:$C$87,3,FALSE)="",Setup!$B$15,VLOOKUP($E92,Setup!$A$76:$C$87,3,FALSE)),Setup!$B$15),2))</f>
        <v/>
      </c>
      <c r="P92" s="99" t="n"/>
      <c r="Q92" s="99" t="n"/>
      <c r="R92" s="99" t="n"/>
      <c r="S92" s="99" t="n"/>
      <c r="T92" s="99" t="n"/>
      <c r="U92" s="90">
        <f>IF($K92="","",SUM($R92:$T92))</f>
        <v/>
      </c>
      <c r="V92" s="90">
        <f>IF($K92="","",$M92-(N($N92)+N($O92)+IF($P92="",Setup!$B$17,$P92)+N($Q92))-N($U92))</f>
        <v/>
      </c>
      <c r="W92" s="95" t="n"/>
      <c r="X92" s="96" t="n"/>
      <c r="Z92" s="93">
        <f>IF($A92="","",DATE(YEAR($A92),MONTH($A92),1))</f>
        <v/>
      </c>
    </row>
    <row r="93">
      <c r="A93" s="86" t="n"/>
      <c r="B93" s="87" t="n"/>
      <c r="C93" s="87" t="n"/>
      <c r="D93" s="88" t="n"/>
      <c r="E93" s="88" t="n"/>
      <c r="F93" s="88" t="n"/>
      <c r="G93" s="88" t="n"/>
      <c r="H93" s="89" t="n"/>
      <c r="I93" s="90">
        <f>IF($G93="","",IF($F93="",IFERROR(INDEX(Setup!$C$21:$C$60,MATCH("|"&amp;UPPER(TRIM($G93)),Setup!$Q$21:$Q$60,0)),"NO RATE"),IFERROR(INDEX(Setup!$C$21:$C$60,MATCH(UPPER(TRIM($F93))&amp;"|"&amp;UPPER(TRIM($G93)),Setup!$P$21:$P$60,0)),IFERROR(INDEX(Setup!$C$21:$C$60,MATCH(UPPER(TRIM($G93))&amp;"|"&amp;UPPER(TRIM($F93)),Setup!$P$21:$P$60,0)),"NO RATE"))))</f>
        <v/>
      </c>
      <c r="J93" s="91" t="n"/>
      <c r="K93" s="90">
        <f>IF(OR($G93="",$H93="",NOT(ISNUMBER($I93))),"",ROUND($H93*$I93*(1+IF($J93="",Setup!$B$16,$J93)),2))</f>
        <v/>
      </c>
      <c r="L93" s="90">
        <f>IF($K93="","",ROUND($K93*Setup!$B$13,2))</f>
        <v/>
      </c>
      <c r="M93" s="90">
        <f>IF($K93="","",$K93-$L93)</f>
        <v/>
      </c>
      <c r="N93" s="90">
        <f>IF(OR($M93="",$D93=""),"",ROUND($M93*IFERROR(IF(VLOOKUP($D93,Setup!$A$76:$C$87,3,FALSE)="",Setup!$B$14,VLOOKUP($D93,Setup!$A$76:$C$87,3,FALSE)),Setup!$B$14),2))</f>
        <v/>
      </c>
      <c r="O93" s="90">
        <f>IF(OR($M93="",$E93=""),"",ROUND($M93*IFERROR(IF(VLOOKUP($E93,Setup!$A$76:$C$87,3,FALSE)="",Setup!$B$15,VLOOKUP($E93,Setup!$A$76:$C$87,3,FALSE)),Setup!$B$15),2))</f>
        <v/>
      </c>
      <c r="P93" s="92" t="n"/>
      <c r="Q93" s="92" t="n"/>
      <c r="R93" s="92" t="n"/>
      <c r="S93" s="92" t="n"/>
      <c r="T93" s="92" t="n"/>
      <c r="U93" s="90">
        <f>IF($K93="","",SUM($R93:$T93))</f>
        <v/>
      </c>
      <c r="V93" s="90">
        <f>IF($K93="","",$M93-(N($N93)+N($O93)+IF($P93="",Setup!$B$17,$P93)+N($Q93))-N($U93))</f>
        <v/>
      </c>
      <c r="W93" s="87" t="n"/>
      <c r="X93" s="88" t="n"/>
      <c r="Z93" s="93">
        <f>IF($A93="","",DATE(YEAR($A93),MONTH($A93),1))</f>
        <v/>
      </c>
    </row>
    <row r="94">
      <c r="A94" s="94" t="n"/>
      <c r="B94" s="95" t="n"/>
      <c r="C94" s="95" t="n"/>
      <c r="D94" s="96" t="n"/>
      <c r="E94" s="96" t="n"/>
      <c r="F94" s="96" t="n"/>
      <c r="G94" s="96" t="n"/>
      <c r="H94" s="97" t="n"/>
      <c r="I94" s="90">
        <f>IF($G94="","",IF($F94="",IFERROR(INDEX(Setup!$C$21:$C$60,MATCH("|"&amp;UPPER(TRIM($G94)),Setup!$Q$21:$Q$60,0)),"NO RATE"),IFERROR(INDEX(Setup!$C$21:$C$60,MATCH(UPPER(TRIM($F94))&amp;"|"&amp;UPPER(TRIM($G94)),Setup!$P$21:$P$60,0)),IFERROR(INDEX(Setup!$C$21:$C$60,MATCH(UPPER(TRIM($G94))&amp;"|"&amp;UPPER(TRIM($F94)),Setup!$P$21:$P$60,0)),"NO RATE"))))</f>
        <v/>
      </c>
      <c r="J94" s="98" t="n"/>
      <c r="K94" s="90">
        <f>IF(OR($G94="",$H94="",NOT(ISNUMBER($I94))),"",ROUND($H94*$I94*(1+IF($J94="",Setup!$B$16,$J94)),2))</f>
        <v/>
      </c>
      <c r="L94" s="90">
        <f>IF($K94="","",ROUND($K94*Setup!$B$13,2))</f>
        <v/>
      </c>
      <c r="M94" s="90">
        <f>IF($K94="","",$K94-$L94)</f>
        <v/>
      </c>
      <c r="N94" s="90">
        <f>IF(OR($M94="",$D94=""),"",ROUND($M94*IFERROR(IF(VLOOKUP($D94,Setup!$A$76:$C$87,3,FALSE)="",Setup!$B$14,VLOOKUP($D94,Setup!$A$76:$C$87,3,FALSE)),Setup!$B$14),2))</f>
        <v/>
      </c>
      <c r="O94" s="90">
        <f>IF(OR($M94="",$E94=""),"",ROUND($M94*IFERROR(IF(VLOOKUP($E94,Setup!$A$76:$C$87,3,FALSE)="",Setup!$B$15,VLOOKUP($E94,Setup!$A$76:$C$87,3,FALSE)),Setup!$B$15),2))</f>
        <v/>
      </c>
      <c r="P94" s="99" t="n"/>
      <c r="Q94" s="99" t="n"/>
      <c r="R94" s="99" t="n"/>
      <c r="S94" s="99" t="n"/>
      <c r="T94" s="99" t="n"/>
      <c r="U94" s="90">
        <f>IF($K94="","",SUM($R94:$T94))</f>
        <v/>
      </c>
      <c r="V94" s="90">
        <f>IF($K94="","",$M94-(N($N94)+N($O94)+IF($P94="",Setup!$B$17,$P94)+N($Q94))-N($U94))</f>
        <v/>
      </c>
      <c r="W94" s="95" t="n"/>
      <c r="X94" s="96" t="n"/>
      <c r="Z94" s="93">
        <f>IF($A94="","",DATE(YEAR($A94),MONTH($A94),1))</f>
        <v/>
      </c>
    </row>
    <row r="95">
      <c r="A95" s="86" t="n"/>
      <c r="B95" s="87" t="n"/>
      <c r="C95" s="87" t="n"/>
      <c r="D95" s="88" t="n"/>
      <c r="E95" s="88" t="n"/>
      <c r="F95" s="88" t="n"/>
      <c r="G95" s="88" t="n"/>
      <c r="H95" s="89" t="n"/>
      <c r="I95" s="90">
        <f>IF($G95="","",IF($F95="",IFERROR(INDEX(Setup!$C$21:$C$60,MATCH("|"&amp;UPPER(TRIM($G95)),Setup!$Q$21:$Q$60,0)),"NO RATE"),IFERROR(INDEX(Setup!$C$21:$C$60,MATCH(UPPER(TRIM($F95))&amp;"|"&amp;UPPER(TRIM($G95)),Setup!$P$21:$P$60,0)),IFERROR(INDEX(Setup!$C$21:$C$60,MATCH(UPPER(TRIM($G95))&amp;"|"&amp;UPPER(TRIM($F95)),Setup!$P$21:$P$60,0)),"NO RATE"))))</f>
        <v/>
      </c>
      <c r="J95" s="91" t="n"/>
      <c r="K95" s="90">
        <f>IF(OR($G95="",$H95="",NOT(ISNUMBER($I95))),"",ROUND($H95*$I95*(1+IF($J95="",Setup!$B$16,$J95)),2))</f>
        <v/>
      </c>
      <c r="L95" s="90">
        <f>IF($K95="","",ROUND($K95*Setup!$B$13,2))</f>
        <v/>
      </c>
      <c r="M95" s="90">
        <f>IF($K95="","",$K95-$L95)</f>
        <v/>
      </c>
      <c r="N95" s="90">
        <f>IF(OR($M95="",$D95=""),"",ROUND($M95*IFERROR(IF(VLOOKUP($D95,Setup!$A$76:$C$87,3,FALSE)="",Setup!$B$14,VLOOKUP($D95,Setup!$A$76:$C$87,3,FALSE)),Setup!$B$14),2))</f>
        <v/>
      </c>
      <c r="O95" s="90">
        <f>IF(OR($M95="",$E95=""),"",ROUND($M95*IFERROR(IF(VLOOKUP($E95,Setup!$A$76:$C$87,3,FALSE)="",Setup!$B$15,VLOOKUP($E95,Setup!$A$76:$C$87,3,FALSE)),Setup!$B$15),2))</f>
        <v/>
      </c>
      <c r="P95" s="92" t="n"/>
      <c r="Q95" s="92" t="n"/>
      <c r="R95" s="92" t="n"/>
      <c r="S95" s="92" t="n"/>
      <c r="T95" s="92" t="n"/>
      <c r="U95" s="90">
        <f>IF($K95="","",SUM($R95:$T95))</f>
        <v/>
      </c>
      <c r="V95" s="90">
        <f>IF($K95="","",$M95-(N($N95)+N($O95)+IF($P95="",Setup!$B$17,$P95)+N($Q95))-N($U95))</f>
        <v/>
      </c>
      <c r="W95" s="87" t="n"/>
      <c r="X95" s="88" t="n"/>
      <c r="Z95" s="93">
        <f>IF($A95="","",DATE(YEAR($A95),MONTH($A95),1))</f>
        <v/>
      </c>
    </row>
    <row r="96">
      <c r="A96" s="94" t="n"/>
      <c r="B96" s="95" t="n"/>
      <c r="C96" s="95" t="n"/>
      <c r="D96" s="96" t="n"/>
      <c r="E96" s="96" t="n"/>
      <c r="F96" s="96" t="n"/>
      <c r="G96" s="96" t="n"/>
      <c r="H96" s="97" t="n"/>
      <c r="I96" s="90">
        <f>IF($G96="","",IF($F96="",IFERROR(INDEX(Setup!$C$21:$C$60,MATCH("|"&amp;UPPER(TRIM($G96)),Setup!$Q$21:$Q$60,0)),"NO RATE"),IFERROR(INDEX(Setup!$C$21:$C$60,MATCH(UPPER(TRIM($F96))&amp;"|"&amp;UPPER(TRIM($G96)),Setup!$P$21:$P$60,0)),IFERROR(INDEX(Setup!$C$21:$C$60,MATCH(UPPER(TRIM($G96))&amp;"|"&amp;UPPER(TRIM($F96)),Setup!$P$21:$P$60,0)),"NO RATE"))))</f>
        <v/>
      </c>
      <c r="J96" s="98" t="n"/>
      <c r="K96" s="90">
        <f>IF(OR($G96="",$H96="",NOT(ISNUMBER($I96))),"",ROUND($H96*$I96*(1+IF($J96="",Setup!$B$16,$J96)),2))</f>
        <v/>
      </c>
      <c r="L96" s="90">
        <f>IF($K96="","",ROUND($K96*Setup!$B$13,2))</f>
        <v/>
      </c>
      <c r="M96" s="90">
        <f>IF($K96="","",$K96-$L96)</f>
        <v/>
      </c>
      <c r="N96" s="90">
        <f>IF(OR($M96="",$D96=""),"",ROUND($M96*IFERROR(IF(VLOOKUP($D96,Setup!$A$76:$C$87,3,FALSE)="",Setup!$B$14,VLOOKUP($D96,Setup!$A$76:$C$87,3,FALSE)),Setup!$B$14),2))</f>
        <v/>
      </c>
      <c r="O96" s="90">
        <f>IF(OR($M96="",$E96=""),"",ROUND($M96*IFERROR(IF(VLOOKUP($E96,Setup!$A$76:$C$87,3,FALSE)="",Setup!$B$15,VLOOKUP($E96,Setup!$A$76:$C$87,3,FALSE)),Setup!$B$15),2))</f>
        <v/>
      </c>
      <c r="P96" s="99" t="n"/>
      <c r="Q96" s="99" t="n"/>
      <c r="R96" s="99" t="n"/>
      <c r="S96" s="99" t="n"/>
      <c r="T96" s="99" t="n"/>
      <c r="U96" s="90">
        <f>IF($K96="","",SUM($R96:$T96))</f>
        <v/>
      </c>
      <c r="V96" s="90">
        <f>IF($K96="","",$M96-(N($N96)+N($O96)+IF($P96="",Setup!$B$17,$P96)+N($Q96))-N($U96))</f>
        <v/>
      </c>
      <c r="W96" s="95" t="n"/>
      <c r="X96" s="96" t="n"/>
      <c r="Z96" s="93">
        <f>IF($A96="","",DATE(YEAR($A96),MONTH($A96),1))</f>
        <v/>
      </c>
    </row>
    <row r="97">
      <c r="A97" s="86" t="n"/>
      <c r="B97" s="87" t="n"/>
      <c r="C97" s="87" t="n"/>
      <c r="D97" s="88" t="n"/>
      <c r="E97" s="88" t="n"/>
      <c r="F97" s="88" t="n"/>
      <c r="G97" s="88" t="n"/>
      <c r="H97" s="89" t="n"/>
      <c r="I97" s="90">
        <f>IF($G97="","",IF($F97="",IFERROR(INDEX(Setup!$C$21:$C$60,MATCH("|"&amp;UPPER(TRIM($G97)),Setup!$Q$21:$Q$60,0)),"NO RATE"),IFERROR(INDEX(Setup!$C$21:$C$60,MATCH(UPPER(TRIM($F97))&amp;"|"&amp;UPPER(TRIM($G97)),Setup!$P$21:$P$60,0)),IFERROR(INDEX(Setup!$C$21:$C$60,MATCH(UPPER(TRIM($G97))&amp;"|"&amp;UPPER(TRIM($F97)),Setup!$P$21:$P$60,0)),"NO RATE"))))</f>
        <v/>
      </c>
      <c r="J97" s="91" t="n"/>
      <c r="K97" s="90">
        <f>IF(OR($G97="",$H97="",NOT(ISNUMBER($I97))),"",ROUND($H97*$I97*(1+IF($J97="",Setup!$B$16,$J97)),2))</f>
        <v/>
      </c>
      <c r="L97" s="90">
        <f>IF($K97="","",ROUND($K97*Setup!$B$13,2))</f>
        <v/>
      </c>
      <c r="M97" s="90">
        <f>IF($K97="","",$K97-$L97)</f>
        <v/>
      </c>
      <c r="N97" s="90">
        <f>IF(OR($M97="",$D97=""),"",ROUND($M97*IFERROR(IF(VLOOKUP($D97,Setup!$A$76:$C$87,3,FALSE)="",Setup!$B$14,VLOOKUP($D97,Setup!$A$76:$C$87,3,FALSE)),Setup!$B$14),2))</f>
        <v/>
      </c>
      <c r="O97" s="90">
        <f>IF(OR($M97="",$E97=""),"",ROUND($M97*IFERROR(IF(VLOOKUP($E97,Setup!$A$76:$C$87,3,FALSE)="",Setup!$B$15,VLOOKUP($E97,Setup!$A$76:$C$87,3,FALSE)),Setup!$B$15),2))</f>
        <v/>
      </c>
      <c r="P97" s="92" t="n"/>
      <c r="Q97" s="92" t="n"/>
      <c r="R97" s="92" t="n"/>
      <c r="S97" s="92" t="n"/>
      <c r="T97" s="92" t="n"/>
      <c r="U97" s="90">
        <f>IF($K97="","",SUM($R97:$T97))</f>
        <v/>
      </c>
      <c r="V97" s="90">
        <f>IF($K97="","",$M97-(N($N97)+N($O97)+IF($P97="",Setup!$B$17,$P97)+N($Q97))-N($U97))</f>
        <v/>
      </c>
      <c r="W97" s="87" t="n"/>
      <c r="X97" s="88" t="n"/>
      <c r="Z97" s="93">
        <f>IF($A97="","",DATE(YEAR($A97),MONTH($A97),1))</f>
        <v/>
      </c>
    </row>
    <row r="98">
      <c r="A98" s="94" t="n"/>
      <c r="B98" s="95" t="n"/>
      <c r="C98" s="95" t="n"/>
      <c r="D98" s="96" t="n"/>
      <c r="E98" s="96" t="n"/>
      <c r="F98" s="96" t="n"/>
      <c r="G98" s="96" t="n"/>
      <c r="H98" s="97" t="n"/>
      <c r="I98" s="90">
        <f>IF($G98="","",IF($F98="",IFERROR(INDEX(Setup!$C$21:$C$60,MATCH("|"&amp;UPPER(TRIM($G98)),Setup!$Q$21:$Q$60,0)),"NO RATE"),IFERROR(INDEX(Setup!$C$21:$C$60,MATCH(UPPER(TRIM($F98))&amp;"|"&amp;UPPER(TRIM($G98)),Setup!$P$21:$P$60,0)),IFERROR(INDEX(Setup!$C$21:$C$60,MATCH(UPPER(TRIM($G98))&amp;"|"&amp;UPPER(TRIM($F98)),Setup!$P$21:$P$60,0)),"NO RATE"))))</f>
        <v/>
      </c>
      <c r="J98" s="98" t="n"/>
      <c r="K98" s="90">
        <f>IF(OR($G98="",$H98="",NOT(ISNUMBER($I98))),"",ROUND($H98*$I98*(1+IF($J98="",Setup!$B$16,$J98)),2))</f>
        <v/>
      </c>
      <c r="L98" s="90">
        <f>IF($K98="","",ROUND($K98*Setup!$B$13,2))</f>
        <v/>
      </c>
      <c r="M98" s="90">
        <f>IF($K98="","",$K98-$L98)</f>
        <v/>
      </c>
      <c r="N98" s="90">
        <f>IF(OR($M98="",$D98=""),"",ROUND($M98*IFERROR(IF(VLOOKUP($D98,Setup!$A$76:$C$87,3,FALSE)="",Setup!$B$14,VLOOKUP($D98,Setup!$A$76:$C$87,3,FALSE)),Setup!$B$14),2))</f>
        <v/>
      </c>
      <c r="O98" s="90">
        <f>IF(OR($M98="",$E98=""),"",ROUND($M98*IFERROR(IF(VLOOKUP($E98,Setup!$A$76:$C$87,3,FALSE)="",Setup!$B$15,VLOOKUP($E98,Setup!$A$76:$C$87,3,FALSE)),Setup!$B$15),2))</f>
        <v/>
      </c>
      <c r="P98" s="99" t="n"/>
      <c r="Q98" s="99" t="n"/>
      <c r="R98" s="99" t="n"/>
      <c r="S98" s="99" t="n"/>
      <c r="T98" s="99" t="n"/>
      <c r="U98" s="90">
        <f>IF($K98="","",SUM($R98:$T98))</f>
        <v/>
      </c>
      <c r="V98" s="90">
        <f>IF($K98="","",$M98-(N($N98)+N($O98)+IF($P98="",Setup!$B$17,$P98)+N($Q98))-N($U98))</f>
        <v/>
      </c>
      <c r="W98" s="95" t="n"/>
      <c r="X98" s="96" t="n"/>
      <c r="Z98" s="93">
        <f>IF($A98="","",DATE(YEAR($A98),MONTH($A98),1))</f>
        <v/>
      </c>
    </row>
    <row r="99">
      <c r="A99" s="86" t="n"/>
      <c r="B99" s="87" t="n"/>
      <c r="C99" s="87" t="n"/>
      <c r="D99" s="88" t="n"/>
      <c r="E99" s="88" t="n"/>
      <c r="F99" s="88" t="n"/>
      <c r="G99" s="88" t="n"/>
      <c r="H99" s="89" t="n"/>
      <c r="I99" s="90">
        <f>IF($G99="","",IF($F99="",IFERROR(INDEX(Setup!$C$21:$C$60,MATCH("|"&amp;UPPER(TRIM($G99)),Setup!$Q$21:$Q$60,0)),"NO RATE"),IFERROR(INDEX(Setup!$C$21:$C$60,MATCH(UPPER(TRIM($F99))&amp;"|"&amp;UPPER(TRIM($G99)),Setup!$P$21:$P$60,0)),IFERROR(INDEX(Setup!$C$21:$C$60,MATCH(UPPER(TRIM($G99))&amp;"|"&amp;UPPER(TRIM($F99)),Setup!$P$21:$P$60,0)),"NO RATE"))))</f>
        <v/>
      </c>
      <c r="J99" s="91" t="n"/>
      <c r="K99" s="90">
        <f>IF(OR($G99="",$H99="",NOT(ISNUMBER($I99))),"",ROUND($H99*$I99*(1+IF($J99="",Setup!$B$16,$J99)),2))</f>
        <v/>
      </c>
      <c r="L99" s="90">
        <f>IF($K99="","",ROUND($K99*Setup!$B$13,2))</f>
        <v/>
      </c>
      <c r="M99" s="90">
        <f>IF($K99="","",$K99-$L99)</f>
        <v/>
      </c>
      <c r="N99" s="90">
        <f>IF(OR($M99="",$D99=""),"",ROUND($M99*IFERROR(IF(VLOOKUP($D99,Setup!$A$76:$C$87,3,FALSE)="",Setup!$B$14,VLOOKUP($D99,Setup!$A$76:$C$87,3,FALSE)),Setup!$B$14),2))</f>
        <v/>
      </c>
      <c r="O99" s="90">
        <f>IF(OR($M99="",$E99=""),"",ROUND($M99*IFERROR(IF(VLOOKUP($E99,Setup!$A$76:$C$87,3,FALSE)="",Setup!$B$15,VLOOKUP($E99,Setup!$A$76:$C$87,3,FALSE)),Setup!$B$15),2))</f>
        <v/>
      </c>
      <c r="P99" s="92" t="n"/>
      <c r="Q99" s="92" t="n"/>
      <c r="R99" s="92" t="n"/>
      <c r="S99" s="92" t="n"/>
      <c r="T99" s="92" t="n"/>
      <c r="U99" s="90">
        <f>IF($K99="","",SUM($R99:$T99))</f>
        <v/>
      </c>
      <c r="V99" s="90">
        <f>IF($K99="","",$M99-(N($N99)+N($O99)+IF($P99="",Setup!$B$17,$P99)+N($Q99))-N($U99))</f>
        <v/>
      </c>
      <c r="W99" s="87" t="n"/>
      <c r="X99" s="88" t="n"/>
      <c r="Z99" s="93">
        <f>IF($A99="","",DATE(YEAR($A99),MONTH($A99),1))</f>
        <v/>
      </c>
    </row>
    <row r="100">
      <c r="A100" s="94" t="n"/>
      <c r="B100" s="95" t="n"/>
      <c r="C100" s="95" t="n"/>
      <c r="D100" s="96" t="n"/>
      <c r="E100" s="96" t="n"/>
      <c r="F100" s="96" t="n"/>
      <c r="G100" s="96" t="n"/>
      <c r="H100" s="97" t="n"/>
      <c r="I100" s="90">
        <f>IF($G100="","",IF($F100="",IFERROR(INDEX(Setup!$C$21:$C$60,MATCH("|"&amp;UPPER(TRIM($G100)),Setup!$Q$21:$Q$60,0)),"NO RATE"),IFERROR(INDEX(Setup!$C$21:$C$60,MATCH(UPPER(TRIM($F100))&amp;"|"&amp;UPPER(TRIM($G100)),Setup!$P$21:$P$60,0)),IFERROR(INDEX(Setup!$C$21:$C$60,MATCH(UPPER(TRIM($G100))&amp;"|"&amp;UPPER(TRIM($F100)),Setup!$P$21:$P$60,0)),"NO RATE"))))</f>
        <v/>
      </c>
      <c r="J100" s="98" t="n"/>
      <c r="K100" s="90">
        <f>IF(OR($G100="",$H100="",NOT(ISNUMBER($I100))),"",ROUND($H100*$I100*(1+IF($J100="",Setup!$B$16,$J100)),2))</f>
        <v/>
      </c>
      <c r="L100" s="90">
        <f>IF($K100="","",ROUND($K100*Setup!$B$13,2))</f>
        <v/>
      </c>
      <c r="M100" s="90">
        <f>IF($K100="","",$K100-$L100)</f>
        <v/>
      </c>
      <c r="N100" s="90">
        <f>IF(OR($M100="",$D100=""),"",ROUND($M100*IFERROR(IF(VLOOKUP($D100,Setup!$A$76:$C$87,3,FALSE)="",Setup!$B$14,VLOOKUP($D100,Setup!$A$76:$C$87,3,FALSE)),Setup!$B$14),2))</f>
        <v/>
      </c>
      <c r="O100" s="90">
        <f>IF(OR($M100="",$E100=""),"",ROUND($M100*IFERROR(IF(VLOOKUP($E100,Setup!$A$76:$C$87,3,FALSE)="",Setup!$B$15,VLOOKUP($E100,Setup!$A$76:$C$87,3,FALSE)),Setup!$B$15),2))</f>
        <v/>
      </c>
      <c r="P100" s="99" t="n"/>
      <c r="Q100" s="99" t="n"/>
      <c r="R100" s="99" t="n"/>
      <c r="S100" s="99" t="n"/>
      <c r="T100" s="99" t="n"/>
      <c r="U100" s="90">
        <f>IF($K100="","",SUM($R100:$T100))</f>
        <v/>
      </c>
      <c r="V100" s="90">
        <f>IF($K100="","",$M100-(N($N100)+N($O100)+IF($P100="",Setup!$B$17,$P100)+N($Q100))-N($U100))</f>
        <v/>
      </c>
      <c r="W100" s="95" t="n"/>
      <c r="X100" s="96" t="n"/>
      <c r="Z100" s="93">
        <f>IF($A100="","",DATE(YEAR($A100),MONTH($A100),1))</f>
        <v/>
      </c>
    </row>
    <row r="101">
      <c r="A101" s="86" t="n"/>
      <c r="B101" s="87" t="n"/>
      <c r="C101" s="87" t="n"/>
      <c r="D101" s="88" t="n"/>
      <c r="E101" s="88" t="n"/>
      <c r="F101" s="88" t="n"/>
      <c r="G101" s="88" t="n"/>
      <c r="H101" s="89" t="n"/>
      <c r="I101" s="90">
        <f>IF($G101="","",IF($F101="",IFERROR(INDEX(Setup!$C$21:$C$60,MATCH("|"&amp;UPPER(TRIM($G101)),Setup!$Q$21:$Q$60,0)),"NO RATE"),IFERROR(INDEX(Setup!$C$21:$C$60,MATCH(UPPER(TRIM($F101))&amp;"|"&amp;UPPER(TRIM($G101)),Setup!$P$21:$P$60,0)),IFERROR(INDEX(Setup!$C$21:$C$60,MATCH(UPPER(TRIM($G101))&amp;"|"&amp;UPPER(TRIM($F101)),Setup!$P$21:$P$60,0)),"NO RATE"))))</f>
        <v/>
      </c>
      <c r="J101" s="91" t="n"/>
      <c r="K101" s="90">
        <f>IF(OR($G101="",$H101="",NOT(ISNUMBER($I101))),"",ROUND($H101*$I101*(1+IF($J101="",Setup!$B$16,$J101)),2))</f>
        <v/>
      </c>
      <c r="L101" s="90">
        <f>IF($K101="","",ROUND($K101*Setup!$B$13,2))</f>
        <v/>
      </c>
      <c r="M101" s="90">
        <f>IF($K101="","",$K101-$L101)</f>
        <v/>
      </c>
      <c r="N101" s="90">
        <f>IF(OR($M101="",$D101=""),"",ROUND($M101*IFERROR(IF(VLOOKUP($D101,Setup!$A$76:$C$87,3,FALSE)="",Setup!$B$14,VLOOKUP($D101,Setup!$A$76:$C$87,3,FALSE)),Setup!$B$14),2))</f>
        <v/>
      </c>
      <c r="O101" s="90">
        <f>IF(OR($M101="",$E101=""),"",ROUND($M101*IFERROR(IF(VLOOKUP($E101,Setup!$A$76:$C$87,3,FALSE)="",Setup!$B$15,VLOOKUP($E101,Setup!$A$76:$C$87,3,FALSE)),Setup!$B$15),2))</f>
        <v/>
      </c>
      <c r="P101" s="92" t="n"/>
      <c r="Q101" s="92" t="n"/>
      <c r="R101" s="92" t="n"/>
      <c r="S101" s="92" t="n"/>
      <c r="T101" s="92" t="n"/>
      <c r="U101" s="90">
        <f>IF($K101="","",SUM($R101:$T101))</f>
        <v/>
      </c>
      <c r="V101" s="90">
        <f>IF($K101="","",$M101-(N($N101)+N($O101)+IF($P101="",Setup!$B$17,$P101)+N($Q101))-N($U101))</f>
        <v/>
      </c>
      <c r="W101" s="87" t="n"/>
      <c r="X101" s="88" t="n"/>
      <c r="Z101" s="93">
        <f>IF($A101="","",DATE(YEAR($A101),MONTH($A101),1))</f>
        <v/>
      </c>
    </row>
    <row r="102">
      <c r="A102" s="94" t="n"/>
      <c r="B102" s="95" t="n"/>
      <c r="C102" s="95" t="n"/>
      <c r="D102" s="96" t="n"/>
      <c r="E102" s="96" t="n"/>
      <c r="F102" s="96" t="n"/>
      <c r="G102" s="96" t="n"/>
      <c r="H102" s="97" t="n"/>
      <c r="I102" s="90">
        <f>IF($G102="","",IF($F102="",IFERROR(INDEX(Setup!$C$21:$C$60,MATCH("|"&amp;UPPER(TRIM($G102)),Setup!$Q$21:$Q$60,0)),"NO RATE"),IFERROR(INDEX(Setup!$C$21:$C$60,MATCH(UPPER(TRIM($F102))&amp;"|"&amp;UPPER(TRIM($G102)),Setup!$P$21:$P$60,0)),IFERROR(INDEX(Setup!$C$21:$C$60,MATCH(UPPER(TRIM($G102))&amp;"|"&amp;UPPER(TRIM($F102)),Setup!$P$21:$P$60,0)),"NO RATE"))))</f>
        <v/>
      </c>
      <c r="J102" s="98" t="n"/>
      <c r="K102" s="90">
        <f>IF(OR($G102="",$H102="",NOT(ISNUMBER($I102))),"",ROUND($H102*$I102*(1+IF($J102="",Setup!$B$16,$J102)),2))</f>
        <v/>
      </c>
      <c r="L102" s="90">
        <f>IF($K102="","",ROUND($K102*Setup!$B$13,2))</f>
        <v/>
      </c>
      <c r="M102" s="90">
        <f>IF($K102="","",$K102-$L102)</f>
        <v/>
      </c>
      <c r="N102" s="90">
        <f>IF(OR($M102="",$D102=""),"",ROUND($M102*IFERROR(IF(VLOOKUP($D102,Setup!$A$76:$C$87,3,FALSE)="",Setup!$B$14,VLOOKUP($D102,Setup!$A$76:$C$87,3,FALSE)),Setup!$B$14),2))</f>
        <v/>
      </c>
      <c r="O102" s="90">
        <f>IF(OR($M102="",$E102=""),"",ROUND($M102*IFERROR(IF(VLOOKUP($E102,Setup!$A$76:$C$87,3,FALSE)="",Setup!$B$15,VLOOKUP($E102,Setup!$A$76:$C$87,3,FALSE)),Setup!$B$15),2))</f>
        <v/>
      </c>
      <c r="P102" s="99" t="n"/>
      <c r="Q102" s="99" t="n"/>
      <c r="R102" s="99" t="n"/>
      <c r="S102" s="99" t="n"/>
      <c r="T102" s="99" t="n"/>
      <c r="U102" s="90">
        <f>IF($K102="","",SUM($R102:$T102))</f>
        <v/>
      </c>
      <c r="V102" s="90">
        <f>IF($K102="","",$M102-(N($N102)+N($O102)+IF($P102="",Setup!$B$17,$P102)+N($Q102))-N($U102))</f>
        <v/>
      </c>
      <c r="W102" s="95" t="n"/>
      <c r="X102" s="96" t="n"/>
      <c r="Z102" s="93">
        <f>IF($A102="","",DATE(YEAR($A102),MONTH($A102),1))</f>
        <v/>
      </c>
    </row>
    <row r="103">
      <c r="A103" s="86" t="n"/>
      <c r="B103" s="87" t="n"/>
      <c r="C103" s="87" t="n"/>
      <c r="D103" s="88" t="n"/>
      <c r="E103" s="88" t="n"/>
      <c r="F103" s="88" t="n"/>
      <c r="G103" s="88" t="n"/>
      <c r="H103" s="89" t="n"/>
      <c r="I103" s="90">
        <f>IF($G103="","",IF($F103="",IFERROR(INDEX(Setup!$C$21:$C$60,MATCH("|"&amp;UPPER(TRIM($G103)),Setup!$Q$21:$Q$60,0)),"NO RATE"),IFERROR(INDEX(Setup!$C$21:$C$60,MATCH(UPPER(TRIM($F103))&amp;"|"&amp;UPPER(TRIM($G103)),Setup!$P$21:$P$60,0)),IFERROR(INDEX(Setup!$C$21:$C$60,MATCH(UPPER(TRIM($G103))&amp;"|"&amp;UPPER(TRIM($F103)),Setup!$P$21:$P$60,0)),"NO RATE"))))</f>
        <v/>
      </c>
      <c r="J103" s="91" t="n"/>
      <c r="K103" s="90">
        <f>IF(OR($G103="",$H103="",NOT(ISNUMBER($I103))),"",ROUND($H103*$I103*(1+IF($J103="",Setup!$B$16,$J103)),2))</f>
        <v/>
      </c>
      <c r="L103" s="90">
        <f>IF($K103="","",ROUND($K103*Setup!$B$13,2))</f>
        <v/>
      </c>
      <c r="M103" s="90">
        <f>IF($K103="","",$K103-$L103)</f>
        <v/>
      </c>
      <c r="N103" s="90">
        <f>IF(OR($M103="",$D103=""),"",ROUND($M103*IFERROR(IF(VLOOKUP($D103,Setup!$A$76:$C$87,3,FALSE)="",Setup!$B$14,VLOOKUP($D103,Setup!$A$76:$C$87,3,FALSE)),Setup!$B$14),2))</f>
        <v/>
      </c>
      <c r="O103" s="90">
        <f>IF(OR($M103="",$E103=""),"",ROUND($M103*IFERROR(IF(VLOOKUP($E103,Setup!$A$76:$C$87,3,FALSE)="",Setup!$B$15,VLOOKUP($E103,Setup!$A$76:$C$87,3,FALSE)),Setup!$B$15),2))</f>
        <v/>
      </c>
      <c r="P103" s="92" t="n"/>
      <c r="Q103" s="92" t="n"/>
      <c r="R103" s="92" t="n"/>
      <c r="S103" s="92" t="n"/>
      <c r="T103" s="92" t="n"/>
      <c r="U103" s="90">
        <f>IF($K103="","",SUM($R103:$T103))</f>
        <v/>
      </c>
      <c r="V103" s="90">
        <f>IF($K103="","",$M103-(N($N103)+N($O103)+IF($P103="",Setup!$B$17,$P103)+N($Q103))-N($U103))</f>
        <v/>
      </c>
      <c r="W103" s="87" t="n"/>
      <c r="X103" s="88" t="n"/>
      <c r="Z103" s="93">
        <f>IF($A103="","",DATE(YEAR($A103),MONTH($A103),1))</f>
        <v/>
      </c>
    </row>
    <row r="104">
      <c r="A104" s="94" t="n"/>
      <c r="B104" s="95" t="n"/>
      <c r="C104" s="95" t="n"/>
      <c r="D104" s="96" t="n"/>
      <c r="E104" s="96" t="n"/>
      <c r="F104" s="96" t="n"/>
      <c r="G104" s="96" t="n"/>
      <c r="H104" s="97" t="n"/>
      <c r="I104" s="90">
        <f>IF($G104="","",IF($F104="",IFERROR(INDEX(Setup!$C$21:$C$60,MATCH("|"&amp;UPPER(TRIM($G104)),Setup!$Q$21:$Q$60,0)),"NO RATE"),IFERROR(INDEX(Setup!$C$21:$C$60,MATCH(UPPER(TRIM($F104))&amp;"|"&amp;UPPER(TRIM($G104)),Setup!$P$21:$P$60,0)),IFERROR(INDEX(Setup!$C$21:$C$60,MATCH(UPPER(TRIM($G104))&amp;"|"&amp;UPPER(TRIM($F104)),Setup!$P$21:$P$60,0)),"NO RATE"))))</f>
        <v/>
      </c>
      <c r="J104" s="98" t="n"/>
      <c r="K104" s="90">
        <f>IF(OR($G104="",$H104="",NOT(ISNUMBER($I104))),"",ROUND($H104*$I104*(1+IF($J104="",Setup!$B$16,$J104)),2))</f>
        <v/>
      </c>
      <c r="L104" s="90">
        <f>IF($K104="","",ROUND($K104*Setup!$B$13,2))</f>
        <v/>
      </c>
      <c r="M104" s="90">
        <f>IF($K104="","",$K104-$L104)</f>
        <v/>
      </c>
      <c r="N104" s="90">
        <f>IF(OR($M104="",$D104=""),"",ROUND($M104*IFERROR(IF(VLOOKUP($D104,Setup!$A$76:$C$87,3,FALSE)="",Setup!$B$14,VLOOKUP($D104,Setup!$A$76:$C$87,3,FALSE)),Setup!$B$14),2))</f>
        <v/>
      </c>
      <c r="O104" s="90">
        <f>IF(OR($M104="",$E104=""),"",ROUND($M104*IFERROR(IF(VLOOKUP($E104,Setup!$A$76:$C$87,3,FALSE)="",Setup!$B$15,VLOOKUP($E104,Setup!$A$76:$C$87,3,FALSE)),Setup!$B$15),2))</f>
        <v/>
      </c>
      <c r="P104" s="99" t="n"/>
      <c r="Q104" s="99" t="n"/>
      <c r="R104" s="99" t="n"/>
      <c r="S104" s="99" t="n"/>
      <c r="T104" s="99" t="n"/>
      <c r="U104" s="90">
        <f>IF($K104="","",SUM($R104:$T104))</f>
        <v/>
      </c>
      <c r="V104" s="90">
        <f>IF($K104="","",$M104-(N($N104)+N($O104)+IF($P104="",Setup!$B$17,$P104)+N($Q104))-N($U104))</f>
        <v/>
      </c>
      <c r="W104" s="95" t="n"/>
      <c r="X104" s="96" t="n"/>
      <c r="Z104" s="93">
        <f>IF($A104="","",DATE(YEAR($A104),MONTH($A104),1))</f>
        <v/>
      </c>
    </row>
    <row r="105">
      <c r="A105" s="86" t="n"/>
      <c r="B105" s="87" t="n"/>
      <c r="C105" s="87" t="n"/>
      <c r="D105" s="88" t="n"/>
      <c r="E105" s="88" t="n"/>
      <c r="F105" s="88" t="n"/>
      <c r="G105" s="88" t="n"/>
      <c r="H105" s="89" t="n"/>
      <c r="I105" s="90">
        <f>IF($G105="","",IF($F105="",IFERROR(INDEX(Setup!$C$21:$C$60,MATCH("|"&amp;UPPER(TRIM($G105)),Setup!$Q$21:$Q$60,0)),"NO RATE"),IFERROR(INDEX(Setup!$C$21:$C$60,MATCH(UPPER(TRIM($F105))&amp;"|"&amp;UPPER(TRIM($G105)),Setup!$P$21:$P$60,0)),IFERROR(INDEX(Setup!$C$21:$C$60,MATCH(UPPER(TRIM($G105))&amp;"|"&amp;UPPER(TRIM($F105)),Setup!$P$21:$P$60,0)),"NO RATE"))))</f>
        <v/>
      </c>
      <c r="J105" s="91" t="n"/>
      <c r="K105" s="90">
        <f>IF(OR($G105="",$H105="",NOT(ISNUMBER($I105))),"",ROUND($H105*$I105*(1+IF($J105="",Setup!$B$16,$J105)),2))</f>
        <v/>
      </c>
      <c r="L105" s="90">
        <f>IF($K105="","",ROUND($K105*Setup!$B$13,2))</f>
        <v/>
      </c>
      <c r="M105" s="90">
        <f>IF($K105="","",$K105-$L105)</f>
        <v/>
      </c>
      <c r="N105" s="90">
        <f>IF(OR($M105="",$D105=""),"",ROUND($M105*IFERROR(IF(VLOOKUP($D105,Setup!$A$76:$C$87,3,FALSE)="",Setup!$B$14,VLOOKUP($D105,Setup!$A$76:$C$87,3,FALSE)),Setup!$B$14),2))</f>
        <v/>
      </c>
      <c r="O105" s="90">
        <f>IF(OR($M105="",$E105=""),"",ROUND($M105*IFERROR(IF(VLOOKUP($E105,Setup!$A$76:$C$87,3,FALSE)="",Setup!$B$15,VLOOKUP($E105,Setup!$A$76:$C$87,3,FALSE)),Setup!$B$15),2))</f>
        <v/>
      </c>
      <c r="P105" s="92" t="n"/>
      <c r="Q105" s="92" t="n"/>
      <c r="R105" s="92" t="n"/>
      <c r="S105" s="92" t="n"/>
      <c r="T105" s="92" t="n"/>
      <c r="U105" s="90">
        <f>IF($K105="","",SUM($R105:$T105))</f>
        <v/>
      </c>
      <c r="V105" s="90">
        <f>IF($K105="","",$M105-(N($N105)+N($O105)+IF($P105="",Setup!$B$17,$P105)+N($Q105))-N($U105))</f>
        <v/>
      </c>
      <c r="W105" s="87" t="n"/>
      <c r="X105" s="88" t="n"/>
      <c r="Z105" s="93">
        <f>IF($A105="","",DATE(YEAR($A105),MONTH($A105),1))</f>
        <v/>
      </c>
    </row>
    <row r="106">
      <c r="A106" s="94" t="n"/>
      <c r="B106" s="95" t="n"/>
      <c r="C106" s="95" t="n"/>
      <c r="D106" s="96" t="n"/>
      <c r="E106" s="96" t="n"/>
      <c r="F106" s="96" t="n"/>
      <c r="G106" s="96" t="n"/>
      <c r="H106" s="97" t="n"/>
      <c r="I106" s="90">
        <f>IF($G106="","",IF($F106="",IFERROR(INDEX(Setup!$C$21:$C$60,MATCH("|"&amp;UPPER(TRIM($G106)),Setup!$Q$21:$Q$60,0)),"NO RATE"),IFERROR(INDEX(Setup!$C$21:$C$60,MATCH(UPPER(TRIM($F106))&amp;"|"&amp;UPPER(TRIM($G106)),Setup!$P$21:$P$60,0)),IFERROR(INDEX(Setup!$C$21:$C$60,MATCH(UPPER(TRIM($G106))&amp;"|"&amp;UPPER(TRIM($F106)),Setup!$P$21:$P$60,0)),"NO RATE"))))</f>
        <v/>
      </c>
      <c r="J106" s="98" t="n"/>
      <c r="K106" s="90">
        <f>IF(OR($G106="",$H106="",NOT(ISNUMBER($I106))),"",ROUND($H106*$I106*(1+IF($J106="",Setup!$B$16,$J106)),2))</f>
        <v/>
      </c>
      <c r="L106" s="90">
        <f>IF($K106="","",ROUND($K106*Setup!$B$13,2))</f>
        <v/>
      </c>
      <c r="M106" s="90">
        <f>IF($K106="","",$K106-$L106)</f>
        <v/>
      </c>
      <c r="N106" s="90">
        <f>IF(OR($M106="",$D106=""),"",ROUND($M106*IFERROR(IF(VLOOKUP($D106,Setup!$A$76:$C$87,3,FALSE)="",Setup!$B$14,VLOOKUP($D106,Setup!$A$76:$C$87,3,FALSE)),Setup!$B$14),2))</f>
        <v/>
      </c>
      <c r="O106" s="90">
        <f>IF(OR($M106="",$E106=""),"",ROUND($M106*IFERROR(IF(VLOOKUP($E106,Setup!$A$76:$C$87,3,FALSE)="",Setup!$B$15,VLOOKUP($E106,Setup!$A$76:$C$87,3,FALSE)),Setup!$B$15),2))</f>
        <v/>
      </c>
      <c r="P106" s="99" t="n"/>
      <c r="Q106" s="99" t="n"/>
      <c r="R106" s="99" t="n"/>
      <c r="S106" s="99" t="n"/>
      <c r="T106" s="99" t="n"/>
      <c r="U106" s="90">
        <f>IF($K106="","",SUM($R106:$T106))</f>
        <v/>
      </c>
      <c r="V106" s="90">
        <f>IF($K106="","",$M106-(N($N106)+N($O106)+IF($P106="",Setup!$B$17,$P106)+N($Q106))-N($U106))</f>
        <v/>
      </c>
      <c r="W106" s="95" t="n"/>
      <c r="X106" s="96" t="n"/>
      <c r="Z106" s="93">
        <f>IF($A106="","",DATE(YEAR($A106),MONTH($A106),1))</f>
        <v/>
      </c>
    </row>
    <row r="107">
      <c r="A107" s="86" t="n"/>
      <c r="B107" s="87" t="n"/>
      <c r="C107" s="87" t="n"/>
      <c r="D107" s="88" t="n"/>
      <c r="E107" s="88" t="n"/>
      <c r="F107" s="88" t="n"/>
      <c r="G107" s="88" t="n"/>
      <c r="H107" s="89" t="n"/>
      <c r="I107" s="90">
        <f>IF($G107="","",IF($F107="",IFERROR(INDEX(Setup!$C$21:$C$60,MATCH("|"&amp;UPPER(TRIM($G107)),Setup!$Q$21:$Q$60,0)),"NO RATE"),IFERROR(INDEX(Setup!$C$21:$C$60,MATCH(UPPER(TRIM($F107))&amp;"|"&amp;UPPER(TRIM($G107)),Setup!$P$21:$P$60,0)),IFERROR(INDEX(Setup!$C$21:$C$60,MATCH(UPPER(TRIM($G107))&amp;"|"&amp;UPPER(TRIM($F107)),Setup!$P$21:$P$60,0)),"NO RATE"))))</f>
        <v/>
      </c>
      <c r="J107" s="91" t="n"/>
      <c r="K107" s="90">
        <f>IF(OR($G107="",$H107="",NOT(ISNUMBER($I107))),"",ROUND($H107*$I107*(1+IF($J107="",Setup!$B$16,$J107)),2))</f>
        <v/>
      </c>
      <c r="L107" s="90">
        <f>IF($K107="","",ROUND($K107*Setup!$B$13,2))</f>
        <v/>
      </c>
      <c r="M107" s="90">
        <f>IF($K107="","",$K107-$L107)</f>
        <v/>
      </c>
      <c r="N107" s="90">
        <f>IF(OR($M107="",$D107=""),"",ROUND($M107*IFERROR(IF(VLOOKUP($D107,Setup!$A$76:$C$87,3,FALSE)="",Setup!$B$14,VLOOKUP($D107,Setup!$A$76:$C$87,3,FALSE)),Setup!$B$14),2))</f>
        <v/>
      </c>
      <c r="O107" s="90">
        <f>IF(OR($M107="",$E107=""),"",ROUND($M107*IFERROR(IF(VLOOKUP($E107,Setup!$A$76:$C$87,3,FALSE)="",Setup!$B$15,VLOOKUP($E107,Setup!$A$76:$C$87,3,FALSE)),Setup!$B$15),2))</f>
        <v/>
      </c>
      <c r="P107" s="92" t="n"/>
      <c r="Q107" s="92" t="n"/>
      <c r="R107" s="92" t="n"/>
      <c r="S107" s="92" t="n"/>
      <c r="T107" s="92" t="n"/>
      <c r="U107" s="90">
        <f>IF($K107="","",SUM($R107:$T107))</f>
        <v/>
      </c>
      <c r="V107" s="90">
        <f>IF($K107="","",$M107-(N($N107)+N($O107)+IF($P107="",Setup!$B$17,$P107)+N($Q107))-N($U107))</f>
        <v/>
      </c>
      <c r="W107" s="87" t="n"/>
      <c r="X107" s="88" t="n"/>
      <c r="Z107" s="93">
        <f>IF($A107="","",DATE(YEAR($A107),MONTH($A107),1))</f>
        <v/>
      </c>
    </row>
    <row r="108">
      <c r="A108" s="94" t="n"/>
      <c r="B108" s="95" t="n"/>
      <c r="C108" s="95" t="n"/>
      <c r="D108" s="96" t="n"/>
      <c r="E108" s="96" t="n"/>
      <c r="F108" s="96" t="n"/>
      <c r="G108" s="96" t="n"/>
      <c r="H108" s="97" t="n"/>
      <c r="I108" s="90">
        <f>IF($G108="","",IF($F108="",IFERROR(INDEX(Setup!$C$21:$C$60,MATCH("|"&amp;UPPER(TRIM($G108)),Setup!$Q$21:$Q$60,0)),"NO RATE"),IFERROR(INDEX(Setup!$C$21:$C$60,MATCH(UPPER(TRIM($F108))&amp;"|"&amp;UPPER(TRIM($G108)),Setup!$P$21:$P$60,0)),IFERROR(INDEX(Setup!$C$21:$C$60,MATCH(UPPER(TRIM($G108))&amp;"|"&amp;UPPER(TRIM($F108)),Setup!$P$21:$P$60,0)),"NO RATE"))))</f>
        <v/>
      </c>
      <c r="J108" s="98" t="n"/>
      <c r="K108" s="90">
        <f>IF(OR($G108="",$H108="",NOT(ISNUMBER($I108))),"",ROUND($H108*$I108*(1+IF($J108="",Setup!$B$16,$J108)),2))</f>
        <v/>
      </c>
      <c r="L108" s="90">
        <f>IF($K108="","",ROUND($K108*Setup!$B$13,2))</f>
        <v/>
      </c>
      <c r="M108" s="90">
        <f>IF($K108="","",$K108-$L108)</f>
        <v/>
      </c>
      <c r="N108" s="90">
        <f>IF(OR($M108="",$D108=""),"",ROUND($M108*IFERROR(IF(VLOOKUP($D108,Setup!$A$76:$C$87,3,FALSE)="",Setup!$B$14,VLOOKUP($D108,Setup!$A$76:$C$87,3,FALSE)),Setup!$B$14),2))</f>
        <v/>
      </c>
      <c r="O108" s="90">
        <f>IF(OR($M108="",$E108=""),"",ROUND($M108*IFERROR(IF(VLOOKUP($E108,Setup!$A$76:$C$87,3,FALSE)="",Setup!$B$15,VLOOKUP($E108,Setup!$A$76:$C$87,3,FALSE)),Setup!$B$15),2))</f>
        <v/>
      </c>
      <c r="P108" s="99" t="n"/>
      <c r="Q108" s="99" t="n"/>
      <c r="R108" s="99" t="n"/>
      <c r="S108" s="99" t="n"/>
      <c r="T108" s="99" t="n"/>
      <c r="U108" s="90">
        <f>IF($K108="","",SUM($R108:$T108))</f>
        <v/>
      </c>
      <c r="V108" s="90">
        <f>IF($K108="","",$M108-(N($N108)+N($O108)+IF($P108="",Setup!$B$17,$P108)+N($Q108))-N($U108))</f>
        <v/>
      </c>
      <c r="W108" s="95" t="n"/>
      <c r="X108" s="96" t="n"/>
      <c r="Z108" s="93">
        <f>IF($A108="","",DATE(YEAR($A108),MONTH($A108),1))</f>
        <v/>
      </c>
    </row>
    <row r="109">
      <c r="A109" s="86" t="n"/>
      <c r="B109" s="87" t="n"/>
      <c r="C109" s="87" t="n"/>
      <c r="D109" s="88" t="n"/>
      <c r="E109" s="88" t="n"/>
      <c r="F109" s="88" t="n"/>
      <c r="G109" s="88" t="n"/>
      <c r="H109" s="89" t="n"/>
      <c r="I109" s="90">
        <f>IF($G109="","",IF($F109="",IFERROR(INDEX(Setup!$C$21:$C$60,MATCH("|"&amp;UPPER(TRIM($G109)),Setup!$Q$21:$Q$60,0)),"NO RATE"),IFERROR(INDEX(Setup!$C$21:$C$60,MATCH(UPPER(TRIM($F109))&amp;"|"&amp;UPPER(TRIM($G109)),Setup!$P$21:$P$60,0)),IFERROR(INDEX(Setup!$C$21:$C$60,MATCH(UPPER(TRIM($G109))&amp;"|"&amp;UPPER(TRIM($F109)),Setup!$P$21:$P$60,0)),"NO RATE"))))</f>
        <v/>
      </c>
      <c r="J109" s="91" t="n"/>
      <c r="K109" s="90">
        <f>IF(OR($G109="",$H109="",NOT(ISNUMBER($I109))),"",ROUND($H109*$I109*(1+IF($J109="",Setup!$B$16,$J109)),2))</f>
        <v/>
      </c>
      <c r="L109" s="90">
        <f>IF($K109="","",ROUND($K109*Setup!$B$13,2))</f>
        <v/>
      </c>
      <c r="M109" s="90">
        <f>IF($K109="","",$K109-$L109)</f>
        <v/>
      </c>
      <c r="N109" s="90">
        <f>IF(OR($M109="",$D109=""),"",ROUND($M109*IFERROR(IF(VLOOKUP($D109,Setup!$A$76:$C$87,3,FALSE)="",Setup!$B$14,VLOOKUP($D109,Setup!$A$76:$C$87,3,FALSE)),Setup!$B$14),2))</f>
        <v/>
      </c>
      <c r="O109" s="90">
        <f>IF(OR($M109="",$E109=""),"",ROUND($M109*IFERROR(IF(VLOOKUP($E109,Setup!$A$76:$C$87,3,FALSE)="",Setup!$B$15,VLOOKUP($E109,Setup!$A$76:$C$87,3,FALSE)),Setup!$B$15),2))</f>
        <v/>
      </c>
      <c r="P109" s="92" t="n"/>
      <c r="Q109" s="92" t="n"/>
      <c r="R109" s="92" t="n"/>
      <c r="S109" s="92" t="n"/>
      <c r="T109" s="92" t="n"/>
      <c r="U109" s="90">
        <f>IF($K109="","",SUM($R109:$T109))</f>
        <v/>
      </c>
      <c r="V109" s="90">
        <f>IF($K109="","",$M109-(N($N109)+N($O109)+IF($P109="",Setup!$B$17,$P109)+N($Q109))-N($U109))</f>
        <v/>
      </c>
      <c r="W109" s="87" t="n"/>
      <c r="X109" s="88" t="n"/>
      <c r="Z109" s="93">
        <f>IF($A109="","",DATE(YEAR($A109),MONTH($A109),1))</f>
        <v/>
      </c>
    </row>
    <row r="110">
      <c r="A110" s="94" t="n"/>
      <c r="B110" s="95" t="n"/>
      <c r="C110" s="95" t="n"/>
      <c r="D110" s="96" t="n"/>
      <c r="E110" s="96" t="n"/>
      <c r="F110" s="96" t="n"/>
      <c r="G110" s="96" t="n"/>
      <c r="H110" s="97" t="n"/>
      <c r="I110" s="90">
        <f>IF($G110="","",IF($F110="",IFERROR(INDEX(Setup!$C$21:$C$60,MATCH("|"&amp;UPPER(TRIM($G110)),Setup!$Q$21:$Q$60,0)),"NO RATE"),IFERROR(INDEX(Setup!$C$21:$C$60,MATCH(UPPER(TRIM($F110))&amp;"|"&amp;UPPER(TRIM($G110)),Setup!$P$21:$P$60,0)),IFERROR(INDEX(Setup!$C$21:$C$60,MATCH(UPPER(TRIM($G110))&amp;"|"&amp;UPPER(TRIM($F110)),Setup!$P$21:$P$60,0)),"NO RATE"))))</f>
        <v/>
      </c>
      <c r="J110" s="98" t="n"/>
      <c r="K110" s="90">
        <f>IF(OR($G110="",$H110="",NOT(ISNUMBER($I110))),"",ROUND($H110*$I110*(1+IF($J110="",Setup!$B$16,$J110)),2))</f>
        <v/>
      </c>
      <c r="L110" s="90">
        <f>IF($K110="","",ROUND($K110*Setup!$B$13,2))</f>
        <v/>
      </c>
      <c r="M110" s="90">
        <f>IF($K110="","",$K110-$L110)</f>
        <v/>
      </c>
      <c r="N110" s="90">
        <f>IF(OR($M110="",$D110=""),"",ROUND($M110*IFERROR(IF(VLOOKUP($D110,Setup!$A$76:$C$87,3,FALSE)="",Setup!$B$14,VLOOKUP($D110,Setup!$A$76:$C$87,3,FALSE)),Setup!$B$14),2))</f>
        <v/>
      </c>
      <c r="O110" s="90">
        <f>IF(OR($M110="",$E110=""),"",ROUND($M110*IFERROR(IF(VLOOKUP($E110,Setup!$A$76:$C$87,3,FALSE)="",Setup!$B$15,VLOOKUP($E110,Setup!$A$76:$C$87,3,FALSE)),Setup!$B$15),2))</f>
        <v/>
      </c>
      <c r="P110" s="99" t="n"/>
      <c r="Q110" s="99" t="n"/>
      <c r="R110" s="99" t="n"/>
      <c r="S110" s="99" t="n"/>
      <c r="T110" s="99" t="n"/>
      <c r="U110" s="90">
        <f>IF($K110="","",SUM($R110:$T110))</f>
        <v/>
      </c>
      <c r="V110" s="90">
        <f>IF($K110="","",$M110-(N($N110)+N($O110)+IF($P110="",Setup!$B$17,$P110)+N($Q110))-N($U110))</f>
        <v/>
      </c>
      <c r="W110" s="95" t="n"/>
      <c r="X110" s="96" t="n"/>
      <c r="Z110" s="93">
        <f>IF($A110="","",DATE(YEAR($A110),MONTH($A110),1))</f>
        <v/>
      </c>
    </row>
    <row r="111">
      <c r="A111" s="86" t="n"/>
      <c r="B111" s="87" t="n"/>
      <c r="C111" s="87" t="n"/>
      <c r="D111" s="88" t="n"/>
      <c r="E111" s="88" t="n"/>
      <c r="F111" s="88" t="n"/>
      <c r="G111" s="88" t="n"/>
      <c r="H111" s="89" t="n"/>
      <c r="I111" s="90">
        <f>IF($G111="","",IF($F111="",IFERROR(INDEX(Setup!$C$21:$C$60,MATCH("|"&amp;UPPER(TRIM($G111)),Setup!$Q$21:$Q$60,0)),"NO RATE"),IFERROR(INDEX(Setup!$C$21:$C$60,MATCH(UPPER(TRIM($F111))&amp;"|"&amp;UPPER(TRIM($G111)),Setup!$P$21:$P$60,0)),IFERROR(INDEX(Setup!$C$21:$C$60,MATCH(UPPER(TRIM($G111))&amp;"|"&amp;UPPER(TRIM($F111)),Setup!$P$21:$P$60,0)),"NO RATE"))))</f>
        <v/>
      </c>
      <c r="J111" s="91" t="n"/>
      <c r="K111" s="90">
        <f>IF(OR($G111="",$H111="",NOT(ISNUMBER($I111))),"",ROUND($H111*$I111*(1+IF($J111="",Setup!$B$16,$J111)),2))</f>
        <v/>
      </c>
      <c r="L111" s="90">
        <f>IF($K111="","",ROUND($K111*Setup!$B$13,2))</f>
        <v/>
      </c>
      <c r="M111" s="90">
        <f>IF($K111="","",$K111-$L111)</f>
        <v/>
      </c>
      <c r="N111" s="90">
        <f>IF(OR($M111="",$D111=""),"",ROUND($M111*IFERROR(IF(VLOOKUP($D111,Setup!$A$76:$C$87,3,FALSE)="",Setup!$B$14,VLOOKUP($D111,Setup!$A$76:$C$87,3,FALSE)),Setup!$B$14),2))</f>
        <v/>
      </c>
      <c r="O111" s="90">
        <f>IF(OR($M111="",$E111=""),"",ROUND($M111*IFERROR(IF(VLOOKUP($E111,Setup!$A$76:$C$87,3,FALSE)="",Setup!$B$15,VLOOKUP($E111,Setup!$A$76:$C$87,3,FALSE)),Setup!$B$15),2))</f>
        <v/>
      </c>
      <c r="P111" s="92" t="n"/>
      <c r="Q111" s="92" t="n"/>
      <c r="R111" s="92" t="n"/>
      <c r="S111" s="92" t="n"/>
      <c r="T111" s="92" t="n"/>
      <c r="U111" s="90">
        <f>IF($K111="","",SUM($R111:$T111))</f>
        <v/>
      </c>
      <c r="V111" s="90">
        <f>IF($K111="","",$M111-(N($N111)+N($O111)+IF($P111="",Setup!$B$17,$P111)+N($Q111))-N($U111))</f>
        <v/>
      </c>
      <c r="W111" s="87" t="n"/>
      <c r="X111" s="88" t="n"/>
      <c r="Z111" s="93">
        <f>IF($A111="","",DATE(YEAR($A111),MONTH($A111),1))</f>
        <v/>
      </c>
    </row>
    <row r="112">
      <c r="A112" s="94" t="n"/>
      <c r="B112" s="95" t="n"/>
      <c r="C112" s="95" t="n"/>
      <c r="D112" s="96" t="n"/>
      <c r="E112" s="96" t="n"/>
      <c r="F112" s="96" t="n"/>
      <c r="G112" s="96" t="n"/>
      <c r="H112" s="97" t="n"/>
      <c r="I112" s="90">
        <f>IF($G112="","",IF($F112="",IFERROR(INDEX(Setup!$C$21:$C$60,MATCH("|"&amp;UPPER(TRIM($G112)),Setup!$Q$21:$Q$60,0)),"NO RATE"),IFERROR(INDEX(Setup!$C$21:$C$60,MATCH(UPPER(TRIM($F112))&amp;"|"&amp;UPPER(TRIM($G112)),Setup!$P$21:$P$60,0)),IFERROR(INDEX(Setup!$C$21:$C$60,MATCH(UPPER(TRIM($G112))&amp;"|"&amp;UPPER(TRIM($F112)),Setup!$P$21:$P$60,0)),"NO RATE"))))</f>
        <v/>
      </c>
      <c r="J112" s="98" t="n"/>
      <c r="K112" s="90">
        <f>IF(OR($G112="",$H112="",NOT(ISNUMBER($I112))),"",ROUND($H112*$I112*(1+IF($J112="",Setup!$B$16,$J112)),2))</f>
        <v/>
      </c>
      <c r="L112" s="90">
        <f>IF($K112="","",ROUND($K112*Setup!$B$13,2))</f>
        <v/>
      </c>
      <c r="M112" s="90">
        <f>IF($K112="","",$K112-$L112)</f>
        <v/>
      </c>
      <c r="N112" s="90">
        <f>IF(OR($M112="",$D112=""),"",ROUND($M112*IFERROR(IF(VLOOKUP($D112,Setup!$A$76:$C$87,3,FALSE)="",Setup!$B$14,VLOOKUP($D112,Setup!$A$76:$C$87,3,FALSE)),Setup!$B$14),2))</f>
        <v/>
      </c>
      <c r="O112" s="90">
        <f>IF(OR($M112="",$E112=""),"",ROUND($M112*IFERROR(IF(VLOOKUP($E112,Setup!$A$76:$C$87,3,FALSE)="",Setup!$B$15,VLOOKUP($E112,Setup!$A$76:$C$87,3,FALSE)),Setup!$B$15),2))</f>
        <v/>
      </c>
      <c r="P112" s="99" t="n"/>
      <c r="Q112" s="99" t="n"/>
      <c r="R112" s="99" t="n"/>
      <c r="S112" s="99" t="n"/>
      <c r="T112" s="99" t="n"/>
      <c r="U112" s="90">
        <f>IF($K112="","",SUM($R112:$T112))</f>
        <v/>
      </c>
      <c r="V112" s="90">
        <f>IF($K112="","",$M112-(N($N112)+N($O112)+IF($P112="",Setup!$B$17,$P112)+N($Q112))-N($U112))</f>
        <v/>
      </c>
      <c r="W112" s="95" t="n"/>
      <c r="X112" s="96" t="n"/>
      <c r="Z112" s="93">
        <f>IF($A112="","",DATE(YEAR($A112),MONTH($A112),1))</f>
        <v/>
      </c>
    </row>
    <row r="113">
      <c r="A113" s="86" t="n"/>
      <c r="B113" s="87" t="n"/>
      <c r="C113" s="87" t="n"/>
      <c r="D113" s="88" t="n"/>
      <c r="E113" s="88" t="n"/>
      <c r="F113" s="88" t="n"/>
      <c r="G113" s="88" t="n"/>
      <c r="H113" s="89" t="n"/>
      <c r="I113" s="90">
        <f>IF($G113="","",IF($F113="",IFERROR(INDEX(Setup!$C$21:$C$60,MATCH("|"&amp;UPPER(TRIM($G113)),Setup!$Q$21:$Q$60,0)),"NO RATE"),IFERROR(INDEX(Setup!$C$21:$C$60,MATCH(UPPER(TRIM($F113))&amp;"|"&amp;UPPER(TRIM($G113)),Setup!$P$21:$P$60,0)),IFERROR(INDEX(Setup!$C$21:$C$60,MATCH(UPPER(TRIM($G113))&amp;"|"&amp;UPPER(TRIM($F113)),Setup!$P$21:$P$60,0)),"NO RATE"))))</f>
        <v/>
      </c>
      <c r="J113" s="91" t="n"/>
      <c r="K113" s="90">
        <f>IF(OR($G113="",$H113="",NOT(ISNUMBER($I113))),"",ROUND($H113*$I113*(1+IF($J113="",Setup!$B$16,$J113)),2))</f>
        <v/>
      </c>
      <c r="L113" s="90">
        <f>IF($K113="","",ROUND($K113*Setup!$B$13,2))</f>
        <v/>
      </c>
      <c r="M113" s="90">
        <f>IF($K113="","",$K113-$L113)</f>
        <v/>
      </c>
      <c r="N113" s="90">
        <f>IF(OR($M113="",$D113=""),"",ROUND($M113*IFERROR(IF(VLOOKUP($D113,Setup!$A$76:$C$87,3,FALSE)="",Setup!$B$14,VLOOKUP($D113,Setup!$A$76:$C$87,3,FALSE)),Setup!$B$14),2))</f>
        <v/>
      </c>
      <c r="O113" s="90">
        <f>IF(OR($M113="",$E113=""),"",ROUND($M113*IFERROR(IF(VLOOKUP($E113,Setup!$A$76:$C$87,3,FALSE)="",Setup!$B$15,VLOOKUP($E113,Setup!$A$76:$C$87,3,FALSE)),Setup!$B$15),2))</f>
        <v/>
      </c>
      <c r="P113" s="92" t="n"/>
      <c r="Q113" s="92" t="n"/>
      <c r="R113" s="92" t="n"/>
      <c r="S113" s="92" t="n"/>
      <c r="T113" s="92" t="n"/>
      <c r="U113" s="90">
        <f>IF($K113="","",SUM($R113:$T113))</f>
        <v/>
      </c>
      <c r="V113" s="90">
        <f>IF($K113="","",$M113-(N($N113)+N($O113)+IF($P113="",Setup!$B$17,$P113)+N($Q113))-N($U113))</f>
        <v/>
      </c>
      <c r="W113" s="87" t="n"/>
      <c r="X113" s="88" t="n"/>
      <c r="Z113" s="93">
        <f>IF($A113="","",DATE(YEAR($A113),MONTH($A113),1))</f>
        <v/>
      </c>
    </row>
    <row r="114">
      <c r="A114" s="94" t="n"/>
      <c r="B114" s="95" t="n"/>
      <c r="C114" s="95" t="n"/>
      <c r="D114" s="96" t="n"/>
      <c r="E114" s="96" t="n"/>
      <c r="F114" s="96" t="n"/>
      <c r="G114" s="96" t="n"/>
      <c r="H114" s="97" t="n"/>
      <c r="I114" s="90">
        <f>IF($G114="","",IF($F114="",IFERROR(INDEX(Setup!$C$21:$C$60,MATCH("|"&amp;UPPER(TRIM($G114)),Setup!$Q$21:$Q$60,0)),"NO RATE"),IFERROR(INDEX(Setup!$C$21:$C$60,MATCH(UPPER(TRIM($F114))&amp;"|"&amp;UPPER(TRIM($G114)),Setup!$P$21:$P$60,0)),IFERROR(INDEX(Setup!$C$21:$C$60,MATCH(UPPER(TRIM($G114))&amp;"|"&amp;UPPER(TRIM($F114)),Setup!$P$21:$P$60,0)),"NO RATE"))))</f>
        <v/>
      </c>
      <c r="J114" s="98" t="n"/>
      <c r="K114" s="90">
        <f>IF(OR($G114="",$H114="",NOT(ISNUMBER($I114))),"",ROUND($H114*$I114*(1+IF($J114="",Setup!$B$16,$J114)),2))</f>
        <v/>
      </c>
      <c r="L114" s="90">
        <f>IF($K114="","",ROUND($K114*Setup!$B$13,2))</f>
        <v/>
      </c>
      <c r="M114" s="90">
        <f>IF($K114="","",$K114-$L114)</f>
        <v/>
      </c>
      <c r="N114" s="90">
        <f>IF(OR($M114="",$D114=""),"",ROUND($M114*IFERROR(IF(VLOOKUP($D114,Setup!$A$76:$C$87,3,FALSE)="",Setup!$B$14,VLOOKUP($D114,Setup!$A$76:$C$87,3,FALSE)),Setup!$B$14),2))</f>
        <v/>
      </c>
      <c r="O114" s="90">
        <f>IF(OR($M114="",$E114=""),"",ROUND($M114*IFERROR(IF(VLOOKUP($E114,Setup!$A$76:$C$87,3,FALSE)="",Setup!$B$15,VLOOKUP($E114,Setup!$A$76:$C$87,3,FALSE)),Setup!$B$15),2))</f>
        <v/>
      </c>
      <c r="P114" s="99" t="n"/>
      <c r="Q114" s="99" t="n"/>
      <c r="R114" s="99" t="n"/>
      <c r="S114" s="99" t="n"/>
      <c r="T114" s="99" t="n"/>
      <c r="U114" s="90">
        <f>IF($K114="","",SUM($R114:$T114))</f>
        <v/>
      </c>
      <c r="V114" s="90">
        <f>IF($K114="","",$M114-(N($N114)+N($O114)+IF($P114="",Setup!$B$17,$P114)+N($Q114))-N($U114))</f>
        <v/>
      </c>
      <c r="W114" s="95" t="n"/>
      <c r="X114" s="96" t="n"/>
      <c r="Z114" s="93">
        <f>IF($A114="","",DATE(YEAR($A114),MONTH($A114),1))</f>
        <v/>
      </c>
    </row>
    <row r="115">
      <c r="A115" s="86" t="n"/>
      <c r="B115" s="87" t="n"/>
      <c r="C115" s="87" t="n"/>
      <c r="D115" s="88" t="n"/>
      <c r="E115" s="88" t="n"/>
      <c r="F115" s="88" t="n"/>
      <c r="G115" s="88" t="n"/>
      <c r="H115" s="89" t="n"/>
      <c r="I115" s="90">
        <f>IF($G115="","",IF($F115="",IFERROR(INDEX(Setup!$C$21:$C$60,MATCH("|"&amp;UPPER(TRIM($G115)),Setup!$Q$21:$Q$60,0)),"NO RATE"),IFERROR(INDEX(Setup!$C$21:$C$60,MATCH(UPPER(TRIM($F115))&amp;"|"&amp;UPPER(TRIM($G115)),Setup!$P$21:$P$60,0)),IFERROR(INDEX(Setup!$C$21:$C$60,MATCH(UPPER(TRIM($G115))&amp;"|"&amp;UPPER(TRIM($F115)),Setup!$P$21:$P$60,0)),"NO RATE"))))</f>
        <v/>
      </c>
      <c r="J115" s="91" t="n"/>
      <c r="K115" s="90">
        <f>IF(OR($G115="",$H115="",NOT(ISNUMBER($I115))),"",ROUND($H115*$I115*(1+IF($J115="",Setup!$B$16,$J115)),2))</f>
        <v/>
      </c>
      <c r="L115" s="90">
        <f>IF($K115="","",ROUND($K115*Setup!$B$13,2))</f>
        <v/>
      </c>
      <c r="M115" s="90">
        <f>IF($K115="","",$K115-$L115)</f>
        <v/>
      </c>
      <c r="N115" s="90">
        <f>IF(OR($M115="",$D115=""),"",ROUND($M115*IFERROR(IF(VLOOKUP($D115,Setup!$A$76:$C$87,3,FALSE)="",Setup!$B$14,VLOOKUP($D115,Setup!$A$76:$C$87,3,FALSE)),Setup!$B$14),2))</f>
        <v/>
      </c>
      <c r="O115" s="90">
        <f>IF(OR($M115="",$E115=""),"",ROUND($M115*IFERROR(IF(VLOOKUP($E115,Setup!$A$76:$C$87,3,FALSE)="",Setup!$B$15,VLOOKUP($E115,Setup!$A$76:$C$87,3,FALSE)),Setup!$B$15),2))</f>
        <v/>
      </c>
      <c r="P115" s="92" t="n"/>
      <c r="Q115" s="92" t="n"/>
      <c r="R115" s="92" t="n"/>
      <c r="S115" s="92" t="n"/>
      <c r="T115" s="92" t="n"/>
      <c r="U115" s="90">
        <f>IF($K115="","",SUM($R115:$T115))</f>
        <v/>
      </c>
      <c r="V115" s="90">
        <f>IF($K115="","",$M115-(N($N115)+N($O115)+IF($P115="",Setup!$B$17,$P115)+N($Q115))-N($U115))</f>
        <v/>
      </c>
      <c r="W115" s="87" t="n"/>
      <c r="X115" s="88" t="n"/>
      <c r="Z115" s="93">
        <f>IF($A115="","",DATE(YEAR($A115),MONTH($A115),1))</f>
        <v/>
      </c>
    </row>
    <row r="116">
      <c r="A116" s="94" t="n"/>
      <c r="B116" s="95" t="n"/>
      <c r="C116" s="95" t="n"/>
      <c r="D116" s="96" t="n"/>
      <c r="E116" s="96" t="n"/>
      <c r="F116" s="96" t="n"/>
      <c r="G116" s="96" t="n"/>
      <c r="H116" s="97" t="n"/>
      <c r="I116" s="90">
        <f>IF($G116="","",IF($F116="",IFERROR(INDEX(Setup!$C$21:$C$60,MATCH("|"&amp;UPPER(TRIM($G116)),Setup!$Q$21:$Q$60,0)),"NO RATE"),IFERROR(INDEX(Setup!$C$21:$C$60,MATCH(UPPER(TRIM($F116))&amp;"|"&amp;UPPER(TRIM($G116)),Setup!$P$21:$P$60,0)),IFERROR(INDEX(Setup!$C$21:$C$60,MATCH(UPPER(TRIM($G116))&amp;"|"&amp;UPPER(TRIM($F116)),Setup!$P$21:$P$60,0)),"NO RATE"))))</f>
        <v/>
      </c>
      <c r="J116" s="98" t="n"/>
      <c r="K116" s="90">
        <f>IF(OR($G116="",$H116="",NOT(ISNUMBER($I116))),"",ROUND($H116*$I116*(1+IF($J116="",Setup!$B$16,$J116)),2))</f>
        <v/>
      </c>
      <c r="L116" s="90">
        <f>IF($K116="","",ROUND($K116*Setup!$B$13,2))</f>
        <v/>
      </c>
      <c r="M116" s="90">
        <f>IF($K116="","",$K116-$L116)</f>
        <v/>
      </c>
      <c r="N116" s="90">
        <f>IF(OR($M116="",$D116=""),"",ROUND($M116*IFERROR(IF(VLOOKUP($D116,Setup!$A$76:$C$87,3,FALSE)="",Setup!$B$14,VLOOKUP($D116,Setup!$A$76:$C$87,3,FALSE)),Setup!$B$14),2))</f>
        <v/>
      </c>
      <c r="O116" s="90">
        <f>IF(OR($M116="",$E116=""),"",ROUND($M116*IFERROR(IF(VLOOKUP($E116,Setup!$A$76:$C$87,3,FALSE)="",Setup!$B$15,VLOOKUP($E116,Setup!$A$76:$C$87,3,FALSE)),Setup!$B$15),2))</f>
        <v/>
      </c>
      <c r="P116" s="99" t="n"/>
      <c r="Q116" s="99" t="n"/>
      <c r="R116" s="99" t="n"/>
      <c r="S116" s="99" t="n"/>
      <c r="T116" s="99" t="n"/>
      <c r="U116" s="90">
        <f>IF($K116="","",SUM($R116:$T116))</f>
        <v/>
      </c>
      <c r="V116" s="90">
        <f>IF($K116="","",$M116-(N($N116)+N($O116)+IF($P116="",Setup!$B$17,$P116)+N($Q116))-N($U116))</f>
        <v/>
      </c>
      <c r="W116" s="95" t="n"/>
      <c r="X116" s="96" t="n"/>
      <c r="Z116" s="93">
        <f>IF($A116="","",DATE(YEAR($A116),MONTH($A116),1))</f>
        <v/>
      </c>
    </row>
    <row r="117">
      <c r="A117" s="86" t="n"/>
      <c r="B117" s="87" t="n"/>
      <c r="C117" s="87" t="n"/>
      <c r="D117" s="88" t="n"/>
      <c r="E117" s="88" t="n"/>
      <c r="F117" s="88" t="n"/>
      <c r="G117" s="88" t="n"/>
      <c r="H117" s="89" t="n"/>
      <c r="I117" s="90">
        <f>IF($G117="","",IF($F117="",IFERROR(INDEX(Setup!$C$21:$C$60,MATCH("|"&amp;UPPER(TRIM($G117)),Setup!$Q$21:$Q$60,0)),"NO RATE"),IFERROR(INDEX(Setup!$C$21:$C$60,MATCH(UPPER(TRIM($F117))&amp;"|"&amp;UPPER(TRIM($G117)),Setup!$P$21:$P$60,0)),IFERROR(INDEX(Setup!$C$21:$C$60,MATCH(UPPER(TRIM($G117))&amp;"|"&amp;UPPER(TRIM($F117)),Setup!$P$21:$P$60,0)),"NO RATE"))))</f>
        <v/>
      </c>
      <c r="J117" s="91" t="n"/>
      <c r="K117" s="90">
        <f>IF(OR($G117="",$H117="",NOT(ISNUMBER($I117))),"",ROUND($H117*$I117*(1+IF($J117="",Setup!$B$16,$J117)),2))</f>
        <v/>
      </c>
      <c r="L117" s="90">
        <f>IF($K117="","",ROUND($K117*Setup!$B$13,2))</f>
        <v/>
      </c>
      <c r="M117" s="90">
        <f>IF($K117="","",$K117-$L117)</f>
        <v/>
      </c>
      <c r="N117" s="90">
        <f>IF(OR($M117="",$D117=""),"",ROUND($M117*IFERROR(IF(VLOOKUP($D117,Setup!$A$76:$C$87,3,FALSE)="",Setup!$B$14,VLOOKUP($D117,Setup!$A$76:$C$87,3,FALSE)),Setup!$B$14),2))</f>
        <v/>
      </c>
      <c r="O117" s="90">
        <f>IF(OR($M117="",$E117=""),"",ROUND($M117*IFERROR(IF(VLOOKUP($E117,Setup!$A$76:$C$87,3,FALSE)="",Setup!$B$15,VLOOKUP($E117,Setup!$A$76:$C$87,3,FALSE)),Setup!$B$15),2))</f>
        <v/>
      </c>
      <c r="P117" s="92" t="n"/>
      <c r="Q117" s="92" t="n"/>
      <c r="R117" s="92" t="n"/>
      <c r="S117" s="92" t="n"/>
      <c r="T117" s="92" t="n"/>
      <c r="U117" s="90">
        <f>IF($K117="","",SUM($R117:$T117))</f>
        <v/>
      </c>
      <c r="V117" s="90">
        <f>IF($K117="","",$M117-(N($N117)+N($O117)+IF($P117="",Setup!$B$17,$P117)+N($Q117))-N($U117))</f>
        <v/>
      </c>
      <c r="W117" s="87" t="n"/>
      <c r="X117" s="88" t="n"/>
      <c r="Z117" s="93">
        <f>IF($A117="","",DATE(YEAR($A117),MONTH($A117),1))</f>
        <v/>
      </c>
    </row>
    <row r="118">
      <c r="A118" s="94" t="n"/>
      <c r="B118" s="95" t="n"/>
      <c r="C118" s="95" t="n"/>
      <c r="D118" s="96" t="n"/>
      <c r="E118" s="96" t="n"/>
      <c r="F118" s="96" t="n"/>
      <c r="G118" s="96" t="n"/>
      <c r="H118" s="97" t="n"/>
      <c r="I118" s="90">
        <f>IF($G118="","",IF($F118="",IFERROR(INDEX(Setup!$C$21:$C$60,MATCH("|"&amp;UPPER(TRIM($G118)),Setup!$Q$21:$Q$60,0)),"NO RATE"),IFERROR(INDEX(Setup!$C$21:$C$60,MATCH(UPPER(TRIM($F118))&amp;"|"&amp;UPPER(TRIM($G118)),Setup!$P$21:$P$60,0)),IFERROR(INDEX(Setup!$C$21:$C$60,MATCH(UPPER(TRIM($G118))&amp;"|"&amp;UPPER(TRIM($F118)),Setup!$P$21:$P$60,0)),"NO RATE"))))</f>
        <v/>
      </c>
      <c r="J118" s="98" t="n"/>
      <c r="K118" s="90">
        <f>IF(OR($G118="",$H118="",NOT(ISNUMBER($I118))),"",ROUND($H118*$I118*(1+IF($J118="",Setup!$B$16,$J118)),2))</f>
        <v/>
      </c>
      <c r="L118" s="90">
        <f>IF($K118="","",ROUND($K118*Setup!$B$13,2))</f>
        <v/>
      </c>
      <c r="M118" s="90">
        <f>IF($K118="","",$K118-$L118)</f>
        <v/>
      </c>
      <c r="N118" s="90">
        <f>IF(OR($M118="",$D118=""),"",ROUND($M118*IFERROR(IF(VLOOKUP($D118,Setup!$A$76:$C$87,3,FALSE)="",Setup!$B$14,VLOOKUP($D118,Setup!$A$76:$C$87,3,FALSE)),Setup!$B$14),2))</f>
        <v/>
      </c>
      <c r="O118" s="90">
        <f>IF(OR($M118="",$E118=""),"",ROUND($M118*IFERROR(IF(VLOOKUP($E118,Setup!$A$76:$C$87,3,FALSE)="",Setup!$B$15,VLOOKUP($E118,Setup!$A$76:$C$87,3,FALSE)),Setup!$B$15),2))</f>
        <v/>
      </c>
      <c r="P118" s="99" t="n"/>
      <c r="Q118" s="99" t="n"/>
      <c r="R118" s="99" t="n"/>
      <c r="S118" s="99" t="n"/>
      <c r="T118" s="99" t="n"/>
      <c r="U118" s="90">
        <f>IF($K118="","",SUM($R118:$T118))</f>
        <v/>
      </c>
      <c r="V118" s="90">
        <f>IF($K118="","",$M118-(N($N118)+N($O118)+IF($P118="",Setup!$B$17,$P118)+N($Q118))-N($U118))</f>
        <v/>
      </c>
      <c r="W118" s="95" t="n"/>
      <c r="X118" s="96" t="n"/>
      <c r="Z118" s="93">
        <f>IF($A118="","",DATE(YEAR($A118),MONTH($A118),1))</f>
        <v/>
      </c>
    </row>
    <row r="119">
      <c r="A119" s="86" t="n"/>
      <c r="B119" s="87" t="n"/>
      <c r="C119" s="87" t="n"/>
      <c r="D119" s="88" t="n"/>
      <c r="E119" s="88" t="n"/>
      <c r="F119" s="88" t="n"/>
      <c r="G119" s="88" t="n"/>
      <c r="H119" s="89" t="n"/>
      <c r="I119" s="90">
        <f>IF($G119="","",IF($F119="",IFERROR(INDEX(Setup!$C$21:$C$60,MATCH("|"&amp;UPPER(TRIM($G119)),Setup!$Q$21:$Q$60,0)),"NO RATE"),IFERROR(INDEX(Setup!$C$21:$C$60,MATCH(UPPER(TRIM($F119))&amp;"|"&amp;UPPER(TRIM($G119)),Setup!$P$21:$P$60,0)),IFERROR(INDEX(Setup!$C$21:$C$60,MATCH(UPPER(TRIM($G119))&amp;"|"&amp;UPPER(TRIM($F119)),Setup!$P$21:$P$60,0)),"NO RATE"))))</f>
        <v/>
      </c>
      <c r="J119" s="91" t="n"/>
      <c r="K119" s="90">
        <f>IF(OR($G119="",$H119="",NOT(ISNUMBER($I119))),"",ROUND($H119*$I119*(1+IF($J119="",Setup!$B$16,$J119)),2))</f>
        <v/>
      </c>
      <c r="L119" s="90">
        <f>IF($K119="","",ROUND($K119*Setup!$B$13,2))</f>
        <v/>
      </c>
      <c r="M119" s="90">
        <f>IF($K119="","",$K119-$L119)</f>
        <v/>
      </c>
      <c r="N119" s="90">
        <f>IF(OR($M119="",$D119=""),"",ROUND($M119*IFERROR(IF(VLOOKUP($D119,Setup!$A$76:$C$87,3,FALSE)="",Setup!$B$14,VLOOKUP($D119,Setup!$A$76:$C$87,3,FALSE)),Setup!$B$14),2))</f>
        <v/>
      </c>
      <c r="O119" s="90">
        <f>IF(OR($M119="",$E119=""),"",ROUND($M119*IFERROR(IF(VLOOKUP($E119,Setup!$A$76:$C$87,3,FALSE)="",Setup!$B$15,VLOOKUP($E119,Setup!$A$76:$C$87,3,FALSE)),Setup!$B$15),2))</f>
        <v/>
      </c>
      <c r="P119" s="92" t="n"/>
      <c r="Q119" s="92" t="n"/>
      <c r="R119" s="92" t="n"/>
      <c r="S119" s="92" t="n"/>
      <c r="T119" s="92" t="n"/>
      <c r="U119" s="90">
        <f>IF($K119="","",SUM($R119:$T119))</f>
        <v/>
      </c>
      <c r="V119" s="90">
        <f>IF($K119="","",$M119-(N($N119)+N($O119)+IF($P119="",Setup!$B$17,$P119)+N($Q119))-N($U119))</f>
        <v/>
      </c>
      <c r="W119" s="87" t="n"/>
      <c r="X119" s="88" t="n"/>
      <c r="Z119" s="93">
        <f>IF($A119="","",DATE(YEAR($A119),MONTH($A119),1))</f>
        <v/>
      </c>
    </row>
    <row r="120">
      <c r="A120" s="94" t="n"/>
      <c r="B120" s="95" t="n"/>
      <c r="C120" s="95" t="n"/>
      <c r="D120" s="96" t="n"/>
      <c r="E120" s="96" t="n"/>
      <c r="F120" s="96" t="n"/>
      <c r="G120" s="96" t="n"/>
      <c r="H120" s="97" t="n"/>
      <c r="I120" s="90">
        <f>IF($G120="","",IF($F120="",IFERROR(INDEX(Setup!$C$21:$C$60,MATCH("|"&amp;UPPER(TRIM($G120)),Setup!$Q$21:$Q$60,0)),"NO RATE"),IFERROR(INDEX(Setup!$C$21:$C$60,MATCH(UPPER(TRIM($F120))&amp;"|"&amp;UPPER(TRIM($G120)),Setup!$P$21:$P$60,0)),IFERROR(INDEX(Setup!$C$21:$C$60,MATCH(UPPER(TRIM($G120))&amp;"|"&amp;UPPER(TRIM($F120)),Setup!$P$21:$P$60,0)),"NO RATE"))))</f>
        <v/>
      </c>
      <c r="J120" s="98" t="n"/>
      <c r="K120" s="90">
        <f>IF(OR($G120="",$H120="",NOT(ISNUMBER($I120))),"",ROUND($H120*$I120*(1+IF($J120="",Setup!$B$16,$J120)),2))</f>
        <v/>
      </c>
      <c r="L120" s="90">
        <f>IF($K120="","",ROUND($K120*Setup!$B$13,2))</f>
        <v/>
      </c>
      <c r="M120" s="90">
        <f>IF($K120="","",$K120-$L120)</f>
        <v/>
      </c>
      <c r="N120" s="90">
        <f>IF(OR($M120="",$D120=""),"",ROUND($M120*IFERROR(IF(VLOOKUP($D120,Setup!$A$76:$C$87,3,FALSE)="",Setup!$B$14,VLOOKUP($D120,Setup!$A$76:$C$87,3,FALSE)),Setup!$B$14),2))</f>
        <v/>
      </c>
      <c r="O120" s="90">
        <f>IF(OR($M120="",$E120=""),"",ROUND($M120*IFERROR(IF(VLOOKUP($E120,Setup!$A$76:$C$87,3,FALSE)="",Setup!$B$15,VLOOKUP($E120,Setup!$A$76:$C$87,3,FALSE)),Setup!$B$15),2))</f>
        <v/>
      </c>
      <c r="P120" s="99" t="n"/>
      <c r="Q120" s="99" t="n"/>
      <c r="R120" s="99" t="n"/>
      <c r="S120" s="99" t="n"/>
      <c r="T120" s="99" t="n"/>
      <c r="U120" s="90">
        <f>IF($K120="","",SUM($R120:$T120))</f>
        <v/>
      </c>
      <c r="V120" s="90">
        <f>IF($K120="","",$M120-(N($N120)+N($O120)+IF($P120="",Setup!$B$17,$P120)+N($Q120))-N($U120))</f>
        <v/>
      </c>
      <c r="W120" s="95" t="n"/>
      <c r="X120" s="96" t="n"/>
      <c r="Z120" s="93">
        <f>IF($A120="","",DATE(YEAR($A120),MONTH($A120),1))</f>
        <v/>
      </c>
    </row>
    <row r="121">
      <c r="A121" s="86" t="n"/>
      <c r="B121" s="87" t="n"/>
      <c r="C121" s="87" t="n"/>
      <c r="D121" s="88" t="n"/>
      <c r="E121" s="88" t="n"/>
      <c r="F121" s="88" t="n"/>
      <c r="G121" s="88" t="n"/>
      <c r="H121" s="89" t="n"/>
      <c r="I121" s="90">
        <f>IF($G121="","",IF($F121="",IFERROR(INDEX(Setup!$C$21:$C$60,MATCH("|"&amp;UPPER(TRIM($G121)),Setup!$Q$21:$Q$60,0)),"NO RATE"),IFERROR(INDEX(Setup!$C$21:$C$60,MATCH(UPPER(TRIM($F121))&amp;"|"&amp;UPPER(TRIM($G121)),Setup!$P$21:$P$60,0)),IFERROR(INDEX(Setup!$C$21:$C$60,MATCH(UPPER(TRIM($G121))&amp;"|"&amp;UPPER(TRIM($F121)),Setup!$P$21:$P$60,0)),"NO RATE"))))</f>
        <v/>
      </c>
      <c r="J121" s="91" t="n"/>
      <c r="K121" s="90">
        <f>IF(OR($G121="",$H121="",NOT(ISNUMBER($I121))),"",ROUND($H121*$I121*(1+IF($J121="",Setup!$B$16,$J121)),2))</f>
        <v/>
      </c>
      <c r="L121" s="90">
        <f>IF($K121="","",ROUND($K121*Setup!$B$13,2))</f>
        <v/>
      </c>
      <c r="M121" s="90">
        <f>IF($K121="","",$K121-$L121)</f>
        <v/>
      </c>
      <c r="N121" s="90">
        <f>IF(OR($M121="",$D121=""),"",ROUND($M121*IFERROR(IF(VLOOKUP($D121,Setup!$A$76:$C$87,3,FALSE)="",Setup!$B$14,VLOOKUP($D121,Setup!$A$76:$C$87,3,FALSE)),Setup!$B$14),2))</f>
        <v/>
      </c>
      <c r="O121" s="90">
        <f>IF(OR($M121="",$E121=""),"",ROUND($M121*IFERROR(IF(VLOOKUP($E121,Setup!$A$76:$C$87,3,FALSE)="",Setup!$B$15,VLOOKUP($E121,Setup!$A$76:$C$87,3,FALSE)),Setup!$B$15),2))</f>
        <v/>
      </c>
      <c r="P121" s="92" t="n"/>
      <c r="Q121" s="92" t="n"/>
      <c r="R121" s="92" t="n"/>
      <c r="S121" s="92" t="n"/>
      <c r="T121" s="92" t="n"/>
      <c r="U121" s="90">
        <f>IF($K121="","",SUM($R121:$T121))</f>
        <v/>
      </c>
      <c r="V121" s="90">
        <f>IF($K121="","",$M121-(N($N121)+N($O121)+IF($P121="",Setup!$B$17,$P121)+N($Q121))-N($U121))</f>
        <v/>
      </c>
      <c r="W121" s="87" t="n"/>
      <c r="X121" s="88" t="n"/>
      <c r="Z121" s="93">
        <f>IF($A121="","",DATE(YEAR($A121),MONTH($A121),1))</f>
        <v/>
      </c>
    </row>
    <row r="122">
      <c r="A122" s="94" t="n"/>
      <c r="B122" s="95" t="n"/>
      <c r="C122" s="95" t="n"/>
      <c r="D122" s="96" t="n"/>
      <c r="E122" s="96" t="n"/>
      <c r="F122" s="96" t="n"/>
      <c r="G122" s="96" t="n"/>
      <c r="H122" s="97" t="n"/>
      <c r="I122" s="90">
        <f>IF($G122="","",IF($F122="",IFERROR(INDEX(Setup!$C$21:$C$60,MATCH("|"&amp;UPPER(TRIM($G122)),Setup!$Q$21:$Q$60,0)),"NO RATE"),IFERROR(INDEX(Setup!$C$21:$C$60,MATCH(UPPER(TRIM($F122))&amp;"|"&amp;UPPER(TRIM($G122)),Setup!$P$21:$P$60,0)),IFERROR(INDEX(Setup!$C$21:$C$60,MATCH(UPPER(TRIM($G122))&amp;"|"&amp;UPPER(TRIM($F122)),Setup!$P$21:$P$60,0)),"NO RATE"))))</f>
        <v/>
      </c>
      <c r="J122" s="98" t="n"/>
      <c r="K122" s="90">
        <f>IF(OR($G122="",$H122="",NOT(ISNUMBER($I122))),"",ROUND($H122*$I122*(1+IF($J122="",Setup!$B$16,$J122)),2))</f>
        <v/>
      </c>
      <c r="L122" s="90">
        <f>IF($K122="","",ROUND($K122*Setup!$B$13,2))</f>
        <v/>
      </c>
      <c r="M122" s="90">
        <f>IF($K122="","",$K122-$L122)</f>
        <v/>
      </c>
      <c r="N122" s="90">
        <f>IF(OR($M122="",$D122=""),"",ROUND($M122*IFERROR(IF(VLOOKUP($D122,Setup!$A$76:$C$87,3,FALSE)="",Setup!$B$14,VLOOKUP($D122,Setup!$A$76:$C$87,3,FALSE)),Setup!$B$14),2))</f>
        <v/>
      </c>
      <c r="O122" s="90">
        <f>IF(OR($M122="",$E122=""),"",ROUND($M122*IFERROR(IF(VLOOKUP($E122,Setup!$A$76:$C$87,3,FALSE)="",Setup!$B$15,VLOOKUP($E122,Setup!$A$76:$C$87,3,FALSE)),Setup!$B$15),2))</f>
        <v/>
      </c>
      <c r="P122" s="99" t="n"/>
      <c r="Q122" s="99" t="n"/>
      <c r="R122" s="99" t="n"/>
      <c r="S122" s="99" t="n"/>
      <c r="T122" s="99" t="n"/>
      <c r="U122" s="90">
        <f>IF($K122="","",SUM($R122:$T122))</f>
        <v/>
      </c>
      <c r="V122" s="90">
        <f>IF($K122="","",$M122-(N($N122)+N($O122)+IF($P122="",Setup!$B$17,$P122)+N($Q122))-N($U122))</f>
        <v/>
      </c>
      <c r="W122" s="95" t="n"/>
      <c r="X122" s="96" t="n"/>
      <c r="Z122" s="93">
        <f>IF($A122="","",DATE(YEAR($A122),MONTH($A122),1))</f>
        <v/>
      </c>
    </row>
    <row r="123">
      <c r="A123" s="86" t="n"/>
      <c r="B123" s="87" t="n"/>
      <c r="C123" s="87" t="n"/>
      <c r="D123" s="88" t="n"/>
      <c r="E123" s="88" t="n"/>
      <c r="F123" s="88" t="n"/>
      <c r="G123" s="88" t="n"/>
      <c r="H123" s="89" t="n"/>
      <c r="I123" s="90">
        <f>IF($G123="","",IF($F123="",IFERROR(INDEX(Setup!$C$21:$C$60,MATCH("|"&amp;UPPER(TRIM($G123)),Setup!$Q$21:$Q$60,0)),"NO RATE"),IFERROR(INDEX(Setup!$C$21:$C$60,MATCH(UPPER(TRIM($F123))&amp;"|"&amp;UPPER(TRIM($G123)),Setup!$P$21:$P$60,0)),IFERROR(INDEX(Setup!$C$21:$C$60,MATCH(UPPER(TRIM($G123))&amp;"|"&amp;UPPER(TRIM($F123)),Setup!$P$21:$P$60,0)),"NO RATE"))))</f>
        <v/>
      </c>
      <c r="J123" s="91" t="n"/>
      <c r="K123" s="90">
        <f>IF(OR($G123="",$H123="",NOT(ISNUMBER($I123))),"",ROUND($H123*$I123*(1+IF($J123="",Setup!$B$16,$J123)),2))</f>
        <v/>
      </c>
      <c r="L123" s="90">
        <f>IF($K123="","",ROUND($K123*Setup!$B$13,2))</f>
        <v/>
      </c>
      <c r="M123" s="90">
        <f>IF($K123="","",$K123-$L123)</f>
        <v/>
      </c>
      <c r="N123" s="90">
        <f>IF(OR($M123="",$D123=""),"",ROUND($M123*IFERROR(IF(VLOOKUP($D123,Setup!$A$76:$C$87,3,FALSE)="",Setup!$B$14,VLOOKUP($D123,Setup!$A$76:$C$87,3,FALSE)),Setup!$B$14),2))</f>
        <v/>
      </c>
      <c r="O123" s="90">
        <f>IF(OR($M123="",$E123=""),"",ROUND($M123*IFERROR(IF(VLOOKUP($E123,Setup!$A$76:$C$87,3,FALSE)="",Setup!$B$15,VLOOKUP($E123,Setup!$A$76:$C$87,3,FALSE)),Setup!$B$15),2))</f>
        <v/>
      </c>
      <c r="P123" s="92" t="n"/>
      <c r="Q123" s="92" t="n"/>
      <c r="R123" s="92" t="n"/>
      <c r="S123" s="92" t="n"/>
      <c r="T123" s="92" t="n"/>
      <c r="U123" s="90">
        <f>IF($K123="","",SUM($R123:$T123))</f>
        <v/>
      </c>
      <c r="V123" s="90">
        <f>IF($K123="","",$M123-(N($N123)+N($O123)+IF($P123="",Setup!$B$17,$P123)+N($Q123))-N($U123))</f>
        <v/>
      </c>
      <c r="W123" s="87" t="n"/>
      <c r="X123" s="88" t="n"/>
      <c r="Z123" s="93">
        <f>IF($A123="","",DATE(YEAR($A123),MONTH($A123),1))</f>
        <v/>
      </c>
    </row>
    <row r="124">
      <c r="A124" s="94" t="n"/>
      <c r="B124" s="95" t="n"/>
      <c r="C124" s="95" t="n"/>
      <c r="D124" s="96" t="n"/>
      <c r="E124" s="96" t="n"/>
      <c r="F124" s="96" t="n"/>
      <c r="G124" s="96" t="n"/>
      <c r="H124" s="97" t="n"/>
      <c r="I124" s="90">
        <f>IF($G124="","",IF($F124="",IFERROR(INDEX(Setup!$C$21:$C$60,MATCH("|"&amp;UPPER(TRIM($G124)),Setup!$Q$21:$Q$60,0)),"NO RATE"),IFERROR(INDEX(Setup!$C$21:$C$60,MATCH(UPPER(TRIM($F124))&amp;"|"&amp;UPPER(TRIM($G124)),Setup!$P$21:$P$60,0)),IFERROR(INDEX(Setup!$C$21:$C$60,MATCH(UPPER(TRIM($G124))&amp;"|"&amp;UPPER(TRIM($F124)),Setup!$P$21:$P$60,0)),"NO RATE"))))</f>
        <v/>
      </c>
      <c r="J124" s="98" t="n"/>
      <c r="K124" s="90">
        <f>IF(OR($G124="",$H124="",NOT(ISNUMBER($I124))),"",ROUND($H124*$I124*(1+IF($J124="",Setup!$B$16,$J124)),2))</f>
        <v/>
      </c>
      <c r="L124" s="90">
        <f>IF($K124="","",ROUND($K124*Setup!$B$13,2))</f>
        <v/>
      </c>
      <c r="M124" s="90">
        <f>IF($K124="","",$K124-$L124)</f>
        <v/>
      </c>
      <c r="N124" s="90">
        <f>IF(OR($M124="",$D124=""),"",ROUND($M124*IFERROR(IF(VLOOKUP($D124,Setup!$A$76:$C$87,3,FALSE)="",Setup!$B$14,VLOOKUP($D124,Setup!$A$76:$C$87,3,FALSE)),Setup!$B$14),2))</f>
        <v/>
      </c>
      <c r="O124" s="90">
        <f>IF(OR($M124="",$E124=""),"",ROUND($M124*IFERROR(IF(VLOOKUP($E124,Setup!$A$76:$C$87,3,FALSE)="",Setup!$B$15,VLOOKUP($E124,Setup!$A$76:$C$87,3,FALSE)),Setup!$B$15),2))</f>
        <v/>
      </c>
      <c r="P124" s="99" t="n"/>
      <c r="Q124" s="99" t="n"/>
      <c r="R124" s="99" t="n"/>
      <c r="S124" s="99" t="n"/>
      <c r="T124" s="99" t="n"/>
      <c r="U124" s="90">
        <f>IF($K124="","",SUM($R124:$T124))</f>
        <v/>
      </c>
      <c r="V124" s="90">
        <f>IF($K124="","",$M124-(N($N124)+N($O124)+IF($P124="",Setup!$B$17,$P124)+N($Q124))-N($U124))</f>
        <v/>
      </c>
      <c r="W124" s="95" t="n"/>
      <c r="X124" s="96" t="n"/>
      <c r="Z124" s="93">
        <f>IF($A124="","",DATE(YEAR($A124),MONTH($A124),1))</f>
        <v/>
      </c>
    </row>
    <row r="125">
      <c r="A125" s="86" t="n"/>
      <c r="B125" s="87" t="n"/>
      <c r="C125" s="87" t="n"/>
      <c r="D125" s="88" t="n"/>
      <c r="E125" s="88" t="n"/>
      <c r="F125" s="88" t="n"/>
      <c r="G125" s="88" t="n"/>
      <c r="H125" s="89" t="n"/>
      <c r="I125" s="90">
        <f>IF($G125="","",IF($F125="",IFERROR(INDEX(Setup!$C$21:$C$60,MATCH("|"&amp;UPPER(TRIM($G125)),Setup!$Q$21:$Q$60,0)),"NO RATE"),IFERROR(INDEX(Setup!$C$21:$C$60,MATCH(UPPER(TRIM($F125))&amp;"|"&amp;UPPER(TRIM($G125)),Setup!$P$21:$P$60,0)),IFERROR(INDEX(Setup!$C$21:$C$60,MATCH(UPPER(TRIM($G125))&amp;"|"&amp;UPPER(TRIM($F125)),Setup!$P$21:$P$60,0)),"NO RATE"))))</f>
        <v/>
      </c>
      <c r="J125" s="91" t="n"/>
      <c r="K125" s="90">
        <f>IF(OR($G125="",$H125="",NOT(ISNUMBER($I125))),"",ROUND($H125*$I125*(1+IF($J125="",Setup!$B$16,$J125)),2))</f>
        <v/>
      </c>
      <c r="L125" s="90">
        <f>IF($K125="","",ROUND($K125*Setup!$B$13,2))</f>
        <v/>
      </c>
      <c r="M125" s="90">
        <f>IF($K125="","",$K125-$L125)</f>
        <v/>
      </c>
      <c r="N125" s="90">
        <f>IF(OR($M125="",$D125=""),"",ROUND($M125*IFERROR(IF(VLOOKUP($D125,Setup!$A$76:$C$87,3,FALSE)="",Setup!$B$14,VLOOKUP($D125,Setup!$A$76:$C$87,3,FALSE)),Setup!$B$14),2))</f>
        <v/>
      </c>
      <c r="O125" s="90">
        <f>IF(OR($M125="",$E125=""),"",ROUND($M125*IFERROR(IF(VLOOKUP($E125,Setup!$A$76:$C$87,3,FALSE)="",Setup!$B$15,VLOOKUP($E125,Setup!$A$76:$C$87,3,FALSE)),Setup!$B$15),2))</f>
        <v/>
      </c>
      <c r="P125" s="92" t="n"/>
      <c r="Q125" s="92" t="n"/>
      <c r="R125" s="92" t="n"/>
      <c r="S125" s="92" t="n"/>
      <c r="T125" s="92" t="n"/>
      <c r="U125" s="90">
        <f>IF($K125="","",SUM($R125:$T125))</f>
        <v/>
      </c>
      <c r="V125" s="90">
        <f>IF($K125="","",$M125-(N($N125)+N($O125)+IF($P125="",Setup!$B$17,$P125)+N($Q125))-N($U125))</f>
        <v/>
      </c>
      <c r="W125" s="87" t="n"/>
      <c r="X125" s="88" t="n"/>
      <c r="Z125" s="93">
        <f>IF($A125="","",DATE(YEAR($A125),MONTH($A125),1))</f>
        <v/>
      </c>
    </row>
    <row r="126">
      <c r="A126" s="94" t="n"/>
      <c r="B126" s="95" t="n"/>
      <c r="C126" s="95" t="n"/>
      <c r="D126" s="96" t="n"/>
      <c r="E126" s="96" t="n"/>
      <c r="F126" s="96" t="n"/>
      <c r="G126" s="96" t="n"/>
      <c r="H126" s="97" t="n"/>
      <c r="I126" s="90">
        <f>IF($G126="","",IF($F126="",IFERROR(INDEX(Setup!$C$21:$C$60,MATCH("|"&amp;UPPER(TRIM($G126)),Setup!$Q$21:$Q$60,0)),"NO RATE"),IFERROR(INDEX(Setup!$C$21:$C$60,MATCH(UPPER(TRIM($F126))&amp;"|"&amp;UPPER(TRIM($G126)),Setup!$P$21:$P$60,0)),IFERROR(INDEX(Setup!$C$21:$C$60,MATCH(UPPER(TRIM($G126))&amp;"|"&amp;UPPER(TRIM($F126)),Setup!$P$21:$P$60,0)),"NO RATE"))))</f>
        <v/>
      </c>
      <c r="J126" s="98" t="n"/>
      <c r="K126" s="90">
        <f>IF(OR($G126="",$H126="",NOT(ISNUMBER($I126))),"",ROUND($H126*$I126*(1+IF($J126="",Setup!$B$16,$J126)),2))</f>
        <v/>
      </c>
      <c r="L126" s="90">
        <f>IF($K126="","",ROUND($K126*Setup!$B$13,2))</f>
        <v/>
      </c>
      <c r="M126" s="90">
        <f>IF($K126="","",$K126-$L126)</f>
        <v/>
      </c>
      <c r="N126" s="90">
        <f>IF(OR($M126="",$D126=""),"",ROUND($M126*IFERROR(IF(VLOOKUP($D126,Setup!$A$76:$C$87,3,FALSE)="",Setup!$B$14,VLOOKUP($D126,Setup!$A$76:$C$87,3,FALSE)),Setup!$B$14),2))</f>
        <v/>
      </c>
      <c r="O126" s="90">
        <f>IF(OR($M126="",$E126=""),"",ROUND($M126*IFERROR(IF(VLOOKUP($E126,Setup!$A$76:$C$87,3,FALSE)="",Setup!$B$15,VLOOKUP($E126,Setup!$A$76:$C$87,3,FALSE)),Setup!$B$15),2))</f>
        <v/>
      </c>
      <c r="P126" s="99" t="n"/>
      <c r="Q126" s="99" t="n"/>
      <c r="R126" s="99" t="n"/>
      <c r="S126" s="99" t="n"/>
      <c r="T126" s="99" t="n"/>
      <c r="U126" s="90">
        <f>IF($K126="","",SUM($R126:$T126))</f>
        <v/>
      </c>
      <c r="V126" s="90">
        <f>IF($K126="","",$M126-(N($N126)+N($O126)+IF($P126="",Setup!$B$17,$P126)+N($Q126))-N($U126))</f>
        <v/>
      </c>
      <c r="W126" s="95" t="n"/>
      <c r="X126" s="96" t="n"/>
      <c r="Z126" s="93">
        <f>IF($A126="","",DATE(YEAR($A126),MONTH($A126),1))</f>
        <v/>
      </c>
    </row>
    <row r="127">
      <c r="A127" s="86" t="n"/>
      <c r="B127" s="87" t="n"/>
      <c r="C127" s="87" t="n"/>
      <c r="D127" s="88" t="n"/>
      <c r="E127" s="88" t="n"/>
      <c r="F127" s="88" t="n"/>
      <c r="G127" s="88" t="n"/>
      <c r="H127" s="89" t="n"/>
      <c r="I127" s="90">
        <f>IF($G127="","",IF($F127="",IFERROR(INDEX(Setup!$C$21:$C$60,MATCH("|"&amp;UPPER(TRIM($G127)),Setup!$Q$21:$Q$60,0)),"NO RATE"),IFERROR(INDEX(Setup!$C$21:$C$60,MATCH(UPPER(TRIM($F127))&amp;"|"&amp;UPPER(TRIM($G127)),Setup!$P$21:$P$60,0)),IFERROR(INDEX(Setup!$C$21:$C$60,MATCH(UPPER(TRIM($G127))&amp;"|"&amp;UPPER(TRIM($F127)),Setup!$P$21:$P$60,0)),"NO RATE"))))</f>
        <v/>
      </c>
      <c r="J127" s="91" t="n"/>
      <c r="K127" s="90">
        <f>IF(OR($G127="",$H127="",NOT(ISNUMBER($I127))),"",ROUND($H127*$I127*(1+IF($J127="",Setup!$B$16,$J127)),2))</f>
        <v/>
      </c>
      <c r="L127" s="90">
        <f>IF($K127="","",ROUND($K127*Setup!$B$13,2))</f>
        <v/>
      </c>
      <c r="M127" s="90">
        <f>IF($K127="","",$K127-$L127)</f>
        <v/>
      </c>
      <c r="N127" s="90">
        <f>IF(OR($M127="",$D127=""),"",ROUND($M127*IFERROR(IF(VLOOKUP($D127,Setup!$A$76:$C$87,3,FALSE)="",Setup!$B$14,VLOOKUP($D127,Setup!$A$76:$C$87,3,FALSE)),Setup!$B$14),2))</f>
        <v/>
      </c>
      <c r="O127" s="90">
        <f>IF(OR($M127="",$E127=""),"",ROUND($M127*IFERROR(IF(VLOOKUP($E127,Setup!$A$76:$C$87,3,FALSE)="",Setup!$B$15,VLOOKUP($E127,Setup!$A$76:$C$87,3,FALSE)),Setup!$B$15),2))</f>
        <v/>
      </c>
      <c r="P127" s="92" t="n"/>
      <c r="Q127" s="92" t="n"/>
      <c r="R127" s="92" t="n"/>
      <c r="S127" s="92" t="n"/>
      <c r="T127" s="92" t="n"/>
      <c r="U127" s="90">
        <f>IF($K127="","",SUM($R127:$T127))</f>
        <v/>
      </c>
      <c r="V127" s="90">
        <f>IF($K127="","",$M127-(N($N127)+N($O127)+IF($P127="",Setup!$B$17,$P127)+N($Q127))-N($U127))</f>
        <v/>
      </c>
      <c r="W127" s="87" t="n"/>
      <c r="X127" s="88" t="n"/>
      <c r="Z127" s="93">
        <f>IF($A127="","",DATE(YEAR($A127),MONTH($A127),1))</f>
        <v/>
      </c>
    </row>
    <row r="128">
      <c r="A128" s="94" t="n"/>
      <c r="B128" s="95" t="n"/>
      <c r="C128" s="95" t="n"/>
      <c r="D128" s="96" t="n"/>
      <c r="E128" s="96" t="n"/>
      <c r="F128" s="96" t="n"/>
      <c r="G128" s="96" t="n"/>
      <c r="H128" s="97" t="n"/>
      <c r="I128" s="90">
        <f>IF($G128="","",IF($F128="",IFERROR(INDEX(Setup!$C$21:$C$60,MATCH("|"&amp;UPPER(TRIM($G128)),Setup!$Q$21:$Q$60,0)),"NO RATE"),IFERROR(INDEX(Setup!$C$21:$C$60,MATCH(UPPER(TRIM($F128))&amp;"|"&amp;UPPER(TRIM($G128)),Setup!$P$21:$P$60,0)),IFERROR(INDEX(Setup!$C$21:$C$60,MATCH(UPPER(TRIM($G128))&amp;"|"&amp;UPPER(TRIM($F128)),Setup!$P$21:$P$60,0)),"NO RATE"))))</f>
        <v/>
      </c>
      <c r="J128" s="98" t="n"/>
      <c r="K128" s="90">
        <f>IF(OR($G128="",$H128="",NOT(ISNUMBER($I128))),"",ROUND($H128*$I128*(1+IF($J128="",Setup!$B$16,$J128)),2))</f>
        <v/>
      </c>
      <c r="L128" s="90">
        <f>IF($K128="","",ROUND($K128*Setup!$B$13,2))</f>
        <v/>
      </c>
      <c r="M128" s="90">
        <f>IF($K128="","",$K128-$L128)</f>
        <v/>
      </c>
      <c r="N128" s="90">
        <f>IF(OR($M128="",$D128=""),"",ROUND($M128*IFERROR(IF(VLOOKUP($D128,Setup!$A$76:$C$87,3,FALSE)="",Setup!$B$14,VLOOKUP($D128,Setup!$A$76:$C$87,3,FALSE)),Setup!$B$14),2))</f>
        <v/>
      </c>
      <c r="O128" s="90">
        <f>IF(OR($M128="",$E128=""),"",ROUND($M128*IFERROR(IF(VLOOKUP($E128,Setup!$A$76:$C$87,3,FALSE)="",Setup!$B$15,VLOOKUP($E128,Setup!$A$76:$C$87,3,FALSE)),Setup!$B$15),2))</f>
        <v/>
      </c>
      <c r="P128" s="99" t="n"/>
      <c r="Q128" s="99" t="n"/>
      <c r="R128" s="99" t="n"/>
      <c r="S128" s="99" t="n"/>
      <c r="T128" s="99" t="n"/>
      <c r="U128" s="90">
        <f>IF($K128="","",SUM($R128:$T128))</f>
        <v/>
      </c>
      <c r="V128" s="90">
        <f>IF($K128="","",$M128-(N($N128)+N($O128)+IF($P128="",Setup!$B$17,$P128)+N($Q128))-N($U128))</f>
        <v/>
      </c>
      <c r="W128" s="95" t="n"/>
      <c r="X128" s="96" t="n"/>
      <c r="Z128" s="93">
        <f>IF($A128="","",DATE(YEAR($A128),MONTH($A128),1))</f>
        <v/>
      </c>
    </row>
    <row r="129">
      <c r="A129" s="86" t="n"/>
      <c r="B129" s="87" t="n"/>
      <c r="C129" s="87" t="n"/>
      <c r="D129" s="88" t="n"/>
      <c r="E129" s="88" t="n"/>
      <c r="F129" s="88" t="n"/>
      <c r="G129" s="88" t="n"/>
      <c r="H129" s="89" t="n"/>
      <c r="I129" s="90">
        <f>IF($G129="","",IF($F129="",IFERROR(INDEX(Setup!$C$21:$C$60,MATCH("|"&amp;UPPER(TRIM($G129)),Setup!$Q$21:$Q$60,0)),"NO RATE"),IFERROR(INDEX(Setup!$C$21:$C$60,MATCH(UPPER(TRIM($F129))&amp;"|"&amp;UPPER(TRIM($G129)),Setup!$P$21:$P$60,0)),IFERROR(INDEX(Setup!$C$21:$C$60,MATCH(UPPER(TRIM($G129))&amp;"|"&amp;UPPER(TRIM($F129)),Setup!$P$21:$P$60,0)),"NO RATE"))))</f>
        <v/>
      </c>
      <c r="J129" s="91" t="n"/>
      <c r="K129" s="90">
        <f>IF(OR($G129="",$H129="",NOT(ISNUMBER($I129))),"",ROUND($H129*$I129*(1+IF($J129="",Setup!$B$16,$J129)),2))</f>
        <v/>
      </c>
      <c r="L129" s="90">
        <f>IF($K129="","",ROUND($K129*Setup!$B$13,2))</f>
        <v/>
      </c>
      <c r="M129" s="90">
        <f>IF($K129="","",$K129-$L129)</f>
        <v/>
      </c>
      <c r="N129" s="90">
        <f>IF(OR($M129="",$D129=""),"",ROUND($M129*IFERROR(IF(VLOOKUP($D129,Setup!$A$76:$C$87,3,FALSE)="",Setup!$B$14,VLOOKUP($D129,Setup!$A$76:$C$87,3,FALSE)),Setup!$B$14),2))</f>
        <v/>
      </c>
      <c r="O129" s="90">
        <f>IF(OR($M129="",$E129=""),"",ROUND($M129*IFERROR(IF(VLOOKUP($E129,Setup!$A$76:$C$87,3,FALSE)="",Setup!$B$15,VLOOKUP($E129,Setup!$A$76:$C$87,3,FALSE)),Setup!$B$15),2))</f>
        <v/>
      </c>
      <c r="P129" s="92" t="n"/>
      <c r="Q129" s="92" t="n"/>
      <c r="R129" s="92" t="n"/>
      <c r="S129" s="92" t="n"/>
      <c r="T129" s="92" t="n"/>
      <c r="U129" s="90">
        <f>IF($K129="","",SUM($R129:$T129))</f>
        <v/>
      </c>
      <c r="V129" s="90">
        <f>IF($K129="","",$M129-(N($N129)+N($O129)+IF($P129="",Setup!$B$17,$P129)+N($Q129))-N($U129))</f>
        <v/>
      </c>
      <c r="W129" s="87" t="n"/>
      <c r="X129" s="88" t="n"/>
      <c r="Z129" s="93">
        <f>IF($A129="","",DATE(YEAR($A129),MONTH($A129),1))</f>
        <v/>
      </c>
    </row>
    <row r="130">
      <c r="A130" s="94" t="n"/>
      <c r="B130" s="95" t="n"/>
      <c r="C130" s="95" t="n"/>
      <c r="D130" s="96" t="n"/>
      <c r="E130" s="96" t="n"/>
      <c r="F130" s="96" t="n"/>
      <c r="G130" s="96" t="n"/>
      <c r="H130" s="97" t="n"/>
      <c r="I130" s="90">
        <f>IF($G130="","",IF($F130="",IFERROR(INDEX(Setup!$C$21:$C$60,MATCH("|"&amp;UPPER(TRIM($G130)),Setup!$Q$21:$Q$60,0)),"NO RATE"),IFERROR(INDEX(Setup!$C$21:$C$60,MATCH(UPPER(TRIM($F130))&amp;"|"&amp;UPPER(TRIM($G130)),Setup!$P$21:$P$60,0)),IFERROR(INDEX(Setup!$C$21:$C$60,MATCH(UPPER(TRIM($G130))&amp;"|"&amp;UPPER(TRIM($F130)),Setup!$P$21:$P$60,0)),"NO RATE"))))</f>
        <v/>
      </c>
      <c r="J130" s="98" t="n"/>
      <c r="K130" s="90">
        <f>IF(OR($G130="",$H130="",NOT(ISNUMBER($I130))),"",ROUND($H130*$I130*(1+IF($J130="",Setup!$B$16,$J130)),2))</f>
        <v/>
      </c>
      <c r="L130" s="90">
        <f>IF($K130="","",ROUND($K130*Setup!$B$13,2))</f>
        <v/>
      </c>
      <c r="M130" s="90">
        <f>IF($K130="","",$K130-$L130)</f>
        <v/>
      </c>
      <c r="N130" s="90">
        <f>IF(OR($M130="",$D130=""),"",ROUND($M130*IFERROR(IF(VLOOKUP($D130,Setup!$A$76:$C$87,3,FALSE)="",Setup!$B$14,VLOOKUP($D130,Setup!$A$76:$C$87,3,FALSE)),Setup!$B$14),2))</f>
        <v/>
      </c>
      <c r="O130" s="90">
        <f>IF(OR($M130="",$E130=""),"",ROUND($M130*IFERROR(IF(VLOOKUP($E130,Setup!$A$76:$C$87,3,FALSE)="",Setup!$B$15,VLOOKUP($E130,Setup!$A$76:$C$87,3,FALSE)),Setup!$B$15),2))</f>
        <v/>
      </c>
      <c r="P130" s="99" t="n"/>
      <c r="Q130" s="99" t="n"/>
      <c r="R130" s="99" t="n"/>
      <c r="S130" s="99" t="n"/>
      <c r="T130" s="99" t="n"/>
      <c r="U130" s="90">
        <f>IF($K130="","",SUM($R130:$T130))</f>
        <v/>
      </c>
      <c r="V130" s="90">
        <f>IF($K130="","",$M130-(N($N130)+N($O130)+IF($P130="",Setup!$B$17,$P130)+N($Q130))-N($U130))</f>
        <v/>
      </c>
      <c r="W130" s="95" t="n"/>
      <c r="X130" s="96" t="n"/>
      <c r="Z130" s="93">
        <f>IF($A130="","",DATE(YEAR($A130),MONTH($A130),1))</f>
        <v/>
      </c>
    </row>
    <row r="131">
      <c r="A131" s="86" t="n"/>
      <c r="B131" s="87" t="n"/>
      <c r="C131" s="87" t="n"/>
      <c r="D131" s="88" t="n"/>
      <c r="E131" s="88" t="n"/>
      <c r="F131" s="88" t="n"/>
      <c r="G131" s="88" t="n"/>
      <c r="H131" s="89" t="n"/>
      <c r="I131" s="90">
        <f>IF($G131="","",IF($F131="",IFERROR(INDEX(Setup!$C$21:$C$60,MATCH("|"&amp;UPPER(TRIM($G131)),Setup!$Q$21:$Q$60,0)),"NO RATE"),IFERROR(INDEX(Setup!$C$21:$C$60,MATCH(UPPER(TRIM($F131))&amp;"|"&amp;UPPER(TRIM($G131)),Setup!$P$21:$P$60,0)),IFERROR(INDEX(Setup!$C$21:$C$60,MATCH(UPPER(TRIM($G131))&amp;"|"&amp;UPPER(TRIM($F131)),Setup!$P$21:$P$60,0)),"NO RATE"))))</f>
        <v/>
      </c>
      <c r="J131" s="91" t="n"/>
      <c r="K131" s="90">
        <f>IF(OR($G131="",$H131="",NOT(ISNUMBER($I131))),"",ROUND($H131*$I131*(1+IF($J131="",Setup!$B$16,$J131)),2))</f>
        <v/>
      </c>
      <c r="L131" s="90">
        <f>IF($K131="","",ROUND($K131*Setup!$B$13,2))</f>
        <v/>
      </c>
      <c r="M131" s="90">
        <f>IF($K131="","",$K131-$L131)</f>
        <v/>
      </c>
      <c r="N131" s="90">
        <f>IF(OR($M131="",$D131=""),"",ROUND($M131*IFERROR(IF(VLOOKUP($D131,Setup!$A$76:$C$87,3,FALSE)="",Setup!$B$14,VLOOKUP($D131,Setup!$A$76:$C$87,3,FALSE)),Setup!$B$14),2))</f>
        <v/>
      </c>
      <c r="O131" s="90">
        <f>IF(OR($M131="",$E131=""),"",ROUND($M131*IFERROR(IF(VLOOKUP($E131,Setup!$A$76:$C$87,3,FALSE)="",Setup!$B$15,VLOOKUP($E131,Setup!$A$76:$C$87,3,FALSE)),Setup!$B$15),2))</f>
        <v/>
      </c>
      <c r="P131" s="92" t="n"/>
      <c r="Q131" s="92" t="n"/>
      <c r="R131" s="92" t="n"/>
      <c r="S131" s="92" t="n"/>
      <c r="T131" s="92" t="n"/>
      <c r="U131" s="90">
        <f>IF($K131="","",SUM($R131:$T131))</f>
        <v/>
      </c>
      <c r="V131" s="90">
        <f>IF($K131="","",$M131-(N($N131)+N($O131)+IF($P131="",Setup!$B$17,$P131)+N($Q131))-N($U131))</f>
        <v/>
      </c>
      <c r="W131" s="87" t="n"/>
      <c r="X131" s="88" t="n"/>
      <c r="Z131" s="93">
        <f>IF($A131="","",DATE(YEAR($A131),MONTH($A131),1))</f>
        <v/>
      </c>
    </row>
    <row r="132">
      <c r="A132" s="94" t="n"/>
      <c r="B132" s="95" t="n"/>
      <c r="C132" s="95" t="n"/>
      <c r="D132" s="96" t="n"/>
      <c r="E132" s="96" t="n"/>
      <c r="F132" s="96" t="n"/>
      <c r="G132" s="96" t="n"/>
      <c r="H132" s="97" t="n"/>
      <c r="I132" s="90">
        <f>IF($G132="","",IF($F132="",IFERROR(INDEX(Setup!$C$21:$C$60,MATCH("|"&amp;UPPER(TRIM($G132)),Setup!$Q$21:$Q$60,0)),"NO RATE"),IFERROR(INDEX(Setup!$C$21:$C$60,MATCH(UPPER(TRIM($F132))&amp;"|"&amp;UPPER(TRIM($G132)),Setup!$P$21:$P$60,0)),IFERROR(INDEX(Setup!$C$21:$C$60,MATCH(UPPER(TRIM($G132))&amp;"|"&amp;UPPER(TRIM($F132)),Setup!$P$21:$P$60,0)),"NO RATE"))))</f>
        <v/>
      </c>
      <c r="J132" s="98" t="n"/>
      <c r="K132" s="90">
        <f>IF(OR($G132="",$H132="",NOT(ISNUMBER($I132))),"",ROUND($H132*$I132*(1+IF($J132="",Setup!$B$16,$J132)),2))</f>
        <v/>
      </c>
      <c r="L132" s="90">
        <f>IF($K132="","",ROUND($K132*Setup!$B$13,2))</f>
        <v/>
      </c>
      <c r="M132" s="90">
        <f>IF($K132="","",$K132-$L132)</f>
        <v/>
      </c>
      <c r="N132" s="90">
        <f>IF(OR($M132="",$D132=""),"",ROUND($M132*IFERROR(IF(VLOOKUP($D132,Setup!$A$76:$C$87,3,FALSE)="",Setup!$B$14,VLOOKUP($D132,Setup!$A$76:$C$87,3,FALSE)),Setup!$B$14),2))</f>
        <v/>
      </c>
      <c r="O132" s="90">
        <f>IF(OR($M132="",$E132=""),"",ROUND($M132*IFERROR(IF(VLOOKUP($E132,Setup!$A$76:$C$87,3,FALSE)="",Setup!$B$15,VLOOKUP($E132,Setup!$A$76:$C$87,3,FALSE)),Setup!$B$15),2))</f>
        <v/>
      </c>
      <c r="P132" s="99" t="n"/>
      <c r="Q132" s="99" t="n"/>
      <c r="R132" s="99" t="n"/>
      <c r="S132" s="99" t="n"/>
      <c r="T132" s="99" t="n"/>
      <c r="U132" s="90">
        <f>IF($K132="","",SUM($R132:$T132))</f>
        <v/>
      </c>
      <c r="V132" s="90">
        <f>IF($K132="","",$M132-(N($N132)+N($O132)+IF($P132="",Setup!$B$17,$P132)+N($Q132))-N($U132))</f>
        <v/>
      </c>
      <c r="W132" s="95" t="n"/>
      <c r="X132" s="96" t="n"/>
      <c r="Z132" s="93">
        <f>IF($A132="","",DATE(YEAR($A132),MONTH($A132),1))</f>
        <v/>
      </c>
    </row>
    <row r="133">
      <c r="A133" s="86" t="n"/>
      <c r="B133" s="87" t="n"/>
      <c r="C133" s="87" t="n"/>
      <c r="D133" s="88" t="n"/>
      <c r="E133" s="88" t="n"/>
      <c r="F133" s="88" t="n"/>
      <c r="G133" s="88" t="n"/>
      <c r="H133" s="89" t="n"/>
      <c r="I133" s="90">
        <f>IF($G133="","",IF($F133="",IFERROR(INDEX(Setup!$C$21:$C$60,MATCH("|"&amp;UPPER(TRIM($G133)),Setup!$Q$21:$Q$60,0)),"NO RATE"),IFERROR(INDEX(Setup!$C$21:$C$60,MATCH(UPPER(TRIM($F133))&amp;"|"&amp;UPPER(TRIM($G133)),Setup!$P$21:$P$60,0)),IFERROR(INDEX(Setup!$C$21:$C$60,MATCH(UPPER(TRIM($G133))&amp;"|"&amp;UPPER(TRIM($F133)),Setup!$P$21:$P$60,0)),"NO RATE"))))</f>
        <v/>
      </c>
      <c r="J133" s="91" t="n"/>
      <c r="K133" s="90">
        <f>IF(OR($G133="",$H133="",NOT(ISNUMBER($I133))),"",ROUND($H133*$I133*(1+IF($J133="",Setup!$B$16,$J133)),2))</f>
        <v/>
      </c>
      <c r="L133" s="90">
        <f>IF($K133="","",ROUND($K133*Setup!$B$13,2))</f>
        <v/>
      </c>
      <c r="M133" s="90">
        <f>IF($K133="","",$K133-$L133)</f>
        <v/>
      </c>
      <c r="N133" s="90">
        <f>IF(OR($M133="",$D133=""),"",ROUND($M133*IFERROR(IF(VLOOKUP($D133,Setup!$A$76:$C$87,3,FALSE)="",Setup!$B$14,VLOOKUP($D133,Setup!$A$76:$C$87,3,FALSE)),Setup!$B$14),2))</f>
        <v/>
      </c>
      <c r="O133" s="90">
        <f>IF(OR($M133="",$E133=""),"",ROUND($M133*IFERROR(IF(VLOOKUP($E133,Setup!$A$76:$C$87,3,FALSE)="",Setup!$B$15,VLOOKUP($E133,Setup!$A$76:$C$87,3,FALSE)),Setup!$B$15),2))</f>
        <v/>
      </c>
      <c r="P133" s="92" t="n"/>
      <c r="Q133" s="92" t="n"/>
      <c r="R133" s="92" t="n"/>
      <c r="S133" s="92" t="n"/>
      <c r="T133" s="92" t="n"/>
      <c r="U133" s="90">
        <f>IF($K133="","",SUM($R133:$T133))</f>
        <v/>
      </c>
      <c r="V133" s="90">
        <f>IF($K133="","",$M133-(N($N133)+N($O133)+IF($P133="",Setup!$B$17,$P133)+N($Q133))-N($U133))</f>
        <v/>
      </c>
      <c r="W133" s="87" t="n"/>
      <c r="X133" s="88" t="n"/>
      <c r="Z133" s="93">
        <f>IF($A133="","",DATE(YEAR($A133),MONTH($A133),1))</f>
        <v/>
      </c>
    </row>
    <row r="134">
      <c r="A134" s="94" t="n"/>
      <c r="B134" s="95" t="n"/>
      <c r="C134" s="95" t="n"/>
      <c r="D134" s="96" t="n"/>
      <c r="E134" s="96" t="n"/>
      <c r="F134" s="96" t="n"/>
      <c r="G134" s="96" t="n"/>
      <c r="H134" s="97" t="n"/>
      <c r="I134" s="90">
        <f>IF($G134="","",IF($F134="",IFERROR(INDEX(Setup!$C$21:$C$60,MATCH("|"&amp;UPPER(TRIM($G134)),Setup!$Q$21:$Q$60,0)),"NO RATE"),IFERROR(INDEX(Setup!$C$21:$C$60,MATCH(UPPER(TRIM($F134))&amp;"|"&amp;UPPER(TRIM($G134)),Setup!$P$21:$P$60,0)),IFERROR(INDEX(Setup!$C$21:$C$60,MATCH(UPPER(TRIM($G134))&amp;"|"&amp;UPPER(TRIM($F134)),Setup!$P$21:$P$60,0)),"NO RATE"))))</f>
        <v/>
      </c>
      <c r="J134" s="98" t="n"/>
      <c r="K134" s="90">
        <f>IF(OR($G134="",$H134="",NOT(ISNUMBER($I134))),"",ROUND($H134*$I134*(1+IF($J134="",Setup!$B$16,$J134)),2))</f>
        <v/>
      </c>
      <c r="L134" s="90">
        <f>IF($K134="","",ROUND($K134*Setup!$B$13,2))</f>
        <v/>
      </c>
      <c r="M134" s="90">
        <f>IF($K134="","",$K134-$L134)</f>
        <v/>
      </c>
      <c r="N134" s="90">
        <f>IF(OR($M134="",$D134=""),"",ROUND($M134*IFERROR(IF(VLOOKUP($D134,Setup!$A$76:$C$87,3,FALSE)="",Setup!$B$14,VLOOKUP($D134,Setup!$A$76:$C$87,3,FALSE)),Setup!$B$14),2))</f>
        <v/>
      </c>
      <c r="O134" s="90">
        <f>IF(OR($M134="",$E134=""),"",ROUND($M134*IFERROR(IF(VLOOKUP($E134,Setup!$A$76:$C$87,3,FALSE)="",Setup!$B$15,VLOOKUP($E134,Setup!$A$76:$C$87,3,FALSE)),Setup!$B$15),2))</f>
        <v/>
      </c>
      <c r="P134" s="99" t="n"/>
      <c r="Q134" s="99" t="n"/>
      <c r="R134" s="99" t="n"/>
      <c r="S134" s="99" t="n"/>
      <c r="T134" s="99" t="n"/>
      <c r="U134" s="90">
        <f>IF($K134="","",SUM($R134:$T134))</f>
        <v/>
      </c>
      <c r="V134" s="90">
        <f>IF($K134="","",$M134-(N($N134)+N($O134)+IF($P134="",Setup!$B$17,$P134)+N($Q134))-N($U134))</f>
        <v/>
      </c>
      <c r="W134" s="95" t="n"/>
      <c r="X134" s="96" t="n"/>
      <c r="Z134" s="93">
        <f>IF($A134="","",DATE(YEAR($A134),MONTH($A134),1))</f>
        <v/>
      </c>
    </row>
    <row r="135">
      <c r="A135" s="86" t="n"/>
      <c r="B135" s="87" t="n"/>
      <c r="C135" s="87" t="n"/>
      <c r="D135" s="88" t="n"/>
      <c r="E135" s="88" t="n"/>
      <c r="F135" s="88" t="n"/>
      <c r="G135" s="88" t="n"/>
      <c r="H135" s="89" t="n"/>
      <c r="I135" s="90">
        <f>IF($G135="","",IF($F135="",IFERROR(INDEX(Setup!$C$21:$C$60,MATCH("|"&amp;UPPER(TRIM($G135)),Setup!$Q$21:$Q$60,0)),"NO RATE"),IFERROR(INDEX(Setup!$C$21:$C$60,MATCH(UPPER(TRIM($F135))&amp;"|"&amp;UPPER(TRIM($G135)),Setup!$P$21:$P$60,0)),IFERROR(INDEX(Setup!$C$21:$C$60,MATCH(UPPER(TRIM($G135))&amp;"|"&amp;UPPER(TRIM($F135)),Setup!$P$21:$P$60,0)),"NO RATE"))))</f>
        <v/>
      </c>
      <c r="J135" s="91" t="n"/>
      <c r="K135" s="90">
        <f>IF(OR($G135="",$H135="",NOT(ISNUMBER($I135))),"",ROUND($H135*$I135*(1+IF($J135="",Setup!$B$16,$J135)),2))</f>
        <v/>
      </c>
      <c r="L135" s="90">
        <f>IF($K135="","",ROUND($K135*Setup!$B$13,2))</f>
        <v/>
      </c>
      <c r="M135" s="90">
        <f>IF($K135="","",$K135-$L135)</f>
        <v/>
      </c>
      <c r="N135" s="90">
        <f>IF(OR($M135="",$D135=""),"",ROUND($M135*IFERROR(IF(VLOOKUP($D135,Setup!$A$76:$C$87,3,FALSE)="",Setup!$B$14,VLOOKUP($D135,Setup!$A$76:$C$87,3,FALSE)),Setup!$B$14),2))</f>
        <v/>
      </c>
      <c r="O135" s="90">
        <f>IF(OR($M135="",$E135=""),"",ROUND($M135*IFERROR(IF(VLOOKUP($E135,Setup!$A$76:$C$87,3,FALSE)="",Setup!$B$15,VLOOKUP($E135,Setup!$A$76:$C$87,3,FALSE)),Setup!$B$15),2))</f>
        <v/>
      </c>
      <c r="P135" s="92" t="n"/>
      <c r="Q135" s="92" t="n"/>
      <c r="R135" s="92" t="n"/>
      <c r="S135" s="92" t="n"/>
      <c r="T135" s="92" t="n"/>
      <c r="U135" s="90">
        <f>IF($K135="","",SUM($R135:$T135))</f>
        <v/>
      </c>
      <c r="V135" s="90">
        <f>IF($K135="","",$M135-(N($N135)+N($O135)+IF($P135="",Setup!$B$17,$P135)+N($Q135))-N($U135))</f>
        <v/>
      </c>
      <c r="W135" s="87" t="n"/>
      <c r="X135" s="88" t="n"/>
      <c r="Z135" s="93">
        <f>IF($A135="","",DATE(YEAR($A135),MONTH($A135),1))</f>
        <v/>
      </c>
    </row>
    <row r="136">
      <c r="A136" s="94" t="n"/>
      <c r="B136" s="95" t="n"/>
      <c r="C136" s="95" t="n"/>
      <c r="D136" s="96" t="n"/>
      <c r="E136" s="96" t="n"/>
      <c r="F136" s="96" t="n"/>
      <c r="G136" s="96" t="n"/>
      <c r="H136" s="97" t="n"/>
      <c r="I136" s="90">
        <f>IF($G136="","",IF($F136="",IFERROR(INDEX(Setup!$C$21:$C$60,MATCH("|"&amp;UPPER(TRIM($G136)),Setup!$Q$21:$Q$60,0)),"NO RATE"),IFERROR(INDEX(Setup!$C$21:$C$60,MATCH(UPPER(TRIM($F136))&amp;"|"&amp;UPPER(TRIM($G136)),Setup!$P$21:$P$60,0)),IFERROR(INDEX(Setup!$C$21:$C$60,MATCH(UPPER(TRIM($G136))&amp;"|"&amp;UPPER(TRIM($F136)),Setup!$P$21:$P$60,0)),"NO RATE"))))</f>
        <v/>
      </c>
      <c r="J136" s="98" t="n"/>
      <c r="K136" s="90">
        <f>IF(OR($G136="",$H136="",NOT(ISNUMBER($I136))),"",ROUND($H136*$I136*(1+IF($J136="",Setup!$B$16,$J136)),2))</f>
        <v/>
      </c>
      <c r="L136" s="90">
        <f>IF($K136="","",ROUND($K136*Setup!$B$13,2))</f>
        <v/>
      </c>
      <c r="M136" s="90">
        <f>IF($K136="","",$K136-$L136)</f>
        <v/>
      </c>
      <c r="N136" s="90">
        <f>IF(OR($M136="",$D136=""),"",ROUND($M136*IFERROR(IF(VLOOKUP($D136,Setup!$A$76:$C$87,3,FALSE)="",Setup!$B$14,VLOOKUP($D136,Setup!$A$76:$C$87,3,FALSE)),Setup!$B$14),2))</f>
        <v/>
      </c>
      <c r="O136" s="90">
        <f>IF(OR($M136="",$E136=""),"",ROUND($M136*IFERROR(IF(VLOOKUP($E136,Setup!$A$76:$C$87,3,FALSE)="",Setup!$B$15,VLOOKUP($E136,Setup!$A$76:$C$87,3,FALSE)),Setup!$B$15),2))</f>
        <v/>
      </c>
      <c r="P136" s="99" t="n"/>
      <c r="Q136" s="99" t="n"/>
      <c r="R136" s="99" t="n"/>
      <c r="S136" s="99" t="n"/>
      <c r="T136" s="99" t="n"/>
      <c r="U136" s="90">
        <f>IF($K136="","",SUM($R136:$T136))</f>
        <v/>
      </c>
      <c r="V136" s="90">
        <f>IF($K136="","",$M136-(N($N136)+N($O136)+IF($P136="",Setup!$B$17,$P136)+N($Q136))-N($U136))</f>
        <v/>
      </c>
      <c r="W136" s="95" t="n"/>
      <c r="X136" s="96" t="n"/>
      <c r="Z136" s="93">
        <f>IF($A136="","",DATE(YEAR($A136),MONTH($A136),1))</f>
        <v/>
      </c>
    </row>
    <row r="137">
      <c r="A137" s="86" t="n"/>
      <c r="B137" s="87" t="n"/>
      <c r="C137" s="87" t="n"/>
      <c r="D137" s="88" t="n"/>
      <c r="E137" s="88" t="n"/>
      <c r="F137" s="88" t="n"/>
      <c r="G137" s="88" t="n"/>
      <c r="H137" s="89" t="n"/>
      <c r="I137" s="90">
        <f>IF($G137="","",IF($F137="",IFERROR(INDEX(Setup!$C$21:$C$60,MATCH("|"&amp;UPPER(TRIM($G137)),Setup!$Q$21:$Q$60,0)),"NO RATE"),IFERROR(INDEX(Setup!$C$21:$C$60,MATCH(UPPER(TRIM($F137))&amp;"|"&amp;UPPER(TRIM($G137)),Setup!$P$21:$P$60,0)),IFERROR(INDEX(Setup!$C$21:$C$60,MATCH(UPPER(TRIM($G137))&amp;"|"&amp;UPPER(TRIM($F137)),Setup!$P$21:$P$60,0)),"NO RATE"))))</f>
        <v/>
      </c>
      <c r="J137" s="91" t="n"/>
      <c r="K137" s="90">
        <f>IF(OR($G137="",$H137="",NOT(ISNUMBER($I137))),"",ROUND($H137*$I137*(1+IF($J137="",Setup!$B$16,$J137)),2))</f>
        <v/>
      </c>
      <c r="L137" s="90">
        <f>IF($K137="","",ROUND($K137*Setup!$B$13,2))</f>
        <v/>
      </c>
      <c r="M137" s="90">
        <f>IF($K137="","",$K137-$L137)</f>
        <v/>
      </c>
      <c r="N137" s="90">
        <f>IF(OR($M137="",$D137=""),"",ROUND($M137*IFERROR(IF(VLOOKUP($D137,Setup!$A$76:$C$87,3,FALSE)="",Setup!$B$14,VLOOKUP($D137,Setup!$A$76:$C$87,3,FALSE)),Setup!$B$14),2))</f>
        <v/>
      </c>
      <c r="O137" s="90">
        <f>IF(OR($M137="",$E137=""),"",ROUND($M137*IFERROR(IF(VLOOKUP($E137,Setup!$A$76:$C$87,3,FALSE)="",Setup!$B$15,VLOOKUP($E137,Setup!$A$76:$C$87,3,FALSE)),Setup!$B$15),2))</f>
        <v/>
      </c>
      <c r="P137" s="92" t="n"/>
      <c r="Q137" s="92" t="n"/>
      <c r="R137" s="92" t="n"/>
      <c r="S137" s="92" t="n"/>
      <c r="T137" s="92" t="n"/>
      <c r="U137" s="90">
        <f>IF($K137="","",SUM($R137:$T137))</f>
        <v/>
      </c>
      <c r="V137" s="90">
        <f>IF($K137="","",$M137-(N($N137)+N($O137)+IF($P137="",Setup!$B$17,$P137)+N($Q137))-N($U137))</f>
        <v/>
      </c>
      <c r="W137" s="87" t="n"/>
      <c r="X137" s="88" t="n"/>
      <c r="Z137" s="93">
        <f>IF($A137="","",DATE(YEAR($A137),MONTH($A137),1))</f>
        <v/>
      </c>
    </row>
    <row r="138">
      <c r="A138" s="94" t="n"/>
      <c r="B138" s="95" t="n"/>
      <c r="C138" s="95" t="n"/>
      <c r="D138" s="96" t="n"/>
      <c r="E138" s="96" t="n"/>
      <c r="F138" s="96" t="n"/>
      <c r="G138" s="96" t="n"/>
      <c r="H138" s="97" t="n"/>
      <c r="I138" s="90">
        <f>IF($G138="","",IF($F138="",IFERROR(INDEX(Setup!$C$21:$C$60,MATCH("|"&amp;UPPER(TRIM($G138)),Setup!$Q$21:$Q$60,0)),"NO RATE"),IFERROR(INDEX(Setup!$C$21:$C$60,MATCH(UPPER(TRIM($F138))&amp;"|"&amp;UPPER(TRIM($G138)),Setup!$P$21:$P$60,0)),IFERROR(INDEX(Setup!$C$21:$C$60,MATCH(UPPER(TRIM($G138))&amp;"|"&amp;UPPER(TRIM($F138)),Setup!$P$21:$P$60,0)),"NO RATE"))))</f>
        <v/>
      </c>
      <c r="J138" s="98" t="n"/>
      <c r="K138" s="90">
        <f>IF(OR($G138="",$H138="",NOT(ISNUMBER($I138))),"",ROUND($H138*$I138*(1+IF($J138="",Setup!$B$16,$J138)),2))</f>
        <v/>
      </c>
      <c r="L138" s="90">
        <f>IF($K138="","",ROUND($K138*Setup!$B$13,2))</f>
        <v/>
      </c>
      <c r="M138" s="90">
        <f>IF($K138="","",$K138-$L138)</f>
        <v/>
      </c>
      <c r="N138" s="90">
        <f>IF(OR($M138="",$D138=""),"",ROUND($M138*IFERROR(IF(VLOOKUP($D138,Setup!$A$76:$C$87,3,FALSE)="",Setup!$B$14,VLOOKUP($D138,Setup!$A$76:$C$87,3,FALSE)),Setup!$B$14),2))</f>
        <v/>
      </c>
      <c r="O138" s="90">
        <f>IF(OR($M138="",$E138=""),"",ROUND($M138*IFERROR(IF(VLOOKUP($E138,Setup!$A$76:$C$87,3,FALSE)="",Setup!$B$15,VLOOKUP($E138,Setup!$A$76:$C$87,3,FALSE)),Setup!$B$15),2))</f>
        <v/>
      </c>
      <c r="P138" s="99" t="n"/>
      <c r="Q138" s="99" t="n"/>
      <c r="R138" s="99" t="n"/>
      <c r="S138" s="99" t="n"/>
      <c r="T138" s="99" t="n"/>
      <c r="U138" s="90">
        <f>IF($K138="","",SUM($R138:$T138))</f>
        <v/>
      </c>
      <c r="V138" s="90">
        <f>IF($K138="","",$M138-(N($N138)+N($O138)+IF($P138="",Setup!$B$17,$P138)+N($Q138))-N($U138))</f>
        <v/>
      </c>
      <c r="W138" s="95" t="n"/>
      <c r="X138" s="96" t="n"/>
      <c r="Z138" s="93">
        <f>IF($A138="","",DATE(YEAR($A138),MONTH($A138),1))</f>
        <v/>
      </c>
    </row>
    <row r="139">
      <c r="A139" s="86" t="n"/>
      <c r="B139" s="87" t="n"/>
      <c r="C139" s="87" t="n"/>
      <c r="D139" s="88" t="n"/>
      <c r="E139" s="88" t="n"/>
      <c r="F139" s="88" t="n"/>
      <c r="G139" s="88" t="n"/>
      <c r="H139" s="89" t="n"/>
      <c r="I139" s="90">
        <f>IF($G139="","",IF($F139="",IFERROR(INDEX(Setup!$C$21:$C$60,MATCH("|"&amp;UPPER(TRIM($G139)),Setup!$Q$21:$Q$60,0)),"NO RATE"),IFERROR(INDEX(Setup!$C$21:$C$60,MATCH(UPPER(TRIM($F139))&amp;"|"&amp;UPPER(TRIM($G139)),Setup!$P$21:$P$60,0)),IFERROR(INDEX(Setup!$C$21:$C$60,MATCH(UPPER(TRIM($G139))&amp;"|"&amp;UPPER(TRIM($F139)),Setup!$P$21:$P$60,0)),"NO RATE"))))</f>
        <v/>
      </c>
      <c r="J139" s="91" t="n"/>
      <c r="K139" s="90">
        <f>IF(OR($G139="",$H139="",NOT(ISNUMBER($I139))),"",ROUND($H139*$I139*(1+IF($J139="",Setup!$B$16,$J139)),2))</f>
        <v/>
      </c>
      <c r="L139" s="90">
        <f>IF($K139="","",ROUND($K139*Setup!$B$13,2))</f>
        <v/>
      </c>
      <c r="M139" s="90">
        <f>IF($K139="","",$K139-$L139)</f>
        <v/>
      </c>
      <c r="N139" s="90">
        <f>IF(OR($M139="",$D139=""),"",ROUND($M139*IFERROR(IF(VLOOKUP($D139,Setup!$A$76:$C$87,3,FALSE)="",Setup!$B$14,VLOOKUP($D139,Setup!$A$76:$C$87,3,FALSE)),Setup!$B$14),2))</f>
        <v/>
      </c>
      <c r="O139" s="90">
        <f>IF(OR($M139="",$E139=""),"",ROUND($M139*IFERROR(IF(VLOOKUP($E139,Setup!$A$76:$C$87,3,FALSE)="",Setup!$B$15,VLOOKUP($E139,Setup!$A$76:$C$87,3,FALSE)),Setup!$B$15),2))</f>
        <v/>
      </c>
      <c r="P139" s="92" t="n"/>
      <c r="Q139" s="92" t="n"/>
      <c r="R139" s="92" t="n"/>
      <c r="S139" s="92" t="n"/>
      <c r="T139" s="92" t="n"/>
      <c r="U139" s="90">
        <f>IF($K139="","",SUM($R139:$T139))</f>
        <v/>
      </c>
      <c r="V139" s="90">
        <f>IF($K139="","",$M139-(N($N139)+N($O139)+IF($P139="",Setup!$B$17,$P139)+N($Q139))-N($U139))</f>
        <v/>
      </c>
      <c r="W139" s="87" t="n"/>
      <c r="X139" s="88" t="n"/>
      <c r="Z139" s="93">
        <f>IF($A139="","",DATE(YEAR($A139),MONTH($A139),1))</f>
        <v/>
      </c>
    </row>
    <row r="140">
      <c r="A140" s="94" t="n"/>
      <c r="B140" s="95" t="n"/>
      <c r="C140" s="95" t="n"/>
      <c r="D140" s="96" t="n"/>
      <c r="E140" s="96" t="n"/>
      <c r="F140" s="96" t="n"/>
      <c r="G140" s="96" t="n"/>
      <c r="H140" s="97" t="n"/>
      <c r="I140" s="90">
        <f>IF($G140="","",IF($F140="",IFERROR(INDEX(Setup!$C$21:$C$60,MATCH("|"&amp;UPPER(TRIM($G140)),Setup!$Q$21:$Q$60,0)),"NO RATE"),IFERROR(INDEX(Setup!$C$21:$C$60,MATCH(UPPER(TRIM($F140))&amp;"|"&amp;UPPER(TRIM($G140)),Setup!$P$21:$P$60,0)),IFERROR(INDEX(Setup!$C$21:$C$60,MATCH(UPPER(TRIM($G140))&amp;"|"&amp;UPPER(TRIM($F140)),Setup!$P$21:$P$60,0)),"NO RATE"))))</f>
        <v/>
      </c>
      <c r="J140" s="98" t="n"/>
      <c r="K140" s="90">
        <f>IF(OR($G140="",$H140="",NOT(ISNUMBER($I140))),"",ROUND($H140*$I140*(1+IF($J140="",Setup!$B$16,$J140)),2))</f>
        <v/>
      </c>
      <c r="L140" s="90">
        <f>IF($K140="","",ROUND($K140*Setup!$B$13,2))</f>
        <v/>
      </c>
      <c r="M140" s="90">
        <f>IF($K140="","",$K140-$L140)</f>
        <v/>
      </c>
      <c r="N140" s="90">
        <f>IF(OR($M140="",$D140=""),"",ROUND($M140*IFERROR(IF(VLOOKUP($D140,Setup!$A$76:$C$87,3,FALSE)="",Setup!$B$14,VLOOKUP($D140,Setup!$A$76:$C$87,3,FALSE)),Setup!$B$14),2))</f>
        <v/>
      </c>
      <c r="O140" s="90">
        <f>IF(OR($M140="",$E140=""),"",ROUND($M140*IFERROR(IF(VLOOKUP($E140,Setup!$A$76:$C$87,3,FALSE)="",Setup!$B$15,VLOOKUP($E140,Setup!$A$76:$C$87,3,FALSE)),Setup!$B$15),2))</f>
        <v/>
      </c>
      <c r="P140" s="99" t="n"/>
      <c r="Q140" s="99" t="n"/>
      <c r="R140" s="99" t="n"/>
      <c r="S140" s="99" t="n"/>
      <c r="T140" s="99" t="n"/>
      <c r="U140" s="90">
        <f>IF($K140="","",SUM($R140:$T140))</f>
        <v/>
      </c>
      <c r="V140" s="90">
        <f>IF($K140="","",$M140-(N($N140)+N($O140)+IF($P140="",Setup!$B$17,$P140)+N($Q140))-N($U140))</f>
        <v/>
      </c>
      <c r="W140" s="95" t="n"/>
      <c r="X140" s="96" t="n"/>
      <c r="Z140" s="93">
        <f>IF($A140="","",DATE(YEAR($A140),MONTH($A140),1))</f>
        <v/>
      </c>
    </row>
    <row r="141">
      <c r="A141" s="86" t="n"/>
      <c r="B141" s="87" t="n"/>
      <c r="C141" s="87" t="n"/>
      <c r="D141" s="88" t="n"/>
      <c r="E141" s="88" t="n"/>
      <c r="F141" s="88" t="n"/>
      <c r="G141" s="88" t="n"/>
      <c r="H141" s="89" t="n"/>
      <c r="I141" s="90">
        <f>IF($G141="","",IF($F141="",IFERROR(INDEX(Setup!$C$21:$C$60,MATCH("|"&amp;UPPER(TRIM($G141)),Setup!$Q$21:$Q$60,0)),"NO RATE"),IFERROR(INDEX(Setup!$C$21:$C$60,MATCH(UPPER(TRIM($F141))&amp;"|"&amp;UPPER(TRIM($G141)),Setup!$P$21:$P$60,0)),IFERROR(INDEX(Setup!$C$21:$C$60,MATCH(UPPER(TRIM($G141))&amp;"|"&amp;UPPER(TRIM($F141)),Setup!$P$21:$P$60,0)),"NO RATE"))))</f>
        <v/>
      </c>
      <c r="J141" s="91" t="n"/>
      <c r="K141" s="90">
        <f>IF(OR($G141="",$H141="",NOT(ISNUMBER($I141))),"",ROUND($H141*$I141*(1+IF($J141="",Setup!$B$16,$J141)),2))</f>
        <v/>
      </c>
      <c r="L141" s="90">
        <f>IF($K141="","",ROUND($K141*Setup!$B$13,2))</f>
        <v/>
      </c>
      <c r="M141" s="90">
        <f>IF($K141="","",$K141-$L141)</f>
        <v/>
      </c>
      <c r="N141" s="90">
        <f>IF(OR($M141="",$D141=""),"",ROUND($M141*IFERROR(IF(VLOOKUP($D141,Setup!$A$76:$C$87,3,FALSE)="",Setup!$B$14,VLOOKUP($D141,Setup!$A$76:$C$87,3,FALSE)),Setup!$B$14),2))</f>
        <v/>
      </c>
      <c r="O141" s="90">
        <f>IF(OR($M141="",$E141=""),"",ROUND($M141*IFERROR(IF(VLOOKUP($E141,Setup!$A$76:$C$87,3,FALSE)="",Setup!$B$15,VLOOKUP($E141,Setup!$A$76:$C$87,3,FALSE)),Setup!$B$15),2))</f>
        <v/>
      </c>
      <c r="P141" s="92" t="n"/>
      <c r="Q141" s="92" t="n"/>
      <c r="R141" s="92" t="n"/>
      <c r="S141" s="92" t="n"/>
      <c r="T141" s="92" t="n"/>
      <c r="U141" s="90">
        <f>IF($K141="","",SUM($R141:$T141))</f>
        <v/>
      </c>
      <c r="V141" s="90">
        <f>IF($K141="","",$M141-(N($N141)+N($O141)+IF($P141="",Setup!$B$17,$P141)+N($Q141))-N($U141))</f>
        <v/>
      </c>
      <c r="W141" s="87" t="n"/>
      <c r="X141" s="88" t="n"/>
      <c r="Z141" s="93">
        <f>IF($A141="","",DATE(YEAR($A141),MONTH($A141),1))</f>
        <v/>
      </c>
    </row>
    <row r="142">
      <c r="A142" s="94" t="n"/>
      <c r="B142" s="95" t="n"/>
      <c r="C142" s="95" t="n"/>
      <c r="D142" s="96" t="n"/>
      <c r="E142" s="96" t="n"/>
      <c r="F142" s="96" t="n"/>
      <c r="G142" s="96" t="n"/>
      <c r="H142" s="97" t="n"/>
      <c r="I142" s="90">
        <f>IF($G142="","",IF($F142="",IFERROR(INDEX(Setup!$C$21:$C$60,MATCH("|"&amp;UPPER(TRIM($G142)),Setup!$Q$21:$Q$60,0)),"NO RATE"),IFERROR(INDEX(Setup!$C$21:$C$60,MATCH(UPPER(TRIM($F142))&amp;"|"&amp;UPPER(TRIM($G142)),Setup!$P$21:$P$60,0)),IFERROR(INDEX(Setup!$C$21:$C$60,MATCH(UPPER(TRIM($G142))&amp;"|"&amp;UPPER(TRIM($F142)),Setup!$P$21:$P$60,0)),"NO RATE"))))</f>
        <v/>
      </c>
      <c r="J142" s="98" t="n"/>
      <c r="K142" s="90">
        <f>IF(OR($G142="",$H142="",NOT(ISNUMBER($I142))),"",ROUND($H142*$I142*(1+IF($J142="",Setup!$B$16,$J142)),2))</f>
        <v/>
      </c>
      <c r="L142" s="90">
        <f>IF($K142="","",ROUND($K142*Setup!$B$13,2))</f>
        <v/>
      </c>
      <c r="M142" s="90">
        <f>IF($K142="","",$K142-$L142)</f>
        <v/>
      </c>
      <c r="N142" s="90">
        <f>IF(OR($M142="",$D142=""),"",ROUND($M142*IFERROR(IF(VLOOKUP($D142,Setup!$A$76:$C$87,3,FALSE)="",Setup!$B$14,VLOOKUP($D142,Setup!$A$76:$C$87,3,FALSE)),Setup!$B$14),2))</f>
        <v/>
      </c>
      <c r="O142" s="90">
        <f>IF(OR($M142="",$E142=""),"",ROUND($M142*IFERROR(IF(VLOOKUP($E142,Setup!$A$76:$C$87,3,FALSE)="",Setup!$B$15,VLOOKUP($E142,Setup!$A$76:$C$87,3,FALSE)),Setup!$B$15),2))</f>
        <v/>
      </c>
      <c r="P142" s="99" t="n"/>
      <c r="Q142" s="99" t="n"/>
      <c r="R142" s="99" t="n"/>
      <c r="S142" s="99" t="n"/>
      <c r="T142" s="99" t="n"/>
      <c r="U142" s="90">
        <f>IF($K142="","",SUM($R142:$T142))</f>
        <v/>
      </c>
      <c r="V142" s="90">
        <f>IF($K142="","",$M142-(N($N142)+N($O142)+IF($P142="",Setup!$B$17,$P142)+N($Q142))-N($U142))</f>
        <v/>
      </c>
      <c r="W142" s="95" t="n"/>
      <c r="X142" s="96" t="n"/>
      <c r="Z142" s="93">
        <f>IF($A142="","",DATE(YEAR($A142),MONTH($A142),1))</f>
        <v/>
      </c>
    </row>
    <row r="143">
      <c r="A143" s="86" t="n"/>
      <c r="B143" s="87" t="n"/>
      <c r="C143" s="87" t="n"/>
      <c r="D143" s="88" t="n"/>
      <c r="E143" s="88" t="n"/>
      <c r="F143" s="88" t="n"/>
      <c r="G143" s="88" t="n"/>
      <c r="H143" s="89" t="n"/>
      <c r="I143" s="90">
        <f>IF($G143="","",IF($F143="",IFERROR(INDEX(Setup!$C$21:$C$60,MATCH("|"&amp;UPPER(TRIM($G143)),Setup!$Q$21:$Q$60,0)),"NO RATE"),IFERROR(INDEX(Setup!$C$21:$C$60,MATCH(UPPER(TRIM($F143))&amp;"|"&amp;UPPER(TRIM($G143)),Setup!$P$21:$P$60,0)),IFERROR(INDEX(Setup!$C$21:$C$60,MATCH(UPPER(TRIM($G143))&amp;"|"&amp;UPPER(TRIM($F143)),Setup!$P$21:$P$60,0)),"NO RATE"))))</f>
        <v/>
      </c>
      <c r="J143" s="91" t="n"/>
      <c r="K143" s="90">
        <f>IF(OR($G143="",$H143="",NOT(ISNUMBER($I143))),"",ROUND($H143*$I143*(1+IF($J143="",Setup!$B$16,$J143)),2))</f>
        <v/>
      </c>
      <c r="L143" s="90">
        <f>IF($K143="","",ROUND($K143*Setup!$B$13,2))</f>
        <v/>
      </c>
      <c r="M143" s="90">
        <f>IF($K143="","",$K143-$L143)</f>
        <v/>
      </c>
      <c r="N143" s="90">
        <f>IF(OR($M143="",$D143=""),"",ROUND($M143*IFERROR(IF(VLOOKUP($D143,Setup!$A$76:$C$87,3,FALSE)="",Setup!$B$14,VLOOKUP($D143,Setup!$A$76:$C$87,3,FALSE)),Setup!$B$14),2))</f>
        <v/>
      </c>
      <c r="O143" s="90">
        <f>IF(OR($M143="",$E143=""),"",ROUND($M143*IFERROR(IF(VLOOKUP($E143,Setup!$A$76:$C$87,3,FALSE)="",Setup!$B$15,VLOOKUP($E143,Setup!$A$76:$C$87,3,FALSE)),Setup!$B$15),2))</f>
        <v/>
      </c>
      <c r="P143" s="92" t="n"/>
      <c r="Q143" s="92" t="n"/>
      <c r="R143" s="92" t="n"/>
      <c r="S143" s="92" t="n"/>
      <c r="T143" s="92" t="n"/>
      <c r="U143" s="90">
        <f>IF($K143="","",SUM($R143:$T143))</f>
        <v/>
      </c>
      <c r="V143" s="90">
        <f>IF($K143="","",$M143-(N($N143)+N($O143)+IF($P143="",Setup!$B$17,$P143)+N($Q143))-N($U143))</f>
        <v/>
      </c>
      <c r="W143" s="87" t="n"/>
      <c r="X143" s="88" t="n"/>
      <c r="Z143" s="93">
        <f>IF($A143="","",DATE(YEAR($A143),MONTH($A143),1))</f>
        <v/>
      </c>
    </row>
    <row r="144">
      <c r="A144" s="94" t="n"/>
      <c r="B144" s="95" t="n"/>
      <c r="C144" s="95" t="n"/>
      <c r="D144" s="96" t="n"/>
      <c r="E144" s="96" t="n"/>
      <c r="F144" s="96" t="n"/>
      <c r="G144" s="96" t="n"/>
      <c r="H144" s="97" t="n"/>
      <c r="I144" s="90">
        <f>IF($G144="","",IF($F144="",IFERROR(INDEX(Setup!$C$21:$C$60,MATCH("|"&amp;UPPER(TRIM($G144)),Setup!$Q$21:$Q$60,0)),"NO RATE"),IFERROR(INDEX(Setup!$C$21:$C$60,MATCH(UPPER(TRIM($F144))&amp;"|"&amp;UPPER(TRIM($G144)),Setup!$P$21:$P$60,0)),IFERROR(INDEX(Setup!$C$21:$C$60,MATCH(UPPER(TRIM($G144))&amp;"|"&amp;UPPER(TRIM($F144)),Setup!$P$21:$P$60,0)),"NO RATE"))))</f>
        <v/>
      </c>
      <c r="J144" s="98" t="n"/>
      <c r="K144" s="90">
        <f>IF(OR($G144="",$H144="",NOT(ISNUMBER($I144))),"",ROUND($H144*$I144*(1+IF($J144="",Setup!$B$16,$J144)),2))</f>
        <v/>
      </c>
      <c r="L144" s="90">
        <f>IF($K144="","",ROUND($K144*Setup!$B$13,2))</f>
        <v/>
      </c>
      <c r="M144" s="90">
        <f>IF($K144="","",$K144-$L144)</f>
        <v/>
      </c>
      <c r="N144" s="90">
        <f>IF(OR($M144="",$D144=""),"",ROUND($M144*IFERROR(IF(VLOOKUP($D144,Setup!$A$76:$C$87,3,FALSE)="",Setup!$B$14,VLOOKUP($D144,Setup!$A$76:$C$87,3,FALSE)),Setup!$B$14),2))</f>
        <v/>
      </c>
      <c r="O144" s="90">
        <f>IF(OR($M144="",$E144=""),"",ROUND($M144*IFERROR(IF(VLOOKUP($E144,Setup!$A$76:$C$87,3,FALSE)="",Setup!$B$15,VLOOKUP($E144,Setup!$A$76:$C$87,3,FALSE)),Setup!$B$15),2))</f>
        <v/>
      </c>
      <c r="P144" s="99" t="n"/>
      <c r="Q144" s="99" t="n"/>
      <c r="R144" s="99" t="n"/>
      <c r="S144" s="99" t="n"/>
      <c r="T144" s="99" t="n"/>
      <c r="U144" s="90">
        <f>IF($K144="","",SUM($R144:$T144))</f>
        <v/>
      </c>
      <c r="V144" s="90">
        <f>IF($K144="","",$M144-(N($N144)+N($O144)+IF($P144="",Setup!$B$17,$P144)+N($Q144))-N($U144))</f>
        <v/>
      </c>
      <c r="W144" s="95" t="n"/>
      <c r="X144" s="96" t="n"/>
      <c r="Z144" s="93">
        <f>IF($A144="","",DATE(YEAR($A144),MONTH($A144),1))</f>
        <v/>
      </c>
    </row>
    <row r="145">
      <c r="A145" s="86" t="n"/>
      <c r="B145" s="87" t="n"/>
      <c r="C145" s="87" t="n"/>
      <c r="D145" s="88" t="n"/>
      <c r="E145" s="88" t="n"/>
      <c r="F145" s="88" t="n"/>
      <c r="G145" s="88" t="n"/>
      <c r="H145" s="89" t="n"/>
      <c r="I145" s="90">
        <f>IF($G145="","",IF($F145="",IFERROR(INDEX(Setup!$C$21:$C$60,MATCH("|"&amp;UPPER(TRIM($G145)),Setup!$Q$21:$Q$60,0)),"NO RATE"),IFERROR(INDEX(Setup!$C$21:$C$60,MATCH(UPPER(TRIM($F145))&amp;"|"&amp;UPPER(TRIM($G145)),Setup!$P$21:$P$60,0)),IFERROR(INDEX(Setup!$C$21:$C$60,MATCH(UPPER(TRIM($G145))&amp;"|"&amp;UPPER(TRIM($F145)),Setup!$P$21:$P$60,0)),"NO RATE"))))</f>
        <v/>
      </c>
      <c r="J145" s="91" t="n"/>
      <c r="K145" s="90">
        <f>IF(OR($G145="",$H145="",NOT(ISNUMBER($I145))),"",ROUND($H145*$I145*(1+IF($J145="",Setup!$B$16,$J145)),2))</f>
        <v/>
      </c>
      <c r="L145" s="90">
        <f>IF($K145="","",ROUND($K145*Setup!$B$13,2))</f>
        <v/>
      </c>
      <c r="M145" s="90">
        <f>IF($K145="","",$K145-$L145)</f>
        <v/>
      </c>
      <c r="N145" s="90">
        <f>IF(OR($M145="",$D145=""),"",ROUND($M145*IFERROR(IF(VLOOKUP($D145,Setup!$A$76:$C$87,3,FALSE)="",Setup!$B$14,VLOOKUP($D145,Setup!$A$76:$C$87,3,FALSE)),Setup!$B$14),2))</f>
        <v/>
      </c>
      <c r="O145" s="90">
        <f>IF(OR($M145="",$E145=""),"",ROUND($M145*IFERROR(IF(VLOOKUP($E145,Setup!$A$76:$C$87,3,FALSE)="",Setup!$B$15,VLOOKUP($E145,Setup!$A$76:$C$87,3,FALSE)),Setup!$B$15),2))</f>
        <v/>
      </c>
      <c r="P145" s="92" t="n"/>
      <c r="Q145" s="92" t="n"/>
      <c r="R145" s="92" t="n"/>
      <c r="S145" s="92" t="n"/>
      <c r="T145" s="92" t="n"/>
      <c r="U145" s="90">
        <f>IF($K145="","",SUM($R145:$T145))</f>
        <v/>
      </c>
      <c r="V145" s="90">
        <f>IF($K145="","",$M145-(N($N145)+N($O145)+IF($P145="",Setup!$B$17,$P145)+N($Q145))-N($U145))</f>
        <v/>
      </c>
      <c r="W145" s="87" t="n"/>
      <c r="X145" s="88" t="n"/>
      <c r="Z145" s="93">
        <f>IF($A145="","",DATE(YEAR($A145),MONTH($A145),1))</f>
        <v/>
      </c>
    </row>
    <row r="146">
      <c r="A146" s="94" t="n"/>
      <c r="B146" s="95" t="n"/>
      <c r="C146" s="95" t="n"/>
      <c r="D146" s="96" t="n"/>
      <c r="E146" s="96" t="n"/>
      <c r="F146" s="96" t="n"/>
      <c r="G146" s="96" t="n"/>
      <c r="H146" s="97" t="n"/>
      <c r="I146" s="90">
        <f>IF($G146="","",IF($F146="",IFERROR(INDEX(Setup!$C$21:$C$60,MATCH("|"&amp;UPPER(TRIM($G146)),Setup!$Q$21:$Q$60,0)),"NO RATE"),IFERROR(INDEX(Setup!$C$21:$C$60,MATCH(UPPER(TRIM($F146))&amp;"|"&amp;UPPER(TRIM($G146)),Setup!$P$21:$P$60,0)),IFERROR(INDEX(Setup!$C$21:$C$60,MATCH(UPPER(TRIM($G146))&amp;"|"&amp;UPPER(TRIM($F146)),Setup!$P$21:$P$60,0)),"NO RATE"))))</f>
        <v/>
      </c>
      <c r="J146" s="98" t="n"/>
      <c r="K146" s="90">
        <f>IF(OR($G146="",$H146="",NOT(ISNUMBER($I146))),"",ROUND($H146*$I146*(1+IF($J146="",Setup!$B$16,$J146)),2))</f>
        <v/>
      </c>
      <c r="L146" s="90">
        <f>IF($K146="","",ROUND($K146*Setup!$B$13,2))</f>
        <v/>
      </c>
      <c r="M146" s="90">
        <f>IF($K146="","",$K146-$L146)</f>
        <v/>
      </c>
      <c r="N146" s="90">
        <f>IF(OR($M146="",$D146=""),"",ROUND($M146*IFERROR(IF(VLOOKUP($D146,Setup!$A$76:$C$87,3,FALSE)="",Setup!$B$14,VLOOKUP($D146,Setup!$A$76:$C$87,3,FALSE)),Setup!$B$14),2))</f>
        <v/>
      </c>
      <c r="O146" s="90">
        <f>IF(OR($M146="",$E146=""),"",ROUND($M146*IFERROR(IF(VLOOKUP($E146,Setup!$A$76:$C$87,3,FALSE)="",Setup!$B$15,VLOOKUP($E146,Setup!$A$76:$C$87,3,FALSE)),Setup!$B$15),2))</f>
        <v/>
      </c>
      <c r="P146" s="99" t="n"/>
      <c r="Q146" s="99" t="n"/>
      <c r="R146" s="99" t="n"/>
      <c r="S146" s="99" t="n"/>
      <c r="T146" s="99" t="n"/>
      <c r="U146" s="90">
        <f>IF($K146="","",SUM($R146:$T146))</f>
        <v/>
      </c>
      <c r="V146" s="90">
        <f>IF($K146="","",$M146-(N($N146)+N($O146)+IF($P146="",Setup!$B$17,$P146)+N($Q146))-N($U146))</f>
        <v/>
      </c>
      <c r="W146" s="95" t="n"/>
      <c r="X146" s="96" t="n"/>
      <c r="Z146" s="93">
        <f>IF($A146="","",DATE(YEAR($A146),MONTH($A146),1))</f>
        <v/>
      </c>
    </row>
    <row r="147">
      <c r="A147" s="86" t="n"/>
      <c r="B147" s="87" t="n"/>
      <c r="C147" s="87" t="n"/>
      <c r="D147" s="88" t="n"/>
      <c r="E147" s="88" t="n"/>
      <c r="F147" s="88" t="n"/>
      <c r="G147" s="88" t="n"/>
      <c r="H147" s="89" t="n"/>
      <c r="I147" s="90">
        <f>IF($G147="","",IF($F147="",IFERROR(INDEX(Setup!$C$21:$C$60,MATCH("|"&amp;UPPER(TRIM($G147)),Setup!$Q$21:$Q$60,0)),"NO RATE"),IFERROR(INDEX(Setup!$C$21:$C$60,MATCH(UPPER(TRIM($F147))&amp;"|"&amp;UPPER(TRIM($G147)),Setup!$P$21:$P$60,0)),IFERROR(INDEX(Setup!$C$21:$C$60,MATCH(UPPER(TRIM($G147))&amp;"|"&amp;UPPER(TRIM($F147)),Setup!$P$21:$P$60,0)),"NO RATE"))))</f>
        <v/>
      </c>
      <c r="J147" s="91" t="n"/>
      <c r="K147" s="90">
        <f>IF(OR($G147="",$H147="",NOT(ISNUMBER($I147))),"",ROUND($H147*$I147*(1+IF($J147="",Setup!$B$16,$J147)),2))</f>
        <v/>
      </c>
      <c r="L147" s="90">
        <f>IF($K147="","",ROUND($K147*Setup!$B$13,2))</f>
        <v/>
      </c>
      <c r="M147" s="90">
        <f>IF($K147="","",$K147-$L147)</f>
        <v/>
      </c>
      <c r="N147" s="90">
        <f>IF(OR($M147="",$D147=""),"",ROUND($M147*IFERROR(IF(VLOOKUP($D147,Setup!$A$76:$C$87,3,FALSE)="",Setup!$B$14,VLOOKUP($D147,Setup!$A$76:$C$87,3,FALSE)),Setup!$B$14),2))</f>
        <v/>
      </c>
      <c r="O147" s="90">
        <f>IF(OR($M147="",$E147=""),"",ROUND($M147*IFERROR(IF(VLOOKUP($E147,Setup!$A$76:$C$87,3,FALSE)="",Setup!$B$15,VLOOKUP($E147,Setup!$A$76:$C$87,3,FALSE)),Setup!$B$15),2))</f>
        <v/>
      </c>
      <c r="P147" s="92" t="n"/>
      <c r="Q147" s="92" t="n"/>
      <c r="R147" s="92" t="n"/>
      <c r="S147" s="92" t="n"/>
      <c r="T147" s="92" t="n"/>
      <c r="U147" s="90">
        <f>IF($K147="","",SUM($R147:$T147))</f>
        <v/>
      </c>
      <c r="V147" s="90">
        <f>IF($K147="","",$M147-(N($N147)+N($O147)+IF($P147="",Setup!$B$17,$P147)+N($Q147))-N($U147))</f>
        <v/>
      </c>
      <c r="W147" s="87" t="n"/>
      <c r="X147" s="88" t="n"/>
      <c r="Z147" s="93">
        <f>IF($A147="","",DATE(YEAR($A147),MONTH($A147),1))</f>
        <v/>
      </c>
    </row>
    <row r="148">
      <c r="A148" s="94" t="n"/>
      <c r="B148" s="95" t="n"/>
      <c r="C148" s="95" t="n"/>
      <c r="D148" s="96" t="n"/>
      <c r="E148" s="96" t="n"/>
      <c r="F148" s="96" t="n"/>
      <c r="G148" s="96" t="n"/>
      <c r="H148" s="97" t="n"/>
      <c r="I148" s="90">
        <f>IF($G148="","",IF($F148="",IFERROR(INDEX(Setup!$C$21:$C$60,MATCH("|"&amp;UPPER(TRIM($G148)),Setup!$Q$21:$Q$60,0)),"NO RATE"),IFERROR(INDEX(Setup!$C$21:$C$60,MATCH(UPPER(TRIM($F148))&amp;"|"&amp;UPPER(TRIM($G148)),Setup!$P$21:$P$60,0)),IFERROR(INDEX(Setup!$C$21:$C$60,MATCH(UPPER(TRIM($G148))&amp;"|"&amp;UPPER(TRIM($F148)),Setup!$P$21:$P$60,0)),"NO RATE"))))</f>
        <v/>
      </c>
      <c r="J148" s="98" t="n"/>
      <c r="K148" s="90">
        <f>IF(OR($G148="",$H148="",NOT(ISNUMBER($I148))),"",ROUND($H148*$I148*(1+IF($J148="",Setup!$B$16,$J148)),2))</f>
        <v/>
      </c>
      <c r="L148" s="90">
        <f>IF($K148="","",ROUND($K148*Setup!$B$13,2))</f>
        <v/>
      </c>
      <c r="M148" s="90">
        <f>IF($K148="","",$K148-$L148)</f>
        <v/>
      </c>
      <c r="N148" s="90">
        <f>IF(OR($M148="",$D148=""),"",ROUND($M148*IFERROR(IF(VLOOKUP($D148,Setup!$A$76:$C$87,3,FALSE)="",Setup!$B$14,VLOOKUP($D148,Setup!$A$76:$C$87,3,FALSE)),Setup!$B$14),2))</f>
        <v/>
      </c>
      <c r="O148" s="90">
        <f>IF(OR($M148="",$E148=""),"",ROUND($M148*IFERROR(IF(VLOOKUP($E148,Setup!$A$76:$C$87,3,FALSE)="",Setup!$B$15,VLOOKUP($E148,Setup!$A$76:$C$87,3,FALSE)),Setup!$B$15),2))</f>
        <v/>
      </c>
      <c r="P148" s="99" t="n"/>
      <c r="Q148" s="99" t="n"/>
      <c r="R148" s="99" t="n"/>
      <c r="S148" s="99" t="n"/>
      <c r="T148" s="99" t="n"/>
      <c r="U148" s="90">
        <f>IF($K148="","",SUM($R148:$T148))</f>
        <v/>
      </c>
      <c r="V148" s="90">
        <f>IF($K148="","",$M148-(N($N148)+N($O148)+IF($P148="",Setup!$B$17,$P148)+N($Q148))-N($U148))</f>
        <v/>
      </c>
      <c r="W148" s="95" t="n"/>
      <c r="X148" s="96" t="n"/>
      <c r="Z148" s="93">
        <f>IF($A148="","",DATE(YEAR($A148),MONTH($A148),1))</f>
        <v/>
      </c>
    </row>
    <row r="149">
      <c r="A149" s="86" t="n"/>
      <c r="B149" s="87" t="n"/>
      <c r="C149" s="87" t="n"/>
      <c r="D149" s="88" t="n"/>
      <c r="E149" s="88" t="n"/>
      <c r="F149" s="88" t="n"/>
      <c r="G149" s="88" t="n"/>
      <c r="H149" s="89" t="n"/>
      <c r="I149" s="90">
        <f>IF($G149="","",IF($F149="",IFERROR(INDEX(Setup!$C$21:$C$60,MATCH("|"&amp;UPPER(TRIM($G149)),Setup!$Q$21:$Q$60,0)),"NO RATE"),IFERROR(INDEX(Setup!$C$21:$C$60,MATCH(UPPER(TRIM($F149))&amp;"|"&amp;UPPER(TRIM($G149)),Setup!$P$21:$P$60,0)),IFERROR(INDEX(Setup!$C$21:$C$60,MATCH(UPPER(TRIM($G149))&amp;"|"&amp;UPPER(TRIM($F149)),Setup!$P$21:$P$60,0)),"NO RATE"))))</f>
        <v/>
      </c>
      <c r="J149" s="91" t="n"/>
      <c r="K149" s="90">
        <f>IF(OR($G149="",$H149="",NOT(ISNUMBER($I149))),"",ROUND($H149*$I149*(1+IF($J149="",Setup!$B$16,$J149)),2))</f>
        <v/>
      </c>
      <c r="L149" s="90">
        <f>IF($K149="","",ROUND($K149*Setup!$B$13,2))</f>
        <v/>
      </c>
      <c r="M149" s="90">
        <f>IF($K149="","",$K149-$L149)</f>
        <v/>
      </c>
      <c r="N149" s="90">
        <f>IF(OR($M149="",$D149=""),"",ROUND($M149*IFERROR(IF(VLOOKUP($D149,Setup!$A$76:$C$87,3,FALSE)="",Setup!$B$14,VLOOKUP($D149,Setup!$A$76:$C$87,3,FALSE)),Setup!$B$14),2))</f>
        <v/>
      </c>
      <c r="O149" s="90">
        <f>IF(OR($M149="",$E149=""),"",ROUND($M149*IFERROR(IF(VLOOKUP($E149,Setup!$A$76:$C$87,3,FALSE)="",Setup!$B$15,VLOOKUP($E149,Setup!$A$76:$C$87,3,FALSE)),Setup!$B$15),2))</f>
        <v/>
      </c>
      <c r="P149" s="92" t="n"/>
      <c r="Q149" s="92" t="n"/>
      <c r="R149" s="92" t="n"/>
      <c r="S149" s="92" t="n"/>
      <c r="T149" s="92" t="n"/>
      <c r="U149" s="90">
        <f>IF($K149="","",SUM($R149:$T149))</f>
        <v/>
      </c>
      <c r="V149" s="90">
        <f>IF($K149="","",$M149-(N($N149)+N($O149)+IF($P149="",Setup!$B$17,$P149)+N($Q149))-N($U149))</f>
        <v/>
      </c>
      <c r="W149" s="87" t="n"/>
      <c r="X149" s="88" t="n"/>
      <c r="Z149" s="93">
        <f>IF($A149="","",DATE(YEAR($A149),MONTH($A149),1))</f>
        <v/>
      </c>
    </row>
    <row r="150">
      <c r="A150" s="94" t="n"/>
      <c r="B150" s="95" t="n"/>
      <c r="C150" s="95" t="n"/>
      <c r="D150" s="96" t="n"/>
      <c r="E150" s="96" t="n"/>
      <c r="F150" s="96" t="n"/>
      <c r="G150" s="96" t="n"/>
      <c r="H150" s="97" t="n"/>
      <c r="I150" s="90">
        <f>IF($G150="","",IF($F150="",IFERROR(INDEX(Setup!$C$21:$C$60,MATCH("|"&amp;UPPER(TRIM($G150)),Setup!$Q$21:$Q$60,0)),"NO RATE"),IFERROR(INDEX(Setup!$C$21:$C$60,MATCH(UPPER(TRIM($F150))&amp;"|"&amp;UPPER(TRIM($G150)),Setup!$P$21:$P$60,0)),IFERROR(INDEX(Setup!$C$21:$C$60,MATCH(UPPER(TRIM($G150))&amp;"|"&amp;UPPER(TRIM($F150)),Setup!$P$21:$P$60,0)),"NO RATE"))))</f>
        <v/>
      </c>
      <c r="J150" s="98" t="n"/>
      <c r="K150" s="90">
        <f>IF(OR($G150="",$H150="",NOT(ISNUMBER($I150))),"",ROUND($H150*$I150*(1+IF($J150="",Setup!$B$16,$J150)),2))</f>
        <v/>
      </c>
      <c r="L150" s="90">
        <f>IF($K150="","",ROUND($K150*Setup!$B$13,2))</f>
        <v/>
      </c>
      <c r="M150" s="90">
        <f>IF($K150="","",$K150-$L150)</f>
        <v/>
      </c>
      <c r="N150" s="90">
        <f>IF(OR($M150="",$D150=""),"",ROUND($M150*IFERROR(IF(VLOOKUP($D150,Setup!$A$76:$C$87,3,FALSE)="",Setup!$B$14,VLOOKUP($D150,Setup!$A$76:$C$87,3,FALSE)),Setup!$B$14),2))</f>
        <v/>
      </c>
      <c r="O150" s="90">
        <f>IF(OR($M150="",$E150=""),"",ROUND($M150*IFERROR(IF(VLOOKUP($E150,Setup!$A$76:$C$87,3,FALSE)="",Setup!$B$15,VLOOKUP($E150,Setup!$A$76:$C$87,3,FALSE)),Setup!$B$15),2))</f>
        <v/>
      </c>
      <c r="P150" s="99" t="n"/>
      <c r="Q150" s="99" t="n"/>
      <c r="R150" s="99" t="n"/>
      <c r="S150" s="99" t="n"/>
      <c r="T150" s="99" t="n"/>
      <c r="U150" s="90">
        <f>IF($K150="","",SUM($R150:$T150))</f>
        <v/>
      </c>
      <c r="V150" s="90">
        <f>IF($K150="","",$M150-(N($N150)+N($O150)+IF($P150="",Setup!$B$17,$P150)+N($Q150))-N($U150))</f>
        <v/>
      </c>
      <c r="W150" s="95" t="n"/>
      <c r="X150" s="96" t="n"/>
      <c r="Z150" s="93">
        <f>IF($A150="","",DATE(YEAR($A150),MONTH($A150),1))</f>
        <v/>
      </c>
    </row>
    <row r="151">
      <c r="A151" s="86" t="n"/>
      <c r="B151" s="87" t="n"/>
      <c r="C151" s="87" t="n"/>
      <c r="D151" s="88" t="n"/>
      <c r="E151" s="88" t="n"/>
      <c r="F151" s="88" t="n"/>
      <c r="G151" s="88" t="n"/>
      <c r="H151" s="89" t="n"/>
      <c r="I151" s="90">
        <f>IF($G151="","",IF($F151="",IFERROR(INDEX(Setup!$C$21:$C$60,MATCH("|"&amp;UPPER(TRIM($G151)),Setup!$Q$21:$Q$60,0)),"NO RATE"),IFERROR(INDEX(Setup!$C$21:$C$60,MATCH(UPPER(TRIM($F151))&amp;"|"&amp;UPPER(TRIM($G151)),Setup!$P$21:$P$60,0)),IFERROR(INDEX(Setup!$C$21:$C$60,MATCH(UPPER(TRIM($G151))&amp;"|"&amp;UPPER(TRIM($F151)),Setup!$P$21:$P$60,0)),"NO RATE"))))</f>
        <v/>
      </c>
      <c r="J151" s="91" t="n"/>
      <c r="K151" s="90">
        <f>IF(OR($G151="",$H151="",NOT(ISNUMBER($I151))),"",ROUND($H151*$I151*(1+IF($J151="",Setup!$B$16,$J151)),2))</f>
        <v/>
      </c>
      <c r="L151" s="90">
        <f>IF($K151="","",ROUND($K151*Setup!$B$13,2))</f>
        <v/>
      </c>
      <c r="M151" s="90">
        <f>IF($K151="","",$K151-$L151)</f>
        <v/>
      </c>
      <c r="N151" s="90">
        <f>IF(OR($M151="",$D151=""),"",ROUND($M151*IFERROR(IF(VLOOKUP($D151,Setup!$A$76:$C$87,3,FALSE)="",Setup!$B$14,VLOOKUP($D151,Setup!$A$76:$C$87,3,FALSE)),Setup!$B$14),2))</f>
        <v/>
      </c>
      <c r="O151" s="90">
        <f>IF(OR($M151="",$E151=""),"",ROUND($M151*IFERROR(IF(VLOOKUP($E151,Setup!$A$76:$C$87,3,FALSE)="",Setup!$B$15,VLOOKUP($E151,Setup!$A$76:$C$87,3,FALSE)),Setup!$B$15),2))</f>
        <v/>
      </c>
      <c r="P151" s="92" t="n"/>
      <c r="Q151" s="92" t="n"/>
      <c r="R151" s="92" t="n"/>
      <c r="S151" s="92" t="n"/>
      <c r="T151" s="92" t="n"/>
      <c r="U151" s="90">
        <f>IF($K151="","",SUM($R151:$T151))</f>
        <v/>
      </c>
      <c r="V151" s="90">
        <f>IF($K151="","",$M151-(N($N151)+N($O151)+IF($P151="",Setup!$B$17,$P151)+N($Q151))-N($U151))</f>
        <v/>
      </c>
      <c r="W151" s="87" t="n"/>
      <c r="X151" s="88" t="n"/>
      <c r="Z151" s="93">
        <f>IF($A151="","",DATE(YEAR($A151),MONTH($A151),1))</f>
        <v/>
      </c>
    </row>
    <row r="152">
      <c r="A152" s="94" t="n"/>
      <c r="B152" s="95" t="n"/>
      <c r="C152" s="95" t="n"/>
      <c r="D152" s="96" t="n"/>
      <c r="E152" s="96" t="n"/>
      <c r="F152" s="96" t="n"/>
      <c r="G152" s="96" t="n"/>
      <c r="H152" s="97" t="n"/>
      <c r="I152" s="90">
        <f>IF($G152="","",IF($F152="",IFERROR(INDEX(Setup!$C$21:$C$60,MATCH("|"&amp;UPPER(TRIM($G152)),Setup!$Q$21:$Q$60,0)),"NO RATE"),IFERROR(INDEX(Setup!$C$21:$C$60,MATCH(UPPER(TRIM($F152))&amp;"|"&amp;UPPER(TRIM($G152)),Setup!$P$21:$P$60,0)),IFERROR(INDEX(Setup!$C$21:$C$60,MATCH(UPPER(TRIM($G152))&amp;"|"&amp;UPPER(TRIM($F152)),Setup!$P$21:$P$60,0)),"NO RATE"))))</f>
        <v/>
      </c>
      <c r="J152" s="98" t="n"/>
      <c r="K152" s="90">
        <f>IF(OR($G152="",$H152="",NOT(ISNUMBER($I152))),"",ROUND($H152*$I152*(1+IF($J152="",Setup!$B$16,$J152)),2))</f>
        <v/>
      </c>
      <c r="L152" s="90">
        <f>IF($K152="","",ROUND($K152*Setup!$B$13,2))</f>
        <v/>
      </c>
      <c r="M152" s="90">
        <f>IF($K152="","",$K152-$L152)</f>
        <v/>
      </c>
      <c r="N152" s="90">
        <f>IF(OR($M152="",$D152=""),"",ROUND($M152*IFERROR(IF(VLOOKUP($D152,Setup!$A$76:$C$87,3,FALSE)="",Setup!$B$14,VLOOKUP($D152,Setup!$A$76:$C$87,3,FALSE)),Setup!$B$14),2))</f>
        <v/>
      </c>
      <c r="O152" s="90">
        <f>IF(OR($M152="",$E152=""),"",ROUND($M152*IFERROR(IF(VLOOKUP($E152,Setup!$A$76:$C$87,3,FALSE)="",Setup!$B$15,VLOOKUP($E152,Setup!$A$76:$C$87,3,FALSE)),Setup!$B$15),2))</f>
        <v/>
      </c>
      <c r="P152" s="99" t="n"/>
      <c r="Q152" s="99" t="n"/>
      <c r="R152" s="99" t="n"/>
      <c r="S152" s="99" t="n"/>
      <c r="T152" s="99" t="n"/>
      <c r="U152" s="90">
        <f>IF($K152="","",SUM($R152:$T152))</f>
        <v/>
      </c>
      <c r="V152" s="90">
        <f>IF($K152="","",$M152-(N($N152)+N($O152)+IF($P152="",Setup!$B$17,$P152)+N($Q152))-N($U152))</f>
        <v/>
      </c>
      <c r="W152" s="95" t="n"/>
      <c r="X152" s="96" t="n"/>
      <c r="Z152" s="93">
        <f>IF($A152="","",DATE(YEAR($A152),MONTH($A152),1))</f>
        <v/>
      </c>
    </row>
    <row r="153">
      <c r="A153" s="86" t="n"/>
      <c r="B153" s="87" t="n"/>
      <c r="C153" s="87" t="n"/>
      <c r="D153" s="88" t="n"/>
      <c r="E153" s="88" t="n"/>
      <c r="F153" s="88" t="n"/>
      <c r="G153" s="88" t="n"/>
      <c r="H153" s="89" t="n"/>
      <c r="I153" s="90">
        <f>IF($G153="","",IF($F153="",IFERROR(INDEX(Setup!$C$21:$C$60,MATCH("|"&amp;UPPER(TRIM($G153)),Setup!$Q$21:$Q$60,0)),"NO RATE"),IFERROR(INDEX(Setup!$C$21:$C$60,MATCH(UPPER(TRIM($F153))&amp;"|"&amp;UPPER(TRIM($G153)),Setup!$P$21:$P$60,0)),IFERROR(INDEX(Setup!$C$21:$C$60,MATCH(UPPER(TRIM($G153))&amp;"|"&amp;UPPER(TRIM($F153)),Setup!$P$21:$P$60,0)),"NO RATE"))))</f>
        <v/>
      </c>
      <c r="J153" s="91" t="n"/>
      <c r="K153" s="90">
        <f>IF(OR($G153="",$H153="",NOT(ISNUMBER($I153))),"",ROUND($H153*$I153*(1+IF($J153="",Setup!$B$16,$J153)),2))</f>
        <v/>
      </c>
      <c r="L153" s="90">
        <f>IF($K153="","",ROUND($K153*Setup!$B$13,2))</f>
        <v/>
      </c>
      <c r="M153" s="90">
        <f>IF($K153="","",$K153-$L153)</f>
        <v/>
      </c>
      <c r="N153" s="90">
        <f>IF(OR($M153="",$D153=""),"",ROUND($M153*IFERROR(IF(VLOOKUP($D153,Setup!$A$76:$C$87,3,FALSE)="",Setup!$B$14,VLOOKUP($D153,Setup!$A$76:$C$87,3,FALSE)),Setup!$B$14),2))</f>
        <v/>
      </c>
      <c r="O153" s="90">
        <f>IF(OR($M153="",$E153=""),"",ROUND($M153*IFERROR(IF(VLOOKUP($E153,Setup!$A$76:$C$87,3,FALSE)="",Setup!$B$15,VLOOKUP($E153,Setup!$A$76:$C$87,3,FALSE)),Setup!$B$15),2))</f>
        <v/>
      </c>
      <c r="P153" s="92" t="n"/>
      <c r="Q153" s="92" t="n"/>
      <c r="R153" s="92" t="n"/>
      <c r="S153" s="92" t="n"/>
      <c r="T153" s="92" t="n"/>
      <c r="U153" s="90">
        <f>IF($K153="","",SUM($R153:$T153))</f>
        <v/>
      </c>
      <c r="V153" s="90">
        <f>IF($K153="","",$M153-(N($N153)+N($O153)+IF($P153="",Setup!$B$17,$P153)+N($Q153))-N($U153))</f>
        <v/>
      </c>
      <c r="W153" s="87" t="n"/>
      <c r="X153" s="88" t="n"/>
      <c r="Z153" s="93">
        <f>IF($A153="","",DATE(YEAR($A153),MONTH($A153),1))</f>
        <v/>
      </c>
    </row>
    <row r="154">
      <c r="A154" s="94" t="n"/>
      <c r="B154" s="95" t="n"/>
      <c r="C154" s="95" t="n"/>
      <c r="D154" s="96" t="n"/>
      <c r="E154" s="96" t="n"/>
      <c r="F154" s="96" t="n"/>
      <c r="G154" s="96" t="n"/>
      <c r="H154" s="97" t="n"/>
      <c r="I154" s="90">
        <f>IF($G154="","",IF($F154="",IFERROR(INDEX(Setup!$C$21:$C$60,MATCH("|"&amp;UPPER(TRIM($G154)),Setup!$Q$21:$Q$60,0)),"NO RATE"),IFERROR(INDEX(Setup!$C$21:$C$60,MATCH(UPPER(TRIM($F154))&amp;"|"&amp;UPPER(TRIM($G154)),Setup!$P$21:$P$60,0)),IFERROR(INDEX(Setup!$C$21:$C$60,MATCH(UPPER(TRIM($G154))&amp;"|"&amp;UPPER(TRIM($F154)),Setup!$P$21:$P$60,0)),"NO RATE"))))</f>
        <v/>
      </c>
      <c r="J154" s="98" t="n"/>
      <c r="K154" s="90">
        <f>IF(OR($G154="",$H154="",NOT(ISNUMBER($I154))),"",ROUND($H154*$I154*(1+IF($J154="",Setup!$B$16,$J154)),2))</f>
        <v/>
      </c>
      <c r="L154" s="90">
        <f>IF($K154="","",ROUND($K154*Setup!$B$13,2))</f>
        <v/>
      </c>
      <c r="M154" s="90">
        <f>IF($K154="","",$K154-$L154)</f>
        <v/>
      </c>
      <c r="N154" s="90">
        <f>IF(OR($M154="",$D154=""),"",ROUND($M154*IFERROR(IF(VLOOKUP($D154,Setup!$A$76:$C$87,3,FALSE)="",Setup!$B$14,VLOOKUP($D154,Setup!$A$76:$C$87,3,FALSE)),Setup!$B$14),2))</f>
        <v/>
      </c>
      <c r="O154" s="90">
        <f>IF(OR($M154="",$E154=""),"",ROUND($M154*IFERROR(IF(VLOOKUP($E154,Setup!$A$76:$C$87,3,FALSE)="",Setup!$B$15,VLOOKUP($E154,Setup!$A$76:$C$87,3,FALSE)),Setup!$B$15),2))</f>
        <v/>
      </c>
      <c r="P154" s="99" t="n"/>
      <c r="Q154" s="99" t="n"/>
      <c r="R154" s="99" t="n"/>
      <c r="S154" s="99" t="n"/>
      <c r="T154" s="99" t="n"/>
      <c r="U154" s="90">
        <f>IF($K154="","",SUM($R154:$T154))</f>
        <v/>
      </c>
      <c r="V154" s="90">
        <f>IF($K154="","",$M154-(N($N154)+N($O154)+IF($P154="",Setup!$B$17,$P154)+N($Q154))-N($U154))</f>
        <v/>
      </c>
      <c r="W154" s="95" t="n"/>
      <c r="X154" s="96" t="n"/>
      <c r="Z154" s="93">
        <f>IF($A154="","",DATE(YEAR($A154),MONTH($A154),1))</f>
        <v/>
      </c>
    </row>
    <row r="155">
      <c r="A155" s="86" t="n"/>
      <c r="B155" s="87" t="n"/>
      <c r="C155" s="87" t="n"/>
      <c r="D155" s="88" t="n"/>
      <c r="E155" s="88" t="n"/>
      <c r="F155" s="88" t="n"/>
      <c r="G155" s="88" t="n"/>
      <c r="H155" s="89" t="n"/>
      <c r="I155" s="90">
        <f>IF($G155="","",IF($F155="",IFERROR(INDEX(Setup!$C$21:$C$60,MATCH("|"&amp;UPPER(TRIM($G155)),Setup!$Q$21:$Q$60,0)),"NO RATE"),IFERROR(INDEX(Setup!$C$21:$C$60,MATCH(UPPER(TRIM($F155))&amp;"|"&amp;UPPER(TRIM($G155)),Setup!$P$21:$P$60,0)),IFERROR(INDEX(Setup!$C$21:$C$60,MATCH(UPPER(TRIM($G155))&amp;"|"&amp;UPPER(TRIM($F155)),Setup!$P$21:$P$60,0)),"NO RATE"))))</f>
        <v/>
      </c>
      <c r="J155" s="91" t="n"/>
      <c r="K155" s="90">
        <f>IF(OR($G155="",$H155="",NOT(ISNUMBER($I155))),"",ROUND($H155*$I155*(1+IF($J155="",Setup!$B$16,$J155)),2))</f>
        <v/>
      </c>
      <c r="L155" s="90">
        <f>IF($K155="","",ROUND($K155*Setup!$B$13,2))</f>
        <v/>
      </c>
      <c r="M155" s="90">
        <f>IF($K155="","",$K155-$L155)</f>
        <v/>
      </c>
      <c r="N155" s="90">
        <f>IF(OR($M155="",$D155=""),"",ROUND($M155*IFERROR(IF(VLOOKUP($D155,Setup!$A$76:$C$87,3,FALSE)="",Setup!$B$14,VLOOKUP($D155,Setup!$A$76:$C$87,3,FALSE)),Setup!$B$14),2))</f>
        <v/>
      </c>
      <c r="O155" s="90">
        <f>IF(OR($M155="",$E155=""),"",ROUND($M155*IFERROR(IF(VLOOKUP($E155,Setup!$A$76:$C$87,3,FALSE)="",Setup!$B$15,VLOOKUP($E155,Setup!$A$76:$C$87,3,FALSE)),Setup!$B$15),2))</f>
        <v/>
      </c>
      <c r="P155" s="92" t="n"/>
      <c r="Q155" s="92" t="n"/>
      <c r="R155" s="92" t="n"/>
      <c r="S155" s="92" t="n"/>
      <c r="T155" s="92" t="n"/>
      <c r="U155" s="90">
        <f>IF($K155="","",SUM($R155:$T155))</f>
        <v/>
      </c>
      <c r="V155" s="90">
        <f>IF($K155="","",$M155-(N($N155)+N($O155)+IF($P155="",Setup!$B$17,$P155)+N($Q155))-N($U155))</f>
        <v/>
      </c>
      <c r="W155" s="87" t="n"/>
      <c r="X155" s="88" t="n"/>
      <c r="Z155" s="93">
        <f>IF($A155="","",DATE(YEAR($A155),MONTH($A155),1))</f>
        <v/>
      </c>
    </row>
    <row r="156">
      <c r="A156" s="94" t="n"/>
      <c r="B156" s="95" t="n"/>
      <c r="C156" s="95" t="n"/>
      <c r="D156" s="96" t="n"/>
      <c r="E156" s="96" t="n"/>
      <c r="F156" s="96" t="n"/>
      <c r="G156" s="96" t="n"/>
      <c r="H156" s="97" t="n"/>
      <c r="I156" s="90">
        <f>IF($G156="","",IF($F156="",IFERROR(INDEX(Setup!$C$21:$C$60,MATCH("|"&amp;UPPER(TRIM($G156)),Setup!$Q$21:$Q$60,0)),"NO RATE"),IFERROR(INDEX(Setup!$C$21:$C$60,MATCH(UPPER(TRIM($F156))&amp;"|"&amp;UPPER(TRIM($G156)),Setup!$P$21:$P$60,0)),IFERROR(INDEX(Setup!$C$21:$C$60,MATCH(UPPER(TRIM($G156))&amp;"|"&amp;UPPER(TRIM($F156)),Setup!$P$21:$P$60,0)),"NO RATE"))))</f>
        <v/>
      </c>
      <c r="J156" s="98" t="n"/>
      <c r="K156" s="90">
        <f>IF(OR($G156="",$H156="",NOT(ISNUMBER($I156))),"",ROUND($H156*$I156*(1+IF($J156="",Setup!$B$16,$J156)),2))</f>
        <v/>
      </c>
      <c r="L156" s="90">
        <f>IF($K156="","",ROUND($K156*Setup!$B$13,2))</f>
        <v/>
      </c>
      <c r="M156" s="90">
        <f>IF($K156="","",$K156-$L156)</f>
        <v/>
      </c>
      <c r="N156" s="90">
        <f>IF(OR($M156="",$D156=""),"",ROUND($M156*IFERROR(IF(VLOOKUP($D156,Setup!$A$76:$C$87,3,FALSE)="",Setup!$B$14,VLOOKUP($D156,Setup!$A$76:$C$87,3,FALSE)),Setup!$B$14),2))</f>
        <v/>
      </c>
      <c r="O156" s="90">
        <f>IF(OR($M156="",$E156=""),"",ROUND($M156*IFERROR(IF(VLOOKUP($E156,Setup!$A$76:$C$87,3,FALSE)="",Setup!$B$15,VLOOKUP($E156,Setup!$A$76:$C$87,3,FALSE)),Setup!$B$15),2))</f>
        <v/>
      </c>
      <c r="P156" s="99" t="n"/>
      <c r="Q156" s="99" t="n"/>
      <c r="R156" s="99" t="n"/>
      <c r="S156" s="99" t="n"/>
      <c r="T156" s="99" t="n"/>
      <c r="U156" s="90">
        <f>IF($K156="","",SUM($R156:$T156))</f>
        <v/>
      </c>
      <c r="V156" s="90">
        <f>IF($K156="","",$M156-(N($N156)+N($O156)+IF($P156="",Setup!$B$17,$P156)+N($Q156))-N($U156))</f>
        <v/>
      </c>
      <c r="W156" s="95" t="n"/>
      <c r="X156" s="96" t="n"/>
      <c r="Z156" s="93">
        <f>IF($A156="","",DATE(YEAR($A156),MONTH($A156),1))</f>
        <v/>
      </c>
    </row>
    <row r="157">
      <c r="A157" s="86" t="n"/>
      <c r="B157" s="87" t="n"/>
      <c r="C157" s="87" t="n"/>
      <c r="D157" s="88" t="n"/>
      <c r="E157" s="88" t="n"/>
      <c r="F157" s="88" t="n"/>
      <c r="G157" s="88" t="n"/>
      <c r="H157" s="89" t="n"/>
      <c r="I157" s="90">
        <f>IF($G157="","",IF($F157="",IFERROR(INDEX(Setup!$C$21:$C$60,MATCH("|"&amp;UPPER(TRIM($G157)),Setup!$Q$21:$Q$60,0)),"NO RATE"),IFERROR(INDEX(Setup!$C$21:$C$60,MATCH(UPPER(TRIM($F157))&amp;"|"&amp;UPPER(TRIM($G157)),Setup!$P$21:$P$60,0)),IFERROR(INDEX(Setup!$C$21:$C$60,MATCH(UPPER(TRIM($G157))&amp;"|"&amp;UPPER(TRIM($F157)),Setup!$P$21:$P$60,0)),"NO RATE"))))</f>
        <v/>
      </c>
      <c r="J157" s="91" t="n"/>
      <c r="K157" s="90">
        <f>IF(OR($G157="",$H157="",NOT(ISNUMBER($I157))),"",ROUND($H157*$I157*(1+IF($J157="",Setup!$B$16,$J157)),2))</f>
        <v/>
      </c>
      <c r="L157" s="90">
        <f>IF($K157="","",ROUND($K157*Setup!$B$13,2))</f>
        <v/>
      </c>
      <c r="M157" s="90">
        <f>IF($K157="","",$K157-$L157)</f>
        <v/>
      </c>
      <c r="N157" s="90">
        <f>IF(OR($M157="",$D157=""),"",ROUND($M157*IFERROR(IF(VLOOKUP($D157,Setup!$A$76:$C$87,3,FALSE)="",Setup!$B$14,VLOOKUP($D157,Setup!$A$76:$C$87,3,FALSE)),Setup!$B$14),2))</f>
        <v/>
      </c>
      <c r="O157" s="90">
        <f>IF(OR($M157="",$E157=""),"",ROUND($M157*IFERROR(IF(VLOOKUP($E157,Setup!$A$76:$C$87,3,FALSE)="",Setup!$B$15,VLOOKUP($E157,Setup!$A$76:$C$87,3,FALSE)),Setup!$B$15),2))</f>
        <v/>
      </c>
      <c r="P157" s="92" t="n"/>
      <c r="Q157" s="92" t="n"/>
      <c r="R157" s="92" t="n"/>
      <c r="S157" s="92" t="n"/>
      <c r="T157" s="92" t="n"/>
      <c r="U157" s="90">
        <f>IF($K157="","",SUM($R157:$T157))</f>
        <v/>
      </c>
      <c r="V157" s="90">
        <f>IF($K157="","",$M157-(N($N157)+N($O157)+IF($P157="",Setup!$B$17,$P157)+N($Q157))-N($U157))</f>
        <v/>
      </c>
      <c r="W157" s="87" t="n"/>
      <c r="X157" s="88" t="n"/>
      <c r="Z157" s="93">
        <f>IF($A157="","",DATE(YEAR($A157),MONTH($A157),1))</f>
        <v/>
      </c>
    </row>
    <row r="158">
      <c r="A158" s="94" t="n"/>
      <c r="B158" s="95" t="n"/>
      <c r="C158" s="95" t="n"/>
      <c r="D158" s="96" t="n"/>
      <c r="E158" s="96" t="n"/>
      <c r="F158" s="96" t="n"/>
      <c r="G158" s="96" t="n"/>
      <c r="H158" s="97" t="n"/>
      <c r="I158" s="90">
        <f>IF($G158="","",IF($F158="",IFERROR(INDEX(Setup!$C$21:$C$60,MATCH("|"&amp;UPPER(TRIM($G158)),Setup!$Q$21:$Q$60,0)),"NO RATE"),IFERROR(INDEX(Setup!$C$21:$C$60,MATCH(UPPER(TRIM($F158))&amp;"|"&amp;UPPER(TRIM($G158)),Setup!$P$21:$P$60,0)),IFERROR(INDEX(Setup!$C$21:$C$60,MATCH(UPPER(TRIM($G158))&amp;"|"&amp;UPPER(TRIM($F158)),Setup!$P$21:$P$60,0)),"NO RATE"))))</f>
        <v/>
      </c>
      <c r="J158" s="98" t="n"/>
      <c r="K158" s="90">
        <f>IF(OR($G158="",$H158="",NOT(ISNUMBER($I158))),"",ROUND($H158*$I158*(1+IF($J158="",Setup!$B$16,$J158)),2))</f>
        <v/>
      </c>
      <c r="L158" s="90">
        <f>IF($K158="","",ROUND($K158*Setup!$B$13,2))</f>
        <v/>
      </c>
      <c r="M158" s="90">
        <f>IF($K158="","",$K158-$L158)</f>
        <v/>
      </c>
      <c r="N158" s="90">
        <f>IF(OR($M158="",$D158=""),"",ROUND($M158*IFERROR(IF(VLOOKUP($D158,Setup!$A$76:$C$87,3,FALSE)="",Setup!$B$14,VLOOKUP($D158,Setup!$A$76:$C$87,3,FALSE)),Setup!$B$14),2))</f>
        <v/>
      </c>
      <c r="O158" s="90">
        <f>IF(OR($M158="",$E158=""),"",ROUND($M158*IFERROR(IF(VLOOKUP($E158,Setup!$A$76:$C$87,3,FALSE)="",Setup!$B$15,VLOOKUP($E158,Setup!$A$76:$C$87,3,FALSE)),Setup!$B$15),2))</f>
        <v/>
      </c>
      <c r="P158" s="99" t="n"/>
      <c r="Q158" s="99" t="n"/>
      <c r="R158" s="99" t="n"/>
      <c r="S158" s="99" t="n"/>
      <c r="T158" s="99" t="n"/>
      <c r="U158" s="90">
        <f>IF($K158="","",SUM($R158:$T158))</f>
        <v/>
      </c>
      <c r="V158" s="90">
        <f>IF($K158="","",$M158-(N($N158)+N($O158)+IF($P158="",Setup!$B$17,$P158)+N($Q158))-N($U158))</f>
        <v/>
      </c>
      <c r="W158" s="95" t="n"/>
      <c r="X158" s="96" t="n"/>
      <c r="Z158" s="93">
        <f>IF($A158="","",DATE(YEAR($A158),MONTH($A158),1))</f>
        <v/>
      </c>
    </row>
    <row r="159">
      <c r="A159" s="86" t="n"/>
      <c r="B159" s="87" t="n"/>
      <c r="C159" s="87" t="n"/>
      <c r="D159" s="88" t="n"/>
      <c r="E159" s="88" t="n"/>
      <c r="F159" s="88" t="n"/>
      <c r="G159" s="88" t="n"/>
      <c r="H159" s="89" t="n"/>
      <c r="I159" s="90">
        <f>IF($G159="","",IF($F159="",IFERROR(INDEX(Setup!$C$21:$C$60,MATCH("|"&amp;UPPER(TRIM($G159)),Setup!$Q$21:$Q$60,0)),"NO RATE"),IFERROR(INDEX(Setup!$C$21:$C$60,MATCH(UPPER(TRIM($F159))&amp;"|"&amp;UPPER(TRIM($G159)),Setup!$P$21:$P$60,0)),IFERROR(INDEX(Setup!$C$21:$C$60,MATCH(UPPER(TRIM($G159))&amp;"|"&amp;UPPER(TRIM($F159)),Setup!$P$21:$P$60,0)),"NO RATE"))))</f>
        <v/>
      </c>
      <c r="J159" s="91" t="n"/>
      <c r="K159" s="90">
        <f>IF(OR($G159="",$H159="",NOT(ISNUMBER($I159))),"",ROUND($H159*$I159*(1+IF($J159="",Setup!$B$16,$J159)),2))</f>
        <v/>
      </c>
      <c r="L159" s="90">
        <f>IF($K159="","",ROUND($K159*Setup!$B$13,2))</f>
        <v/>
      </c>
      <c r="M159" s="90">
        <f>IF($K159="","",$K159-$L159)</f>
        <v/>
      </c>
      <c r="N159" s="90">
        <f>IF(OR($M159="",$D159=""),"",ROUND($M159*IFERROR(IF(VLOOKUP($D159,Setup!$A$76:$C$87,3,FALSE)="",Setup!$B$14,VLOOKUP($D159,Setup!$A$76:$C$87,3,FALSE)),Setup!$B$14),2))</f>
        <v/>
      </c>
      <c r="O159" s="90">
        <f>IF(OR($M159="",$E159=""),"",ROUND($M159*IFERROR(IF(VLOOKUP($E159,Setup!$A$76:$C$87,3,FALSE)="",Setup!$B$15,VLOOKUP($E159,Setup!$A$76:$C$87,3,FALSE)),Setup!$B$15),2))</f>
        <v/>
      </c>
      <c r="P159" s="92" t="n"/>
      <c r="Q159" s="92" t="n"/>
      <c r="R159" s="92" t="n"/>
      <c r="S159" s="92" t="n"/>
      <c r="T159" s="92" t="n"/>
      <c r="U159" s="90">
        <f>IF($K159="","",SUM($R159:$T159))</f>
        <v/>
      </c>
      <c r="V159" s="90">
        <f>IF($K159="","",$M159-(N($N159)+N($O159)+IF($P159="",Setup!$B$17,$P159)+N($Q159))-N($U159))</f>
        <v/>
      </c>
      <c r="W159" s="87" t="n"/>
      <c r="X159" s="88" t="n"/>
      <c r="Z159" s="93">
        <f>IF($A159="","",DATE(YEAR($A159),MONTH($A159),1))</f>
        <v/>
      </c>
    </row>
    <row r="160">
      <c r="A160" s="94" t="n"/>
      <c r="B160" s="95" t="n"/>
      <c r="C160" s="95" t="n"/>
      <c r="D160" s="96" t="n"/>
      <c r="E160" s="96" t="n"/>
      <c r="F160" s="96" t="n"/>
      <c r="G160" s="96" t="n"/>
      <c r="H160" s="97" t="n"/>
      <c r="I160" s="90">
        <f>IF($G160="","",IF($F160="",IFERROR(INDEX(Setup!$C$21:$C$60,MATCH("|"&amp;UPPER(TRIM($G160)),Setup!$Q$21:$Q$60,0)),"NO RATE"),IFERROR(INDEX(Setup!$C$21:$C$60,MATCH(UPPER(TRIM($F160))&amp;"|"&amp;UPPER(TRIM($G160)),Setup!$P$21:$P$60,0)),IFERROR(INDEX(Setup!$C$21:$C$60,MATCH(UPPER(TRIM($G160))&amp;"|"&amp;UPPER(TRIM($F160)),Setup!$P$21:$P$60,0)),"NO RATE"))))</f>
        <v/>
      </c>
      <c r="J160" s="98" t="n"/>
      <c r="K160" s="90">
        <f>IF(OR($G160="",$H160="",NOT(ISNUMBER($I160))),"",ROUND($H160*$I160*(1+IF($J160="",Setup!$B$16,$J160)),2))</f>
        <v/>
      </c>
      <c r="L160" s="90">
        <f>IF($K160="","",ROUND($K160*Setup!$B$13,2))</f>
        <v/>
      </c>
      <c r="M160" s="90">
        <f>IF($K160="","",$K160-$L160)</f>
        <v/>
      </c>
      <c r="N160" s="90">
        <f>IF(OR($M160="",$D160=""),"",ROUND($M160*IFERROR(IF(VLOOKUP($D160,Setup!$A$76:$C$87,3,FALSE)="",Setup!$B$14,VLOOKUP($D160,Setup!$A$76:$C$87,3,FALSE)),Setup!$B$14),2))</f>
        <v/>
      </c>
      <c r="O160" s="90">
        <f>IF(OR($M160="",$E160=""),"",ROUND($M160*IFERROR(IF(VLOOKUP($E160,Setup!$A$76:$C$87,3,FALSE)="",Setup!$B$15,VLOOKUP($E160,Setup!$A$76:$C$87,3,FALSE)),Setup!$B$15),2))</f>
        <v/>
      </c>
      <c r="P160" s="99" t="n"/>
      <c r="Q160" s="99" t="n"/>
      <c r="R160" s="99" t="n"/>
      <c r="S160" s="99" t="n"/>
      <c r="T160" s="99" t="n"/>
      <c r="U160" s="90">
        <f>IF($K160="","",SUM($R160:$T160))</f>
        <v/>
      </c>
      <c r="V160" s="90">
        <f>IF($K160="","",$M160-(N($N160)+N($O160)+IF($P160="",Setup!$B$17,$P160)+N($Q160))-N($U160))</f>
        <v/>
      </c>
      <c r="W160" s="95" t="n"/>
      <c r="X160" s="96" t="n"/>
      <c r="Z160" s="93">
        <f>IF($A160="","",DATE(YEAR($A160),MONTH($A160),1))</f>
        <v/>
      </c>
    </row>
    <row r="161">
      <c r="A161" s="86" t="n"/>
      <c r="B161" s="87" t="n"/>
      <c r="C161" s="87" t="n"/>
      <c r="D161" s="88" t="n"/>
      <c r="E161" s="88" t="n"/>
      <c r="F161" s="88" t="n"/>
      <c r="G161" s="88" t="n"/>
      <c r="H161" s="89" t="n"/>
      <c r="I161" s="90">
        <f>IF($G161="","",IF($F161="",IFERROR(INDEX(Setup!$C$21:$C$60,MATCH("|"&amp;UPPER(TRIM($G161)),Setup!$Q$21:$Q$60,0)),"NO RATE"),IFERROR(INDEX(Setup!$C$21:$C$60,MATCH(UPPER(TRIM($F161))&amp;"|"&amp;UPPER(TRIM($G161)),Setup!$P$21:$P$60,0)),IFERROR(INDEX(Setup!$C$21:$C$60,MATCH(UPPER(TRIM($G161))&amp;"|"&amp;UPPER(TRIM($F161)),Setup!$P$21:$P$60,0)),"NO RATE"))))</f>
        <v/>
      </c>
      <c r="J161" s="91" t="n"/>
      <c r="K161" s="90">
        <f>IF(OR($G161="",$H161="",NOT(ISNUMBER($I161))),"",ROUND($H161*$I161*(1+IF($J161="",Setup!$B$16,$J161)),2))</f>
        <v/>
      </c>
      <c r="L161" s="90">
        <f>IF($K161="","",ROUND($K161*Setup!$B$13,2))</f>
        <v/>
      </c>
      <c r="M161" s="90">
        <f>IF($K161="","",$K161-$L161)</f>
        <v/>
      </c>
      <c r="N161" s="90">
        <f>IF(OR($M161="",$D161=""),"",ROUND($M161*IFERROR(IF(VLOOKUP($D161,Setup!$A$76:$C$87,3,FALSE)="",Setup!$B$14,VLOOKUP($D161,Setup!$A$76:$C$87,3,FALSE)),Setup!$B$14),2))</f>
        <v/>
      </c>
      <c r="O161" s="90">
        <f>IF(OR($M161="",$E161=""),"",ROUND($M161*IFERROR(IF(VLOOKUP($E161,Setup!$A$76:$C$87,3,FALSE)="",Setup!$B$15,VLOOKUP($E161,Setup!$A$76:$C$87,3,FALSE)),Setup!$B$15),2))</f>
        <v/>
      </c>
      <c r="P161" s="92" t="n"/>
      <c r="Q161" s="92" t="n"/>
      <c r="R161" s="92" t="n"/>
      <c r="S161" s="92" t="n"/>
      <c r="T161" s="92" t="n"/>
      <c r="U161" s="90">
        <f>IF($K161="","",SUM($R161:$T161))</f>
        <v/>
      </c>
      <c r="V161" s="90">
        <f>IF($K161="","",$M161-(N($N161)+N($O161)+IF($P161="",Setup!$B$17,$P161)+N($Q161))-N($U161))</f>
        <v/>
      </c>
      <c r="W161" s="87" t="n"/>
      <c r="X161" s="88" t="n"/>
      <c r="Z161" s="93">
        <f>IF($A161="","",DATE(YEAR($A161),MONTH($A161),1))</f>
        <v/>
      </c>
    </row>
    <row r="162">
      <c r="A162" s="94" t="n"/>
      <c r="B162" s="95" t="n"/>
      <c r="C162" s="95" t="n"/>
      <c r="D162" s="96" t="n"/>
      <c r="E162" s="96" t="n"/>
      <c r="F162" s="96" t="n"/>
      <c r="G162" s="96" t="n"/>
      <c r="H162" s="97" t="n"/>
      <c r="I162" s="90">
        <f>IF($G162="","",IF($F162="",IFERROR(INDEX(Setup!$C$21:$C$60,MATCH("|"&amp;UPPER(TRIM($G162)),Setup!$Q$21:$Q$60,0)),"NO RATE"),IFERROR(INDEX(Setup!$C$21:$C$60,MATCH(UPPER(TRIM($F162))&amp;"|"&amp;UPPER(TRIM($G162)),Setup!$P$21:$P$60,0)),IFERROR(INDEX(Setup!$C$21:$C$60,MATCH(UPPER(TRIM($G162))&amp;"|"&amp;UPPER(TRIM($F162)),Setup!$P$21:$P$60,0)),"NO RATE"))))</f>
        <v/>
      </c>
      <c r="J162" s="98" t="n"/>
      <c r="K162" s="90">
        <f>IF(OR($G162="",$H162="",NOT(ISNUMBER($I162))),"",ROUND($H162*$I162*(1+IF($J162="",Setup!$B$16,$J162)),2))</f>
        <v/>
      </c>
      <c r="L162" s="90">
        <f>IF($K162="","",ROUND($K162*Setup!$B$13,2))</f>
        <v/>
      </c>
      <c r="M162" s="90">
        <f>IF($K162="","",$K162-$L162)</f>
        <v/>
      </c>
      <c r="N162" s="90">
        <f>IF(OR($M162="",$D162=""),"",ROUND($M162*IFERROR(IF(VLOOKUP($D162,Setup!$A$76:$C$87,3,FALSE)="",Setup!$B$14,VLOOKUP($D162,Setup!$A$76:$C$87,3,FALSE)),Setup!$B$14),2))</f>
        <v/>
      </c>
      <c r="O162" s="90">
        <f>IF(OR($M162="",$E162=""),"",ROUND($M162*IFERROR(IF(VLOOKUP($E162,Setup!$A$76:$C$87,3,FALSE)="",Setup!$B$15,VLOOKUP($E162,Setup!$A$76:$C$87,3,FALSE)),Setup!$B$15),2))</f>
        <v/>
      </c>
      <c r="P162" s="99" t="n"/>
      <c r="Q162" s="99" t="n"/>
      <c r="R162" s="99" t="n"/>
      <c r="S162" s="99" t="n"/>
      <c r="T162" s="99" t="n"/>
      <c r="U162" s="90">
        <f>IF($K162="","",SUM($R162:$T162))</f>
        <v/>
      </c>
      <c r="V162" s="90">
        <f>IF($K162="","",$M162-(N($N162)+N($O162)+IF($P162="",Setup!$B$17,$P162)+N($Q162))-N($U162))</f>
        <v/>
      </c>
      <c r="W162" s="95" t="n"/>
      <c r="X162" s="96" t="n"/>
      <c r="Z162" s="93">
        <f>IF($A162="","",DATE(YEAR($A162),MONTH($A162),1))</f>
        <v/>
      </c>
    </row>
    <row r="163">
      <c r="A163" s="86" t="n"/>
      <c r="B163" s="87" t="n"/>
      <c r="C163" s="87" t="n"/>
      <c r="D163" s="88" t="n"/>
      <c r="E163" s="88" t="n"/>
      <c r="F163" s="88" t="n"/>
      <c r="G163" s="88" t="n"/>
      <c r="H163" s="89" t="n"/>
      <c r="I163" s="90">
        <f>IF($G163="","",IF($F163="",IFERROR(INDEX(Setup!$C$21:$C$60,MATCH("|"&amp;UPPER(TRIM($G163)),Setup!$Q$21:$Q$60,0)),"NO RATE"),IFERROR(INDEX(Setup!$C$21:$C$60,MATCH(UPPER(TRIM($F163))&amp;"|"&amp;UPPER(TRIM($G163)),Setup!$P$21:$P$60,0)),IFERROR(INDEX(Setup!$C$21:$C$60,MATCH(UPPER(TRIM($G163))&amp;"|"&amp;UPPER(TRIM($F163)),Setup!$P$21:$P$60,0)),"NO RATE"))))</f>
        <v/>
      </c>
      <c r="J163" s="91" t="n"/>
      <c r="K163" s="90">
        <f>IF(OR($G163="",$H163="",NOT(ISNUMBER($I163))),"",ROUND($H163*$I163*(1+IF($J163="",Setup!$B$16,$J163)),2))</f>
        <v/>
      </c>
      <c r="L163" s="90">
        <f>IF($K163="","",ROUND($K163*Setup!$B$13,2))</f>
        <v/>
      </c>
      <c r="M163" s="90">
        <f>IF($K163="","",$K163-$L163)</f>
        <v/>
      </c>
      <c r="N163" s="90">
        <f>IF(OR($M163="",$D163=""),"",ROUND($M163*IFERROR(IF(VLOOKUP($D163,Setup!$A$76:$C$87,3,FALSE)="",Setup!$B$14,VLOOKUP($D163,Setup!$A$76:$C$87,3,FALSE)),Setup!$B$14),2))</f>
        <v/>
      </c>
      <c r="O163" s="90">
        <f>IF(OR($M163="",$E163=""),"",ROUND($M163*IFERROR(IF(VLOOKUP($E163,Setup!$A$76:$C$87,3,FALSE)="",Setup!$B$15,VLOOKUP($E163,Setup!$A$76:$C$87,3,FALSE)),Setup!$B$15),2))</f>
        <v/>
      </c>
      <c r="P163" s="92" t="n"/>
      <c r="Q163" s="92" t="n"/>
      <c r="R163" s="92" t="n"/>
      <c r="S163" s="92" t="n"/>
      <c r="T163" s="92" t="n"/>
      <c r="U163" s="90">
        <f>IF($K163="","",SUM($R163:$T163))</f>
        <v/>
      </c>
      <c r="V163" s="90">
        <f>IF($K163="","",$M163-(N($N163)+N($O163)+IF($P163="",Setup!$B$17,$P163)+N($Q163))-N($U163))</f>
        <v/>
      </c>
      <c r="W163" s="87" t="n"/>
      <c r="X163" s="88" t="n"/>
      <c r="Z163" s="93">
        <f>IF($A163="","",DATE(YEAR($A163),MONTH($A163),1))</f>
        <v/>
      </c>
    </row>
    <row r="164">
      <c r="A164" s="94" t="n"/>
      <c r="B164" s="95" t="n"/>
      <c r="C164" s="95" t="n"/>
      <c r="D164" s="96" t="n"/>
      <c r="E164" s="96" t="n"/>
      <c r="F164" s="96" t="n"/>
      <c r="G164" s="96" t="n"/>
      <c r="H164" s="97" t="n"/>
      <c r="I164" s="90">
        <f>IF($G164="","",IF($F164="",IFERROR(INDEX(Setup!$C$21:$C$60,MATCH("|"&amp;UPPER(TRIM($G164)),Setup!$Q$21:$Q$60,0)),"NO RATE"),IFERROR(INDEX(Setup!$C$21:$C$60,MATCH(UPPER(TRIM($F164))&amp;"|"&amp;UPPER(TRIM($G164)),Setup!$P$21:$P$60,0)),IFERROR(INDEX(Setup!$C$21:$C$60,MATCH(UPPER(TRIM($G164))&amp;"|"&amp;UPPER(TRIM($F164)),Setup!$P$21:$P$60,0)),"NO RATE"))))</f>
        <v/>
      </c>
      <c r="J164" s="98" t="n"/>
      <c r="K164" s="90">
        <f>IF(OR($G164="",$H164="",NOT(ISNUMBER($I164))),"",ROUND($H164*$I164*(1+IF($J164="",Setup!$B$16,$J164)),2))</f>
        <v/>
      </c>
      <c r="L164" s="90">
        <f>IF($K164="","",ROUND($K164*Setup!$B$13,2))</f>
        <v/>
      </c>
      <c r="M164" s="90">
        <f>IF($K164="","",$K164-$L164)</f>
        <v/>
      </c>
      <c r="N164" s="90">
        <f>IF(OR($M164="",$D164=""),"",ROUND($M164*IFERROR(IF(VLOOKUP($D164,Setup!$A$76:$C$87,3,FALSE)="",Setup!$B$14,VLOOKUP($D164,Setup!$A$76:$C$87,3,FALSE)),Setup!$B$14),2))</f>
        <v/>
      </c>
      <c r="O164" s="90">
        <f>IF(OR($M164="",$E164=""),"",ROUND($M164*IFERROR(IF(VLOOKUP($E164,Setup!$A$76:$C$87,3,FALSE)="",Setup!$B$15,VLOOKUP($E164,Setup!$A$76:$C$87,3,FALSE)),Setup!$B$15),2))</f>
        <v/>
      </c>
      <c r="P164" s="99" t="n"/>
      <c r="Q164" s="99" t="n"/>
      <c r="R164" s="99" t="n"/>
      <c r="S164" s="99" t="n"/>
      <c r="T164" s="99" t="n"/>
      <c r="U164" s="90">
        <f>IF($K164="","",SUM($R164:$T164))</f>
        <v/>
      </c>
      <c r="V164" s="90">
        <f>IF($K164="","",$M164-(N($N164)+N($O164)+IF($P164="",Setup!$B$17,$P164)+N($Q164))-N($U164))</f>
        <v/>
      </c>
      <c r="W164" s="95" t="n"/>
      <c r="X164" s="96" t="n"/>
      <c r="Z164" s="93">
        <f>IF($A164="","",DATE(YEAR($A164),MONTH($A164),1))</f>
        <v/>
      </c>
    </row>
    <row r="165">
      <c r="A165" s="86" t="n"/>
      <c r="B165" s="87" t="n"/>
      <c r="C165" s="87" t="n"/>
      <c r="D165" s="88" t="n"/>
      <c r="E165" s="88" t="n"/>
      <c r="F165" s="88" t="n"/>
      <c r="G165" s="88" t="n"/>
      <c r="H165" s="89" t="n"/>
      <c r="I165" s="90">
        <f>IF($G165="","",IF($F165="",IFERROR(INDEX(Setup!$C$21:$C$60,MATCH("|"&amp;UPPER(TRIM($G165)),Setup!$Q$21:$Q$60,0)),"NO RATE"),IFERROR(INDEX(Setup!$C$21:$C$60,MATCH(UPPER(TRIM($F165))&amp;"|"&amp;UPPER(TRIM($G165)),Setup!$P$21:$P$60,0)),IFERROR(INDEX(Setup!$C$21:$C$60,MATCH(UPPER(TRIM($G165))&amp;"|"&amp;UPPER(TRIM($F165)),Setup!$P$21:$P$60,0)),"NO RATE"))))</f>
        <v/>
      </c>
      <c r="J165" s="91" t="n"/>
      <c r="K165" s="90">
        <f>IF(OR($G165="",$H165="",NOT(ISNUMBER($I165))),"",ROUND($H165*$I165*(1+IF($J165="",Setup!$B$16,$J165)),2))</f>
        <v/>
      </c>
      <c r="L165" s="90">
        <f>IF($K165="","",ROUND($K165*Setup!$B$13,2))</f>
        <v/>
      </c>
      <c r="M165" s="90">
        <f>IF($K165="","",$K165-$L165)</f>
        <v/>
      </c>
      <c r="N165" s="90">
        <f>IF(OR($M165="",$D165=""),"",ROUND($M165*IFERROR(IF(VLOOKUP($D165,Setup!$A$76:$C$87,3,FALSE)="",Setup!$B$14,VLOOKUP($D165,Setup!$A$76:$C$87,3,FALSE)),Setup!$B$14),2))</f>
        <v/>
      </c>
      <c r="O165" s="90">
        <f>IF(OR($M165="",$E165=""),"",ROUND($M165*IFERROR(IF(VLOOKUP($E165,Setup!$A$76:$C$87,3,FALSE)="",Setup!$B$15,VLOOKUP($E165,Setup!$A$76:$C$87,3,FALSE)),Setup!$B$15),2))</f>
        <v/>
      </c>
      <c r="P165" s="92" t="n"/>
      <c r="Q165" s="92" t="n"/>
      <c r="R165" s="92" t="n"/>
      <c r="S165" s="92" t="n"/>
      <c r="T165" s="92" t="n"/>
      <c r="U165" s="90">
        <f>IF($K165="","",SUM($R165:$T165))</f>
        <v/>
      </c>
      <c r="V165" s="90">
        <f>IF($K165="","",$M165-(N($N165)+N($O165)+IF($P165="",Setup!$B$17,$P165)+N($Q165))-N($U165))</f>
        <v/>
      </c>
      <c r="W165" s="87" t="n"/>
      <c r="X165" s="88" t="n"/>
      <c r="Z165" s="93">
        <f>IF($A165="","",DATE(YEAR($A165),MONTH($A165),1))</f>
        <v/>
      </c>
    </row>
    <row r="166">
      <c r="A166" s="94" t="n"/>
      <c r="B166" s="95" t="n"/>
      <c r="C166" s="95" t="n"/>
      <c r="D166" s="96" t="n"/>
      <c r="E166" s="96" t="n"/>
      <c r="F166" s="96" t="n"/>
      <c r="G166" s="96" t="n"/>
      <c r="H166" s="97" t="n"/>
      <c r="I166" s="90">
        <f>IF($G166="","",IF($F166="",IFERROR(INDEX(Setup!$C$21:$C$60,MATCH("|"&amp;UPPER(TRIM($G166)),Setup!$Q$21:$Q$60,0)),"NO RATE"),IFERROR(INDEX(Setup!$C$21:$C$60,MATCH(UPPER(TRIM($F166))&amp;"|"&amp;UPPER(TRIM($G166)),Setup!$P$21:$P$60,0)),IFERROR(INDEX(Setup!$C$21:$C$60,MATCH(UPPER(TRIM($G166))&amp;"|"&amp;UPPER(TRIM($F166)),Setup!$P$21:$P$60,0)),"NO RATE"))))</f>
        <v/>
      </c>
      <c r="J166" s="98" t="n"/>
      <c r="K166" s="90">
        <f>IF(OR($G166="",$H166="",NOT(ISNUMBER($I166))),"",ROUND($H166*$I166*(1+IF($J166="",Setup!$B$16,$J166)),2))</f>
        <v/>
      </c>
      <c r="L166" s="90">
        <f>IF($K166="","",ROUND($K166*Setup!$B$13,2))</f>
        <v/>
      </c>
      <c r="M166" s="90">
        <f>IF($K166="","",$K166-$L166)</f>
        <v/>
      </c>
      <c r="N166" s="90">
        <f>IF(OR($M166="",$D166=""),"",ROUND($M166*IFERROR(IF(VLOOKUP($D166,Setup!$A$76:$C$87,3,FALSE)="",Setup!$B$14,VLOOKUP($D166,Setup!$A$76:$C$87,3,FALSE)),Setup!$B$14),2))</f>
        <v/>
      </c>
      <c r="O166" s="90">
        <f>IF(OR($M166="",$E166=""),"",ROUND($M166*IFERROR(IF(VLOOKUP($E166,Setup!$A$76:$C$87,3,FALSE)="",Setup!$B$15,VLOOKUP($E166,Setup!$A$76:$C$87,3,FALSE)),Setup!$B$15),2))</f>
        <v/>
      </c>
      <c r="P166" s="99" t="n"/>
      <c r="Q166" s="99" t="n"/>
      <c r="R166" s="99" t="n"/>
      <c r="S166" s="99" t="n"/>
      <c r="T166" s="99" t="n"/>
      <c r="U166" s="90">
        <f>IF($K166="","",SUM($R166:$T166))</f>
        <v/>
      </c>
      <c r="V166" s="90">
        <f>IF($K166="","",$M166-(N($N166)+N($O166)+IF($P166="",Setup!$B$17,$P166)+N($Q166))-N($U166))</f>
        <v/>
      </c>
      <c r="W166" s="95" t="n"/>
      <c r="X166" s="96" t="n"/>
      <c r="Z166" s="93">
        <f>IF($A166="","",DATE(YEAR($A166),MONTH($A166),1))</f>
        <v/>
      </c>
    </row>
    <row r="167">
      <c r="A167" s="86" t="n"/>
      <c r="B167" s="87" t="n"/>
      <c r="C167" s="87" t="n"/>
      <c r="D167" s="88" t="n"/>
      <c r="E167" s="88" t="n"/>
      <c r="F167" s="88" t="n"/>
      <c r="G167" s="88" t="n"/>
      <c r="H167" s="89" t="n"/>
      <c r="I167" s="90">
        <f>IF($G167="","",IF($F167="",IFERROR(INDEX(Setup!$C$21:$C$60,MATCH("|"&amp;UPPER(TRIM($G167)),Setup!$Q$21:$Q$60,0)),"NO RATE"),IFERROR(INDEX(Setup!$C$21:$C$60,MATCH(UPPER(TRIM($F167))&amp;"|"&amp;UPPER(TRIM($G167)),Setup!$P$21:$P$60,0)),IFERROR(INDEX(Setup!$C$21:$C$60,MATCH(UPPER(TRIM($G167))&amp;"|"&amp;UPPER(TRIM($F167)),Setup!$P$21:$P$60,0)),"NO RATE"))))</f>
        <v/>
      </c>
      <c r="J167" s="91" t="n"/>
      <c r="K167" s="90">
        <f>IF(OR($G167="",$H167="",NOT(ISNUMBER($I167))),"",ROUND($H167*$I167*(1+IF($J167="",Setup!$B$16,$J167)),2))</f>
        <v/>
      </c>
      <c r="L167" s="90">
        <f>IF($K167="","",ROUND($K167*Setup!$B$13,2))</f>
        <v/>
      </c>
      <c r="M167" s="90">
        <f>IF($K167="","",$K167-$L167)</f>
        <v/>
      </c>
      <c r="N167" s="90">
        <f>IF(OR($M167="",$D167=""),"",ROUND($M167*IFERROR(IF(VLOOKUP($D167,Setup!$A$76:$C$87,3,FALSE)="",Setup!$B$14,VLOOKUP($D167,Setup!$A$76:$C$87,3,FALSE)),Setup!$B$14),2))</f>
        <v/>
      </c>
      <c r="O167" s="90">
        <f>IF(OR($M167="",$E167=""),"",ROUND($M167*IFERROR(IF(VLOOKUP($E167,Setup!$A$76:$C$87,3,FALSE)="",Setup!$B$15,VLOOKUP($E167,Setup!$A$76:$C$87,3,FALSE)),Setup!$B$15),2))</f>
        <v/>
      </c>
      <c r="P167" s="92" t="n"/>
      <c r="Q167" s="92" t="n"/>
      <c r="R167" s="92" t="n"/>
      <c r="S167" s="92" t="n"/>
      <c r="T167" s="92" t="n"/>
      <c r="U167" s="90">
        <f>IF($K167="","",SUM($R167:$T167))</f>
        <v/>
      </c>
      <c r="V167" s="90">
        <f>IF($K167="","",$M167-(N($N167)+N($O167)+IF($P167="",Setup!$B$17,$P167)+N($Q167))-N($U167))</f>
        <v/>
      </c>
      <c r="W167" s="87" t="n"/>
      <c r="X167" s="88" t="n"/>
      <c r="Z167" s="93">
        <f>IF($A167="","",DATE(YEAR($A167),MONTH($A167),1))</f>
        <v/>
      </c>
    </row>
    <row r="168">
      <c r="A168" s="94" t="n"/>
      <c r="B168" s="95" t="n"/>
      <c r="C168" s="95" t="n"/>
      <c r="D168" s="96" t="n"/>
      <c r="E168" s="96" t="n"/>
      <c r="F168" s="96" t="n"/>
      <c r="G168" s="96" t="n"/>
      <c r="H168" s="97" t="n"/>
      <c r="I168" s="90">
        <f>IF($G168="","",IF($F168="",IFERROR(INDEX(Setup!$C$21:$C$60,MATCH("|"&amp;UPPER(TRIM($G168)),Setup!$Q$21:$Q$60,0)),"NO RATE"),IFERROR(INDEX(Setup!$C$21:$C$60,MATCH(UPPER(TRIM($F168))&amp;"|"&amp;UPPER(TRIM($G168)),Setup!$P$21:$P$60,0)),IFERROR(INDEX(Setup!$C$21:$C$60,MATCH(UPPER(TRIM($G168))&amp;"|"&amp;UPPER(TRIM($F168)),Setup!$P$21:$P$60,0)),"NO RATE"))))</f>
        <v/>
      </c>
      <c r="J168" s="98" t="n"/>
      <c r="K168" s="90">
        <f>IF(OR($G168="",$H168="",NOT(ISNUMBER($I168))),"",ROUND($H168*$I168*(1+IF($J168="",Setup!$B$16,$J168)),2))</f>
        <v/>
      </c>
      <c r="L168" s="90">
        <f>IF($K168="","",ROUND($K168*Setup!$B$13,2))</f>
        <v/>
      </c>
      <c r="M168" s="90">
        <f>IF($K168="","",$K168-$L168)</f>
        <v/>
      </c>
      <c r="N168" s="90">
        <f>IF(OR($M168="",$D168=""),"",ROUND($M168*IFERROR(IF(VLOOKUP($D168,Setup!$A$76:$C$87,3,FALSE)="",Setup!$B$14,VLOOKUP($D168,Setup!$A$76:$C$87,3,FALSE)),Setup!$B$14),2))</f>
        <v/>
      </c>
      <c r="O168" s="90">
        <f>IF(OR($M168="",$E168=""),"",ROUND($M168*IFERROR(IF(VLOOKUP($E168,Setup!$A$76:$C$87,3,FALSE)="",Setup!$B$15,VLOOKUP($E168,Setup!$A$76:$C$87,3,FALSE)),Setup!$B$15),2))</f>
        <v/>
      </c>
      <c r="P168" s="99" t="n"/>
      <c r="Q168" s="99" t="n"/>
      <c r="R168" s="99" t="n"/>
      <c r="S168" s="99" t="n"/>
      <c r="T168" s="99" t="n"/>
      <c r="U168" s="90">
        <f>IF($K168="","",SUM($R168:$T168))</f>
        <v/>
      </c>
      <c r="V168" s="90">
        <f>IF($K168="","",$M168-(N($N168)+N($O168)+IF($P168="",Setup!$B$17,$P168)+N($Q168))-N($U168))</f>
        <v/>
      </c>
      <c r="W168" s="95" t="n"/>
      <c r="X168" s="96" t="n"/>
      <c r="Z168" s="93">
        <f>IF($A168="","",DATE(YEAR($A168),MONTH($A168),1))</f>
        <v/>
      </c>
    </row>
    <row r="169">
      <c r="A169" s="86" t="n"/>
      <c r="B169" s="87" t="n"/>
      <c r="C169" s="87" t="n"/>
      <c r="D169" s="88" t="n"/>
      <c r="E169" s="88" t="n"/>
      <c r="F169" s="88" t="n"/>
      <c r="G169" s="88" t="n"/>
      <c r="H169" s="89" t="n"/>
      <c r="I169" s="90">
        <f>IF($G169="","",IF($F169="",IFERROR(INDEX(Setup!$C$21:$C$60,MATCH("|"&amp;UPPER(TRIM($G169)),Setup!$Q$21:$Q$60,0)),"NO RATE"),IFERROR(INDEX(Setup!$C$21:$C$60,MATCH(UPPER(TRIM($F169))&amp;"|"&amp;UPPER(TRIM($G169)),Setup!$P$21:$P$60,0)),IFERROR(INDEX(Setup!$C$21:$C$60,MATCH(UPPER(TRIM($G169))&amp;"|"&amp;UPPER(TRIM($F169)),Setup!$P$21:$P$60,0)),"NO RATE"))))</f>
        <v/>
      </c>
      <c r="J169" s="91" t="n"/>
      <c r="K169" s="90">
        <f>IF(OR($G169="",$H169="",NOT(ISNUMBER($I169))),"",ROUND($H169*$I169*(1+IF($J169="",Setup!$B$16,$J169)),2))</f>
        <v/>
      </c>
      <c r="L169" s="90">
        <f>IF($K169="","",ROUND($K169*Setup!$B$13,2))</f>
        <v/>
      </c>
      <c r="M169" s="90">
        <f>IF($K169="","",$K169-$L169)</f>
        <v/>
      </c>
      <c r="N169" s="90">
        <f>IF(OR($M169="",$D169=""),"",ROUND($M169*IFERROR(IF(VLOOKUP($D169,Setup!$A$76:$C$87,3,FALSE)="",Setup!$B$14,VLOOKUP($D169,Setup!$A$76:$C$87,3,FALSE)),Setup!$B$14),2))</f>
        <v/>
      </c>
      <c r="O169" s="90">
        <f>IF(OR($M169="",$E169=""),"",ROUND($M169*IFERROR(IF(VLOOKUP($E169,Setup!$A$76:$C$87,3,FALSE)="",Setup!$B$15,VLOOKUP($E169,Setup!$A$76:$C$87,3,FALSE)),Setup!$B$15),2))</f>
        <v/>
      </c>
      <c r="P169" s="92" t="n"/>
      <c r="Q169" s="92" t="n"/>
      <c r="R169" s="92" t="n"/>
      <c r="S169" s="92" t="n"/>
      <c r="T169" s="92" t="n"/>
      <c r="U169" s="90">
        <f>IF($K169="","",SUM($R169:$T169))</f>
        <v/>
      </c>
      <c r="V169" s="90">
        <f>IF($K169="","",$M169-(N($N169)+N($O169)+IF($P169="",Setup!$B$17,$P169)+N($Q169))-N($U169))</f>
        <v/>
      </c>
      <c r="W169" s="87" t="n"/>
      <c r="X169" s="88" t="n"/>
      <c r="Z169" s="93">
        <f>IF($A169="","",DATE(YEAR($A169),MONTH($A169),1))</f>
        <v/>
      </c>
    </row>
    <row r="170">
      <c r="A170" s="94" t="n"/>
      <c r="B170" s="95" t="n"/>
      <c r="C170" s="95" t="n"/>
      <c r="D170" s="96" t="n"/>
      <c r="E170" s="96" t="n"/>
      <c r="F170" s="96" t="n"/>
      <c r="G170" s="96" t="n"/>
      <c r="H170" s="97" t="n"/>
      <c r="I170" s="90">
        <f>IF($G170="","",IF($F170="",IFERROR(INDEX(Setup!$C$21:$C$60,MATCH("|"&amp;UPPER(TRIM($G170)),Setup!$Q$21:$Q$60,0)),"NO RATE"),IFERROR(INDEX(Setup!$C$21:$C$60,MATCH(UPPER(TRIM($F170))&amp;"|"&amp;UPPER(TRIM($G170)),Setup!$P$21:$P$60,0)),IFERROR(INDEX(Setup!$C$21:$C$60,MATCH(UPPER(TRIM($G170))&amp;"|"&amp;UPPER(TRIM($F170)),Setup!$P$21:$P$60,0)),"NO RATE"))))</f>
        <v/>
      </c>
      <c r="J170" s="98" t="n"/>
      <c r="K170" s="90">
        <f>IF(OR($G170="",$H170="",NOT(ISNUMBER($I170))),"",ROUND($H170*$I170*(1+IF($J170="",Setup!$B$16,$J170)),2))</f>
        <v/>
      </c>
      <c r="L170" s="90">
        <f>IF($K170="","",ROUND($K170*Setup!$B$13,2))</f>
        <v/>
      </c>
      <c r="M170" s="90">
        <f>IF($K170="","",$K170-$L170)</f>
        <v/>
      </c>
      <c r="N170" s="90">
        <f>IF(OR($M170="",$D170=""),"",ROUND($M170*IFERROR(IF(VLOOKUP($D170,Setup!$A$76:$C$87,3,FALSE)="",Setup!$B$14,VLOOKUP($D170,Setup!$A$76:$C$87,3,FALSE)),Setup!$B$14),2))</f>
        <v/>
      </c>
      <c r="O170" s="90">
        <f>IF(OR($M170="",$E170=""),"",ROUND($M170*IFERROR(IF(VLOOKUP($E170,Setup!$A$76:$C$87,3,FALSE)="",Setup!$B$15,VLOOKUP($E170,Setup!$A$76:$C$87,3,FALSE)),Setup!$B$15),2))</f>
        <v/>
      </c>
      <c r="P170" s="99" t="n"/>
      <c r="Q170" s="99" t="n"/>
      <c r="R170" s="99" t="n"/>
      <c r="S170" s="99" t="n"/>
      <c r="T170" s="99" t="n"/>
      <c r="U170" s="90">
        <f>IF($K170="","",SUM($R170:$T170))</f>
        <v/>
      </c>
      <c r="V170" s="90">
        <f>IF($K170="","",$M170-(N($N170)+N($O170)+IF($P170="",Setup!$B$17,$P170)+N($Q170))-N($U170))</f>
        <v/>
      </c>
      <c r="W170" s="95" t="n"/>
      <c r="X170" s="96" t="n"/>
      <c r="Z170" s="93">
        <f>IF($A170="","",DATE(YEAR($A170),MONTH($A170),1))</f>
        <v/>
      </c>
    </row>
    <row r="171">
      <c r="A171" s="86" t="n"/>
      <c r="B171" s="87" t="n"/>
      <c r="C171" s="87" t="n"/>
      <c r="D171" s="88" t="n"/>
      <c r="E171" s="88" t="n"/>
      <c r="F171" s="88" t="n"/>
      <c r="G171" s="88" t="n"/>
      <c r="H171" s="89" t="n"/>
      <c r="I171" s="90">
        <f>IF($G171="","",IF($F171="",IFERROR(INDEX(Setup!$C$21:$C$60,MATCH("|"&amp;UPPER(TRIM($G171)),Setup!$Q$21:$Q$60,0)),"NO RATE"),IFERROR(INDEX(Setup!$C$21:$C$60,MATCH(UPPER(TRIM($F171))&amp;"|"&amp;UPPER(TRIM($G171)),Setup!$P$21:$P$60,0)),IFERROR(INDEX(Setup!$C$21:$C$60,MATCH(UPPER(TRIM($G171))&amp;"|"&amp;UPPER(TRIM($F171)),Setup!$P$21:$P$60,0)),"NO RATE"))))</f>
        <v/>
      </c>
      <c r="J171" s="91" t="n"/>
      <c r="K171" s="90">
        <f>IF(OR($G171="",$H171="",NOT(ISNUMBER($I171))),"",ROUND($H171*$I171*(1+IF($J171="",Setup!$B$16,$J171)),2))</f>
        <v/>
      </c>
      <c r="L171" s="90">
        <f>IF($K171="","",ROUND($K171*Setup!$B$13,2))</f>
        <v/>
      </c>
      <c r="M171" s="90">
        <f>IF($K171="","",$K171-$L171)</f>
        <v/>
      </c>
      <c r="N171" s="90">
        <f>IF(OR($M171="",$D171=""),"",ROUND($M171*IFERROR(IF(VLOOKUP($D171,Setup!$A$76:$C$87,3,FALSE)="",Setup!$B$14,VLOOKUP($D171,Setup!$A$76:$C$87,3,FALSE)),Setup!$B$14),2))</f>
        <v/>
      </c>
      <c r="O171" s="90">
        <f>IF(OR($M171="",$E171=""),"",ROUND($M171*IFERROR(IF(VLOOKUP($E171,Setup!$A$76:$C$87,3,FALSE)="",Setup!$B$15,VLOOKUP($E171,Setup!$A$76:$C$87,3,FALSE)),Setup!$B$15),2))</f>
        <v/>
      </c>
      <c r="P171" s="92" t="n"/>
      <c r="Q171" s="92" t="n"/>
      <c r="R171" s="92" t="n"/>
      <c r="S171" s="92" t="n"/>
      <c r="T171" s="92" t="n"/>
      <c r="U171" s="90">
        <f>IF($K171="","",SUM($R171:$T171))</f>
        <v/>
      </c>
      <c r="V171" s="90">
        <f>IF($K171="","",$M171-(N($N171)+N($O171)+IF($P171="",Setup!$B$17,$P171)+N($Q171))-N($U171))</f>
        <v/>
      </c>
      <c r="W171" s="87" t="n"/>
      <c r="X171" s="88" t="n"/>
      <c r="Z171" s="93">
        <f>IF($A171="","",DATE(YEAR($A171),MONTH($A171),1))</f>
        <v/>
      </c>
    </row>
    <row r="172">
      <c r="A172" s="94" t="n"/>
      <c r="B172" s="95" t="n"/>
      <c r="C172" s="95" t="n"/>
      <c r="D172" s="96" t="n"/>
      <c r="E172" s="96" t="n"/>
      <c r="F172" s="96" t="n"/>
      <c r="G172" s="96" t="n"/>
      <c r="H172" s="97" t="n"/>
      <c r="I172" s="90">
        <f>IF($G172="","",IF($F172="",IFERROR(INDEX(Setup!$C$21:$C$60,MATCH("|"&amp;UPPER(TRIM($G172)),Setup!$Q$21:$Q$60,0)),"NO RATE"),IFERROR(INDEX(Setup!$C$21:$C$60,MATCH(UPPER(TRIM($F172))&amp;"|"&amp;UPPER(TRIM($G172)),Setup!$P$21:$P$60,0)),IFERROR(INDEX(Setup!$C$21:$C$60,MATCH(UPPER(TRIM($G172))&amp;"|"&amp;UPPER(TRIM($F172)),Setup!$P$21:$P$60,0)),"NO RATE"))))</f>
        <v/>
      </c>
      <c r="J172" s="98" t="n"/>
      <c r="K172" s="90">
        <f>IF(OR($G172="",$H172="",NOT(ISNUMBER($I172))),"",ROUND($H172*$I172*(1+IF($J172="",Setup!$B$16,$J172)),2))</f>
        <v/>
      </c>
      <c r="L172" s="90">
        <f>IF($K172="","",ROUND($K172*Setup!$B$13,2))</f>
        <v/>
      </c>
      <c r="M172" s="90">
        <f>IF($K172="","",$K172-$L172)</f>
        <v/>
      </c>
      <c r="N172" s="90">
        <f>IF(OR($M172="",$D172=""),"",ROUND($M172*IFERROR(IF(VLOOKUP($D172,Setup!$A$76:$C$87,3,FALSE)="",Setup!$B$14,VLOOKUP($D172,Setup!$A$76:$C$87,3,FALSE)),Setup!$B$14),2))</f>
        <v/>
      </c>
      <c r="O172" s="90">
        <f>IF(OR($M172="",$E172=""),"",ROUND($M172*IFERROR(IF(VLOOKUP($E172,Setup!$A$76:$C$87,3,FALSE)="",Setup!$B$15,VLOOKUP($E172,Setup!$A$76:$C$87,3,FALSE)),Setup!$B$15),2))</f>
        <v/>
      </c>
      <c r="P172" s="99" t="n"/>
      <c r="Q172" s="99" t="n"/>
      <c r="R172" s="99" t="n"/>
      <c r="S172" s="99" t="n"/>
      <c r="T172" s="99" t="n"/>
      <c r="U172" s="90">
        <f>IF($K172="","",SUM($R172:$T172))</f>
        <v/>
      </c>
      <c r="V172" s="90">
        <f>IF($K172="","",$M172-(N($N172)+N($O172)+IF($P172="",Setup!$B$17,$P172)+N($Q172))-N($U172))</f>
        <v/>
      </c>
      <c r="W172" s="95" t="n"/>
      <c r="X172" s="96" t="n"/>
      <c r="Z172" s="93">
        <f>IF($A172="","",DATE(YEAR($A172),MONTH($A172),1))</f>
        <v/>
      </c>
    </row>
    <row r="173">
      <c r="A173" s="86" t="n"/>
      <c r="B173" s="87" t="n"/>
      <c r="C173" s="87" t="n"/>
      <c r="D173" s="88" t="n"/>
      <c r="E173" s="88" t="n"/>
      <c r="F173" s="88" t="n"/>
      <c r="G173" s="88" t="n"/>
      <c r="H173" s="89" t="n"/>
      <c r="I173" s="90">
        <f>IF($G173="","",IF($F173="",IFERROR(INDEX(Setup!$C$21:$C$60,MATCH("|"&amp;UPPER(TRIM($G173)),Setup!$Q$21:$Q$60,0)),"NO RATE"),IFERROR(INDEX(Setup!$C$21:$C$60,MATCH(UPPER(TRIM($F173))&amp;"|"&amp;UPPER(TRIM($G173)),Setup!$P$21:$P$60,0)),IFERROR(INDEX(Setup!$C$21:$C$60,MATCH(UPPER(TRIM($G173))&amp;"|"&amp;UPPER(TRIM($F173)),Setup!$P$21:$P$60,0)),"NO RATE"))))</f>
        <v/>
      </c>
      <c r="J173" s="91" t="n"/>
      <c r="K173" s="90">
        <f>IF(OR($G173="",$H173="",NOT(ISNUMBER($I173))),"",ROUND($H173*$I173*(1+IF($J173="",Setup!$B$16,$J173)),2))</f>
        <v/>
      </c>
      <c r="L173" s="90">
        <f>IF($K173="","",ROUND($K173*Setup!$B$13,2))</f>
        <v/>
      </c>
      <c r="M173" s="90">
        <f>IF($K173="","",$K173-$L173)</f>
        <v/>
      </c>
      <c r="N173" s="90">
        <f>IF(OR($M173="",$D173=""),"",ROUND($M173*IFERROR(IF(VLOOKUP($D173,Setup!$A$76:$C$87,3,FALSE)="",Setup!$B$14,VLOOKUP($D173,Setup!$A$76:$C$87,3,FALSE)),Setup!$B$14),2))</f>
        <v/>
      </c>
      <c r="O173" s="90">
        <f>IF(OR($M173="",$E173=""),"",ROUND($M173*IFERROR(IF(VLOOKUP($E173,Setup!$A$76:$C$87,3,FALSE)="",Setup!$B$15,VLOOKUP($E173,Setup!$A$76:$C$87,3,FALSE)),Setup!$B$15),2))</f>
        <v/>
      </c>
      <c r="P173" s="92" t="n"/>
      <c r="Q173" s="92" t="n"/>
      <c r="R173" s="92" t="n"/>
      <c r="S173" s="92" t="n"/>
      <c r="T173" s="92" t="n"/>
      <c r="U173" s="90">
        <f>IF($K173="","",SUM($R173:$T173))</f>
        <v/>
      </c>
      <c r="V173" s="90">
        <f>IF($K173="","",$M173-(N($N173)+N($O173)+IF($P173="",Setup!$B$17,$P173)+N($Q173))-N($U173))</f>
        <v/>
      </c>
      <c r="W173" s="87" t="n"/>
      <c r="X173" s="88" t="n"/>
      <c r="Z173" s="93">
        <f>IF($A173="","",DATE(YEAR($A173),MONTH($A173),1))</f>
        <v/>
      </c>
    </row>
    <row r="174">
      <c r="A174" s="94" t="n"/>
      <c r="B174" s="95" t="n"/>
      <c r="C174" s="95" t="n"/>
      <c r="D174" s="96" t="n"/>
      <c r="E174" s="96" t="n"/>
      <c r="F174" s="96" t="n"/>
      <c r="G174" s="96" t="n"/>
      <c r="H174" s="97" t="n"/>
      <c r="I174" s="90">
        <f>IF($G174="","",IF($F174="",IFERROR(INDEX(Setup!$C$21:$C$60,MATCH("|"&amp;UPPER(TRIM($G174)),Setup!$Q$21:$Q$60,0)),"NO RATE"),IFERROR(INDEX(Setup!$C$21:$C$60,MATCH(UPPER(TRIM($F174))&amp;"|"&amp;UPPER(TRIM($G174)),Setup!$P$21:$P$60,0)),IFERROR(INDEX(Setup!$C$21:$C$60,MATCH(UPPER(TRIM($G174))&amp;"|"&amp;UPPER(TRIM($F174)),Setup!$P$21:$P$60,0)),"NO RATE"))))</f>
        <v/>
      </c>
      <c r="J174" s="98" t="n"/>
      <c r="K174" s="90">
        <f>IF(OR($G174="",$H174="",NOT(ISNUMBER($I174))),"",ROUND($H174*$I174*(1+IF($J174="",Setup!$B$16,$J174)),2))</f>
        <v/>
      </c>
      <c r="L174" s="90">
        <f>IF($K174="","",ROUND($K174*Setup!$B$13,2))</f>
        <v/>
      </c>
      <c r="M174" s="90">
        <f>IF($K174="","",$K174-$L174)</f>
        <v/>
      </c>
      <c r="N174" s="90">
        <f>IF(OR($M174="",$D174=""),"",ROUND($M174*IFERROR(IF(VLOOKUP($D174,Setup!$A$76:$C$87,3,FALSE)="",Setup!$B$14,VLOOKUP($D174,Setup!$A$76:$C$87,3,FALSE)),Setup!$B$14),2))</f>
        <v/>
      </c>
      <c r="O174" s="90">
        <f>IF(OR($M174="",$E174=""),"",ROUND($M174*IFERROR(IF(VLOOKUP($E174,Setup!$A$76:$C$87,3,FALSE)="",Setup!$B$15,VLOOKUP($E174,Setup!$A$76:$C$87,3,FALSE)),Setup!$B$15),2))</f>
        <v/>
      </c>
      <c r="P174" s="99" t="n"/>
      <c r="Q174" s="99" t="n"/>
      <c r="R174" s="99" t="n"/>
      <c r="S174" s="99" t="n"/>
      <c r="T174" s="99" t="n"/>
      <c r="U174" s="90">
        <f>IF($K174="","",SUM($R174:$T174))</f>
        <v/>
      </c>
      <c r="V174" s="90">
        <f>IF($K174="","",$M174-(N($N174)+N($O174)+IF($P174="",Setup!$B$17,$P174)+N($Q174))-N($U174))</f>
        <v/>
      </c>
      <c r="W174" s="95" t="n"/>
      <c r="X174" s="96" t="n"/>
      <c r="Z174" s="93">
        <f>IF($A174="","",DATE(YEAR($A174),MONTH($A174),1))</f>
        <v/>
      </c>
    </row>
    <row r="175">
      <c r="A175" s="86" t="n"/>
      <c r="B175" s="87" t="n"/>
      <c r="C175" s="87" t="n"/>
      <c r="D175" s="88" t="n"/>
      <c r="E175" s="88" t="n"/>
      <c r="F175" s="88" t="n"/>
      <c r="G175" s="88" t="n"/>
      <c r="H175" s="89" t="n"/>
      <c r="I175" s="90">
        <f>IF($G175="","",IF($F175="",IFERROR(INDEX(Setup!$C$21:$C$60,MATCH("|"&amp;UPPER(TRIM($G175)),Setup!$Q$21:$Q$60,0)),"NO RATE"),IFERROR(INDEX(Setup!$C$21:$C$60,MATCH(UPPER(TRIM($F175))&amp;"|"&amp;UPPER(TRIM($G175)),Setup!$P$21:$P$60,0)),IFERROR(INDEX(Setup!$C$21:$C$60,MATCH(UPPER(TRIM($G175))&amp;"|"&amp;UPPER(TRIM($F175)),Setup!$P$21:$P$60,0)),"NO RATE"))))</f>
        <v/>
      </c>
      <c r="J175" s="91" t="n"/>
      <c r="K175" s="90">
        <f>IF(OR($G175="",$H175="",NOT(ISNUMBER($I175))),"",ROUND($H175*$I175*(1+IF($J175="",Setup!$B$16,$J175)),2))</f>
        <v/>
      </c>
      <c r="L175" s="90">
        <f>IF($K175="","",ROUND($K175*Setup!$B$13,2))</f>
        <v/>
      </c>
      <c r="M175" s="90">
        <f>IF($K175="","",$K175-$L175)</f>
        <v/>
      </c>
      <c r="N175" s="90">
        <f>IF(OR($M175="",$D175=""),"",ROUND($M175*IFERROR(IF(VLOOKUP($D175,Setup!$A$76:$C$87,3,FALSE)="",Setup!$B$14,VLOOKUP($D175,Setup!$A$76:$C$87,3,FALSE)),Setup!$B$14),2))</f>
        <v/>
      </c>
      <c r="O175" s="90">
        <f>IF(OR($M175="",$E175=""),"",ROUND($M175*IFERROR(IF(VLOOKUP($E175,Setup!$A$76:$C$87,3,FALSE)="",Setup!$B$15,VLOOKUP($E175,Setup!$A$76:$C$87,3,FALSE)),Setup!$B$15),2))</f>
        <v/>
      </c>
      <c r="P175" s="92" t="n"/>
      <c r="Q175" s="92" t="n"/>
      <c r="R175" s="92" t="n"/>
      <c r="S175" s="92" t="n"/>
      <c r="T175" s="92" t="n"/>
      <c r="U175" s="90">
        <f>IF($K175="","",SUM($R175:$T175))</f>
        <v/>
      </c>
      <c r="V175" s="90">
        <f>IF($K175="","",$M175-(N($N175)+N($O175)+IF($P175="",Setup!$B$17,$P175)+N($Q175))-N($U175))</f>
        <v/>
      </c>
      <c r="W175" s="87" t="n"/>
      <c r="X175" s="88" t="n"/>
      <c r="Z175" s="93">
        <f>IF($A175="","",DATE(YEAR($A175),MONTH($A175),1))</f>
        <v/>
      </c>
    </row>
    <row r="176">
      <c r="A176" s="94" t="n"/>
      <c r="B176" s="95" t="n"/>
      <c r="C176" s="95" t="n"/>
      <c r="D176" s="96" t="n"/>
      <c r="E176" s="96" t="n"/>
      <c r="F176" s="96" t="n"/>
      <c r="G176" s="96" t="n"/>
      <c r="H176" s="97" t="n"/>
      <c r="I176" s="90">
        <f>IF($G176="","",IF($F176="",IFERROR(INDEX(Setup!$C$21:$C$60,MATCH("|"&amp;UPPER(TRIM($G176)),Setup!$Q$21:$Q$60,0)),"NO RATE"),IFERROR(INDEX(Setup!$C$21:$C$60,MATCH(UPPER(TRIM($F176))&amp;"|"&amp;UPPER(TRIM($G176)),Setup!$P$21:$P$60,0)),IFERROR(INDEX(Setup!$C$21:$C$60,MATCH(UPPER(TRIM($G176))&amp;"|"&amp;UPPER(TRIM($F176)),Setup!$P$21:$P$60,0)),"NO RATE"))))</f>
        <v/>
      </c>
      <c r="J176" s="98" t="n"/>
      <c r="K176" s="90">
        <f>IF(OR($G176="",$H176="",NOT(ISNUMBER($I176))),"",ROUND($H176*$I176*(1+IF($J176="",Setup!$B$16,$J176)),2))</f>
        <v/>
      </c>
      <c r="L176" s="90">
        <f>IF($K176="","",ROUND($K176*Setup!$B$13,2))</f>
        <v/>
      </c>
      <c r="M176" s="90">
        <f>IF($K176="","",$K176-$L176)</f>
        <v/>
      </c>
      <c r="N176" s="90">
        <f>IF(OR($M176="",$D176=""),"",ROUND($M176*IFERROR(IF(VLOOKUP($D176,Setup!$A$76:$C$87,3,FALSE)="",Setup!$B$14,VLOOKUP($D176,Setup!$A$76:$C$87,3,FALSE)),Setup!$B$14),2))</f>
        <v/>
      </c>
      <c r="O176" s="90">
        <f>IF(OR($M176="",$E176=""),"",ROUND($M176*IFERROR(IF(VLOOKUP($E176,Setup!$A$76:$C$87,3,FALSE)="",Setup!$B$15,VLOOKUP($E176,Setup!$A$76:$C$87,3,FALSE)),Setup!$B$15),2))</f>
        <v/>
      </c>
      <c r="P176" s="99" t="n"/>
      <c r="Q176" s="99" t="n"/>
      <c r="R176" s="99" t="n"/>
      <c r="S176" s="99" t="n"/>
      <c r="T176" s="99" t="n"/>
      <c r="U176" s="90">
        <f>IF($K176="","",SUM($R176:$T176))</f>
        <v/>
      </c>
      <c r="V176" s="90">
        <f>IF($K176="","",$M176-(N($N176)+N($O176)+IF($P176="",Setup!$B$17,$P176)+N($Q176))-N($U176))</f>
        <v/>
      </c>
      <c r="W176" s="95" t="n"/>
      <c r="X176" s="96" t="n"/>
      <c r="Z176" s="93">
        <f>IF($A176="","",DATE(YEAR($A176),MONTH($A176),1))</f>
        <v/>
      </c>
    </row>
    <row r="177">
      <c r="A177" s="86" t="n"/>
      <c r="B177" s="87" t="n"/>
      <c r="C177" s="87" t="n"/>
      <c r="D177" s="88" t="n"/>
      <c r="E177" s="88" t="n"/>
      <c r="F177" s="88" t="n"/>
      <c r="G177" s="88" t="n"/>
      <c r="H177" s="89" t="n"/>
      <c r="I177" s="90">
        <f>IF($G177="","",IF($F177="",IFERROR(INDEX(Setup!$C$21:$C$60,MATCH("|"&amp;UPPER(TRIM($G177)),Setup!$Q$21:$Q$60,0)),"NO RATE"),IFERROR(INDEX(Setup!$C$21:$C$60,MATCH(UPPER(TRIM($F177))&amp;"|"&amp;UPPER(TRIM($G177)),Setup!$P$21:$P$60,0)),IFERROR(INDEX(Setup!$C$21:$C$60,MATCH(UPPER(TRIM($G177))&amp;"|"&amp;UPPER(TRIM($F177)),Setup!$P$21:$P$60,0)),"NO RATE"))))</f>
        <v/>
      </c>
      <c r="J177" s="91" t="n"/>
      <c r="K177" s="90">
        <f>IF(OR($G177="",$H177="",NOT(ISNUMBER($I177))),"",ROUND($H177*$I177*(1+IF($J177="",Setup!$B$16,$J177)),2))</f>
        <v/>
      </c>
      <c r="L177" s="90">
        <f>IF($K177="","",ROUND($K177*Setup!$B$13,2))</f>
        <v/>
      </c>
      <c r="M177" s="90">
        <f>IF($K177="","",$K177-$L177)</f>
        <v/>
      </c>
      <c r="N177" s="90">
        <f>IF(OR($M177="",$D177=""),"",ROUND($M177*IFERROR(IF(VLOOKUP($D177,Setup!$A$76:$C$87,3,FALSE)="",Setup!$B$14,VLOOKUP($D177,Setup!$A$76:$C$87,3,FALSE)),Setup!$B$14),2))</f>
        <v/>
      </c>
      <c r="O177" s="90">
        <f>IF(OR($M177="",$E177=""),"",ROUND($M177*IFERROR(IF(VLOOKUP($E177,Setup!$A$76:$C$87,3,FALSE)="",Setup!$B$15,VLOOKUP($E177,Setup!$A$76:$C$87,3,FALSE)),Setup!$B$15),2))</f>
        <v/>
      </c>
      <c r="P177" s="92" t="n"/>
      <c r="Q177" s="92" t="n"/>
      <c r="R177" s="92" t="n"/>
      <c r="S177" s="92" t="n"/>
      <c r="T177" s="92" t="n"/>
      <c r="U177" s="90">
        <f>IF($K177="","",SUM($R177:$T177))</f>
        <v/>
      </c>
      <c r="V177" s="90">
        <f>IF($K177="","",$M177-(N($N177)+N($O177)+IF($P177="",Setup!$B$17,$P177)+N($Q177))-N($U177))</f>
        <v/>
      </c>
      <c r="W177" s="87" t="n"/>
      <c r="X177" s="88" t="n"/>
      <c r="Z177" s="93">
        <f>IF($A177="","",DATE(YEAR($A177),MONTH($A177),1))</f>
        <v/>
      </c>
    </row>
    <row r="178">
      <c r="A178" s="94" t="n"/>
      <c r="B178" s="95" t="n"/>
      <c r="C178" s="95" t="n"/>
      <c r="D178" s="96" t="n"/>
      <c r="E178" s="96" t="n"/>
      <c r="F178" s="96" t="n"/>
      <c r="G178" s="96" t="n"/>
      <c r="H178" s="97" t="n"/>
      <c r="I178" s="90">
        <f>IF($G178="","",IF($F178="",IFERROR(INDEX(Setup!$C$21:$C$60,MATCH("|"&amp;UPPER(TRIM($G178)),Setup!$Q$21:$Q$60,0)),"NO RATE"),IFERROR(INDEX(Setup!$C$21:$C$60,MATCH(UPPER(TRIM($F178))&amp;"|"&amp;UPPER(TRIM($G178)),Setup!$P$21:$P$60,0)),IFERROR(INDEX(Setup!$C$21:$C$60,MATCH(UPPER(TRIM($G178))&amp;"|"&amp;UPPER(TRIM($F178)),Setup!$P$21:$P$60,0)),"NO RATE"))))</f>
        <v/>
      </c>
      <c r="J178" s="98" t="n"/>
      <c r="K178" s="90">
        <f>IF(OR($G178="",$H178="",NOT(ISNUMBER($I178))),"",ROUND($H178*$I178*(1+IF($J178="",Setup!$B$16,$J178)),2))</f>
        <v/>
      </c>
      <c r="L178" s="90">
        <f>IF($K178="","",ROUND($K178*Setup!$B$13,2))</f>
        <v/>
      </c>
      <c r="M178" s="90">
        <f>IF($K178="","",$K178-$L178)</f>
        <v/>
      </c>
      <c r="N178" s="90">
        <f>IF(OR($M178="",$D178=""),"",ROUND($M178*IFERROR(IF(VLOOKUP($D178,Setup!$A$76:$C$87,3,FALSE)="",Setup!$B$14,VLOOKUP($D178,Setup!$A$76:$C$87,3,FALSE)),Setup!$B$14),2))</f>
        <v/>
      </c>
      <c r="O178" s="90">
        <f>IF(OR($M178="",$E178=""),"",ROUND($M178*IFERROR(IF(VLOOKUP($E178,Setup!$A$76:$C$87,3,FALSE)="",Setup!$B$15,VLOOKUP($E178,Setup!$A$76:$C$87,3,FALSE)),Setup!$B$15),2))</f>
        <v/>
      </c>
      <c r="P178" s="99" t="n"/>
      <c r="Q178" s="99" t="n"/>
      <c r="R178" s="99" t="n"/>
      <c r="S178" s="99" t="n"/>
      <c r="T178" s="99" t="n"/>
      <c r="U178" s="90">
        <f>IF($K178="","",SUM($R178:$T178))</f>
        <v/>
      </c>
      <c r="V178" s="90">
        <f>IF($K178="","",$M178-(N($N178)+N($O178)+IF($P178="",Setup!$B$17,$P178)+N($Q178))-N($U178))</f>
        <v/>
      </c>
      <c r="W178" s="95" t="n"/>
      <c r="X178" s="96" t="n"/>
      <c r="Z178" s="93">
        <f>IF($A178="","",DATE(YEAR($A178),MONTH($A178),1))</f>
        <v/>
      </c>
    </row>
    <row r="179">
      <c r="A179" s="86" t="n"/>
      <c r="B179" s="87" t="n"/>
      <c r="C179" s="87" t="n"/>
      <c r="D179" s="88" t="n"/>
      <c r="E179" s="88" t="n"/>
      <c r="F179" s="88" t="n"/>
      <c r="G179" s="88" t="n"/>
      <c r="H179" s="89" t="n"/>
      <c r="I179" s="90">
        <f>IF($G179="","",IF($F179="",IFERROR(INDEX(Setup!$C$21:$C$60,MATCH("|"&amp;UPPER(TRIM($G179)),Setup!$Q$21:$Q$60,0)),"NO RATE"),IFERROR(INDEX(Setup!$C$21:$C$60,MATCH(UPPER(TRIM($F179))&amp;"|"&amp;UPPER(TRIM($G179)),Setup!$P$21:$P$60,0)),IFERROR(INDEX(Setup!$C$21:$C$60,MATCH(UPPER(TRIM($G179))&amp;"|"&amp;UPPER(TRIM($F179)),Setup!$P$21:$P$60,0)),"NO RATE"))))</f>
        <v/>
      </c>
      <c r="J179" s="91" t="n"/>
      <c r="K179" s="90">
        <f>IF(OR($G179="",$H179="",NOT(ISNUMBER($I179))),"",ROUND($H179*$I179*(1+IF($J179="",Setup!$B$16,$J179)),2))</f>
        <v/>
      </c>
      <c r="L179" s="90">
        <f>IF($K179="","",ROUND($K179*Setup!$B$13,2))</f>
        <v/>
      </c>
      <c r="M179" s="90">
        <f>IF($K179="","",$K179-$L179)</f>
        <v/>
      </c>
      <c r="N179" s="90">
        <f>IF(OR($M179="",$D179=""),"",ROUND($M179*IFERROR(IF(VLOOKUP($D179,Setup!$A$76:$C$87,3,FALSE)="",Setup!$B$14,VLOOKUP($D179,Setup!$A$76:$C$87,3,FALSE)),Setup!$B$14),2))</f>
        <v/>
      </c>
      <c r="O179" s="90">
        <f>IF(OR($M179="",$E179=""),"",ROUND($M179*IFERROR(IF(VLOOKUP($E179,Setup!$A$76:$C$87,3,FALSE)="",Setup!$B$15,VLOOKUP($E179,Setup!$A$76:$C$87,3,FALSE)),Setup!$B$15),2))</f>
        <v/>
      </c>
      <c r="P179" s="92" t="n"/>
      <c r="Q179" s="92" t="n"/>
      <c r="R179" s="92" t="n"/>
      <c r="S179" s="92" t="n"/>
      <c r="T179" s="92" t="n"/>
      <c r="U179" s="90">
        <f>IF($K179="","",SUM($R179:$T179))</f>
        <v/>
      </c>
      <c r="V179" s="90">
        <f>IF($K179="","",$M179-(N($N179)+N($O179)+IF($P179="",Setup!$B$17,$P179)+N($Q179))-N($U179))</f>
        <v/>
      </c>
      <c r="W179" s="87" t="n"/>
      <c r="X179" s="88" t="n"/>
      <c r="Z179" s="93">
        <f>IF($A179="","",DATE(YEAR($A179),MONTH($A179),1))</f>
        <v/>
      </c>
    </row>
    <row r="180">
      <c r="A180" s="94" t="n"/>
      <c r="B180" s="95" t="n"/>
      <c r="C180" s="95" t="n"/>
      <c r="D180" s="96" t="n"/>
      <c r="E180" s="96" t="n"/>
      <c r="F180" s="96" t="n"/>
      <c r="G180" s="96" t="n"/>
      <c r="H180" s="97" t="n"/>
      <c r="I180" s="90">
        <f>IF($G180="","",IF($F180="",IFERROR(INDEX(Setup!$C$21:$C$60,MATCH("|"&amp;UPPER(TRIM($G180)),Setup!$Q$21:$Q$60,0)),"NO RATE"),IFERROR(INDEX(Setup!$C$21:$C$60,MATCH(UPPER(TRIM($F180))&amp;"|"&amp;UPPER(TRIM($G180)),Setup!$P$21:$P$60,0)),IFERROR(INDEX(Setup!$C$21:$C$60,MATCH(UPPER(TRIM($G180))&amp;"|"&amp;UPPER(TRIM($F180)),Setup!$P$21:$P$60,0)),"NO RATE"))))</f>
        <v/>
      </c>
      <c r="J180" s="98" t="n"/>
      <c r="K180" s="90">
        <f>IF(OR($G180="",$H180="",NOT(ISNUMBER($I180))),"",ROUND($H180*$I180*(1+IF($J180="",Setup!$B$16,$J180)),2))</f>
        <v/>
      </c>
      <c r="L180" s="90">
        <f>IF($K180="","",ROUND($K180*Setup!$B$13,2))</f>
        <v/>
      </c>
      <c r="M180" s="90">
        <f>IF($K180="","",$K180-$L180)</f>
        <v/>
      </c>
      <c r="N180" s="90">
        <f>IF(OR($M180="",$D180=""),"",ROUND($M180*IFERROR(IF(VLOOKUP($D180,Setup!$A$76:$C$87,3,FALSE)="",Setup!$B$14,VLOOKUP($D180,Setup!$A$76:$C$87,3,FALSE)),Setup!$B$14),2))</f>
        <v/>
      </c>
      <c r="O180" s="90">
        <f>IF(OR($M180="",$E180=""),"",ROUND($M180*IFERROR(IF(VLOOKUP($E180,Setup!$A$76:$C$87,3,FALSE)="",Setup!$B$15,VLOOKUP($E180,Setup!$A$76:$C$87,3,FALSE)),Setup!$B$15),2))</f>
        <v/>
      </c>
      <c r="P180" s="99" t="n"/>
      <c r="Q180" s="99" t="n"/>
      <c r="R180" s="99" t="n"/>
      <c r="S180" s="99" t="n"/>
      <c r="T180" s="99" t="n"/>
      <c r="U180" s="90">
        <f>IF($K180="","",SUM($R180:$T180))</f>
        <v/>
      </c>
      <c r="V180" s="90">
        <f>IF($K180="","",$M180-(N($N180)+N($O180)+IF($P180="",Setup!$B$17,$P180)+N($Q180))-N($U180))</f>
        <v/>
      </c>
      <c r="W180" s="95" t="n"/>
      <c r="X180" s="96" t="n"/>
      <c r="Z180" s="93">
        <f>IF($A180="","",DATE(YEAR($A180),MONTH($A180),1))</f>
        <v/>
      </c>
    </row>
    <row r="181">
      <c r="A181" s="86" t="n"/>
      <c r="B181" s="87" t="n"/>
      <c r="C181" s="87" t="n"/>
      <c r="D181" s="88" t="n"/>
      <c r="E181" s="88" t="n"/>
      <c r="F181" s="88" t="n"/>
      <c r="G181" s="88" t="n"/>
      <c r="H181" s="89" t="n"/>
      <c r="I181" s="90">
        <f>IF($G181="","",IF($F181="",IFERROR(INDEX(Setup!$C$21:$C$60,MATCH("|"&amp;UPPER(TRIM($G181)),Setup!$Q$21:$Q$60,0)),"NO RATE"),IFERROR(INDEX(Setup!$C$21:$C$60,MATCH(UPPER(TRIM($F181))&amp;"|"&amp;UPPER(TRIM($G181)),Setup!$P$21:$P$60,0)),IFERROR(INDEX(Setup!$C$21:$C$60,MATCH(UPPER(TRIM($G181))&amp;"|"&amp;UPPER(TRIM($F181)),Setup!$P$21:$P$60,0)),"NO RATE"))))</f>
        <v/>
      </c>
      <c r="J181" s="91" t="n"/>
      <c r="K181" s="90">
        <f>IF(OR($G181="",$H181="",NOT(ISNUMBER($I181))),"",ROUND($H181*$I181*(1+IF($J181="",Setup!$B$16,$J181)),2))</f>
        <v/>
      </c>
      <c r="L181" s="90">
        <f>IF($K181="","",ROUND($K181*Setup!$B$13,2))</f>
        <v/>
      </c>
      <c r="M181" s="90">
        <f>IF($K181="","",$K181-$L181)</f>
        <v/>
      </c>
      <c r="N181" s="90">
        <f>IF(OR($M181="",$D181=""),"",ROUND($M181*IFERROR(IF(VLOOKUP($D181,Setup!$A$76:$C$87,3,FALSE)="",Setup!$B$14,VLOOKUP($D181,Setup!$A$76:$C$87,3,FALSE)),Setup!$B$14),2))</f>
        <v/>
      </c>
      <c r="O181" s="90">
        <f>IF(OR($M181="",$E181=""),"",ROUND($M181*IFERROR(IF(VLOOKUP($E181,Setup!$A$76:$C$87,3,FALSE)="",Setup!$B$15,VLOOKUP($E181,Setup!$A$76:$C$87,3,FALSE)),Setup!$B$15),2))</f>
        <v/>
      </c>
      <c r="P181" s="92" t="n"/>
      <c r="Q181" s="92" t="n"/>
      <c r="R181" s="92" t="n"/>
      <c r="S181" s="92" t="n"/>
      <c r="T181" s="92" t="n"/>
      <c r="U181" s="90">
        <f>IF($K181="","",SUM($R181:$T181))</f>
        <v/>
      </c>
      <c r="V181" s="90">
        <f>IF($K181="","",$M181-(N($N181)+N($O181)+IF($P181="",Setup!$B$17,$P181)+N($Q181))-N($U181))</f>
        <v/>
      </c>
      <c r="W181" s="87" t="n"/>
      <c r="X181" s="88" t="n"/>
      <c r="Z181" s="93">
        <f>IF($A181="","",DATE(YEAR($A181),MONTH($A181),1))</f>
        <v/>
      </c>
    </row>
    <row r="182">
      <c r="A182" s="94" t="n"/>
      <c r="B182" s="95" t="n"/>
      <c r="C182" s="95" t="n"/>
      <c r="D182" s="96" t="n"/>
      <c r="E182" s="96" t="n"/>
      <c r="F182" s="96" t="n"/>
      <c r="G182" s="96" t="n"/>
      <c r="H182" s="97" t="n"/>
      <c r="I182" s="90">
        <f>IF($G182="","",IF($F182="",IFERROR(INDEX(Setup!$C$21:$C$60,MATCH("|"&amp;UPPER(TRIM($G182)),Setup!$Q$21:$Q$60,0)),"NO RATE"),IFERROR(INDEX(Setup!$C$21:$C$60,MATCH(UPPER(TRIM($F182))&amp;"|"&amp;UPPER(TRIM($G182)),Setup!$P$21:$P$60,0)),IFERROR(INDEX(Setup!$C$21:$C$60,MATCH(UPPER(TRIM($G182))&amp;"|"&amp;UPPER(TRIM($F182)),Setup!$P$21:$P$60,0)),"NO RATE"))))</f>
        <v/>
      </c>
      <c r="J182" s="98" t="n"/>
      <c r="K182" s="90">
        <f>IF(OR($G182="",$H182="",NOT(ISNUMBER($I182))),"",ROUND($H182*$I182*(1+IF($J182="",Setup!$B$16,$J182)),2))</f>
        <v/>
      </c>
      <c r="L182" s="90">
        <f>IF($K182="","",ROUND($K182*Setup!$B$13,2))</f>
        <v/>
      </c>
      <c r="M182" s="90">
        <f>IF($K182="","",$K182-$L182)</f>
        <v/>
      </c>
      <c r="N182" s="90">
        <f>IF(OR($M182="",$D182=""),"",ROUND($M182*IFERROR(IF(VLOOKUP($D182,Setup!$A$76:$C$87,3,FALSE)="",Setup!$B$14,VLOOKUP($D182,Setup!$A$76:$C$87,3,FALSE)),Setup!$B$14),2))</f>
        <v/>
      </c>
      <c r="O182" s="90">
        <f>IF(OR($M182="",$E182=""),"",ROUND($M182*IFERROR(IF(VLOOKUP($E182,Setup!$A$76:$C$87,3,FALSE)="",Setup!$B$15,VLOOKUP($E182,Setup!$A$76:$C$87,3,FALSE)),Setup!$B$15),2))</f>
        <v/>
      </c>
      <c r="P182" s="99" t="n"/>
      <c r="Q182" s="99" t="n"/>
      <c r="R182" s="99" t="n"/>
      <c r="S182" s="99" t="n"/>
      <c r="T182" s="99" t="n"/>
      <c r="U182" s="90">
        <f>IF($K182="","",SUM($R182:$T182))</f>
        <v/>
      </c>
      <c r="V182" s="90">
        <f>IF($K182="","",$M182-(N($N182)+N($O182)+IF($P182="",Setup!$B$17,$P182)+N($Q182))-N($U182))</f>
        <v/>
      </c>
      <c r="W182" s="95" t="n"/>
      <c r="X182" s="96" t="n"/>
      <c r="Z182" s="93">
        <f>IF($A182="","",DATE(YEAR($A182),MONTH($A182),1))</f>
        <v/>
      </c>
    </row>
    <row r="183">
      <c r="A183" s="86" t="n"/>
      <c r="B183" s="87" t="n"/>
      <c r="C183" s="87" t="n"/>
      <c r="D183" s="88" t="n"/>
      <c r="E183" s="88" t="n"/>
      <c r="F183" s="88" t="n"/>
      <c r="G183" s="88" t="n"/>
      <c r="H183" s="89" t="n"/>
      <c r="I183" s="90">
        <f>IF($G183="","",IF($F183="",IFERROR(INDEX(Setup!$C$21:$C$60,MATCH("|"&amp;UPPER(TRIM($G183)),Setup!$Q$21:$Q$60,0)),"NO RATE"),IFERROR(INDEX(Setup!$C$21:$C$60,MATCH(UPPER(TRIM($F183))&amp;"|"&amp;UPPER(TRIM($G183)),Setup!$P$21:$P$60,0)),IFERROR(INDEX(Setup!$C$21:$C$60,MATCH(UPPER(TRIM($G183))&amp;"|"&amp;UPPER(TRIM($F183)),Setup!$P$21:$P$60,0)),"NO RATE"))))</f>
        <v/>
      </c>
      <c r="J183" s="91" t="n"/>
      <c r="K183" s="90">
        <f>IF(OR($G183="",$H183="",NOT(ISNUMBER($I183))),"",ROUND($H183*$I183*(1+IF($J183="",Setup!$B$16,$J183)),2))</f>
        <v/>
      </c>
      <c r="L183" s="90">
        <f>IF($K183="","",ROUND($K183*Setup!$B$13,2))</f>
        <v/>
      </c>
      <c r="M183" s="90">
        <f>IF($K183="","",$K183-$L183)</f>
        <v/>
      </c>
      <c r="N183" s="90">
        <f>IF(OR($M183="",$D183=""),"",ROUND($M183*IFERROR(IF(VLOOKUP($D183,Setup!$A$76:$C$87,3,FALSE)="",Setup!$B$14,VLOOKUP($D183,Setup!$A$76:$C$87,3,FALSE)),Setup!$B$14),2))</f>
        <v/>
      </c>
      <c r="O183" s="90">
        <f>IF(OR($M183="",$E183=""),"",ROUND($M183*IFERROR(IF(VLOOKUP($E183,Setup!$A$76:$C$87,3,FALSE)="",Setup!$B$15,VLOOKUP($E183,Setup!$A$76:$C$87,3,FALSE)),Setup!$B$15),2))</f>
        <v/>
      </c>
      <c r="P183" s="92" t="n"/>
      <c r="Q183" s="92" t="n"/>
      <c r="R183" s="92" t="n"/>
      <c r="S183" s="92" t="n"/>
      <c r="T183" s="92" t="n"/>
      <c r="U183" s="90">
        <f>IF($K183="","",SUM($R183:$T183))</f>
        <v/>
      </c>
      <c r="V183" s="90">
        <f>IF($K183="","",$M183-(N($N183)+N($O183)+IF($P183="",Setup!$B$17,$P183)+N($Q183))-N($U183))</f>
        <v/>
      </c>
      <c r="W183" s="87" t="n"/>
      <c r="X183" s="88" t="n"/>
      <c r="Z183" s="93">
        <f>IF($A183="","",DATE(YEAR($A183),MONTH($A183),1))</f>
        <v/>
      </c>
    </row>
    <row r="184">
      <c r="A184" s="94" t="n"/>
      <c r="B184" s="95" t="n"/>
      <c r="C184" s="95" t="n"/>
      <c r="D184" s="96" t="n"/>
      <c r="E184" s="96" t="n"/>
      <c r="F184" s="96" t="n"/>
      <c r="G184" s="96" t="n"/>
      <c r="H184" s="97" t="n"/>
      <c r="I184" s="90">
        <f>IF($G184="","",IF($F184="",IFERROR(INDEX(Setup!$C$21:$C$60,MATCH("|"&amp;UPPER(TRIM($G184)),Setup!$Q$21:$Q$60,0)),"NO RATE"),IFERROR(INDEX(Setup!$C$21:$C$60,MATCH(UPPER(TRIM($F184))&amp;"|"&amp;UPPER(TRIM($G184)),Setup!$P$21:$P$60,0)),IFERROR(INDEX(Setup!$C$21:$C$60,MATCH(UPPER(TRIM($G184))&amp;"|"&amp;UPPER(TRIM($F184)),Setup!$P$21:$P$60,0)),"NO RATE"))))</f>
        <v/>
      </c>
      <c r="J184" s="98" t="n"/>
      <c r="K184" s="90">
        <f>IF(OR($G184="",$H184="",NOT(ISNUMBER($I184))),"",ROUND($H184*$I184*(1+IF($J184="",Setup!$B$16,$J184)),2))</f>
        <v/>
      </c>
      <c r="L184" s="90">
        <f>IF($K184="","",ROUND($K184*Setup!$B$13,2))</f>
        <v/>
      </c>
      <c r="M184" s="90">
        <f>IF($K184="","",$K184-$L184)</f>
        <v/>
      </c>
      <c r="N184" s="90">
        <f>IF(OR($M184="",$D184=""),"",ROUND($M184*IFERROR(IF(VLOOKUP($D184,Setup!$A$76:$C$87,3,FALSE)="",Setup!$B$14,VLOOKUP($D184,Setup!$A$76:$C$87,3,FALSE)),Setup!$B$14),2))</f>
        <v/>
      </c>
      <c r="O184" s="90">
        <f>IF(OR($M184="",$E184=""),"",ROUND($M184*IFERROR(IF(VLOOKUP($E184,Setup!$A$76:$C$87,3,FALSE)="",Setup!$B$15,VLOOKUP($E184,Setup!$A$76:$C$87,3,FALSE)),Setup!$B$15),2))</f>
        <v/>
      </c>
      <c r="P184" s="99" t="n"/>
      <c r="Q184" s="99" t="n"/>
      <c r="R184" s="99" t="n"/>
      <c r="S184" s="99" t="n"/>
      <c r="T184" s="99" t="n"/>
      <c r="U184" s="90">
        <f>IF($K184="","",SUM($R184:$T184))</f>
        <v/>
      </c>
      <c r="V184" s="90">
        <f>IF($K184="","",$M184-(N($N184)+N($O184)+IF($P184="",Setup!$B$17,$P184)+N($Q184))-N($U184))</f>
        <v/>
      </c>
      <c r="W184" s="95" t="n"/>
      <c r="X184" s="96" t="n"/>
      <c r="Z184" s="93">
        <f>IF($A184="","",DATE(YEAR($A184),MONTH($A184),1))</f>
        <v/>
      </c>
    </row>
    <row r="185">
      <c r="A185" s="86" t="n"/>
      <c r="B185" s="87" t="n"/>
      <c r="C185" s="87" t="n"/>
      <c r="D185" s="88" t="n"/>
      <c r="E185" s="88" t="n"/>
      <c r="F185" s="88" t="n"/>
      <c r="G185" s="88" t="n"/>
      <c r="H185" s="89" t="n"/>
      <c r="I185" s="90">
        <f>IF($G185="","",IF($F185="",IFERROR(INDEX(Setup!$C$21:$C$60,MATCH("|"&amp;UPPER(TRIM($G185)),Setup!$Q$21:$Q$60,0)),"NO RATE"),IFERROR(INDEX(Setup!$C$21:$C$60,MATCH(UPPER(TRIM($F185))&amp;"|"&amp;UPPER(TRIM($G185)),Setup!$P$21:$P$60,0)),IFERROR(INDEX(Setup!$C$21:$C$60,MATCH(UPPER(TRIM($G185))&amp;"|"&amp;UPPER(TRIM($F185)),Setup!$P$21:$P$60,0)),"NO RATE"))))</f>
        <v/>
      </c>
      <c r="J185" s="91" t="n"/>
      <c r="K185" s="90">
        <f>IF(OR($G185="",$H185="",NOT(ISNUMBER($I185))),"",ROUND($H185*$I185*(1+IF($J185="",Setup!$B$16,$J185)),2))</f>
        <v/>
      </c>
      <c r="L185" s="90">
        <f>IF($K185="","",ROUND($K185*Setup!$B$13,2))</f>
        <v/>
      </c>
      <c r="M185" s="90">
        <f>IF($K185="","",$K185-$L185)</f>
        <v/>
      </c>
      <c r="N185" s="90">
        <f>IF(OR($M185="",$D185=""),"",ROUND($M185*IFERROR(IF(VLOOKUP($D185,Setup!$A$76:$C$87,3,FALSE)="",Setup!$B$14,VLOOKUP($D185,Setup!$A$76:$C$87,3,FALSE)),Setup!$B$14),2))</f>
        <v/>
      </c>
      <c r="O185" s="90">
        <f>IF(OR($M185="",$E185=""),"",ROUND($M185*IFERROR(IF(VLOOKUP($E185,Setup!$A$76:$C$87,3,FALSE)="",Setup!$B$15,VLOOKUP($E185,Setup!$A$76:$C$87,3,FALSE)),Setup!$B$15),2))</f>
        <v/>
      </c>
      <c r="P185" s="92" t="n"/>
      <c r="Q185" s="92" t="n"/>
      <c r="R185" s="92" t="n"/>
      <c r="S185" s="92" t="n"/>
      <c r="T185" s="92" t="n"/>
      <c r="U185" s="90">
        <f>IF($K185="","",SUM($R185:$T185))</f>
        <v/>
      </c>
      <c r="V185" s="90">
        <f>IF($K185="","",$M185-(N($N185)+N($O185)+IF($P185="",Setup!$B$17,$P185)+N($Q185))-N($U185))</f>
        <v/>
      </c>
      <c r="W185" s="87" t="n"/>
      <c r="X185" s="88" t="n"/>
      <c r="Z185" s="93">
        <f>IF($A185="","",DATE(YEAR($A185),MONTH($A185),1))</f>
        <v/>
      </c>
    </row>
    <row r="186">
      <c r="A186" s="94" t="n"/>
      <c r="B186" s="95" t="n"/>
      <c r="C186" s="95" t="n"/>
      <c r="D186" s="96" t="n"/>
      <c r="E186" s="96" t="n"/>
      <c r="F186" s="96" t="n"/>
      <c r="G186" s="96" t="n"/>
      <c r="H186" s="97" t="n"/>
      <c r="I186" s="90">
        <f>IF($G186="","",IF($F186="",IFERROR(INDEX(Setup!$C$21:$C$60,MATCH("|"&amp;UPPER(TRIM($G186)),Setup!$Q$21:$Q$60,0)),"NO RATE"),IFERROR(INDEX(Setup!$C$21:$C$60,MATCH(UPPER(TRIM($F186))&amp;"|"&amp;UPPER(TRIM($G186)),Setup!$P$21:$P$60,0)),IFERROR(INDEX(Setup!$C$21:$C$60,MATCH(UPPER(TRIM($G186))&amp;"|"&amp;UPPER(TRIM($F186)),Setup!$P$21:$P$60,0)),"NO RATE"))))</f>
        <v/>
      </c>
      <c r="J186" s="98" t="n"/>
      <c r="K186" s="90">
        <f>IF(OR($G186="",$H186="",NOT(ISNUMBER($I186))),"",ROUND($H186*$I186*(1+IF($J186="",Setup!$B$16,$J186)),2))</f>
        <v/>
      </c>
      <c r="L186" s="90">
        <f>IF($K186="","",ROUND($K186*Setup!$B$13,2))</f>
        <v/>
      </c>
      <c r="M186" s="90">
        <f>IF($K186="","",$K186-$L186)</f>
        <v/>
      </c>
      <c r="N186" s="90">
        <f>IF(OR($M186="",$D186=""),"",ROUND($M186*IFERROR(IF(VLOOKUP($D186,Setup!$A$76:$C$87,3,FALSE)="",Setup!$B$14,VLOOKUP($D186,Setup!$A$76:$C$87,3,FALSE)),Setup!$B$14),2))</f>
        <v/>
      </c>
      <c r="O186" s="90">
        <f>IF(OR($M186="",$E186=""),"",ROUND($M186*IFERROR(IF(VLOOKUP($E186,Setup!$A$76:$C$87,3,FALSE)="",Setup!$B$15,VLOOKUP($E186,Setup!$A$76:$C$87,3,FALSE)),Setup!$B$15),2))</f>
        <v/>
      </c>
      <c r="P186" s="99" t="n"/>
      <c r="Q186" s="99" t="n"/>
      <c r="R186" s="99" t="n"/>
      <c r="S186" s="99" t="n"/>
      <c r="T186" s="99" t="n"/>
      <c r="U186" s="90">
        <f>IF($K186="","",SUM($R186:$T186))</f>
        <v/>
      </c>
      <c r="V186" s="90">
        <f>IF($K186="","",$M186-(N($N186)+N($O186)+IF($P186="",Setup!$B$17,$P186)+N($Q186))-N($U186))</f>
        <v/>
      </c>
      <c r="W186" s="95" t="n"/>
      <c r="X186" s="96" t="n"/>
      <c r="Z186" s="93">
        <f>IF($A186="","",DATE(YEAR($A186),MONTH($A186),1))</f>
        <v/>
      </c>
    </row>
    <row r="187">
      <c r="A187" s="86" t="n"/>
      <c r="B187" s="87" t="n"/>
      <c r="C187" s="87" t="n"/>
      <c r="D187" s="88" t="n"/>
      <c r="E187" s="88" t="n"/>
      <c r="F187" s="88" t="n"/>
      <c r="G187" s="88" t="n"/>
      <c r="H187" s="89" t="n"/>
      <c r="I187" s="90">
        <f>IF($G187="","",IF($F187="",IFERROR(INDEX(Setup!$C$21:$C$60,MATCH("|"&amp;UPPER(TRIM($G187)),Setup!$Q$21:$Q$60,0)),"NO RATE"),IFERROR(INDEX(Setup!$C$21:$C$60,MATCH(UPPER(TRIM($F187))&amp;"|"&amp;UPPER(TRIM($G187)),Setup!$P$21:$P$60,0)),IFERROR(INDEX(Setup!$C$21:$C$60,MATCH(UPPER(TRIM($G187))&amp;"|"&amp;UPPER(TRIM($F187)),Setup!$P$21:$P$60,0)),"NO RATE"))))</f>
        <v/>
      </c>
      <c r="J187" s="91" t="n"/>
      <c r="K187" s="90">
        <f>IF(OR($G187="",$H187="",NOT(ISNUMBER($I187))),"",ROUND($H187*$I187*(1+IF($J187="",Setup!$B$16,$J187)),2))</f>
        <v/>
      </c>
      <c r="L187" s="90">
        <f>IF($K187="","",ROUND($K187*Setup!$B$13,2))</f>
        <v/>
      </c>
      <c r="M187" s="90">
        <f>IF($K187="","",$K187-$L187)</f>
        <v/>
      </c>
      <c r="N187" s="90">
        <f>IF(OR($M187="",$D187=""),"",ROUND($M187*IFERROR(IF(VLOOKUP($D187,Setup!$A$76:$C$87,3,FALSE)="",Setup!$B$14,VLOOKUP($D187,Setup!$A$76:$C$87,3,FALSE)),Setup!$B$14),2))</f>
        <v/>
      </c>
      <c r="O187" s="90">
        <f>IF(OR($M187="",$E187=""),"",ROUND($M187*IFERROR(IF(VLOOKUP($E187,Setup!$A$76:$C$87,3,FALSE)="",Setup!$B$15,VLOOKUP($E187,Setup!$A$76:$C$87,3,FALSE)),Setup!$B$15),2))</f>
        <v/>
      </c>
      <c r="P187" s="92" t="n"/>
      <c r="Q187" s="92" t="n"/>
      <c r="R187" s="92" t="n"/>
      <c r="S187" s="92" t="n"/>
      <c r="T187" s="92" t="n"/>
      <c r="U187" s="90">
        <f>IF($K187="","",SUM($R187:$T187))</f>
        <v/>
      </c>
      <c r="V187" s="90">
        <f>IF($K187="","",$M187-(N($N187)+N($O187)+IF($P187="",Setup!$B$17,$P187)+N($Q187))-N($U187))</f>
        <v/>
      </c>
      <c r="W187" s="87" t="n"/>
      <c r="X187" s="88" t="n"/>
      <c r="Z187" s="93">
        <f>IF($A187="","",DATE(YEAR($A187),MONTH($A187),1))</f>
        <v/>
      </c>
    </row>
    <row r="188">
      <c r="A188" s="94" t="n"/>
      <c r="B188" s="95" t="n"/>
      <c r="C188" s="95" t="n"/>
      <c r="D188" s="96" t="n"/>
      <c r="E188" s="96" t="n"/>
      <c r="F188" s="96" t="n"/>
      <c r="G188" s="96" t="n"/>
      <c r="H188" s="97" t="n"/>
      <c r="I188" s="90">
        <f>IF($G188="","",IF($F188="",IFERROR(INDEX(Setup!$C$21:$C$60,MATCH("|"&amp;UPPER(TRIM($G188)),Setup!$Q$21:$Q$60,0)),"NO RATE"),IFERROR(INDEX(Setup!$C$21:$C$60,MATCH(UPPER(TRIM($F188))&amp;"|"&amp;UPPER(TRIM($G188)),Setup!$P$21:$P$60,0)),IFERROR(INDEX(Setup!$C$21:$C$60,MATCH(UPPER(TRIM($G188))&amp;"|"&amp;UPPER(TRIM($F188)),Setup!$P$21:$P$60,0)),"NO RATE"))))</f>
        <v/>
      </c>
      <c r="J188" s="98" t="n"/>
      <c r="K188" s="90">
        <f>IF(OR($G188="",$H188="",NOT(ISNUMBER($I188))),"",ROUND($H188*$I188*(1+IF($J188="",Setup!$B$16,$J188)),2))</f>
        <v/>
      </c>
      <c r="L188" s="90">
        <f>IF($K188="","",ROUND($K188*Setup!$B$13,2))</f>
        <v/>
      </c>
      <c r="M188" s="90">
        <f>IF($K188="","",$K188-$L188)</f>
        <v/>
      </c>
      <c r="N188" s="90">
        <f>IF(OR($M188="",$D188=""),"",ROUND($M188*IFERROR(IF(VLOOKUP($D188,Setup!$A$76:$C$87,3,FALSE)="",Setup!$B$14,VLOOKUP($D188,Setup!$A$76:$C$87,3,FALSE)),Setup!$B$14),2))</f>
        <v/>
      </c>
      <c r="O188" s="90">
        <f>IF(OR($M188="",$E188=""),"",ROUND($M188*IFERROR(IF(VLOOKUP($E188,Setup!$A$76:$C$87,3,FALSE)="",Setup!$B$15,VLOOKUP($E188,Setup!$A$76:$C$87,3,FALSE)),Setup!$B$15),2))</f>
        <v/>
      </c>
      <c r="P188" s="99" t="n"/>
      <c r="Q188" s="99" t="n"/>
      <c r="R188" s="99" t="n"/>
      <c r="S188" s="99" t="n"/>
      <c r="T188" s="99" t="n"/>
      <c r="U188" s="90">
        <f>IF($K188="","",SUM($R188:$T188))</f>
        <v/>
      </c>
      <c r="V188" s="90">
        <f>IF($K188="","",$M188-(N($N188)+N($O188)+IF($P188="",Setup!$B$17,$P188)+N($Q188))-N($U188))</f>
        <v/>
      </c>
      <c r="W188" s="95" t="n"/>
      <c r="X188" s="96" t="n"/>
      <c r="Z188" s="93">
        <f>IF($A188="","",DATE(YEAR($A188),MONTH($A188),1))</f>
        <v/>
      </c>
    </row>
    <row r="189">
      <c r="A189" s="86" t="n"/>
      <c r="B189" s="87" t="n"/>
      <c r="C189" s="87" t="n"/>
      <c r="D189" s="88" t="n"/>
      <c r="E189" s="88" t="n"/>
      <c r="F189" s="88" t="n"/>
      <c r="G189" s="88" t="n"/>
      <c r="H189" s="89" t="n"/>
      <c r="I189" s="90">
        <f>IF($G189="","",IF($F189="",IFERROR(INDEX(Setup!$C$21:$C$60,MATCH("|"&amp;UPPER(TRIM($G189)),Setup!$Q$21:$Q$60,0)),"NO RATE"),IFERROR(INDEX(Setup!$C$21:$C$60,MATCH(UPPER(TRIM($F189))&amp;"|"&amp;UPPER(TRIM($G189)),Setup!$P$21:$P$60,0)),IFERROR(INDEX(Setup!$C$21:$C$60,MATCH(UPPER(TRIM($G189))&amp;"|"&amp;UPPER(TRIM($F189)),Setup!$P$21:$P$60,0)),"NO RATE"))))</f>
        <v/>
      </c>
      <c r="J189" s="91" t="n"/>
      <c r="K189" s="90">
        <f>IF(OR($G189="",$H189="",NOT(ISNUMBER($I189))),"",ROUND($H189*$I189*(1+IF($J189="",Setup!$B$16,$J189)),2))</f>
        <v/>
      </c>
      <c r="L189" s="90">
        <f>IF($K189="","",ROUND($K189*Setup!$B$13,2))</f>
        <v/>
      </c>
      <c r="M189" s="90">
        <f>IF($K189="","",$K189-$L189)</f>
        <v/>
      </c>
      <c r="N189" s="90">
        <f>IF(OR($M189="",$D189=""),"",ROUND($M189*IFERROR(IF(VLOOKUP($D189,Setup!$A$76:$C$87,3,FALSE)="",Setup!$B$14,VLOOKUP($D189,Setup!$A$76:$C$87,3,FALSE)),Setup!$B$14),2))</f>
        <v/>
      </c>
      <c r="O189" s="90">
        <f>IF(OR($M189="",$E189=""),"",ROUND($M189*IFERROR(IF(VLOOKUP($E189,Setup!$A$76:$C$87,3,FALSE)="",Setup!$B$15,VLOOKUP($E189,Setup!$A$76:$C$87,3,FALSE)),Setup!$B$15),2))</f>
        <v/>
      </c>
      <c r="P189" s="92" t="n"/>
      <c r="Q189" s="92" t="n"/>
      <c r="R189" s="92" t="n"/>
      <c r="S189" s="92" t="n"/>
      <c r="T189" s="92" t="n"/>
      <c r="U189" s="90">
        <f>IF($K189="","",SUM($R189:$T189))</f>
        <v/>
      </c>
      <c r="V189" s="90">
        <f>IF($K189="","",$M189-(N($N189)+N($O189)+IF($P189="",Setup!$B$17,$P189)+N($Q189))-N($U189))</f>
        <v/>
      </c>
      <c r="W189" s="87" t="n"/>
      <c r="X189" s="88" t="n"/>
      <c r="Z189" s="93">
        <f>IF($A189="","",DATE(YEAR($A189),MONTH($A189),1))</f>
        <v/>
      </c>
    </row>
    <row r="190">
      <c r="A190" s="94" t="n"/>
      <c r="B190" s="95" t="n"/>
      <c r="C190" s="95" t="n"/>
      <c r="D190" s="96" t="n"/>
      <c r="E190" s="96" t="n"/>
      <c r="F190" s="96" t="n"/>
      <c r="G190" s="96" t="n"/>
      <c r="H190" s="97" t="n"/>
      <c r="I190" s="90">
        <f>IF($G190="","",IF($F190="",IFERROR(INDEX(Setup!$C$21:$C$60,MATCH("|"&amp;UPPER(TRIM($G190)),Setup!$Q$21:$Q$60,0)),"NO RATE"),IFERROR(INDEX(Setup!$C$21:$C$60,MATCH(UPPER(TRIM($F190))&amp;"|"&amp;UPPER(TRIM($G190)),Setup!$P$21:$P$60,0)),IFERROR(INDEX(Setup!$C$21:$C$60,MATCH(UPPER(TRIM($G190))&amp;"|"&amp;UPPER(TRIM($F190)),Setup!$P$21:$P$60,0)),"NO RATE"))))</f>
        <v/>
      </c>
      <c r="J190" s="98" t="n"/>
      <c r="K190" s="90">
        <f>IF(OR($G190="",$H190="",NOT(ISNUMBER($I190))),"",ROUND($H190*$I190*(1+IF($J190="",Setup!$B$16,$J190)),2))</f>
        <v/>
      </c>
      <c r="L190" s="90">
        <f>IF($K190="","",ROUND($K190*Setup!$B$13,2))</f>
        <v/>
      </c>
      <c r="M190" s="90">
        <f>IF($K190="","",$K190-$L190)</f>
        <v/>
      </c>
      <c r="N190" s="90">
        <f>IF(OR($M190="",$D190=""),"",ROUND($M190*IFERROR(IF(VLOOKUP($D190,Setup!$A$76:$C$87,3,FALSE)="",Setup!$B$14,VLOOKUP($D190,Setup!$A$76:$C$87,3,FALSE)),Setup!$B$14),2))</f>
        <v/>
      </c>
      <c r="O190" s="90">
        <f>IF(OR($M190="",$E190=""),"",ROUND($M190*IFERROR(IF(VLOOKUP($E190,Setup!$A$76:$C$87,3,FALSE)="",Setup!$B$15,VLOOKUP($E190,Setup!$A$76:$C$87,3,FALSE)),Setup!$B$15),2))</f>
        <v/>
      </c>
      <c r="P190" s="99" t="n"/>
      <c r="Q190" s="99" t="n"/>
      <c r="R190" s="99" t="n"/>
      <c r="S190" s="99" t="n"/>
      <c r="T190" s="99" t="n"/>
      <c r="U190" s="90">
        <f>IF($K190="","",SUM($R190:$T190))</f>
        <v/>
      </c>
      <c r="V190" s="90">
        <f>IF($K190="","",$M190-(N($N190)+N($O190)+IF($P190="",Setup!$B$17,$P190)+N($Q190))-N($U190))</f>
        <v/>
      </c>
      <c r="W190" s="95" t="n"/>
      <c r="X190" s="96" t="n"/>
      <c r="Z190" s="93">
        <f>IF($A190="","",DATE(YEAR($A190),MONTH($A190),1))</f>
        <v/>
      </c>
    </row>
    <row r="191">
      <c r="A191" s="86" t="n"/>
      <c r="B191" s="87" t="n"/>
      <c r="C191" s="87" t="n"/>
      <c r="D191" s="88" t="n"/>
      <c r="E191" s="88" t="n"/>
      <c r="F191" s="88" t="n"/>
      <c r="G191" s="88" t="n"/>
      <c r="H191" s="89" t="n"/>
      <c r="I191" s="90">
        <f>IF($G191="","",IF($F191="",IFERROR(INDEX(Setup!$C$21:$C$60,MATCH("|"&amp;UPPER(TRIM($G191)),Setup!$Q$21:$Q$60,0)),"NO RATE"),IFERROR(INDEX(Setup!$C$21:$C$60,MATCH(UPPER(TRIM($F191))&amp;"|"&amp;UPPER(TRIM($G191)),Setup!$P$21:$P$60,0)),IFERROR(INDEX(Setup!$C$21:$C$60,MATCH(UPPER(TRIM($G191))&amp;"|"&amp;UPPER(TRIM($F191)),Setup!$P$21:$P$60,0)),"NO RATE"))))</f>
        <v/>
      </c>
      <c r="J191" s="91" t="n"/>
      <c r="K191" s="90">
        <f>IF(OR($G191="",$H191="",NOT(ISNUMBER($I191))),"",ROUND($H191*$I191*(1+IF($J191="",Setup!$B$16,$J191)),2))</f>
        <v/>
      </c>
      <c r="L191" s="90">
        <f>IF($K191="","",ROUND($K191*Setup!$B$13,2))</f>
        <v/>
      </c>
      <c r="M191" s="90">
        <f>IF($K191="","",$K191-$L191)</f>
        <v/>
      </c>
      <c r="N191" s="90">
        <f>IF(OR($M191="",$D191=""),"",ROUND($M191*IFERROR(IF(VLOOKUP($D191,Setup!$A$76:$C$87,3,FALSE)="",Setup!$B$14,VLOOKUP($D191,Setup!$A$76:$C$87,3,FALSE)),Setup!$B$14),2))</f>
        <v/>
      </c>
      <c r="O191" s="90">
        <f>IF(OR($M191="",$E191=""),"",ROUND($M191*IFERROR(IF(VLOOKUP($E191,Setup!$A$76:$C$87,3,FALSE)="",Setup!$B$15,VLOOKUP($E191,Setup!$A$76:$C$87,3,FALSE)),Setup!$B$15),2))</f>
        <v/>
      </c>
      <c r="P191" s="92" t="n"/>
      <c r="Q191" s="92" t="n"/>
      <c r="R191" s="92" t="n"/>
      <c r="S191" s="92" t="n"/>
      <c r="T191" s="92" t="n"/>
      <c r="U191" s="90">
        <f>IF($K191="","",SUM($R191:$T191))</f>
        <v/>
      </c>
      <c r="V191" s="90">
        <f>IF($K191="","",$M191-(N($N191)+N($O191)+IF($P191="",Setup!$B$17,$P191)+N($Q191))-N($U191))</f>
        <v/>
      </c>
      <c r="W191" s="87" t="n"/>
      <c r="X191" s="88" t="n"/>
      <c r="Z191" s="93">
        <f>IF($A191="","",DATE(YEAR($A191),MONTH($A191),1))</f>
        <v/>
      </c>
    </row>
    <row r="192">
      <c r="A192" s="94" t="n"/>
      <c r="B192" s="95" t="n"/>
      <c r="C192" s="95" t="n"/>
      <c r="D192" s="96" t="n"/>
      <c r="E192" s="96" t="n"/>
      <c r="F192" s="96" t="n"/>
      <c r="G192" s="96" t="n"/>
      <c r="H192" s="97" t="n"/>
      <c r="I192" s="90">
        <f>IF($G192="","",IF($F192="",IFERROR(INDEX(Setup!$C$21:$C$60,MATCH("|"&amp;UPPER(TRIM($G192)),Setup!$Q$21:$Q$60,0)),"NO RATE"),IFERROR(INDEX(Setup!$C$21:$C$60,MATCH(UPPER(TRIM($F192))&amp;"|"&amp;UPPER(TRIM($G192)),Setup!$P$21:$P$60,0)),IFERROR(INDEX(Setup!$C$21:$C$60,MATCH(UPPER(TRIM($G192))&amp;"|"&amp;UPPER(TRIM($F192)),Setup!$P$21:$P$60,0)),"NO RATE"))))</f>
        <v/>
      </c>
      <c r="J192" s="98" t="n"/>
      <c r="K192" s="90">
        <f>IF(OR($G192="",$H192="",NOT(ISNUMBER($I192))),"",ROUND($H192*$I192*(1+IF($J192="",Setup!$B$16,$J192)),2))</f>
        <v/>
      </c>
      <c r="L192" s="90">
        <f>IF($K192="","",ROUND($K192*Setup!$B$13,2))</f>
        <v/>
      </c>
      <c r="M192" s="90">
        <f>IF($K192="","",$K192-$L192)</f>
        <v/>
      </c>
      <c r="N192" s="90">
        <f>IF(OR($M192="",$D192=""),"",ROUND($M192*IFERROR(IF(VLOOKUP($D192,Setup!$A$76:$C$87,3,FALSE)="",Setup!$B$14,VLOOKUP($D192,Setup!$A$76:$C$87,3,FALSE)),Setup!$B$14),2))</f>
        <v/>
      </c>
      <c r="O192" s="90">
        <f>IF(OR($M192="",$E192=""),"",ROUND($M192*IFERROR(IF(VLOOKUP($E192,Setup!$A$76:$C$87,3,FALSE)="",Setup!$B$15,VLOOKUP($E192,Setup!$A$76:$C$87,3,FALSE)),Setup!$B$15),2))</f>
        <v/>
      </c>
      <c r="P192" s="99" t="n"/>
      <c r="Q192" s="99" t="n"/>
      <c r="R192" s="99" t="n"/>
      <c r="S192" s="99" t="n"/>
      <c r="T192" s="99" t="n"/>
      <c r="U192" s="90">
        <f>IF($K192="","",SUM($R192:$T192))</f>
        <v/>
      </c>
      <c r="V192" s="90">
        <f>IF($K192="","",$M192-(N($N192)+N($O192)+IF($P192="",Setup!$B$17,$P192)+N($Q192))-N($U192))</f>
        <v/>
      </c>
      <c r="W192" s="95" t="n"/>
      <c r="X192" s="96" t="n"/>
      <c r="Z192" s="93">
        <f>IF($A192="","",DATE(YEAR($A192),MONTH($A192),1))</f>
        <v/>
      </c>
    </row>
    <row r="193">
      <c r="A193" s="86" t="n"/>
      <c r="B193" s="87" t="n"/>
      <c r="C193" s="87" t="n"/>
      <c r="D193" s="88" t="n"/>
      <c r="E193" s="88" t="n"/>
      <c r="F193" s="88" t="n"/>
      <c r="G193" s="88" t="n"/>
      <c r="H193" s="89" t="n"/>
      <c r="I193" s="90">
        <f>IF($G193="","",IF($F193="",IFERROR(INDEX(Setup!$C$21:$C$60,MATCH("|"&amp;UPPER(TRIM($G193)),Setup!$Q$21:$Q$60,0)),"NO RATE"),IFERROR(INDEX(Setup!$C$21:$C$60,MATCH(UPPER(TRIM($F193))&amp;"|"&amp;UPPER(TRIM($G193)),Setup!$P$21:$P$60,0)),IFERROR(INDEX(Setup!$C$21:$C$60,MATCH(UPPER(TRIM($G193))&amp;"|"&amp;UPPER(TRIM($F193)),Setup!$P$21:$P$60,0)),"NO RATE"))))</f>
        <v/>
      </c>
      <c r="J193" s="91" t="n"/>
      <c r="K193" s="90">
        <f>IF(OR($G193="",$H193="",NOT(ISNUMBER($I193))),"",ROUND($H193*$I193*(1+IF($J193="",Setup!$B$16,$J193)),2))</f>
        <v/>
      </c>
      <c r="L193" s="90">
        <f>IF($K193="","",ROUND($K193*Setup!$B$13,2))</f>
        <v/>
      </c>
      <c r="M193" s="90">
        <f>IF($K193="","",$K193-$L193)</f>
        <v/>
      </c>
      <c r="N193" s="90">
        <f>IF(OR($M193="",$D193=""),"",ROUND($M193*IFERROR(IF(VLOOKUP($D193,Setup!$A$76:$C$87,3,FALSE)="",Setup!$B$14,VLOOKUP($D193,Setup!$A$76:$C$87,3,FALSE)),Setup!$B$14),2))</f>
        <v/>
      </c>
      <c r="O193" s="90">
        <f>IF(OR($M193="",$E193=""),"",ROUND($M193*IFERROR(IF(VLOOKUP($E193,Setup!$A$76:$C$87,3,FALSE)="",Setup!$B$15,VLOOKUP($E193,Setup!$A$76:$C$87,3,FALSE)),Setup!$B$15),2))</f>
        <v/>
      </c>
      <c r="P193" s="92" t="n"/>
      <c r="Q193" s="92" t="n"/>
      <c r="R193" s="92" t="n"/>
      <c r="S193" s="92" t="n"/>
      <c r="T193" s="92" t="n"/>
      <c r="U193" s="90">
        <f>IF($K193="","",SUM($R193:$T193))</f>
        <v/>
      </c>
      <c r="V193" s="90">
        <f>IF($K193="","",$M193-(N($N193)+N($O193)+IF($P193="",Setup!$B$17,$P193)+N($Q193))-N($U193))</f>
        <v/>
      </c>
      <c r="W193" s="87" t="n"/>
      <c r="X193" s="88" t="n"/>
      <c r="Z193" s="93">
        <f>IF($A193="","",DATE(YEAR($A193),MONTH($A193),1))</f>
        <v/>
      </c>
    </row>
    <row r="194">
      <c r="A194" s="94" t="n"/>
      <c r="B194" s="95" t="n"/>
      <c r="C194" s="95" t="n"/>
      <c r="D194" s="96" t="n"/>
      <c r="E194" s="96" t="n"/>
      <c r="F194" s="96" t="n"/>
      <c r="G194" s="96" t="n"/>
      <c r="H194" s="97" t="n"/>
      <c r="I194" s="90">
        <f>IF($G194="","",IF($F194="",IFERROR(INDEX(Setup!$C$21:$C$60,MATCH("|"&amp;UPPER(TRIM($G194)),Setup!$Q$21:$Q$60,0)),"NO RATE"),IFERROR(INDEX(Setup!$C$21:$C$60,MATCH(UPPER(TRIM($F194))&amp;"|"&amp;UPPER(TRIM($G194)),Setup!$P$21:$P$60,0)),IFERROR(INDEX(Setup!$C$21:$C$60,MATCH(UPPER(TRIM($G194))&amp;"|"&amp;UPPER(TRIM($F194)),Setup!$P$21:$P$60,0)),"NO RATE"))))</f>
        <v/>
      </c>
      <c r="J194" s="98" t="n"/>
      <c r="K194" s="90">
        <f>IF(OR($G194="",$H194="",NOT(ISNUMBER($I194))),"",ROUND($H194*$I194*(1+IF($J194="",Setup!$B$16,$J194)),2))</f>
        <v/>
      </c>
      <c r="L194" s="90">
        <f>IF($K194="","",ROUND($K194*Setup!$B$13,2))</f>
        <v/>
      </c>
      <c r="M194" s="90">
        <f>IF($K194="","",$K194-$L194)</f>
        <v/>
      </c>
      <c r="N194" s="90">
        <f>IF(OR($M194="",$D194=""),"",ROUND($M194*IFERROR(IF(VLOOKUP($D194,Setup!$A$76:$C$87,3,FALSE)="",Setup!$B$14,VLOOKUP($D194,Setup!$A$76:$C$87,3,FALSE)),Setup!$B$14),2))</f>
        <v/>
      </c>
      <c r="O194" s="90">
        <f>IF(OR($M194="",$E194=""),"",ROUND($M194*IFERROR(IF(VLOOKUP($E194,Setup!$A$76:$C$87,3,FALSE)="",Setup!$B$15,VLOOKUP($E194,Setup!$A$76:$C$87,3,FALSE)),Setup!$B$15),2))</f>
        <v/>
      </c>
      <c r="P194" s="99" t="n"/>
      <c r="Q194" s="99" t="n"/>
      <c r="R194" s="99" t="n"/>
      <c r="S194" s="99" t="n"/>
      <c r="T194" s="99" t="n"/>
      <c r="U194" s="90">
        <f>IF($K194="","",SUM($R194:$T194))</f>
        <v/>
      </c>
      <c r="V194" s="90">
        <f>IF($K194="","",$M194-(N($N194)+N($O194)+IF($P194="",Setup!$B$17,$P194)+N($Q194))-N($U194))</f>
        <v/>
      </c>
      <c r="W194" s="95" t="n"/>
      <c r="X194" s="96" t="n"/>
      <c r="Z194" s="93">
        <f>IF($A194="","",DATE(YEAR($A194),MONTH($A194),1))</f>
        <v/>
      </c>
    </row>
    <row r="195">
      <c r="A195" s="86" t="n"/>
      <c r="B195" s="87" t="n"/>
      <c r="C195" s="87" t="n"/>
      <c r="D195" s="88" t="n"/>
      <c r="E195" s="88" t="n"/>
      <c r="F195" s="88" t="n"/>
      <c r="G195" s="88" t="n"/>
      <c r="H195" s="89" t="n"/>
      <c r="I195" s="90">
        <f>IF($G195="","",IF($F195="",IFERROR(INDEX(Setup!$C$21:$C$60,MATCH("|"&amp;UPPER(TRIM($G195)),Setup!$Q$21:$Q$60,0)),"NO RATE"),IFERROR(INDEX(Setup!$C$21:$C$60,MATCH(UPPER(TRIM($F195))&amp;"|"&amp;UPPER(TRIM($G195)),Setup!$P$21:$P$60,0)),IFERROR(INDEX(Setup!$C$21:$C$60,MATCH(UPPER(TRIM($G195))&amp;"|"&amp;UPPER(TRIM($F195)),Setup!$P$21:$P$60,0)),"NO RATE"))))</f>
        <v/>
      </c>
      <c r="J195" s="91" t="n"/>
      <c r="K195" s="90">
        <f>IF(OR($G195="",$H195="",NOT(ISNUMBER($I195))),"",ROUND($H195*$I195*(1+IF($J195="",Setup!$B$16,$J195)),2))</f>
        <v/>
      </c>
      <c r="L195" s="90">
        <f>IF($K195="","",ROUND($K195*Setup!$B$13,2))</f>
        <v/>
      </c>
      <c r="M195" s="90">
        <f>IF($K195="","",$K195-$L195)</f>
        <v/>
      </c>
      <c r="N195" s="90">
        <f>IF(OR($M195="",$D195=""),"",ROUND($M195*IFERROR(IF(VLOOKUP($D195,Setup!$A$76:$C$87,3,FALSE)="",Setup!$B$14,VLOOKUP($D195,Setup!$A$76:$C$87,3,FALSE)),Setup!$B$14),2))</f>
        <v/>
      </c>
      <c r="O195" s="90">
        <f>IF(OR($M195="",$E195=""),"",ROUND($M195*IFERROR(IF(VLOOKUP($E195,Setup!$A$76:$C$87,3,FALSE)="",Setup!$B$15,VLOOKUP($E195,Setup!$A$76:$C$87,3,FALSE)),Setup!$B$15),2))</f>
        <v/>
      </c>
      <c r="P195" s="92" t="n"/>
      <c r="Q195" s="92" t="n"/>
      <c r="R195" s="92" t="n"/>
      <c r="S195" s="92" t="n"/>
      <c r="T195" s="92" t="n"/>
      <c r="U195" s="90">
        <f>IF($K195="","",SUM($R195:$T195))</f>
        <v/>
      </c>
      <c r="V195" s="90">
        <f>IF($K195="","",$M195-(N($N195)+N($O195)+IF($P195="",Setup!$B$17,$P195)+N($Q195))-N($U195))</f>
        <v/>
      </c>
      <c r="W195" s="87" t="n"/>
      <c r="X195" s="88" t="n"/>
      <c r="Z195" s="93">
        <f>IF($A195="","",DATE(YEAR($A195),MONTH($A195),1))</f>
        <v/>
      </c>
    </row>
    <row r="196">
      <c r="A196" s="94" t="n"/>
      <c r="B196" s="95" t="n"/>
      <c r="C196" s="95" t="n"/>
      <c r="D196" s="96" t="n"/>
      <c r="E196" s="96" t="n"/>
      <c r="F196" s="96" t="n"/>
      <c r="G196" s="96" t="n"/>
      <c r="H196" s="97" t="n"/>
      <c r="I196" s="90">
        <f>IF($G196="","",IF($F196="",IFERROR(INDEX(Setup!$C$21:$C$60,MATCH("|"&amp;UPPER(TRIM($G196)),Setup!$Q$21:$Q$60,0)),"NO RATE"),IFERROR(INDEX(Setup!$C$21:$C$60,MATCH(UPPER(TRIM($F196))&amp;"|"&amp;UPPER(TRIM($G196)),Setup!$P$21:$P$60,0)),IFERROR(INDEX(Setup!$C$21:$C$60,MATCH(UPPER(TRIM($G196))&amp;"|"&amp;UPPER(TRIM($F196)),Setup!$P$21:$P$60,0)),"NO RATE"))))</f>
        <v/>
      </c>
      <c r="J196" s="98" t="n"/>
      <c r="K196" s="90">
        <f>IF(OR($G196="",$H196="",NOT(ISNUMBER($I196))),"",ROUND($H196*$I196*(1+IF($J196="",Setup!$B$16,$J196)),2))</f>
        <v/>
      </c>
      <c r="L196" s="90">
        <f>IF($K196="","",ROUND($K196*Setup!$B$13,2))</f>
        <v/>
      </c>
      <c r="M196" s="90">
        <f>IF($K196="","",$K196-$L196)</f>
        <v/>
      </c>
      <c r="N196" s="90">
        <f>IF(OR($M196="",$D196=""),"",ROUND($M196*IFERROR(IF(VLOOKUP($D196,Setup!$A$76:$C$87,3,FALSE)="",Setup!$B$14,VLOOKUP($D196,Setup!$A$76:$C$87,3,FALSE)),Setup!$B$14),2))</f>
        <v/>
      </c>
      <c r="O196" s="90">
        <f>IF(OR($M196="",$E196=""),"",ROUND($M196*IFERROR(IF(VLOOKUP($E196,Setup!$A$76:$C$87,3,FALSE)="",Setup!$B$15,VLOOKUP($E196,Setup!$A$76:$C$87,3,FALSE)),Setup!$B$15),2))</f>
        <v/>
      </c>
      <c r="P196" s="99" t="n"/>
      <c r="Q196" s="99" t="n"/>
      <c r="R196" s="99" t="n"/>
      <c r="S196" s="99" t="n"/>
      <c r="T196" s="99" t="n"/>
      <c r="U196" s="90">
        <f>IF($K196="","",SUM($R196:$T196))</f>
        <v/>
      </c>
      <c r="V196" s="90">
        <f>IF($K196="","",$M196-(N($N196)+N($O196)+IF($P196="",Setup!$B$17,$P196)+N($Q196))-N($U196))</f>
        <v/>
      </c>
      <c r="W196" s="95" t="n"/>
      <c r="X196" s="96" t="n"/>
      <c r="Z196" s="93">
        <f>IF($A196="","",DATE(YEAR($A196),MONTH($A196),1))</f>
        <v/>
      </c>
    </row>
    <row r="197">
      <c r="A197" s="86" t="n"/>
      <c r="B197" s="87" t="n"/>
      <c r="C197" s="87" t="n"/>
      <c r="D197" s="88" t="n"/>
      <c r="E197" s="88" t="n"/>
      <c r="F197" s="88" t="n"/>
      <c r="G197" s="88" t="n"/>
      <c r="H197" s="89" t="n"/>
      <c r="I197" s="90">
        <f>IF($G197="","",IF($F197="",IFERROR(INDEX(Setup!$C$21:$C$60,MATCH("|"&amp;UPPER(TRIM($G197)),Setup!$Q$21:$Q$60,0)),"NO RATE"),IFERROR(INDEX(Setup!$C$21:$C$60,MATCH(UPPER(TRIM($F197))&amp;"|"&amp;UPPER(TRIM($G197)),Setup!$P$21:$P$60,0)),IFERROR(INDEX(Setup!$C$21:$C$60,MATCH(UPPER(TRIM($G197))&amp;"|"&amp;UPPER(TRIM($F197)),Setup!$P$21:$P$60,0)),"NO RATE"))))</f>
        <v/>
      </c>
      <c r="J197" s="91" t="n"/>
      <c r="K197" s="90">
        <f>IF(OR($G197="",$H197="",NOT(ISNUMBER($I197))),"",ROUND($H197*$I197*(1+IF($J197="",Setup!$B$16,$J197)),2))</f>
        <v/>
      </c>
      <c r="L197" s="90">
        <f>IF($K197="","",ROUND($K197*Setup!$B$13,2))</f>
        <v/>
      </c>
      <c r="M197" s="90">
        <f>IF($K197="","",$K197-$L197)</f>
        <v/>
      </c>
      <c r="N197" s="90">
        <f>IF(OR($M197="",$D197=""),"",ROUND($M197*IFERROR(IF(VLOOKUP($D197,Setup!$A$76:$C$87,3,FALSE)="",Setup!$B$14,VLOOKUP($D197,Setup!$A$76:$C$87,3,FALSE)),Setup!$B$14),2))</f>
        <v/>
      </c>
      <c r="O197" s="90">
        <f>IF(OR($M197="",$E197=""),"",ROUND($M197*IFERROR(IF(VLOOKUP($E197,Setup!$A$76:$C$87,3,FALSE)="",Setup!$B$15,VLOOKUP($E197,Setup!$A$76:$C$87,3,FALSE)),Setup!$B$15),2))</f>
        <v/>
      </c>
      <c r="P197" s="92" t="n"/>
      <c r="Q197" s="92" t="n"/>
      <c r="R197" s="92" t="n"/>
      <c r="S197" s="92" t="n"/>
      <c r="T197" s="92" t="n"/>
      <c r="U197" s="90">
        <f>IF($K197="","",SUM($R197:$T197))</f>
        <v/>
      </c>
      <c r="V197" s="90">
        <f>IF($K197="","",$M197-(N($N197)+N($O197)+IF($P197="",Setup!$B$17,$P197)+N($Q197))-N($U197))</f>
        <v/>
      </c>
      <c r="W197" s="87" t="n"/>
      <c r="X197" s="88" t="n"/>
      <c r="Z197" s="93">
        <f>IF($A197="","",DATE(YEAR($A197),MONTH($A197),1))</f>
        <v/>
      </c>
    </row>
    <row r="198">
      <c r="A198" s="94" t="n"/>
      <c r="B198" s="95" t="n"/>
      <c r="C198" s="95" t="n"/>
      <c r="D198" s="96" t="n"/>
      <c r="E198" s="96" t="n"/>
      <c r="F198" s="96" t="n"/>
      <c r="G198" s="96" t="n"/>
      <c r="H198" s="97" t="n"/>
      <c r="I198" s="90">
        <f>IF($G198="","",IF($F198="",IFERROR(INDEX(Setup!$C$21:$C$60,MATCH("|"&amp;UPPER(TRIM($G198)),Setup!$Q$21:$Q$60,0)),"NO RATE"),IFERROR(INDEX(Setup!$C$21:$C$60,MATCH(UPPER(TRIM($F198))&amp;"|"&amp;UPPER(TRIM($G198)),Setup!$P$21:$P$60,0)),IFERROR(INDEX(Setup!$C$21:$C$60,MATCH(UPPER(TRIM($G198))&amp;"|"&amp;UPPER(TRIM($F198)),Setup!$P$21:$P$60,0)),"NO RATE"))))</f>
        <v/>
      </c>
      <c r="J198" s="98" t="n"/>
      <c r="K198" s="90">
        <f>IF(OR($G198="",$H198="",NOT(ISNUMBER($I198))),"",ROUND($H198*$I198*(1+IF($J198="",Setup!$B$16,$J198)),2))</f>
        <v/>
      </c>
      <c r="L198" s="90">
        <f>IF($K198="","",ROUND($K198*Setup!$B$13,2))</f>
        <v/>
      </c>
      <c r="M198" s="90">
        <f>IF($K198="","",$K198-$L198)</f>
        <v/>
      </c>
      <c r="N198" s="90">
        <f>IF(OR($M198="",$D198=""),"",ROUND($M198*IFERROR(IF(VLOOKUP($D198,Setup!$A$76:$C$87,3,FALSE)="",Setup!$B$14,VLOOKUP($D198,Setup!$A$76:$C$87,3,FALSE)),Setup!$B$14),2))</f>
        <v/>
      </c>
      <c r="O198" s="90">
        <f>IF(OR($M198="",$E198=""),"",ROUND($M198*IFERROR(IF(VLOOKUP($E198,Setup!$A$76:$C$87,3,FALSE)="",Setup!$B$15,VLOOKUP($E198,Setup!$A$76:$C$87,3,FALSE)),Setup!$B$15),2))</f>
        <v/>
      </c>
      <c r="P198" s="99" t="n"/>
      <c r="Q198" s="99" t="n"/>
      <c r="R198" s="99" t="n"/>
      <c r="S198" s="99" t="n"/>
      <c r="T198" s="99" t="n"/>
      <c r="U198" s="90">
        <f>IF($K198="","",SUM($R198:$T198))</f>
        <v/>
      </c>
      <c r="V198" s="90">
        <f>IF($K198="","",$M198-(N($N198)+N($O198)+IF($P198="",Setup!$B$17,$P198)+N($Q198))-N($U198))</f>
        <v/>
      </c>
      <c r="W198" s="95" t="n"/>
      <c r="X198" s="96" t="n"/>
      <c r="Z198" s="93">
        <f>IF($A198="","",DATE(YEAR($A198),MONTH($A198),1))</f>
        <v/>
      </c>
    </row>
    <row r="199">
      <c r="A199" s="86" t="n"/>
      <c r="B199" s="87" t="n"/>
      <c r="C199" s="87" t="n"/>
      <c r="D199" s="88" t="n"/>
      <c r="E199" s="88" t="n"/>
      <c r="F199" s="88" t="n"/>
      <c r="G199" s="88" t="n"/>
      <c r="H199" s="89" t="n"/>
      <c r="I199" s="90">
        <f>IF($G199="","",IF($F199="",IFERROR(INDEX(Setup!$C$21:$C$60,MATCH("|"&amp;UPPER(TRIM($G199)),Setup!$Q$21:$Q$60,0)),"NO RATE"),IFERROR(INDEX(Setup!$C$21:$C$60,MATCH(UPPER(TRIM($F199))&amp;"|"&amp;UPPER(TRIM($G199)),Setup!$P$21:$P$60,0)),IFERROR(INDEX(Setup!$C$21:$C$60,MATCH(UPPER(TRIM($G199))&amp;"|"&amp;UPPER(TRIM($F199)),Setup!$P$21:$P$60,0)),"NO RATE"))))</f>
        <v/>
      </c>
      <c r="J199" s="91" t="n"/>
      <c r="K199" s="90">
        <f>IF(OR($G199="",$H199="",NOT(ISNUMBER($I199))),"",ROUND($H199*$I199*(1+IF($J199="",Setup!$B$16,$J199)),2))</f>
        <v/>
      </c>
      <c r="L199" s="90">
        <f>IF($K199="","",ROUND($K199*Setup!$B$13,2))</f>
        <v/>
      </c>
      <c r="M199" s="90">
        <f>IF($K199="","",$K199-$L199)</f>
        <v/>
      </c>
      <c r="N199" s="90">
        <f>IF(OR($M199="",$D199=""),"",ROUND($M199*IFERROR(IF(VLOOKUP($D199,Setup!$A$76:$C$87,3,FALSE)="",Setup!$B$14,VLOOKUP($D199,Setup!$A$76:$C$87,3,FALSE)),Setup!$B$14),2))</f>
        <v/>
      </c>
      <c r="O199" s="90">
        <f>IF(OR($M199="",$E199=""),"",ROUND($M199*IFERROR(IF(VLOOKUP($E199,Setup!$A$76:$C$87,3,FALSE)="",Setup!$B$15,VLOOKUP($E199,Setup!$A$76:$C$87,3,FALSE)),Setup!$B$15),2))</f>
        <v/>
      </c>
      <c r="P199" s="92" t="n"/>
      <c r="Q199" s="92" t="n"/>
      <c r="R199" s="92" t="n"/>
      <c r="S199" s="92" t="n"/>
      <c r="T199" s="92" t="n"/>
      <c r="U199" s="90">
        <f>IF($K199="","",SUM($R199:$T199))</f>
        <v/>
      </c>
      <c r="V199" s="90">
        <f>IF($K199="","",$M199-(N($N199)+N($O199)+IF($P199="",Setup!$B$17,$P199)+N($Q199))-N($U199))</f>
        <v/>
      </c>
      <c r="W199" s="87" t="n"/>
      <c r="X199" s="88" t="n"/>
      <c r="Z199" s="93">
        <f>IF($A199="","",DATE(YEAR($A199),MONTH($A199),1))</f>
        <v/>
      </c>
    </row>
    <row r="200">
      <c r="A200" s="94" t="n"/>
      <c r="B200" s="95" t="n"/>
      <c r="C200" s="95" t="n"/>
      <c r="D200" s="96" t="n"/>
      <c r="E200" s="96" t="n"/>
      <c r="F200" s="96" t="n"/>
      <c r="G200" s="96" t="n"/>
      <c r="H200" s="97" t="n"/>
      <c r="I200" s="90">
        <f>IF($G200="","",IF($F200="",IFERROR(INDEX(Setup!$C$21:$C$60,MATCH("|"&amp;UPPER(TRIM($G200)),Setup!$Q$21:$Q$60,0)),"NO RATE"),IFERROR(INDEX(Setup!$C$21:$C$60,MATCH(UPPER(TRIM($F200))&amp;"|"&amp;UPPER(TRIM($G200)),Setup!$P$21:$P$60,0)),IFERROR(INDEX(Setup!$C$21:$C$60,MATCH(UPPER(TRIM($G200))&amp;"|"&amp;UPPER(TRIM($F200)),Setup!$P$21:$P$60,0)),"NO RATE"))))</f>
        <v/>
      </c>
      <c r="J200" s="98" t="n"/>
      <c r="K200" s="90">
        <f>IF(OR($G200="",$H200="",NOT(ISNUMBER($I200))),"",ROUND($H200*$I200*(1+IF($J200="",Setup!$B$16,$J200)),2))</f>
        <v/>
      </c>
      <c r="L200" s="90">
        <f>IF($K200="","",ROUND($K200*Setup!$B$13,2))</f>
        <v/>
      </c>
      <c r="M200" s="90">
        <f>IF($K200="","",$K200-$L200)</f>
        <v/>
      </c>
      <c r="N200" s="90">
        <f>IF(OR($M200="",$D200=""),"",ROUND($M200*IFERROR(IF(VLOOKUP($D200,Setup!$A$76:$C$87,3,FALSE)="",Setup!$B$14,VLOOKUP($D200,Setup!$A$76:$C$87,3,FALSE)),Setup!$B$14),2))</f>
        <v/>
      </c>
      <c r="O200" s="90">
        <f>IF(OR($M200="",$E200=""),"",ROUND($M200*IFERROR(IF(VLOOKUP($E200,Setup!$A$76:$C$87,3,FALSE)="",Setup!$B$15,VLOOKUP($E200,Setup!$A$76:$C$87,3,FALSE)),Setup!$B$15),2))</f>
        <v/>
      </c>
      <c r="P200" s="99" t="n"/>
      <c r="Q200" s="99" t="n"/>
      <c r="R200" s="99" t="n"/>
      <c r="S200" s="99" t="n"/>
      <c r="T200" s="99" t="n"/>
      <c r="U200" s="90">
        <f>IF($K200="","",SUM($R200:$T200))</f>
        <v/>
      </c>
      <c r="V200" s="90">
        <f>IF($K200="","",$M200-(N($N200)+N($O200)+IF($P200="",Setup!$B$17,$P200)+N($Q200))-N($U200))</f>
        <v/>
      </c>
      <c r="W200" s="95" t="n"/>
      <c r="X200" s="96" t="n"/>
      <c r="Z200" s="93">
        <f>IF($A200="","",DATE(YEAR($A200),MONTH($A200),1))</f>
        <v/>
      </c>
    </row>
    <row r="201">
      <c r="A201" s="86" t="n"/>
      <c r="B201" s="87" t="n"/>
      <c r="C201" s="87" t="n"/>
      <c r="D201" s="88" t="n"/>
      <c r="E201" s="88" t="n"/>
      <c r="F201" s="88" t="n"/>
      <c r="G201" s="88" t="n"/>
      <c r="H201" s="89" t="n"/>
      <c r="I201" s="90">
        <f>IF($G201="","",IF($F201="",IFERROR(INDEX(Setup!$C$21:$C$60,MATCH("|"&amp;UPPER(TRIM($G201)),Setup!$Q$21:$Q$60,0)),"NO RATE"),IFERROR(INDEX(Setup!$C$21:$C$60,MATCH(UPPER(TRIM($F201))&amp;"|"&amp;UPPER(TRIM($G201)),Setup!$P$21:$P$60,0)),IFERROR(INDEX(Setup!$C$21:$C$60,MATCH(UPPER(TRIM($G201))&amp;"|"&amp;UPPER(TRIM($F201)),Setup!$P$21:$P$60,0)),"NO RATE"))))</f>
        <v/>
      </c>
      <c r="J201" s="91" t="n"/>
      <c r="K201" s="90">
        <f>IF(OR($G201="",$H201="",NOT(ISNUMBER($I201))),"",ROUND($H201*$I201*(1+IF($J201="",Setup!$B$16,$J201)),2))</f>
        <v/>
      </c>
      <c r="L201" s="90">
        <f>IF($K201="","",ROUND($K201*Setup!$B$13,2))</f>
        <v/>
      </c>
      <c r="M201" s="90">
        <f>IF($K201="","",$K201-$L201)</f>
        <v/>
      </c>
      <c r="N201" s="90">
        <f>IF(OR($M201="",$D201=""),"",ROUND($M201*IFERROR(IF(VLOOKUP($D201,Setup!$A$76:$C$87,3,FALSE)="",Setup!$B$14,VLOOKUP($D201,Setup!$A$76:$C$87,3,FALSE)),Setup!$B$14),2))</f>
        <v/>
      </c>
      <c r="O201" s="90">
        <f>IF(OR($M201="",$E201=""),"",ROUND($M201*IFERROR(IF(VLOOKUP($E201,Setup!$A$76:$C$87,3,FALSE)="",Setup!$B$15,VLOOKUP($E201,Setup!$A$76:$C$87,3,FALSE)),Setup!$B$15),2))</f>
        <v/>
      </c>
      <c r="P201" s="92" t="n"/>
      <c r="Q201" s="92" t="n"/>
      <c r="R201" s="92" t="n"/>
      <c r="S201" s="92" t="n"/>
      <c r="T201" s="92" t="n"/>
      <c r="U201" s="90">
        <f>IF($K201="","",SUM($R201:$T201))</f>
        <v/>
      </c>
      <c r="V201" s="90">
        <f>IF($K201="","",$M201-(N($N201)+N($O201)+IF($P201="",Setup!$B$17,$P201)+N($Q201))-N($U201))</f>
        <v/>
      </c>
      <c r="W201" s="87" t="n"/>
      <c r="X201" s="88" t="n"/>
      <c r="Z201" s="93">
        <f>IF($A201="","",DATE(YEAR($A201),MONTH($A201),1))</f>
        <v/>
      </c>
    </row>
    <row r="202">
      <c r="A202" s="94" t="n"/>
      <c r="B202" s="95" t="n"/>
      <c r="C202" s="95" t="n"/>
      <c r="D202" s="96" t="n"/>
      <c r="E202" s="96" t="n"/>
      <c r="F202" s="96" t="n"/>
      <c r="G202" s="96" t="n"/>
      <c r="H202" s="97" t="n"/>
      <c r="I202" s="90">
        <f>IF($G202="","",IF($F202="",IFERROR(INDEX(Setup!$C$21:$C$60,MATCH("|"&amp;UPPER(TRIM($G202)),Setup!$Q$21:$Q$60,0)),"NO RATE"),IFERROR(INDEX(Setup!$C$21:$C$60,MATCH(UPPER(TRIM($F202))&amp;"|"&amp;UPPER(TRIM($G202)),Setup!$P$21:$P$60,0)),IFERROR(INDEX(Setup!$C$21:$C$60,MATCH(UPPER(TRIM($G202))&amp;"|"&amp;UPPER(TRIM($F202)),Setup!$P$21:$P$60,0)),"NO RATE"))))</f>
        <v/>
      </c>
      <c r="J202" s="98" t="n"/>
      <c r="K202" s="90">
        <f>IF(OR($G202="",$H202="",NOT(ISNUMBER($I202))),"",ROUND($H202*$I202*(1+IF($J202="",Setup!$B$16,$J202)),2))</f>
        <v/>
      </c>
      <c r="L202" s="90">
        <f>IF($K202="","",ROUND($K202*Setup!$B$13,2))</f>
        <v/>
      </c>
      <c r="M202" s="90">
        <f>IF($K202="","",$K202-$L202)</f>
        <v/>
      </c>
      <c r="N202" s="90">
        <f>IF(OR($M202="",$D202=""),"",ROUND($M202*IFERROR(IF(VLOOKUP($D202,Setup!$A$76:$C$87,3,FALSE)="",Setup!$B$14,VLOOKUP($D202,Setup!$A$76:$C$87,3,FALSE)),Setup!$B$14),2))</f>
        <v/>
      </c>
      <c r="O202" s="90">
        <f>IF(OR($M202="",$E202=""),"",ROUND($M202*IFERROR(IF(VLOOKUP($E202,Setup!$A$76:$C$87,3,FALSE)="",Setup!$B$15,VLOOKUP($E202,Setup!$A$76:$C$87,3,FALSE)),Setup!$B$15),2))</f>
        <v/>
      </c>
      <c r="P202" s="99" t="n"/>
      <c r="Q202" s="99" t="n"/>
      <c r="R202" s="99" t="n"/>
      <c r="S202" s="99" t="n"/>
      <c r="T202" s="99" t="n"/>
      <c r="U202" s="90">
        <f>IF($K202="","",SUM($R202:$T202))</f>
        <v/>
      </c>
      <c r="V202" s="90">
        <f>IF($K202="","",$M202-(N($N202)+N($O202)+IF($P202="",Setup!$B$17,$P202)+N($Q202))-N($U202))</f>
        <v/>
      </c>
      <c r="W202" s="95" t="n"/>
      <c r="X202" s="96" t="n"/>
      <c r="Z202" s="93">
        <f>IF($A202="","",DATE(YEAR($A202),MONTH($A202),1))</f>
        <v/>
      </c>
    </row>
    <row r="203">
      <c r="A203" s="86" t="n"/>
      <c r="B203" s="87" t="n"/>
      <c r="C203" s="87" t="n"/>
      <c r="D203" s="88" t="n"/>
      <c r="E203" s="88" t="n"/>
      <c r="F203" s="88" t="n"/>
      <c r="G203" s="88" t="n"/>
      <c r="H203" s="89" t="n"/>
      <c r="I203" s="90">
        <f>IF($G203="","",IF($F203="",IFERROR(INDEX(Setup!$C$21:$C$60,MATCH("|"&amp;UPPER(TRIM($G203)),Setup!$Q$21:$Q$60,0)),"NO RATE"),IFERROR(INDEX(Setup!$C$21:$C$60,MATCH(UPPER(TRIM($F203))&amp;"|"&amp;UPPER(TRIM($G203)),Setup!$P$21:$P$60,0)),IFERROR(INDEX(Setup!$C$21:$C$60,MATCH(UPPER(TRIM($G203))&amp;"|"&amp;UPPER(TRIM($F203)),Setup!$P$21:$P$60,0)),"NO RATE"))))</f>
        <v/>
      </c>
      <c r="J203" s="91" t="n"/>
      <c r="K203" s="90">
        <f>IF(OR($G203="",$H203="",NOT(ISNUMBER($I203))),"",ROUND($H203*$I203*(1+IF($J203="",Setup!$B$16,$J203)),2))</f>
        <v/>
      </c>
      <c r="L203" s="90">
        <f>IF($K203="","",ROUND($K203*Setup!$B$13,2))</f>
        <v/>
      </c>
      <c r="M203" s="90">
        <f>IF($K203="","",$K203-$L203)</f>
        <v/>
      </c>
      <c r="N203" s="90">
        <f>IF(OR($M203="",$D203=""),"",ROUND($M203*IFERROR(IF(VLOOKUP($D203,Setup!$A$76:$C$87,3,FALSE)="",Setup!$B$14,VLOOKUP($D203,Setup!$A$76:$C$87,3,FALSE)),Setup!$B$14),2))</f>
        <v/>
      </c>
      <c r="O203" s="90">
        <f>IF(OR($M203="",$E203=""),"",ROUND($M203*IFERROR(IF(VLOOKUP($E203,Setup!$A$76:$C$87,3,FALSE)="",Setup!$B$15,VLOOKUP($E203,Setup!$A$76:$C$87,3,FALSE)),Setup!$B$15),2))</f>
        <v/>
      </c>
      <c r="P203" s="92" t="n"/>
      <c r="Q203" s="92" t="n"/>
      <c r="R203" s="92" t="n"/>
      <c r="S203" s="92" t="n"/>
      <c r="T203" s="92" t="n"/>
      <c r="U203" s="90">
        <f>IF($K203="","",SUM($R203:$T203))</f>
        <v/>
      </c>
      <c r="V203" s="90">
        <f>IF($K203="","",$M203-(N($N203)+N($O203)+IF($P203="",Setup!$B$17,$P203)+N($Q203))-N($U203))</f>
        <v/>
      </c>
      <c r="W203" s="87" t="n"/>
      <c r="X203" s="88" t="n"/>
      <c r="Z203" s="93">
        <f>IF($A203="","",DATE(YEAR($A203),MONTH($A203),1))</f>
        <v/>
      </c>
    </row>
    <row r="204">
      <c r="A204" s="94" t="n"/>
      <c r="B204" s="95" t="n"/>
      <c r="C204" s="95" t="n"/>
      <c r="D204" s="96" t="n"/>
      <c r="E204" s="96" t="n"/>
      <c r="F204" s="96" t="n"/>
      <c r="G204" s="96" t="n"/>
      <c r="H204" s="97" t="n"/>
      <c r="I204" s="90">
        <f>IF($G204="","",IF($F204="",IFERROR(INDEX(Setup!$C$21:$C$60,MATCH("|"&amp;UPPER(TRIM($G204)),Setup!$Q$21:$Q$60,0)),"NO RATE"),IFERROR(INDEX(Setup!$C$21:$C$60,MATCH(UPPER(TRIM($F204))&amp;"|"&amp;UPPER(TRIM($G204)),Setup!$P$21:$P$60,0)),IFERROR(INDEX(Setup!$C$21:$C$60,MATCH(UPPER(TRIM($G204))&amp;"|"&amp;UPPER(TRIM($F204)),Setup!$P$21:$P$60,0)),"NO RATE"))))</f>
        <v/>
      </c>
      <c r="J204" s="98" t="n"/>
      <c r="K204" s="90">
        <f>IF(OR($G204="",$H204="",NOT(ISNUMBER($I204))),"",ROUND($H204*$I204*(1+IF($J204="",Setup!$B$16,$J204)),2))</f>
        <v/>
      </c>
      <c r="L204" s="90">
        <f>IF($K204="","",ROUND($K204*Setup!$B$13,2))</f>
        <v/>
      </c>
      <c r="M204" s="90">
        <f>IF($K204="","",$K204-$L204)</f>
        <v/>
      </c>
      <c r="N204" s="90">
        <f>IF(OR($M204="",$D204=""),"",ROUND($M204*IFERROR(IF(VLOOKUP($D204,Setup!$A$76:$C$87,3,FALSE)="",Setup!$B$14,VLOOKUP($D204,Setup!$A$76:$C$87,3,FALSE)),Setup!$B$14),2))</f>
        <v/>
      </c>
      <c r="O204" s="90">
        <f>IF(OR($M204="",$E204=""),"",ROUND($M204*IFERROR(IF(VLOOKUP($E204,Setup!$A$76:$C$87,3,FALSE)="",Setup!$B$15,VLOOKUP($E204,Setup!$A$76:$C$87,3,FALSE)),Setup!$B$15),2))</f>
        <v/>
      </c>
      <c r="P204" s="99" t="n"/>
      <c r="Q204" s="99" t="n"/>
      <c r="R204" s="99" t="n"/>
      <c r="S204" s="99" t="n"/>
      <c r="T204" s="99" t="n"/>
      <c r="U204" s="90">
        <f>IF($K204="","",SUM($R204:$T204))</f>
        <v/>
      </c>
      <c r="V204" s="90">
        <f>IF($K204="","",$M204-(N($N204)+N($O204)+IF($P204="",Setup!$B$17,$P204)+N($Q204))-N($U204))</f>
        <v/>
      </c>
      <c r="W204" s="95" t="n"/>
      <c r="X204" s="96" t="n"/>
      <c r="Z204" s="93">
        <f>IF($A204="","",DATE(YEAR($A204),MONTH($A204),1))</f>
        <v/>
      </c>
    </row>
    <row r="205">
      <c r="A205" s="86" t="n"/>
      <c r="B205" s="87" t="n"/>
      <c r="C205" s="87" t="n"/>
      <c r="D205" s="88" t="n"/>
      <c r="E205" s="88" t="n"/>
      <c r="F205" s="88" t="n"/>
      <c r="G205" s="88" t="n"/>
      <c r="H205" s="89" t="n"/>
      <c r="I205" s="90">
        <f>IF($G205="","",IF($F205="",IFERROR(INDEX(Setup!$C$21:$C$60,MATCH("|"&amp;UPPER(TRIM($G205)),Setup!$Q$21:$Q$60,0)),"NO RATE"),IFERROR(INDEX(Setup!$C$21:$C$60,MATCH(UPPER(TRIM($F205))&amp;"|"&amp;UPPER(TRIM($G205)),Setup!$P$21:$P$60,0)),IFERROR(INDEX(Setup!$C$21:$C$60,MATCH(UPPER(TRIM($G205))&amp;"|"&amp;UPPER(TRIM($F205)),Setup!$P$21:$P$60,0)),"NO RATE"))))</f>
        <v/>
      </c>
      <c r="J205" s="91" t="n"/>
      <c r="K205" s="90">
        <f>IF(OR($G205="",$H205="",NOT(ISNUMBER($I205))),"",ROUND($H205*$I205*(1+IF($J205="",Setup!$B$16,$J205)),2))</f>
        <v/>
      </c>
      <c r="L205" s="90">
        <f>IF($K205="","",ROUND($K205*Setup!$B$13,2))</f>
        <v/>
      </c>
      <c r="M205" s="90">
        <f>IF($K205="","",$K205-$L205)</f>
        <v/>
      </c>
      <c r="N205" s="90">
        <f>IF(OR($M205="",$D205=""),"",ROUND($M205*IFERROR(IF(VLOOKUP($D205,Setup!$A$76:$C$87,3,FALSE)="",Setup!$B$14,VLOOKUP($D205,Setup!$A$76:$C$87,3,FALSE)),Setup!$B$14),2))</f>
        <v/>
      </c>
      <c r="O205" s="90">
        <f>IF(OR($M205="",$E205=""),"",ROUND($M205*IFERROR(IF(VLOOKUP($E205,Setup!$A$76:$C$87,3,FALSE)="",Setup!$B$15,VLOOKUP($E205,Setup!$A$76:$C$87,3,FALSE)),Setup!$B$15),2))</f>
        <v/>
      </c>
      <c r="P205" s="92" t="n"/>
      <c r="Q205" s="92" t="n"/>
      <c r="R205" s="92" t="n"/>
      <c r="S205" s="92" t="n"/>
      <c r="T205" s="92" t="n"/>
      <c r="U205" s="90">
        <f>IF($K205="","",SUM($R205:$T205))</f>
        <v/>
      </c>
      <c r="V205" s="90">
        <f>IF($K205="","",$M205-(N($N205)+N($O205)+IF($P205="",Setup!$B$17,$P205)+N($Q205))-N($U205))</f>
        <v/>
      </c>
      <c r="W205" s="87" t="n"/>
      <c r="X205" s="88" t="n"/>
      <c r="Z205" s="93">
        <f>IF($A205="","",DATE(YEAR($A205),MONTH($A205),1))</f>
        <v/>
      </c>
    </row>
    <row r="206">
      <c r="A206" s="94" t="n"/>
      <c r="B206" s="95" t="n"/>
      <c r="C206" s="95" t="n"/>
      <c r="D206" s="96" t="n"/>
      <c r="E206" s="96" t="n"/>
      <c r="F206" s="96" t="n"/>
      <c r="G206" s="96" t="n"/>
      <c r="H206" s="97" t="n"/>
      <c r="I206" s="90">
        <f>IF($G206="","",IF($F206="",IFERROR(INDEX(Setup!$C$21:$C$60,MATCH("|"&amp;UPPER(TRIM($G206)),Setup!$Q$21:$Q$60,0)),"NO RATE"),IFERROR(INDEX(Setup!$C$21:$C$60,MATCH(UPPER(TRIM($F206))&amp;"|"&amp;UPPER(TRIM($G206)),Setup!$P$21:$P$60,0)),IFERROR(INDEX(Setup!$C$21:$C$60,MATCH(UPPER(TRIM($G206))&amp;"|"&amp;UPPER(TRIM($F206)),Setup!$P$21:$P$60,0)),"NO RATE"))))</f>
        <v/>
      </c>
      <c r="J206" s="98" t="n"/>
      <c r="K206" s="90">
        <f>IF(OR($G206="",$H206="",NOT(ISNUMBER($I206))),"",ROUND($H206*$I206*(1+IF($J206="",Setup!$B$16,$J206)),2))</f>
        <v/>
      </c>
      <c r="L206" s="90">
        <f>IF($K206="","",ROUND($K206*Setup!$B$13,2))</f>
        <v/>
      </c>
      <c r="M206" s="90">
        <f>IF($K206="","",$K206-$L206)</f>
        <v/>
      </c>
      <c r="N206" s="90">
        <f>IF(OR($M206="",$D206=""),"",ROUND($M206*IFERROR(IF(VLOOKUP($D206,Setup!$A$76:$C$87,3,FALSE)="",Setup!$B$14,VLOOKUP($D206,Setup!$A$76:$C$87,3,FALSE)),Setup!$B$14),2))</f>
        <v/>
      </c>
      <c r="O206" s="90">
        <f>IF(OR($M206="",$E206=""),"",ROUND($M206*IFERROR(IF(VLOOKUP($E206,Setup!$A$76:$C$87,3,FALSE)="",Setup!$B$15,VLOOKUP($E206,Setup!$A$76:$C$87,3,FALSE)),Setup!$B$15),2))</f>
        <v/>
      </c>
      <c r="P206" s="99" t="n"/>
      <c r="Q206" s="99" t="n"/>
      <c r="R206" s="99" t="n"/>
      <c r="S206" s="99" t="n"/>
      <c r="T206" s="99" t="n"/>
      <c r="U206" s="90">
        <f>IF($K206="","",SUM($R206:$T206))</f>
        <v/>
      </c>
      <c r="V206" s="90">
        <f>IF($K206="","",$M206-(N($N206)+N($O206)+IF($P206="",Setup!$B$17,$P206)+N($Q206))-N($U206))</f>
        <v/>
      </c>
      <c r="W206" s="95" t="n"/>
      <c r="X206" s="96" t="n"/>
      <c r="Z206" s="93">
        <f>IF($A206="","",DATE(YEAR($A206),MONTH($A206),1))</f>
        <v/>
      </c>
    </row>
    <row r="207">
      <c r="A207" s="86" t="n"/>
      <c r="B207" s="87" t="n"/>
      <c r="C207" s="87" t="n"/>
      <c r="D207" s="88" t="n"/>
      <c r="E207" s="88" t="n"/>
      <c r="F207" s="88" t="n"/>
      <c r="G207" s="88" t="n"/>
      <c r="H207" s="89" t="n"/>
      <c r="I207" s="90">
        <f>IF($G207="","",IF($F207="",IFERROR(INDEX(Setup!$C$21:$C$60,MATCH("|"&amp;UPPER(TRIM($G207)),Setup!$Q$21:$Q$60,0)),"NO RATE"),IFERROR(INDEX(Setup!$C$21:$C$60,MATCH(UPPER(TRIM($F207))&amp;"|"&amp;UPPER(TRIM($G207)),Setup!$P$21:$P$60,0)),IFERROR(INDEX(Setup!$C$21:$C$60,MATCH(UPPER(TRIM($G207))&amp;"|"&amp;UPPER(TRIM($F207)),Setup!$P$21:$P$60,0)),"NO RATE"))))</f>
        <v/>
      </c>
      <c r="J207" s="91" t="n"/>
      <c r="K207" s="90">
        <f>IF(OR($G207="",$H207="",NOT(ISNUMBER($I207))),"",ROUND($H207*$I207*(1+IF($J207="",Setup!$B$16,$J207)),2))</f>
        <v/>
      </c>
      <c r="L207" s="90">
        <f>IF($K207="","",ROUND($K207*Setup!$B$13,2))</f>
        <v/>
      </c>
      <c r="M207" s="90">
        <f>IF($K207="","",$K207-$L207)</f>
        <v/>
      </c>
      <c r="N207" s="90">
        <f>IF(OR($M207="",$D207=""),"",ROUND($M207*IFERROR(IF(VLOOKUP($D207,Setup!$A$76:$C$87,3,FALSE)="",Setup!$B$14,VLOOKUP($D207,Setup!$A$76:$C$87,3,FALSE)),Setup!$B$14),2))</f>
        <v/>
      </c>
      <c r="O207" s="90">
        <f>IF(OR($M207="",$E207=""),"",ROUND($M207*IFERROR(IF(VLOOKUP($E207,Setup!$A$76:$C$87,3,FALSE)="",Setup!$B$15,VLOOKUP($E207,Setup!$A$76:$C$87,3,FALSE)),Setup!$B$15),2))</f>
        <v/>
      </c>
      <c r="P207" s="92" t="n"/>
      <c r="Q207" s="92" t="n"/>
      <c r="R207" s="92" t="n"/>
      <c r="S207" s="92" t="n"/>
      <c r="T207" s="92" t="n"/>
      <c r="U207" s="90">
        <f>IF($K207="","",SUM($R207:$T207))</f>
        <v/>
      </c>
      <c r="V207" s="90">
        <f>IF($K207="","",$M207-(N($N207)+N($O207)+IF($P207="",Setup!$B$17,$P207)+N($Q207))-N($U207))</f>
        <v/>
      </c>
      <c r="W207" s="87" t="n"/>
      <c r="X207" s="88" t="n"/>
      <c r="Z207" s="93">
        <f>IF($A207="","",DATE(YEAR($A207),MONTH($A207),1))</f>
        <v/>
      </c>
    </row>
    <row r="208">
      <c r="A208" s="94" t="n"/>
      <c r="B208" s="95" t="n"/>
      <c r="C208" s="95" t="n"/>
      <c r="D208" s="96" t="n"/>
      <c r="E208" s="96" t="n"/>
      <c r="F208" s="96" t="n"/>
      <c r="G208" s="96" t="n"/>
      <c r="H208" s="97" t="n"/>
      <c r="I208" s="90">
        <f>IF($G208="","",IF($F208="",IFERROR(INDEX(Setup!$C$21:$C$60,MATCH("|"&amp;UPPER(TRIM($G208)),Setup!$Q$21:$Q$60,0)),"NO RATE"),IFERROR(INDEX(Setup!$C$21:$C$60,MATCH(UPPER(TRIM($F208))&amp;"|"&amp;UPPER(TRIM($G208)),Setup!$P$21:$P$60,0)),IFERROR(INDEX(Setup!$C$21:$C$60,MATCH(UPPER(TRIM($G208))&amp;"|"&amp;UPPER(TRIM($F208)),Setup!$P$21:$P$60,0)),"NO RATE"))))</f>
        <v/>
      </c>
      <c r="J208" s="98" t="n"/>
      <c r="K208" s="90">
        <f>IF(OR($G208="",$H208="",NOT(ISNUMBER($I208))),"",ROUND($H208*$I208*(1+IF($J208="",Setup!$B$16,$J208)),2))</f>
        <v/>
      </c>
      <c r="L208" s="90">
        <f>IF($K208="","",ROUND($K208*Setup!$B$13,2))</f>
        <v/>
      </c>
      <c r="M208" s="90">
        <f>IF($K208="","",$K208-$L208)</f>
        <v/>
      </c>
      <c r="N208" s="90">
        <f>IF(OR($M208="",$D208=""),"",ROUND($M208*IFERROR(IF(VLOOKUP($D208,Setup!$A$76:$C$87,3,FALSE)="",Setup!$B$14,VLOOKUP($D208,Setup!$A$76:$C$87,3,FALSE)),Setup!$B$14),2))</f>
        <v/>
      </c>
      <c r="O208" s="90">
        <f>IF(OR($M208="",$E208=""),"",ROUND($M208*IFERROR(IF(VLOOKUP($E208,Setup!$A$76:$C$87,3,FALSE)="",Setup!$B$15,VLOOKUP($E208,Setup!$A$76:$C$87,3,FALSE)),Setup!$B$15),2))</f>
        <v/>
      </c>
      <c r="P208" s="99" t="n"/>
      <c r="Q208" s="99" t="n"/>
      <c r="R208" s="99" t="n"/>
      <c r="S208" s="99" t="n"/>
      <c r="T208" s="99" t="n"/>
      <c r="U208" s="90">
        <f>IF($K208="","",SUM($R208:$T208))</f>
        <v/>
      </c>
      <c r="V208" s="90">
        <f>IF($K208="","",$M208-(N($N208)+N($O208)+IF($P208="",Setup!$B$17,$P208)+N($Q208))-N($U208))</f>
        <v/>
      </c>
      <c r="W208" s="95" t="n"/>
      <c r="X208" s="96" t="n"/>
      <c r="Z208" s="93">
        <f>IF($A208="","",DATE(YEAR($A208),MONTH($A208),1))</f>
        <v/>
      </c>
    </row>
    <row r="209">
      <c r="A209" s="86" t="n"/>
      <c r="B209" s="87" t="n"/>
      <c r="C209" s="87" t="n"/>
      <c r="D209" s="88" t="n"/>
      <c r="E209" s="88" t="n"/>
      <c r="F209" s="88" t="n"/>
      <c r="G209" s="88" t="n"/>
      <c r="H209" s="89" t="n"/>
      <c r="I209" s="90">
        <f>IF($G209="","",IF($F209="",IFERROR(INDEX(Setup!$C$21:$C$60,MATCH("|"&amp;UPPER(TRIM($G209)),Setup!$Q$21:$Q$60,0)),"NO RATE"),IFERROR(INDEX(Setup!$C$21:$C$60,MATCH(UPPER(TRIM($F209))&amp;"|"&amp;UPPER(TRIM($G209)),Setup!$P$21:$P$60,0)),IFERROR(INDEX(Setup!$C$21:$C$60,MATCH(UPPER(TRIM($G209))&amp;"|"&amp;UPPER(TRIM($F209)),Setup!$P$21:$P$60,0)),"NO RATE"))))</f>
        <v/>
      </c>
      <c r="J209" s="91" t="n"/>
      <c r="K209" s="90">
        <f>IF(OR($G209="",$H209="",NOT(ISNUMBER($I209))),"",ROUND($H209*$I209*(1+IF($J209="",Setup!$B$16,$J209)),2))</f>
        <v/>
      </c>
      <c r="L209" s="90">
        <f>IF($K209="","",ROUND($K209*Setup!$B$13,2))</f>
        <v/>
      </c>
      <c r="M209" s="90">
        <f>IF($K209="","",$K209-$L209)</f>
        <v/>
      </c>
      <c r="N209" s="90">
        <f>IF(OR($M209="",$D209=""),"",ROUND($M209*IFERROR(IF(VLOOKUP($D209,Setup!$A$76:$C$87,3,FALSE)="",Setup!$B$14,VLOOKUP($D209,Setup!$A$76:$C$87,3,FALSE)),Setup!$B$14),2))</f>
        <v/>
      </c>
      <c r="O209" s="90">
        <f>IF(OR($M209="",$E209=""),"",ROUND($M209*IFERROR(IF(VLOOKUP($E209,Setup!$A$76:$C$87,3,FALSE)="",Setup!$B$15,VLOOKUP($E209,Setup!$A$76:$C$87,3,FALSE)),Setup!$B$15),2))</f>
        <v/>
      </c>
      <c r="P209" s="92" t="n"/>
      <c r="Q209" s="92" t="n"/>
      <c r="R209" s="92" t="n"/>
      <c r="S209" s="92" t="n"/>
      <c r="T209" s="92" t="n"/>
      <c r="U209" s="90">
        <f>IF($K209="","",SUM($R209:$T209))</f>
        <v/>
      </c>
      <c r="V209" s="90">
        <f>IF($K209="","",$M209-(N($N209)+N($O209)+IF($P209="",Setup!$B$17,$P209)+N($Q209))-N($U209))</f>
        <v/>
      </c>
      <c r="W209" s="87" t="n"/>
      <c r="X209" s="88" t="n"/>
      <c r="Z209" s="93">
        <f>IF($A209="","",DATE(YEAR($A209),MONTH($A209),1))</f>
        <v/>
      </c>
    </row>
    <row r="210">
      <c r="A210" s="94" t="n"/>
      <c r="B210" s="95" t="n"/>
      <c r="C210" s="95" t="n"/>
      <c r="D210" s="96" t="n"/>
      <c r="E210" s="96" t="n"/>
      <c r="F210" s="96" t="n"/>
      <c r="G210" s="96" t="n"/>
      <c r="H210" s="97" t="n"/>
      <c r="I210" s="90">
        <f>IF($G210="","",IF($F210="",IFERROR(INDEX(Setup!$C$21:$C$60,MATCH("|"&amp;UPPER(TRIM($G210)),Setup!$Q$21:$Q$60,0)),"NO RATE"),IFERROR(INDEX(Setup!$C$21:$C$60,MATCH(UPPER(TRIM($F210))&amp;"|"&amp;UPPER(TRIM($G210)),Setup!$P$21:$P$60,0)),IFERROR(INDEX(Setup!$C$21:$C$60,MATCH(UPPER(TRIM($G210))&amp;"|"&amp;UPPER(TRIM($F210)),Setup!$P$21:$P$60,0)),"NO RATE"))))</f>
        <v/>
      </c>
      <c r="J210" s="98" t="n"/>
      <c r="K210" s="90">
        <f>IF(OR($G210="",$H210="",NOT(ISNUMBER($I210))),"",ROUND($H210*$I210*(1+IF($J210="",Setup!$B$16,$J210)),2))</f>
        <v/>
      </c>
      <c r="L210" s="90">
        <f>IF($K210="","",ROUND($K210*Setup!$B$13,2))</f>
        <v/>
      </c>
      <c r="M210" s="90">
        <f>IF($K210="","",$K210-$L210)</f>
        <v/>
      </c>
      <c r="N210" s="90">
        <f>IF(OR($M210="",$D210=""),"",ROUND($M210*IFERROR(IF(VLOOKUP($D210,Setup!$A$76:$C$87,3,FALSE)="",Setup!$B$14,VLOOKUP($D210,Setup!$A$76:$C$87,3,FALSE)),Setup!$B$14),2))</f>
        <v/>
      </c>
      <c r="O210" s="90">
        <f>IF(OR($M210="",$E210=""),"",ROUND($M210*IFERROR(IF(VLOOKUP($E210,Setup!$A$76:$C$87,3,FALSE)="",Setup!$B$15,VLOOKUP($E210,Setup!$A$76:$C$87,3,FALSE)),Setup!$B$15),2))</f>
        <v/>
      </c>
      <c r="P210" s="99" t="n"/>
      <c r="Q210" s="99" t="n"/>
      <c r="R210" s="99" t="n"/>
      <c r="S210" s="99" t="n"/>
      <c r="T210" s="99" t="n"/>
      <c r="U210" s="90">
        <f>IF($K210="","",SUM($R210:$T210))</f>
        <v/>
      </c>
      <c r="V210" s="90">
        <f>IF($K210="","",$M210-(N($N210)+N($O210)+IF($P210="",Setup!$B$17,$P210)+N($Q210))-N($U210))</f>
        <v/>
      </c>
      <c r="W210" s="95" t="n"/>
      <c r="X210" s="96" t="n"/>
      <c r="Z210" s="93">
        <f>IF($A210="","",DATE(YEAR($A210),MONTH($A210),1))</f>
        <v/>
      </c>
    </row>
    <row r="211">
      <c r="A211" s="86" t="n"/>
      <c r="B211" s="87" t="n"/>
      <c r="C211" s="87" t="n"/>
      <c r="D211" s="88" t="n"/>
      <c r="E211" s="88" t="n"/>
      <c r="F211" s="88" t="n"/>
      <c r="G211" s="88" t="n"/>
      <c r="H211" s="89" t="n"/>
      <c r="I211" s="90">
        <f>IF($G211="","",IF($F211="",IFERROR(INDEX(Setup!$C$21:$C$60,MATCH("|"&amp;UPPER(TRIM($G211)),Setup!$Q$21:$Q$60,0)),"NO RATE"),IFERROR(INDEX(Setup!$C$21:$C$60,MATCH(UPPER(TRIM($F211))&amp;"|"&amp;UPPER(TRIM($G211)),Setup!$P$21:$P$60,0)),IFERROR(INDEX(Setup!$C$21:$C$60,MATCH(UPPER(TRIM($G211))&amp;"|"&amp;UPPER(TRIM($F211)),Setup!$P$21:$P$60,0)),"NO RATE"))))</f>
        <v/>
      </c>
      <c r="J211" s="91" t="n"/>
      <c r="K211" s="90">
        <f>IF(OR($G211="",$H211="",NOT(ISNUMBER($I211))),"",ROUND($H211*$I211*(1+IF($J211="",Setup!$B$16,$J211)),2))</f>
        <v/>
      </c>
      <c r="L211" s="90">
        <f>IF($K211="","",ROUND($K211*Setup!$B$13,2))</f>
        <v/>
      </c>
      <c r="M211" s="90">
        <f>IF($K211="","",$K211-$L211)</f>
        <v/>
      </c>
      <c r="N211" s="90">
        <f>IF(OR($M211="",$D211=""),"",ROUND($M211*IFERROR(IF(VLOOKUP($D211,Setup!$A$76:$C$87,3,FALSE)="",Setup!$B$14,VLOOKUP($D211,Setup!$A$76:$C$87,3,FALSE)),Setup!$B$14),2))</f>
        <v/>
      </c>
      <c r="O211" s="90">
        <f>IF(OR($M211="",$E211=""),"",ROUND($M211*IFERROR(IF(VLOOKUP($E211,Setup!$A$76:$C$87,3,FALSE)="",Setup!$B$15,VLOOKUP($E211,Setup!$A$76:$C$87,3,FALSE)),Setup!$B$15),2))</f>
        <v/>
      </c>
      <c r="P211" s="92" t="n"/>
      <c r="Q211" s="92" t="n"/>
      <c r="R211" s="92" t="n"/>
      <c r="S211" s="92" t="n"/>
      <c r="T211" s="92" t="n"/>
      <c r="U211" s="90">
        <f>IF($K211="","",SUM($R211:$T211))</f>
        <v/>
      </c>
      <c r="V211" s="90">
        <f>IF($K211="","",$M211-(N($N211)+N($O211)+IF($P211="",Setup!$B$17,$P211)+N($Q211))-N($U211))</f>
        <v/>
      </c>
      <c r="W211" s="87" t="n"/>
      <c r="X211" s="88" t="n"/>
      <c r="Z211" s="93">
        <f>IF($A211="","",DATE(YEAR($A211),MONTH($A211),1))</f>
        <v/>
      </c>
    </row>
    <row r="212">
      <c r="A212" s="94" t="n"/>
      <c r="B212" s="95" t="n"/>
      <c r="C212" s="95" t="n"/>
      <c r="D212" s="96" t="n"/>
      <c r="E212" s="96" t="n"/>
      <c r="F212" s="96" t="n"/>
      <c r="G212" s="96" t="n"/>
      <c r="H212" s="97" t="n"/>
      <c r="I212" s="90">
        <f>IF($G212="","",IF($F212="",IFERROR(INDEX(Setup!$C$21:$C$60,MATCH("|"&amp;UPPER(TRIM($G212)),Setup!$Q$21:$Q$60,0)),"NO RATE"),IFERROR(INDEX(Setup!$C$21:$C$60,MATCH(UPPER(TRIM($F212))&amp;"|"&amp;UPPER(TRIM($G212)),Setup!$P$21:$P$60,0)),IFERROR(INDEX(Setup!$C$21:$C$60,MATCH(UPPER(TRIM($G212))&amp;"|"&amp;UPPER(TRIM($F212)),Setup!$P$21:$P$60,0)),"NO RATE"))))</f>
        <v/>
      </c>
      <c r="J212" s="98" t="n"/>
      <c r="K212" s="90">
        <f>IF(OR($G212="",$H212="",NOT(ISNUMBER($I212))),"",ROUND($H212*$I212*(1+IF($J212="",Setup!$B$16,$J212)),2))</f>
        <v/>
      </c>
      <c r="L212" s="90">
        <f>IF($K212="","",ROUND($K212*Setup!$B$13,2))</f>
        <v/>
      </c>
      <c r="M212" s="90">
        <f>IF($K212="","",$K212-$L212)</f>
        <v/>
      </c>
      <c r="N212" s="90">
        <f>IF(OR($M212="",$D212=""),"",ROUND($M212*IFERROR(IF(VLOOKUP($D212,Setup!$A$76:$C$87,3,FALSE)="",Setup!$B$14,VLOOKUP($D212,Setup!$A$76:$C$87,3,FALSE)),Setup!$B$14),2))</f>
        <v/>
      </c>
      <c r="O212" s="90">
        <f>IF(OR($M212="",$E212=""),"",ROUND($M212*IFERROR(IF(VLOOKUP($E212,Setup!$A$76:$C$87,3,FALSE)="",Setup!$B$15,VLOOKUP($E212,Setup!$A$76:$C$87,3,FALSE)),Setup!$B$15),2))</f>
        <v/>
      </c>
      <c r="P212" s="99" t="n"/>
      <c r="Q212" s="99" t="n"/>
      <c r="R212" s="99" t="n"/>
      <c r="S212" s="99" t="n"/>
      <c r="T212" s="99" t="n"/>
      <c r="U212" s="90">
        <f>IF($K212="","",SUM($R212:$T212))</f>
        <v/>
      </c>
      <c r="V212" s="90">
        <f>IF($K212="","",$M212-(N($N212)+N($O212)+IF($P212="",Setup!$B$17,$P212)+N($Q212))-N($U212))</f>
        <v/>
      </c>
      <c r="W212" s="95" t="n"/>
      <c r="X212" s="96" t="n"/>
      <c r="Z212" s="93">
        <f>IF($A212="","",DATE(YEAR($A212),MONTH($A212),1))</f>
        <v/>
      </c>
    </row>
    <row r="213">
      <c r="A213" s="86" t="n"/>
      <c r="B213" s="87" t="n"/>
      <c r="C213" s="87" t="n"/>
      <c r="D213" s="88" t="n"/>
      <c r="E213" s="88" t="n"/>
      <c r="F213" s="88" t="n"/>
      <c r="G213" s="88" t="n"/>
      <c r="H213" s="89" t="n"/>
      <c r="I213" s="90">
        <f>IF($G213="","",IF($F213="",IFERROR(INDEX(Setup!$C$21:$C$60,MATCH("|"&amp;UPPER(TRIM($G213)),Setup!$Q$21:$Q$60,0)),"NO RATE"),IFERROR(INDEX(Setup!$C$21:$C$60,MATCH(UPPER(TRIM($F213))&amp;"|"&amp;UPPER(TRIM($G213)),Setup!$P$21:$P$60,0)),IFERROR(INDEX(Setup!$C$21:$C$60,MATCH(UPPER(TRIM($G213))&amp;"|"&amp;UPPER(TRIM($F213)),Setup!$P$21:$P$60,0)),"NO RATE"))))</f>
        <v/>
      </c>
      <c r="J213" s="91" t="n"/>
      <c r="K213" s="90">
        <f>IF(OR($G213="",$H213="",NOT(ISNUMBER($I213))),"",ROUND($H213*$I213*(1+IF($J213="",Setup!$B$16,$J213)),2))</f>
        <v/>
      </c>
      <c r="L213" s="90">
        <f>IF($K213="","",ROUND($K213*Setup!$B$13,2))</f>
        <v/>
      </c>
      <c r="M213" s="90">
        <f>IF($K213="","",$K213-$L213)</f>
        <v/>
      </c>
      <c r="N213" s="90">
        <f>IF(OR($M213="",$D213=""),"",ROUND($M213*IFERROR(IF(VLOOKUP($D213,Setup!$A$76:$C$87,3,FALSE)="",Setup!$B$14,VLOOKUP($D213,Setup!$A$76:$C$87,3,FALSE)),Setup!$B$14),2))</f>
        <v/>
      </c>
      <c r="O213" s="90">
        <f>IF(OR($M213="",$E213=""),"",ROUND($M213*IFERROR(IF(VLOOKUP($E213,Setup!$A$76:$C$87,3,FALSE)="",Setup!$B$15,VLOOKUP($E213,Setup!$A$76:$C$87,3,FALSE)),Setup!$B$15),2))</f>
        <v/>
      </c>
      <c r="P213" s="92" t="n"/>
      <c r="Q213" s="92" t="n"/>
      <c r="R213" s="92" t="n"/>
      <c r="S213" s="92" t="n"/>
      <c r="T213" s="92" t="n"/>
      <c r="U213" s="90">
        <f>IF($K213="","",SUM($R213:$T213))</f>
        <v/>
      </c>
      <c r="V213" s="90">
        <f>IF($K213="","",$M213-(N($N213)+N($O213)+IF($P213="",Setup!$B$17,$P213)+N($Q213))-N($U213))</f>
        <v/>
      </c>
      <c r="W213" s="87" t="n"/>
      <c r="X213" s="88" t="n"/>
      <c r="Z213" s="93">
        <f>IF($A213="","",DATE(YEAR($A213),MONTH($A213),1))</f>
        <v/>
      </c>
    </row>
    <row r="214">
      <c r="A214" s="94" t="n"/>
      <c r="B214" s="95" t="n"/>
      <c r="C214" s="95" t="n"/>
      <c r="D214" s="96" t="n"/>
      <c r="E214" s="96" t="n"/>
      <c r="F214" s="96" t="n"/>
      <c r="G214" s="96" t="n"/>
      <c r="H214" s="97" t="n"/>
      <c r="I214" s="90">
        <f>IF($G214="","",IF($F214="",IFERROR(INDEX(Setup!$C$21:$C$60,MATCH("|"&amp;UPPER(TRIM($G214)),Setup!$Q$21:$Q$60,0)),"NO RATE"),IFERROR(INDEX(Setup!$C$21:$C$60,MATCH(UPPER(TRIM($F214))&amp;"|"&amp;UPPER(TRIM($G214)),Setup!$P$21:$P$60,0)),IFERROR(INDEX(Setup!$C$21:$C$60,MATCH(UPPER(TRIM($G214))&amp;"|"&amp;UPPER(TRIM($F214)),Setup!$P$21:$P$60,0)),"NO RATE"))))</f>
        <v/>
      </c>
      <c r="J214" s="98" t="n"/>
      <c r="K214" s="90">
        <f>IF(OR($G214="",$H214="",NOT(ISNUMBER($I214))),"",ROUND($H214*$I214*(1+IF($J214="",Setup!$B$16,$J214)),2))</f>
        <v/>
      </c>
      <c r="L214" s="90">
        <f>IF($K214="","",ROUND($K214*Setup!$B$13,2))</f>
        <v/>
      </c>
      <c r="M214" s="90">
        <f>IF($K214="","",$K214-$L214)</f>
        <v/>
      </c>
      <c r="N214" s="90">
        <f>IF(OR($M214="",$D214=""),"",ROUND($M214*IFERROR(IF(VLOOKUP($D214,Setup!$A$76:$C$87,3,FALSE)="",Setup!$B$14,VLOOKUP($D214,Setup!$A$76:$C$87,3,FALSE)),Setup!$B$14),2))</f>
        <v/>
      </c>
      <c r="O214" s="90">
        <f>IF(OR($M214="",$E214=""),"",ROUND($M214*IFERROR(IF(VLOOKUP($E214,Setup!$A$76:$C$87,3,FALSE)="",Setup!$B$15,VLOOKUP($E214,Setup!$A$76:$C$87,3,FALSE)),Setup!$B$15),2))</f>
        <v/>
      </c>
      <c r="P214" s="99" t="n"/>
      <c r="Q214" s="99" t="n"/>
      <c r="R214" s="99" t="n"/>
      <c r="S214" s="99" t="n"/>
      <c r="T214" s="99" t="n"/>
      <c r="U214" s="90">
        <f>IF($K214="","",SUM($R214:$T214))</f>
        <v/>
      </c>
      <c r="V214" s="90">
        <f>IF($K214="","",$M214-(N($N214)+N($O214)+IF($P214="",Setup!$B$17,$P214)+N($Q214))-N($U214))</f>
        <v/>
      </c>
      <c r="W214" s="95" t="n"/>
      <c r="X214" s="96" t="n"/>
      <c r="Z214" s="93">
        <f>IF($A214="","",DATE(YEAR($A214),MONTH($A214),1))</f>
        <v/>
      </c>
    </row>
    <row r="215">
      <c r="A215" s="86" t="n"/>
      <c r="B215" s="87" t="n"/>
      <c r="C215" s="87" t="n"/>
      <c r="D215" s="88" t="n"/>
      <c r="E215" s="88" t="n"/>
      <c r="F215" s="88" t="n"/>
      <c r="G215" s="88" t="n"/>
      <c r="H215" s="89" t="n"/>
      <c r="I215" s="90">
        <f>IF($G215="","",IF($F215="",IFERROR(INDEX(Setup!$C$21:$C$60,MATCH("|"&amp;UPPER(TRIM($G215)),Setup!$Q$21:$Q$60,0)),"NO RATE"),IFERROR(INDEX(Setup!$C$21:$C$60,MATCH(UPPER(TRIM($F215))&amp;"|"&amp;UPPER(TRIM($G215)),Setup!$P$21:$P$60,0)),IFERROR(INDEX(Setup!$C$21:$C$60,MATCH(UPPER(TRIM($G215))&amp;"|"&amp;UPPER(TRIM($F215)),Setup!$P$21:$P$60,0)),"NO RATE"))))</f>
        <v/>
      </c>
      <c r="J215" s="91" t="n"/>
      <c r="K215" s="90">
        <f>IF(OR($G215="",$H215="",NOT(ISNUMBER($I215))),"",ROUND($H215*$I215*(1+IF($J215="",Setup!$B$16,$J215)),2))</f>
        <v/>
      </c>
      <c r="L215" s="90">
        <f>IF($K215="","",ROUND($K215*Setup!$B$13,2))</f>
        <v/>
      </c>
      <c r="M215" s="90">
        <f>IF($K215="","",$K215-$L215)</f>
        <v/>
      </c>
      <c r="N215" s="90">
        <f>IF(OR($M215="",$D215=""),"",ROUND($M215*IFERROR(IF(VLOOKUP($D215,Setup!$A$76:$C$87,3,FALSE)="",Setup!$B$14,VLOOKUP($D215,Setup!$A$76:$C$87,3,FALSE)),Setup!$B$14),2))</f>
        <v/>
      </c>
      <c r="O215" s="90">
        <f>IF(OR($M215="",$E215=""),"",ROUND($M215*IFERROR(IF(VLOOKUP($E215,Setup!$A$76:$C$87,3,FALSE)="",Setup!$B$15,VLOOKUP($E215,Setup!$A$76:$C$87,3,FALSE)),Setup!$B$15),2))</f>
        <v/>
      </c>
      <c r="P215" s="92" t="n"/>
      <c r="Q215" s="92" t="n"/>
      <c r="R215" s="92" t="n"/>
      <c r="S215" s="92" t="n"/>
      <c r="T215" s="92" t="n"/>
      <c r="U215" s="90">
        <f>IF($K215="","",SUM($R215:$T215))</f>
        <v/>
      </c>
      <c r="V215" s="90">
        <f>IF($K215="","",$M215-(N($N215)+N($O215)+IF($P215="",Setup!$B$17,$P215)+N($Q215))-N($U215))</f>
        <v/>
      </c>
      <c r="W215" s="87" t="n"/>
      <c r="X215" s="88" t="n"/>
      <c r="Z215" s="93">
        <f>IF($A215="","",DATE(YEAR($A215),MONTH($A215),1))</f>
        <v/>
      </c>
    </row>
    <row r="216">
      <c r="A216" s="94" t="n"/>
      <c r="B216" s="95" t="n"/>
      <c r="C216" s="95" t="n"/>
      <c r="D216" s="96" t="n"/>
      <c r="E216" s="96" t="n"/>
      <c r="F216" s="96" t="n"/>
      <c r="G216" s="96" t="n"/>
      <c r="H216" s="97" t="n"/>
      <c r="I216" s="90">
        <f>IF($G216="","",IF($F216="",IFERROR(INDEX(Setup!$C$21:$C$60,MATCH("|"&amp;UPPER(TRIM($G216)),Setup!$Q$21:$Q$60,0)),"NO RATE"),IFERROR(INDEX(Setup!$C$21:$C$60,MATCH(UPPER(TRIM($F216))&amp;"|"&amp;UPPER(TRIM($G216)),Setup!$P$21:$P$60,0)),IFERROR(INDEX(Setup!$C$21:$C$60,MATCH(UPPER(TRIM($G216))&amp;"|"&amp;UPPER(TRIM($F216)),Setup!$P$21:$P$60,0)),"NO RATE"))))</f>
        <v/>
      </c>
      <c r="J216" s="98" t="n"/>
      <c r="K216" s="90">
        <f>IF(OR($G216="",$H216="",NOT(ISNUMBER($I216))),"",ROUND($H216*$I216*(1+IF($J216="",Setup!$B$16,$J216)),2))</f>
        <v/>
      </c>
      <c r="L216" s="90">
        <f>IF($K216="","",ROUND($K216*Setup!$B$13,2))</f>
        <v/>
      </c>
      <c r="M216" s="90">
        <f>IF($K216="","",$K216-$L216)</f>
        <v/>
      </c>
      <c r="N216" s="90">
        <f>IF(OR($M216="",$D216=""),"",ROUND($M216*IFERROR(IF(VLOOKUP($D216,Setup!$A$76:$C$87,3,FALSE)="",Setup!$B$14,VLOOKUP($D216,Setup!$A$76:$C$87,3,FALSE)),Setup!$B$14),2))</f>
        <v/>
      </c>
      <c r="O216" s="90">
        <f>IF(OR($M216="",$E216=""),"",ROUND($M216*IFERROR(IF(VLOOKUP($E216,Setup!$A$76:$C$87,3,FALSE)="",Setup!$B$15,VLOOKUP($E216,Setup!$A$76:$C$87,3,FALSE)),Setup!$B$15),2))</f>
        <v/>
      </c>
      <c r="P216" s="99" t="n"/>
      <c r="Q216" s="99" t="n"/>
      <c r="R216" s="99" t="n"/>
      <c r="S216" s="99" t="n"/>
      <c r="T216" s="99" t="n"/>
      <c r="U216" s="90">
        <f>IF($K216="","",SUM($R216:$T216))</f>
        <v/>
      </c>
      <c r="V216" s="90">
        <f>IF($K216="","",$M216-(N($N216)+N($O216)+IF($P216="",Setup!$B$17,$P216)+N($Q216))-N($U216))</f>
        <v/>
      </c>
      <c r="W216" s="95" t="n"/>
      <c r="X216" s="96" t="n"/>
      <c r="Z216" s="93">
        <f>IF($A216="","",DATE(YEAR($A216),MONTH($A216),1))</f>
        <v/>
      </c>
    </row>
    <row r="217">
      <c r="A217" s="86" t="n"/>
      <c r="B217" s="87" t="n"/>
      <c r="C217" s="87" t="n"/>
      <c r="D217" s="88" t="n"/>
      <c r="E217" s="88" t="n"/>
      <c r="F217" s="88" t="n"/>
      <c r="G217" s="88" t="n"/>
      <c r="H217" s="89" t="n"/>
      <c r="I217" s="90">
        <f>IF($G217="","",IF($F217="",IFERROR(INDEX(Setup!$C$21:$C$60,MATCH("|"&amp;UPPER(TRIM($G217)),Setup!$Q$21:$Q$60,0)),"NO RATE"),IFERROR(INDEX(Setup!$C$21:$C$60,MATCH(UPPER(TRIM($F217))&amp;"|"&amp;UPPER(TRIM($G217)),Setup!$P$21:$P$60,0)),IFERROR(INDEX(Setup!$C$21:$C$60,MATCH(UPPER(TRIM($G217))&amp;"|"&amp;UPPER(TRIM($F217)),Setup!$P$21:$P$60,0)),"NO RATE"))))</f>
        <v/>
      </c>
      <c r="J217" s="91" t="n"/>
      <c r="K217" s="90">
        <f>IF(OR($G217="",$H217="",NOT(ISNUMBER($I217))),"",ROUND($H217*$I217*(1+IF($J217="",Setup!$B$16,$J217)),2))</f>
        <v/>
      </c>
      <c r="L217" s="90">
        <f>IF($K217="","",ROUND($K217*Setup!$B$13,2))</f>
        <v/>
      </c>
      <c r="M217" s="90">
        <f>IF($K217="","",$K217-$L217)</f>
        <v/>
      </c>
      <c r="N217" s="90">
        <f>IF(OR($M217="",$D217=""),"",ROUND($M217*IFERROR(IF(VLOOKUP($D217,Setup!$A$76:$C$87,3,FALSE)="",Setup!$B$14,VLOOKUP($D217,Setup!$A$76:$C$87,3,FALSE)),Setup!$B$14),2))</f>
        <v/>
      </c>
      <c r="O217" s="90">
        <f>IF(OR($M217="",$E217=""),"",ROUND($M217*IFERROR(IF(VLOOKUP($E217,Setup!$A$76:$C$87,3,FALSE)="",Setup!$B$15,VLOOKUP($E217,Setup!$A$76:$C$87,3,FALSE)),Setup!$B$15),2))</f>
        <v/>
      </c>
      <c r="P217" s="92" t="n"/>
      <c r="Q217" s="92" t="n"/>
      <c r="R217" s="92" t="n"/>
      <c r="S217" s="92" t="n"/>
      <c r="T217" s="92" t="n"/>
      <c r="U217" s="90">
        <f>IF($K217="","",SUM($R217:$T217))</f>
        <v/>
      </c>
      <c r="V217" s="90">
        <f>IF($K217="","",$M217-(N($N217)+N($O217)+IF($P217="",Setup!$B$17,$P217)+N($Q217))-N($U217))</f>
        <v/>
      </c>
      <c r="W217" s="87" t="n"/>
      <c r="X217" s="88" t="n"/>
      <c r="Z217" s="93">
        <f>IF($A217="","",DATE(YEAR($A217),MONTH($A217),1))</f>
        <v/>
      </c>
    </row>
    <row r="218">
      <c r="A218" s="94" t="n"/>
      <c r="B218" s="95" t="n"/>
      <c r="C218" s="95" t="n"/>
      <c r="D218" s="96" t="n"/>
      <c r="E218" s="96" t="n"/>
      <c r="F218" s="96" t="n"/>
      <c r="G218" s="96" t="n"/>
      <c r="H218" s="97" t="n"/>
      <c r="I218" s="90">
        <f>IF($G218="","",IF($F218="",IFERROR(INDEX(Setup!$C$21:$C$60,MATCH("|"&amp;UPPER(TRIM($G218)),Setup!$Q$21:$Q$60,0)),"NO RATE"),IFERROR(INDEX(Setup!$C$21:$C$60,MATCH(UPPER(TRIM($F218))&amp;"|"&amp;UPPER(TRIM($G218)),Setup!$P$21:$P$60,0)),IFERROR(INDEX(Setup!$C$21:$C$60,MATCH(UPPER(TRIM($G218))&amp;"|"&amp;UPPER(TRIM($F218)),Setup!$P$21:$P$60,0)),"NO RATE"))))</f>
        <v/>
      </c>
      <c r="J218" s="98" t="n"/>
      <c r="K218" s="90">
        <f>IF(OR($G218="",$H218="",NOT(ISNUMBER($I218))),"",ROUND($H218*$I218*(1+IF($J218="",Setup!$B$16,$J218)),2))</f>
        <v/>
      </c>
      <c r="L218" s="90">
        <f>IF($K218="","",ROUND($K218*Setup!$B$13,2))</f>
        <v/>
      </c>
      <c r="M218" s="90">
        <f>IF($K218="","",$K218-$L218)</f>
        <v/>
      </c>
      <c r="N218" s="90">
        <f>IF(OR($M218="",$D218=""),"",ROUND($M218*IFERROR(IF(VLOOKUP($D218,Setup!$A$76:$C$87,3,FALSE)="",Setup!$B$14,VLOOKUP($D218,Setup!$A$76:$C$87,3,FALSE)),Setup!$B$14),2))</f>
        <v/>
      </c>
      <c r="O218" s="90">
        <f>IF(OR($M218="",$E218=""),"",ROUND($M218*IFERROR(IF(VLOOKUP($E218,Setup!$A$76:$C$87,3,FALSE)="",Setup!$B$15,VLOOKUP($E218,Setup!$A$76:$C$87,3,FALSE)),Setup!$B$15),2))</f>
        <v/>
      </c>
      <c r="P218" s="99" t="n"/>
      <c r="Q218" s="99" t="n"/>
      <c r="R218" s="99" t="n"/>
      <c r="S218" s="99" t="n"/>
      <c r="T218" s="99" t="n"/>
      <c r="U218" s="90">
        <f>IF($K218="","",SUM($R218:$T218))</f>
        <v/>
      </c>
      <c r="V218" s="90">
        <f>IF($K218="","",$M218-(N($N218)+N($O218)+IF($P218="",Setup!$B$17,$P218)+N($Q218))-N($U218))</f>
        <v/>
      </c>
      <c r="W218" s="95" t="n"/>
      <c r="X218" s="96" t="n"/>
      <c r="Z218" s="93">
        <f>IF($A218="","",DATE(YEAR($A218),MONTH($A218),1))</f>
        <v/>
      </c>
    </row>
    <row r="219">
      <c r="A219" s="86" t="n"/>
      <c r="B219" s="87" t="n"/>
      <c r="C219" s="87" t="n"/>
      <c r="D219" s="88" t="n"/>
      <c r="E219" s="88" t="n"/>
      <c r="F219" s="88" t="n"/>
      <c r="G219" s="88" t="n"/>
      <c r="H219" s="89" t="n"/>
      <c r="I219" s="90">
        <f>IF($G219="","",IF($F219="",IFERROR(INDEX(Setup!$C$21:$C$60,MATCH("|"&amp;UPPER(TRIM($G219)),Setup!$Q$21:$Q$60,0)),"NO RATE"),IFERROR(INDEX(Setup!$C$21:$C$60,MATCH(UPPER(TRIM($F219))&amp;"|"&amp;UPPER(TRIM($G219)),Setup!$P$21:$P$60,0)),IFERROR(INDEX(Setup!$C$21:$C$60,MATCH(UPPER(TRIM($G219))&amp;"|"&amp;UPPER(TRIM($F219)),Setup!$P$21:$P$60,0)),"NO RATE"))))</f>
        <v/>
      </c>
      <c r="J219" s="91" t="n"/>
      <c r="K219" s="90">
        <f>IF(OR($G219="",$H219="",NOT(ISNUMBER($I219))),"",ROUND($H219*$I219*(1+IF($J219="",Setup!$B$16,$J219)),2))</f>
        <v/>
      </c>
      <c r="L219" s="90">
        <f>IF($K219="","",ROUND($K219*Setup!$B$13,2))</f>
        <v/>
      </c>
      <c r="M219" s="90">
        <f>IF($K219="","",$K219-$L219)</f>
        <v/>
      </c>
      <c r="N219" s="90">
        <f>IF(OR($M219="",$D219=""),"",ROUND($M219*IFERROR(IF(VLOOKUP($D219,Setup!$A$76:$C$87,3,FALSE)="",Setup!$B$14,VLOOKUP($D219,Setup!$A$76:$C$87,3,FALSE)),Setup!$B$14),2))</f>
        <v/>
      </c>
      <c r="O219" s="90">
        <f>IF(OR($M219="",$E219=""),"",ROUND($M219*IFERROR(IF(VLOOKUP($E219,Setup!$A$76:$C$87,3,FALSE)="",Setup!$B$15,VLOOKUP($E219,Setup!$A$76:$C$87,3,FALSE)),Setup!$B$15),2))</f>
        <v/>
      </c>
      <c r="P219" s="92" t="n"/>
      <c r="Q219" s="92" t="n"/>
      <c r="R219" s="92" t="n"/>
      <c r="S219" s="92" t="n"/>
      <c r="T219" s="92" t="n"/>
      <c r="U219" s="90">
        <f>IF($K219="","",SUM($R219:$T219))</f>
        <v/>
      </c>
      <c r="V219" s="90">
        <f>IF($K219="","",$M219-(N($N219)+N($O219)+IF($P219="",Setup!$B$17,$P219)+N($Q219))-N($U219))</f>
        <v/>
      </c>
      <c r="W219" s="87" t="n"/>
      <c r="X219" s="88" t="n"/>
      <c r="Z219" s="93">
        <f>IF($A219="","",DATE(YEAR($A219),MONTH($A219),1))</f>
        <v/>
      </c>
    </row>
    <row r="220">
      <c r="A220" s="94" t="n"/>
      <c r="B220" s="95" t="n"/>
      <c r="C220" s="95" t="n"/>
      <c r="D220" s="96" t="n"/>
      <c r="E220" s="96" t="n"/>
      <c r="F220" s="96" t="n"/>
      <c r="G220" s="96" t="n"/>
      <c r="H220" s="97" t="n"/>
      <c r="I220" s="90">
        <f>IF($G220="","",IF($F220="",IFERROR(INDEX(Setup!$C$21:$C$60,MATCH("|"&amp;UPPER(TRIM($G220)),Setup!$Q$21:$Q$60,0)),"NO RATE"),IFERROR(INDEX(Setup!$C$21:$C$60,MATCH(UPPER(TRIM($F220))&amp;"|"&amp;UPPER(TRIM($G220)),Setup!$P$21:$P$60,0)),IFERROR(INDEX(Setup!$C$21:$C$60,MATCH(UPPER(TRIM($G220))&amp;"|"&amp;UPPER(TRIM($F220)),Setup!$P$21:$P$60,0)),"NO RATE"))))</f>
        <v/>
      </c>
      <c r="J220" s="98" t="n"/>
      <c r="K220" s="90">
        <f>IF(OR($G220="",$H220="",NOT(ISNUMBER($I220))),"",ROUND($H220*$I220*(1+IF($J220="",Setup!$B$16,$J220)),2))</f>
        <v/>
      </c>
      <c r="L220" s="90">
        <f>IF($K220="","",ROUND($K220*Setup!$B$13,2))</f>
        <v/>
      </c>
      <c r="M220" s="90">
        <f>IF($K220="","",$K220-$L220)</f>
        <v/>
      </c>
      <c r="N220" s="90">
        <f>IF(OR($M220="",$D220=""),"",ROUND($M220*IFERROR(IF(VLOOKUP($D220,Setup!$A$76:$C$87,3,FALSE)="",Setup!$B$14,VLOOKUP($D220,Setup!$A$76:$C$87,3,FALSE)),Setup!$B$14),2))</f>
        <v/>
      </c>
      <c r="O220" s="90">
        <f>IF(OR($M220="",$E220=""),"",ROUND($M220*IFERROR(IF(VLOOKUP($E220,Setup!$A$76:$C$87,3,FALSE)="",Setup!$B$15,VLOOKUP($E220,Setup!$A$76:$C$87,3,FALSE)),Setup!$B$15),2))</f>
        <v/>
      </c>
      <c r="P220" s="99" t="n"/>
      <c r="Q220" s="99" t="n"/>
      <c r="R220" s="99" t="n"/>
      <c r="S220" s="99" t="n"/>
      <c r="T220" s="99" t="n"/>
      <c r="U220" s="90">
        <f>IF($K220="","",SUM($R220:$T220))</f>
        <v/>
      </c>
      <c r="V220" s="90">
        <f>IF($K220="","",$M220-(N($N220)+N($O220)+IF($P220="",Setup!$B$17,$P220)+N($Q220))-N($U220))</f>
        <v/>
      </c>
      <c r="W220" s="95" t="n"/>
      <c r="X220" s="96" t="n"/>
      <c r="Z220" s="93">
        <f>IF($A220="","",DATE(YEAR($A220),MONTH($A220),1))</f>
        <v/>
      </c>
    </row>
    <row r="221">
      <c r="A221" s="86" t="n"/>
      <c r="B221" s="87" t="n"/>
      <c r="C221" s="87" t="n"/>
      <c r="D221" s="88" t="n"/>
      <c r="E221" s="88" t="n"/>
      <c r="F221" s="88" t="n"/>
      <c r="G221" s="88" t="n"/>
      <c r="H221" s="89" t="n"/>
      <c r="I221" s="90">
        <f>IF($G221="","",IF($F221="",IFERROR(INDEX(Setup!$C$21:$C$60,MATCH("|"&amp;UPPER(TRIM($G221)),Setup!$Q$21:$Q$60,0)),"NO RATE"),IFERROR(INDEX(Setup!$C$21:$C$60,MATCH(UPPER(TRIM($F221))&amp;"|"&amp;UPPER(TRIM($G221)),Setup!$P$21:$P$60,0)),IFERROR(INDEX(Setup!$C$21:$C$60,MATCH(UPPER(TRIM($G221))&amp;"|"&amp;UPPER(TRIM($F221)),Setup!$P$21:$P$60,0)),"NO RATE"))))</f>
        <v/>
      </c>
      <c r="J221" s="91" t="n"/>
      <c r="K221" s="90">
        <f>IF(OR($G221="",$H221="",NOT(ISNUMBER($I221))),"",ROUND($H221*$I221*(1+IF($J221="",Setup!$B$16,$J221)),2))</f>
        <v/>
      </c>
      <c r="L221" s="90">
        <f>IF($K221="","",ROUND($K221*Setup!$B$13,2))</f>
        <v/>
      </c>
      <c r="M221" s="90">
        <f>IF($K221="","",$K221-$L221)</f>
        <v/>
      </c>
      <c r="N221" s="90">
        <f>IF(OR($M221="",$D221=""),"",ROUND($M221*IFERROR(IF(VLOOKUP($D221,Setup!$A$76:$C$87,3,FALSE)="",Setup!$B$14,VLOOKUP($D221,Setup!$A$76:$C$87,3,FALSE)),Setup!$B$14),2))</f>
        <v/>
      </c>
      <c r="O221" s="90">
        <f>IF(OR($M221="",$E221=""),"",ROUND($M221*IFERROR(IF(VLOOKUP($E221,Setup!$A$76:$C$87,3,FALSE)="",Setup!$B$15,VLOOKUP($E221,Setup!$A$76:$C$87,3,FALSE)),Setup!$B$15),2))</f>
        <v/>
      </c>
      <c r="P221" s="92" t="n"/>
      <c r="Q221" s="92" t="n"/>
      <c r="R221" s="92" t="n"/>
      <c r="S221" s="92" t="n"/>
      <c r="T221" s="92" t="n"/>
      <c r="U221" s="90">
        <f>IF($K221="","",SUM($R221:$T221))</f>
        <v/>
      </c>
      <c r="V221" s="90">
        <f>IF($K221="","",$M221-(N($N221)+N($O221)+IF($P221="",Setup!$B$17,$P221)+N($Q221))-N($U221))</f>
        <v/>
      </c>
      <c r="W221" s="87" t="n"/>
      <c r="X221" s="88" t="n"/>
      <c r="Z221" s="93">
        <f>IF($A221="","",DATE(YEAR($A221),MONTH($A221),1))</f>
        <v/>
      </c>
    </row>
    <row r="222">
      <c r="A222" s="94" t="n"/>
      <c r="B222" s="95" t="n"/>
      <c r="C222" s="95" t="n"/>
      <c r="D222" s="96" t="n"/>
      <c r="E222" s="96" t="n"/>
      <c r="F222" s="96" t="n"/>
      <c r="G222" s="96" t="n"/>
      <c r="H222" s="97" t="n"/>
      <c r="I222" s="90">
        <f>IF($G222="","",IF($F222="",IFERROR(INDEX(Setup!$C$21:$C$60,MATCH("|"&amp;UPPER(TRIM($G222)),Setup!$Q$21:$Q$60,0)),"NO RATE"),IFERROR(INDEX(Setup!$C$21:$C$60,MATCH(UPPER(TRIM($F222))&amp;"|"&amp;UPPER(TRIM($G222)),Setup!$P$21:$P$60,0)),IFERROR(INDEX(Setup!$C$21:$C$60,MATCH(UPPER(TRIM($G222))&amp;"|"&amp;UPPER(TRIM($F222)),Setup!$P$21:$P$60,0)),"NO RATE"))))</f>
        <v/>
      </c>
      <c r="J222" s="98" t="n"/>
      <c r="K222" s="90">
        <f>IF(OR($G222="",$H222="",NOT(ISNUMBER($I222))),"",ROUND($H222*$I222*(1+IF($J222="",Setup!$B$16,$J222)),2))</f>
        <v/>
      </c>
      <c r="L222" s="90">
        <f>IF($K222="","",ROUND($K222*Setup!$B$13,2))</f>
        <v/>
      </c>
      <c r="M222" s="90">
        <f>IF($K222="","",$K222-$L222)</f>
        <v/>
      </c>
      <c r="N222" s="90">
        <f>IF(OR($M222="",$D222=""),"",ROUND($M222*IFERROR(IF(VLOOKUP($D222,Setup!$A$76:$C$87,3,FALSE)="",Setup!$B$14,VLOOKUP($D222,Setup!$A$76:$C$87,3,FALSE)),Setup!$B$14),2))</f>
        <v/>
      </c>
      <c r="O222" s="90">
        <f>IF(OR($M222="",$E222=""),"",ROUND($M222*IFERROR(IF(VLOOKUP($E222,Setup!$A$76:$C$87,3,FALSE)="",Setup!$B$15,VLOOKUP($E222,Setup!$A$76:$C$87,3,FALSE)),Setup!$B$15),2))</f>
        <v/>
      </c>
      <c r="P222" s="99" t="n"/>
      <c r="Q222" s="99" t="n"/>
      <c r="R222" s="99" t="n"/>
      <c r="S222" s="99" t="n"/>
      <c r="T222" s="99" t="n"/>
      <c r="U222" s="90">
        <f>IF($K222="","",SUM($R222:$T222))</f>
        <v/>
      </c>
      <c r="V222" s="90">
        <f>IF($K222="","",$M222-(N($N222)+N($O222)+IF($P222="",Setup!$B$17,$P222)+N($Q222))-N($U222))</f>
        <v/>
      </c>
      <c r="W222" s="95" t="n"/>
      <c r="X222" s="96" t="n"/>
      <c r="Z222" s="93">
        <f>IF($A222="","",DATE(YEAR($A222),MONTH($A222),1))</f>
        <v/>
      </c>
    </row>
    <row r="223">
      <c r="A223" s="86" t="n"/>
      <c r="B223" s="87" t="n"/>
      <c r="C223" s="87" t="n"/>
      <c r="D223" s="88" t="n"/>
      <c r="E223" s="88" t="n"/>
      <c r="F223" s="88" t="n"/>
      <c r="G223" s="88" t="n"/>
      <c r="H223" s="89" t="n"/>
      <c r="I223" s="90">
        <f>IF($G223="","",IF($F223="",IFERROR(INDEX(Setup!$C$21:$C$60,MATCH("|"&amp;UPPER(TRIM($G223)),Setup!$Q$21:$Q$60,0)),"NO RATE"),IFERROR(INDEX(Setup!$C$21:$C$60,MATCH(UPPER(TRIM($F223))&amp;"|"&amp;UPPER(TRIM($G223)),Setup!$P$21:$P$60,0)),IFERROR(INDEX(Setup!$C$21:$C$60,MATCH(UPPER(TRIM($G223))&amp;"|"&amp;UPPER(TRIM($F223)),Setup!$P$21:$P$60,0)),"NO RATE"))))</f>
        <v/>
      </c>
      <c r="J223" s="91" t="n"/>
      <c r="K223" s="90">
        <f>IF(OR($G223="",$H223="",NOT(ISNUMBER($I223))),"",ROUND($H223*$I223*(1+IF($J223="",Setup!$B$16,$J223)),2))</f>
        <v/>
      </c>
      <c r="L223" s="90">
        <f>IF($K223="","",ROUND($K223*Setup!$B$13,2))</f>
        <v/>
      </c>
      <c r="M223" s="90">
        <f>IF($K223="","",$K223-$L223)</f>
        <v/>
      </c>
      <c r="N223" s="90">
        <f>IF(OR($M223="",$D223=""),"",ROUND($M223*IFERROR(IF(VLOOKUP($D223,Setup!$A$76:$C$87,3,FALSE)="",Setup!$B$14,VLOOKUP($D223,Setup!$A$76:$C$87,3,FALSE)),Setup!$B$14),2))</f>
        <v/>
      </c>
      <c r="O223" s="90">
        <f>IF(OR($M223="",$E223=""),"",ROUND($M223*IFERROR(IF(VLOOKUP($E223,Setup!$A$76:$C$87,3,FALSE)="",Setup!$B$15,VLOOKUP($E223,Setup!$A$76:$C$87,3,FALSE)),Setup!$B$15),2))</f>
        <v/>
      </c>
      <c r="P223" s="92" t="n"/>
      <c r="Q223" s="92" t="n"/>
      <c r="R223" s="92" t="n"/>
      <c r="S223" s="92" t="n"/>
      <c r="T223" s="92" t="n"/>
      <c r="U223" s="90">
        <f>IF($K223="","",SUM($R223:$T223))</f>
        <v/>
      </c>
      <c r="V223" s="90">
        <f>IF($K223="","",$M223-(N($N223)+N($O223)+IF($P223="",Setup!$B$17,$P223)+N($Q223))-N($U223))</f>
        <v/>
      </c>
      <c r="W223" s="87" t="n"/>
      <c r="X223" s="88" t="n"/>
      <c r="Z223" s="93">
        <f>IF($A223="","",DATE(YEAR($A223),MONTH($A223),1))</f>
        <v/>
      </c>
    </row>
    <row r="224">
      <c r="A224" s="94" t="n"/>
      <c r="B224" s="95" t="n"/>
      <c r="C224" s="95" t="n"/>
      <c r="D224" s="96" t="n"/>
      <c r="E224" s="96" t="n"/>
      <c r="F224" s="96" t="n"/>
      <c r="G224" s="96" t="n"/>
      <c r="H224" s="97" t="n"/>
      <c r="I224" s="90">
        <f>IF($G224="","",IF($F224="",IFERROR(INDEX(Setup!$C$21:$C$60,MATCH("|"&amp;UPPER(TRIM($G224)),Setup!$Q$21:$Q$60,0)),"NO RATE"),IFERROR(INDEX(Setup!$C$21:$C$60,MATCH(UPPER(TRIM($F224))&amp;"|"&amp;UPPER(TRIM($G224)),Setup!$P$21:$P$60,0)),IFERROR(INDEX(Setup!$C$21:$C$60,MATCH(UPPER(TRIM($G224))&amp;"|"&amp;UPPER(TRIM($F224)),Setup!$P$21:$P$60,0)),"NO RATE"))))</f>
        <v/>
      </c>
      <c r="J224" s="98" t="n"/>
      <c r="K224" s="90">
        <f>IF(OR($G224="",$H224="",NOT(ISNUMBER($I224))),"",ROUND($H224*$I224*(1+IF($J224="",Setup!$B$16,$J224)),2))</f>
        <v/>
      </c>
      <c r="L224" s="90">
        <f>IF($K224="","",ROUND($K224*Setup!$B$13,2))</f>
        <v/>
      </c>
      <c r="M224" s="90">
        <f>IF($K224="","",$K224-$L224)</f>
        <v/>
      </c>
      <c r="N224" s="90">
        <f>IF(OR($M224="",$D224=""),"",ROUND($M224*IFERROR(IF(VLOOKUP($D224,Setup!$A$76:$C$87,3,FALSE)="",Setup!$B$14,VLOOKUP($D224,Setup!$A$76:$C$87,3,FALSE)),Setup!$B$14),2))</f>
        <v/>
      </c>
      <c r="O224" s="90">
        <f>IF(OR($M224="",$E224=""),"",ROUND($M224*IFERROR(IF(VLOOKUP($E224,Setup!$A$76:$C$87,3,FALSE)="",Setup!$B$15,VLOOKUP($E224,Setup!$A$76:$C$87,3,FALSE)),Setup!$B$15),2))</f>
        <v/>
      </c>
      <c r="P224" s="99" t="n"/>
      <c r="Q224" s="99" t="n"/>
      <c r="R224" s="99" t="n"/>
      <c r="S224" s="99" t="n"/>
      <c r="T224" s="99" t="n"/>
      <c r="U224" s="90">
        <f>IF($K224="","",SUM($R224:$T224))</f>
        <v/>
      </c>
      <c r="V224" s="90">
        <f>IF($K224="","",$M224-(N($N224)+N($O224)+IF($P224="",Setup!$B$17,$P224)+N($Q224))-N($U224))</f>
        <v/>
      </c>
      <c r="W224" s="95" t="n"/>
      <c r="X224" s="96" t="n"/>
      <c r="Z224" s="93">
        <f>IF($A224="","",DATE(YEAR($A224),MONTH($A224),1))</f>
        <v/>
      </c>
    </row>
    <row r="225">
      <c r="A225" s="86" t="n"/>
      <c r="B225" s="87" t="n"/>
      <c r="C225" s="87" t="n"/>
      <c r="D225" s="88" t="n"/>
      <c r="E225" s="88" t="n"/>
      <c r="F225" s="88" t="n"/>
      <c r="G225" s="88" t="n"/>
      <c r="H225" s="89" t="n"/>
      <c r="I225" s="90">
        <f>IF($G225="","",IF($F225="",IFERROR(INDEX(Setup!$C$21:$C$60,MATCH("|"&amp;UPPER(TRIM($G225)),Setup!$Q$21:$Q$60,0)),"NO RATE"),IFERROR(INDEX(Setup!$C$21:$C$60,MATCH(UPPER(TRIM($F225))&amp;"|"&amp;UPPER(TRIM($G225)),Setup!$P$21:$P$60,0)),IFERROR(INDEX(Setup!$C$21:$C$60,MATCH(UPPER(TRIM($G225))&amp;"|"&amp;UPPER(TRIM($F225)),Setup!$P$21:$P$60,0)),"NO RATE"))))</f>
        <v/>
      </c>
      <c r="J225" s="91" t="n"/>
      <c r="K225" s="90">
        <f>IF(OR($G225="",$H225="",NOT(ISNUMBER($I225))),"",ROUND($H225*$I225*(1+IF($J225="",Setup!$B$16,$J225)),2))</f>
        <v/>
      </c>
      <c r="L225" s="90">
        <f>IF($K225="","",ROUND($K225*Setup!$B$13,2))</f>
        <v/>
      </c>
      <c r="M225" s="90">
        <f>IF($K225="","",$K225-$L225)</f>
        <v/>
      </c>
      <c r="N225" s="90">
        <f>IF(OR($M225="",$D225=""),"",ROUND($M225*IFERROR(IF(VLOOKUP($D225,Setup!$A$76:$C$87,3,FALSE)="",Setup!$B$14,VLOOKUP($D225,Setup!$A$76:$C$87,3,FALSE)),Setup!$B$14),2))</f>
        <v/>
      </c>
      <c r="O225" s="90">
        <f>IF(OR($M225="",$E225=""),"",ROUND($M225*IFERROR(IF(VLOOKUP($E225,Setup!$A$76:$C$87,3,FALSE)="",Setup!$B$15,VLOOKUP($E225,Setup!$A$76:$C$87,3,FALSE)),Setup!$B$15),2))</f>
        <v/>
      </c>
      <c r="P225" s="92" t="n"/>
      <c r="Q225" s="92" t="n"/>
      <c r="R225" s="92" t="n"/>
      <c r="S225" s="92" t="n"/>
      <c r="T225" s="92" t="n"/>
      <c r="U225" s="90">
        <f>IF($K225="","",SUM($R225:$T225))</f>
        <v/>
      </c>
      <c r="V225" s="90">
        <f>IF($K225="","",$M225-(N($N225)+N($O225)+IF($P225="",Setup!$B$17,$P225)+N($Q225))-N($U225))</f>
        <v/>
      </c>
      <c r="W225" s="87" t="n"/>
      <c r="X225" s="88" t="n"/>
      <c r="Z225" s="93">
        <f>IF($A225="","",DATE(YEAR($A225),MONTH($A225),1))</f>
        <v/>
      </c>
    </row>
    <row r="226">
      <c r="A226" s="94" t="n"/>
      <c r="B226" s="95" t="n"/>
      <c r="C226" s="95" t="n"/>
      <c r="D226" s="96" t="n"/>
      <c r="E226" s="96" t="n"/>
      <c r="F226" s="96" t="n"/>
      <c r="G226" s="96" t="n"/>
      <c r="H226" s="97" t="n"/>
      <c r="I226" s="90">
        <f>IF($G226="","",IF($F226="",IFERROR(INDEX(Setup!$C$21:$C$60,MATCH("|"&amp;UPPER(TRIM($G226)),Setup!$Q$21:$Q$60,0)),"NO RATE"),IFERROR(INDEX(Setup!$C$21:$C$60,MATCH(UPPER(TRIM($F226))&amp;"|"&amp;UPPER(TRIM($G226)),Setup!$P$21:$P$60,0)),IFERROR(INDEX(Setup!$C$21:$C$60,MATCH(UPPER(TRIM($G226))&amp;"|"&amp;UPPER(TRIM($F226)),Setup!$P$21:$P$60,0)),"NO RATE"))))</f>
        <v/>
      </c>
      <c r="J226" s="98" t="n"/>
      <c r="K226" s="90">
        <f>IF(OR($G226="",$H226="",NOT(ISNUMBER($I226))),"",ROUND($H226*$I226*(1+IF($J226="",Setup!$B$16,$J226)),2))</f>
        <v/>
      </c>
      <c r="L226" s="90">
        <f>IF($K226="","",ROUND($K226*Setup!$B$13,2))</f>
        <v/>
      </c>
      <c r="M226" s="90">
        <f>IF($K226="","",$K226-$L226)</f>
        <v/>
      </c>
      <c r="N226" s="90">
        <f>IF(OR($M226="",$D226=""),"",ROUND($M226*IFERROR(IF(VLOOKUP($D226,Setup!$A$76:$C$87,3,FALSE)="",Setup!$B$14,VLOOKUP($D226,Setup!$A$76:$C$87,3,FALSE)),Setup!$B$14),2))</f>
        <v/>
      </c>
      <c r="O226" s="90">
        <f>IF(OR($M226="",$E226=""),"",ROUND($M226*IFERROR(IF(VLOOKUP($E226,Setup!$A$76:$C$87,3,FALSE)="",Setup!$B$15,VLOOKUP($E226,Setup!$A$76:$C$87,3,FALSE)),Setup!$B$15),2))</f>
        <v/>
      </c>
      <c r="P226" s="99" t="n"/>
      <c r="Q226" s="99" t="n"/>
      <c r="R226" s="99" t="n"/>
      <c r="S226" s="99" t="n"/>
      <c r="T226" s="99" t="n"/>
      <c r="U226" s="90">
        <f>IF($K226="","",SUM($R226:$T226))</f>
        <v/>
      </c>
      <c r="V226" s="90">
        <f>IF($K226="","",$M226-(N($N226)+N($O226)+IF($P226="",Setup!$B$17,$P226)+N($Q226))-N($U226))</f>
        <v/>
      </c>
      <c r="W226" s="95" t="n"/>
      <c r="X226" s="96" t="n"/>
      <c r="Z226" s="93">
        <f>IF($A226="","",DATE(YEAR($A226),MONTH($A226),1))</f>
        <v/>
      </c>
    </row>
    <row r="227">
      <c r="A227" s="86" t="n"/>
      <c r="B227" s="87" t="n"/>
      <c r="C227" s="87" t="n"/>
      <c r="D227" s="88" t="n"/>
      <c r="E227" s="88" t="n"/>
      <c r="F227" s="88" t="n"/>
      <c r="G227" s="88" t="n"/>
      <c r="H227" s="89" t="n"/>
      <c r="I227" s="90">
        <f>IF($G227="","",IF($F227="",IFERROR(INDEX(Setup!$C$21:$C$60,MATCH("|"&amp;UPPER(TRIM($G227)),Setup!$Q$21:$Q$60,0)),"NO RATE"),IFERROR(INDEX(Setup!$C$21:$C$60,MATCH(UPPER(TRIM($F227))&amp;"|"&amp;UPPER(TRIM($G227)),Setup!$P$21:$P$60,0)),IFERROR(INDEX(Setup!$C$21:$C$60,MATCH(UPPER(TRIM($G227))&amp;"|"&amp;UPPER(TRIM($F227)),Setup!$P$21:$P$60,0)),"NO RATE"))))</f>
        <v/>
      </c>
      <c r="J227" s="91" t="n"/>
      <c r="K227" s="90">
        <f>IF(OR($G227="",$H227="",NOT(ISNUMBER($I227))),"",ROUND($H227*$I227*(1+IF($J227="",Setup!$B$16,$J227)),2))</f>
        <v/>
      </c>
      <c r="L227" s="90">
        <f>IF($K227="","",ROUND($K227*Setup!$B$13,2))</f>
        <v/>
      </c>
      <c r="M227" s="90">
        <f>IF($K227="","",$K227-$L227)</f>
        <v/>
      </c>
      <c r="N227" s="90">
        <f>IF(OR($M227="",$D227=""),"",ROUND($M227*IFERROR(IF(VLOOKUP($D227,Setup!$A$76:$C$87,3,FALSE)="",Setup!$B$14,VLOOKUP($D227,Setup!$A$76:$C$87,3,FALSE)),Setup!$B$14),2))</f>
        <v/>
      </c>
      <c r="O227" s="90">
        <f>IF(OR($M227="",$E227=""),"",ROUND($M227*IFERROR(IF(VLOOKUP($E227,Setup!$A$76:$C$87,3,FALSE)="",Setup!$B$15,VLOOKUP($E227,Setup!$A$76:$C$87,3,FALSE)),Setup!$B$15),2))</f>
        <v/>
      </c>
      <c r="P227" s="92" t="n"/>
      <c r="Q227" s="92" t="n"/>
      <c r="R227" s="92" t="n"/>
      <c r="S227" s="92" t="n"/>
      <c r="T227" s="92" t="n"/>
      <c r="U227" s="90">
        <f>IF($K227="","",SUM($R227:$T227))</f>
        <v/>
      </c>
      <c r="V227" s="90">
        <f>IF($K227="","",$M227-(N($N227)+N($O227)+IF($P227="",Setup!$B$17,$P227)+N($Q227))-N($U227))</f>
        <v/>
      </c>
      <c r="W227" s="87" t="n"/>
      <c r="X227" s="88" t="n"/>
      <c r="Z227" s="93">
        <f>IF($A227="","",DATE(YEAR($A227),MONTH($A227),1))</f>
        <v/>
      </c>
    </row>
    <row r="228">
      <c r="A228" s="94" t="n"/>
      <c r="B228" s="95" t="n"/>
      <c r="C228" s="95" t="n"/>
      <c r="D228" s="96" t="n"/>
      <c r="E228" s="96" t="n"/>
      <c r="F228" s="96" t="n"/>
      <c r="G228" s="96" t="n"/>
      <c r="H228" s="97" t="n"/>
      <c r="I228" s="90">
        <f>IF($G228="","",IF($F228="",IFERROR(INDEX(Setup!$C$21:$C$60,MATCH("|"&amp;UPPER(TRIM($G228)),Setup!$Q$21:$Q$60,0)),"NO RATE"),IFERROR(INDEX(Setup!$C$21:$C$60,MATCH(UPPER(TRIM($F228))&amp;"|"&amp;UPPER(TRIM($G228)),Setup!$P$21:$P$60,0)),IFERROR(INDEX(Setup!$C$21:$C$60,MATCH(UPPER(TRIM($G228))&amp;"|"&amp;UPPER(TRIM($F228)),Setup!$P$21:$P$60,0)),"NO RATE"))))</f>
        <v/>
      </c>
      <c r="J228" s="98" t="n"/>
      <c r="K228" s="90">
        <f>IF(OR($G228="",$H228="",NOT(ISNUMBER($I228))),"",ROUND($H228*$I228*(1+IF($J228="",Setup!$B$16,$J228)),2))</f>
        <v/>
      </c>
      <c r="L228" s="90">
        <f>IF($K228="","",ROUND($K228*Setup!$B$13,2))</f>
        <v/>
      </c>
      <c r="M228" s="90">
        <f>IF($K228="","",$K228-$L228)</f>
        <v/>
      </c>
      <c r="N228" s="90">
        <f>IF(OR($M228="",$D228=""),"",ROUND($M228*IFERROR(IF(VLOOKUP($D228,Setup!$A$76:$C$87,3,FALSE)="",Setup!$B$14,VLOOKUP($D228,Setup!$A$76:$C$87,3,FALSE)),Setup!$B$14),2))</f>
        <v/>
      </c>
      <c r="O228" s="90">
        <f>IF(OR($M228="",$E228=""),"",ROUND($M228*IFERROR(IF(VLOOKUP($E228,Setup!$A$76:$C$87,3,FALSE)="",Setup!$B$15,VLOOKUP($E228,Setup!$A$76:$C$87,3,FALSE)),Setup!$B$15),2))</f>
        <v/>
      </c>
      <c r="P228" s="99" t="n"/>
      <c r="Q228" s="99" t="n"/>
      <c r="R228" s="99" t="n"/>
      <c r="S228" s="99" t="n"/>
      <c r="T228" s="99" t="n"/>
      <c r="U228" s="90">
        <f>IF($K228="","",SUM($R228:$T228))</f>
        <v/>
      </c>
      <c r="V228" s="90">
        <f>IF($K228="","",$M228-(N($N228)+N($O228)+IF($P228="",Setup!$B$17,$P228)+N($Q228))-N($U228))</f>
        <v/>
      </c>
      <c r="W228" s="95" t="n"/>
      <c r="X228" s="96" t="n"/>
      <c r="Z228" s="93">
        <f>IF($A228="","",DATE(YEAR($A228),MONTH($A228),1))</f>
        <v/>
      </c>
    </row>
    <row r="229">
      <c r="A229" s="86" t="n"/>
      <c r="B229" s="87" t="n"/>
      <c r="C229" s="87" t="n"/>
      <c r="D229" s="88" t="n"/>
      <c r="E229" s="88" t="n"/>
      <c r="F229" s="88" t="n"/>
      <c r="G229" s="88" t="n"/>
      <c r="H229" s="89" t="n"/>
      <c r="I229" s="90">
        <f>IF($G229="","",IF($F229="",IFERROR(INDEX(Setup!$C$21:$C$60,MATCH("|"&amp;UPPER(TRIM($G229)),Setup!$Q$21:$Q$60,0)),"NO RATE"),IFERROR(INDEX(Setup!$C$21:$C$60,MATCH(UPPER(TRIM($F229))&amp;"|"&amp;UPPER(TRIM($G229)),Setup!$P$21:$P$60,0)),IFERROR(INDEX(Setup!$C$21:$C$60,MATCH(UPPER(TRIM($G229))&amp;"|"&amp;UPPER(TRIM($F229)),Setup!$P$21:$P$60,0)),"NO RATE"))))</f>
        <v/>
      </c>
      <c r="J229" s="91" t="n"/>
      <c r="K229" s="90">
        <f>IF(OR($G229="",$H229="",NOT(ISNUMBER($I229))),"",ROUND($H229*$I229*(1+IF($J229="",Setup!$B$16,$J229)),2))</f>
        <v/>
      </c>
      <c r="L229" s="90">
        <f>IF($K229="","",ROUND($K229*Setup!$B$13,2))</f>
        <v/>
      </c>
      <c r="M229" s="90">
        <f>IF($K229="","",$K229-$L229)</f>
        <v/>
      </c>
      <c r="N229" s="90">
        <f>IF(OR($M229="",$D229=""),"",ROUND($M229*IFERROR(IF(VLOOKUP($D229,Setup!$A$76:$C$87,3,FALSE)="",Setup!$B$14,VLOOKUP($D229,Setup!$A$76:$C$87,3,FALSE)),Setup!$B$14),2))</f>
        <v/>
      </c>
      <c r="O229" s="90">
        <f>IF(OR($M229="",$E229=""),"",ROUND($M229*IFERROR(IF(VLOOKUP($E229,Setup!$A$76:$C$87,3,FALSE)="",Setup!$B$15,VLOOKUP($E229,Setup!$A$76:$C$87,3,FALSE)),Setup!$B$15),2))</f>
        <v/>
      </c>
      <c r="P229" s="92" t="n"/>
      <c r="Q229" s="92" t="n"/>
      <c r="R229" s="92" t="n"/>
      <c r="S229" s="92" t="n"/>
      <c r="T229" s="92" t="n"/>
      <c r="U229" s="90">
        <f>IF($K229="","",SUM($R229:$T229))</f>
        <v/>
      </c>
      <c r="V229" s="90">
        <f>IF($K229="","",$M229-(N($N229)+N($O229)+IF($P229="",Setup!$B$17,$P229)+N($Q229))-N($U229))</f>
        <v/>
      </c>
      <c r="W229" s="87" t="n"/>
      <c r="X229" s="88" t="n"/>
      <c r="Z229" s="93">
        <f>IF($A229="","",DATE(YEAR($A229),MONTH($A229),1))</f>
        <v/>
      </c>
    </row>
    <row r="230">
      <c r="A230" s="94" t="n"/>
      <c r="B230" s="95" t="n"/>
      <c r="C230" s="95" t="n"/>
      <c r="D230" s="96" t="n"/>
      <c r="E230" s="96" t="n"/>
      <c r="F230" s="96" t="n"/>
      <c r="G230" s="96" t="n"/>
      <c r="H230" s="97" t="n"/>
      <c r="I230" s="90">
        <f>IF($G230="","",IF($F230="",IFERROR(INDEX(Setup!$C$21:$C$60,MATCH("|"&amp;UPPER(TRIM($G230)),Setup!$Q$21:$Q$60,0)),"NO RATE"),IFERROR(INDEX(Setup!$C$21:$C$60,MATCH(UPPER(TRIM($F230))&amp;"|"&amp;UPPER(TRIM($G230)),Setup!$P$21:$P$60,0)),IFERROR(INDEX(Setup!$C$21:$C$60,MATCH(UPPER(TRIM($G230))&amp;"|"&amp;UPPER(TRIM($F230)),Setup!$P$21:$P$60,0)),"NO RATE"))))</f>
        <v/>
      </c>
      <c r="J230" s="98" t="n"/>
      <c r="K230" s="90">
        <f>IF(OR($G230="",$H230="",NOT(ISNUMBER($I230))),"",ROUND($H230*$I230*(1+IF($J230="",Setup!$B$16,$J230)),2))</f>
        <v/>
      </c>
      <c r="L230" s="90">
        <f>IF($K230="","",ROUND($K230*Setup!$B$13,2))</f>
        <v/>
      </c>
      <c r="M230" s="90">
        <f>IF($K230="","",$K230-$L230)</f>
        <v/>
      </c>
      <c r="N230" s="90">
        <f>IF(OR($M230="",$D230=""),"",ROUND($M230*IFERROR(IF(VLOOKUP($D230,Setup!$A$76:$C$87,3,FALSE)="",Setup!$B$14,VLOOKUP($D230,Setup!$A$76:$C$87,3,FALSE)),Setup!$B$14),2))</f>
        <v/>
      </c>
      <c r="O230" s="90">
        <f>IF(OR($M230="",$E230=""),"",ROUND($M230*IFERROR(IF(VLOOKUP($E230,Setup!$A$76:$C$87,3,FALSE)="",Setup!$B$15,VLOOKUP($E230,Setup!$A$76:$C$87,3,FALSE)),Setup!$B$15),2))</f>
        <v/>
      </c>
      <c r="P230" s="99" t="n"/>
      <c r="Q230" s="99" t="n"/>
      <c r="R230" s="99" t="n"/>
      <c r="S230" s="99" t="n"/>
      <c r="T230" s="99" t="n"/>
      <c r="U230" s="90">
        <f>IF($K230="","",SUM($R230:$T230))</f>
        <v/>
      </c>
      <c r="V230" s="90">
        <f>IF($K230="","",$M230-(N($N230)+N($O230)+IF($P230="",Setup!$B$17,$P230)+N($Q230))-N($U230))</f>
        <v/>
      </c>
      <c r="W230" s="95" t="n"/>
      <c r="X230" s="96" t="n"/>
      <c r="Z230" s="93">
        <f>IF($A230="","",DATE(YEAR($A230),MONTH($A230),1))</f>
        <v/>
      </c>
    </row>
    <row r="231">
      <c r="A231" s="86" t="n"/>
      <c r="B231" s="87" t="n"/>
      <c r="C231" s="87" t="n"/>
      <c r="D231" s="88" t="n"/>
      <c r="E231" s="88" t="n"/>
      <c r="F231" s="88" t="n"/>
      <c r="G231" s="88" t="n"/>
      <c r="H231" s="89" t="n"/>
      <c r="I231" s="90">
        <f>IF($G231="","",IF($F231="",IFERROR(INDEX(Setup!$C$21:$C$60,MATCH("|"&amp;UPPER(TRIM($G231)),Setup!$Q$21:$Q$60,0)),"NO RATE"),IFERROR(INDEX(Setup!$C$21:$C$60,MATCH(UPPER(TRIM($F231))&amp;"|"&amp;UPPER(TRIM($G231)),Setup!$P$21:$P$60,0)),IFERROR(INDEX(Setup!$C$21:$C$60,MATCH(UPPER(TRIM($G231))&amp;"|"&amp;UPPER(TRIM($F231)),Setup!$P$21:$P$60,0)),"NO RATE"))))</f>
        <v/>
      </c>
      <c r="J231" s="91" t="n"/>
      <c r="K231" s="90">
        <f>IF(OR($G231="",$H231="",NOT(ISNUMBER($I231))),"",ROUND($H231*$I231*(1+IF($J231="",Setup!$B$16,$J231)),2))</f>
        <v/>
      </c>
      <c r="L231" s="90">
        <f>IF($K231="","",ROUND($K231*Setup!$B$13,2))</f>
        <v/>
      </c>
      <c r="M231" s="90">
        <f>IF($K231="","",$K231-$L231)</f>
        <v/>
      </c>
      <c r="N231" s="90">
        <f>IF(OR($M231="",$D231=""),"",ROUND($M231*IFERROR(IF(VLOOKUP($D231,Setup!$A$76:$C$87,3,FALSE)="",Setup!$B$14,VLOOKUP($D231,Setup!$A$76:$C$87,3,FALSE)),Setup!$B$14),2))</f>
        <v/>
      </c>
      <c r="O231" s="90">
        <f>IF(OR($M231="",$E231=""),"",ROUND($M231*IFERROR(IF(VLOOKUP($E231,Setup!$A$76:$C$87,3,FALSE)="",Setup!$B$15,VLOOKUP($E231,Setup!$A$76:$C$87,3,FALSE)),Setup!$B$15),2))</f>
        <v/>
      </c>
      <c r="P231" s="92" t="n"/>
      <c r="Q231" s="92" t="n"/>
      <c r="R231" s="92" t="n"/>
      <c r="S231" s="92" t="n"/>
      <c r="T231" s="92" t="n"/>
      <c r="U231" s="90">
        <f>IF($K231="","",SUM($R231:$T231))</f>
        <v/>
      </c>
      <c r="V231" s="90">
        <f>IF($K231="","",$M231-(N($N231)+N($O231)+IF($P231="",Setup!$B$17,$P231)+N($Q231))-N($U231))</f>
        <v/>
      </c>
      <c r="W231" s="87" t="n"/>
      <c r="X231" s="88" t="n"/>
      <c r="Z231" s="93">
        <f>IF($A231="","",DATE(YEAR($A231),MONTH($A231),1))</f>
        <v/>
      </c>
    </row>
    <row r="232">
      <c r="A232" s="94" t="n"/>
      <c r="B232" s="95" t="n"/>
      <c r="C232" s="95" t="n"/>
      <c r="D232" s="96" t="n"/>
      <c r="E232" s="96" t="n"/>
      <c r="F232" s="96" t="n"/>
      <c r="G232" s="96" t="n"/>
      <c r="H232" s="97" t="n"/>
      <c r="I232" s="90">
        <f>IF($G232="","",IF($F232="",IFERROR(INDEX(Setup!$C$21:$C$60,MATCH("|"&amp;UPPER(TRIM($G232)),Setup!$Q$21:$Q$60,0)),"NO RATE"),IFERROR(INDEX(Setup!$C$21:$C$60,MATCH(UPPER(TRIM($F232))&amp;"|"&amp;UPPER(TRIM($G232)),Setup!$P$21:$P$60,0)),IFERROR(INDEX(Setup!$C$21:$C$60,MATCH(UPPER(TRIM($G232))&amp;"|"&amp;UPPER(TRIM($F232)),Setup!$P$21:$P$60,0)),"NO RATE"))))</f>
        <v/>
      </c>
      <c r="J232" s="98" t="n"/>
      <c r="K232" s="90">
        <f>IF(OR($G232="",$H232="",NOT(ISNUMBER($I232))),"",ROUND($H232*$I232*(1+IF($J232="",Setup!$B$16,$J232)),2))</f>
        <v/>
      </c>
      <c r="L232" s="90">
        <f>IF($K232="","",ROUND($K232*Setup!$B$13,2))</f>
        <v/>
      </c>
      <c r="M232" s="90">
        <f>IF($K232="","",$K232-$L232)</f>
        <v/>
      </c>
      <c r="N232" s="90">
        <f>IF(OR($M232="",$D232=""),"",ROUND($M232*IFERROR(IF(VLOOKUP($D232,Setup!$A$76:$C$87,3,FALSE)="",Setup!$B$14,VLOOKUP($D232,Setup!$A$76:$C$87,3,FALSE)),Setup!$B$14),2))</f>
        <v/>
      </c>
      <c r="O232" s="90">
        <f>IF(OR($M232="",$E232=""),"",ROUND($M232*IFERROR(IF(VLOOKUP($E232,Setup!$A$76:$C$87,3,FALSE)="",Setup!$B$15,VLOOKUP($E232,Setup!$A$76:$C$87,3,FALSE)),Setup!$B$15),2))</f>
        <v/>
      </c>
      <c r="P232" s="99" t="n"/>
      <c r="Q232" s="99" t="n"/>
      <c r="R232" s="99" t="n"/>
      <c r="S232" s="99" t="n"/>
      <c r="T232" s="99" t="n"/>
      <c r="U232" s="90">
        <f>IF($K232="","",SUM($R232:$T232))</f>
        <v/>
      </c>
      <c r="V232" s="90">
        <f>IF($K232="","",$M232-(N($N232)+N($O232)+IF($P232="",Setup!$B$17,$P232)+N($Q232))-N($U232))</f>
        <v/>
      </c>
      <c r="W232" s="95" t="n"/>
      <c r="X232" s="96" t="n"/>
      <c r="Z232" s="93">
        <f>IF($A232="","",DATE(YEAR($A232),MONTH($A232),1))</f>
        <v/>
      </c>
    </row>
    <row r="233">
      <c r="A233" s="86" t="n"/>
      <c r="B233" s="87" t="n"/>
      <c r="C233" s="87" t="n"/>
      <c r="D233" s="88" t="n"/>
      <c r="E233" s="88" t="n"/>
      <c r="F233" s="88" t="n"/>
      <c r="G233" s="88" t="n"/>
      <c r="H233" s="89" t="n"/>
      <c r="I233" s="90">
        <f>IF($G233="","",IF($F233="",IFERROR(INDEX(Setup!$C$21:$C$60,MATCH("|"&amp;UPPER(TRIM($G233)),Setup!$Q$21:$Q$60,0)),"NO RATE"),IFERROR(INDEX(Setup!$C$21:$C$60,MATCH(UPPER(TRIM($F233))&amp;"|"&amp;UPPER(TRIM($G233)),Setup!$P$21:$P$60,0)),IFERROR(INDEX(Setup!$C$21:$C$60,MATCH(UPPER(TRIM($G233))&amp;"|"&amp;UPPER(TRIM($F233)),Setup!$P$21:$P$60,0)),"NO RATE"))))</f>
        <v/>
      </c>
      <c r="J233" s="91" t="n"/>
      <c r="K233" s="90">
        <f>IF(OR($G233="",$H233="",NOT(ISNUMBER($I233))),"",ROUND($H233*$I233*(1+IF($J233="",Setup!$B$16,$J233)),2))</f>
        <v/>
      </c>
      <c r="L233" s="90">
        <f>IF($K233="","",ROUND($K233*Setup!$B$13,2))</f>
        <v/>
      </c>
      <c r="M233" s="90">
        <f>IF($K233="","",$K233-$L233)</f>
        <v/>
      </c>
      <c r="N233" s="90">
        <f>IF(OR($M233="",$D233=""),"",ROUND($M233*IFERROR(IF(VLOOKUP($D233,Setup!$A$76:$C$87,3,FALSE)="",Setup!$B$14,VLOOKUP($D233,Setup!$A$76:$C$87,3,FALSE)),Setup!$B$14),2))</f>
        <v/>
      </c>
      <c r="O233" s="90">
        <f>IF(OR($M233="",$E233=""),"",ROUND($M233*IFERROR(IF(VLOOKUP($E233,Setup!$A$76:$C$87,3,FALSE)="",Setup!$B$15,VLOOKUP($E233,Setup!$A$76:$C$87,3,FALSE)),Setup!$B$15),2))</f>
        <v/>
      </c>
      <c r="P233" s="92" t="n"/>
      <c r="Q233" s="92" t="n"/>
      <c r="R233" s="92" t="n"/>
      <c r="S233" s="92" t="n"/>
      <c r="T233" s="92" t="n"/>
      <c r="U233" s="90">
        <f>IF($K233="","",SUM($R233:$T233))</f>
        <v/>
      </c>
      <c r="V233" s="90">
        <f>IF($K233="","",$M233-(N($N233)+N($O233)+IF($P233="",Setup!$B$17,$P233)+N($Q233))-N($U233))</f>
        <v/>
      </c>
      <c r="W233" s="87" t="n"/>
      <c r="X233" s="88" t="n"/>
      <c r="Z233" s="93">
        <f>IF($A233="","",DATE(YEAR($A233),MONTH($A233),1))</f>
        <v/>
      </c>
    </row>
    <row r="234">
      <c r="A234" s="94" t="n"/>
      <c r="B234" s="95" t="n"/>
      <c r="C234" s="95" t="n"/>
      <c r="D234" s="96" t="n"/>
      <c r="E234" s="96" t="n"/>
      <c r="F234" s="96" t="n"/>
      <c r="G234" s="96" t="n"/>
      <c r="H234" s="97" t="n"/>
      <c r="I234" s="90">
        <f>IF($G234="","",IF($F234="",IFERROR(INDEX(Setup!$C$21:$C$60,MATCH("|"&amp;UPPER(TRIM($G234)),Setup!$Q$21:$Q$60,0)),"NO RATE"),IFERROR(INDEX(Setup!$C$21:$C$60,MATCH(UPPER(TRIM($F234))&amp;"|"&amp;UPPER(TRIM($G234)),Setup!$P$21:$P$60,0)),IFERROR(INDEX(Setup!$C$21:$C$60,MATCH(UPPER(TRIM($G234))&amp;"|"&amp;UPPER(TRIM($F234)),Setup!$P$21:$P$60,0)),"NO RATE"))))</f>
        <v/>
      </c>
      <c r="J234" s="98" t="n"/>
      <c r="K234" s="90">
        <f>IF(OR($G234="",$H234="",NOT(ISNUMBER($I234))),"",ROUND($H234*$I234*(1+IF($J234="",Setup!$B$16,$J234)),2))</f>
        <v/>
      </c>
      <c r="L234" s="90">
        <f>IF($K234="","",ROUND($K234*Setup!$B$13,2))</f>
        <v/>
      </c>
      <c r="M234" s="90">
        <f>IF($K234="","",$K234-$L234)</f>
        <v/>
      </c>
      <c r="N234" s="90">
        <f>IF(OR($M234="",$D234=""),"",ROUND($M234*IFERROR(IF(VLOOKUP($D234,Setup!$A$76:$C$87,3,FALSE)="",Setup!$B$14,VLOOKUP($D234,Setup!$A$76:$C$87,3,FALSE)),Setup!$B$14),2))</f>
        <v/>
      </c>
      <c r="O234" s="90">
        <f>IF(OR($M234="",$E234=""),"",ROUND($M234*IFERROR(IF(VLOOKUP($E234,Setup!$A$76:$C$87,3,FALSE)="",Setup!$B$15,VLOOKUP($E234,Setup!$A$76:$C$87,3,FALSE)),Setup!$B$15),2))</f>
        <v/>
      </c>
      <c r="P234" s="99" t="n"/>
      <c r="Q234" s="99" t="n"/>
      <c r="R234" s="99" t="n"/>
      <c r="S234" s="99" t="n"/>
      <c r="T234" s="99" t="n"/>
      <c r="U234" s="90">
        <f>IF($K234="","",SUM($R234:$T234))</f>
        <v/>
      </c>
      <c r="V234" s="90">
        <f>IF($K234="","",$M234-(N($N234)+N($O234)+IF($P234="",Setup!$B$17,$P234)+N($Q234))-N($U234))</f>
        <v/>
      </c>
      <c r="W234" s="95" t="n"/>
      <c r="X234" s="96" t="n"/>
      <c r="Z234" s="93">
        <f>IF($A234="","",DATE(YEAR($A234),MONTH($A234),1))</f>
        <v/>
      </c>
    </row>
    <row r="235">
      <c r="A235" s="86" t="n"/>
      <c r="B235" s="87" t="n"/>
      <c r="C235" s="87" t="n"/>
      <c r="D235" s="88" t="n"/>
      <c r="E235" s="88" t="n"/>
      <c r="F235" s="88" t="n"/>
      <c r="G235" s="88" t="n"/>
      <c r="H235" s="89" t="n"/>
      <c r="I235" s="90">
        <f>IF($G235="","",IF($F235="",IFERROR(INDEX(Setup!$C$21:$C$60,MATCH("|"&amp;UPPER(TRIM($G235)),Setup!$Q$21:$Q$60,0)),"NO RATE"),IFERROR(INDEX(Setup!$C$21:$C$60,MATCH(UPPER(TRIM($F235))&amp;"|"&amp;UPPER(TRIM($G235)),Setup!$P$21:$P$60,0)),IFERROR(INDEX(Setup!$C$21:$C$60,MATCH(UPPER(TRIM($G235))&amp;"|"&amp;UPPER(TRIM($F235)),Setup!$P$21:$P$60,0)),"NO RATE"))))</f>
        <v/>
      </c>
      <c r="J235" s="91" t="n"/>
      <c r="K235" s="90">
        <f>IF(OR($G235="",$H235="",NOT(ISNUMBER($I235))),"",ROUND($H235*$I235*(1+IF($J235="",Setup!$B$16,$J235)),2))</f>
        <v/>
      </c>
      <c r="L235" s="90">
        <f>IF($K235="","",ROUND($K235*Setup!$B$13,2))</f>
        <v/>
      </c>
      <c r="M235" s="90">
        <f>IF($K235="","",$K235-$L235)</f>
        <v/>
      </c>
      <c r="N235" s="90">
        <f>IF(OR($M235="",$D235=""),"",ROUND($M235*IFERROR(IF(VLOOKUP($D235,Setup!$A$76:$C$87,3,FALSE)="",Setup!$B$14,VLOOKUP($D235,Setup!$A$76:$C$87,3,FALSE)),Setup!$B$14),2))</f>
        <v/>
      </c>
      <c r="O235" s="90">
        <f>IF(OR($M235="",$E235=""),"",ROUND($M235*IFERROR(IF(VLOOKUP($E235,Setup!$A$76:$C$87,3,FALSE)="",Setup!$B$15,VLOOKUP($E235,Setup!$A$76:$C$87,3,FALSE)),Setup!$B$15),2))</f>
        <v/>
      </c>
      <c r="P235" s="92" t="n"/>
      <c r="Q235" s="92" t="n"/>
      <c r="R235" s="92" t="n"/>
      <c r="S235" s="92" t="n"/>
      <c r="T235" s="92" t="n"/>
      <c r="U235" s="90">
        <f>IF($K235="","",SUM($R235:$T235))</f>
        <v/>
      </c>
      <c r="V235" s="90">
        <f>IF($K235="","",$M235-(N($N235)+N($O235)+IF($P235="",Setup!$B$17,$P235)+N($Q235))-N($U235))</f>
        <v/>
      </c>
      <c r="W235" s="87" t="n"/>
      <c r="X235" s="88" t="n"/>
      <c r="Z235" s="93">
        <f>IF($A235="","",DATE(YEAR($A235),MONTH($A235),1))</f>
        <v/>
      </c>
    </row>
    <row r="236">
      <c r="A236" s="94" t="n"/>
      <c r="B236" s="95" t="n"/>
      <c r="C236" s="95" t="n"/>
      <c r="D236" s="96" t="n"/>
      <c r="E236" s="96" t="n"/>
      <c r="F236" s="96" t="n"/>
      <c r="G236" s="96" t="n"/>
      <c r="H236" s="97" t="n"/>
      <c r="I236" s="90">
        <f>IF($G236="","",IF($F236="",IFERROR(INDEX(Setup!$C$21:$C$60,MATCH("|"&amp;UPPER(TRIM($G236)),Setup!$Q$21:$Q$60,0)),"NO RATE"),IFERROR(INDEX(Setup!$C$21:$C$60,MATCH(UPPER(TRIM($F236))&amp;"|"&amp;UPPER(TRIM($G236)),Setup!$P$21:$P$60,0)),IFERROR(INDEX(Setup!$C$21:$C$60,MATCH(UPPER(TRIM($G236))&amp;"|"&amp;UPPER(TRIM($F236)),Setup!$P$21:$P$60,0)),"NO RATE"))))</f>
        <v/>
      </c>
      <c r="J236" s="98" t="n"/>
      <c r="K236" s="90">
        <f>IF(OR($G236="",$H236="",NOT(ISNUMBER($I236))),"",ROUND($H236*$I236*(1+IF($J236="",Setup!$B$16,$J236)),2))</f>
        <v/>
      </c>
      <c r="L236" s="90">
        <f>IF($K236="","",ROUND($K236*Setup!$B$13,2))</f>
        <v/>
      </c>
      <c r="M236" s="90">
        <f>IF($K236="","",$K236-$L236)</f>
        <v/>
      </c>
      <c r="N236" s="90">
        <f>IF(OR($M236="",$D236=""),"",ROUND($M236*IFERROR(IF(VLOOKUP($D236,Setup!$A$76:$C$87,3,FALSE)="",Setup!$B$14,VLOOKUP($D236,Setup!$A$76:$C$87,3,FALSE)),Setup!$B$14),2))</f>
        <v/>
      </c>
      <c r="O236" s="90">
        <f>IF(OR($M236="",$E236=""),"",ROUND($M236*IFERROR(IF(VLOOKUP($E236,Setup!$A$76:$C$87,3,FALSE)="",Setup!$B$15,VLOOKUP($E236,Setup!$A$76:$C$87,3,FALSE)),Setup!$B$15),2))</f>
        <v/>
      </c>
      <c r="P236" s="99" t="n"/>
      <c r="Q236" s="99" t="n"/>
      <c r="R236" s="99" t="n"/>
      <c r="S236" s="99" t="n"/>
      <c r="T236" s="99" t="n"/>
      <c r="U236" s="90">
        <f>IF($K236="","",SUM($R236:$T236))</f>
        <v/>
      </c>
      <c r="V236" s="90">
        <f>IF($K236="","",$M236-(N($N236)+N($O236)+IF($P236="",Setup!$B$17,$P236)+N($Q236))-N($U236))</f>
        <v/>
      </c>
      <c r="W236" s="95" t="n"/>
      <c r="X236" s="96" t="n"/>
      <c r="Z236" s="93">
        <f>IF($A236="","",DATE(YEAR($A236),MONTH($A236),1))</f>
        <v/>
      </c>
    </row>
    <row r="237">
      <c r="A237" s="86" t="n"/>
      <c r="B237" s="87" t="n"/>
      <c r="C237" s="87" t="n"/>
      <c r="D237" s="88" t="n"/>
      <c r="E237" s="88" t="n"/>
      <c r="F237" s="88" t="n"/>
      <c r="G237" s="88" t="n"/>
      <c r="H237" s="89" t="n"/>
      <c r="I237" s="90">
        <f>IF($G237="","",IF($F237="",IFERROR(INDEX(Setup!$C$21:$C$60,MATCH("|"&amp;UPPER(TRIM($G237)),Setup!$Q$21:$Q$60,0)),"NO RATE"),IFERROR(INDEX(Setup!$C$21:$C$60,MATCH(UPPER(TRIM($F237))&amp;"|"&amp;UPPER(TRIM($G237)),Setup!$P$21:$P$60,0)),IFERROR(INDEX(Setup!$C$21:$C$60,MATCH(UPPER(TRIM($G237))&amp;"|"&amp;UPPER(TRIM($F237)),Setup!$P$21:$P$60,0)),"NO RATE"))))</f>
        <v/>
      </c>
      <c r="J237" s="91" t="n"/>
      <c r="K237" s="90">
        <f>IF(OR($G237="",$H237="",NOT(ISNUMBER($I237))),"",ROUND($H237*$I237*(1+IF($J237="",Setup!$B$16,$J237)),2))</f>
        <v/>
      </c>
      <c r="L237" s="90">
        <f>IF($K237="","",ROUND($K237*Setup!$B$13,2))</f>
        <v/>
      </c>
      <c r="M237" s="90">
        <f>IF($K237="","",$K237-$L237)</f>
        <v/>
      </c>
      <c r="N237" s="90">
        <f>IF(OR($M237="",$D237=""),"",ROUND($M237*IFERROR(IF(VLOOKUP($D237,Setup!$A$76:$C$87,3,FALSE)="",Setup!$B$14,VLOOKUP($D237,Setup!$A$76:$C$87,3,FALSE)),Setup!$B$14),2))</f>
        <v/>
      </c>
      <c r="O237" s="90">
        <f>IF(OR($M237="",$E237=""),"",ROUND($M237*IFERROR(IF(VLOOKUP($E237,Setup!$A$76:$C$87,3,FALSE)="",Setup!$B$15,VLOOKUP($E237,Setup!$A$76:$C$87,3,FALSE)),Setup!$B$15),2))</f>
        <v/>
      </c>
      <c r="P237" s="92" t="n"/>
      <c r="Q237" s="92" t="n"/>
      <c r="R237" s="92" t="n"/>
      <c r="S237" s="92" t="n"/>
      <c r="T237" s="92" t="n"/>
      <c r="U237" s="90">
        <f>IF($K237="","",SUM($R237:$T237))</f>
        <v/>
      </c>
      <c r="V237" s="90">
        <f>IF($K237="","",$M237-(N($N237)+N($O237)+IF($P237="",Setup!$B$17,$P237)+N($Q237))-N($U237))</f>
        <v/>
      </c>
      <c r="W237" s="87" t="n"/>
      <c r="X237" s="88" t="n"/>
      <c r="Z237" s="93">
        <f>IF($A237="","",DATE(YEAR($A237),MONTH($A237),1))</f>
        <v/>
      </c>
    </row>
    <row r="238">
      <c r="A238" s="94" t="n"/>
      <c r="B238" s="95" t="n"/>
      <c r="C238" s="95" t="n"/>
      <c r="D238" s="96" t="n"/>
      <c r="E238" s="96" t="n"/>
      <c r="F238" s="96" t="n"/>
      <c r="G238" s="96" t="n"/>
      <c r="H238" s="97" t="n"/>
      <c r="I238" s="90">
        <f>IF($G238="","",IF($F238="",IFERROR(INDEX(Setup!$C$21:$C$60,MATCH("|"&amp;UPPER(TRIM($G238)),Setup!$Q$21:$Q$60,0)),"NO RATE"),IFERROR(INDEX(Setup!$C$21:$C$60,MATCH(UPPER(TRIM($F238))&amp;"|"&amp;UPPER(TRIM($G238)),Setup!$P$21:$P$60,0)),IFERROR(INDEX(Setup!$C$21:$C$60,MATCH(UPPER(TRIM($G238))&amp;"|"&amp;UPPER(TRIM($F238)),Setup!$P$21:$P$60,0)),"NO RATE"))))</f>
        <v/>
      </c>
      <c r="J238" s="98" t="n"/>
      <c r="K238" s="90">
        <f>IF(OR($G238="",$H238="",NOT(ISNUMBER($I238))),"",ROUND($H238*$I238*(1+IF($J238="",Setup!$B$16,$J238)),2))</f>
        <v/>
      </c>
      <c r="L238" s="90">
        <f>IF($K238="","",ROUND($K238*Setup!$B$13,2))</f>
        <v/>
      </c>
      <c r="M238" s="90">
        <f>IF($K238="","",$K238-$L238)</f>
        <v/>
      </c>
      <c r="N238" s="90">
        <f>IF(OR($M238="",$D238=""),"",ROUND($M238*IFERROR(IF(VLOOKUP($D238,Setup!$A$76:$C$87,3,FALSE)="",Setup!$B$14,VLOOKUP($D238,Setup!$A$76:$C$87,3,FALSE)),Setup!$B$14),2))</f>
        <v/>
      </c>
      <c r="O238" s="90">
        <f>IF(OR($M238="",$E238=""),"",ROUND($M238*IFERROR(IF(VLOOKUP($E238,Setup!$A$76:$C$87,3,FALSE)="",Setup!$B$15,VLOOKUP($E238,Setup!$A$76:$C$87,3,FALSE)),Setup!$B$15),2))</f>
        <v/>
      </c>
      <c r="P238" s="99" t="n"/>
      <c r="Q238" s="99" t="n"/>
      <c r="R238" s="99" t="n"/>
      <c r="S238" s="99" t="n"/>
      <c r="T238" s="99" t="n"/>
      <c r="U238" s="90">
        <f>IF($K238="","",SUM($R238:$T238))</f>
        <v/>
      </c>
      <c r="V238" s="90">
        <f>IF($K238="","",$M238-(N($N238)+N($O238)+IF($P238="",Setup!$B$17,$P238)+N($Q238))-N($U238))</f>
        <v/>
      </c>
      <c r="W238" s="95" t="n"/>
      <c r="X238" s="96" t="n"/>
      <c r="Z238" s="93">
        <f>IF($A238="","",DATE(YEAR($A238),MONTH($A238),1))</f>
        <v/>
      </c>
    </row>
    <row r="239">
      <c r="A239" s="86" t="n"/>
      <c r="B239" s="87" t="n"/>
      <c r="C239" s="87" t="n"/>
      <c r="D239" s="88" t="n"/>
      <c r="E239" s="88" t="n"/>
      <c r="F239" s="88" t="n"/>
      <c r="G239" s="88" t="n"/>
      <c r="H239" s="89" t="n"/>
      <c r="I239" s="90">
        <f>IF($G239="","",IF($F239="",IFERROR(INDEX(Setup!$C$21:$C$60,MATCH("|"&amp;UPPER(TRIM($G239)),Setup!$Q$21:$Q$60,0)),"NO RATE"),IFERROR(INDEX(Setup!$C$21:$C$60,MATCH(UPPER(TRIM($F239))&amp;"|"&amp;UPPER(TRIM($G239)),Setup!$P$21:$P$60,0)),IFERROR(INDEX(Setup!$C$21:$C$60,MATCH(UPPER(TRIM($G239))&amp;"|"&amp;UPPER(TRIM($F239)),Setup!$P$21:$P$60,0)),"NO RATE"))))</f>
        <v/>
      </c>
      <c r="J239" s="91" t="n"/>
      <c r="K239" s="90">
        <f>IF(OR($G239="",$H239="",NOT(ISNUMBER($I239))),"",ROUND($H239*$I239*(1+IF($J239="",Setup!$B$16,$J239)),2))</f>
        <v/>
      </c>
      <c r="L239" s="90">
        <f>IF($K239="","",ROUND($K239*Setup!$B$13,2))</f>
        <v/>
      </c>
      <c r="M239" s="90">
        <f>IF($K239="","",$K239-$L239)</f>
        <v/>
      </c>
      <c r="N239" s="90">
        <f>IF(OR($M239="",$D239=""),"",ROUND($M239*IFERROR(IF(VLOOKUP($D239,Setup!$A$76:$C$87,3,FALSE)="",Setup!$B$14,VLOOKUP($D239,Setup!$A$76:$C$87,3,FALSE)),Setup!$B$14),2))</f>
        <v/>
      </c>
      <c r="O239" s="90">
        <f>IF(OR($M239="",$E239=""),"",ROUND($M239*IFERROR(IF(VLOOKUP($E239,Setup!$A$76:$C$87,3,FALSE)="",Setup!$B$15,VLOOKUP($E239,Setup!$A$76:$C$87,3,FALSE)),Setup!$B$15),2))</f>
        <v/>
      </c>
      <c r="P239" s="92" t="n"/>
      <c r="Q239" s="92" t="n"/>
      <c r="R239" s="92" t="n"/>
      <c r="S239" s="92" t="n"/>
      <c r="T239" s="92" t="n"/>
      <c r="U239" s="90">
        <f>IF($K239="","",SUM($R239:$T239))</f>
        <v/>
      </c>
      <c r="V239" s="90">
        <f>IF($K239="","",$M239-(N($N239)+N($O239)+IF($P239="",Setup!$B$17,$P239)+N($Q239))-N($U239))</f>
        <v/>
      </c>
      <c r="W239" s="87" t="n"/>
      <c r="X239" s="88" t="n"/>
      <c r="Z239" s="93">
        <f>IF($A239="","",DATE(YEAR($A239),MONTH($A239),1))</f>
        <v/>
      </c>
    </row>
    <row r="240">
      <c r="A240" s="94" t="n"/>
      <c r="B240" s="95" t="n"/>
      <c r="C240" s="95" t="n"/>
      <c r="D240" s="96" t="n"/>
      <c r="E240" s="96" t="n"/>
      <c r="F240" s="96" t="n"/>
      <c r="G240" s="96" t="n"/>
      <c r="H240" s="97" t="n"/>
      <c r="I240" s="90">
        <f>IF($G240="","",IF($F240="",IFERROR(INDEX(Setup!$C$21:$C$60,MATCH("|"&amp;UPPER(TRIM($G240)),Setup!$Q$21:$Q$60,0)),"NO RATE"),IFERROR(INDEX(Setup!$C$21:$C$60,MATCH(UPPER(TRIM($F240))&amp;"|"&amp;UPPER(TRIM($G240)),Setup!$P$21:$P$60,0)),IFERROR(INDEX(Setup!$C$21:$C$60,MATCH(UPPER(TRIM($G240))&amp;"|"&amp;UPPER(TRIM($F240)),Setup!$P$21:$P$60,0)),"NO RATE"))))</f>
        <v/>
      </c>
      <c r="J240" s="98" t="n"/>
      <c r="K240" s="90">
        <f>IF(OR($G240="",$H240="",NOT(ISNUMBER($I240))),"",ROUND($H240*$I240*(1+IF($J240="",Setup!$B$16,$J240)),2))</f>
        <v/>
      </c>
      <c r="L240" s="90">
        <f>IF($K240="","",ROUND($K240*Setup!$B$13,2))</f>
        <v/>
      </c>
      <c r="M240" s="90">
        <f>IF($K240="","",$K240-$L240)</f>
        <v/>
      </c>
      <c r="N240" s="90">
        <f>IF(OR($M240="",$D240=""),"",ROUND($M240*IFERROR(IF(VLOOKUP($D240,Setup!$A$76:$C$87,3,FALSE)="",Setup!$B$14,VLOOKUP($D240,Setup!$A$76:$C$87,3,FALSE)),Setup!$B$14),2))</f>
        <v/>
      </c>
      <c r="O240" s="90">
        <f>IF(OR($M240="",$E240=""),"",ROUND($M240*IFERROR(IF(VLOOKUP($E240,Setup!$A$76:$C$87,3,FALSE)="",Setup!$B$15,VLOOKUP($E240,Setup!$A$76:$C$87,3,FALSE)),Setup!$B$15),2))</f>
        <v/>
      </c>
      <c r="P240" s="99" t="n"/>
      <c r="Q240" s="99" t="n"/>
      <c r="R240" s="99" t="n"/>
      <c r="S240" s="99" t="n"/>
      <c r="T240" s="99" t="n"/>
      <c r="U240" s="90">
        <f>IF($K240="","",SUM($R240:$T240))</f>
        <v/>
      </c>
      <c r="V240" s="90">
        <f>IF($K240="","",$M240-(N($N240)+N($O240)+IF($P240="",Setup!$B$17,$P240)+N($Q240))-N($U240))</f>
        <v/>
      </c>
      <c r="W240" s="95" t="n"/>
      <c r="X240" s="96" t="n"/>
      <c r="Z240" s="93">
        <f>IF($A240="","",DATE(YEAR($A240),MONTH($A240),1))</f>
        <v/>
      </c>
    </row>
    <row r="241">
      <c r="A241" s="86" t="n"/>
      <c r="B241" s="87" t="n"/>
      <c r="C241" s="87" t="n"/>
      <c r="D241" s="88" t="n"/>
      <c r="E241" s="88" t="n"/>
      <c r="F241" s="88" t="n"/>
      <c r="G241" s="88" t="n"/>
      <c r="H241" s="89" t="n"/>
      <c r="I241" s="90">
        <f>IF($G241="","",IF($F241="",IFERROR(INDEX(Setup!$C$21:$C$60,MATCH("|"&amp;UPPER(TRIM($G241)),Setup!$Q$21:$Q$60,0)),"NO RATE"),IFERROR(INDEX(Setup!$C$21:$C$60,MATCH(UPPER(TRIM($F241))&amp;"|"&amp;UPPER(TRIM($G241)),Setup!$P$21:$P$60,0)),IFERROR(INDEX(Setup!$C$21:$C$60,MATCH(UPPER(TRIM($G241))&amp;"|"&amp;UPPER(TRIM($F241)),Setup!$P$21:$P$60,0)),"NO RATE"))))</f>
        <v/>
      </c>
      <c r="J241" s="91" t="n"/>
      <c r="K241" s="90">
        <f>IF(OR($G241="",$H241="",NOT(ISNUMBER($I241))),"",ROUND($H241*$I241*(1+IF($J241="",Setup!$B$16,$J241)),2))</f>
        <v/>
      </c>
      <c r="L241" s="90">
        <f>IF($K241="","",ROUND($K241*Setup!$B$13,2))</f>
        <v/>
      </c>
      <c r="M241" s="90">
        <f>IF($K241="","",$K241-$L241)</f>
        <v/>
      </c>
      <c r="N241" s="90">
        <f>IF(OR($M241="",$D241=""),"",ROUND($M241*IFERROR(IF(VLOOKUP($D241,Setup!$A$76:$C$87,3,FALSE)="",Setup!$B$14,VLOOKUP($D241,Setup!$A$76:$C$87,3,FALSE)),Setup!$B$14),2))</f>
        <v/>
      </c>
      <c r="O241" s="90">
        <f>IF(OR($M241="",$E241=""),"",ROUND($M241*IFERROR(IF(VLOOKUP($E241,Setup!$A$76:$C$87,3,FALSE)="",Setup!$B$15,VLOOKUP($E241,Setup!$A$76:$C$87,3,FALSE)),Setup!$B$15),2))</f>
        <v/>
      </c>
      <c r="P241" s="92" t="n"/>
      <c r="Q241" s="92" t="n"/>
      <c r="R241" s="92" t="n"/>
      <c r="S241" s="92" t="n"/>
      <c r="T241" s="92" t="n"/>
      <c r="U241" s="90">
        <f>IF($K241="","",SUM($R241:$T241))</f>
        <v/>
      </c>
      <c r="V241" s="90">
        <f>IF($K241="","",$M241-(N($N241)+N($O241)+IF($P241="",Setup!$B$17,$P241)+N($Q241))-N($U241))</f>
        <v/>
      </c>
      <c r="W241" s="87" t="n"/>
      <c r="X241" s="88" t="n"/>
      <c r="Z241" s="93">
        <f>IF($A241="","",DATE(YEAR($A241),MONTH($A241),1))</f>
        <v/>
      </c>
    </row>
    <row r="242">
      <c r="A242" s="94" t="n"/>
      <c r="B242" s="95" t="n"/>
      <c r="C242" s="95" t="n"/>
      <c r="D242" s="96" t="n"/>
      <c r="E242" s="96" t="n"/>
      <c r="F242" s="96" t="n"/>
      <c r="G242" s="96" t="n"/>
      <c r="H242" s="97" t="n"/>
      <c r="I242" s="90">
        <f>IF($G242="","",IF($F242="",IFERROR(INDEX(Setup!$C$21:$C$60,MATCH("|"&amp;UPPER(TRIM($G242)),Setup!$Q$21:$Q$60,0)),"NO RATE"),IFERROR(INDEX(Setup!$C$21:$C$60,MATCH(UPPER(TRIM($F242))&amp;"|"&amp;UPPER(TRIM($G242)),Setup!$P$21:$P$60,0)),IFERROR(INDEX(Setup!$C$21:$C$60,MATCH(UPPER(TRIM($G242))&amp;"|"&amp;UPPER(TRIM($F242)),Setup!$P$21:$P$60,0)),"NO RATE"))))</f>
        <v/>
      </c>
      <c r="J242" s="98" t="n"/>
      <c r="K242" s="90">
        <f>IF(OR($G242="",$H242="",NOT(ISNUMBER($I242))),"",ROUND($H242*$I242*(1+IF($J242="",Setup!$B$16,$J242)),2))</f>
        <v/>
      </c>
      <c r="L242" s="90">
        <f>IF($K242="","",ROUND($K242*Setup!$B$13,2))</f>
        <v/>
      </c>
      <c r="M242" s="90">
        <f>IF($K242="","",$K242-$L242)</f>
        <v/>
      </c>
      <c r="N242" s="90">
        <f>IF(OR($M242="",$D242=""),"",ROUND($M242*IFERROR(IF(VLOOKUP($D242,Setup!$A$76:$C$87,3,FALSE)="",Setup!$B$14,VLOOKUP($D242,Setup!$A$76:$C$87,3,FALSE)),Setup!$B$14),2))</f>
        <v/>
      </c>
      <c r="O242" s="90">
        <f>IF(OR($M242="",$E242=""),"",ROUND($M242*IFERROR(IF(VLOOKUP($E242,Setup!$A$76:$C$87,3,FALSE)="",Setup!$B$15,VLOOKUP($E242,Setup!$A$76:$C$87,3,FALSE)),Setup!$B$15),2))</f>
        <v/>
      </c>
      <c r="P242" s="99" t="n"/>
      <c r="Q242" s="99" t="n"/>
      <c r="R242" s="99" t="n"/>
      <c r="S242" s="99" t="n"/>
      <c r="T242" s="99" t="n"/>
      <c r="U242" s="90">
        <f>IF($K242="","",SUM($R242:$T242))</f>
        <v/>
      </c>
      <c r="V242" s="90">
        <f>IF($K242="","",$M242-(N($N242)+N($O242)+IF($P242="",Setup!$B$17,$P242)+N($Q242))-N($U242))</f>
        <v/>
      </c>
      <c r="W242" s="95" t="n"/>
      <c r="X242" s="96" t="n"/>
      <c r="Z242" s="93">
        <f>IF($A242="","",DATE(YEAR($A242),MONTH($A242),1))</f>
        <v/>
      </c>
    </row>
    <row r="243">
      <c r="A243" s="86" t="n"/>
      <c r="B243" s="87" t="n"/>
      <c r="C243" s="87" t="n"/>
      <c r="D243" s="88" t="n"/>
      <c r="E243" s="88" t="n"/>
      <c r="F243" s="88" t="n"/>
      <c r="G243" s="88" t="n"/>
      <c r="H243" s="89" t="n"/>
      <c r="I243" s="90">
        <f>IF($G243="","",IF($F243="",IFERROR(INDEX(Setup!$C$21:$C$60,MATCH("|"&amp;UPPER(TRIM($G243)),Setup!$Q$21:$Q$60,0)),"NO RATE"),IFERROR(INDEX(Setup!$C$21:$C$60,MATCH(UPPER(TRIM($F243))&amp;"|"&amp;UPPER(TRIM($G243)),Setup!$P$21:$P$60,0)),IFERROR(INDEX(Setup!$C$21:$C$60,MATCH(UPPER(TRIM($G243))&amp;"|"&amp;UPPER(TRIM($F243)),Setup!$P$21:$P$60,0)),"NO RATE"))))</f>
        <v/>
      </c>
      <c r="J243" s="91" t="n"/>
      <c r="K243" s="90">
        <f>IF(OR($G243="",$H243="",NOT(ISNUMBER($I243))),"",ROUND($H243*$I243*(1+IF($J243="",Setup!$B$16,$J243)),2))</f>
        <v/>
      </c>
      <c r="L243" s="90">
        <f>IF($K243="","",ROUND($K243*Setup!$B$13,2))</f>
        <v/>
      </c>
      <c r="M243" s="90">
        <f>IF($K243="","",$K243-$L243)</f>
        <v/>
      </c>
      <c r="N243" s="90">
        <f>IF(OR($M243="",$D243=""),"",ROUND($M243*IFERROR(IF(VLOOKUP($D243,Setup!$A$76:$C$87,3,FALSE)="",Setup!$B$14,VLOOKUP($D243,Setup!$A$76:$C$87,3,FALSE)),Setup!$B$14),2))</f>
        <v/>
      </c>
      <c r="O243" s="90">
        <f>IF(OR($M243="",$E243=""),"",ROUND($M243*IFERROR(IF(VLOOKUP($E243,Setup!$A$76:$C$87,3,FALSE)="",Setup!$B$15,VLOOKUP($E243,Setup!$A$76:$C$87,3,FALSE)),Setup!$B$15),2))</f>
        <v/>
      </c>
      <c r="P243" s="92" t="n"/>
      <c r="Q243" s="92" t="n"/>
      <c r="R243" s="92" t="n"/>
      <c r="S243" s="92" t="n"/>
      <c r="T243" s="92" t="n"/>
      <c r="U243" s="90">
        <f>IF($K243="","",SUM($R243:$T243))</f>
        <v/>
      </c>
      <c r="V243" s="90">
        <f>IF($K243="","",$M243-(N($N243)+N($O243)+IF($P243="",Setup!$B$17,$P243)+N($Q243))-N($U243))</f>
        <v/>
      </c>
      <c r="W243" s="87" t="n"/>
      <c r="X243" s="88" t="n"/>
      <c r="Z243" s="93">
        <f>IF($A243="","",DATE(YEAR($A243),MONTH($A243),1))</f>
        <v/>
      </c>
    </row>
    <row r="244">
      <c r="A244" s="94" t="n"/>
      <c r="B244" s="95" t="n"/>
      <c r="C244" s="95" t="n"/>
      <c r="D244" s="96" t="n"/>
      <c r="E244" s="96" t="n"/>
      <c r="F244" s="96" t="n"/>
      <c r="G244" s="96" t="n"/>
      <c r="H244" s="97" t="n"/>
      <c r="I244" s="90">
        <f>IF($G244="","",IF($F244="",IFERROR(INDEX(Setup!$C$21:$C$60,MATCH("|"&amp;UPPER(TRIM($G244)),Setup!$Q$21:$Q$60,0)),"NO RATE"),IFERROR(INDEX(Setup!$C$21:$C$60,MATCH(UPPER(TRIM($F244))&amp;"|"&amp;UPPER(TRIM($G244)),Setup!$P$21:$P$60,0)),IFERROR(INDEX(Setup!$C$21:$C$60,MATCH(UPPER(TRIM($G244))&amp;"|"&amp;UPPER(TRIM($F244)),Setup!$P$21:$P$60,0)),"NO RATE"))))</f>
        <v/>
      </c>
      <c r="J244" s="98" t="n"/>
      <c r="K244" s="90">
        <f>IF(OR($G244="",$H244="",NOT(ISNUMBER($I244))),"",ROUND($H244*$I244*(1+IF($J244="",Setup!$B$16,$J244)),2))</f>
        <v/>
      </c>
      <c r="L244" s="90">
        <f>IF($K244="","",ROUND($K244*Setup!$B$13,2))</f>
        <v/>
      </c>
      <c r="M244" s="90">
        <f>IF($K244="","",$K244-$L244)</f>
        <v/>
      </c>
      <c r="N244" s="90">
        <f>IF(OR($M244="",$D244=""),"",ROUND($M244*IFERROR(IF(VLOOKUP($D244,Setup!$A$76:$C$87,3,FALSE)="",Setup!$B$14,VLOOKUP($D244,Setup!$A$76:$C$87,3,FALSE)),Setup!$B$14),2))</f>
        <v/>
      </c>
      <c r="O244" s="90">
        <f>IF(OR($M244="",$E244=""),"",ROUND($M244*IFERROR(IF(VLOOKUP($E244,Setup!$A$76:$C$87,3,FALSE)="",Setup!$B$15,VLOOKUP($E244,Setup!$A$76:$C$87,3,FALSE)),Setup!$B$15),2))</f>
        <v/>
      </c>
      <c r="P244" s="99" t="n"/>
      <c r="Q244" s="99" t="n"/>
      <c r="R244" s="99" t="n"/>
      <c r="S244" s="99" t="n"/>
      <c r="T244" s="99" t="n"/>
      <c r="U244" s="90">
        <f>IF($K244="","",SUM($R244:$T244))</f>
        <v/>
      </c>
      <c r="V244" s="90">
        <f>IF($K244="","",$M244-(N($N244)+N($O244)+IF($P244="",Setup!$B$17,$P244)+N($Q244))-N($U244))</f>
        <v/>
      </c>
      <c r="W244" s="95" t="n"/>
      <c r="X244" s="96" t="n"/>
      <c r="Z244" s="93">
        <f>IF($A244="","",DATE(YEAR($A244),MONTH($A244),1))</f>
        <v/>
      </c>
    </row>
    <row r="245">
      <c r="A245" s="86" t="n"/>
      <c r="B245" s="87" t="n"/>
      <c r="C245" s="87" t="n"/>
      <c r="D245" s="88" t="n"/>
      <c r="E245" s="88" t="n"/>
      <c r="F245" s="88" t="n"/>
      <c r="G245" s="88" t="n"/>
      <c r="H245" s="89" t="n"/>
      <c r="I245" s="90">
        <f>IF($G245="","",IF($F245="",IFERROR(INDEX(Setup!$C$21:$C$60,MATCH("|"&amp;UPPER(TRIM($G245)),Setup!$Q$21:$Q$60,0)),"NO RATE"),IFERROR(INDEX(Setup!$C$21:$C$60,MATCH(UPPER(TRIM($F245))&amp;"|"&amp;UPPER(TRIM($G245)),Setup!$P$21:$P$60,0)),IFERROR(INDEX(Setup!$C$21:$C$60,MATCH(UPPER(TRIM($G245))&amp;"|"&amp;UPPER(TRIM($F245)),Setup!$P$21:$P$60,0)),"NO RATE"))))</f>
        <v/>
      </c>
      <c r="J245" s="91" t="n"/>
      <c r="K245" s="90">
        <f>IF(OR($G245="",$H245="",NOT(ISNUMBER($I245))),"",ROUND($H245*$I245*(1+IF($J245="",Setup!$B$16,$J245)),2))</f>
        <v/>
      </c>
      <c r="L245" s="90">
        <f>IF($K245="","",ROUND($K245*Setup!$B$13,2))</f>
        <v/>
      </c>
      <c r="M245" s="90">
        <f>IF($K245="","",$K245-$L245)</f>
        <v/>
      </c>
      <c r="N245" s="90">
        <f>IF(OR($M245="",$D245=""),"",ROUND($M245*IFERROR(IF(VLOOKUP($D245,Setup!$A$76:$C$87,3,FALSE)="",Setup!$B$14,VLOOKUP($D245,Setup!$A$76:$C$87,3,FALSE)),Setup!$B$14),2))</f>
        <v/>
      </c>
      <c r="O245" s="90">
        <f>IF(OR($M245="",$E245=""),"",ROUND($M245*IFERROR(IF(VLOOKUP($E245,Setup!$A$76:$C$87,3,FALSE)="",Setup!$B$15,VLOOKUP($E245,Setup!$A$76:$C$87,3,FALSE)),Setup!$B$15),2))</f>
        <v/>
      </c>
      <c r="P245" s="92" t="n"/>
      <c r="Q245" s="92" t="n"/>
      <c r="R245" s="92" t="n"/>
      <c r="S245" s="92" t="n"/>
      <c r="T245" s="92" t="n"/>
      <c r="U245" s="90">
        <f>IF($K245="","",SUM($R245:$T245))</f>
        <v/>
      </c>
      <c r="V245" s="90">
        <f>IF($K245="","",$M245-(N($N245)+N($O245)+IF($P245="",Setup!$B$17,$P245)+N($Q245))-N($U245))</f>
        <v/>
      </c>
      <c r="W245" s="87" t="n"/>
      <c r="X245" s="88" t="n"/>
      <c r="Z245" s="93">
        <f>IF($A245="","",DATE(YEAR($A245),MONTH($A245),1))</f>
        <v/>
      </c>
    </row>
    <row r="246">
      <c r="A246" s="94" t="n"/>
      <c r="B246" s="95" t="n"/>
      <c r="C246" s="95" t="n"/>
      <c r="D246" s="96" t="n"/>
      <c r="E246" s="96" t="n"/>
      <c r="F246" s="96" t="n"/>
      <c r="G246" s="96" t="n"/>
      <c r="H246" s="97" t="n"/>
      <c r="I246" s="90">
        <f>IF($G246="","",IF($F246="",IFERROR(INDEX(Setup!$C$21:$C$60,MATCH("|"&amp;UPPER(TRIM($G246)),Setup!$Q$21:$Q$60,0)),"NO RATE"),IFERROR(INDEX(Setup!$C$21:$C$60,MATCH(UPPER(TRIM($F246))&amp;"|"&amp;UPPER(TRIM($G246)),Setup!$P$21:$P$60,0)),IFERROR(INDEX(Setup!$C$21:$C$60,MATCH(UPPER(TRIM($G246))&amp;"|"&amp;UPPER(TRIM($F246)),Setup!$P$21:$P$60,0)),"NO RATE"))))</f>
        <v/>
      </c>
      <c r="J246" s="98" t="n"/>
      <c r="K246" s="90">
        <f>IF(OR($G246="",$H246="",NOT(ISNUMBER($I246))),"",ROUND($H246*$I246*(1+IF($J246="",Setup!$B$16,$J246)),2))</f>
        <v/>
      </c>
      <c r="L246" s="90">
        <f>IF($K246="","",ROUND($K246*Setup!$B$13,2))</f>
        <v/>
      </c>
      <c r="M246" s="90">
        <f>IF($K246="","",$K246-$L246)</f>
        <v/>
      </c>
      <c r="N246" s="90">
        <f>IF(OR($M246="",$D246=""),"",ROUND($M246*IFERROR(IF(VLOOKUP($D246,Setup!$A$76:$C$87,3,FALSE)="",Setup!$B$14,VLOOKUP($D246,Setup!$A$76:$C$87,3,FALSE)),Setup!$B$14),2))</f>
        <v/>
      </c>
      <c r="O246" s="90">
        <f>IF(OR($M246="",$E246=""),"",ROUND($M246*IFERROR(IF(VLOOKUP($E246,Setup!$A$76:$C$87,3,FALSE)="",Setup!$B$15,VLOOKUP($E246,Setup!$A$76:$C$87,3,FALSE)),Setup!$B$15),2))</f>
        <v/>
      </c>
      <c r="P246" s="99" t="n"/>
      <c r="Q246" s="99" t="n"/>
      <c r="R246" s="99" t="n"/>
      <c r="S246" s="99" t="n"/>
      <c r="T246" s="99" t="n"/>
      <c r="U246" s="90">
        <f>IF($K246="","",SUM($R246:$T246))</f>
        <v/>
      </c>
      <c r="V246" s="90">
        <f>IF($K246="","",$M246-(N($N246)+N($O246)+IF($P246="",Setup!$B$17,$P246)+N($Q246))-N($U246))</f>
        <v/>
      </c>
      <c r="W246" s="95" t="n"/>
      <c r="X246" s="96" t="n"/>
      <c r="Z246" s="93">
        <f>IF($A246="","",DATE(YEAR($A246),MONTH($A246),1))</f>
        <v/>
      </c>
    </row>
    <row r="247">
      <c r="A247" s="86" t="n"/>
      <c r="B247" s="87" t="n"/>
      <c r="C247" s="87" t="n"/>
      <c r="D247" s="88" t="n"/>
      <c r="E247" s="88" t="n"/>
      <c r="F247" s="88" t="n"/>
      <c r="G247" s="88" t="n"/>
      <c r="H247" s="89" t="n"/>
      <c r="I247" s="90">
        <f>IF($G247="","",IF($F247="",IFERROR(INDEX(Setup!$C$21:$C$60,MATCH("|"&amp;UPPER(TRIM($G247)),Setup!$Q$21:$Q$60,0)),"NO RATE"),IFERROR(INDEX(Setup!$C$21:$C$60,MATCH(UPPER(TRIM($F247))&amp;"|"&amp;UPPER(TRIM($G247)),Setup!$P$21:$P$60,0)),IFERROR(INDEX(Setup!$C$21:$C$60,MATCH(UPPER(TRIM($G247))&amp;"|"&amp;UPPER(TRIM($F247)),Setup!$P$21:$P$60,0)),"NO RATE"))))</f>
        <v/>
      </c>
      <c r="J247" s="91" t="n"/>
      <c r="K247" s="90">
        <f>IF(OR($G247="",$H247="",NOT(ISNUMBER($I247))),"",ROUND($H247*$I247*(1+IF($J247="",Setup!$B$16,$J247)),2))</f>
        <v/>
      </c>
      <c r="L247" s="90">
        <f>IF($K247="","",ROUND($K247*Setup!$B$13,2))</f>
        <v/>
      </c>
      <c r="M247" s="90">
        <f>IF($K247="","",$K247-$L247)</f>
        <v/>
      </c>
      <c r="N247" s="90">
        <f>IF(OR($M247="",$D247=""),"",ROUND($M247*IFERROR(IF(VLOOKUP($D247,Setup!$A$76:$C$87,3,FALSE)="",Setup!$B$14,VLOOKUP($D247,Setup!$A$76:$C$87,3,FALSE)),Setup!$B$14),2))</f>
        <v/>
      </c>
      <c r="O247" s="90">
        <f>IF(OR($M247="",$E247=""),"",ROUND($M247*IFERROR(IF(VLOOKUP($E247,Setup!$A$76:$C$87,3,FALSE)="",Setup!$B$15,VLOOKUP($E247,Setup!$A$76:$C$87,3,FALSE)),Setup!$B$15),2))</f>
        <v/>
      </c>
      <c r="P247" s="92" t="n"/>
      <c r="Q247" s="92" t="n"/>
      <c r="R247" s="92" t="n"/>
      <c r="S247" s="92" t="n"/>
      <c r="T247" s="92" t="n"/>
      <c r="U247" s="90">
        <f>IF($K247="","",SUM($R247:$T247))</f>
        <v/>
      </c>
      <c r="V247" s="90">
        <f>IF($K247="","",$M247-(N($N247)+N($O247)+IF($P247="",Setup!$B$17,$P247)+N($Q247))-N($U247))</f>
        <v/>
      </c>
      <c r="W247" s="87" t="n"/>
      <c r="X247" s="88" t="n"/>
      <c r="Z247" s="93">
        <f>IF($A247="","",DATE(YEAR($A247),MONTH($A247),1))</f>
        <v/>
      </c>
    </row>
    <row r="248">
      <c r="A248" s="94" t="n"/>
      <c r="B248" s="95" t="n"/>
      <c r="C248" s="95" t="n"/>
      <c r="D248" s="96" t="n"/>
      <c r="E248" s="96" t="n"/>
      <c r="F248" s="96" t="n"/>
      <c r="G248" s="96" t="n"/>
      <c r="H248" s="97" t="n"/>
      <c r="I248" s="90">
        <f>IF($G248="","",IF($F248="",IFERROR(INDEX(Setup!$C$21:$C$60,MATCH("|"&amp;UPPER(TRIM($G248)),Setup!$Q$21:$Q$60,0)),"NO RATE"),IFERROR(INDEX(Setup!$C$21:$C$60,MATCH(UPPER(TRIM($F248))&amp;"|"&amp;UPPER(TRIM($G248)),Setup!$P$21:$P$60,0)),IFERROR(INDEX(Setup!$C$21:$C$60,MATCH(UPPER(TRIM($G248))&amp;"|"&amp;UPPER(TRIM($F248)),Setup!$P$21:$P$60,0)),"NO RATE"))))</f>
        <v/>
      </c>
      <c r="J248" s="98" t="n"/>
      <c r="K248" s="90">
        <f>IF(OR($G248="",$H248="",NOT(ISNUMBER($I248))),"",ROUND($H248*$I248*(1+IF($J248="",Setup!$B$16,$J248)),2))</f>
        <v/>
      </c>
      <c r="L248" s="90">
        <f>IF($K248="","",ROUND($K248*Setup!$B$13,2))</f>
        <v/>
      </c>
      <c r="M248" s="90">
        <f>IF($K248="","",$K248-$L248)</f>
        <v/>
      </c>
      <c r="N248" s="90">
        <f>IF(OR($M248="",$D248=""),"",ROUND($M248*IFERROR(IF(VLOOKUP($D248,Setup!$A$76:$C$87,3,FALSE)="",Setup!$B$14,VLOOKUP($D248,Setup!$A$76:$C$87,3,FALSE)),Setup!$B$14),2))</f>
        <v/>
      </c>
      <c r="O248" s="90">
        <f>IF(OR($M248="",$E248=""),"",ROUND($M248*IFERROR(IF(VLOOKUP($E248,Setup!$A$76:$C$87,3,FALSE)="",Setup!$B$15,VLOOKUP($E248,Setup!$A$76:$C$87,3,FALSE)),Setup!$B$15),2))</f>
        <v/>
      </c>
      <c r="P248" s="99" t="n"/>
      <c r="Q248" s="99" t="n"/>
      <c r="R248" s="99" t="n"/>
      <c r="S248" s="99" t="n"/>
      <c r="T248" s="99" t="n"/>
      <c r="U248" s="90">
        <f>IF($K248="","",SUM($R248:$T248))</f>
        <v/>
      </c>
      <c r="V248" s="90">
        <f>IF($K248="","",$M248-(N($N248)+N($O248)+IF($P248="",Setup!$B$17,$P248)+N($Q248))-N($U248))</f>
        <v/>
      </c>
      <c r="W248" s="95" t="n"/>
      <c r="X248" s="96" t="n"/>
      <c r="Z248" s="93">
        <f>IF($A248="","",DATE(YEAR($A248),MONTH($A248),1))</f>
        <v/>
      </c>
    </row>
    <row r="249">
      <c r="A249" s="86" t="n"/>
      <c r="B249" s="87" t="n"/>
      <c r="C249" s="87" t="n"/>
      <c r="D249" s="88" t="n"/>
      <c r="E249" s="88" t="n"/>
      <c r="F249" s="88" t="n"/>
      <c r="G249" s="88" t="n"/>
      <c r="H249" s="89" t="n"/>
      <c r="I249" s="90">
        <f>IF($G249="","",IF($F249="",IFERROR(INDEX(Setup!$C$21:$C$60,MATCH("|"&amp;UPPER(TRIM($G249)),Setup!$Q$21:$Q$60,0)),"NO RATE"),IFERROR(INDEX(Setup!$C$21:$C$60,MATCH(UPPER(TRIM($F249))&amp;"|"&amp;UPPER(TRIM($G249)),Setup!$P$21:$P$60,0)),IFERROR(INDEX(Setup!$C$21:$C$60,MATCH(UPPER(TRIM($G249))&amp;"|"&amp;UPPER(TRIM($F249)),Setup!$P$21:$P$60,0)),"NO RATE"))))</f>
        <v/>
      </c>
      <c r="J249" s="91" t="n"/>
      <c r="K249" s="90">
        <f>IF(OR($G249="",$H249="",NOT(ISNUMBER($I249))),"",ROUND($H249*$I249*(1+IF($J249="",Setup!$B$16,$J249)),2))</f>
        <v/>
      </c>
      <c r="L249" s="90">
        <f>IF($K249="","",ROUND($K249*Setup!$B$13,2))</f>
        <v/>
      </c>
      <c r="M249" s="90">
        <f>IF($K249="","",$K249-$L249)</f>
        <v/>
      </c>
      <c r="N249" s="90">
        <f>IF(OR($M249="",$D249=""),"",ROUND($M249*IFERROR(IF(VLOOKUP($D249,Setup!$A$76:$C$87,3,FALSE)="",Setup!$B$14,VLOOKUP($D249,Setup!$A$76:$C$87,3,FALSE)),Setup!$B$14),2))</f>
        <v/>
      </c>
      <c r="O249" s="90">
        <f>IF(OR($M249="",$E249=""),"",ROUND($M249*IFERROR(IF(VLOOKUP($E249,Setup!$A$76:$C$87,3,FALSE)="",Setup!$B$15,VLOOKUP($E249,Setup!$A$76:$C$87,3,FALSE)),Setup!$B$15),2))</f>
        <v/>
      </c>
      <c r="P249" s="92" t="n"/>
      <c r="Q249" s="92" t="n"/>
      <c r="R249" s="92" t="n"/>
      <c r="S249" s="92" t="n"/>
      <c r="T249" s="92" t="n"/>
      <c r="U249" s="90">
        <f>IF($K249="","",SUM($R249:$T249))</f>
        <v/>
      </c>
      <c r="V249" s="90">
        <f>IF($K249="","",$M249-(N($N249)+N($O249)+IF($P249="",Setup!$B$17,$P249)+N($Q249))-N($U249))</f>
        <v/>
      </c>
      <c r="W249" s="87" t="n"/>
      <c r="X249" s="88" t="n"/>
      <c r="Z249" s="93">
        <f>IF($A249="","",DATE(YEAR($A249),MONTH($A249),1))</f>
        <v/>
      </c>
    </row>
    <row r="250">
      <c r="A250" s="94" t="n"/>
      <c r="B250" s="95" t="n"/>
      <c r="C250" s="95" t="n"/>
      <c r="D250" s="96" t="n"/>
      <c r="E250" s="96" t="n"/>
      <c r="F250" s="96" t="n"/>
      <c r="G250" s="96" t="n"/>
      <c r="H250" s="97" t="n"/>
      <c r="I250" s="90">
        <f>IF($G250="","",IF($F250="",IFERROR(INDEX(Setup!$C$21:$C$60,MATCH("|"&amp;UPPER(TRIM($G250)),Setup!$Q$21:$Q$60,0)),"NO RATE"),IFERROR(INDEX(Setup!$C$21:$C$60,MATCH(UPPER(TRIM($F250))&amp;"|"&amp;UPPER(TRIM($G250)),Setup!$P$21:$P$60,0)),IFERROR(INDEX(Setup!$C$21:$C$60,MATCH(UPPER(TRIM($G250))&amp;"|"&amp;UPPER(TRIM($F250)),Setup!$P$21:$P$60,0)),"NO RATE"))))</f>
        <v/>
      </c>
      <c r="J250" s="98" t="n"/>
      <c r="K250" s="90">
        <f>IF(OR($G250="",$H250="",NOT(ISNUMBER($I250))),"",ROUND($H250*$I250*(1+IF($J250="",Setup!$B$16,$J250)),2))</f>
        <v/>
      </c>
      <c r="L250" s="90">
        <f>IF($K250="","",ROUND($K250*Setup!$B$13,2))</f>
        <v/>
      </c>
      <c r="M250" s="90">
        <f>IF($K250="","",$K250-$L250)</f>
        <v/>
      </c>
      <c r="N250" s="90">
        <f>IF(OR($M250="",$D250=""),"",ROUND($M250*IFERROR(IF(VLOOKUP($D250,Setup!$A$76:$C$87,3,FALSE)="",Setup!$B$14,VLOOKUP($D250,Setup!$A$76:$C$87,3,FALSE)),Setup!$B$14),2))</f>
        <v/>
      </c>
      <c r="O250" s="90">
        <f>IF(OR($M250="",$E250=""),"",ROUND($M250*IFERROR(IF(VLOOKUP($E250,Setup!$A$76:$C$87,3,FALSE)="",Setup!$B$15,VLOOKUP($E250,Setup!$A$76:$C$87,3,FALSE)),Setup!$B$15),2))</f>
        <v/>
      </c>
      <c r="P250" s="99" t="n"/>
      <c r="Q250" s="99" t="n"/>
      <c r="R250" s="99" t="n"/>
      <c r="S250" s="99" t="n"/>
      <c r="T250" s="99" t="n"/>
      <c r="U250" s="90">
        <f>IF($K250="","",SUM($R250:$T250))</f>
        <v/>
      </c>
      <c r="V250" s="90">
        <f>IF($K250="","",$M250-(N($N250)+N($O250)+IF($P250="",Setup!$B$17,$P250)+N($Q250))-N($U250))</f>
        <v/>
      </c>
      <c r="W250" s="95" t="n"/>
      <c r="X250" s="96" t="n"/>
      <c r="Z250" s="93">
        <f>IF($A250="","",DATE(YEAR($A250),MONTH($A250),1))</f>
        <v/>
      </c>
    </row>
    <row r="251">
      <c r="A251" s="86" t="n"/>
      <c r="B251" s="87" t="n"/>
      <c r="C251" s="87" t="n"/>
      <c r="D251" s="88" t="n"/>
      <c r="E251" s="88" t="n"/>
      <c r="F251" s="88" t="n"/>
      <c r="G251" s="88" t="n"/>
      <c r="H251" s="89" t="n"/>
      <c r="I251" s="90">
        <f>IF($G251="","",IF($F251="",IFERROR(INDEX(Setup!$C$21:$C$60,MATCH("|"&amp;UPPER(TRIM($G251)),Setup!$Q$21:$Q$60,0)),"NO RATE"),IFERROR(INDEX(Setup!$C$21:$C$60,MATCH(UPPER(TRIM($F251))&amp;"|"&amp;UPPER(TRIM($G251)),Setup!$P$21:$P$60,0)),IFERROR(INDEX(Setup!$C$21:$C$60,MATCH(UPPER(TRIM($G251))&amp;"|"&amp;UPPER(TRIM($F251)),Setup!$P$21:$P$60,0)),"NO RATE"))))</f>
        <v/>
      </c>
      <c r="J251" s="91" t="n"/>
      <c r="K251" s="90">
        <f>IF(OR($G251="",$H251="",NOT(ISNUMBER($I251))),"",ROUND($H251*$I251*(1+IF($J251="",Setup!$B$16,$J251)),2))</f>
        <v/>
      </c>
      <c r="L251" s="90">
        <f>IF($K251="","",ROUND($K251*Setup!$B$13,2))</f>
        <v/>
      </c>
      <c r="M251" s="90">
        <f>IF($K251="","",$K251-$L251)</f>
        <v/>
      </c>
      <c r="N251" s="90">
        <f>IF(OR($M251="",$D251=""),"",ROUND($M251*IFERROR(IF(VLOOKUP($D251,Setup!$A$76:$C$87,3,FALSE)="",Setup!$B$14,VLOOKUP($D251,Setup!$A$76:$C$87,3,FALSE)),Setup!$B$14),2))</f>
        <v/>
      </c>
      <c r="O251" s="90">
        <f>IF(OR($M251="",$E251=""),"",ROUND($M251*IFERROR(IF(VLOOKUP($E251,Setup!$A$76:$C$87,3,FALSE)="",Setup!$B$15,VLOOKUP($E251,Setup!$A$76:$C$87,3,FALSE)),Setup!$B$15),2))</f>
        <v/>
      </c>
      <c r="P251" s="92" t="n"/>
      <c r="Q251" s="92" t="n"/>
      <c r="R251" s="92" t="n"/>
      <c r="S251" s="92" t="n"/>
      <c r="T251" s="92" t="n"/>
      <c r="U251" s="90">
        <f>IF($K251="","",SUM($R251:$T251))</f>
        <v/>
      </c>
      <c r="V251" s="90">
        <f>IF($K251="","",$M251-(N($N251)+N($O251)+IF($P251="",Setup!$B$17,$P251)+N($Q251))-N($U251))</f>
        <v/>
      </c>
      <c r="W251" s="87" t="n"/>
      <c r="X251" s="88" t="n"/>
      <c r="Z251" s="93">
        <f>IF($A251="","",DATE(YEAR($A251),MONTH($A251),1))</f>
        <v/>
      </c>
    </row>
    <row r="252">
      <c r="A252" s="94" t="n"/>
      <c r="B252" s="95" t="n"/>
      <c r="C252" s="95" t="n"/>
      <c r="D252" s="96" t="n"/>
      <c r="E252" s="96" t="n"/>
      <c r="F252" s="96" t="n"/>
      <c r="G252" s="96" t="n"/>
      <c r="H252" s="97" t="n"/>
      <c r="I252" s="90">
        <f>IF($G252="","",IF($F252="",IFERROR(INDEX(Setup!$C$21:$C$60,MATCH("|"&amp;UPPER(TRIM($G252)),Setup!$Q$21:$Q$60,0)),"NO RATE"),IFERROR(INDEX(Setup!$C$21:$C$60,MATCH(UPPER(TRIM($F252))&amp;"|"&amp;UPPER(TRIM($G252)),Setup!$P$21:$P$60,0)),IFERROR(INDEX(Setup!$C$21:$C$60,MATCH(UPPER(TRIM($G252))&amp;"|"&amp;UPPER(TRIM($F252)),Setup!$P$21:$P$60,0)),"NO RATE"))))</f>
        <v/>
      </c>
      <c r="J252" s="98" t="n"/>
      <c r="K252" s="90">
        <f>IF(OR($G252="",$H252="",NOT(ISNUMBER($I252))),"",ROUND($H252*$I252*(1+IF($J252="",Setup!$B$16,$J252)),2))</f>
        <v/>
      </c>
      <c r="L252" s="90">
        <f>IF($K252="","",ROUND($K252*Setup!$B$13,2))</f>
        <v/>
      </c>
      <c r="M252" s="90">
        <f>IF($K252="","",$K252-$L252)</f>
        <v/>
      </c>
      <c r="N252" s="90">
        <f>IF(OR($M252="",$D252=""),"",ROUND($M252*IFERROR(IF(VLOOKUP($D252,Setup!$A$76:$C$87,3,FALSE)="",Setup!$B$14,VLOOKUP($D252,Setup!$A$76:$C$87,3,FALSE)),Setup!$B$14),2))</f>
        <v/>
      </c>
      <c r="O252" s="90">
        <f>IF(OR($M252="",$E252=""),"",ROUND($M252*IFERROR(IF(VLOOKUP($E252,Setup!$A$76:$C$87,3,FALSE)="",Setup!$B$15,VLOOKUP($E252,Setup!$A$76:$C$87,3,FALSE)),Setup!$B$15),2))</f>
        <v/>
      </c>
      <c r="P252" s="99" t="n"/>
      <c r="Q252" s="99" t="n"/>
      <c r="R252" s="99" t="n"/>
      <c r="S252" s="99" t="n"/>
      <c r="T252" s="99" t="n"/>
      <c r="U252" s="90">
        <f>IF($K252="","",SUM($R252:$T252))</f>
        <v/>
      </c>
      <c r="V252" s="90">
        <f>IF($K252="","",$M252-(N($N252)+N($O252)+IF($P252="",Setup!$B$17,$P252)+N($Q252))-N($U252))</f>
        <v/>
      </c>
      <c r="W252" s="95" t="n"/>
      <c r="X252" s="96" t="n"/>
      <c r="Z252" s="93">
        <f>IF($A252="","",DATE(YEAR($A252),MONTH($A252),1))</f>
        <v/>
      </c>
    </row>
    <row r="253">
      <c r="A253" s="86" t="n"/>
      <c r="B253" s="87" t="n"/>
      <c r="C253" s="87" t="n"/>
      <c r="D253" s="88" t="n"/>
      <c r="E253" s="88" t="n"/>
      <c r="F253" s="88" t="n"/>
      <c r="G253" s="88" t="n"/>
      <c r="H253" s="89" t="n"/>
      <c r="I253" s="90">
        <f>IF($G253="","",IF($F253="",IFERROR(INDEX(Setup!$C$21:$C$60,MATCH("|"&amp;UPPER(TRIM($G253)),Setup!$Q$21:$Q$60,0)),"NO RATE"),IFERROR(INDEX(Setup!$C$21:$C$60,MATCH(UPPER(TRIM($F253))&amp;"|"&amp;UPPER(TRIM($G253)),Setup!$P$21:$P$60,0)),IFERROR(INDEX(Setup!$C$21:$C$60,MATCH(UPPER(TRIM($G253))&amp;"|"&amp;UPPER(TRIM($F253)),Setup!$P$21:$P$60,0)),"NO RATE"))))</f>
        <v/>
      </c>
      <c r="J253" s="91" t="n"/>
      <c r="K253" s="90">
        <f>IF(OR($G253="",$H253="",NOT(ISNUMBER($I253))),"",ROUND($H253*$I253*(1+IF($J253="",Setup!$B$16,$J253)),2))</f>
        <v/>
      </c>
      <c r="L253" s="90">
        <f>IF($K253="","",ROUND($K253*Setup!$B$13,2))</f>
        <v/>
      </c>
      <c r="M253" s="90">
        <f>IF($K253="","",$K253-$L253)</f>
        <v/>
      </c>
      <c r="N253" s="90">
        <f>IF(OR($M253="",$D253=""),"",ROUND($M253*IFERROR(IF(VLOOKUP($D253,Setup!$A$76:$C$87,3,FALSE)="",Setup!$B$14,VLOOKUP($D253,Setup!$A$76:$C$87,3,FALSE)),Setup!$B$14),2))</f>
        <v/>
      </c>
      <c r="O253" s="90">
        <f>IF(OR($M253="",$E253=""),"",ROUND($M253*IFERROR(IF(VLOOKUP($E253,Setup!$A$76:$C$87,3,FALSE)="",Setup!$B$15,VLOOKUP($E253,Setup!$A$76:$C$87,3,FALSE)),Setup!$B$15),2))</f>
        <v/>
      </c>
      <c r="P253" s="92" t="n"/>
      <c r="Q253" s="92" t="n"/>
      <c r="R253" s="92" t="n"/>
      <c r="S253" s="92" t="n"/>
      <c r="T253" s="92" t="n"/>
      <c r="U253" s="90">
        <f>IF($K253="","",SUM($R253:$T253))</f>
        <v/>
      </c>
      <c r="V253" s="90">
        <f>IF($K253="","",$M253-(N($N253)+N($O253)+IF($P253="",Setup!$B$17,$P253)+N($Q253))-N($U253))</f>
        <v/>
      </c>
      <c r="W253" s="87" t="n"/>
      <c r="X253" s="88" t="n"/>
      <c r="Z253" s="93">
        <f>IF($A253="","",DATE(YEAR($A253),MONTH($A253),1))</f>
        <v/>
      </c>
    </row>
    <row r="254">
      <c r="A254" s="94" t="n"/>
      <c r="B254" s="95" t="n"/>
      <c r="C254" s="95" t="n"/>
      <c r="D254" s="96" t="n"/>
      <c r="E254" s="96" t="n"/>
      <c r="F254" s="96" t="n"/>
      <c r="G254" s="96" t="n"/>
      <c r="H254" s="97" t="n"/>
      <c r="I254" s="90">
        <f>IF($G254="","",IF($F254="",IFERROR(INDEX(Setup!$C$21:$C$60,MATCH("|"&amp;UPPER(TRIM($G254)),Setup!$Q$21:$Q$60,0)),"NO RATE"),IFERROR(INDEX(Setup!$C$21:$C$60,MATCH(UPPER(TRIM($F254))&amp;"|"&amp;UPPER(TRIM($G254)),Setup!$P$21:$P$60,0)),IFERROR(INDEX(Setup!$C$21:$C$60,MATCH(UPPER(TRIM($G254))&amp;"|"&amp;UPPER(TRIM($F254)),Setup!$P$21:$P$60,0)),"NO RATE"))))</f>
        <v/>
      </c>
      <c r="J254" s="98" t="n"/>
      <c r="K254" s="90">
        <f>IF(OR($G254="",$H254="",NOT(ISNUMBER($I254))),"",ROUND($H254*$I254*(1+IF($J254="",Setup!$B$16,$J254)),2))</f>
        <v/>
      </c>
      <c r="L254" s="90">
        <f>IF($K254="","",ROUND($K254*Setup!$B$13,2))</f>
        <v/>
      </c>
      <c r="M254" s="90">
        <f>IF($K254="","",$K254-$L254)</f>
        <v/>
      </c>
      <c r="N254" s="90">
        <f>IF(OR($M254="",$D254=""),"",ROUND($M254*IFERROR(IF(VLOOKUP($D254,Setup!$A$76:$C$87,3,FALSE)="",Setup!$B$14,VLOOKUP($D254,Setup!$A$76:$C$87,3,FALSE)),Setup!$B$14),2))</f>
        <v/>
      </c>
      <c r="O254" s="90">
        <f>IF(OR($M254="",$E254=""),"",ROUND($M254*IFERROR(IF(VLOOKUP($E254,Setup!$A$76:$C$87,3,FALSE)="",Setup!$B$15,VLOOKUP($E254,Setup!$A$76:$C$87,3,FALSE)),Setup!$B$15),2))</f>
        <v/>
      </c>
      <c r="P254" s="99" t="n"/>
      <c r="Q254" s="99" t="n"/>
      <c r="R254" s="99" t="n"/>
      <c r="S254" s="99" t="n"/>
      <c r="T254" s="99" t="n"/>
      <c r="U254" s="90">
        <f>IF($K254="","",SUM($R254:$T254))</f>
        <v/>
      </c>
      <c r="V254" s="90">
        <f>IF($K254="","",$M254-(N($N254)+N($O254)+IF($P254="",Setup!$B$17,$P254)+N($Q254))-N($U254))</f>
        <v/>
      </c>
      <c r="W254" s="95" t="n"/>
      <c r="X254" s="96" t="n"/>
      <c r="Z254" s="93">
        <f>IF($A254="","",DATE(YEAR($A254),MONTH($A254),1))</f>
        <v/>
      </c>
    </row>
    <row r="255">
      <c r="A255" s="86" t="n"/>
      <c r="B255" s="87" t="n"/>
      <c r="C255" s="87" t="n"/>
      <c r="D255" s="88" t="n"/>
      <c r="E255" s="88" t="n"/>
      <c r="F255" s="88" t="n"/>
      <c r="G255" s="88" t="n"/>
      <c r="H255" s="89" t="n"/>
      <c r="I255" s="90">
        <f>IF($G255="","",IF($F255="",IFERROR(INDEX(Setup!$C$21:$C$60,MATCH("|"&amp;UPPER(TRIM($G255)),Setup!$Q$21:$Q$60,0)),"NO RATE"),IFERROR(INDEX(Setup!$C$21:$C$60,MATCH(UPPER(TRIM($F255))&amp;"|"&amp;UPPER(TRIM($G255)),Setup!$P$21:$P$60,0)),IFERROR(INDEX(Setup!$C$21:$C$60,MATCH(UPPER(TRIM($G255))&amp;"|"&amp;UPPER(TRIM($F255)),Setup!$P$21:$P$60,0)),"NO RATE"))))</f>
        <v/>
      </c>
      <c r="J255" s="91" t="n"/>
      <c r="K255" s="90">
        <f>IF(OR($G255="",$H255="",NOT(ISNUMBER($I255))),"",ROUND($H255*$I255*(1+IF($J255="",Setup!$B$16,$J255)),2))</f>
        <v/>
      </c>
      <c r="L255" s="90">
        <f>IF($K255="","",ROUND($K255*Setup!$B$13,2))</f>
        <v/>
      </c>
      <c r="M255" s="90">
        <f>IF($K255="","",$K255-$L255)</f>
        <v/>
      </c>
      <c r="N255" s="90">
        <f>IF(OR($M255="",$D255=""),"",ROUND($M255*IFERROR(IF(VLOOKUP($D255,Setup!$A$76:$C$87,3,FALSE)="",Setup!$B$14,VLOOKUP($D255,Setup!$A$76:$C$87,3,FALSE)),Setup!$B$14),2))</f>
        <v/>
      </c>
      <c r="O255" s="90">
        <f>IF(OR($M255="",$E255=""),"",ROUND($M255*IFERROR(IF(VLOOKUP($E255,Setup!$A$76:$C$87,3,FALSE)="",Setup!$B$15,VLOOKUP($E255,Setup!$A$76:$C$87,3,FALSE)),Setup!$B$15),2))</f>
        <v/>
      </c>
      <c r="P255" s="92" t="n"/>
      <c r="Q255" s="92" t="n"/>
      <c r="R255" s="92" t="n"/>
      <c r="S255" s="92" t="n"/>
      <c r="T255" s="92" t="n"/>
      <c r="U255" s="90">
        <f>IF($K255="","",SUM($R255:$T255))</f>
        <v/>
      </c>
      <c r="V255" s="90">
        <f>IF($K255="","",$M255-(N($N255)+N($O255)+IF($P255="",Setup!$B$17,$P255)+N($Q255))-N($U255))</f>
        <v/>
      </c>
      <c r="W255" s="87" t="n"/>
      <c r="X255" s="88" t="n"/>
      <c r="Z255" s="93">
        <f>IF($A255="","",DATE(YEAR($A255),MONTH($A255),1))</f>
        <v/>
      </c>
    </row>
    <row r="256">
      <c r="A256" s="94" t="n"/>
      <c r="B256" s="95" t="n"/>
      <c r="C256" s="95" t="n"/>
      <c r="D256" s="96" t="n"/>
      <c r="E256" s="96" t="n"/>
      <c r="F256" s="96" t="n"/>
      <c r="G256" s="96" t="n"/>
      <c r="H256" s="97" t="n"/>
      <c r="I256" s="90">
        <f>IF($G256="","",IF($F256="",IFERROR(INDEX(Setup!$C$21:$C$60,MATCH("|"&amp;UPPER(TRIM($G256)),Setup!$Q$21:$Q$60,0)),"NO RATE"),IFERROR(INDEX(Setup!$C$21:$C$60,MATCH(UPPER(TRIM($F256))&amp;"|"&amp;UPPER(TRIM($G256)),Setup!$P$21:$P$60,0)),IFERROR(INDEX(Setup!$C$21:$C$60,MATCH(UPPER(TRIM($G256))&amp;"|"&amp;UPPER(TRIM($F256)),Setup!$P$21:$P$60,0)),"NO RATE"))))</f>
        <v/>
      </c>
      <c r="J256" s="98" t="n"/>
      <c r="K256" s="90">
        <f>IF(OR($G256="",$H256="",NOT(ISNUMBER($I256))),"",ROUND($H256*$I256*(1+IF($J256="",Setup!$B$16,$J256)),2))</f>
        <v/>
      </c>
      <c r="L256" s="90">
        <f>IF($K256="","",ROUND($K256*Setup!$B$13,2))</f>
        <v/>
      </c>
      <c r="M256" s="90">
        <f>IF($K256="","",$K256-$L256)</f>
        <v/>
      </c>
      <c r="N256" s="90">
        <f>IF(OR($M256="",$D256=""),"",ROUND($M256*IFERROR(IF(VLOOKUP($D256,Setup!$A$76:$C$87,3,FALSE)="",Setup!$B$14,VLOOKUP($D256,Setup!$A$76:$C$87,3,FALSE)),Setup!$B$14),2))</f>
        <v/>
      </c>
      <c r="O256" s="90">
        <f>IF(OR($M256="",$E256=""),"",ROUND($M256*IFERROR(IF(VLOOKUP($E256,Setup!$A$76:$C$87,3,FALSE)="",Setup!$B$15,VLOOKUP($E256,Setup!$A$76:$C$87,3,FALSE)),Setup!$B$15),2))</f>
        <v/>
      </c>
      <c r="P256" s="99" t="n"/>
      <c r="Q256" s="99" t="n"/>
      <c r="R256" s="99" t="n"/>
      <c r="S256" s="99" t="n"/>
      <c r="T256" s="99" t="n"/>
      <c r="U256" s="90">
        <f>IF($K256="","",SUM($R256:$T256))</f>
        <v/>
      </c>
      <c r="V256" s="90">
        <f>IF($K256="","",$M256-(N($N256)+N($O256)+IF($P256="",Setup!$B$17,$P256)+N($Q256))-N($U256))</f>
        <v/>
      </c>
      <c r="W256" s="95" t="n"/>
      <c r="X256" s="96" t="n"/>
      <c r="Z256" s="93">
        <f>IF($A256="","",DATE(YEAR($A256),MONTH($A256),1))</f>
        <v/>
      </c>
    </row>
    <row r="257">
      <c r="A257" s="86" t="n"/>
      <c r="B257" s="87" t="n"/>
      <c r="C257" s="87" t="n"/>
      <c r="D257" s="88" t="n"/>
      <c r="E257" s="88" t="n"/>
      <c r="F257" s="88" t="n"/>
      <c r="G257" s="88" t="n"/>
      <c r="H257" s="89" t="n"/>
      <c r="I257" s="90">
        <f>IF($G257="","",IF($F257="",IFERROR(INDEX(Setup!$C$21:$C$60,MATCH("|"&amp;UPPER(TRIM($G257)),Setup!$Q$21:$Q$60,0)),"NO RATE"),IFERROR(INDEX(Setup!$C$21:$C$60,MATCH(UPPER(TRIM($F257))&amp;"|"&amp;UPPER(TRIM($G257)),Setup!$P$21:$P$60,0)),IFERROR(INDEX(Setup!$C$21:$C$60,MATCH(UPPER(TRIM($G257))&amp;"|"&amp;UPPER(TRIM($F257)),Setup!$P$21:$P$60,0)),"NO RATE"))))</f>
        <v/>
      </c>
      <c r="J257" s="91" t="n"/>
      <c r="K257" s="90">
        <f>IF(OR($G257="",$H257="",NOT(ISNUMBER($I257))),"",ROUND($H257*$I257*(1+IF($J257="",Setup!$B$16,$J257)),2))</f>
        <v/>
      </c>
      <c r="L257" s="90">
        <f>IF($K257="","",ROUND($K257*Setup!$B$13,2))</f>
        <v/>
      </c>
      <c r="M257" s="90">
        <f>IF($K257="","",$K257-$L257)</f>
        <v/>
      </c>
      <c r="N257" s="90">
        <f>IF(OR($M257="",$D257=""),"",ROUND($M257*IFERROR(IF(VLOOKUP($D257,Setup!$A$76:$C$87,3,FALSE)="",Setup!$B$14,VLOOKUP($D257,Setup!$A$76:$C$87,3,FALSE)),Setup!$B$14),2))</f>
        <v/>
      </c>
      <c r="O257" s="90">
        <f>IF(OR($M257="",$E257=""),"",ROUND($M257*IFERROR(IF(VLOOKUP($E257,Setup!$A$76:$C$87,3,FALSE)="",Setup!$B$15,VLOOKUP($E257,Setup!$A$76:$C$87,3,FALSE)),Setup!$B$15),2))</f>
        <v/>
      </c>
      <c r="P257" s="92" t="n"/>
      <c r="Q257" s="92" t="n"/>
      <c r="R257" s="92" t="n"/>
      <c r="S257" s="92" t="n"/>
      <c r="T257" s="92" t="n"/>
      <c r="U257" s="90">
        <f>IF($K257="","",SUM($R257:$T257))</f>
        <v/>
      </c>
      <c r="V257" s="90">
        <f>IF($K257="","",$M257-(N($N257)+N($O257)+IF($P257="",Setup!$B$17,$P257)+N($Q257))-N($U257))</f>
        <v/>
      </c>
      <c r="W257" s="87" t="n"/>
      <c r="X257" s="88" t="n"/>
      <c r="Z257" s="93">
        <f>IF($A257="","",DATE(YEAR($A257),MONTH($A257),1))</f>
        <v/>
      </c>
    </row>
    <row r="258">
      <c r="A258" s="94" t="n"/>
      <c r="B258" s="95" t="n"/>
      <c r="C258" s="95" t="n"/>
      <c r="D258" s="96" t="n"/>
      <c r="E258" s="96" t="n"/>
      <c r="F258" s="96" t="n"/>
      <c r="G258" s="96" t="n"/>
      <c r="H258" s="97" t="n"/>
      <c r="I258" s="90">
        <f>IF($G258="","",IF($F258="",IFERROR(INDEX(Setup!$C$21:$C$60,MATCH("|"&amp;UPPER(TRIM($G258)),Setup!$Q$21:$Q$60,0)),"NO RATE"),IFERROR(INDEX(Setup!$C$21:$C$60,MATCH(UPPER(TRIM($F258))&amp;"|"&amp;UPPER(TRIM($G258)),Setup!$P$21:$P$60,0)),IFERROR(INDEX(Setup!$C$21:$C$60,MATCH(UPPER(TRIM($G258))&amp;"|"&amp;UPPER(TRIM($F258)),Setup!$P$21:$P$60,0)),"NO RATE"))))</f>
        <v/>
      </c>
      <c r="J258" s="98" t="n"/>
      <c r="K258" s="90">
        <f>IF(OR($G258="",$H258="",NOT(ISNUMBER($I258))),"",ROUND($H258*$I258*(1+IF($J258="",Setup!$B$16,$J258)),2))</f>
        <v/>
      </c>
      <c r="L258" s="90">
        <f>IF($K258="","",ROUND($K258*Setup!$B$13,2))</f>
        <v/>
      </c>
      <c r="M258" s="90">
        <f>IF($K258="","",$K258-$L258)</f>
        <v/>
      </c>
      <c r="N258" s="90">
        <f>IF(OR($M258="",$D258=""),"",ROUND($M258*IFERROR(IF(VLOOKUP($D258,Setup!$A$76:$C$87,3,FALSE)="",Setup!$B$14,VLOOKUP($D258,Setup!$A$76:$C$87,3,FALSE)),Setup!$B$14),2))</f>
        <v/>
      </c>
      <c r="O258" s="90">
        <f>IF(OR($M258="",$E258=""),"",ROUND($M258*IFERROR(IF(VLOOKUP($E258,Setup!$A$76:$C$87,3,FALSE)="",Setup!$B$15,VLOOKUP($E258,Setup!$A$76:$C$87,3,FALSE)),Setup!$B$15),2))</f>
        <v/>
      </c>
      <c r="P258" s="99" t="n"/>
      <c r="Q258" s="99" t="n"/>
      <c r="R258" s="99" t="n"/>
      <c r="S258" s="99" t="n"/>
      <c r="T258" s="99" t="n"/>
      <c r="U258" s="90">
        <f>IF($K258="","",SUM($R258:$T258))</f>
        <v/>
      </c>
      <c r="V258" s="90">
        <f>IF($K258="","",$M258-(N($N258)+N($O258)+IF($P258="",Setup!$B$17,$P258)+N($Q258))-N($U258))</f>
        <v/>
      </c>
      <c r="W258" s="95" t="n"/>
      <c r="X258" s="96" t="n"/>
      <c r="Z258" s="93">
        <f>IF($A258="","",DATE(YEAR($A258),MONTH($A258),1))</f>
        <v/>
      </c>
    </row>
    <row r="259">
      <c r="A259" s="86" t="n"/>
      <c r="B259" s="87" t="n"/>
      <c r="C259" s="87" t="n"/>
      <c r="D259" s="88" t="n"/>
      <c r="E259" s="88" t="n"/>
      <c r="F259" s="88" t="n"/>
      <c r="G259" s="88" t="n"/>
      <c r="H259" s="89" t="n"/>
      <c r="I259" s="90">
        <f>IF($G259="","",IF($F259="",IFERROR(INDEX(Setup!$C$21:$C$60,MATCH("|"&amp;UPPER(TRIM($G259)),Setup!$Q$21:$Q$60,0)),"NO RATE"),IFERROR(INDEX(Setup!$C$21:$C$60,MATCH(UPPER(TRIM($F259))&amp;"|"&amp;UPPER(TRIM($G259)),Setup!$P$21:$P$60,0)),IFERROR(INDEX(Setup!$C$21:$C$60,MATCH(UPPER(TRIM($G259))&amp;"|"&amp;UPPER(TRIM($F259)),Setup!$P$21:$P$60,0)),"NO RATE"))))</f>
        <v/>
      </c>
      <c r="J259" s="91" t="n"/>
      <c r="K259" s="90">
        <f>IF(OR($G259="",$H259="",NOT(ISNUMBER($I259))),"",ROUND($H259*$I259*(1+IF($J259="",Setup!$B$16,$J259)),2))</f>
        <v/>
      </c>
      <c r="L259" s="90">
        <f>IF($K259="","",ROUND($K259*Setup!$B$13,2))</f>
        <v/>
      </c>
      <c r="M259" s="90">
        <f>IF($K259="","",$K259-$L259)</f>
        <v/>
      </c>
      <c r="N259" s="90">
        <f>IF(OR($M259="",$D259=""),"",ROUND($M259*IFERROR(IF(VLOOKUP($D259,Setup!$A$76:$C$87,3,FALSE)="",Setup!$B$14,VLOOKUP($D259,Setup!$A$76:$C$87,3,FALSE)),Setup!$B$14),2))</f>
        <v/>
      </c>
      <c r="O259" s="90">
        <f>IF(OR($M259="",$E259=""),"",ROUND($M259*IFERROR(IF(VLOOKUP($E259,Setup!$A$76:$C$87,3,FALSE)="",Setup!$B$15,VLOOKUP($E259,Setup!$A$76:$C$87,3,FALSE)),Setup!$B$15),2))</f>
        <v/>
      </c>
      <c r="P259" s="92" t="n"/>
      <c r="Q259" s="92" t="n"/>
      <c r="R259" s="92" t="n"/>
      <c r="S259" s="92" t="n"/>
      <c r="T259" s="92" t="n"/>
      <c r="U259" s="90">
        <f>IF($K259="","",SUM($R259:$T259))</f>
        <v/>
      </c>
      <c r="V259" s="90">
        <f>IF($K259="","",$M259-(N($N259)+N($O259)+IF($P259="",Setup!$B$17,$P259)+N($Q259))-N($U259))</f>
        <v/>
      </c>
      <c r="W259" s="87" t="n"/>
      <c r="X259" s="88" t="n"/>
      <c r="Z259" s="93">
        <f>IF($A259="","",DATE(YEAR($A259),MONTH($A259),1))</f>
        <v/>
      </c>
    </row>
    <row r="260">
      <c r="A260" s="94" t="n"/>
      <c r="B260" s="95" t="n"/>
      <c r="C260" s="95" t="n"/>
      <c r="D260" s="96" t="n"/>
      <c r="E260" s="96" t="n"/>
      <c r="F260" s="96" t="n"/>
      <c r="G260" s="96" t="n"/>
      <c r="H260" s="97" t="n"/>
      <c r="I260" s="90">
        <f>IF($G260="","",IF($F260="",IFERROR(INDEX(Setup!$C$21:$C$60,MATCH("|"&amp;UPPER(TRIM($G260)),Setup!$Q$21:$Q$60,0)),"NO RATE"),IFERROR(INDEX(Setup!$C$21:$C$60,MATCH(UPPER(TRIM($F260))&amp;"|"&amp;UPPER(TRIM($G260)),Setup!$P$21:$P$60,0)),IFERROR(INDEX(Setup!$C$21:$C$60,MATCH(UPPER(TRIM($G260))&amp;"|"&amp;UPPER(TRIM($F260)),Setup!$P$21:$P$60,0)),"NO RATE"))))</f>
        <v/>
      </c>
      <c r="J260" s="98" t="n"/>
      <c r="K260" s="90">
        <f>IF(OR($G260="",$H260="",NOT(ISNUMBER($I260))),"",ROUND($H260*$I260*(1+IF($J260="",Setup!$B$16,$J260)),2))</f>
        <v/>
      </c>
      <c r="L260" s="90">
        <f>IF($K260="","",ROUND($K260*Setup!$B$13,2))</f>
        <v/>
      </c>
      <c r="M260" s="90">
        <f>IF($K260="","",$K260-$L260)</f>
        <v/>
      </c>
      <c r="N260" s="90">
        <f>IF(OR($M260="",$D260=""),"",ROUND($M260*IFERROR(IF(VLOOKUP($D260,Setup!$A$76:$C$87,3,FALSE)="",Setup!$B$14,VLOOKUP($D260,Setup!$A$76:$C$87,3,FALSE)),Setup!$B$14),2))</f>
        <v/>
      </c>
      <c r="O260" s="90">
        <f>IF(OR($M260="",$E260=""),"",ROUND($M260*IFERROR(IF(VLOOKUP($E260,Setup!$A$76:$C$87,3,FALSE)="",Setup!$B$15,VLOOKUP($E260,Setup!$A$76:$C$87,3,FALSE)),Setup!$B$15),2))</f>
        <v/>
      </c>
      <c r="P260" s="99" t="n"/>
      <c r="Q260" s="99" t="n"/>
      <c r="R260" s="99" t="n"/>
      <c r="S260" s="99" t="n"/>
      <c r="T260" s="99" t="n"/>
      <c r="U260" s="90">
        <f>IF($K260="","",SUM($R260:$T260))</f>
        <v/>
      </c>
      <c r="V260" s="90">
        <f>IF($K260="","",$M260-(N($N260)+N($O260)+IF($P260="",Setup!$B$17,$P260)+N($Q260))-N($U260))</f>
        <v/>
      </c>
      <c r="W260" s="95" t="n"/>
      <c r="X260" s="96" t="n"/>
      <c r="Z260" s="93">
        <f>IF($A260="","",DATE(YEAR($A260),MONTH($A260),1))</f>
        <v/>
      </c>
    </row>
    <row r="261">
      <c r="A261" s="86" t="n"/>
      <c r="B261" s="87" t="n"/>
      <c r="C261" s="87" t="n"/>
      <c r="D261" s="88" t="n"/>
      <c r="E261" s="88" t="n"/>
      <c r="F261" s="88" t="n"/>
      <c r="G261" s="88" t="n"/>
      <c r="H261" s="89" t="n"/>
      <c r="I261" s="90">
        <f>IF($G261="","",IF($F261="",IFERROR(INDEX(Setup!$C$21:$C$60,MATCH("|"&amp;UPPER(TRIM($G261)),Setup!$Q$21:$Q$60,0)),"NO RATE"),IFERROR(INDEX(Setup!$C$21:$C$60,MATCH(UPPER(TRIM($F261))&amp;"|"&amp;UPPER(TRIM($G261)),Setup!$P$21:$P$60,0)),IFERROR(INDEX(Setup!$C$21:$C$60,MATCH(UPPER(TRIM($G261))&amp;"|"&amp;UPPER(TRIM($F261)),Setup!$P$21:$P$60,0)),"NO RATE"))))</f>
        <v/>
      </c>
      <c r="J261" s="91" t="n"/>
      <c r="K261" s="90">
        <f>IF(OR($G261="",$H261="",NOT(ISNUMBER($I261))),"",ROUND($H261*$I261*(1+IF($J261="",Setup!$B$16,$J261)),2))</f>
        <v/>
      </c>
      <c r="L261" s="90">
        <f>IF($K261="","",ROUND($K261*Setup!$B$13,2))</f>
        <v/>
      </c>
      <c r="M261" s="90">
        <f>IF($K261="","",$K261-$L261)</f>
        <v/>
      </c>
      <c r="N261" s="90">
        <f>IF(OR($M261="",$D261=""),"",ROUND($M261*IFERROR(IF(VLOOKUP($D261,Setup!$A$76:$C$87,3,FALSE)="",Setup!$B$14,VLOOKUP($D261,Setup!$A$76:$C$87,3,FALSE)),Setup!$B$14),2))</f>
        <v/>
      </c>
      <c r="O261" s="90">
        <f>IF(OR($M261="",$E261=""),"",ROUND($M261*IFERROR(IF(VLOOKUP($E261,Setup!$A$76:$C$87,3,FALSE)="",Setup!$B$15,VLOOKUP($E261,Setup!$A$76:$C$87,3,FALSE)),Setup!$B$15),2))</f>
        <v/>
      </c>
      <c r="P261" s="92" t="n"/>
      <c r="Q261" s="92" t="n"/>
      <c r="R261" s="92" t="n"/>
      <c r="S261" s="92" t="n"/>
      <c r="T261" s="92" t="n"/>
      <c r="U261" s="90">
        <f>IF($K261="","",SUM($R261:$T261))</f>
        <v/>
      </c>
      <c r="V261" s="90">
        <f>IF($K261="","",$M261-(N($N261)+N($O261)+IF($P261="",Setup!$B$17,$P261)+N($Q261))-N($U261))</f>
        <v/>
      </c>
      <c r="W261" s="87" t="n"/>
      <c r="X261" s="88" t="n"/>
      <c r="Z261" s="93">
        <f>IF($A261="","",DATE(YEAR($A261),MONTH($A261),1))</f>
        <v/>
      </c>
    </row>
    <row r="262">
      <c r="A262" s="94" t="n"/>
      <c r="B262" s="95" t="n"/>
      <c r="C262" s="95" t="n"/>
      <c r="D262" s="96" t="n"/>
      <c r="E262" s="96" t="n"/>
      <c r="F262" s="96" t="n"/>
      <c r="G262" s="96" t="n"/>
      <c r="H262" s="97" t="n"/>
      <c r="I262" s="90">
        <f>IF($G262="","",IF($F262="",IFERROR(INDEX(Setup!$C$21:$C$60,MATCH("|"&amp;UPPER(TRIM($G262)),Setup!$Q$21:$Q$60,0)),"NO RATE"),IFERROR(INDEX(Setup!$C$21:$C$60,MATCH(UPPER(TRIM($F262))&amp;"|"&amp;UPPER(TRIM($G262)),Setup!$P$21:$P$60,0)),IFERROR(INDEX(Setup!$C$21:$C$60,MATCH(UPPER(TRIM($G262))&amp;"|"&amp;UPPER(TRIM($F262)),Setup!$P$21:$P$60,0)),"NO RATE"))))</f>
        <v/>
      </c>
      <c r="J262" s="98" t="n"/>
      <c r="K262" s="90">
        <f>IF(OR($G262="",$H262="",NOT(ISNUMBER($I262))),"",ROUND($H262*$I262*(1+IF($J262="",Setup!$B$16,$J262)),2))</f>
        <v/>
      </c>
      <c r="L262" s="90">
        <f>IF($K262="","",ROUND($K262*Setup!$B$13,2))</f>
        <v/>
      </c>
      <c r="M262" s="90">
        <f>IF($K262="","",$K262-$L262)</f>
        <v/>
      </c>
      <c r="N262" s="90">
        <f>IF(OR($M262="",$D262=""),"",ROUND($M262*IFERROR(IF(VLOOKUP($D262,Setup!$A$76:$C$87,3,FALSE)="",Setup!$B$14,VLOOKUP($D262,Setup!$A$76:$C$87,3,FALSE)),Setup!$B$14),2))</f>
        <v/>
      </c>
      <c r="O262" s="90">
        <f>IF(OR($M262="",$E262=""),"",ROUND($M262*IFERROR(IF(VLOOKUP($E262,Setup!$A$76:$C$87,3,FALSE)="",Setup!$B$15,VLOOKUP($E262,Setup!$A$76:$C$87,3,FALSE)),Setup!$B$15),2))</f>
        <v/>
      </c>
      <c r="P262" s="99" t="n"/>
      <c r="Q262" s="99" t="n"/>
      <c r="R262" s="99" t="n"/>
      <c r="S262" s="99" t="n"/>
      <c r="T262" s="99" t="n"/>
      <c r="U262" s="90">
        <f>IF($K262="","",SUM($R262:$T262))</f>
        <v/>
      </c>
      <c r="V262" s="90">
        <f>IF($K262="","",$M262-(N($N262)+N($O262)+IF($P262="",Setup!$B$17,$P262)+N($Q262))-N($U262))</f>
        <v/>
      </c>
      <c r="W262" s="95" t="n"/>
      <c r="X262" s="96" t="n"/>
      <c r="Z262" s="93">
        <f>IF($A262="","",DATE(YEAR($A262),MONTH($A262),1))</f>
        <v/>
      </c>
    </row>
    <row r="263">
      <c r="A263" s="86" t="n"/>
      <c r="B263" s="87" t="n"/>
      <c r="C263" s="87" t="n"/>
      <c r="D263" s="88" t="n"/>
      <c r="E263" s="88" t="n"/>
      <c r="F263" s="88" t="n"/>
      <c r="G263" s="88" t="n"/>
      <c r="H263" s="89" t="n"/>
      <c r="I263" s="90">
        <f>IF($G263="","",IF($F263="",IFERROR(INDEX(Setup!$C$21:$C$60,MATCH("|"&amp;UPPER(TRIM($G263)),Setup!$Q$21:$Q$60,0)),"NO RATE"),IFERROR(INDEX(Setup!$C$21:$C$60,MATCH(UPPER(TRIM($F263))&amp;"|"&amp;UPPER(TRIM($G263)),Setup!$P$21:$P$60,0)),IFERROR(INDEX(Setup!$C$21:$C$60,MATCH(UPPER(TRIM($G263))&amp;"|"&amp;UPPER(TRIM($F263)),Setup!$P$21:$P$60,0)),"NO RATE"))))</f>
        <v/>
      </c>
      <c r="J263" s="91" t="n"/>
      <c r="K263" s="90">
        <f>IF(OR($G263="",$H263="",NOT(ISNUMBER($I263))),"",ROUND($H263*$I263*(1+IF($J263="",Setup!$B$16,$J263)),2))</f>
        <v/>
      </c>
      <c r="L263" s="90">
        <f>IF($K263="","",ROUND($K263*Setup!$B$13,2))</f>
        <v/>
      </c>
      <c r="M263" s="90">
        <f>IF($K263="","",$K263-$L263)</f>
        <v/>
      </c>
      <c r="N263" s="90">
        <f>IF(OR($M263="",$D263=""),"",ROUND($M263*IFERROR(IF(VLOOKUP($D263,Setup!$A$76:$C$87,3,FALSE)="",Setup!$B$14,VLOOKUP($D263,Setup!$A$76:$C$87,3,FALSE)),Setup!$B$14),2))</f>
        <v/>
      </c>
      <c r="O263" s="90">
        <f>IF(OR($M263="",$E263=""),"",ROUND($M263*IFERROR(IF(VLOOKUP($E263,Setup!$A$76:$C$87,3,FALSE)="",Setup!$B$15,VLOOKUP($E263,Setup!$A$76:$C$87,3,FALSE)),Setup!$B$15),2))</f>
        <v/>
      </c>
      <c r="P263" s="92" t="n"/>
      <c r="Q263" s="92" t="n"/>
      <c r="R263" s="92" t="n"/>
      <c r="S263" s="92" t="n"/>
      <c r="T263" s="92" t="n"/>
      <c r="U263" s="90">
        <f>IF($K263="","",SUM($R263:$T263))</f>
        <v/>
      </c>
      <c r="V263" s="90">
        <f>IF($K263="","",$M263-(N($N263)+N($O263)+IF($P263="",Setup!$B$17,$P263)+N($Q263))-N($U263))</f>
        <v/>
      </c>
      <c r="W263" s="87" t="n"/>
      <c r="X263" s="88" t="n"/>
      <c r="Z263" s="93">
        <f>IF($A263="","",DATE(YEAR($A263),MONTH($A263),1))</f>
        <v/>
      </c>
    </row>
    <row r="264">
      <c r="A264" s="94" t="n"/>
      <c r="B264" s="95" t="n"/>
      <c r="C264" s="95" t="n"/>
      <c r="D264" s="96" t="n"/>
      <c r="E264" s="96" t="n"/>
      <c r="F264" s="96" t="n"/>
      <c r="G264" s="96" t="n"/>
      <c r="H264" s="97" t="n"/>
      <c r="I264" s="90">
        <f>IF($G264="","",IF($F264="",IFERROR(INDEX(Setup!$C$21:$C$60,MATCH("|"&amp;UPPER(TRIM($G264)),Setup!$Q$21:$Q$60,0)),"NO RATE"),IFERROR(INDEX(Setup!$C$21:$C$60,MATCH(UPPER(TRIM($F264))&amp;"|"&amp;UPPER(TRIM($G264)),Setup!$P$21:$P$60,0)),IFERROR(INDEX(Setup!$C$21:$C$60,MATCH(UPPER(TRIM($G264))&amp;"|"&amp;UPPER(TRIM($F264)),Setup!$P$21:$P$60,0)),"NO RATE"))))</f>
        <v/>
      </c>
      <c r="J264" s="98" t="n"/>
      <c r="K264" s="90">
        <f>IF(OR($G264="",$H264="",NOT(ISNUMBER($I264))),"",ROUND($H264*$I264*(1+IF($J264="",Setup!$B$16,$J264)),2))</f>
        <v/>
      </c>
      <c r="L264" s="90">
        <f>IF($K264="","",ROUND($K264*Setup!$B$13,2))</f>
        <v/>
      </c>
      <c r="M264" s="90">
        <f>IF($K264="","",$K264-$L264)</f>
        <v/>
      </c>
      <c r="N264" s="90">
        <f>IF(OR($M264="",$D264=""),"",ROUND($M264*IFERROR(IF(VLOOKUP($D264,Setup!$A$76:$C$87,3,FALSE)="",Setup!$B$14,VLOOKUP($D264,Setup!$A$76:$C$87,3,FALSE)),Setup!$B$14),2))</f>
        <v/>
      </c>
      <c r="O264" s="90">
        <f>IF(OR($M264="",$E264=""),"",ROUND($M264*IFERROR(IF(VLOOKUP($E264,Setup!$A$76:$C$87,3,FALSE)="",Setup!$B$15,VLOOKUP($E264,Setup!$A$76:$C$87,3,FALSE)),Setup!$B$15),2))</f>
        <v/>
      </c>
      <c r="P264" s="99" t="n"/>
      <c r="Q264" s="99" t="n"/>
      <c r="R264" s="99" t="n"/>
      <c r="S264" s="99" t="n"/>
      <c r="T264" s="99" t="n"/>
      <c r="U264" s="90">
        <f>IF($K264="","",SUM($R264:$T264))</f>
        <v/>
      </c>
      <c r="V264" s="90">
        <f>IF($K264="","",$M264-(N($N264)+N($O264)+IF($P264="",Setup!$B$17,$P264)+N($Q264))-N($U264))</f>
        <v/>
      </c>
      <c r="W264" s="95" t="n"/>
      <c r="X264" s="96" t="n"/>
      <c r="Z264" s="93">
        <f>IF($A264="","",DATE(YEAR($A264),MONTH($A264),1))</f>
        <v/>
      </c>
    </row>
    <row r="265">
      <c r="A265" s="86" t="n"/>
      <c r="B265" s="87" t="n"/>
      <c r="C265" s="87" t="n"/>
      <c r="D265" s="88" t="n"/>
      <c r="E265" s="88" t="n"/>
      <c r="F265" s="88" t="n"/>
      <c r="G265" s="88" t="n"/>
      <c r="H265" s="89" t="n"/>
      <c r="I265" s="90">
        <f>IF($G265="","",IF($F265="",IFERROR(INDEX(Setup!$C$21:$C$60,MATCH("|"&amp;UPPER(TRIM($G265)),Setup!$Q$21:$Q$60,0)),"NO RATE"),IFERROR(INDEX(Setup!$C$21:$C$60,MATCH(UPPER(TRIM($F265))&amp;"|"&amp;UPPER(TRIM($G265)),Setup!$P$21:$P$60,0)),IFERROR(INDEX(Setup!$C$21:$C$60,MATCH(UPPER(TRIM($G265))&amp;"|"&amp;UPPER(TRIM($F265)),Setup!$P$21:$P$60,0)),"NO RATE"))))</f>
        <v/>
      </c>
      <c r="J265" s="91" t="n"/>
      <c r="K265" s="90">
        <f>IF(OR($G265="",$H265="",NOT(ISNUMBER($I265))),"",ROUND($H265*$I265*(1+IF($J265="",Setup!$B$16,$J265)),2))</f>
        <v/>
      </c>
      <c r="L265" s="90">
        <f>IF($K265="","",ROUND($K265*Setup!$B$13,2))</f>
        <v/>
      </c>
      <c r="M265" s="90">
        <f>IF($K265="","",$K265-$L265)</f>
        <v/>
      </c>
      <c r="N265" s="90">
        <f>IF(OR($M265="",$D265=""),"",ROUND($M265*IFERROR(IF(VLOOKUP($D265,Setup!$A$76:$C$87,3,FALSE)="",Setup!$B$14,VLOOKUP($D265,Setup!$A$76:$C$87,3,FALSE)),Setup!$B$14),2))</f>
        <v/>
      </c>
      <c r="O265" s="90">
        <f>IF(OR($M265="",$E265=""),"",ROUND($M265*IFERROR(IF(VLOOKUP($E265,Setup!$A$76:$C$87,3,FALSE)="",Setup!$B$15,VLOOKUP($E265,Setup!$A$76:$C$87,3,FALSE)),Setup!$B$15),2))</f>
        <v/>
      </c>
      <c r="P265" s="92" t="n"/>
      <c r="Q265" s="92" t="n"/>
      <c r="R265" s="92" t="n"/>
      <c r="S265" s="92" t="n"/>
      <c r="T265" s="92" t="n"/>
      <c r="U265" s="90">
        <f>IF($K265="","",SUM($R265:$T265))</f>
        <v/>
      </c>
      <c r="V265" s="90">
        <f>IF($K265="","",$M265-(N($N265)+N($O265)+IF($P265="",Setup!$B$17,$P265)+N($Q265))-N($U265))</f>
        <v/>
      </c>
      <c r="W265" s="87" t="n"/>
      <c r="X265" s="88" t="n"/>
      <c r="Z265" s="93">
        <f>IF($A265="","",DATE(YEAR($A265),MONTH($A265),1))</f>
        <v/>
      </c>
    </row>
    <row r="266">
      <c r="A266" s="94" t="n"/>
      <c r="B266" s="95" t="n"/>
      <c r="C266" s="95" t="n"/>
      <c r="D266" s="96" t="n"/>
      <c r="E266" s="96" t="n"/>
      <c r="F266" s="96" t="n"/>
      <c r="G266" s="96" t="n"/>
      <c r="H266" s="97" t="n"/>
      <c r="I266" s="90">
        <f>IF($G266="","",IF($F266="",IFERROR(INDEX(Setup!$C$21:$C$60,MATCH("|"&amp;UPPER(TRIM($G266)),Setup!$Q$21:$Q$60,0)),"NO RATE"),IFERROR(INDEX(Setup!$C$21:$C$60,MATCH(UPPER(TRIM($F266))&amp;"|"&amp;UPPER(TRIM($G266)),Setup!$P$21:$P$60,0)),IFERROR(INDEX(Setup!$C$21:$C$60,MATCH(UPPER(TRIM($G266))&amp;"|"&amp;UPPER(TRIM($F266)),Setup!$P$21:$P$60,0)),"NO RATE"))))</f>
        <v/>
      </c>
      <c r="J266" s="98" t="n"/>
      <c r="K266" s="90">
        <f>IF(OR($G266="",$H266="",NOT(ISNUMBER($I266))),"",ROUND($H266*$I266*(1+IF($J266="",Setup!$B$16,$J266)),2))</f>
        <v/>
      </c>
      <c r="L266" s="90">
        <f>IF($K266="","",ROUND($K266*Setup!$B$13,2))</f>
        <v/>
      </c>
      <c r="M266" s="90">
        <f>IF($K266="","",$K266-$L266)</f>
        <v/>
      </c>
      <c r="N266" s="90">
        <f>IF(OR($M266="",$D266=""),"",ROUND($M266*IFERROR(IF(VLOOKUP($D266,Setup!$A$76:$C$87,3,FALSE)="",Setup!$B$14,VLOOKUP($D266,Setup!$A$76:$C$87,3,FALSE)),Setup!$B$14),2))</f>
        <v/>
      </c>
      <c r="O266" s="90">
        <f>IF(OR($M266="",$E266=""),"",ROUND($M266*IFERROR(IF(VLOOKUP($E266,Setup!$A$76:$C$87,3,FALSE)="",Setup!$B$15,VLOOKUP($E266,Setup!$A$76:$C$87,3,FALSE)),Setup!$B$15),2))</f>
        <v/>
      </c>
      <c r="P266" s="99" t="n"/>
      <c r="Q266" s="99" t="n"/>
      <c r="R266" s="99" t="n"/>
      <c r="S266" s="99" t="n"/>
      <c r="T266" s="99" t="n"/>
      <c r="U266" s="90">
        <f>IF($K266="","",SUM($R266:$T266))</f>
        <v/>
      </c>
      <c r="V266" s="90">
        <f>IF($K266="","",$M266-(N($N266)+N($O266)+IF($P266="",Setup!$B$17,$P266)+N($Q266))-N($U266))</f>
        <v/>
      </c>
      <c r="W266" s="95" t="n"/>
      <c r="X266" s="96" t="n"/>
      <c r="Z266" s="93">
        <f>IF($A266="","",DATE(YEAR($A266),MONTH($A266),1))</f>
        <v/>
      </c>
    </row>
    <row r="267">
      <c r="A267" s="86" t="n"/>
      <c r="B267" s="87" t="n"/>
      <c r="C267" s="87" t="n"/>
      <c r="D267" s="88" t="n"/>
      <c r="E267" s="88" t="n"/>
      <c r="F267" s="88" t="n"/>
      <c r="G267" s="88" t="n"/>
      <c r="H267" s="89" t="n"/>
      <c r="I267" s="90">
        <f>IF($G267="","",IF($F267="",IFERROR(INDEX(Setup!$C$21:$C$60,MATCH("|"&amp;UPPER(TRIM($G267)),Setup!$Q$21:$Q$60,0)),"NO RATE"),IFERROR(INDEX(Setup!$C$21:$C$60,MATCH(UPPER(TRIM($F267))&amp;"|"&amp;UPPER(TRIM($G267)),Setup!$P$21:$P$60,0)),IFERROR(INDEX(Setup!$C$21:$C$60,MATCH(UPPER(TRIM($G267))&amp;"|"&amp;UPPER(TRIM($F267)),Setup!$P$21:$P$60,0)),"NO RATE"))))</f>
        <v/>
      </c>
      <c r="J267" s="91" t="n"/>
      <c r="K267" s="90">
        <f>IF(OR($G267="",$H267="",NOT(ISNUMBER($I267))),"",ROUND($H267*$I267*(1+IF($J267="",Setup!$B$16,$J267)),2))</f>
        <v/>
      </c>
      <c r="L267" s="90">
        <f>IF($K267="","",ROUND($K267*Setup!$B$13,2))</f>
        <v/>
      </c>
      <c r="M267" s="90">
        <f>IF($K267="","",$K267-$L267)</f>
        <v/>
      </c>
      <c r="N267" s="90">
        <f>IF(OR($M267="",$D267=""),"",ROUND($M267*IFERROR(IF(VLOOKUP($D267,Setup!$A$76:$C$87,3,FALSE)="",Setup!$B$14,VLOOKUP($D267,Setup!$A$76:$C$87,3,FALSE)),Setup!$B$14),2))</f>
        <v/>
      </c>
      <c r="O267" s="90">
        <f>IF(OR($M267="",$E267=""),"",ROUND($M267*IFERROR(IF(VLOOKUP($E267,Setup!$A$76:$C$87,3,FALSE)="",Setup!$B$15,VLOOKUP($E267,Setup!$A$76:$C$87,3,FALSE)),Setup!$B$15),2))</f>
        <v/>
      </c>
      <c r="P267" s="92" t="n"/>
      <c r="Q267" s="92" t="n"/>
      <c r="R267" s="92" t="n"/>
      <c r="S267" s="92" t="n"/>
      <c r="T267" s="92" t="n"/>
      <c r="U267" s="90">
        <f>IF($K267="","",SUM($R267:$T267))</f>
        <v/>
      </c>
      <c r="V267" s="90">
        <f>IF($K267="","",$M267-(N($N267)+N($O267)+IF($P267="",Setup!$B$17,$P267)+N($Q267))-N($U267))</f>
        <v/>
      </c>
      <c r="W267" s="87" t="n"/>
      <c r="X267" s="88" t="n"/>
      <c r="Z267" s="93">
        <f>IF($A267="","",DATE(YEAR($A267),MONTH($A267),1))</f>
        <v/>
      </c>
    </row>
    <row r="268">
      <c r="A268" s="94" t="n"/>
      <c r="B268" s="95" t="n"/>
      <c r="C268" s="95" t="n"/>
      <c r="D268" s="96" t="n"/>
      <c r="E268" s="96" t="n"/>
      <c r="F268" s="96" t="n"/>
      <c r="G268" s="96" t="n"/>
      <c r="H268" s="97" t="n"/>
      <c r="I268" s="90">
        <f>IF($G268="","",IF($F268="",IFERROR(INDEX(Setup!$C$21:$C$60,MATCH("|"&amp;UPPER(TRIM($G268)),Setup!$Q$21:$Q$60,0)),"NO RATE"),IFERROR(INDEX(Setup!$C$21:$C$60,MATCH(UPPER(TRIM($F268))&amp;"|"&amp;UPPER(TRIM($G268)),Setup!$P$21:$P$60,0)),IFERROR(INDEX(Setup!$C$21:$C$60,MATCH(UPPER(TRIM($G268))&amp;"|"&amp;UPPER(TRIM($F268)),Setup!$P$21:$P$60,0)),"NO RATE"))))</f>
        <v/>
      </c>
      <c r="J268" s="98" t="n"/>
      <c r="K268" s="90">
        <f>IF(OR($G268="",$H268="",NOT(ISNUMBER($I268))),"",ROUND($H268*$I268*(1+IF($J268="",Setup!$B$16,$J268)),2))</f>
        <v/>
      </c>
      <c r="L268" s="90">
        <f>IF($K268="","",ROUND($K268*Setup!$B$13,2))</f>
        <v/>
      </c>
      <c r="M268" s="90">
        <f>IF($K268="","",$K268-$L268)</f>
        <v/>
      </c>
      <c r="N268" s="90">
        <f>IF(OR($M268="",$D268=""),"",ROUND($M268*IFERROR(IF(VLOOKUP($D268,Setup!$A$76:$C$87,3,FALSE)="",Setup!$B$14,VLOOKUP($D268,Setup!$A$76:$C$87,3,FALSE)),Setup!$B$14),2))</f>
        <v/>
      </c>
      <c r="O268" s="90">
        <f>IF(OR($M268="",$E268=""),"",ROUND($M268*IFERROR(IF(VLOOKUP($E268,Setup!$A$76:$C$87,3,FALSE)="",Setup!$B$15,VLOOKUP($E268,Setup!$A$76:$C$87,3,FALSE)),Setup!$B$15),2))</f>
        <v/>
      </c>
      <c r="P268" s="99" t="n"/>
      <c r="Q268" s="99" t="n"/>
      <c r="R268" s="99" t="n"/>
      <c r="S268" s="99" t="n"/>
      <c r="T268" s="99" t="n"/>
      <c r="U268" s="90">
        <f>IF($K268="","",SUM($R268:$T268))</f>
        <v/>
      </c>
      <c r="V268" s="90">
        <f>IF($K268="","",$M268-(N($N268)+N($O268)+IF($P268="",Setup!$B$17,$P268)+N($Q268))-N($U268))</f>
        <v/>
      </c>
      <c r="W268" s="95" t="n"/>
      <c r="X268" s="96" t="n"/>
      <c r="Z268" s="93">
        <f>IF($A268="","",DATE(YEAR($A268),MONTH($A268),1))</f>
        <v/>
      </c>
    </row>
    <row r="269">
      <c r="A269" s="86" t="n"/>
      <c r="B269" s="87" t="n"/>
      <c r="C269" s="87" t="n"/>
      <c r="D269" s="88" t="n"/>
      <c r="E269" s="88" t="n"/>
      <c r="F269" s="88" t="n"/>
      <c r="G269" s="88" t="n"/>
      <c r="H269" s="89" t="n"/>
      <c r="I269" s="90">
        <f>IF($G269="","",IF($F269="",IFERROR(INDEX(Setup!$C$21:$C$60,MATCH("|"&amp;UPPER(TRIM($G269)),Setup!$Q$21:$Q$60,0)),"NO RATE"),IFERROR(INDEX(Setup!$C$21:$C$60,MATCH(UPPER(TRIM($F269))&amp;"|"&amp;UPPER(TRIM($G269)),Setup!$P$21:$P$60,0)),IFERROR(INDEX(Setup!$C$21:$C$60,MATCH(UPPER(TRIM($G269))&amp;"|"&amp;UPPER(TRIM($F269)),Setup!$P$21:$P$60,0)),"NO RATE"))))</f>
        <v/>
      </c>
      <c r="J269" s="91" t="n"/>
      <c r="K269" s="90">
        <f>IF(OR($G269="",$H269="",NOT(ISNUMBER($I269))),"",ROUND($H269*$I269*(1+IF($J269="",Setup!$B$16,$J269)),2))</f>
        <v/>
      </c>
      <c r="L269" s="90">
        <f>IF($K269="","",ROUND($K269*Setup!$B$13,2))</f>
        <v/>
      </c>
      <c r="M269" s="90">
        <f>IF($K269="","",$K269-$L269)</f>
        <v/>
      </c>
      <c r="N269" s="90">
        <f>IF(OR($M269="",$D269=""),"",ROUND($M269*IFERROR(IF(VLOOKUP($D269,Setup!$A$76:$C$87,3,FALSE)="",Setup!$B$14,VLOOKUP($D269,Setup!$A$76:$C$87,3,FALSE)),Setup!$B$14),2))</f>
        <v/>
      </c>
      <c r="O269" s="90">
        <f>IF(OR($M269="",$E269=""),"",ROUND($M269*IFERROR(IF(VLOOKUP($E269,Setup!$A$76:$C$87,3,FALSE)="",Setup!$B$15,VLOOKUP($E269,Setup!$A$76:$C$87,3,FALSE)),Setup!$B$15),2))</f>
        <v/>
      </c>
      <c r="P269" s="92" t="n"/>
      <c r="Q269" s="92" t="n"/>
      <c r="R269" s="92" t="n"/>
      <c r="S269" s="92" t="n"/>
      <c r="T269" s="92" t="n"/>
      <c r="U269" s="90">
        <f>IF($K269="","",SUM($R269:$T269))</f>
        <v/>
      </c>
      <c r="V269" s="90">
        <f>IF($K269="","",$M269-(N($N269)+N($O269)+IF($P269="",Setup!$B$17,$P269)+N($Q269))-N($U269))</f>
        <v/>
      </c>
      <c r="W269" s="87" t="n"/>
      <c r="X269" s="88" t="n"/>
      <c r="Z269" s="93">
        <f>IF($A269="","",DATE(YEAR($A269),MONTH($A269),1))</f>
        <v/>
      </c>
    </row>
    <row r="270">
      <c r="A270" s="94" t="n"/>
      <c r="B270" s="95" t="n"/>
      <c r="C270" s="95" t="n"/>
      <c r="D270" s="96" t="n"/>
      <c r="E270" s="96" t="n"/>
      <c r="F270" s="96" t="n"/>
      <c r="G270" s="96" t="n"/>
      <c r="H270" s="97" t="n"/>
      <c r="I270" s="90">
        <f>IF($G270="","",IF($F270="",IFERROR(INDEX(Setup!$C$21:$C$60,MATCH("|"&amp;UPPER(TRIM($G270)),Setup!$Q$21:$Q$60,0)),"NO RATE"),IFERROR(INDEX(Setup!$C$21:$C$60,MATCH(UPPER(TRIM($F270))&amp;"|"&amp;UPPER(TRIM($G270)),Setup!$P$21:$P$60,0)),IFERROR(INDEX(Setup!$C$21:$C$60,MATCH(UPPER(TRIM($G270))&amp;"|"&amp;UPPER(TRIM($F270)),Setup!$P$21:$P$60,0)),"NO RATE"))))</f>
        <v/>
      </c>
      <c r="J270" s="98" t="n"/>
      <c r="K270" s="90">
        <f>IF(OR($G270="",$H270="",NOT(ISNUMBER($I270))),"",ROUND($H270*$I270*(1+IF($J270="",Setup!$B$16,$J270)),2))</f>
        <v/>
      </c>
      <c r="L270" s="90">
        <f>IF($K270="","",ROUND($K270*Setup!$B$13,2))</f>
        <v/>
      </c>
      <c r="M270" s="90">
        <f>IF($K270="","",$K270-$L270)</f>
        <v/>
      </c>
      <c r="N270" s="90">
        <f>IF(OR($M270="",$D270=""),"",ROUND($M270*IFERROR(IF(VLOOKUP($D270,Setup!$A$76:$C$87,3,FALSE)="",Setup!$B$14,VLOOKUP($D270,Setup!$A$76:$C$87,3,FALSE)),Setup!$B$14),2))</f>
        <v/>
      </c>
      <c r="O270" s="90">
        <f>IF(OR($M270="",$E270=""),"",ROUND($M270*IFERROR(IF(VLOOKUP($E270,Setup!$A$76:$C$87,3,FALSE)="",Setup!$B$15,VLOOKUP($E270,Setup!$A$76:$C$87,3,FALSE)),Setup!$B$15),2))</f>
        <v/>
      </c>
      <c r="P270" s="99" t="n"/>
      <c r="Q270" s="99" t="n"/>
      <c r="R270" s="99" t="n"/>
      <c r="S270" s="99" t="n"/>
      <c r="T270" s="99" t="n"/>
      <c r="U270" s="90">
        <f>IF($K270="","",SUM($R270:$T270))</f>
        <v/>
      </c>
      <c r="V270" s="90">
        <f>IF($K270="","",$M270-(N($N270)+N($O270)+IF($P270="",Setup!$B$17,$P270)+N($Q270))-N($U270))</f>
        <v/>
      </c>
      <c r="W270" s="95" t="n"/>
      <c r="X270" s="96" t="n"/>
      <c r="Z270" s="93">
        <f>IF($A270="","",DATE(YEAR($A270),MONTH($A270),1))</f>
        <v/>
      </c>
    </row>
    <row r="271">
      <c r="A271" s="86" t="n"/>
      <c r="B271" s="87" t="n"/>
      <c r="C271" s="87" t="n"/>
      <c r="D271" s="88" t="n"/>
      <c r="E271" s="88" t="n"/>
      <c r="F271" s="88" t="n"/>
      <c r="G271" s="88" t="n"/>
      <c r="H271" s="89" t="n"/>
      <c r="I271" s="90">
        <f>IF($G271="","",IF($F271="",IFERROR(INDEX(Setup!$C$21:$C$60,MATCH("|"&amp;UPPER(TRIM($G271)),Setup!$Q$21:$Q$60,0)),"NO RATE"),IFERROR(INDEX(Setup!$C$21:$C$60,MATCH(UPPER(TRIM($F271))&amp;"|"&amp;UPPER(TRIM($G271)),Setup!$P$21:$P$60,0)),IFERROR(INDEX(Setup!$C$21:$C$60,MATCH(UPPER(TRIM($G271))&amp;"|"&amp;UPPER(TRIM($F271)),Setup!$P$21:$P$60,0)),"NO RATE"))))</f>
        <v/>
      </c>
      <c r="J271" s="91" t="n"/>
      <c r="K271" s="90">
        <f>IF(OR($G271="",$H271="",NOT(ISNUMBER($I271))),"",ROUND($H271*$I271*(1+IF($J271="",Setup!$B$16,$J271)),2))</f>
        <v/>
      </c>
      <c r="L271" s="90">
        <f>IF($K271="","",ROUND($K271*Setup!$B$13,2))</f>
        <v/>
      </c>
      <c r="M271" s="90">
        <f>IF($K271="","",$K271-$L271)</f>
        <v/>
      </c>
      <c r="N271" s="90">
        <f>IF(OR($M271="",$D271=""),"",ROUND($M271*IFERROR(IF(VLOOKUP($D271,Setup!$A$76:$C$87,3,FALSE)="",Setup!$B$14,VLOOKUP($D271,Setup!$A$76:$C$87,3,FALSE)),Setup!$B$14),2))</f>
        <v/>
      </c>
      <c r="O271" s="90">
        <f>IF(OR($M271="",$E271=""),"",ROUND($M271*IFERROR(IF(VLOOKUP($E271,Setup!$A$76:$C$87,3,FALSE)="",Setup!$B$15,VLOOKUP($E271,Setup!$A$76:$C$87,3,FALSE)),Setup!$B$15),2))</f>
        <v/>
      </c>
      <c r="P271" s="92" t="n"/>
      <c r="Q271" s="92" t="n"/>
      <c r="R271" s="92" t="n"/>
      <c r="S271" s="92" t="n"/>
      <c r="T271" s="92" t="n"/>
      <c r="U271" s="90">
        <f>IF($K271="","",SUM($R271:$T271))</f>
        <v/>
      </c>
      <c r="V271" s="90">
        <f>IF($K271="","",$M271-(N($N271)+N($O271)+IF($P271="",Setup!$B$17,$P271)+N($Q271))-N($U271))</f>
        <v/>
      </c>
      <c r="W271" s="87" t="n"/>
      <c r="X271" s="88" t="n"/>
      <c r="Z271" s="93">
        <f>IF($A271="","",DATE(YEAR($A271),MONTH($A271),1))</f>
        <v/>
      </c>
    </row>
    <row r="272">
      <c r="A272" s="94" t="n"/>
      <c r="B272" s="95" t="n"/>
      <c r="C272" s="95" t="n"/>
      <c r="D272" s="96" t="n"/>
      <c r="E272" s="96" t="n"/>
      <c r="F272" s="96" t="n"/>
      <c r="G272" s="96" t="n"/>
      <c r="H272" s="97" t="n"/>
      <c r="I272" s="90">
        <f>IF($G272="","",IF($F272="",IFERROR(INDEX(Setup!$C$21:$C$60,MATCH("|"&amp;UPPER(TRIM($G272)),Setup!$Q$21:$Q$60,0)),"NO RATE"),IFERROR(INDEX(Setup!$C$21:$C$60,MATCH(UPPER(TRIM($F272))&amp;"|"&amp;UPPER(TRIM($G272)),Setup!$P$21:$P$60,0)),IFERROR(INDEX(Setup!$C$21:$C$60,MATCH(UPPER(TRIM($G272))&amp;"|"&amp;UPPER(TRIM($F272)),Setup!$P$21:$P$60,0)),"NO RATE"))))</f>
        <v/>
      </c>
      <c r="J272" s="98" t="n"/>
      <c r="K272" s="90">
        <f>IF(OR($G272="",$H272="",NOT(ISNUMBER($I272))),"",ROUND($H272*$I272*(1+IF($J272="",Setup!$B$16,$J272)),2))</f>
        <v/>
      </c>
      <c r="L272" s="90">
        <f>IF($K272="","",ROUND($K272*Setup!$B$13,2))</f>
        <v/>
      </c>
      <c r="M272" s="90">
        <f>IF($K272="","",$K272-$L272)</f>
        <v/>
      </c>
      <c r="N272" s="90">
        <f>IF(OR($M272="",$D272=""),"",ROUND($M272*IFERROR(IF(VLOOKUP($D272,Setup!$A$76:$C$87,3,FALSE)="",Setup!$B$14,VLOOKUP($D272,Setup!$A$76:$C$87,3,FALSE)),Setup!$B$14),2))</f>
        <v/>
      </c>
      <c r="O272" s="90">
        <f>IF(OR($M272="",$E272=""),"",ROUND($M272*IFERROR(IF(VLOOKUP($E272,Setup!$A$76:$C$87,3,FALSE)="",Setup!$B$15,VLOOKUP($E272,Setup!$A$76:$C$87,3,FALSE)),Setup!$B$15),2))</f>
        <v/>
      </c>
      <c r="P272" s="99" t="n"/>
      <c r="Q272" s="99" t="n"/>
      <c r="R272" s="99" t="n"/>
      <c r="S272" s="99" t="n"/>
      <c r="T272" s="99" t="n"/>
      <c r="U272" s="90">
        <f>IF($K272="","",SUM($R272:$T272))</f>
        <v/>
      </c>
      <c r="V272" s="90">
        <f>IF($K272="","",$M272-(N($N272)+N($O272)+IF($P272="",Setup!$B$17,$P272)+N($Q272))-N($U272))</f>
        <v/>
      </c>
      <c r="W272" s="95" t="n"/>
      <c r="X272" s="96" t="n"/>
      <c r="Z272" s="93">
        <f>IF($A272="","",DATE(YEAR($A272),MONTH($A272),1))</f>
        <v/>
      </c>
    </row>
    <row r="273">
      <c r="A273" s="86" t="n"/>
      <c r="B273" s="87" t="n"/>
      <c r="C273" s="87" t="n"/>
      <c r="D273" s="88" t="n"/>
      <c r="E273" s="88" t="n"/>
      <c r="F273" s="88" t="n"/>
      <c r="G273" s="88" t="n"/>
      <c r="H273" s="89" t="n"/>
      <c r="I273" s="90">
        <f>IF($G273="","",IF($F273="",IFERROR(INDEX(Setup!$C$21:$C$60,MATCH("|"&amp;UPPER(TRIM($G273)),Setup!$Q$21:$Q$60,0)),"NO RATE"),IFERROR(INDEX(Setup!$C$21:$C$60,MATCH(UPPER(TRIM($F273))&amp;"|"&amp;UPPER(TRIM($G273)),Setup!$P$21:$P$60,0)),IFERROR(INDEX(Setup!$C$21:$C$60,MATCH(UPPER(TRIM($G273))&amp;"|"&amp;UPPER(TRIM($F273)),Setup!$P$21:$P$60,0)),"NO RATE"))))</f>
        <v/>
      </c>
      <c r="J273" s="91" t="n"/>
      <c r="K273" s="90">
        <f>IF(OR($G273="",$H273="",NOT(ISNUMBER($I273))),"",ROUND($H273*$I273*(1+IF($J273="",Setup!$B$16,$J273)),2))</f>
        <v/>
      </c>
      <c r="L273" s="90">
        <f>IF($K273="","",ROUND($K273*Setup!$B$13,2))</f>
        <v/>
      </c>
      <c r="M273" s="90">
        <f>IF($K273="","",$K273-$L273)</f>
        <v/>
      </c>
      <c r="N273" s="90">
        <f>IF(OR($M273="",$D273=""),"",ROUND($M273*IFERROR(IF(VLOOKUP($D273,Setup!$A$76:$C$87,3,FALSE)="",Setup!$B$14,VLOOKUP($D273,Setup!$A$76:$C$87,3,FALSE)),Setup!$B$14),2))</f>
        <v/>
      </c>
      <c r="O273" s="90">
        <f>IF(OR($M273="",$E273=""),"",ROUND($M273*IFERROR(IF(VLOOKUP($E273,Setup!$A$76:$C$87,3,FALSE)="",Setup!$B$15,VLOOKUP($E273,Setup!$A$76:$C$87,3,FALSE)),Setup!$B$15),2))</f>
        <v/>
      </c>
      <c r="P273" s="92" t="n"/>
      <c r="Q273" s="92" t="n"/>
      <c r="R273" s="92" t="n"/>
      <c r="S273" s="92" t="n"/>
      <c r="T273" s="92" t="n"/>
      <c r="U273" s="90">
        <f>IF($K273="","",SUM($R273:$T273))</f>
        <v/>
      </c>
      <c r="V273" s="90">
        <f>IF($K273="","",$M273-(N($N273)+N($O273)+IF($P273="",Setup!$B$17,$P273)+N($Q273))-N($U273))</f>
        <v/>
      </c>
      <c r="W273" s="87" t="n"/>
      <c r="X273" s="88" t="n"/>
      <c r="Z273" s="93">
        <f>IF($A273="","",DATE(YEAR($A273),MONTH($A273),1))</f>
        <v/>
      </c>
    </row>
    <row r="274">
      <c r="A274" s="94" t="n"/>
      <c r="B274" s="95" t="n"/>
      <c r="C274" s="95" t="n"/>
      <c r="D274" s="96" t="n"/>
      <c r="E274" s="96" t="n"/>
      <c r="F274" s="96" t="n"/>
      <c r="G274" s="96" t="n"/>
      <c r="H274" s="97" t="n"/>
      <c r="I274" s="90">
        <f>IF($G274="","",IF($F274="",IFERROR(INDEX(Setup!$C$21:$C$60,MATCH("|"&amp;UPPER(TRIM($G274)),Setup!$Q$21:$Q$60,0)),"NO RATE"),IFERROR(INDEX(Setup!$C$21:$C$60,MATCH(UPPER(TRIM($F274))&amp;"|"&amp;UPPER(TRIM($G274)),Setup!$P$21:$P$60,0)),IFERROR(INDEX(Setup!$C$21:$C$60,MATCH(UPPER(TRIM($G274))&amp;"|"&amp;UPPER(TRIM($F274)),Setup!$P$21:$P$60,0)),"NO RATE"))))</f>
        <v/>
      </c>
      <c r="J274" s="98" t="n"/>
      <c r="K274" s="90">
        <f>IF(OR($G274="",$H274="",NOT(ISNUMBER($I274))),"",ROUND($H274*$I274*(1+IF($J274="",Setup!$B$16,$J274)),2))</f>
        <v/>
      </c>
      <c r="L274" s="90">
        <f>IF($K274="","",ROUND($K274*Setup!$B$13,2))</f>
        <v/>
      </c>
      <c r="M274" s="90">
        <f>IF($K274="","",$K274-$L274)</f>
        <v/>
      </c>
      <c r="N274" s="90">
        <f>IF(OR($M274="",$D274=""),"",ROUND($M274*IFERROR(IF(VLOOKUP($D274,Setup!$A$76:$C$87,3,FALSE)="",Setup!$B$14,VLOOKUP($D274,Setup!$A$76:$C$87,3,FALSE)),Setup!$B$14),2))</f>
        <v/>
      </c>
      <c r="O274" s="90">
        <f>IF(OR($M274="",$E274=""),"",ROUND($M274*IFERROR(IF(VLOOKUP($E274,Setup!$A$76:$C$87,3,FALSE)="",Setup!$B$15,VLOOKUP($E274,Setup!$A$76:$C$87,3,FALSE)),Setup!$B$15),2))</f>
        <v/>
      </c>
      <c r="P274" s="99" t="n"/>
      <c r="Q274" s="99" t="n"/>
      <c r="R274" s="99" t="n"/>
      <c r="S274" s="99" t="n"/>
      <c r="T274" s="99" t="n"/>
      <c r="U274" s="90">
        <f>IF($K274="","",SUM($R274:$T274))</f>
        <v/>
      </c>
      <c r="V274" s="90">
        <f>IF($K274="","",$M274-(N($N274)+N($O274)+IF($P274="",Setup!$B$17,$P274)+N($Q274))-N($U274))</f>
        <v/>
      </c>
      <c r="W274" s="95" t="n"/>
      <c r="X274" s="96" t="n"/>
      <c r="Z274" s="93">
        <f>IF($A274="","",DATE(YEAR($A274),MONTH($A274),1))</f>
        <v/>
      </c>
    </row>
    <row r="275">
      <c r="A275" s="86" t="n"/>
      <c r="B275" s="87" t="n"/>
      <c r="C275" s="87" t="n"/>
      <c r="D275" s="88" t="n"/>
      <c r="E275" s="88" t="n"/>
      <c r="F275" s="88" t="n"/>
      <c r="G275" s="88" t="n"/>
      <c r="H275" s="89" t="n"/>
      <c r="I275" s="90">
        <f>IF($G275="","",IF($F275="",IFERROR(INDEX(Setup!$C$21:$C$60,MATCH("|"&amp;UPPER(TRIM($G275)),Setup!$Q$21:$Q$60,0)),"NO RATE"),IFERROR(INDEX(Setup!$C$21:$C$60,MATCH(UPPER(TRIM($F275))&amp;"|"&amp;UPPER(TRIM($G275)),Setup!$P$21:$P$60,0)),IFERROR(INDEX(Setup!$C$21:$C$60,MATCH(UPPER(TRIM($G275))&amp;"|"&amp;UPPER(TRIM($F275)),Setup!$P$21:$P$60,0)),"NO RATE"))))</f>
        <v/>
      </c>
      <c r="J275" s="91" t="n"/>
      <c r="K275" s="90">
        <f>IF(OR($G275="",$H275="",NOT(ISNUMBER($I275))),"",ROUND($H275*$I275*(1+IF($J275="",Setup!$B$16,$J275)),2))</f>
        <v/>
      </c>
      <c r="L275" s="90">
        <f>IF($K275="","",ROUND($K275*Setup!$B$13,2))</f>
        <v/>
      </c>
      <c r="M275" s="90">
        <f>IF($K275="","",$K275-$L275)</f>
        <v/>
      </c>
      <c r="N275" s="90">
        <f>IF(OR($M275="",$D275=""),"",ROUND($M275*IFERROR(IF(VLOOKUP($D275,Setup!$A$76:$C$87,3,FALSE)="",Setup!$B$14,VLOOKUP($D275,Setup!$A$76:$C$87,3,FALSE)),Setup!$B$14),2))</f>
        <v/>
      </c>
      <c r="O275" s="90">
        <f>IF(OR($M275="",$E275=""),"",ROUND($M275*IFERROR(IF(VLOOKUP($E275,Setup!$A$76:$C$87,3,FALSE)="",Setup!$B$15,VLOOKUP($E275,Setup!$A$76:$C$87,3,FALSE)),Setup!$B$15),2))</f>
        <v/>
      </c>
      <c r="P275" s="92" t="n"/>
      <c r="Q275" s="92" t="n"/>
      <c r="R275" s="92" t="n"/>
      <c r="S275" s="92" t="n"/>
      <c r="T275" s="92" t="n"/>
      <c r="U275" s="90">
        <f>IF($K275="","",SUM($R275:$T275))</f>
        <v/>
      </c>
      <c r="V275" s="90">
        <f>IF($K275="","",$M275-(N($N275)+N($O275)+IF($P275="",Setup!$B$17,$P275)+N($Q275))-N($U275))</f>
        <v/>
      </c>
      <c r="W275" s="87" t="n"/>
      <c r="X275" s="88" t="n"/>
      <c r="Z275" s="93">
        <f>IF($A275="","",DATE(YEAR($A275),MONTH($A275),1))</f>
        <v/>
      </c>
    </row>
    <row r="276">
      <c r="A276" s="94" t="n"/>
      <c r="B276" s="95" t="n"/>
      <c r="C276" s="95" t="n"/>
      <c r="D276" s="96" t="n"/>
      <c r="E276" s="96" t="n"/>
      <c r="F276" s="96" t="n"/>
      <c r="G276" s="96" t="n"/>
      <c r="H276" s="97" t="n"/>
      <c r="I276" s="90">
        <f>IF($G276="","",IF($F276="",IFERROR(INDEX(Setup!$C$21:$C$60,MATCH("|"&amp;UPPER(TRIM($G276)),Setup!$Q$21:$Q$60,0)),"NO RATE"),IFERROR(INDEX(Setup!$C$21:$C$60,MATCH(UPPER(TRIM($F276))&amp;"|"&amp;UPPER(TRIM($G276)),Setup!$P$21:$P$60,0)),IFERROR(INDEX(Setup!$C$21:$C$60,MATCH(UPPER(TRIM($G276))&amp;"|"&amp;UPPER(TRIM($F276)),Setup!$P$21:$P$60,0)),"NO RATE"))))</f>
        <v/>
      </c>
      <c r="J276" s="98" t="n"/>
      <c r="K276" s="90">
        <f>IF(OR($G276="",$H276="",NOT(ISNUMBER($I276))),"",ROUND($H276*$I276*(1+IF($J276="",Setup!$B$16,$J276)),2))</f>
        <v/>
      </c>
      <c r="L276" s="90">
        <f>IF($K276="","",ROUND($K276*Setup!$B$13,2))</f>
        <v/>
      </c>
      <c r="M276" s="90">
        <f>IF($K276="","",$K276-$L276)</f>
        <v/>
      </c>
      <c r="N276" s="90">
        <f>IF(OR($M276="",$D276=""),"",ROUND($M276*IFERROR(IF(VLOOKUP($D276,Setup!$A$76:$C$87,3,FALSE)="",Setup!$B$14,VLOOKUP($D276,Setup!$A$76:$C$87,3,FALSE)),Setup!$B$14),2))</f>
        <v/>
      </c>
      <c r="O276" s="90">
        <f>IF(OR($M276="",$E276=""),"",ROUND($M276*IFERROR(IF(VLOOKUP($E276,Setup!$A$76:$C$87,3,FALSE)="",Setup!$B$15,VLOOKUP($E276,Setup!$A$76:$C$87,3,FALSE)),Setup!$B$15),2))</f>
        <v/>
      </c>
      <c r="P276" s="99" t="n"/>
      <c r="Q276" s="99" t="n"/>
      <c r="R276" s="99" t="n"/>
      <c r="S276" s="99" t="n"/>
      <c r="T276" s="99" t="n"/>
      <c r="U276" s="90">
        <f>IF($K276="","",SUM($R276:$T276))</f>
        <v/>
      </c>
      <c r="V276" s="90">
        <f>IF($K276="","",$M276-(N($N276)+N($O276)+IF($P276="",Setup!$B$17,$P276)+N($Q276))-N($U276))</f>
        <v/>
      </c>
      <c r="W276" s="95" t="n"/>
      <c r="X276" s="96" t="n"/>
      <c r="Z276" s="93">
        <f>IF($A276="","",DATE(YEAR($A276),MONTH($A276),1))</f>
        <v/>
      </c>
    </row>
    <row r="277">
      <c r="A277" s="86" t="n"/>
      <c r="B277" s="87" t="n"/>
      <c r="C277" s="87" t="n"/>
      <c r="D277" s="88" t="n"/>
      <c r="E277" s="88" t="n"/>
      <c r="F277" s="88" t="n"/>
      <c r="G277" s="88" t="n"/>
      <c r="H277" s="89" t="n"/>
      <c r="I277" s="90">
        <f>IF($G277="","",IF($F277="",IFERROR(INDEX(Setup!$C$21:$C$60,MATCH("|"&amp;UPPER(TRIM($G277)),Setup!$Q$21:$Q$60,0)),"NO RATE"),IFERROR(INDEX(Setup!$C$21:$C$60,MATCH(UPPER(TRIM($F277))&amp;"|"&amp;UPPER(TRIM($G277)),Setup!$P$21:$P$60,0)),IFERROR(INDEX(Setup!$C$21:$C$60,MATCH(UPPER(TRIM($G277))&amp;"|"&amp;UPPER(TRIM($F277)),Setup!$P$21:$P$60,0)),"NO RATE"))))</f>
        <v/>
      </c>
      <c r="J277" s="91" t="n"/>
      <c r="K277" s="90">
        <f>IF(OR($G277="",$H277="",NOT(ISNUMBER($I277))),"",ROUND($H277*$I277*(1+IF($J277="",Setup!$B$16,$J277)),2))</f>
        <v/>
      </c>
      <c r="L277" s="90">
        <f>IF($K277="","",ROUND($K277*Setup!$B$13,2))</f>
        <v/>
      </c>
      <c r="M277" s="90">
        <f>IF($K277="","",$K277-$L277)</f>
        <v/>
      </c>
      <c r="N277" s="90">
        <f>IF(OR($M277="",$D277=""),"",ROUND($M277*IFERROR(IF(VLOOKUP($D277,Setup!$A$76:$C$87,3,FALSE)="",Setup!$B$14,VLOOKUP($D277,Setup!$A$76:$C$87,3,FALSE)),Setup!$B$14),2))</f>
        <v/>
      </c>
      <c r="O277" s="90">
        <f>IF(OR($M277="",$E277=""),"",ROUND($M277*IFERROR(IF(VLOOKUP($E277,Setup!$A$76:$C$87,3,FALSE)="",Setup!$B$15,VLOOKUP($E277,Setup!$A$76:$C$87,3,FALSE)),Setup!$B$15),2))</f>
        <v/>
      </c>
      <c r="P277" s="92" t="n"/>
      <c r="Q277" s="92" t="n"/>
      <c r="R277" s="92" t="n"/>
      <c r="S277" s="92" t="n"/>
      <c r="T277" s="92" t="n"/>
      <c r="U277" s="90">
        <f>IF($K277="","",SUM($R277:$T277))</f>
        <v/>
      </c>
      <c r="V277" s="90">
        <f>IF($K277="","",$M277-(N($N277)+N($O277)+IF($P277="",Setup!$B$17,$P277)+N($Q277))-N($U277))</f>
        <v/>
      </c>
      <c r="W277" s="87" t="n"/>
      <c r="X277" s="88" t="n"/>
      <c r="Z277" s="93">
        <f>IF($A277="","",DATE(YEAR($A277),MONTH($A277),1))</f>
        <v/>
      </c>
    </row>
    <row r="278">
      <c r="A278" s="94" t="n"/>
      <c r="B278" s="95" t="n"/>
      <c r="C278" s="95" t="n"/>
      <c r="D278" s="96" t="n"/>
      <c r="E278" s="96" t="n"/>
      <c r="F278" s="96" t="n"/>
      <c r="G278" s="96" t="n"/>
      <c r="H278" s="97" t="n"/>
      <c r="I278" s="90">
        <f>IF($G278="","",IF($F278="",IFERROR(INDEX(Setup!$C$21:$C$60,MATCH("|"&amp;UPPER(TRIM($G278)),Setup!$Q$21:$Q$60,0)),"NO RATE"),IFERROR(INDEX(Setup!$C$21:$C$60,MATCH(UPPER(TRIM($F278))&amp;"|"&amp;UPPER(TRIM($G278)),Setup!$P$21:$P$60,0)),IFERROR(INDEX(Setup!$C$21:$C$60,MATCH(UPPER(TRIM($G278))&amp;"|"&amp;UPPER(TRIM($F278)),Setup!$P$21:$P$60,0)),"NO RATE"))))</f>
        <v/>
      </c>
      <c r="J278" s="98" t="n"/>
      <c r="K278" s="90">
        <f>IF(OR($G278="",$H278="",NOT(ISNUMBER($I278))),"",ROUND($H278*$I278*(1+IF($J278="",Setup!$B$16,$J278)),2))</f>
        <v/>
      </c>
      <c r="L278" s="90">
        <f>IF($K278="","",ROUND($K278*Setup!$B$13,2))</f>
        <v/>
      </c>
      <c r="M278" s="90">
        <f>IF($K278="","",$K278-$L278)</f>
        <v/>
      </c>
      <c r="N278" s="90">
        <f>IF(OR($M278="",$D278=""),"",ROUND($M278*IFERROR(IF(VLOOKUP($D278,Setup!$A$76:$C$87,3,FALSE)="",Setup!$B$14,VLOOKUP($D278,Setup!$A$76:$C$87,3,FALSE)),Setup!$B$14),2))</f>
        <v/>
      </c>
      <c r="O278" s="90">
        <f>IF(OR($M278="",$E278=""),"",ROUND($M278*IFERROR(IF(VLOOKUP($E278,Setup!$A$76:$C$87,3,FALSE)="",Setup!$B$15,VLOOKUP($E278,Setup!$A$76:$C$87,3,FALSE)),Setup!$B$15),2))</f>
        <v/>
      </c>
      <c r="P278" s="99" t="n"/>
      <c r="Q278" s="99" t="n"/>
      <c r="R278" s="99" t="n"/>
      <c r="S278" s="99" t="n"/>
      <c r="T278" s="99" t="n"/>
      <c r="U278" s="90">
        <f>IF($K278="","",SUM($R278:$T278))</f>
        <v/>
      </c>
      <c r="V278" s="90">
        <f>IF($K278="","",$M278-(N($N278)+N($O278)+IF($P278="",Setup!$B$17,$P278)+N($Q278))-N($U278))</f>
        <v/>
      </c>
      <c r="W278" s="95" t="n"/>
      <c r="X278" s="96" t="n"/>
      <c r="Z278" s="93">
        <f>IF($A278="","",DATE(YEAR($A278),MONTH($A278),1))</f>
        <v/>
      </c>
    </row>
    <row r="279">
      <c r="A279" s="86" t="n"/>
      <c r="B279" s="87" t="n"/>
      <c r="C279" s="87" t="n"/>
      <c r="D279" s="88" t="n"/>
      <c r="E279" s="88" t="n"/>
      <c r="F279" s="88" t="n"/>
      <c r="G279" s="88" t="n"/>
      <c r="H279" s="89" t="n"/>
      <c r="I279" s="90">
        <f>IF($G279="","",IF($F279="",IFERROR(INDEX(Setup!$C$21:$C$60,MATCH("|"&amp;UPPER(TRIM($G279)),Setup!$Q$21:$Q$60,0)),"NO RATE"),IFERROR(INDEX(Setup!$C$21:$C$60,MATCH(UPPER(TRIM($F279))&amp;"|"&amp;UPPER(TRIM($G279)),Setup!$P$21:$P$60,0)),IFERROR(INDEX(Setup!$C$21:$C$60,MATCH(UPPER(TRIM($G279))&amp;"|"&amp;UPPER(TRIM($F279)),Setup!$P$21:$P$60,0)),"NO RATE"))))</f>
        <v/>
      </c>
      <c r="J279" s="91" t="n"/>
      <c r="K279" s="90">
        <f>IF(OR($G279="",$H279="",NOT(ISNUMBER($I279))),"",ROUND($H279*$I279*(1+IF($J279="",Setup!$B$16,$J279)),2))</f>
        <v/>
      </c>
      <c r="L279" s="90">
        <f>IF($K279="","",ROUND($K279*Setup!$B$13,2))</f>
        <v/>
      </c>
      <c r="M279" s="90">
        <f>IF($K279="","",$K279-$L279)</f>
        <v/>
      </c>
      <c r="N279" s="90">
        <f>IF(OR($M279="",$D279=""),"",ROUND($M279*IFERROR(IF(VLOOKUP($D279,Setup!$A$76:$C$87,3,FALSE)="",Setup!$B$14,VLOOKUP($D279,Setup!$A$76:$C$87,3,FALSE)),Setup!$B$14),2))</f>
        <v/>
      </c>
      <c r="O279" s="90">
        <f>IF(OR($M279="",$E279=""),"",ROUND($M279*IFERROR(IF(VLOOKUP($E279,Setup!$A$76:$C$87,3,FALSE)="",Setup!$B$15,VLOOKUP($E279,Setup!$A$76:$C$87,3,FALSE)),Setup!$B$15),2))</f>
        <v/>
      </c>
      <c r="P279" s="92" t="n"/>
      <c r="Q279" s="92" t="n"/>
      <c r="R279" s="92" t="n"/>
      <c r="S279" s="92" t="n"/>
      <c r="T279" s="92" t="n"/>
      <c r="U279" s="90">
        <f>IF($K279="","",SUM($R279:$T279))</f>
        <v/>
      </c>
      <c r="V279" s="90">
        <f>IF($K279="","",$M279-(N($N279)+N($O279)+IF($P279="",Setup!$B$17,$P279)+N($Q279))-N($U279))</f>
        <v/>
      </c>
      <c r="W279" s="87" t="n"/>
      <c r="X279" s="88" t="n"/>
      <c r="Z279" s="93">
        <f>IF($A279="","",DATE(YEAR($A279),MONTH($A279),1))</f>
        <v/>
      </c>
    </row>
    <row r="280">
      <c r="A280" s="94" t="n"/>
      <c r="B280" s="95" t="n"/>
      <c r="C280" s="95" t="n"/>
      <c r="D280" s="96" t="n"/>
      <c r="E280" s="96" t="n"/>
      <c r="F280" s="96" t="n"/>
      <c r="G280" s="96" t="n"/>
      <c r="H280" s="97" t="n"/>
      <c r="I280" s="90">
        <f>IF($G280="","",IF($F280="",IFERROR(INDEX(Setup!$C$21:$C$60,MATCH("|"&amp;UPPER(TRIM($G280)),Setup!$Q$21:$Q$60,0)),"NO RATE"),IFERROR(INDEX(Setup!$C$21:$C$60,MATCH(UPPER(TRIM($F280))&amp;"|"&amp;UPPER(TRIM($G280)),Setup!$P$21:$P$60,0)),IFERROR(INDEX(Setup!$C$21:$C$60,MATCH(UPPER(TRIM($G280))&amp;"|"&amp;UPPER(TRIM($F280)),Setup!$P$21:$P$60,0)),"NO RATE"))))</f>
        <v/>
      </c>
      <c r="J280" s="98" t="n"/>
      <c r="K280" s="90">
        <f>IF(OR($G280="",$H280="",NOT(ISNUMBER($I280))),"",ROUND($H280*$I280*(1+IF($J280="",Setup!$B$16,$J280)),2))</f>
        <v/>
      </c>
      <c r="L280" s="90">
        <f>IF($K280="","",ROUND($K280*Setup!$B$13,2))</f>
        <v/>
      </c>
      <c r="M280" s="90">
        <f>IF($K280="","",$K280-$L280)</f>
        <v/>
      </c>
      <c r="N280" s="90">
        <f>IF(OR($M280="",$D280=""),"",ROUND($M280*IFERROR(IF(VLOOKUP($D280,Setup!$A$76:$C$87,3,FALSE)="",Setup!$B$14,VLOOKUP($D280,Setup!$A$76:$C$87,3,FALSE)),Setup!$B$14),2))</f>
        <v/>
      </c>
      <c r="O280" s="90">
        <f>IF(OR($M280="",$E280=""),"",ROUND($M280*IFERROR(IF(VLOOKUP($E280,Setup!$A$76:$C$87,3,FALSE)="",Setup!$B$15,VLOOKUP($E280,Setup!$A$76:$C$87,3,FALSE)),Setup!$B$15),2))</f>
        <v/>
      </c>
      <c r="P280" s="99" t="n"/>
      <c r="Q280" s="99" t="n"/>
      <c r="R280" s="99" t="n"/>
      <c r="S280" s="99" t="n"/>
      <c r="T280" s="99" t="n"/>
      <c r="U280" s="90">
        <f>IF($K280="","",SUM($R280:$T280))</f>
        <v/>
      </c>
      <c r="V280" s="90">
        <f>IF($K280="","",$M280-(N($N280)+N($O280)+IF($P280="",Setup!$B$17,$P280)+N($Q280))-N($U280))</f>
        <v/>
      </c>
      <c r="W280" s="95" t="n"/>
      <c r="X280" s="96" t="n"/>
      <c r="Z280" s="93">
        <f>IF($A280="","",DATE(YEAR($A280),MONTH($A280),1))</f>
        <v/>
      </c>
    </row>
    <row r="281">
      <c r="A281" s="86" t="n"/>
      <c r="B281" s="87" t="n"/>
      <c r="C281" s="87" t="n"/>
      <c r="D281" s="88" t="n"/>
      <c r="E281" s="88" t="n"/>
      <c r="F281" s="88" t="n"/>
      <c r="G281" s="88" t="n"/>
      <c r="H281" s="89" t="n"/>
      <c r="I281" s="90">
        <f>IF($G281="","",IF($F281="",IFERROR(INDEX(Setup!$C$21:$C$60,MATCH("|"&amp;UPPER(TRIM($G281)),Setup!$Q$21:$Q$60,0)),"NO RATE"),IFERROR(INDEX(Setup!$C$21:$C$60,MATCH(UPPER(TRIM($F281))&amp;"|"&amp;UPPER(TRIM($G281)),Setup!$P$21:$P$60,0)),IFERROR(INDEX(Setup!$C$21:$C$60,MATCH(UPPER(TRIM($G281))&amp;"|"&amp;UPPER(TRIM($F281)),Setup!$P$21:$P$60,0)),"NO RATE"))))</f>
        <v/>
      </c>
      <c r="J281" s="91" t="n"/>
      <c r="K281" s="90">
        <f>IF(OR($G281="",$H281="",NOT(ISNUMBER($I281))),"",ROUND($H281*$I281*(1+IF($J281="",Setup!$B$16,$J281)),2))</f>
        <v/>
      </c>
      <c r="L281" s="90">
        <f>IF($K281="","",ROUND($K281*Setup!$B$13,2))</f>
        <v/>
      </c>
      <c r="M281" s="90">
        <f>IF($K281="","",$K281-$L281)</f>
        <v/>
      </c>
      <c r="N281" s="90">
        <f>IF(OR($M281="",$D281=""),"",ROUND($M281*IFERROR(IF(VLOOKUP($D281,Setup!$A$76:$C$87,3,FALSE)="",Setup!$B$14,VLOOKUP($D281,Setup!$A$76:$C$87,3,FALSE)),Setup!$B$14),2))</f>
        <v/>
      </c>
      <c r="O281" s="90">
        <f>IF(OR($M281="",$E281=""),"",ROUND($M281*IFERROR(IF(VLOOKUP($E281,Setup!$A$76:$C$87,3,FALSE)="",Setup!$B$15,VLOOKUP($E281,Setup!$A$76:$C$87,3,FALSE)),Setup!$B$15),2))</f>
        <v/>
      </c>
      <c r="P281" s="92" t="n"/>
      <c r="Q281" s="92" t="n"/>
      <c r="R281" s="92" t="n"/>
      <c r="S281" s="92" t="n"/>
      <c r="T281" s="92" t="n"/>
      <c r="U281" s="90">
        <f>IF($K281="","",SUM($R281:$T281))</f>
        <v/>
      </c>
      <c r="V281" s="90">
        <f>IF($K281="","",$M281-(N($N281)+N($O281)+IF($P281="",Setup!$B$17,$P281)+N($Q281))-N($U281))</f>
        <v/>
      </c>
      <c r="W281" s="87" t="n"/>
      <c r="X281" s="88" t="n"/>
      <c r="Z281" s="93">
        <f>IF($A281="","",DATE(YEAR($A281),MONTH($A281),1))</f>
        <v/>
      </c>
    </row>
    <row r="282">
      <c r="A282" s="94" t="n"/>
      <c r="B282" s="95" t="n"/>
      <c r="C282" s="95" t="n"/>
      <c r="D282" s="96" t="n"/>
      <c r="E282" s="96" t="n"/>
      <c r="F282" s="96" t="n"/>
      <c r="G282" s="96" t="n"/>
      <c r="H282" s="97" t="n"/>
      <c r="I282" s="90">
        <f>IF($G282="","",IF($F282="",IFERROR(INDEX(Setup!$C$21:$C$60,MATCH("|"&amp;UPPER(TRIM($G282)),Setup!$Q$21:$Q$60,0)),"NO RATE"),IFERROR(INDEX(Setup!$C$21:$C$60,MATCH(UPPER(TRIM($F282))&amp;"|"&amp;UPPER(TRIM($G282)),Setup!$P$21:$P$60,0)),IFERROR(INDEX(Setup!$C$21:$C$60,MATCH(UPPER(TRIM($G282))&amp;"|"&amp;UPPER(TRIM($F282)),Setup!$P$21:$P$60,0)),"NO RATE"))))</f>
        <v/>
      </c>
      <c r="J282" s="98" t="n"/>
      <c r="K282" s="90">
        <f>IF(OR($G282="",$H282="",NOT(ISNUMBER($I282))),"",ROUND($H282*$I282*(1+IF($J282="",Setup!$B$16,$J282)),2))</f>
        <v/>
      </c>
      <c r="L282" s="90">
        <f>IF($K282="","",ROUND($K282*Setup!$B$13,2))</f>
        <v/>
      </c>
      <c r="M282" s="90">
        <f>IF($K282="","",$K282-$L282)</f>
        <v/>
      </c>
      <c r="N282" s="90">
        <f>IF(OR($M282="",$D282=""),"",ROUND($M282*IFERROR(IF(VLOOKUP($D282,Setup!$A$76:$C$87,3,FALSE)="",Setup!$B$14,VLOOKUP($D282,Setup!$A$76:$C$87,3,FALSE)),Setup!$B$14),2))</f>
        <v/>
      </c>
      <c r="O282" s="90">
        <f>IF(OR($M282="",$E282=""),"",ROUND($M282*IFERROR(IF(VLOOKUP($E282,Setup!$A$76:$C$87,3,FALSE)="",Setup!$B$15,VLOOKUP($E282,Setup!$A$76:$C$87,3,FALSE)),Setup!$B$15),2))</f>
        <v/>
      </c>
      <c r="P282" s="99" t="n"/>
      <c r="Q282" s="99" t="n"/>
      <c r="R282" s="99" t="n"/>
      <c r="S282" s="99" t="n"/>
      <c r="T282" s="99" t="n"/>
      <c r="U282" s="90">
        <f>IF($K282="","",SUM($R282:$T282))</f>
        <v/>
      </c>
      <c r="V282" s="90">
        <f>IF($K282="","",$M282-(N($N282)+N($O282)+IF($P282="",Setup!$B$17,$P282)+N($Q282))-N($U282))</f>
        <v/>
      </c>
      <c r="W282" s="95" t="n"/>
      <c r="X282" s="96" t="n"/>
      <c r="Z282" s="93">
        <f>IF($A282="","",DATE(YEAR($A282),MONTH($A282),1))</f>
        <v/>
      </c>
    </row>
    <row r="283">
      <c r="A283" s="86" t="n"/>
      <c r="B283" s="87" t="n"/>
      <c r="C283" s="87" t="n"/>
      <c r="D283" s="88" t="n"/>
      <c r="E283" s="88" t="n"/>
      <c r="F283" s="88" t="n"/>
      <c r="G283" s="88" t="n"/>
      <c r="H283" s="89" t="n"/>
      <c r="I283" s="90">
        <f>IF($G283="","",IF($F283="",IFERROR(INDEX(Setup!$C$21:$C$60,MATCH("|"&amp;UPPER(TRIM($G283)),Setup!$Q$21:$Q$60,0)),"NO RATE"),IFERROR(INDEX(Setup!$C$21:$C$60,MATCH(UPPER(TRIM($F283))&amp;"|"&amp;UPPER(TRIM($G283)),Setup!$P$21:$P$60,0)),IFERROR(INDEX(Setup!$C$21:$C$60,MATCH(UPPER(TRIM($G283))&amp;"|"&amp;UPPER(TRIM($F283)),Setup!$P$21:$P$60,0)),"NO RATE"))))</f>
        <v/>
      </c>
      <c r="J283" s="91" t="n"/>
      <c r="K283" s="90">
        <f>IF(OR($G283="",$H283="",NOT(ISNUMBER($I283))),"",ROUND($H283*$I283*(1+IF($J283="",Setup!$B$16,$J283)),2))</f>
        <v/>
      </c>
      <c r="L283" s="90">
        <f>IF($K283="","",ROUND($K283*Setup!$B$13,2))</f>
        <v/>
      </c>
      <c r="M283" s="90">
        <f>IF($K283="","",$K283-$L283)</f>
        <v/>
      </c>
      <c r="N283" s="90">
        <f>IF(OR($M283="",$D283=""),"",ROUND($M283*IFERROR(IF(VLOOKUP($D283,Setup!$A$76:$C$87,3,FALSE)="",Setup!$B$14,VLOOKUP($D283,Setup!$A$76:$C$87,3,FALSE)),Setup!$B$14),2))</f>
        <v/>
      </c>
      <c r="O283" s="90">
        <f>IF(OR($M283="",$E283=""),"",ROUND($M283*IFERROR(IF(VLOOKUP($E283,Setup!$A$76:$C$87,3,FALSE)="",Setup!$B$15,VLOOKUP($E283,Setup!$A$76:$C$87,3,FALSE)),Setup!$B$15),2))</f>
        <v/>
      </c>
      <c r="P283" s="92" t="n"/>
      <c r="Q283" s="92" t="n"/>
      <c r="R283" s="92" t="n"/>
      <c r="S283" s="92" t="n"/>
      <c r="T283" s="92" t="n"/>
      <c r="U283" s="90">
        <f>IF($K283="","",SUM($R283:$T283))</f>
        <v/>
      </c>
      <c r="V283" s="90">
        <f>IF($K283="","",$M283-(N($N283)+N($O283)+IF($P283="",Setup!$B$17,$P283)+N($Q283))-N($U283))</f>
        <v/>
      </c>
      <c r="W283" s="87" t="n"/>
      <c r="X283" s="88" t="n"/>
      <c r="Z283" s="93">
        <f>IF($A283="","",DATE(YEAR($A283),MONTH($A283),1))</f>
        <v/>
      </c>
    </row>
    <row r="284">
      <c r="A284" s="94" t="n"/>
      <c r="B284" s="95" t="n"/>
      <c r="C284" s="95" t="n"/>
      <c r="D284" s="96" t="n"/>
      <c r="E284" s="96" t="n"/>
      <c r="F284" s="96" t="n"/>
      <c r="G284" s="96" t="n"/>
      <c r="H284" s="97" t="n"/>
      <c r="I284" s="90">
        <f>IF($G284="","",IF($F284="",IFERROR(INDEX(Setup!$C$21:$C$60,MATCH("|"&amp;UPPER(TRIM($G284)),Setup!$Q$21:$Q$60,0)),"NO RATE"),IFERROR(INDEX(Setup!$C$21:$C$60,MATCH(UPPER(TRIM($F284))&amp;"|"&amp;UPPER(TRIM($G284)),Setup!$P$21:$P$60,0)),IFERROR(INDEX(Setup!$C$21:$C$60,MATCH(UPPER(TRIM($G284))&amp;"|"&amp;UPPER(TRIM($F284)),Setup!$P$21:$P$60,0)),"NO RATE"))))</f>
        <v/>
      </c>
      <c r="J284" s="98" t="n"/>
      <c r="K284" s="90">
        <f>IF(OR($G284="",$H284="",NOT(ISNUMBER($I284))),"",ROUND($H284*$I284*(1+IF($J284="",Setup!$B$16,$J284)),2))</f>
        <v/>
      </c>
      <c r="L284" s="90">
        <f>IF($K284="","",ROUND($K284*Setup!$B$13,2))</f>
        <v/>
      </c>
      <c r="M284" s="90">
        <f>IF($K284="","",$K284-$L284)</f>
        <v/>
      </c>
      <c r="N284" s="90">
        <f>IF(OR($M284="",$D284=""),"",ROUND($M284*IFERROR(IF(VLOOKUP($D284,Setup!$A$76:$C$87,3,FALSE)="",Setup!$B$14,VLOOKUP($D284,Setup!$A$76:$C$87,3,FALSE)),Setup!$B$14),2))</f>
        <v/>
      </c>
      <c r="O284" s="90">
        <f>IF(OR($M284="",$E284=""),"",ROUND($M284*IFERROR(IF(VLOOKUP($E284,Setup!$A$76:$C$87,3,FALSE)="",Setup!$B$15,VLOOKUP($E284,Setup!$A$76:$C$87,3,FALSE)),Setup!$B$15),2))</f>
        <v/>
      </c>
      <c r="P284" s="99" t="n"/>
      <c r="Q284" s="99" t="n"/>
      <c r="R284" s="99" t="n"/>
      <c r="S284" s="99" t="n"/>
      <c r="T284" s="99" t="n"/>
      <c r="U284" s="90">
        <f>IF($K284="","",SUM($R284:$T284))</f>
        <v/>
      </c>
      <c r="V284" s="90">
        <f>IF($K284="","",$M284-(N($N284)+N($O284)+IF($P284="",Setup!$B$17,$P284)+N($Q284))-N($U284))</f>
        <v/>
      </c>
      <c r="W284" s="95" t="n"/>
      <c r="X284" s="96" t="n"/>
      <c r="Z284" s="93">
        <f>IF($A284="","",DATE(YEAR($A284),MONTH($A284),1))</f>
        <v/>
      </c>
    </row>
    <row r="285">
      <c r="A285" s="86" t="n"/>
      <c r="B285" s="87" t="n"/>
      <c r="C285" s="87" t="n"/>
      <c r="D285" s="88" t="n"/>
      <c r="E285" s="88" t="n"/>
      <c r="F285" s="88" t="n"/>
      <c r="G285" s="88" t="n"/>
      <c r="H285" s="89" t="n"/>
      <c r="I285" s="90">
        <f>IF($G285="","",IF($F285="",IFERROR(INDEX(Setup!$C$21:$C$60,MATCH("|"&amp;UPPER(TRIM($G285)),Setup!$Q$21:$Q$60,0)),"NO RATE"),IFERROR(INDEX(Setup!$C$21:$C$60,MATCH(UPPER(TRIM($F285))&amp;"|"&amp;UPPER(TRIM($G285)),Setup!$P$21:$P$60,0)),IFERROR(INDEX(Setup!$C$21:$C$60,MATCH(UPPER(TRIM($G285))&amp;"|"&amp;UPPER(TRIM($F285)),Setup!$P$21:$P$60,0)),"NO RATE"))))</f>
        <v/>
      </c>
      <c r="J285" s="91" t="n"/>
      <c r="K285" s="90">
        <f>IF(OR($G285="",$H285="",NOT(ISNUMBER($I285))),"",ROUND($H285*$I285*(1+IF($J285="",Setup!$B$16,$J285)),2))</f>
        <v/>
      </c>
      <c r="L285" s="90">
        <f>IF($K285="","",ROUND($K285*Setup!$B$13,2))</f>
        <v/>
      </c>
      <c r="M285" s="90">
        <f>IF($K285="","",$K285-$L285)</f>
        <v/>
      </c>
      <c r="N285" s="90">
        <f>IF(OR($M285="",$D285=""),"",ROUND($M285*IFERROR(IF(VLOOKUP($D285,Setup!$A$76:$C$87,3,FALSE)="",Setup!$B$14,VLOOKUP($D285,Setup!$A$76:$C$87,3,FALSE)),Setup!$B$14),2))</f>
        <v/>
      </c>
      <c r="O285" s="90">
        <f>IF(OR($M285="",$E285=""),"",ROUND($M285*IFERROR(IF(VLOOKUP($E285,Setup!$A$76:$C$87,3,FALSE)="",Setup!$B$15,VLOOKUP($E285,Setup!$A$76:$C$87,3,FALSE)),Setup!$B$15),2))</f>
        <v/>
      </c>
      <c r="P285" s="92" t="n"/>
      <c r="Q285" s="92" t="n"/>
      <c r="R285" s="92" t="n"/>
      <c r="S285" s="92" t="n"/>
      <c r="T285" s="92" t="n"/>
      <c r="U285" s="90">
        <f>IF($K285="","",SUM($R285:$T285))</f>
        <v/>
      </c>
      <c r="V285" s="90">
        <f>IF($K285="","",$M285-(N($N285)+N($O285)+IF($P285="",Setup!$B$17,$P285)+N($Q285))-N($U285))</f>
        <v/>
      </c>
      <c r="W285" s="87" t="n"/>
      <c r="X285" s="88" t="n"/>
      <c r="Z285" s="93">
        <f>IF($A285="","",DATE(YEAR($A285),MONTH($A285),1))</f>
        <v/>
      </c>
    </row>
    <row r="286">
      <c r="A286" s="94" t="n"/>
      <c r="B286" s="95" t="n"/>
      <c r="C286" s="95" t="n"/>
      <c r="D286" s="96" t="n"/>
      <c r="E286" s="96" t="n"/>
      <c r="F286" s="96" t="n"/>
      <c r="G286" s="96" t="n"/>
      <c r="H286" s="97" t="n"/>
      <c r="I286" s="90">
        <f>IF($G286="","",IF($F286="",IFERROR(INDEX(Setup!$C$21:$C$60,MATCH("|"&amp;UPPER(TRIM($G286)),Setup!$Q$21:$Q$60,0)),"NO RATE"),IFERROR(INDEX(Setup!$C$21:$C$60,MATCH(UPPER(TRIM($F286))&amp;"|"&amp;UPPER(TRIM($G286)),Setup!$P$21:$P$60,0)),IFERROR(INDEX(Setup!$C$21:$C$60,MATCH(UPPER(TRIM($G286))&amp;"|"&amp;UPPER(TRIM($F286)),Setup!$P$21:$P$60,0)),"NO RATE"))))</f>
        <v/>
      </c>
      <c r="J286" s="98" t="n"/>
      <c r="K286" s="90">
        <f>IF(OR($G286="",$H286="",NOT(ISNUMBER($I286))),"",ROUND($H286*$I286*(1+IF($J286="",Setup!$B$16,$J286)),2))</f>
        <v/>
      </c>
      <c r="L286" s="90">
        <f>IF($K286="","",ROUND($K286*Setup!$B$13,2))</f>
        <v/>
      </c>
      <c r="M286" s="90">
        <f>IF($K286="","",$K286-$L286)</f>
        <v/>
      </c>
      <c r="N286" s="90">
        <f>IF(OR($M286="",$D286=""),"",ROUND($M286*IFERROR(IF(VLOOKUP($D286,Setup!$A$76:$C$87,3,FALSE)="",Setup!$B$14,VLOOKUP($D286,Setup!$A$76:$C$87,3,FALSE)),Setup!$B$14),2))</f>
        <v/>
      </c>
      <c r="O286" s="90">
        <f>IF(OR($M286="",$E286=""),"",ROUND($M286*IFERROR(IF(VLOOKUP($E286,Setup!$A$76:$C$87,3,FALSE)="",Setup!$B$15,VLOOKUP($E286,Setup!$A$76:$C$87,3,FALSE)),Setup!$B$15),2))</f>
        <v/>
      </c>
      <c r="P286" s="99" t="n"/>
      <c r="Q286" s="99" t="n"/>
      <c r="R286" s="99" t="n"/>
      <c r="S286" s="99" t="n"/>
      <c r="T286" s="99" t="n"/>
      <c r="U286" s="90">
        <f>IF($K286="","",SUM($R286:$T286))</f>
        <v/>
      </c>
      <c r="V286" s="90">
        <f>IF($K286="","",$M286-(N($N286)+N($O286)+IF($P286="",Setup!$B$17,$P286)+N($Q286))-N($U286))</f>
        <v/>
      </c>
      <c r="W286" s="95" t="n"/>
      <c r="X286" s="96" t="n"/>
      <c r="Z286" s="93">
        <f>IF($A286="","",DATE(YEAR($A286),MONTH($A286),1))</f>
        <v/>
      </c>
    </row>
    <row r="287">
      <c r="A287" s="86" t="n"/>
      <c r="B287" s="87" t="n"/>
      <c r="C287" s="87" t="n"/>
      <c r="D287" s="88" t="n"/>
      <c r="E287" s="88" t="n"/>
      <c r="F287" s="88" t="n"/>
      <c r="G287" s="88" t="n"/>
      <c r="H287" s="89" t="n"/>
      <c r="I287" s="90">
        <f>IF($G287="","",IF($F287="",IFERROR(INDEX(Setup!$C$21:$C$60,MATCH("|"&amp;UPPER(TRIM($G287)),Setup!$Q$21:$Q$60,0)),"NO RATE"),IFERROR(INDEX(Setup!$C$21:$C$60,MATCH(UPPER(TRIM($F287))&amp;"|"&amp;UPPER(TRIM($G287)),Setup!$P$21:$P$60,0)),IFERROR(INDEX(Setup!$C$21:$C$60,MATCH(UPPER(TRIM($G287))&amp;"|"&amp;UPPER(TRIM($F287)),Setup!$P$21:$P$60,0)),"NO RATE"))))</f>
        <v/>
      </c>
      <c r="J287" s="91" t="n"/>
      <c r="K287" s="90">
        <f>IF(OR($G287="",$H287="",NOT(ISNUMBER($I287))),"",ROUND($H287*$I287*(1+IF($J287="",Setup!$B$16,$J287)),2))</f>
        <v/>
      </c>
      <c r="L287" s="90">
        <f>IF($K287="","",ROUND($K287*Setup!$B$13,2))</f>
        <v/>
      </c>
      <c r="M287" s="90">
        <f>IF($K287="","",$K287-$L287)</f>
        <v/>
      </c>
      <c r="N287" s="90">
        <f>IF(OR($M287="",$D287=""),"",ROUND($M287*IFERROR(IF(VLOOKUP($D287,Setup!$A$76:$C$87,3,FALSE)="",Setup!$B$14,VLOOKUP($D287,Setup!$A$76:$C$87,3,FALSE)),Setup!$B$14),2))</f>
        <v/>
      </c>
      <c r="O287" s="90">
        <f>IF(OR($M287="",$E287=""),"",ROUND($M287*IFERROR(IF(VLOOKUP($E287,Setup!$A$76:$C$87,3,FALSE)="",Setup!$B$15,VLOOKUP($E287,Setup!$A$76:$C$87,3,FALSE)),Setup!$B$15),2))</f>
        <v/>
      </c>
      <c r="P287" s="92" t="n"/>
      <c r="Q287" s="92" t="n"/>
      <c r="R287" s="92" t="n"/>
      <c r="S287" s="92" t="n"/>
      <c r="T287" s="92" t="n"/>
      <c r="U287" s="90">
        <f>IF($K287="","",SUM($R287:$T287))</f>
        <v/>
      </c>
      <c r="V287" s="90">
        <f>IF($K287="","",$M287-(N($N287)+N($O287)+IF($P287="",Setup!$B$17,$P287)+N($Q287))-N($U287))</f>
        <v/>
      </c>
      <c r="W287" s="87" t="n"/>
      <c r="X287" s="88" t="n"/>
      <c r="Z287" s="93">
        <f>IF($A287="","",DATE(YEAR($A287),MONTH($A287),1))</f>
        <v/>
      </c>
    </row>
    <row r="288">
      <c r="A288" s="94" t="n"/>
      <c r="B288" s="95" t="n"/>
      <c r="C288" s="95" t="n"/>
      <c r="D288" s="96" t="n"/>
      <c r="E288" s="96" t="n"/>
      <c r="F288" s="96" t="n"/>
      <c r="G288" s="96" t="n"/>
      <c r="H288" s="97" t="n"/>
      <c r="I288" s="90">
        <f>IF($G288="","",IF($F288="",IFERROR(INDEX(Setup!$C$21:$C$60,MATCH("|"&amp;UPPER(TRIM($G288)),Setup!$Q$21:$Q$60,0)),"NO RATE"),IFERROR(INDEX(Setup!$C$21:$C$60,MATCH(UPPER(TRIM($F288))&amp;"|"&amp;UPPER(TRIM($G288)),Setup!$P$21:$P$60,0)),IFERROR(INDEX(Setup!$C$21:$C$60,MATCH(UPPER(TRIM($G288))&amp;"|"&amp;UPPER(TRIM($F288)),Setup!$P$21:$P$60,0)),"NO RATE"))))</f>
        <v/>
      </c>
      <c r="J288" s="98" t="n"/>
      <c r="K288" s="90">
        <f>IF(OR($G288="",$H288="",NOT(ISNUMBER($I288))),"",ROUND($H288*$I288*(1+IF($J288="",Setup!$B$16,$J288)),2))</f>
        <v/>
      </c>
      <c r="L288" s="90">
        <f>IF($K288="","",ROUND($K288*Setup!$B$13,2))</f>
        <v/>
      </c>
      <c r="M288" s="90">
        <f>IF($K288="","",$K288-$L288)</f>
        <v/>
      </c>
      <c r="N288" s="90">
        <f>IF(OR($M288="",$D288=""),"",ROUND($M288*IFERROR(IF(VLOOKUP($D288,Setup!$A$76:$C$87,3,FALSE)="",Setup!$B$14,VLOOKUP($D288,Setup!$A$76:$C$87,3,FALSE)),Setup!$B$14),2))</f>
        <v/>
      </c>
      <c r="O288" s="90">
        <f>IF(OR($M288="",$E288=""),"",ROUND($M288*IFERROR(IF(VLOOKUP($E288,Setup!$A$76:$C$87,3,FALSE)="",Setup!$B$15,VLOOKUP($E288,Setup!$A$76:$C$87,3,FALSE)),Setup!$B$15),2))</f>
        <v/>
      </c>
      <c r="P288" s="99" t="n"/>
      <c r="Q288" s="99" t="n"/>
      <c r="R288" s="99" t="n"/>
      <c r="S288" s="99" t="n"/>
      <c r="T288" s="99" t="n"/>
      <c r="U288" s="90">
        <f>IF($K288="","",SUM($R288:$T288))</f>
        <v/>
      </c>
      <c r="V288" s="90">
        <f>IF($K288="","",$M288-(N($N288)+N($O288)+IF($P288="",Setup!$B$17,$P288)+N($Q288))-N($U288))</f>
        <v/>
      </c>
      <c r="W288" s="95" t="n"/>
      <c r="X288" s="96" t="n"/>
      <c r="Z288" s="93">
        <f>IF($A288="","",DATE(YEAR($A288),MONTH($A288),1))</f>
        <v/>
      </c>
    </row>
    <row r="289">
      <c r="A289" s="86" t="n"/>
      <c r="B289" s="87" t="n"/>
      <c r="C289" s="87" t="n"/>
      <c r="D289" s="88" t="n"/>
      <c r="E289" s="88" t="n"/>
      <c r="F289" s="88" t="n"/>
      <c r="G289" s="88" t="n"/>
      <c r="H289" s="89" t="n"/>
      <c r="I289" s="90">
        <f>IF($G289="","",IF($F289="",IFERROR(INDEX(Setup!$C$21:$C$60,MATCH("|"&amp;UPPER(TRIM($G289)),Setup!$Q$21:$Q$60,0)),"NO RATE"),IFERROR(INDEX(Setup!$C$21:$C$60,MATCH(UPPER(TRIM($F289))&amp;"|"&amp;UPPER(TRIM($G289)),Setup!$P$21:$P$60,0)),IFERROR(INDEX(Setup!$C$21:$C$60,MATCH(UPPER(TRIM($G289))&amp;"|"&amp;UPPER(TRIM($F289)),Setup!$P$21:$P$60,0)),"NO RATE"))))</f>
        <v/>
      </c>
      <c r="J289" s="91" t="n"/>
      <c r="K289" s="90">
        <f>IF(OR($G289="",$H289="",NOT(ISNUMBER($I289))),"",ROUND($H289*$I289*(1+IF($J289="",Setup!$B$16,$J289)),2))</f>
        <v/>
      </c>
      <c r="L289" s="90">
        <f>IF($K289="","",ROUND($K289*Setup!$B$13,2))</f>
        <v/>
      </c>
      <c r="M289" s="90">
        <f>IF($K289="","",$K289-$L289)</f>
        <v/>
      </c>
      <c r="N289" s="90">
        <f>IF(OR($M289="",$D289=""),"",ROUND($M289*IFERROR(IF(VLOOKUP($D289,Setup!$A$76:$C$87,3,FALSE)="",Setup!$B$14,VLOOKUP($D289,Setup!$A$76:$C$87,3,FALSE)),Setup!$B$14),2))</f>
        <v/>
      </c>
      <c r="O289" s="90">
        <f>IF(OR($M289="",$E289=""),"",ROUND($M289*IFERROR(IF(VLOOKUP($E289,Setup!$A$76:$C$87,3,FALSE)="",Setup!$B$15,VLOOKUP($E289,Setup!$A$76:$C$87,3,FALSE)),Setup!$B$15),2))</f>
        <v/>
      </c>
      <c r="P289" s="92" t="n"/>
      <c r="Q289" s="92" t="n"/>
      <c r="R289" s="92" t="n"/>
      <c r="S289" s="92" t="n"/>
      <c r="T289" s="92" t="n"/>
      <c r="U289" s="90">
        <f>IF($K289="","",SUM($R289:$T289))</f>
        <v/>
      </c>
      <c r="V289" s="90">
        <f>IF($K289="","",$M289-(N($N289)+N($O289)+IF($P289="",Setup!$B$17,$P289)+N($Q289))-N($U289))</f>
        <v/>
      </c>
      <c r="W289" s="87" t="n"/>
      <c r="X289" s="88" t="n"/>
      <c r="Z289" s="93">
        <f>IF($A289="","",DATE(YEAR($A289),MONTH($A289),1))</f>
        <v/>
      </c>
    </row>
    <row r="290">
      <c r="A290" s="94" t="n"/>
      <c r="B290" s="95" t="n"/>
      <c r="C290" s="95" t="n"/>
      <c r="D290" s="96" t="n"/>
      <c r="E290" s="96" t="n"/>
      <c r="F290" s="96" t="n"/>
      <c r="G290" s="96" t="n"/>
      <c r="H290" s="97" t="n"/>
      <c r="I290" s="90">
        <f>IF($G290="","",IF($F290="",IFERROR(INDEX(Setup!$C$21:$C$60,MATCH("|"&amp;UPPER(TRIM($G290)),Setup!$Q$21:$Q$60,0)),"NO RATE"),IFERROR(INDEX(Setup!$C$21:$C$60,MATCH(UPPER(TRIM($F290))&amp;"|"&amp;UPPER(TRIM($G290)),Setup!$P$21:$P$60,0)),IFERROR(INDEX(Setup!$C$21:$C$60,MATCH(UPPER(TRIM($G290))&amp;"|"&amp;UPPER(TRIM($F290)),Setup!$P$21:$P$60,0)),"NO RATE"))))</f>
        <v/>
      </c>
      <c r="J290" s="98" t="n"/>
      <c r="K290" s="90">
        <f>IF(OR($G290="",$H290="",NOT(ISNUMBER($I290))),"",ROUND($H290*$I290*(1+IF($J290="",Setup!$B$16,$J290)),2))</f>
        <v/>
      </c>
      <c r="L290" s="90">
        <f>IF($K290="","",ROUND($K290*Setup!$B$13,2))</f>
        <v/>
      </c>
      <c r="M290" s="90">
        <f>IF($K290="","",$K290-$L290)</f>
        <v/>
      </c>
      <c r="N290" s="90">
        <f>IF(OR($M290="",$D290=""),"",ROUND($M290*IFERROR(IF(VLOOKUP($D290,Setup!$A$76:$C$87,3,FALSE)="",Setup!$B$14,VLOOKUP($D290,Setup!$A$76:$C$87,3,FALSE)),Setup!$B$14),2))</f>
        <v/>
      </c>
      <c r="O290" s="90">
        <f>IF(OR($M290="",$E290=""),"",ROUND($M290*IFERROR(IF(VLOOKUP($E290,Setup!$A$76:$C$87,3,FALSE)="",Setup!$B$15,VLOOKUP($E290,Setup!$A$76:$C$87,3,FALSE)),Setup!$B$15),2))</f>
        <v/>
      </c>
      <c r="P290" s="99" t="n"/>
      <c r="Q290" s="99" t="n"/>
      <c r="R290" s="99" t="n"/>
      <c r="S290" s="99" t="n"/>
      <c r="T290" s="99" t="n"/>
      <c r="U290" s="90">
        <f>IF($K290="","",SUM($R290:$T290))</f>
        <v/>
      </c>
      <c r="V290" s="90">
        <f>IF($K290="","",$M290-(N($N290)+N($O290)+IF($P290="",Setup!$B$17,$P290)+N($Q290))-N($U290))</f>
        <v/>
      </c>
      <c r="W290" s="95" t="n"/>
      <c r="X290" s="96" t="n"/>
      <c r="Z290" s="93">
        <f>IF($A290="","",DATE(YEAR($A290),MONTH($A290),1))</f>
        <v/>
      </c>
    </row>
    <row r="291">
      <c r="A291" s="86" t="n"/>
      <c r="B291" s="87" t="n"/>
      <c r="C291" s="87" t="n"/>
      <c r="D291" s="88" t="n"/>
      <c r="E291" s="88" t="n"/>
      <c r="F291" s="88" t="n"/>
      <c r="G291" s="88" t="n"/>
      <c r="H291" s="89" t="n"/>
      <c r="I291" s="90">
        <f>IF($G291="","",IF($F291="",IFERROR(INDEX(Setup!$C$21:$C$60,MATCH("|"&amp;UPPER(TRIM($G291)),Setup!$Q$21:$Q$60,0)),"NO RATE"),IFERROR(INDEX(Setup!$C$21:$C$60,MATCH(UPPER(TRIM($F291))&amp;"|"&amp;UPPER(TRIM($G291)),Setup!$P$21:$P$60,0)),IFERROR(INDEX(Setup!$C$21:$C$60,MATCH(UPPER(TRIM($G291))&amp;"|"&amp;UPPER(TRIM($F291)),Setup!$P$21:$P$60,0)),"NO RATE"))))</f>
        <v/>
      </c>
      <c r="J291" s="91" t="n"/>
      <c r="K291" s="90">
        <f>IF(OR($G291="",$H291="",NOT(ISNUMBER($I291))),"",ROUND($H291*$I291*(1+IF($J291="",Setup!$B$16,$J291)),2))</f>
        <v/>
      </c>
      <c r="L291" s="90">
        <f>IF($K291="","",ROUND($K291*Setup!$B$13,2))</f>
        <v/>
      </c>
      <c r="M291" s="90">
        <f>IF($K291="","",$K291-$L291)</f>
        <v/>
      </c>
      <c r="N291" s="90">
        <f>IF(OR($M291="",$D291=""),"",ROUND($M291*IFERROR(IF(VLOOKUP($D291,Setup!$A$76:$C$87,3,FALSE)="",Setup!$B$14,VLOOKUP($D291,Setup!$A$76:$C$87,3,FALSE)),Setup!$B$14),2))</f>
        <v/>
      </c>
      <c r="O291" s="90">
        <f>IF(OR($M291="",$E291=""),"",ROUND($M291*IFERROR(IF(VLOOKUP($E291,Setup!$A$76:$C$87,3,FALSE)="",Setup!$B$15,VLOOKUP($E291,Setup!$A$76:$C$87,3,FALSE)),Setup!$B$15),2))</f>
        <v/>
      </c>
      <c r="P291" s="92" t="n"/>
      <c r="Q291" s="92" t="n"/>
      <c r="R291" s="92" t="n"/>
      <c r="S291" s="92" t="n"/>
      <c r="T291" s="92" t="n"/>
      <c r="U291" s="90">
        <f>IF($K291="","",SUM($R291:$T291))</f>
        <v/>
      </c>
      <c r="V291" s="90">
        <f>IF($K291="","",$M291-(N($N291)+N($O291)+IF($P291="",Setup!$B$17,$P291)+N($Q291))-N($U291))</f>
        <v/>
      </c>
      <c r="W291" s="87" t="n"/>
      <c r="X291" s="88" t="n"/>
      <c r="Z291" s="93">
        <f>IF($A291="","",DATE(YEAR($A291),MONTH($A291),1))</f>
        <v/>
      </c>
    </row>
    <row r="292">
      <c r="A292" s="94" t="n"/>
      <c r="B292" s="95" t="n"/>
      <c r="C292" s="95" t="n"/>
      <c r="D292" s="96" t="n"/>
      <c r="E292" s="96" t="n"/>
      <c r="F292" s="96" t="n"/>
      <c r="G292" s="96" t="n"/>
      <c r="H292" s="97" t="n"/>
      <c r="I292" s="90">
        <f>IF($G292="","",IF($F292="",IFERROR(INDEX(Setup!$C$21:$C$60,MATCH("|"&amp;UPPER(TRIM($G292)),Setup!$Q$21:$Q$60,0)),"NO RATE"),IFERROR(INDEX(Setup!$C$21:$C$60,MATCH(UPPER(TRIM($F292))&amp;"|"&amp;UPPER(TRIM($G292)),Setup!$P$21:$P$60,0)),IFERROR(INDEX(Setup!$C$21:$C$60,MATCH(UPPER(TRIM($G292))&amp;"|"&amp;UPPER(TRIM($F292)),Setup!$P$21:$P$60,0)),"NO RATE"))))</f>
        <v/>
      </c>
      <c r="J292" s="98" t="n"/>
      <c r="K292" s="90">
        <f>IF(OR($G292="",$H292="",NOT(ISNUMBER($I292))),"",ROUND($H292*$I292*(1+IF($J292="",Setup!$B$16,$J292)),2))</f>
        <v/>
      </c>
      <c r="L292" s="90">
        <f>IF($K292="","",ROUND($K292*Setup!$B$13,2))</f>
        <v/>
      </c>
      <c r="M292" s="90">
        <f>IF($K292="","",$K292-$L292)</f>
        <v/>
      </c>
      <c r="N292" s="90">
        <f>IF(OR($M292="",$D292=""),"",ROUND($M292*IFERROR(IF(VLOOKUP($D292,Setup!$A$76:$C$87,3,FALSE)="",Setup!$B$14,VLOOKUP($D292,Setup!$A$76:$C$87,3,FALSE)),Setup!$B$14),2))</f>
        <v/>
      </c>
      <c r="O292" s="90">
        <f>IF(OR($M292="",$E292=""),"",ROUND($M292*IFERROR(IF(VLOOKUP($E292,Setup!$A$76:$C$87,3,FALSE)="",Setup!$B$15,VLOOKUP($E292,Setup!$A$76:$C$87,3,FALSE)),Setup!$B$15),2))</f>
        <v/>
      </c>
      <c r="P292" s="99" t="n"/>
      <c r="Q292" s="99" t="n"/>
      <c r="R292" s="99" t="n"/>
      <c r="S292" s="99" t="n"/>
      <c r="T292" s="99" t="n"/>
      <c r="U292" s="90">
        <f>IF($K292="","",SUM($R292:$T292))</f>
        <v/>
      </c>
      <c r="V292" s="90">
        <f>IF($K292="","",$M292-(N($N292)+N($O292)+IF($P292="",Setup!$B$17,$P292)+N($Q292))-N($U292))</f>
        <v/>
      </c>
      <c r="W292" s="95" t="n"/>
      <c r="X292" s="96" t="n"/>
      <c r="Z292" s="93">
        <f>IF($A292="","",DATE(YEAR($A292),MONTH($A292),1))</f>
        <v/>
      </c>
    </row>
    <row r="293">
      <c r="A293" s="86" t="n"/>
      <c r="B293" s="87" t="n"/>
      <c r="C293" s="87" t="n"/>
      <c r="D293" s="88" t="n"/>
      <c r="E293" s="88" t="n"/>
      <c r="F293" s="88" t="n"/>
      <c r="G293" s="88" t="n"/>
      <c r="H293" s="89" t="n"/>
      <c r="I293" s="90">
        <f>IF($G293="","",IF($F293="",IFERROR(INDEX(Setup!$C$21:$C$60,MATCH("|"&amp;UPPER(TRIM($G293)),Setup!$Q$21:$Q$60,0)),"NO RATE"),IFERROR(INDEX(Setup!$C$21:$C$60,MATCH(UPPER(TRIM($F293))&amp;"|"&amp;UPPER(TRIM($G293)),Setup!$P$21:$P$60,0)),IFERROR(INDEX(Setup!$C$21:$C$60,MATCH(UPPER(TRIM($G293))&amp;"|"&amp;UPPER(TRIM($F293)),Setup!$P$21:$P$60,0)),"NO RATE"))))</f>
        <v/>
      </c>
      <c r="J293" s="91" t="n"/>
      <c r="K293" s="90">
        <f>IF(OR($G293="",$H293="",NOT(ISNUMBER($I293))),"",ROUND($H293*$I293*(1+IF($J293="",Setup!$B$16,$J293)),2))</f>
        <v/>
      </c>
      <c r="L293" s="90">
        <f>IF($K293="","",ROUND($K293*Setup!$B$13,2))</f>
        <v/>
      </c>
      <c r="M293" s="90">
        <f>IF($K293="","",$K293-$L293)</f>
        <v/>
      </c>
      <c r="N293" s="90">
        <f>IF(OR($M293="",$D293=""),"",ROUND($M293*IFERROR(IF(VLOOKUP($D293,Setup!$A$76:$C$87,3,FALSE)="",Setup!$B$14,VLOOKUP($D293,Setup!$A$76:$C$87,3,FALSE)),Setup!$B$14),2))</f>
        <v/>
      </c>
      <c r="O293" s="90">
        <f>IF(OR($M293="",$E293=""),"",ROUND($M293*IFERROR(IF(VLOOKUP($E293,Setup!$A$76:$C$87,3,FALSE)="",Setup!$B$15,VLOOKUP($E293,Setup!$A$76:$C$87,3,FALSE)),Setup!$B$15),2))</f>
        <v/>
      </c>
      <c r="P293" s="92" t="n"/>
      <c r="Q293" s="92" t="n"/>
      <c r="R293" s="92" t="n"/>
      <c r="S293" s="92" t="n"/>
      <c r="T293" s="92" t="n"/>
      <c r="U293" s="90">
        <f>IF($K293="","",SUM($R293:$T293))</f>
        <v/>
      </c>
      <c r="V293" s="90">
        <f>IF($K293="","",$M293-(N($N293)+N($O293)+IF($P293="",Setup!$B$17,$P293)+N($Q293))-N($U293))</f>
        <v/>
      </c>
      <c r="W293" s="87" t="n"/>
      <c r="X293" s="88" t="n"/>
      <c r="Z293" s="93">
        <f>IF($A293="","",DATE(YEAR($A293),MONTH($A293),1))</f>
        <v/>
      </c>
    </row>
    <row r="294">
      <c r="A294" s="94" t="n"/>
      <c r="B294" s="95" t="n"/>
      <c r="C294" s="95" t="n"/>
      <c r="D294" s="96" t="n"/>
      <c r="E294" s="96" t="n"/>
      <c r="F294" s="96" t="n"/>
      <c r="G294" s="96" t="n"/>
      <c r="H294" s="97" t="n"/>
      <c r="I294" s="90">
        <f>IF($G294="","",IF($F294="",IFERROR(INDEX(Setup!$C$21:$C$60,MATCH("|"&amp;UPPER(TRIM($G294)),Setup!$Q$21:$Q$60,0)),"NO RATE"),IFERROR(INDEX(Setup!$C$21:$C$60,MATCH(UPPER(TRIM($F294))&amp;"|"&amp;UPPER(TRIM($G294)),Setup!$P$21:$P$60,0)),IFERROR(INDEX(Setup!$C$21:$C$60,MATCH(UPPER(TRIM($G294))&amp;"|"&amp;UPPER(TRIM($F294)),Setup!$P$21:$P$60,0)),"NO RATE"))))</f>
        <v/>
      </c>
      <c r="J294" s="98" t="n"/>
      <c r="K294" s="90">
        <f>IF(OR($G294="",$H294="",NOT(ISNUMBER($I294))),"",ROUND($H294*$I294*(1+IF($J294="",Setup!$B$16,$J294)),2))</f>
        <v/>
      </c>
      <c r="L294" s="90">
        <f>IF($K294="","",ROUND($K294*Setup!$B$13,2))</f>
        <v/>
      </c>
      <c r="M294" s="90">
        <f>IF($K294="","",$K294-$L294)</f>
        <v/>
      </c>
      <c r="N294" s="90">
        <f>IF(OR($M294="",$D294=""),"",ROUND($M294*IFERROR(IF(VLOOKUP($D294,Setup!$A$76:$C$87,3,FALSE)="",Setup!$B$14,VLOOKUP($D294,Setup!$A$76:$C$87,3,FALSE)),Setup!$B$14),2))</f>
        <v/>
      </c>
      <c r="O294" s="90">
        <f>IF(OR($M294="",$E294=""),"",ROUND($M294*IFERROR(IF(VLOOKUP($E294,Setup!$A$76:$C$87,3,FALSE)="",Setup!$B$15,VLOOKUP($E294,Setup!$A$76:$C$87,3,FALSE)),Setup!$B$15),2))</f>
        <v/>
      </c>
      <c r="P294" s="99" t="n"/>
      <c r="Q294" s="99" t="n"/>
      <c r="R294" s="99" t="n"/>
      <c r="S294" s="99" t="n"/>
      <c r="T294" s="99" t="n"/>
      <c r="U294" s="90">
        <f>IF($K294="","",SUM($R294:$T294))</f>
        <v/>
      </c>
      <c r="V294" s="90">
        <f>IF($K294="","",$M294-(N($N294)+N($O294)+IF($P294="",Setup!$B$17,$P294)+N($Q294))-N($U294))</f>
        <v/>
      </c>
      <c r="W294" s="95" t="n"/>
      <c r="X294" s="96" t="n"/>
      <c r="Z294" s="93">
        <f>IF($A294="","",DATE(YEAR($A294),MONTH($A294),1))</f>
        <v/>
      </c>
    </row>
    <row r="295">
      <c r="A295" s="86" t="n"/>
      <c r="B295" s="87" t="n"/>
      <c r="C295" s="87" t="n"/>
      <c r="D295" s="88" t="n"/>
      <c r="E295" s="88" t="n"/>
      <c r="F295" s="88" t="n"/>
      <c r="G295" s="88" t="n"/>
      <c r="H295" s="89" t="n"/>
      <c r="I295" s="90">
        <f>IF($G295="","",IF($F295="",IFERROR(INDEX(Setup!$C$21:$C$60,MATCH("|"&amp;UPPER(TRIM($G295)),Setup!$Q$21:$Q$60,0)),"NO RATE"),IFERROR(INDEX(Setup!$C$21:$C$60,MATCH(UPPER(TRIM($F295))&amp;"|"&amp;UPPER(TRIM($G295)),Setup!$P$21:$P$60,0)),IFERROR(INDEX(Setup!$C$21:$C$60,MATCH(UPPER(TRIM($G295))&amp;"|"&amp;UPPER(TRIM($F295)),Setup!$P$21:$P$60,0)),"NO RATE"))))</f>
        <v/>
      </c>
      <c r="J295" s="91" t="n"/>
      <c r="K295" s="90">
        <f>IF(OR($G295="",$H295="",NOT(ISNUMBER($I295))),"",ROUND($H295*$I295*(1+IF($J295="",Setup!$B$16,$J295)),2))</f>
        <v/>
      </c>
      <c r="L295" s="90">
        <f>IF($K295="","",ROUND($K295*Setup!$B$13,2))</f>
        <v/>
      </c>
      <c r="M295" s="90">
        <f>IF($K295="","",$K295-$L295)</f>
        <v/>
      </c>
      <c r="N295" s="90">
        <f>IF(OR($M295="",$D295=""),"",ROUND($M295*IFERROR(IF(VLOOKUP($D295,Setup!$A$76:$C$87,3,FALSE)="",Setup!$B$14,VLOOKUP($D295,Setup!$A$76:$C$87,3,FALSE)),Setup!$B$14),2))</f>
        <v/>
      </c>
      <c r="O295" s="90">
        <f>IF(OR($M295="",$E295=""),"",ROUND($M295*IFERROR(IF(VLOOKUP($E295,Setup!$A$76:$C$87,3,FALSE)="",Setup!$B$15,VLOOKUP($E295,Setup!$A$76:$C$87,3,FALSE)),Setup!$B$15),2))</f>
        <v/>
      </c>
      <c r="P295" s="92" t="n"/>
      <c r="Q295" s="92" t="n"/>
      <c r="R295" s="92" t="n"/>
      <c r="S295" s="92" t="n"/>
      <c r="T295" s="92" t="n"/>
      <c r="U295" s="90">
        <f>IF($K295="","",SUM($R295:$T295))</f>
        <v/>
      </c>
      <c r="V295" s="90">
        <f>IF($K295="","",$M295-(N($N295)+N($O295)+IF($P295="",Setup!$B$17,$P295)+N($Q295))-N($U295))</f>
        <v/>
      </c>
      <c r="W295" s="87" t="n"/>
      <c r="X295" s="88" t="n"/>
      <c r="Z295" s="93">
        <f>IF($A295="","",DATE(YEAR($A295),MONTH($A295),1))</f>
        <v/>
      </c>
    </row>
    <row r="296">
      <c r="A296" s="94" t="n"/>
      <c r="B296" s="95" t="n"/>
      <c r="C296" s="95" t="n"/>
      <c r="D296" s="96" t="n"/>
      <c r="E296" s="96" t="n"/>
      <c r="F296" s="96" t="n"/>
      <c r="G296" s="96" t="n"/>
      <c r="H296" s="97" t="n"/>
      <c r="I296" s="90">
        <f>IF($G296="","",IF($F296="",IFERROR(INDEX(Setup!$C$21:$C$60,MATCH("|"&amp;UPPER(TRIM($G296)),Setup!$Q$21:$Q$60,0)),"NO RATE"),IFERROR(INDEX(Setup!$C$21:$C$60,MATCH(UPPER(TRIM($F296))&amp;"|"&amp;UPPER(TRIM($G296)),Setup!$P$21:$P$60,0)),IFERROR(INDEX(Setup!$C$21:$C$60,MATCH(UPPER(TRIM($G296))&amp;"|"&amp;UPPER(TRIM($F296)),Setup!$P$21:$P$60,0)),"NO RATE"))))</f>
        <v/>
      </c>
      <c r="J296" s="98" t="n"/>
      <c r="K296" s="90">
        <f>IF(OR($G296="",$H296="",NOT(ISNUMBER($I296))),"",ROUND($H296*$I296*(1+IF($J296="",Setup!$B$16,$J296)),2))</f>
        <v/>
      </c>
      <c r="L296" s="90">
        <f>IF($K296="","",ROUND($K296*Setup!$B$13,2))</f>
        <v/>
      </c>
      <c r="M296" s="90">
        <f>IF($K296="","",$K296-$L296)</f>
        <v/>
      </c>
      <c r="N296" s="90">
        <f>IF(OR($M296="",$D296=""),"",ROUND($M296*IFERROR(IF(VLOOKUP($D296,Setup!$A$76:$C$87,3,FALSE)="",Setup!$B$14,VLOOKUP($D296,Setup!$A$76:$C$87,3,FALSE)),Setup!$B$14),2))</f>
        <v/>
      </c>
      <c r="O296" s="90">
        <f>IF(OR($M296="",$E296=""),"",ROUND($M296*IFERROR(IF(VLOOKUP($E296,Setup!$A$76:$C$87,3,FALSE)="",Setup!$B$15,VLOOKUP($E296,Setup!$A$76:$C$87,3,FALSE)),Setup!$B$15),2))</f>
        <v/>
      </c>
      <c r="P296" s="99" t="n"/>
      <c r="Q296" s="99" t="n"/>
      <c r="R296" s="99" t="n"/>
      <c r="S296" s="99" t="n"/>
      <c r="T296" s="99" t="n"/>
      <c r="U296" s="90">
        <f>IF($K296="","",SUM($R296:$T296))</f>
        <v/>
      </c>
      <c r="V296" s="90">
        <f>IF($K296="","",$M296-(N($N296)+N($O296)+IF($P296="",Setup!$B$17,$P296)+N($Q296))-N($U296))</f>
        <v/>
      </c>
      <c r="W296" s="95" t="n"/>
      <c r="X296" s="96" t="n"/>
      <c r="Z296" s="93">
        <f>IF($A296="","",DATE(YEAR($A296),MONTH($A296),1))</f>
        <v/>
      </c>
    </row>
    <row r="297">
      <c r="A297" s="86" t="n"/>
      <c r="B297" s="87" t="n"/>
      <c r="C297" s="87" t="n"/>
      <c r="D297" s="88" t="n"/>
      <c r="E297" s="88" t="n"/>
      <c r="F297" s="88" t="n"/>
      <c r="G297" s="88" t="n"/>
      <c r="H297" s="89" t="n"/>
      <c r="I297" s="90">
        <f>IF($G297="","",IF($F297="",IFERROR(INDEX(Setup!$C$21:$C$60,MATCH("|"&amp;UPPER(TRIM($G297)),Setup!$Q$21:$Q$60,0)),"NO RATE"),IFERROR(INDEX(Setup!$C$21:$C$60,MATCH(UPPER(TRIM($F297))&amp;"|"&amp;UPPER(TRIM($G297)),Setup!$P$21:$P$60,0)),IFERROR(INDEX(Setup!$C$21:$C$60,MATCH(UPPER(TRIM($G297))&amp;"|"&amp;UPPER(TRIM($F297)),Setup!$P$21:$P$60,0)),"NO RATE"))))</f>
        <v/>
      </c>
      <c r="J297" s="91" t="n"/>
      <c r="K297" s="90">
        <f>IF(OR($G297="",$H297="",NOT(ISNUMBER($I297))),"",ROUND($H297*$I297*(1+IF($J297="",Setup!$B$16,$J297)),2))</f>
        <v/>
      </c>
      <c r="L297" s="90">
        <f>IF($K297="","",ROUND($K297*Setup!$B$13,2))</f>
        <v/>
      </c>
      <c r="M297" s="90">
        <f>IF($K297="","",$K297-$L297)</f>
        <v/>
      </c>
      <c r="N297" s="90">
        <f>IF(OR($M297="",$D297=""),"",ROUND($M297*IFERROR(IF(VLOOKUP($D297,Setup!$A$76:$C$87,3,FALSE)="",Setup!$B$14,VLOOKUP($D297,Setup!$A$76:$C$87,3,FALSE)),Setup!$B$14),2))</f>
        <v/>
      </c>
      <c r="O297" s="90">
        <f>IF(OR($M297="",$E297=""),"",ROUND($M297*IFERROR(IF(VLOOKUP($E297,Setup!$A$76:$C$87,3,FALSE)="",Setup!$B$15,VLOOKUP($E297,Setup!$A$76:$C$87,3,FALSE)),Setup!$B$15),2))</f>
        <v/>
      </c>
      <c r="P297" s="92" t="n"/>
      <c r="Q297" s="92" t="n"/>
      <c r="R297" s="92" t="n"/>
      <c r="S297" s="92" t="n"/>
      <c r="T297" s="92" t="n"/>
      <c r="U297" s="90">
        <f>IF($K297="","",SUM($R297:$T297))</f>
        <v/>
      </c>
      <c r="V297" s="90">
        <f>IF($K297="","",$M297-(N($N297)+N($O297)+IF($P297="",Setup!$B$17,$P297)+N($Q297))-N($U297))</f>
        <v/>
      </c>
      <c r="W297" s="87" t="n"/>
      <c r="X297" s="88" t="n"/>
      <c r="Z297" s="93">
        <f>IF($A297="","",DATE(YEAR($A297),MONTH($A297),1))</f>
        <v/>
      </c>
    </row>
    <row r="298">
      <c r="A298" s="94" t="n"/>
      <c r="B298" s="95" t="n"/>
      <c r="C298" s="95" t="n"/>
      <c r="D298" s="96" t="n"/>
      <c r="E298" s="96" t="n"/>
      <c r="F298" s="96" t="n"/>
      <c r="G298" s="96" t="n"/>
      <c r="H298" s="97" t="n"/>
      <c r="I298" s="90">
        <f>IF($G298="","",IF($F298="",IFERROR(INDEX(Setup!$C$21:$C$60,MATCH("|"&amp;UPPER(TRIM($G298)),Setup!$Q$21:$Q$60,0)),"NO RATE"),IFERROR(INDEX(Setup!$C$21:$C$60,MATCH(UPPER(TRIM($F298))&amp;"|"&amp;UPPER(TRIM($G298)),Setup!$P$21:$P$60,0)),IFERROR(INDEX(Setup!$C$21:$C$60,MATCH(UPPER(TRIM($G298))&amp;"|"&amp;UPPER(TRIM($F298)),Setup!$P$21:$P$60,0)),"NO RATE"))))</f>
        <v/>
      </c>
      <c r="J298" s="98" t="n"/>
      <c r="K298" s="90">
        <f>IF(OR($G298="",$H298="",NOT(ISNUMBER($I298))),"",ROUND($H298*$I298*(1+IF($J298="",Setup!$B$16,$J298)),2))</f>
        <v/>
      </c>
      <c r="L298" s="90">
        <f>IF($K298="","",ROUND($K298*Setup!$B$13,2))</f>
        <v/>
      </c>
      <c r="M298" s="90">
        <f>IF($K298="","",$K298-$L298)</f>
        <v/>
      </c>
      <c r="N298" s="90">
        <f>IF(OR($M298="",$D298=""),"",ROUND($M298*IFERROR(IF(VLOOKUP($D298,Setup!$A$76:$C$87,3,FALSE)="",Setup!$B$14,VLOOKUP($D298,Setup!$A$76:$C$87,3,FALSE)),Setup!$B$14),2))</f>
        <v/>
      </c>
      <c r="O298" s="90">
        <f>IF(OR($M298="",$E298=""),"",ROUND($M298*IFERROR(IF(VLOOKUP($E298,Setup!$A$76:$C$87,3,FALSE)="",Setup!$B$15,VLOOKUP($E298,Setup!$A$76:$C$87,3,FALSE)),Setup!$B$15),2))</f>
        <v/>
      </c>
      <c r="P298" s="99" t="n"/>
      <c r="Q298" s="99" t="n"/>
      <c r="R298" s="99" t="n"/>
      <c r="S298" s="99" t="n"/>
      <c r="T298" s="99" t="n"/>
      <c r="U298" s="90">
        <f>IF($K298="","",SUM($R298:$T298))</f>
        <v/>
      </c>
      <c r="V298" s="90">
        <f>IF($K298="","",$M298-(N($N298)+N($O298)+IF($P298="",Setup!$B$17,$P298)+N($Q298))-N($U298))</f>
        <v/>
      </c>
      <c r="W298" s="95" t="n"/>
      <c r="X298" s="96" t="n"/>
      <c r="Z298" s="93">
        <f>IF($A298="","",DATE(YEAR($A298),MONTH($A298),1))</f>
        <v/>
      </c>
    </row>
    <row r="299">
      <c r="A299" s="86" t="n"/>
      <c r="B299" s="87" t="n"/>
      <c r="C299" s="87" t="n"/>
      <c r="D299" s="88" t="n"/>
      <c r="E299" s="88" t="n"/>
      <c r="F299" s="88" t="n"/>
      <c r="G299" s="88" t="n"/>
      <c r="H299" s="89" t="n"/>
      <c r="I299" s="90">
        <f>IF($G299="","",IF($F299="",IFERROR(INDEX(Setup!$C$21:$C$60,MATCH("|"&amp;UPPER(TRIM($G299)),Setup!$Q$21:$Q$60,0)),"NO RATE"),IFERROR(INDEX(Setup!$C$21:$C$60,MATCH(UPPER(TRIM($F299))&amp;"|"&amp;UPPER(TRIM($G299)),Setup!$P$21:$P$60,0)),IFERROR(INDEX(Setup!$C$21:$C$60,MATCH(UPPER(TRIM($G299))&amp;"|"&amp;UPPER(TRIM($F299)),Setup!$P$21:$P$60,0)),"NO RATE"))))</f>
        <v/>
      </c>
      <c r="J299" s="91" t="n"/>
      <c r="K299" s="90">
        <f>IF(OR($G299="",$H299="",NOT(ISNUMBER($I299))),"",ROUND($H299*$I299*(1+IF($J299="",Setup!$B$16,$J299)),2))</f>
        <v/>
      </c>
      <c r="L299" s="90">
        <f>IF($K299="","",ROUND($K299*Setup!$B$13,2))</f>
        <v/>
      </c>
      <c r="M299" s="90">
        <f>IF($K299="","",$K299-$L299)</f>
        <v/>
      </c>
      <c r="N299" s="90">
        <f>IF(OR($M299="",$D299=""),"",ROUND($M299*IFERROR(IF(VLOOKUP($D299,Setup!$A$76:$C$87,3,FALSE)="",Setup!$B$14,VLOOKUP($D299,Setup!$A$76:$C$87,3,FALSE)),Setup!$B$14),2))</f>
        <v/>
      </c>
      <c r="O299" s="90">
        <f>IF(OR($M299="",$E299=""),"",ROUND($M299*IFERROR(IF(VLOOKUP($E299,Setup!$A$76:$C$87,3,FALSE)="",Setup!$B$15,VLOOKUP($E299,Setup!$A$76:$C$87,3,FALSE)),Setup!$B$15),2))</f>
        <v/>
      </c>
      <c r="P299" s="92" t="n"/>
      <c r="Q299" s="92" t="n"/>
      <c r="R299" s="92" t="n"/>
      <c r="S299" s="92" t="n"/>
      <c r="T299" s="92" t="n"/>
      <c r="U299" s="90">
        <f>IF($K299="","",SUM($R299:$T299))</f>
        <v/>
      </c>
      <c r="V299" s="90">
        <f>IF($K299="","",$M299-(N($N299)+N($O299)+IF($P299="",Setup!$B$17,$P299)+N($Q299))-N($U299))</f>
        <v/>
      </c>
      <c r="W299" s="87" t="n"/>
      <c r="X299" s="88" t="n"/>
      <c r="Z299" s="93">
        <f>IF($A299="","",DATE(YEAR($A299),MONTH($A299),1))</f>
        <v/>
      </c>
    </row>
    <row r="300">
      <c r="A300" s="94" t="n"/>
      <c r="B300" s="95" t="n"/>
      <c r="C300" s="95" t="n"/>
      <c r="D300" s="96" t="n"/>
      <c r="E300" s="96" t="n"/>
      <c r="F300" s="96" t="n"/>
      <c r="G300" s="96" t="n"/>
      <c r="H300" s="97" t="n"/>
      <c r="I300" s="90">
        <f>IF($G300="","",IF($F300="",IFERROR(INDEX(Setup!$C$21:$C$60,MATCH("|"&amp;UPPER(TRIM($G300)),Setup!$Q$21:$Q$60,0)),"NO RATE"),IFERROR(INDEX(Setup!$C$21:$C$60,MATCH(UPPER(TRIM($F300))&amp;"|"&amp;UPPER(TRIM($G300)),Setup!$P$21:$P$60,0)),IFERROR(INDEX(Setup!$C$21:$C$60,MATCH(UPPER(TRIM($G300))&amp;"|"&amp;UPPER(TRIM($F300)),Setup!$P$21:$P$60,0)),"NO RATE"))))</f>
        <v/>
      </c>
      <c r="J300" s="98" t="n"/>
      <c r="K300" s="90">
        <f>IF(OR($G300="",$H300="",NOT(ISNUMBER($I300))),"",ROUND($H300*$I300*(1+IF($J300="",Setup!$B$16,$J300)),2))</f>
        <v/>
      </c>
      <c r="L300" s="90">
        <f>IF($K300="","",ROUND($K300*Setup!$B$13,2))</f>
        <v/>
      </c>
      <c r="M300" s="90">
        <f>IF($K300="","",$K300-$L300)</f>
        <v/>
      </c>
      <c r="N300" s="90">
        <f>IF(OR($M300="",$D300=""),"",ROUND($M300*IFERROR(IF(VLOOKUP($D300,Setup!$A$76:$C$87,3,FALSE)="",Setup!$B$14,VLOOKUP($D300,Setup!$A$76:$C$87,3,FALSE)),Setup!$B$14),2))</f>
        <v/>
      </c>
      <c r="O300" s="90">
        <f>IF(OR($M300="",$E300=""),"",ROUND($M300*IFERROR(IF(VLOOKUP($E300,Setup!$A$76:$C$87,3,FALSE)="",Setup!$B$15,VLOOKUP($E300,Setup!$A$76:$C$87,3,FALSE)),Setup!$B$15),2))</f>
        <v/>
      </c>
      <c r="P300" s="99" t="n"/>
      <c r="Q300" s="99" t="n"/>
      <c r="R300" s="99" t="n"/>
      <c r="S300" s="99" t="n"/>
      <c r="T300" s="99" t="n"/>
      <c r="U300" s="90">
        <f>IF($K300="","",SUM($R300:$T300))</f>
        <v/>
      </c>
      <c r="V300" s="90">
        <f>IF($K300="","",$M300-(N($N300)+N($O300)+IF($P300="",Setup!$B$17,$P300)+N($Q300))-N($U300))</f>
        <v/>
      </c>
      <c r="W300" s="95" t="n"/>
      <c r="X300" s="96" t="n"/>
      <c r="Z300" s="93">
        <f>IF($A300="","",DATE(YEAR($A300),MONTH($A300),1))</f>
        <v/>
      </c>
    </row>
    <row r="301">
      <c r="A301" s="86" t="n"/>
      <c r="B301" s="87" t="n"/>
      <c r="C301" s="87" t="n"/>
      <c r="D301" s="88" t="n"/>
      <c r="E301" s="88" t="n"/>
      <c r="F301" s="88" t="n"/>
      <c r="G301" s="88" t="n"/>
      <c r="H301" s="89" t="n"/>
      <c r="I301" s="90">
        <f>IF($G301="","",IF($F301="",IFERROR(INDEX(Setup!$C$21:$C$60,MATCH("|"&amp;UPPER(TRIM($G301)),Setup!$Q$21:$Q$60,0)),"NO RATE"),IFERROR(INDEX(Setup!$C$21:$C$60,MATCH(UPPER(TRIM($F301))&amp;"|"&amp;UPPER(TRIM($G301)),Setup!$P$21:$P$60,0)),IFERROR(INDEX(Setup!$C$21:$C$60,MATCH(UPPER(TRIM($G301))&amp;"|"&amp;UPPER(TRIM($F301)),Setup!$P$21:$P$60,0)),"NO RATE"))))</f>
        <v/>
      </c>
      <c r="J301" s="91" t="n"/>
      <c r="K301" s="90">
        <f>IF(OR($G301="",$H301="",NOT(ISNUMBER($I301))),"",ROUND($H301*$I301*(1+IF($J301="",Setup!$B$16,$J301)),2))</f>
        <v/>
      </c>
      <c r="L301" s="90">
        <f>IF($K301="","",ROUND($K301*Setup!$B$13,2))</f>
        <v/>
      </c>
      <c r="M301" s="90">
        <f>IF($K301="","",$K301-$L301)</f>
        <v/>
      </c>
      <c r="N301" s="90">
        <f>IF(OR($M301="",$D301=""),"",ROUND($M301*IFERROR(IF(VLOOKUP($D301,Setup!$A$76:$C$87,3,FALSE)="",Setup!$B$14,VLOOKUP($D301,Setup!$A$76:$C$87,3,FALSE)),Setup!$B$14),2))</f>
        <v/>
      </c>
      <c r="O301" s="90">
        <f>IF(OR($M301="",$E301=""),"",ROUND($M301*IFERROR(IF(VLOOKUP($E301,Setup!$A$76:$C$87,3,FALSE)="",Setup!$B$15,VLOOKUP($E301,Setup!$A$76:$C$87,3,FALSE)),Setup!$B$15),2))</f>
        <v/>
      </c>
      <c r="P301" s="92" t="n"/>
      <c r="Q301" s="92" t="n"/>
      <c r="R301" s="92" t="n"/>
      <c r="S301" s="92" t="n"/>
      <c r="T301" s="92" t="n"/>
      <c r="U301" s="90">
        <f>IF($K301="","",SUM($R301:$T301))</f>
        <v/>
      </c>
      <c r="V301" s="90">
        <f>IF($K301="","",$M301-(N($N301)+N($O301)+IF($P301="",Setup!$B$17,$P301)+N($Q301))-N($U301))</f>
        <v/>
      </c>
      <c r="W301" s="87" t="n"/>
      <c r="X301" s="88" t="n"/>
      <c r="Z301" s="93">
        <f>IF($A301="","",DATE(YEAR($A301),MONTH($A301),1))</f>
        <v/>
      </c>
    </row>
    <row r="302">
      <c r="A302" s="94" t="n"/>
      <c r="B302" s="95" t="n"/>
      <c r="C302" s="95" t="n"/>
      <c r="D302" s="96" t="n"/>
      <c r="E302" s="96" t="n"/>
      <c r="F302" s="96" t="n"/>
      <c r="G302" s="96" t="n"/>
      <c r="H302" s="97" t="n"/>
      <c r="I302" s="90">
        <f>IF($G302="","",IF($F302="",IFERROR(INDEX(Setup!$C$21:$C$60,MATCH("|"&amp;UPPER(TRIM($G302)),Setup!$Q$21:$Q$60,0)),"NO RATE"),IFERROR(INDEX(Setup!$C$21:$C$60,MATCH(UPPER(TRIM($F302))&amp;"|"&amp;UPPER(TRIM($G302)),Setup!$P$21:$P$60,0)),IFERROR(INDEX(Setup!$C$21:$C$60,MATCH(UPPER(TRIM($G302))&amp;"|"&amp;UPPER(TRIM($F302)),Setup!$P$21:$P$60,0)),"NO RATE"))))</f>
        <v/>
      </c>
      <c r="J302" s="98" t="n"/>
      <c r="K302" s="90">
        <f>IF(OR($G302="",$H302="",NOT(ISNUMBER($I302))),"",ROUND($H302*$I302*(1+IF($J302="",Setup!$B$16,$J302)),2))</f>
        <v/>
      </c>
      <c r="L302" s="90">
        <f>IF($K302="","",ROUND($K302*Setup!$B$13,2))</f>
        <v/>
      </c>
      <c r="M302" s="90">
        <f>IF($K302="","",$K302-$L302)</f>
        <v/>
      </c>
      <c r="N302" s="90">
        <f>IF(OR($M302="",$D302=""),"",ROUND($M302*IFERROR(IF(VLOOKUP($D302,Setup!$A$76:$C$87,3,FALSE)="",Setup!$B$14,VLOOKUP($D302,Setup!$A$76:$C$87,3,FALSE)),Setup!$B$14),2))</f>
        <v/>
      </c>
      <c r="O302" s="90">
        <f>IF(OR($M302="",$E302=""),"",ROUND($M302*IFERROR(IF(VLOOKUP($E302,Setup!$A$76:$C$87,3,FALSE)="",Setup!$B$15,VLOOKUP($E302,Setup!$A$76:$C$87,3,FALSE)),Setup!$B$15),2))</f>
        <v/>
      </c>
      <c r="P302" s="99" t="n"/>
      <c r="Q302" s="99" t="n"/>
      <c r="R302" s="99" t="n"/>
      <c r="S302" s="99" t="n"/>
      <c r="T302" s="99" t="n"/>
      <c r="U302" s="90">
        <f>IF($K302="","",SUM($R302:$T302))</f>
        <v/>
      </c>
      <c r="V302" s="90">
        <f>IF($K302="","",$M302-(N($N302)+N($O302)+IF($P302="",Setup!$B$17,$P302)+N($Q302))-N($U302))</f>
        <v/>
      </c>
      <c r="W302" s="95" t="n"/>
      <c r="X302" s="96" t="n"/>
      <c r="Z302" s="93">
        <f>IF($A302="","",DATE(YEAR($A302),MONTH($A302),1))</f>
        <v/>
      </c>
    </row>
    <row r="303">
      <c r="A303" s="86" t="n"/>
      <c r="B303" s="87" t="n"/>
      <c r="C303" s="87" t="n"/>
      <c r="D303" s="88" t="n"/>
      <c r="E303" s="88" t="n"/>
      <c r="F303" s="88" t="n"/>
      <c r="G303" s="88" t="n"/>
      <c r="H303" s="89" t="n"/>
      <c r="I303" s="90">
        <f>IF($G303="","",IF($F303="",IFERROR(INDEX(Setup!$C$21:$C$60,MATCH("|"&amp;UPPER(TRIM($G303)),Setup!$Q$21:$Q$60,0)),"NO RATE"),IFERROR(INDEX(Setup!$C$21:$C$60,MATCH(UPPER(TRIM($F303))&amp;"|"&amp;UPPER(TRIM($G303)),Setup!$P$21:$P$60,0)),IFERROR(INDEX(Setup!$C$21:$C$60,MATCH(UPPER(TRIM($G303))&amp;"|"&amp;UPPER(TRIM($F303)),Setup!$P$21:$P$60,0)),"NO RATE"))))</f>
        <v/>
      </c>
      <c r="J303" s="91" t="n"/>
      <c r="K303" s="90">
        <f>IF(OR($G303="",$H303="",NOT(ISNUMBER($I303))),"",ROUND($H303*$I303*(1+IF($J303="",Setup!$B$16,$J303)),2))</f>
        <v/>
      </c>
      <c r="L303" s="90">
        <f>IF($K303="","",ROUND($K303*Setup!$B$13,2))</f>
        <v/>
      </c>
      <c r="M303" s="90">
        <f>IF($K303="","",$K303-$L303)</f>
        <v/>
      </c>
      <c r="N303" s="90">
        <f>IF(OR($M303="",$D303=""),"",ROUND($M303*IFERROR(IF(VLOOKUP($D303,Setup!$A$76:$C$87,3,FALSE)="",Setup!$B$14,VLOOKUP($D303,Setup!$A$76:$C$87,3,FALSE)),Setup!$B$14),2))</f>
        <v/>
      </c>
      <c r="O303" s="90">
        <f>IF(OR($M303="",$E303=""),"",ROUND($M303*IFERROR(IF(VLOOKUP($E303,Setup!$A$76:$C$87,3,FALSE)="",Setup!$B$15,VLOOKUP($E303,Setup!$A$76:$C$87,3,FALSE)),Setup!$B$15),2))</f>
        <v/>
      </c>
      <c r="P303" s="92" t="n"/>
      <c r="Q303" s="92" t="n"/>
      <c r="R303" s="92" t="n"/>
      <c r="S303" s="92" t="n"/>
      <c r="T303" s="92" t="n"/>
      <c r="U303" s="90">
        <f>IF($K303="","",SUM($R303:$T303))</f>
        <v/>
      </c>
      <c r="V303" s="90">
        <f>IF($K303="","",$M303-(N($N303)+N($O303)+IF($P303="",Setup!$B$17,$P303)+N($Q303))-N($U303))</f>
        <v/>
      </c>
      <c r="W303" s="87" t="n"/>
      <c r="X303" s="88" t="n"/>
      <c r="Z303" s="93">
        <f>IF($A303="","",DATE(YEAR($A303),MONTH($A303),1))</f>
        <v/>
      </c>
    </row>
    <row r="304">
      <c r="A304" s="94" t="n"/>
      <c r="B304" s="95" t="n"/>
      <c r="C304" s="95" t="n"/>
      <c r="D304" s="96" t="n"/>
      <c r="E304" s="96" t="n"/>
      <c r="F304" s="96" t="n"/>
      <c r="G304" s="96" t="n"/>
      <c r="H304" s="97" t="n"/>
      <c r="I304" s="90">
        <f>IF($G304="","",IF($F304="",IFERROR(INDEX(Setup!$C$21:$C$60,MATCH("|"&amp;UPPER(TRIM($G304)),Setup!$Q$21:$Q$60,0)),"NO RATE"),IFERROR(INDEX(Setup!$C$21:$C$60,MATCH(UPPER(TRIM($F304))&amp;"|"&amp;UPPER(TRIM($G304)),Setup!$P$21:$P$60,0)),IFERROR(INDEX(Setup!$C$21:$C$60,MATCH(UPPER(TRIM($G304))&amp;"|"&amp;UPPER(TRIM($F304)),Setup!$P$21:$P$60,0)),"NO RATE"))))</f>
        <v/>
      </c>
      <c r="J304" s="98" t="n"/>
      <c r="K304" s="90">
        <f>IF(OR($G304="",$H304="",NOT(ISNUMBER($I304))),"",ROUND($H304*$I304*(1+IF($J304="",Setup!$B$16,$J304)),2))</f>
        <v/>
      </c>
      <c r="L304" s="90">
        <f>IF($K304="","",ROUND($K304*Setup!$B$13,2))</f>
        <v/>
      </c>
      <c r="M304" s="90">
        <f>IF($K304="","",$K304-$L304)</f>
        <v/>
      </c>
      <c r="N304" s="90">
        <f>IF(OR($M304="",$D304=""),"",ROUND($M304*IFERROR(IF(VLOOKUP($D304,Setup!$A$76:$C$87,3,FALSE)="",Setup!$B$14,VLOOKUP($D304,Setup!$A$76:$C$87,3,FALSE)),Setup!$B$14),2))</f>
        <v/>
      </c>
      <c r="O304" s="90">
        <f>IF(OR($M304="",$E304=""),"",ROUND($M304*IFERROR(IF(VLOOKUP($E304,Setup!$A$76:$C$87,3,FALSE)="",Setup!$B$15,VLOOKUP($E304,Setup!$A$76:$C$87,3,FALSE)),Setup!$B$15),2))</f>
        <v/>
      </c>
      <c r="P304" s="99" t="n"/>
      <c r="Q304" s="99" t="n"/>
      <c r="R304" s="99" t="n"/>
      <c r="S304" s="99" t="n"/>
      <c r="T304" s="99" t="n"/>
      <c r="U304" s="90">
        <f>IF($K304="","",SUM($R304:$T304))</f>
        <v/>
      </c>
      <c r="V304" s="90">
        <f>IF($K304="","",$M304-(N($N304)+N($O304)+IF($P304="",Setup!$B$17,$P304)+N($Q304))-N($U304))</f>
        <v/>
      </c>
      <c r="W304" s="95" t="n"/>
      <c r="X304" s="96" t="n"/>
      <c r="Z304" s="93">
        <f>IF($A304="","",DATE(YEAR($A304),MONTH($A304),1))</f>
        <v/>
      </c>
    </row>
    <row r="305">
      <c r="A305" s="86" t="n"/>
      <c r="B305" s="87" t="n"/>
      <c r="C305" s="87" t="n"/>
      <c r="D305" s="88" t="n"/>
      <c r="E305" s="88" t="n"/>
      <c r="F305" s="88" t="n"/>
      <c r="G305" s="88" t="n"/>
      <c r="H305" s="89" t="n"/>
      <c r="I305" s="90">
        <f>IF($G305="","",IF($F305="",IFERROR(INDEX(Setup!$C$21:$C$60,MATCH("|"&amp;UPPER(TRIM($G305)),Setup!$Q$21:$Q$60,0)),"NO RATE"),IFERROR(INDEX(Setup!$C$21:$C$60,MATCH(UPPER(TRIM($F305))&amp;"|"&amp;UPPER(TRIM($G305)),Setup!$P$21:$P$60,0)),IFERROR(INDEX(Setup!$C$21:$C$60,MATCH(UPPER(TRIM($G305))&amp;"|"&amp;UPPER(TRIM($F305)),Setup!$P$21:$P$60,0)),"NO RATE"))))</f>
        <v/>
      </c>
      <c r="J305" s="91" t="n"/>
      <c r="K305" s="90">
        <f>IF(OR($G305="",$H305="",NOT(ISNUMBER($I305))),"",ROUND($H305*$I305*(1+IF($J305="",Setup!$B$16,$J305)),2))</f>
        <v/>
      </c>
      <c r="L305" s="90">
        <f>IF($K305="","",ROUND($K305*Setup!$B$13,2))</f>
        <v/>
      </c>
      <c r="M305" s="90">
        <f>IF($K305="","",$K305-$L305)</f>
        <v/>
      </c>
      <c r="N305" s="90">
        <f>IF(OR($M305="",$D305=""),"",ROUND($M305*IFERROR(IF(VLOOKUP($D305,Setup!$A$76:$C$87,3,FALSE)="",Setup!$B$14,VLOOKUP($D305,Setup!$A$76:$C$87,3,FALSE)),Setup!$B$14),2))</f>
        <v/>
      </c>
      <c r="O305" s="90">
        <f>IF(OR($M305="",$E305=""),"",ROUND($M305*IFERROR(IF(VLOOKUP($E305,Setup!$A$76:$C$87,3,FALSE)="",Setup!$B$15,VLOOKUP($E305,Setup!$A$76:$C$87,3,FALSE)),Setup!$B$15),2))</f>
        <v/>
      </c>
      <c r="P305" s="92" t="n"/>
      <c r="Q305" s="92" t="n"/>
      <c r="R305" s="92" t="n"/>
      <c r="S305" s="92" t="n"/>
      <c r="T305" s="92" t="n"/>
      <c r="U305" s="90">
        <f>IF($K305="","",SUM($R305:$T305))</f>
        <v/>
      </c>
      <c r="V305" s="90">
        <f>IF($K305="","",$M305-(N($N305)+N($O305)+IF($P305="",Setup!$B$17,$P305)+N($Q305))-N($U305))</f>
        <v/>
      </c>
      <c r="W305" s="87" t="n"/>
      <c r="X305" s="88" t="n"/>
      <c r="Z305" s="93">
        <f>IF($A305="","",DATE(YEAR($A305),MONTH($A305),1))</f>
        <v/>
      </c>
    </row>
    <row r="306">
      <c r="A306" s="94" t="n"/>
      <c r="B306" s="95" t="n"/>
      <c r="C306" s="95" t="n"/>
      <c r="D306" s="96" t="n"/>
      <c r="E306" s="96" t="n"/>
      <c r="F306" s="96" t="n"/>
      <c r="G306" s="96" t="n"/>
      <c r="H306" s="97" t="n"/>
      <c r="I306" s="90">
        <f>IF($G306="","",IF($F306="",IFERROR(INDEX(Setup!$C$21:$C$60,MATCH("|"&amp;UPPER(TRIM($G306)),Setup!$Q$21:$Q$60,0)),"NO RATE"),IFERROR(INDEX(Setup!$C$21:$C$60,MATCH(UPPER(TRIM($F306))&amp;"|"&amp;UPPER(TRIM($G306)),Setup!$P$21:$P$60,0)),IFERROR(INDEX(Setup!$C$21:$C$60,MATCH(UPPER(TRIM($G306))&amp;"|"&amp;UPPER(TRIM($F306)),Setup!$P$21:$P$60,0)),"NO RATE"))))</f>
        <v/>
      </c>
      <c r="J306" s="98" t="n"/>
      <c r="K306" s="90">
        <f>IF(OR($G306="",$H306="",NOT(ISNUMBER($I306))),"",ROUND($H306*$I306*(1+IF($J306="",Setup!$B$16,$J306)),2))</f>
        <v/>
      </c>
      <c r="L306" s="90">
        <f>IF($K306="","",ROUND($K306*Setup!$B$13,2))</f>
        <v/>
      </c>
      <c r="M306" s="90">
        <f>IF($K306="","",$K306-$L306)</f>
        <v/>
      </c>
      <c r="N306" s="90">
        <f>IF(OR($M306="",$D306=""),"",ROUND($M306*IFERROR(IF(VLOOKUP($D306,Setup!$A$76:$C$87,3,FALSE)="",Setup!$B$14,VLOOKUP($D306,Setup!$A$76:$C$87,3,FALSE)),Setup!$B$14),2))</f>
        <v/>
      </c>
      <c r="O306" s="90">
        <f>IF(OR($M306="",$E306=""),"",ROUND($M306*IFERROR(IF(VLOOKUP($E306,Setup!$A$76:$C$87,3,FALSE)="",Setup!$B$15,VLOOKUP($E306,Setup!$A$76:$C$87,3,FALSE)),Setup!$B$15),2))</f>
        <v/>
      </c>
      <c r="P306" s="99" t="n"/>
      <c r="Q306" s="99" t="n"/>
      <c r="R306" s="99" t="n"/>
      <c r="S306" s="99" t="n"/>
      <c r="T306" s="99" t="n"/>
      <c r="U306" s="90">
        <f>IF($K306="","",SUM($R306:$T306))</f>
        <v/>
      </c>
      <c r="V306" s="90">
        <f>IF($K306="","",$M306-(N($N306)+N($O306)+IF($P306="",Setup!$B$17,$P306)+N($Q306))-N($U306))</f>
        <v/>
      </c>
      <c r="W306" s="95" t="n"/>
      <c r="X306" s="96" t="n"/>
      <c r="Z306" s="93">
        <f>IF($A306="","",DATE(YEAR($A306),MONTH($A306),1))</f>
        <v/>
      </c>
    </row>
    <row r="307">
      <c r="A307" s="86" t="n"/>
      <c r="B307" s="87" t="n"/>
      <c r="C307" s="87" t="n"/>
      <c r="D307" s="88" t="n"/>
      <c r="E307" s="88" t="n"/>
      <c r="F307" s="88" t="n"/>
      <c r="G307" s="88" t="n"/>
      <c r="H307" s="89" t="n"/>
      <c r="I307" s="90">
        <f>IF($G307="","",IF($F307="",IFERROR(INDEX(Setup!$C$21:$C$60,MATCH("|"&amp;UPPER(TRIM($G307)),Setup!$Q$21:$Q$60,0)),"NO RATE"),IFERROR(INDEX(Setup!$C$21:$C$60,MATCH(UPPER(TRIM($F307))&amp;"|"&amp;UPPER(TRIM($G307)),Setup!$P$21:$P$60,0)),IFERROR(INDEX(Setup!$C$21:$C$60,MATCH(UPPER(TRIM($G307))&amp;"|"&amp;UPPER(TRIM($F307)),Setup!$P$21:$P$60,0)),"NO RATE"))))</f>
        <v/>
      </c>
      <c r="J307" s="91" t="n"/>
      <c r="K307" s="90">
        <f>IF(OR($G307="",$H307="",NOT(ISNUMBER($I307))),"",ROUND($H307*$I307*(1+IF($J307="",Setup!$B$16,$J307)),2))</f>
        <v/>
      </c>
      <c r="L307" s="90">
        <f>IF($K307="","",ROUND($K307*Setup!$B$13,2))</f>
        <v/>
      </c>
      <c r="M307" s="90">
        <f>IF($K307="","",$K307-$L307)</f>
        <v/>
      </c>
      <c r="N307" s="90">
        <f>IF(OR($M307="",$D307=""),"",ROUND($M307*IFERROR(IF(VLOOKUP($D307,Setup!$A$76:$C$87,3,FALSE)="",Setup!$B$14,VLOOKUP($D307,Setup!$A$76:$C$87,3,FALSE)),Setup!$B$14),2))</f>
        <v/>
      </c>
      <c r="O307" s="90">
        <f>IF(OR($M307="",$E307=""),"",ROUND($M307*IFERROR(IF(VLOOKUP($E307,Setup!$A$76:$C$87,3,FALSE)="",Setup!$B$15,VLOOKUP($E307,Setup!$A$76:$C$87,3,FALSE)),Setup!$B$15),2))</f>
        <v/>
      </c>
      <c r="P307" s="92" t="n"/>
      <c r="Q307" s="92" t="n"/>
      <c r="R307" s="92" t="n"/>
      <c r="S307" s="92" t="n"/>
      <c r="T307" s="92" t="n"/>
      <c r="U307" s="90">
        <f>IF($K307="","",SUM($R307:$T307))</f>
        <v/>
      </c>
      <c r="V307" s="90">
        <f>IF($K307="","",$M307-(N($N307)+N($O307)+IF($P307="",Setup!$B$17,$P307)+N($Q307))-N($U307))</f>
        <v/>
      </c>
      <c r="W307" s="87" t="n"/>
      <c r="X307" s="88" t="n"/>
      <c r="Z307" s="93">
        <f>IF($A307="","",DATE(YEAR($A307),MONTH($A307),1))</f>
        <v/>
      </c>
    </row>
    <row r="308">
      <c r="A308" s="94" t="n"/>
      <c r="B308" s="95" t="n"/>
      <c r="C308" s="95" t="n"/>
      <c r="D308" s="96" t="n"/>
      <c r="E308" s="96" t="n"/>
      <c r="F308" s="96" t="n"/>
      <c r="G308" s="96" t="n"/>
      <c r="H308" s="97" t="n"/>
      <c r="I308" s="90">
        <f>IF($G308="","",IF($F308="",IFERROR(INDEX(Setup!$C$21:$C$60,MATCH("|"&amp;UPPER(TRIM($G308)),Setup!$Q$21:$Q$60,0)),"NO RATE"),IFERROR(INDEX(Setup!$C$21:$C$60,MATCH(UPPER(TRIM($F308))&amp;"|"&amp;UPPER(TRIM($G308)),Setup!$P$21:$P$60,0)),IFERROR(INDEX(Setup!$C$21:$C$60,MATCH(UPPER(TRIM($G308))&amp;"|"&amp;UPPER(TRIM($F308)),Setup!$P$21:$P$60,0)),"NO RATE"))))</f>
        <v/>
      </c>
      <c r="J308" s="98" t="n"/>
      <c r="K308" s="90">
        <f>IF(OR($G308="",$H308="",NOT(ISNUMBER($I308))),"",ROUND($H308*$I308*(1+IF($J308="",Setup!$B$16,$J308)),2))</f>
        <v/>
      </c>
      <c r="L308" s="90">
        <f>IF($K308="","",ROUND($K308*Setup!$B$13,2))</f>
        <v/>
      </c>
      <c r="M308" s="90">
        <f>IF($K308="","",$K308-$L308)</f>
        <v/>
      </c>
      <c r="N308" s="90">
        <f>IF(OR($M308="",$D308=""),"",ROUND($M308*IFERROR(IF(VLOOKUP($D308,Setup!$A$76:$C$87,3,FALSE)="",Setup!$B$14,VLOOKUP($D308,Setup!$A$76:$C$87,3,FALSE)),Setup!$B$14),2))</f>
        <v/>
      </c>
      <c r="O308" s="90">
        <f>IF(OR($M308="",$E308=""),"",ROUND($M308*IFERROR(IF(VLOOKUP($E308,Setup!$A$76:$C$87,3,FALSE)="",Setup!$B$15,VLOOKUP($E308,Setup!$A$76:$C$87,3,FALSE)),Setup!$B$15),2))</f>
        <v/>
      </c>
      <c r="P308" s="99" t="n"/>
      <c r="Q308" s="99" t="n"/>
      <c r="R308" s="99" t="n"/>
      <c r="S308" s="99" t="n"/>
      <c r="T308" s="99" t="n"/>
      <c r="U308" s="90">
        <f>IF($K308="","",SUM($R308:$T308))</f>
        <v/>
      </c>
      <c r="V308" s="90">
        <f>IF($K308="","",$M308-(N($N308)+N($O308)+IF($P308="",Setup!$B$17,$P308)+N($Q308))-N($U308))</f>
        <v/>
      </c>
      <c r="W308" s="95" t="n"/>
      <c r="X308" s="96" t="n"/>
      <c r="Z308" s="93">
        <f>IF($A308="","",DATE(YEAR($A308),MONTH($A308),1))</f>
        <v/>
      </c>
    </row>
    <row r="309">
      <c r="A309" s="86" t="n"/>
      <c r="B309" s="87" t="n"/>
      <c r="C309" s="87" t="n"/>
      <c r="D309" s="88" t="n"/>
      <c r="E309" s="88" t="n"/>
      <c r="F309" s="88" t="n"/>
      <c r="G309" s="88" t="n"/>
      <c r="H309" s="89" t="n"/>
      <c r="I309" s="90">
        <f>IF($G309="","",IF($F309="",IFERROR(INDEX(Setup!$C$21:$C$60,MATCH("|"&amp;UPPER(TRIM($G309)),Setup!$Q$21:$Q$60,0)),"NO RATE"),IFERROR(INDEX(Setup!$C$21:$C$60,MATCH(UPPER(TRIM($F309))&amp;"|"&amp;UPPER(TRIM($G309)),Setup!$P$21:$P$60,0)),IFERROR(INDEX(Setup!$C$21:$C$60,MATCH(UPPER(TRIM($G309))&amp;"|"&amp;UPPER(TRIM($F309)),Setup!$P$21:$P$60,0)),"NO RATE"))))</f>
        <v/>
      </c>
      <c r="J309" s="91" t="n"/>
      <c r="K309" s="90">
        <f>IF(OR($G309="",$H309="",NOT(ISNUMBER($I309))),"",ROUND($H309*$I309*(1+IF($J309="",Setup!$B$16,$J309)),2))</f>
        <v/>
      </c>
      <c r="L309" s="90">
        <f>IF($K309="","",ROUND($K309*Setup!$B$13,2))</f>
        <v/>
      </c>
      <c r="M309" s="90">
        <f>IF($K309="","",$K309-$L309)</f>
        <v/>
      </c>
      <c r="N309" s="90">
        <f>IF(OR($M309="",$D309=""),"",ROUND($M309*IFERROR(IF(VLOOKUP($D309,Setup!$A$76:$C$87,3,FALSE)="",Setup!$B$14,VLOOKUP($D309,Setup!$A$76:$C$87,3,FALSE)),Setup!$B$14),2))</f>
        <v/>
      </c>
      <c r="O309" s="90">
        <f>IF(OR($M309="",$E309=""),"",ROUND($M309*IFERROR(IF(VLOOKUP($E309,Setup!$A$76:$C$87,3,FALSE)="",Setup!$B$15,VLOOKUP($E309,Setup!$A$76:$C$87,3,FALSE)),Setup!$B$15),2))</f>
        <v/>
      </c>
      <c r="P309" s="92" t="n"/>
      <c r="Q309" s="92" t="n"/>
      <c r="R309" s="92" t="n"/>
      <c r="S309" s="92" t="n"/>
      <c r="T309" s="92" t="n"/>
      <c r="U309" s="90">
        <f>IF($K309="","",SUM($R309:$T309))</f>
        <v/>
      </c>
      <c r="V309" s="90">
        <f>IF($K309="","",$M309-(N($N309)+N($O309)+IF($P309="",Setup!$B$17,$P309)+N($Q309))-N($U309))</f>
        <v/>
      </c>
      <c r="W309" s="87" t="n"/>
      <c r="X309" s="88" t="n"/>
      <c r="Z309" s="93">
        <f>IF($A309="","",DATE(YEAR($A309),MONTH($A309),1))</f>
        <v/>
      </c>
    </row>
    <row r="310">
      <c r="A310" s="94" t="n"/>
      <c r="B310" s="95" t="n"/>
      <c r="C310" s="95" t="n"/>
      <c r="D310" s="96" t="n"/>
      <c r="E310" s="96" t="n"/>
      <c r="F310" s="96" t="n"/>
      <c r="G310" s="96" t="n"/>
      <c r="H310" s="97" t="n"/>
      <c r="I310" s="90">
        <f>IF($G310="","",IF($F310="",IFERROR(INDEX(Setup!$C$21:$C$60,MATCH("|"&amp;UPPER(TRIM($G310)),Setup!$Q$21:$Q$60,0)),"NO RATE"),IFERROR(INDEX(Setup!$C$21:$C$60,MATCH(UPPER(TRIM($F310))&amp;"|"&amp;UPPER(TRIM($G310)),Setup!$P$21:$P$60,0)),IFERROR(INDEX(Setup!$C$21:$C$60,MATCH(UPPER(TRIM($G310))&amp;"|"&amp;UPPER(TRIM($F310)),Setup!$P$21:$P$60,0)),"NO RATE"))))</f>
        <v/>
      </c>
      <c r="J310" s="98" t="n"/>
      <c r="K310" s="90">
        <f>IF(OR($G310="",$H310="",NOT(ISNUMBER($I310))),"",ROUND($H310*$I310*(1+IF($J310="",Setup!$B$16,$J310)),2))</f>
        <v/>
      </c>
      <c r="L310" s="90">
        <f>IF($K310="","",ROUND($K310*Setup!$B$13,2))</f>
        <v/>
      </c>
      <c r="M310" s="90">
        <f>IF($K310="","",$K310-$L310)</f>
        <v/>
      </c>
      <c r="N310" s="90">
        <f>IF(OR($M310="",$D310=""),"",ROUND($M310*IFERROR(IF(VLOOKUP($D310,Setup!$A$76:$C$87,3,FALSE)="",Setup!$B$14,VLOOKUP($D310,Setup!$A$76:$C$87,3,FALSE)),Setup!$B$14),2))</f>
        <v/>
      </c>
      <c r="O310" s="90">
        <f>IF(OR($M310="",$E310=""),"",ROUND($M310*IFERROR(IF(VLOOKUP($E310,Setup!$A$76:$C$87,3,FALSE)="",Setup!$B$15,VLOOKUP($E310,Setup!$A$76:$C$87,3,FALSE)),Setup!$B$15),2))</f>
        <v/>
      </c>
      <c r="P310" s="99" t="n"/>
      <c r="Q310" s="99" t="n"/>
      <c r="R310" s="99" t="n"/>
      <c r="S310" s="99" t="n"/>
      <c r="T310" s="99" t="n"/>
      <c r="U310" s="90">
        <f>IF($K310="","",SUM($R310:$T310))</f>
        <v/>
      </c>
      <c r="V310" s="90">
        <f>IF($K310="","",$M310-(N($N310)+N($O310)+IF($P310="",Setup!$B$17,$P310)+N($Q310))-N($U310))</f>
        <v/>
      </c>
      <c r="W310" s="95" t="n"/>
      <c r="X310" s="96" t="n"/>
      <c r="Z310" s="93">
        <f>IF($A310="","",DATE(YEAR($A310),MONTH($A310),1))</f>
        <v/>
      </c>
    </row>
    <row r="311">
      <c r="A311" s="86" t="n"/>
      <c r="B311" s="87" t="n"/>
      <c r="C311" s="87" t="n"/>
      <c r="D311" s="88" t="n"/>
      <c r="E311" s="88" t="n"/>
      <c r="F311" s="88" t="n"/>
      <c r="G311" s="88" t="n"/>
      <c r="H311" s="89" t="n"/>
      <c r="I311" s="90">
        <f>IF($G311="","",IF($F311="",IFERROR(INDEX(Setup!$C$21:$C$60,MATCH("|"&amp;UPPER(TRIM($G311)),Setup!$Q$21:$Q$60,0)),"NO RATE"),IFERROR(INDEX(Setup!$C$21:$C$60,MATCH(UPPER(TRIM($F311))&amp;"|"&amp;UPPER(TRIM($G311)),Setup!$P$21:$P$60,0)),IFERROR(INDEX(Setup!$C$21:$C$60,MATCH(UPPER(TRIM($G311))&amp;"|"&amp;UPPER(TRIM($F311)),Setup!$P$21:$P$60,0)),"NO RATE"))))</f>
        <v/>
      </c>
      <c r="J311" s="91" t="n"/>
      <c r="K311" s="90">
        <f>IF(OR($G311="",$H311="",NOT(ISNUMBER($I311))),"",ROUND($H311*$I311*(1+IF($J311="",Setup!$B$16,$J311)),2))</f>
        <v/>
      </c>
      <c r="L311" s="90">
        <f>IF($K311="","",ROUND($K311*Setup!$B$13,2))</f>
        <v/>
      </c>
      <c r="M311" s="90">
        <f>IF($K311="","",$K311-$L311)</f>
        <v/>
      </c>
      <c r="N311" s="90">
        <f>IF(OR($M311="",$D311=""),"",ROUND($M311*IFERROR(IF(VLOOKUP($D311,Setup!$A$76:$C$87,3,FALSE)="",Setup!$B$14,VLOOKUP($D311,Setup!$A$76:$C$87,3,FALSE)),Setup!$B$14),2))</f>
        <v/>
      </c>
      <c r="O311" s="90">
        <f>IF(OR($M311="",$E311=""),"",ROUND($M311*IFERROR(IF(VLOOKUP($E311,Setup!$A$76:$C$87,3,FALSE)="",Setup!$B$15,VLOOKUP($E311,Setup!$A$76:$C$87,3,FALSE)),Setup!$B$15),2))</f>
        <v/>
      </c>
      <c r="P311" s="92" t="n"/>
      <c r="Q311" s="92" t="n"/>
      <c r="R311" s="92" t="n"/>
      <c r="S311" s="92" t="n"/>
      <c r="T311" s="92" t="n"/>
      <c r="U311" s="90">
        <f>IF($K311="","",SUM($R311:$T311))</f>
        <v/>
      </c>
      <c r="V311" s="90">
        <f>IF($K311="","",$M311-(N($N311)+N($O311)+IF($P311="",Setup!$B$17,$P311)+N($Q311))-N($U311))</f>
        <v/>
      </c>
      <c r="W311" s="87" t="n"/>
      <c r="X311" s="88" t="n"/>
      <c r="Z311" s="93">
        <f>IF($A311="","",DATE(YEAR($A311),MONTH($A311),1))</f>
        <v/>
      </c>
    </row>
    <row r="312">
      <c r="A312" s="94" t="n"/>
      <c r="B312" s="95" t="n"/>
      <c r="C312" s="95" t="n"/>
      <c r="D312" s="96" t="n"/>
      <c r="E312" s="96" t="n"/>
      <c r="F312" s="96" t="n"/>
      <c r="G312" s="96" t="n"/>
      <c r="H312" s="97" t="n"/>
      <c r="I312" s="90">
        <f>IF($G312="","",IF($F312="",IFERROR(INDEX(Setup!$C$21:$C$60,MATCH("|"&amp;UPPER(TRIM($G312)),Setup!$Q$21:$Q$60,0)),"NO RATE"),IFERROR(INDEX(Setup!$C$21:$C$60,MATCH(UPPER(TRIM($F312))&amp;"|"&amp;UPPER(TRIM($G312)),Setup!$P$21:$P$60,0)),IFERROR(INDEX(Setup!$C$21:$C$60,MATCH(UPPER(TRIM($G312))&amp;"|"&amp;UPPER(TRIM($F312)),Setup!$P$21:$P$60,0)),"NO RATE"))))</f>
        <v/>
      </c>
      <c r="J312" s="98" t="n"/>
      <c r="K312" s="90">
        <f>IF(OR($G312="",$H312="",NOT(ISNUMBER($I312))),"",ROUND($H312*$I312*(1+IF($J312="",Setup!$B$16,$J312)),2))</f>
        <v/>
      </c>
      <c r="L312" s="90">
        <f>IF($K312="","",ROUND($K312*Setup!$B$13,2))</f>
        <v/>
      </c>
      <c r="M312" s="90">
        <f>IF($K312="","",$K312-$L312)</f>
        <v/>
      </c>
      <c r="N312" s="90">
        <f>IF(OR($M312="",$D312=""),"",ROUND($M312*IFERROR(IF(VLOOKUP($D312,Setup!$A$76:$C$87,3,FALSE)="",Setup!$B$14,VLOOKUP($D312,Setup!$A$76:$C$87,3,FALSE)),Setup!$B$14),2))</f>
        <v/>
      </c>
      <c r="O312" s="90">
        <f>IF(OR($M312="",$E312=""),"",ROUND($M312*IFERROR(IF(VLOOKUP($E312,Setup!$A$76:$C$87,3,FALSE)="",Setup!$B$15,VLOOKUP($E312,Setup!$A$76:$C$87,3,FALSE)),Setup!$B$15),2))</f>
        <v/>
      </c>
      <c r="P312" s="99" t="n"/>
      <c r="Q312" s="99" t="n"/>
      <c r="R312" s="99" t="n"/>
      <c r="S312" s="99" t="n"/>
      <c r="T312" s="99" t="n"/>
      <c r="U312" s="90">
        <f>IF($K312="","",SUM($R312:$T312))</f>
        <v/>
      </c>
      <c r="V312" s="90">
        <f>IF($K312="","",$M312-(N($N312)+N($O312)+IF($P312="",Setup!$B$17,$P312)+N($Q312))-N($U312))</f>
        <v/>
      </c>
      <c r="W312" s="95" t="n"/>
      <c r="X312" s="96" t="n"/>
      <c r="Z312" s="93">
        <f>IF($A312="","",DATE(YEAR($A312),MONTH($A312),1))</f>
        <v/>
      </c>
    </row>
    <row r="313">
      <c r="A313" s="86" t="n"/>
      <c r="B313" s="87" t="n"/>
      <c r="C313" s="87" t="n"/>
      <c r="D313" s="88" t="n"/>
      <c r="E313" s="88" t="n"/>
      <c r="F313" s="88" t="n"/>
      <c r="G313" s="88" t="n"/>
      <c r="H313" s="89" t="n"/>
      <c r="I313" s="90">
        <f>IF($G313="","",IF($F313="",IFERROR(INDEX(Setup!$C$21:$C$60,MATCH("|"&amp;UPPER(TRIM($G313)),Setup!$Q$21:$Q$60,0)),"NO RATE"),IFERROR(INDEX(Setup!$C$21:$C$60,MATCH(UPPER(TRIM($F313))&amp;"|"&amp;UPPER(TRIM($G313)),Setup!$P$21:$P$60,0)),IFERROR(INDEX(Setup!$C$21:$C$60,MATCH(UPPER(TRIM($G313))&amp;"|"&amp;UPPER(TRIM($F313)),Setup!$P$21:$P$60,0)),"NO RATE"))))</f>
        <v/>
      </c>
      <c r="J313" s="91" t="n"/>
      <c r="K313" s="90">
        <f>IF(OR($G313="",$H313="",NOT(ISNUMBER($I313))),"",ROUND($H313*$I313*(1+IF($J313="",Setup!$B$16,$J313)),2))</f>
        <v/>
      </c>
      <c r="L313" s="90">
        <f>IF($K313="","",ROUND($K313*Setup!$B$13,2))</f>
        <v/>
      </c>
      <c r="M313" s="90">
        <f>IF($K313="","",$K313-$L313)</f>
        <v/>
      </c>
      <c r="N313" s="90">
        <f>IF(OR($M313="",$D313=""),"",ROUND($M313*IFERROR(IF(VLOOKUP($D313,Setup!$A$76:$C$87,3,FALSE)="",Setup!$B$14,VLOOKUP($D313,Setup!$A$76:$C$87,3,FALSE)),Setup!$B$14),2))</f>
        <v/>
      </c>
      <c r="O313" s="90">
        <f>IF(OR($M313="",$E313=""),"",ROUND($M313*IFERROR(IF(VLOOKUP($E313,Setup!$A$76:$C$87,3,FALSE)="",Setup!$B$15,VLOOKUP($E313,Setup!$A$76:$C$87,3,FALSE)),Setup!$B$15),2))</f>
        <v/>
      </c>
      <c r="P313" s="92" t="n"/>
      <c r="Q313" s="92" t="n"/>
      <c r="R313" s="92" t="n"/>
      <c r="S313" s="92" t="n"/>
      <c r="T313" s="92" t="n"/>
      <c r="U313" s="90">
        <f>IF($K313="","",SUM($R313:$T313))</f>
        <v/>
      </c>
      <c r="V313" s="90">
        <f>IF($K313="","",$M313-(N($N313)+N($O313)+IF($P313="",Setup!$B$17,$P313)+N($Q313))-N($U313))</f>
        <v/>
      </c>
      <c r="W313" s="87" t="n"/>
      <c r="X313" s="88" t="n"/>
      <c r="Z313" s="93">
        <f>IF($A313="","",DATE(YEAR($A313),MONTH($A313),1))</f>
        <v/>
      </c>
    </row>
    <row r="314">
      <c r="A314" s="94" t="n"/>
      <c r="B314" s="95" t="n"/>
      <c r="C314" s="95" t="n"/>
      <c r="D314" s="96" t="n"/>
      <c r="E314" s="96" t="n"/>
      <c r="F314" s="96" t="n"/>
      <c r="G314" s="96" t="n"/>
      <c r="H314" s="97" t="n"/>
      <c r="I314" s="90">
        <f>IF($G314="","",IF($F314="",IFERROR(INDEX(Setup!$C$21:$C$60,MATCH("|"&amp;UPPER(TRIM($G314)),Setup!$Q$21:$Q$60,0)),"NO RATE"),IFERROR(INDEX(Setup!$C$21:$C$60,MATCH(UPPER(TRIM($F314))&amp;"|"&amp;UPPER(TRIM($G314)),Setup!$P$21:$P$60,0)),IFERROR(INDEX(Setup!$C$21:$C$60,MATCH(UPPER(TRIM($G314))&amp;"|"&amp;UPPER(TRIM($F314)),Setup!$P$21:$P$60,0)),"NO RATE"))))</f>
        <v/>
      </c>
      <c r="J314" s="98" t="n"/>
      <c r="K314" s="90">
        <f>IF(OR($G314="",$H314="",NOT(ISNUMBER($I314))),"",ROUND($H314*$I314*(1+IF($J314="",Setup!$B$16,$J314)),2))</f>
        <v/>
      </c>
      <c r="L314" s="90">
        <f>IF($K314="","",ROUND($K314*Setup!$B$13,2))</f>
        <v/>
      </c>
      <c r="M314" s="90">
        <f>IF($K314="","",$K314-$L314)</f>
        <v/>
      </c>
      <c r="N314" s="90">
        <f>IF(OR($M314="",$D314=""),"",ROUND($M314*IFERROR(IF(VLOOKUP($D314,Setup!$A$76:$C$87,3,FALSE)="",Setup!$B$14,VLOOKUP($D314,Setup!$A$76:$C$87,3,FALSE)),Setup!$B$14),2))</f>
        <v/>
      </c>
      <c r="O314" s="90">
        <f>IF(OR($M314="",$E314=""),"",ROUND($M314*IFERROR(IF(VLOOKUP($E314,Setup!$A$76:$C$87,3,FALSE)="",Setup!$B$15,VLOOKUP($E314,Setup!$A$76:$C$87,3,FALSE)),Setup!$B$15),2))</f>
        <v/>
      </c>
      <c r="P314" s="99" t="n"/>
      <c r="Q314" s="99" t="n"/>
      <c r="R314" s="99" t="n"/>
      <c r="S314" s="99" t="n"/>
      <c r="T314" s="99" t="n"/>
      <c r="U314" s="90">
        <f>IF($K314="","",SUM($R314:$T314))</f>
        <v/>
      </c>
      <c r="V314" s="90">
        <f>IF($K314="","",$M314-(N($N314)+N($O314)+IF($P314="",Setup!$B$17,$P314)+N($Q314))-N($U314))</f>
        <v/>
      </c>
      <c r="W314" s="95" t="n"/>
      <c r="X314" s="96" t="n"/>
      <c r="Z314" s="93">
        <f>IF($A314="","",DATE(YEAR($A314),MONTH($A314),1))</f>
        <v/>
      </c>
    </row>
    <row r="315">
      <c r="A315" s="86" t="n"/>
      <c r="B315" s="87" t="n"/>
      <c r="C315" s="87" t="n"/>
      <c r="D315" s="88" t="n"/>
      <c r="E315" s="88" t="n"/>
      <c r="F315" s="88" t="n"/>
      <c r="G315" s="88" t="n"/>
      <c r="H315" s="89" t="n"/>
      <c r="I315" s="90">
        <f>IF($G315="","",IF($F315="",IFERROR(INDEX(Setup!$C$21:$C$60,MATCH("|"&amp;UPPER(TRIM($G315)),Setup!$Q$21:$Q$60,0)),"NO RATE"),IFERROR(INDEX(Setup!$C$21:$C$60,MATCH(UPPER(TRIM($F315))&amp;"|"&amp;UPPER(TRIM($G315)),Setup!$P$21:$P$60,0)),IFERROR(INDEX(Setup!$C$21:$C$60,MATCH(UPPER(TRIM($G315))&amp;"|"&amp;UPPER(TRIM($F315)),Setup!$P$21:$P$60,0)),"NO RATE"))))</f>
        <v/>
      </c>
      <c r="J315" s="91" t="n"/>
      <c r="K315" s="90">
        <f>IF(OR($G315="",$H315="",NOT(ISNUMBER($I315))),"",ROUND($H315*$I315*(1+IF($J315="",Setup!$B$16,$J315)),2))</f>
        <v/>
      </c>
      <c r="L315" s="90">
        <f>IF($K315="","",ROUND($K315*Setup!$B$13,2))</f>
        <v/>
      </c>
      <c r="M315" s="90">
        <f>IF($K315="","",$K315-$L315)</f>
        <v/>
      </c>
      <c r="N315" s="90">
        <f>IF(OR($M315="",$D315=""),"",ROUND($M315*IFERROR(IF(VLOOKUP($D315,Setup!$A$76:$C$87,3,FALSE)="",Setup!$B$14,VLOOKUP($D315,Setup!$A$76:$C$87,3,FALSE)),Setup!$B$14),2))</f>
        <v/>
      </c>
      <c r="O315" s="90">
        <f>IF(OR($M315="",$E315=""),"",ROUND($M315*IFERROR(IF(VLOOKUP($E315,Setup!$A$76:$C$87,3,FALSE)="",Setup!$B$15,VLOOKUP($E315,Setup!$A$76:$C$87,3,FALSE)),Setup!$B$15),2))</f>
        <v/>
      </c>
      <c r="P315" s="92" t="n"/>
      <c r="Q315" s="92" t="n"/>
      <c r="R315" s="92" t="n"/>
      <c r="S315" s="92" t="n"/>
      <c r="T315" s="92" t="n"/>
      <c r="U315" s="90">
        <f>IF($K315="","",SUM($R315:$T315))</f>
        <v/>
      </c>
      <c r="V315" s="90">
        <f>IF($K315="","",$M315-(N($N315)+N($O315)+IF($P315="",Setup!$B$17,$P315)+N($Q315))-N($U315))</f>
        <v/>
      </c>
      <c r="W315" s="87" t="n"/>
      <c r="X315" s="88" t="n"/>
      <c r="Z315" s="93">
        <f>IF($A315="","",DATE(YEAR($A315),MONTH($A315),1))</f>
        <v/>
      </c>
    </row>
    <row r="316">
      <c r="A316" s="94" t="n"/>
      <c r="B316" s="95" t="n"/>
      <c r="C316" s="95" t="n"/>
      <c r="D316" s="96" t="n"/>
      <c r="E316" s="96" t="n"/>
      <c r="F316" s="96" t="n"/>
      <c r="G316" s="96" t="n"/>
      <c r="H316" s="97" t="n"/>
      <c r="I316" s="90">
        <f>IF($G316="","",IF($F316="",IFERROR(INDEX(Setup!$C$21:$C$60,MATCH("|"&amp;UPPER(TRIM($G316)),Setup!$Q$21:$Q$60,0)),"NO RATE"),IFERROR(INDEX(Setup!$C$21:$C$60,MATCH(UPPER(TRIM($F316))&amp;"|"&amp;UPPER(TRIM($G316)),Setup!$P$21:$P$60,0)),IFERROR(INDEX(Setup!$C$21:$C$60,MATCH(UPPER(TRIM($G316))&amp;"|"&amp;UPPER(TRIM($F316)),Setup!$P$21:$P$60,0)),"NO RATE"))))</f>
        <v/>
      </c>
      <c r="J316" s="98" t="n"/>
      <c r="K316" s="90">
        <f>IF(OR($G316="",$H316="",NOT(ISNUMBER($I316))),"",ROUND($H316*$I316*(1+IF($J316="",Setup!$B$16,$J316)),2))</f>
        <v/>
      </c>
      <c r="L316" s="90">
        <f>IF($K316="","",ROUND($K316*Setup!$B$13,2))</f>
        <v/>
      </c>
      <c r="M316" s="90">
        <f>IF($K316="","",$K316-$L316)</f>
        <v/>
      </c>
      <c r="N316" s="90">
        <f>IF(OR($M316="",$D316=""),"",ROUND($M316*IFERROR(IF(VLOOKUP($D316,Setup!$A$76:$C$87,3,FALSE)="",Setup!$B$14,VLOOKUP($D316,Setup!$A$76:$C$87,3,FALSE)),Setup!$B$14),2))</f>
        <v/>
      </c>
      <c r="O316" s="90">
        <f>IF(OR($M316="",$E316=""),"",ROUND($M316*IFERROR(IF(VLOOKUP($E316,Setup!$A$76:$C$87,3,FALSE)="",Setup!$B$15,VLOOKUP($E316,Setup!$A$76:$C$87,3,FALSE)),Setup!$B$15),2))</f>
        <v/>
      </c>
      <c r="P316" s="99" t="n"/>
      <c r="Q316" s="99" t="n"/>
      <c r="R316" s="99" t="n"/>
      <c r="S316" s="99" t="n"/>
      <c r="T316" s="99" t="n"/>
      <c r="U316" s="90">
        <f>IF($K316="","",SUM($R316:$T316))</f>
        <v/>
      </c>
      <c r="V316" s="90">
        <f>IF($K316="","",$M316-(N($N316)+N($O316)+IF($P316="",Setup!$B$17,$P316)+N($Q316))-N($U316))</f>
        <v/>
      </c>
      <c r="W316" s="95" t="n"/>
      <c r="X316" s="96" t="n"/>
      <c r="Z316" s="93">
        <f>IF($A316="","",DATE(YEAR($A316),MONTH($A316),1))</f>
        <v/>
      </c>
    </row>
    <row r="317">
      <c r="A317" s="86" t="n"/>
      <c r="B317" s="87" t="n"/>
      <c r="C317" s="87" t="n"/>
      <c r="D317" s="88" t="n"/>
      <c r="E317" s="88" t="n"/>
      <c r="F317" s="88" t="n"/>
      <c r="G317" s="88" t="n"/>
      <c r="H317" s="89" t="n"/>
      <c r="I317" s="90">
        <f>IF($G317="","",IF($F317="",IFERROR(INDEX(Setup!$C$21:$C$60,MATCH("|"&amp;UPPER(TRIM($G317)),Setup!$Q$21:$Q$60,0)),"NO RATE"),IFERROR(INDEX(Setup!$C$21:$C$60,MATCH(UPPER(TRIM($F317))&amp;"|"&amp;UPPER(TRIM($G317)),Setup!$P$21:$P$60,0)),IFERROR(INDEX(Setup!$C$21:$C$60,MATCH(UPPER(TRIM($G317))&amp;"|"&amp;UPPER(TRIM($F317)),Setup!$P$21:$P$60,0)),"NO RATE"))))</f>
        <v/>
      </c>
      <c r="J317" s="91" t="n"/>
      <c r="K317" s="90">
        <f>IF(OR($G317="",$H317="",NOT(ISNUMBER($I317))),"",ROUND($H317*$I317*(1+IF($J317="",Setup!$B$16,$J317)),2))</f>
        <v/>
      </c>
      <c r="L317" s="90">
        <f>IF($K317="","",ROUND($K317*Setup!$B$13,2))</f>
        <v/>
      </c>
      <c r="M317" s="90">
        <f>IF($K317="","",$K317-$L317)</f>
        <v/>
      </c>
      <c r="N317" s="90">
        <f>IF(OR($M317="",$D317=""),"",ROUND($M317*IFERROR(IF(VLOOKUP($D317,Setup!$A$76:$C$87,3,FALSE)="",Setup!$B$14,VLOOKUP($D317,Setup!$A$76:$C$87,3,FALSE)),Setup!$B$14),2))</f>
        <v/>
      </c>
      <c r="O317" s="90">
        <f>IF(OR($M317="",$E317=""),"",ROUND($M317*IFERROR(IF(VLOOKUP($E317,Setup!$A$76:$C$87,3,FALSE)="",Setup!$B$15,VLOOKUP($E317,Setup!$A$76:$C$87,3,FALSE)),Setup!$B$15),2))</f>
        <v/>
      </c>
      <c r="P317" s="92" t="n"/>
      <c r="Q317" s="92" t="n"/>
      <c r="R317" s="92" t="n"/>
      <c r="S317" s="92" t="n"/>
      <c r="T317" s="92" t="n"/>
      <c r="U317" s="90">
        <f>IF($K317="","",SUM($R317:$T317))</f>
        <v/>
      </c>
      <c r="V317" s="90">
        <f>IF($K317="","",$M317-(N($N317)+N($O317)+IF($P317="",Setup!$B$17,$P317)+N($Q317))-N($U317))</f>
        <v/>
      </c>
      <c r="W317" s="87" t="n"/>
      <c r="X317" s="88" t="n"/>
      <c r="Z317" s="93">
        <f>IF($A317="","",DATE(YEAR($A317),MONTH($A317),1))</f>
        <v/>
      </c>
    </row>
    <row r="318">
      <c r="A318" s="94" t="n"/>
      <c r="B318" s="95" t="n"/>
      <c r="C318" s="95" t="n"/>
      <c r="D318" s="96" t="n"/>
      <c r="E318" s="96" t="n"/>
      <c r="F318" s="96" t="n"/>
      <c r="G318" s="96" t="n"/>
      <c r="H318" s="97" t="n"/>
      <c r="I318" s="90">
        <f>IF($G318="","",IF($F318="",IFERROR(INDEX(Setup!$C$21:$C$60,MATCH("|"&amp;UPPER(TRIM($G318)),Setup!$Q$21:$Q$60,0)),"NO RATE"),IFERROR(INDEX(Setup!$C$21:$C$60,MATCH(UPPER(TRIM($F318))&amp;"|"&amp;UPPER(TRIM($G318)),Setup!$P$21:$P$60,0)),IFERROR(INDEX(Setup!$C$21:$C$60,MATCH(UPPER(TRIM($G318))&amp;"|"&amp;UPPER(TRIM($F318)),Setup!$P$21:$P$60,0)),"NO RATE"))))</f>
        <v/>
      </c>
      <c r="J318" s="98" t="n"/>
      <c r="K318" s="90">
        <f>IF(OR($G318="",$H318="",NOT(ISNUMBER($I318))),"",ROUND($H318*$I318*(1+IF($J318="",Setup!$B$16,$J318)),2))</f>
        <v/>
      </c>
      <c r="L318" s="90">
        <f>IF($K318="","",ROUND($K318*Setup!$B$13,2))</f>
        <v/>
      </c>
      <c r="M318" s="90">
        <f>IF($K318="","",$K318-$L318)</f>
        <v/>
      </c>
      <c r="N318" s="90">
        <f>IF(OR($M318="",$D318=""),"",ROUND($M318*IFERROR(IF(VLOOKUP($D318,Setup!$A$76:$C$87,3,FALSE)="",Setup!$B$14,VLOOKUP($D318,Setup!$A$76:$C$87,3,FALSE)),Setup!$B$14),2))</f>
        <v/>
      </c>
      <c r="O318" s="90">
        <f>IF(OR($M318="",$E318=""),"",ROUND($M318*IFERROR(IF(VLOOKUP($E318,Setup!$A$76:$C$87,3,FALSE)="",Setup!$B$15,VLOOKUP($E318,Setup!$A$76:$C$87,3,FALSE)),Setup!$B$15),2))</f>
        <v/>
      </c>
      <c r="P318" s="99" t="n"/>
      <c r="Q318" s="99" t="n"/>
      <c r="R318" s="99" t="n"/>
      <c r="S318" s="99" t="n"/>
      <c r="T318" s="99" t="n"/>
      <c r="U318" s="90">
        <f>IF($K318="","",SUM($R318:$T318))</f>
        <v/>
      </c>
      <c r="V318" s="90">
        <f>IF($K318="","",$M318-(N($N318)+N($O318)+IF($P318="",Setup!$B$17,$P318)+N($Q318))-N($U318))</f>
        <v/>
      </c>
      <c r="W318" s="95" t="n"/>
      <c r="X318" s="96" t="n"/>
      <c r="Z318" s="93">
        <f>IF($A318="","",DATE(YEAR($A318),MONTH($A318),1))</f>
        <v/>
      </c>
    </row>
    <row r="319">
      <c r="A319" s="86" t="n"/>
      <c r="B319" s="87" t="n"/>
      <c r="C319" s="87" t="n"/>
      <c r="D319" s="88" t="n"/>
      <c r="E319" s="88" t="n"/>
      <c r="F319" s="88" t="n"/>
      <c r="G319" s="88" t="n"/>
      <c r="H319" s="89" t="n"/>
      <c r="I319" s="90">
        <f>IF($G319="","",IF($F319="",IFERROR(INDEX(Setup!$C$21:$C$60,MATCH("|"&amp;UPPER(TRIM($G319)),Setup!$Q$21:$Q$60,0)),"NO RATE"),IFERROR(INDEX(Setup!$C$21:$C$60,MATCH(UPPER(TRIM($F319))&amp;"|"&amp;UPPER(TRIM($G319)),Setup!$P$21:$P$60,0)),IFERROR(INDEX(Setup!$C$21:$C$60,MATCH(UPPER(TRIM($G319))&amp;"|"&amp;UPPER(TRIM($F319)),Setup!$P$21:$P$60,0)),"NO RATE"))))</f>
        <v/>
      </c>
      <c r="J319" s="91" t="n"/>
      <c r="K319" s="90">
        <f>IF(OR($G319="",$H319="",NOT(ISNUMBER($I319))),"",ROUND($H319*$I319*(1+IF($J319="",Setup!$B$16,$J319)),2))</f>
        <v/>
      </c>
      <c r="L319" s="90">
        <f>IF($K319="","",ROUND($K319*Setup!$B$13,2))</f>
        <v/>
      </c>
      <c r="M319" s="90">
        <f>IF($K319="","",$K319-$L319)</f>
        <v/>
      </c>
      <c r="N319" s="90">
        <f>IF(OR($M319="",$D319=""),"",ROUND($M319*IFERROR(IF(VLOOKUP($D319,Setup!$A$76:$C$87,3,FALSE)="",Setup!$B$14,VLOOKUP($D319,Setup!$A$76:$C$87,3,FALSE)),Setup!$B$14),2))</f>
        <v/>
      </c>
      <c r="O319" s="90">
        <f>IF(OR($M319="",$E319=""),"",ROUND($M319*IFERROR(IF(VLOOKUP($E319,Setup!$A$76:$C$87,3,FALSE)="",Setup!$B$15,VLOOKUP($E319,Setup!$A$76:$C$87,3,FALSE)),Setup!$B$15),2))</f>
        <v/>
      </c>
      <c r="P319" s="92" t="n"/>
      <c r="Q319" s="92" t="n"/>
      <c r="R319" s="92" t="n"/>
      <c r="S319" s="92" t="n"/>
      <c r="T319" s="92" t="n"/>
      <c r="U319" s="90">
        <f>IF($K319="","",SUM($R319:$T319))</f>
        <v/>
      </c>
      <c r="V319" s="90">
        <f>IF($K319="","",$M319-(N($N319)+N($O319)+IF($P319="",Setup!$B$17,$P319)+N($Q319))-N($U319))</f>
        <v/>
      </c>
      <c r="W319" s="87" t="n"/>
      <c r="X319" s="88" t="n"/>
      <c r="Z319" s="93">
        <f>IF($A319="","",DATE(YEAR($A319),MONTH($A319),1))</f>
        <v/>
      </c>
    </row>
    <row r="320">
      <c r="A320" s="94" t="n"/>
      <c r="B320" s="95" t="n"/>
      <c r="C320" s="95" t="n"/>
      <c r="D320" s="96" t="n"/>
      <c r="E320" s="96" t="n"/>
      <c r="F320" s="96" t="n"/>
      <c r="G320" s="96" t="n"/>
      <c r="H320" s="97" t="n"/>
      <c r="I320" s="90">
        <f>IF($G320="","",IF($F320="",IFERROR(INDEX(Setup!$C$21:$C$60,MATCH("|"&amp;UPPER(TRIM($G320)),Setup!$Q$21:$Q$60,0)),"NO RATE"),IFERROR(INDEX(Setup!$C$21:$C$60,MATCH(UPPER(TRIM($F320))&amp;"|"&amp;UPPER(TRIM($G320)),Setup!$P$21:$P$60,0)),IFERROR(INDEX(Setup!$C$21:$C$60,MATCH(UPPER(TRIM($G320))&amp;"|"&amp;UPPER(TRIM($F320)),Setup!$P$21:$P$60,0)),"NO RATE"))))</f>
        <v/>
      </c>
      <c r="J320" s="98" t="n"/>
      <c r="K320" s="90">
        <f>IF(OR($G320="",$H320="",NOT(ISNUMBER($I320))),"",ROUND($H320*$I320*(1+IF($J320="",Setup!$B$16,$J320)),2))</f>
        <v/>
      </c>
      <c r="L320" s="90">
        <f>IF($K320="","",ROUND($K320*Setup!$B$13,2))</f>
        <v/>
      </c>
      <c r="M320" s="90">
        <f>IF($K320="","",$K320-$L320)</f>
        <v/>
      </c>
      <c r="N320" s="90">
        <f>IF(OR($M320="",$D320=""),"",ROUND($M320*IFERROR(IF(VLOOKUP($D320,Setup!$A$76:$C$87,3,FALSE)="",Setup!$B$14,VLOOKUP($D320,Setup!$A$76:$C$87,3,FALSE)),Setup!$B$14),2))</f>
        <v/>
      </c>
      <c r="O320" s="90">
        <f>IF(OR($M320="",$E320=""),"",ROUND($M320*IFERROR(IF(VLOOKUP($E320,Setup!$A$76:$C$87,3,FALSE)="",Setup!$B$15,VLOOKUP($E320,Setup!$A$76:$C$87,3,FALSE)),Setup!$B$15),2))</f>
        <v/>
      </c>
      <c r="P320" s="99" t="n"/>
      <c r="Q320" s="99" t="n"/>
      <c r="R320" s="99" t="n"/>
      <c r="S320" s="99" t="n"/>
      <c r="T320" s="99" t="n"/>
      <c r="U320" s="90">
        <f>IF($K320="","",SUM($R320:$T320))</f>
        <v/>
      </c>
      <c r="V320" s="90">
        <f>IF($K320="","",$M320-(N($N320)+N($O320)+IF($P320="",Setup!$B$17,$P320)+N($Q320))-N($U320))</f>
        <v/>
      </c>
      <c r="W320" s="95" t="n"/>
      <c r="X320" s="96" t="n"/>
      <c r="Z320" s="93">
        <f>IF($A320="","",DATE(YEAR($A320),MONTH($A320),1))</f>
        <v/>
      </c>
    </row>
    <row r="321">
      <c r="A321" s="86" t="n"/>
      <c r="B321" s="87" t="n"/>
      <c r="C321" s="87" t="n"/>
      <c r="D321" s="88" t="n"/>
      <c r="E321" s="88" t="n"/>
      <c r="F321" s="88" t="n"/>
      <c r="G321" s="88" t="n"/>
      <c r="H321" s="89" t="n"/>
      <c r="I321" s="90">
        <f>IF($G321="","",IF($F321="",IFERROR(INDEX(Setup!$C$21:$C$60,MATCH("|"&amp;UPPER(TRIM($G321)),Setup!$Q$21:$Q$60,0)),"NO RATE"),IFERROR(INDEX(Setup!$C$21:$C$60,MATCH(UPPER(TRIM($F321))&amp;"|"&amp;UPPER(TRIM($G321)),Setup!$P$21:$P$60,0)),IFERROR(INDEX(Setup!$C$21:$C$60,MATCH(UPPER(TRIM($G321))&amp;"|"&amp;UPPER(TRIM($F321)),Setup!$P$21:$P$60,0)),"NO RATE"))))</f>
        <v/>
      </c>
      <c r="J321" s="91" t="n"/>
      <c r="K321" s="90">
        <f>IF(OR($G321="",$H321="",NOT(ISNUMBER($I321))),"",ROUND($H321*$I321*(1+IF($J321="",Setup!$B$16,$J321)),2))</f>
        <v/>
      </c>
      <c r="L321" s="90">
        <f>IF($K321="","",ROUND($K321*Setup!$B$13,2))</f>
        <v/>
      </c>
      <c r="M321" s="90">
        <f>IF($K321="","",$K321-$L321)</f>
        <v/>
      </c>
      <c r="N321" s="90">
        <f>IF(OR($M321="",$D321=""),"",ROUND($M321*IFERROR(IF(VLOOKUP($D321,Setup!$A$76:$C$87,3,FALSE)="",Setup!$B$14,VLOOKUP($D321,Setup!$A$76:$C$87,3,FALSE)),Setup!$B$14),2))</f>
        <v/>
      </c>
      <c r="O321" s="90">
        <f>IF(OR($M321="",$E321=""),"",ROUND($M321*IFERROR(IF(VLOOKUP($E321,Setup!$A$76:$C$87,3,FALSE)="",Setup!$B$15,VLOOKUP($E321,Setup!$A$76:$C$87,3,FALSE)),Setup!$B$15),2))</f>
        <v/>
      </c>
      <c r="P321" s="92" t="n"/>
      <c r="Q321" s="92" t="n"/>
      <c r="R321" s="92" t="n"/>
      <c r="S321" s="92" t="n"/>
      <c r="T321" s="92" t="n"/>
      <c r="U321" s="90">
        <f>IF($K321="","",SUM($R321:$T321))</f>
        <v/>
      </c>
      <c r="V321" s="90">
        <f>IF($K321="","",$M321-(N($N321)+N($O321)+IF($P321="",Setup!$B$17,$P321)+N($Q321))-N($U321))</f>
        <v/>
      </c>
      <c r="W321" s="87" t="n"/>
      <c r="X321" s="88" t="n"/>
      <c r="Z321" s="93">
        <f>IF($A321="","",DATE(YEAR($A321),MONTH($A321),1))</f>
        <v/>
      </c>
    </row>
    <row r="322">
      <c r="A322" s="94" t="n"/>
      <c r="B322" s="95" t="n"/>
      <c r="C322" s="95" t="n"/>
      <c r="D322" s="96" t="n"/>
      <c r="E322" s="96" t="n"/>
      <c r="F322" s="96" t="n"/>
      <c r="G322" s="96" t="n"/>
      <c r="H322" s="97" t="n"/>
      <c r="I322" s="90">
        <f>IF($G322="","",IF($F322="",IFERROR(INDEX(Setup!$C$21:$C$60,MATCH("|"&amp;UPPER(TRIM($G322)),Setup!$Q$21:$Q$60,0)),"NO RATE"),IFERROR(INDEX(Setup!$C$21:$C$60,MATCH(UPPER(TRIM($F322))&amp;"|"&amp;UPPER(TRIM($G322)),Setup!$P$21:$P$60,0)),IFERROR(INDEX(Setup!$C$21:$C$60,MATCH(UPPER(TRIM($G322))&amp;"|"&amp;UPPER(TRIM($F322)),Setup!$P$21:$P$60,0)),"NO RATE"))))</f>
        <v/>
      </c>
      <c r="J322" s="98" t="n"/>
      <c r="K322" s="90">
        <f>IF(OR($G322="",$H322="",NOT(ISNUMBER($I322))),"",ROUND($H322*$I322*(1+IF($J322="",Setup!$B$16,$J322)),2))</f>
        <v/>
      </c>
      <c r="L322" s="90">
        <f>IF($K322="","",ROUND($K322*Setup!$B$13,2))</f>
        <v/>
      </c>
      <c r="M322" s="90">
        <f>IF($K322="","",$K322-$L322)</f>
        <v/>
      </c>
      <c r="N322" s="90">
        <f>IF(OR($M322="",$D322=""),"",ROUND($M322*IFERROR(IF(VLOOKUP($D322,Setup!$A$76:$C$87,3,FALSE)="",Setup!$B$14,VLOOKUP($D322,Setup!$A$76:$C$87,3,FALSE)),Setup!$B$14),2))</f>
        <v/>
      </c>
      <c r="O322" s="90">
        <f>IF(OR($M322="",$E322=""),"",ROUND($M322*IFERROR(IF(VLOOKUP($E322,Setup!$A$76:$C$87,3,FALSE)="",Setup!$B$15,VLOOKUP($E322,Setup!$A$76:$C$87,3,FALSE)),Setup!$B$15),2))</f>
        <v/>
      </c>
      <c r="P322" s="99" t="n"/>
      <c r="Q322" s="99" t="n"/>
      <c r="R322" s="99" t="n"/>
      <c r="S322" s="99" t="n"/>
      <c r="T322" s="99" t="n"/>
      <c r="U322" s="90">
        <f>IF($K322="","",SUM($R322:$T322))</f>
        <v/>
      </c>
      <c r="V322" s="90">
        <f>IF($K322="","",$M322-(N($N322)+N($O322)+IF($P322="",Setup!$B$17,$P322)+N($Q322))-N($U322))</f>
        <v/>
      </c>
      <c r="W322" s="95" t="n"/>
      <c r="X322" s="96" t="n"/>
      <c r="Z322" s="93">
        <f>IF($A322="","",DATE(YEAR($A322),MONTH($A322),1))</f>
        <v/>
      </c>
    </row>
    <row r="323">
      <c r="A323" s="86" t="n"/>
      <c r="B323" s="87" t="n"/>
      <c r="C323" s="87" t="n"/>
      <c r="D323" s="88" t="n"/>
      <c r="E323" s="88" t="n"/>
      <c r="F323" s="88" t="n"/>
      <c r="G323" s="88" t="n"/>
      <c r="H323" s="89" t="n"/>
      <c r="I323" s="90">
        <f>IF($G323="","",IF($F323="",IFERROR(INDEX(Setup!$C$21:$C$60,MATCH("|"&amp;UPPER(TRIM($G323)),Setup!$Q$21:$Q$60,0)),"NO RATE"),IFERROR(INDEX(Setup!$C$21:$C$60,MATCH(UPPER(TRIM($F323))&amp;"|"&amp;UPPER(TRIM($G323)),Setup!$P$21:$P$60,0)),IFERROR(INDEX(Setup!$C$21:$C$60,MATCH(UPPER(TRIM($G323))&amp;"|"&amp;UPPER(TRIM($F323)),Setup!$P$21:$P$60,0)),"NO RATE"))))</f>
        <v/>
      </c>
      <c r="J323" s="91" t="n"/>
      <c r="K323" s="90">
        <f>IF(OR($G323="",$H323="",NOT(ISNUMBER($I323))),"",ROUND($H323*$I323*(1+IF($J323="",Setup!$B$16,$J323)),2))</f>
        <v/>
      </c>
      <c r="L323" s="90">
        <f>IF($K323="","",ROUND($K323*Setup!$B$13,2))</f>
        <v/>
      </c>
      <c r="M323" s="90">
        <f>IF($K323="","",$K323-$L323)</f>
        <v/>
      </c>
      <c r="N323" s="90">
        <f>IF(OR($M323="",$D323=""),"",ROUND($M323*IFERROR(IF(VLOOKUP($D323,Setup!$A$76:$C$87,3,FALSE)="",Setup!$B$14,VLOOKUP($D323,Setup!$A$76:$C$87,3,FALSE)),Setup!$B$14),2))</f>
        <v/>
      </c>
      <c r="O323" s="90">
        <f>IF(OR($M323="",$E323=""),"",ROUND($M323*IFERROR(IF(VLOOKUP($E323,Setup!$A$76:$C$87,3,FALSE)="",Setup!$B$15,VLOOKUP($E323,Setup!$A$76:$C$87,3,FALSE)),Setup!$B$15),2))</f>
        <v/>
      </c>
      <c r="P323" s="92" t="n"/>
      <c r="Q323" s="92" t="n"/>
      <c r="R323" s="92" t="n"/>
      <c r="S323" s="92" t="n"/>
      <c r="T323" s="92" t="n"/>
      <c r="U323" s="90">
        <f>IF($K323="","",SUM($R323:$T323))</f>
        <v/>
      </c>
      <c r="V323" s="90">
        <f>IF($K323="","",$M323-(N($N323)+N($O323)+IF($P323="",Setup!$B$17,$P323)+N($Q323))-N($U323))</f>
        <v/>
      </c>
      <c r="W323" s="87" t="n"/>
      <c r="X323" s="88" t="n"/>
      <c r="Z323" s="93">
        <f>IF($A323="","",DATE(YEAR($A323),MONTH($A323),1))</f>
        <v/>
      </c>
    </row>
    <row r="324">
      <c r="A324" s="94" t="n"/>
      <c r="B324" s="95" t="n"/>
      <c r="C324" s="95" t="n"/>
      <c r="D324" s="96" t="n"/>
      <c r="E324" s="96" t="n"/>
      <c r="F324" s="96" t="n"/>
      <c r="G324" s="96" t="n"/>
      <c r="H324" s="97" t="n"/>
      <c r="I324" s="90">
        <f>IF($G324="","",IF($F324="",IFERROR(INDEX(Setup!$C$21:$C$60,MATCH("|"&amp;UPPER(TRIM($G324)),Setup!$Q$21:$Q$60,0)),"NO RATE"),IFERROR(INDEX(Setup!$C$21:$C$60,MATCH(UPPER(TRIM($F324))&amp;"|"&amp;UPPER(TRIM($G324)),Setup!$P$21:$P$60,0)),IFERROR(INDEX(Setup!$C$21:$C$60,MATCH(UPPER(TRIM($G324))&amp;"|"&amp;UPPER(TRIM($F324)),Setup!$P$21:$P$60,0)),"NO RATE"))))</f>
        <v/>
      </c>
      <c r="J324" s="98" t="n"/>
      <c r="K324" s="90">
        <f>IF(OR($G324="",$H324="",NOT(ISNUMBER($I324))),"",ROUND($H324*$I324*(1+IF($J324="",Setup!$B$16,$J324)),2))</f>
        <v/>
      </c>
      <c r="L324" s="90">
        <f>IF($K324="","",ROUND($K324*Setup!$B$13,2))</f>
        <v/>
      </c>
      <c r="M324" s="90">
        <f>IF($K324="","",$K324-$L324)</f>
        <v/>
      </c>
      <c r="N324" s="90">
        <f>IF(OR($M324="",$D324=""),"",ROUND($M324*IFERROR(IF(VLOOKUP($D324,Setup!$A$76:$C$87,3,FALSE)="",Setup!$B$14,VLOOKUP($D324,Setup!$A$76:$C$87,3,FALSE)),Setup!$B$14),2))</f>
        <v/>
      </c>
      <c r="O324" s="90">
        <f>IF(OR($M324="",$E324=""),"",ROUND($M324*IFERROR(IF(VLOOKUP($E324,Setup!$A$76:$C$87,3,FALSE)="",Setup!$B$15,VLOOKUP($E324,Setup!$A$76:$C$87,3,FALSE)),Setup!$B$15),2))</f>
        <v/>
      </c>
      <c r="P324" s="99" t="n"/>
      <c r="Q324" s="99" t="n"/>
      <c r="R324" s="99" t="n"/>
      <c r="S324" s="99" t="n"/>
      <c r="T324" s="99" t="n"/>
      <c r="U324" s="90">
        <f>IF($K324="","",SUM($R324:$T324))</f>
        <v/>
      </c>
      <c r="V324" s="90">
        <f>IF($K324="","",$M324-(N($N324)+N($O324)+IF($P324="",Setup!$B$17,$P324)+N($Q324))-N($U324))</f>
        <v/>
      </c>
      <c r="W324" s="95" t="n"/>
      <c r="X324" s="96" t="n"/>
      <c r="Z324" s="93">
        <f>IF($A324="","",DATE(YEAR($A324),MONTH($A324),1))</f>
        <v/>
      </c>
    </row>
    <row r="325">
      <c r="A325" s="86" t="n"/>
      <c r="B325" s="87" t="n"/>
      <c r="C325" s="87" t="n"/>
      <c r="D325" s="88" t="n"/>
      <c r="E325" s="88" t="n"/>
      <c r="F325" s="88" t="n"/>
      <c r="G325" s="88" t="n"/>
      <c r="H325" s="89" t="n"/>
      <c r="I325" s="90">
        <f>IF($G325="","",IF($F325="",IFERROR(INDEX(Setup!$C$21:$C$60,MATCH("|"&amp;UPPER(TRIM($G325)),Setup!$Q$21:$Q$60,0)),"NO RATE"),IFERROR(INDEX(Setup!$C$21:$C$60,MATCH(UPPER(TRIM($F325))&amp;"|"&amp;UPPER(TRIM($G325)),Setup!$P$21:$P$60,0)),IFERROR(INDEX(Setup!$C$21:$C$60,MATCH(UPPER(TRIM($G325))&amp;"|"&amp;UPPER(TRIM($F325)),Setup!$P$21:$P$60,0)),"NO RATE"))))</f>
        <v/>
      </c>
      <c r="J325" s="91" t="n"/>
      <c r="K325" s="90">
        <f>IF(OR($G325="",$H325="",NOT(ISNUMBER($I325))),"",ROUND($H325*$I325*(1+IF($J325="",Setup!$B$16,$J325)),2))</f>
        <v/>
      </c>
      <c r="L325" s="90">
        <f>IF($K325="","",ROUND($K325*Setup!$B$13,2))</f>
        <v/>
      </c>
      <c r="M325" s="90">
        <f>IF($K325="","",$K325-$L325)</f>
        <v/>
      </c>
      <c r="N325" s="90">
        <f>IF(OR($M325="",$D325=""),"",ROUND($M325*IFERROR(IF(VLOOKUP($D325,Setup!$A$76:$C$87,3,FALSE)="",Setup!$B$14,VLOOKUP($D325,Setup!$A$76:$C$87,3,FALSE)),Setup!$B$14),2))</f>
        <v/>
      </c>
      <c r="O325" s="90">
        <f>IF(OR($M325="",$E325=""),"",ROUND($M325*IFERROR(IF(VLOOKUP($E325,Setup!$A$76:$C$87,3,FALSE)="",Setup!$B$15,VLOOKUP($E325,Setup!$A$76:$C$87,3,FALSE)),Setup!$B$15),2))</f>
        <v/>
      </c>
      <c r="P325" s="92" t="n"/>
      <c r="Q325" s="92" t="n"/>
      <c r="R325" s="92" t="n"/>
      <c r="S325" s="92" t="n"/>
      <c r="T325" s="92" t="n"/>
      <c r="U325" s="90">
        <f>IF($K325="","",SUM($R325:$T325))</f>
        <v/>
      </c>
      <c r="V325" s="90">
        <f>IF($K325="","",$M325-(N($N325)+N($O325)+IF($P325="",Setup!$B$17,$P325)+N($Q325))-N($U325))</f>
        <v/>
      </c>
      <c r="W325" s="87" t="n"/>
      <c r="X325" s="88" t="n"/>
      <c r="Z325" s="93">
        <f>IF($A325="","",DATE(YEAR($A325),MONTH($A325),1))</f>
        <v/>
      </c>
    </row>
    <row r="326">
      <c r="A326" s="94" t="n"/>
      <c r="B326" s="95" t="n"/>
      <c r="C326" s="95" t="n"/>
      <c r="D326" s="96" t="n"/>
      <c r="E326" s="96" t="n"/>
      <c r="F326" s="96" t="n"/>
      <c r="G326" s="96" t="n"/>
      <c r="H326" s="97" t="n"/>
      <c r="I326" s="90">
        <f>IF($G326="","",IF($F326="",IFERROR(INDEX(Setup!$C$21:$C$60,MATCH("|"&amp;UPPER(TRIM($G326)),Setup!$Q$21:$Q$60,0)),"NO RATE"),IFERROR(INDEX(Setup!$C$21:$C$60,MATCH(UPPER(TRIM($F326))&amp;"|"&amp;UPPER(TRIM($G326)),Setup!$P$21:$P$60,0)),IFERROR(INDEX(Setup!$C$21:$C$60,MATCH(UPPER(TRIM($G326))&amp;"|"&amp;UPPER(TRIM($F326)),Setup!$P$21:$P$60,0)),"NO RATE"))))</f>
        <v/>
      </c>
      <c r="J326" s="98" t="n"/>
      <c r="K326" s="90">
        <f>IF(OR($G326="",$H326="",NOT(ISNUMBER($I326))),"",ROUND($H326*$I326*(1+IF($J326="",Setup!$B$16,$J326)),2))</f>
        <v/>
      </c>
      <c r="L326" s="90">
        <f>IF($K326="","",ROUND($K326*Setup!$B$13,2))</f>
        <v/>
      </c>
      <c r="M326" s="90">
        <f>IF($K326="","",$K326-$L326)</f>
        <v/>
      </c>
      <c r="N326" s="90">
        <f>IF(OR($M326="",$D326=""),"",ROUND($M326*IFERROR(IF(VLOOKUP($D326,Setup!$A$76:$C$87,3,FALSE)="",Setup!$B$14,VLOOKUP($D326,Setup!$A$76:$C$87,3,FALSE)),Setup!$B$14),2))</f>
        <v/>
      </c>
      <c r="O326" s="90">
        <f>IF(OR($M326="",$E326=""),"",ROUND($M326*IFERROR(IF(VLOOKUP($E326,Setup!$A$76:$C$87,3,FALSE)="",Setup!$B$15,VLOOKUP($E326,Setup!$A$76:$C$87,3,FALSE)),Setup!$B$15),2))</f>
        <v/>
      </c>
      <c r="P326" s="99" t="n"/>
      <c r="Q326" s="99" t="n"/>
      <c r="R326" s="99" t="n"/>
      <c r="S326" s="99" t="n"/>
      <c r="T326" s="99" t="n"/>
      <c r="U326" s="90">
        <f>IF($K326="","",SUM($R326:$T326))</f>
        <v/>
      </c>
      <c r="V326" s="90">
        <f>IF($K326="","",$M326-(N($N326)+N($O326)+IF($P326="",Setup!$B$17,$P326)+N($Q326))-N($U326))</f>
        <v/>
      </c>
      <c r="W326" s="95" t="n"/>
      <c r="X326" s="96" t="n"/>
      <c r="Z326" s="93">
        <f>IF($A326="","",DATE(YEAR($A326),MONTH($A326),1))</f>
        <v/>
      </c>
    </row>
    <row r="327">
      <c r="A327" s="86" t="n"/>
      <c r="B327" s="87" t="n"/>
      <c r="C327" s="87" t="n"/>
      <c r="D327" s="88" t="n"/>
      <c r="E327" s="88" t="n"/>
      <c r="F327" s="88" t="n"/>
      <c r="G327" s="88" t="n"/>
      <c r="H327" s="89" t="n"/>
      <c r="I327" s="90">
        <f>IF($G327="","",IF($F327="",IFERROR(INDEX(Setup!$C$21:$C$60,MATCH("|"&amp;UPPER(TRIM($G327)),Setup!$Q$21:$Q$60,0)),"NO RATE"),IFERROR(INDEX(Setup!$C$21:$C$60,MATCH(UPPER(TRIM($F327))&amp;"|"&amp;UPPER(TRIM($G327)),Setup!$P$21:$P$60,0)),IFERROR(INDEX(Setup!$C$21:$C$60,MATCH(UPPER(TRIM($G327))&amp;"|"&amp;UPPER(TRIM($F327)),Setup!$P$21:$P$60,0)),"NO RATE"))))</f>
        <v/>
      </c>
      <c r="J327" s="91" t="n"/>
      <c r="K327" s="90">
        <f>IF(OR($G327="",$H327="",NOT(ISNUMBER($I327))),"",ROUND($H327*$I327*(1+IF($J327="",Setup!$B$16,$J327)),2))</f>
        <v/>
      </c>
      <c r="L327" s="90">
        <f>IF($K327="","",ROUND($K327*Setup!$B$13,2))</f>
        <v/>
      </c>
      <c r="M327" s="90">
        <f>IF($K327="","",$K327-$L327)</f>
        <v/>
      </c>
      <c r="N327" s="90">
        <f>IF(OR($M327="",$D327=""),"",ROUND($M327*IFERROR(IF(VLOOKUP($D327,Setup!$A$76:$C$87,3,FALSE)="",Setup!$B$14,VLOOKUP($D327,Setup!$A$76:$C$87,3,FALSE)),Setup!$B$14),2))</f>
        <v/>
      </c>
      <c r="O327" s="90">
        <f>IF(OR($M327="",$E327=""),"",ROUND($M327*IFERROR(IF(VLOOKUP($E327,Setup!$A$76:$C$87,3,FALSE)="",Setup!$B$15,VLOOKUP($E327,Setup!$A$76:$C$87,3,FALSE)),Setup!$B$15),2))</f>
        <v/>
      </c>
      <c r="P327" s="92" t="n"/>
      <c r="Q327" s="92" t="n"/>
      <c r="R327" s="92" t="n"/>
      <c r="S327" s="92" t="n"/>
      <c r="T327" s="92" t="n"/>
      <c r="U327" s="90">
        <f>IF($K327="","",SUM($R327:$T327))</f>
        <v/>
      </c>
      <c r="V327" s="90">
        <f>IF($K327="","",$M327-(N($N327)+N($O327)+IF($P327="",Setup!$B$17,$P327)+N($Q327))-N($U327))</f>
        <v/>
      </c>
      <c r="W327" s="87" t="n"/>
      <c r="X327" s="88" t="n"/>
      <c r="Z327" s="93">
        <f>IF($A327="","",DATE(YEAR($A327),MONTH($A327),1))</f>
        <v/>
      </c>
    </row>
    <row r="328">
      <c r="A328" s="94" t="n"/>
      <c r="B328" s="95" t="n"/>
      <c r="C328" s="95" t="n"/>
      <c r="D328" s="96" t="n"/>
      <c r="E328" s="96" t="n"/>
      <c r="F328" s="96" t="n"/>
      <c r="G328" s="96" t="n"/>
      <c r="H328" s="97" t="n"/>
      <c r="I328" s="90">
        <f>IF($G328="","",IF($F328="",IFERROR(INDEX(Setup!$C$21:$C$60,MATCH("|"&amp;UPPER(TRIM($G328)),Setup!$Q$21:$Q$60,0)),"NO RATE"),IFERROR(INDEX(Setup!$C$21:$C$60,MATCH(UPPER(TRIM($F328))&amp;"|"&amp;UPPER(TRIM($G328)),Setup!$P$21:$P$60,0)),IFERROR(INDEX(Setup!$C$21:$C$60,MATCH(UPPER(TRIM($G328))&amp;"|"&amp;UPPER(TRIM($F328)),Setup!$P$21:$P$60,0)),"NO RATE"))))</f>
        <v/>
      </c>
      <c r="J328" s="98" t="n"/>
      <c r="K328" s="90">
        <f>IF(OR($G328="",$H328="",NOT(ISNUMBER($I328))),"",ROUND($H328*$I328*(1+IF($J328="",Setup!$B$16,$J328)),2))</f>
        <v/>
      </c>
      <c r="L328" s="90">
        <f>IF($K328="","",ROUND($K328*Setup!$B$13,2))</f>
        <v/>
      </c>
      <c r="M328" s="90">
        <f>IF($K328="","",$K328-$L328)</f>
        <v/>
      </c>
      <c r="N328" s="90">
        <f>IF(OR($M328="",$D328=""),"",ROUND($M328*IFERROR(IF(VLOOKUP($D328,Setup!$A$76:$C$87,3,FALSE)="",Setup!$B$14,VLOOKUP($D328,Setup!$A$76:$C$87,3,FALSE)),Setup!$B$14),2))</f>
        <v/>
      </c>
      <c r="O328" s="90">
        <f>IF(OR($M328="",$E328=""),"",ROUND($M328*IFERROR(IF(VLOOKUP($E328,Setup!$A$76:$C$87,3,FALSE)="",Setup!$B$15,VLOOKUP($E328,Setup!$A$76:$C$87,3,FALSE)),Setup!$B$15),2))</f>
        <v/>
      </c>
      <c r="P328" s="99" t="n"/>
      <c r="Q328" s="99" t="n"/>
      <c r="R328" s="99" t="n"/>
      <c r="S328" s="99" t="n"/>
      <c r="T328" s="99" t="n"/>
      <c r="U328" s="90">
        <f>IF($K328="","",SUM($R328:$T328))</f>
        <v/>
      </c>
      <c r="V328" s="90">
        <f>IF($K328="","",$M328-(N($N328)+N($O328)+IF($P328="",Setup!$B$17,$P328)+N($Q328))-N($U328))</f>
        <v/>
      </c>
      <c r="W328" s="95" t="n"/>
      <c r="X328" s="96" t="n"/>
      <c r="Z328" s="93">
        <f>IF($A328="","",DATE(YEAR($A328),MONTH($A328),1))</f>
        <v/>
      </c>
    </row>
    <row r="329">
      <c r="A329" s="86" t="n"/>
      <c r="B329" s="87" t="n"/>
      <c r="C329" s="87" t="n"/>
      <c r="D329" s="88" t="n"/>
      <c r="E329" s="88" t="n"/>
      <c r="F329" s="88" t="n"/>
      <c r="G329" s="88" t="n"/>
      <c r="H329" s="89" t="n"/>
      <c r="I329" s="90">
        <f>IF($G329="","",IF($F329="",IFERROR(INDEX(Setup!$C$21:$C$60,MATCH("|"&amp;UPPER(TRIM($G329)),Setup!$Q$21:$Q$60,0)),"NO RATE"),IFERROR(INDEX(Setup!$C$21:$C$60,MATCH(UPPER(TRIM($F329))&amp;"|"&amp;UPPER(TRIM($G329)),Setup!$P$21:$P$60,0)),IFERROR(INDEX(Setup!$C$21:$C$60,MATCH(UPPER(TRIM($G329))&amp;"|"&amp;UPPER(TRIM($F329)),Setup!$P$21:$P$60,0)),"NO RATE"))))</f>
        <v/>
      </c>
      <c r="J329" s="91" t="n"/>
      <c r="K329" s="90">
        <f>IF(OR($G329="",$H329="",NOT(ISNUMBER($I329))),"",ROUND($H329*$I329*(1+IF($J329="",Setup!$B$16,$J329)),2))</f>
        <v/>
      </c>
      <c r="L329" s="90">
        <f>IF($K329="","",ROUND($K329*Setup!$B$13,2))</f>
        <v/>
      </c>
      <c r="M329" s="90">
        <f>IF($K329="","",$K329-$L329)</f>
        <v/>
      </c>
      <c r="N329" s="90">
        <f>IF(OR($M329="",$D329=""),"",ROUND($M329*IFERROR(IF(VLOOKUP($D329,Setup!$A$76:$C$87,3,FALSE)="",Setup!$B$14,VLOOKUP($D329,Setup!$A$76:$C$87,3,FALSE)),Setup!$B$14),2))</f>
        <v/>
      </c>
      <c r="O329" s="90">
        <f>IF(OR($M329="",$E329=""),"",ROUND($M329*IFERROR(IF(VLOOKUP($E329,Setup!$A$76:$C$87,3,FALSE)="",Setup!$B$15,VLOOKUP($E329,Setup!$A$76:$C$87,3,FALSE)),Setup!$B$15),2))</f>
        <v/>
      </c>
      <c r="P329" s="92" t="n"/>
      <c r="Q329" s="92" t="n"/>
      <c r="R329" s="92" t="n"/>
      <c r="S329" s="92" t="n"/>
      <c r="T329" s="92" t="n"/>
      <c r="U329" s="90">
        <f>IF($K329="","",SUM($R329:$T329))</f>
        <v/>
      </c>
      <c r="V329" s="90">
        <f>IF($K329="","",$M329-(N($N329)+N($O329)+IF($P329="",Setup!$B$17,$P329)+N($Q329))-N($U329))</f>
        <v/>
      </c>
      <c r="W329" s="87" t="n"/>
      <c r="X329" s="88" t="n"/>
      <c r="Z329" s="93">
        <f>IF($A329="","",DATE(YEAR($A329),MONTH($A329),1))</f>
        <v/>
      </c>
    </row>
    <row r="330">
      <c r="A330" s="94" t="n"/>
      <c r="B330" s="95" t="n"/>
      <c r="C330" s="95" t="n"/>
      <c r="D330" s="96" t="n"/>
      <c r="E330" s="96" t="n"/>
      <c r="F330" s="96" t="n"/>
      <c r="G330" s="96" t="n"/>
      <c r="H330" s="97" t="n"/>
      <c r="I330" s="90">
        <f>IF($G330="","",IF($F330="",IFERROR(INDEX(Setup!$C$21:$C$60,MATCH("|"&amp;UPPER(TRIM($G330)),Setup!$Q$21:$Q$60,0)),"NO RATE"),IFERROR(INDEX(Setup!$C$21:$C$60,MATCH(UPPER(TRIM($F330))&amp;"|"&amp;UPPER(TRIM($G330)),Setup!$P$21:$P$60,0)),IFERROR(INDEX(Setup!$C$21:$C$60,MATCH(UPPER(TRIM($G330))&amp;"|"&amp;UPPER(TRIM($F330)),Setup!$P$21:$P$60,0)),"NO RATE"))))</f>
        <v/>
      </c>
      <c r="J330" s="98" t="n"/>
      <c r="K330" s="90">
        <f>IF(OR($G330="",$H330="",NOT(ISNUMBER($I330))),"",ROUND($H330*$I330*(1+IF($J330="",Setup!$B$16,$J330)),2))</f>
        <v/>
      </c>
      <c r="L330" s="90">
        <f>IF($K330="","",ROUND($K330*Setup!$B$13,2))</f>
        <v/>
      </c>
      <c r="M330" s="90">
        <f>IF($K330="","",$K330-$L330)</f>
        <v/>
      </c>
      <c r="N330" s="90">
        <f>IF(OR($M330="",$D330=""),"",ROUND($M330*IFERROR(IF(VLOOKUP($D330,Setup!$A$76:$C$87,3,FALSE)="",Setup!$B$14,VLOOKUP($D330,Setup!$A$76:$C$87,3,FALSE)),Setup!$B$14),2))</f>
        <v/>
      </c>
      <c r="O330" s="90">
        <f>IF(OR($M330="",$E330=""),"",ROUND($M330*IFERROR(IF(VLOOKUP($E330,Setup!$A$76:$C$87,3,FALSE)="",Setup!$B$15,VLOOKUP($E330,Setup!$A$76:$C$87,3,FALSE)),Setup!$B$15),2))</f>
        <v/>
      </c>
      <c r="P330" s="99" t="n"/>
      <c r="Q330" s="99" t="n"/>
      <c r="R330" s="99" t="n"/>
      <c r="S330" s="99" t="n"/>
      <c r="T330" s="99" t="n"/>
      <c r="U330" s="90">
        <f>IF($K330="","",SUM($R330:$T330))</f>
        <v/>
      </c>
      <c r="V330" s="90">
        <f>IF($K330="","",$M330-(N($N330)+N($O330)+IF($P330="",Setup!$B$17,$P330)+N($Q330))-N($U330))</f>
        <v/>
      </c>
      <c r="W330" s="95" t="n"/>
      <c r="X330" s="96" t="n"/>
      <c r="Z330" s="93">
        <f>IF($A330="","",DATE(YEAR($A330),MONTH($A330),1))</f>
        <v/>
      </c>
    </row>
    <row r="331">
      <c r="A331" s="86" t="n"/>
      <c r="B331" s="87" t="n"/>
      <c r="C331" s="87" t="n"/>
      <c r="D331" s="88" t="n"/>
      <c r="E331" s="88" t="n"/>
      <c r="F331" s="88" t="n"/>
      <c r="G331" s="88" t="n"/>
      <c r="H331" s="89" t="n"/>
      <c r="I331" s="90">
        <f>IF($G331="","",IF($F331="",IFERROR(INDEX(Setup!$C$21:$C$60,MATCH("|"&amp;UPPER(TRIM($G331)),Setup!$Q$21:$Q$60,0)),"NO RATE"),IFERROR(INDEX(Setup!$C$21:$C$60,MATCH(UPPER(TRIM($F331))&amp;"|"&amp;UPPER(TRIM($G331)),Setup!$P$21:$P$60,0)),IFERROR(INDEX(Setup!$C$21:$C$60,MATCH(UPPER(TRIM($G331))&amp;"|"&amp;UPPER(TRIM($F331)),Setup!$P$21:$P$60,0)),"NO RATE"))))</f>
        <v/>
      </c>
      <c r="J331" s="91" t="n"/>
      <c r="K331" s="90">
        <f>IF(OR($G331="",$H331="",NOT(ISNUMBER($I331))),"",ROUND($H331*$I331*(1+IF($J331="",Setup!$B$16,$J331)),2))</f>
        <v/>
      </c>
      <c r="L331" s="90">
        <f>IF($K331="","",ROUND($K331*Setup!$B$13,2))</f>
        <v/>
      </c>
      <c r="M331" s="90">
        <f>IF($K331="","",$K331-$L331)</f>
        <v/>
      </c>
      <c r="N331" s="90">
        <f>IF(OR($M331="",$D331=""),"",ROUND($M331*IFERROR(IF(VLOOKUP($D331,Setup!$A$76:$C$87,3,FALSE)="",Setup!$B$14,VLOOKUP($D331,Setup!$A$76:$C$87,3,FALSE)),Setup!$B$14),2))</f>
        <v/>
      </c>
      <c r="O331" s="90">
        <f>IF(OR($M331="",$E331=""),"",ROUND($M331*IFERROR(IF(VLOOKUP($E331,Setup!$A$76:$C$87,3,FALSE)="",Setup!$B$15,VLOOKUP($E331,Setup!$A$76:$C$87,3,FALSE)),Setup!$B$15),2))</f>
        <v/>
      </c>
      <c r="P331" s="92" t="n"/>
      <c r="Q331" s="92" t="n"/>
      <c r="R331" s="92" t="n"/>
      <c r="S331" s="92" t="n"/>
      <c r="T331" s="92" t="n"/>
      <c r="U331" s="90">
        <f>IF($K331="","",SUM($R331:$T331))</f>
        <v/>
      </c>
      <c r="V331" s="90">
        <f>IF($K331="","",$M331-(N($N331)+N($O331)+IF($P331="",Setup!$B$17,$P331)+N($Q331))-N($U331))</f>
        <v/>
      </c>
      <c r="W331" s="87" t="n"/>
      <c r="X331" s="88" t="n"/>
      <c r="Z331" s="93">
        <f>IF($A331="","",DATE(YEAR($A331),MONTH($A331),1))</f>
        <v/>
      </c>
    </row>
    <row r="332">
      <c r="A332" s="94" t="n"/>
      <c r="B332" s="95" t="n"/>
      <c r="C332" s="95" t="n"/>
      <c r="D332" s="96" t="n"/>
      <c r="E332" s="96" t="n"/>
      <c r="F332" s="96" t="n"/>
      <c r="G332" s="96" t="n"/>
      <c r="H332" s="97" t="n"/>
      <c r="I332" s="90">
        <f>IF($G332="","",IF($F332="",IFERROR(INDEX(Setup!$C$21:$C$60,MATCH("|"&amp;UPPER(TRIM($G332)),Setup!$Q$21:$Q$60,0)),"NO RATE"),IFERROR(INDEX(Setup!$C$21:$C$60,MATCH(UPPER(TRIM($F332))&amp;"|"&amp;UPPER(TRIM($G332)),Setup!$P$21:$P$60,0)),IFERROR(INDEX(Setup!$C$21:$C$60,MATCH(UPPER(TRIM($G332))&amp;"|"&amp;UPPER(TRIM($F332)),Setup!$P$21:$P$60,0)),"NO RATE"))))</f>
        <v/>
      </c>
      <c r="J332" s="98" t="n"/>
      <c r="K332" s="90">
        <f>IF(OR($G332="",$H332="",NOT(ISNUMBER($I332))),"",ROUND($H332*$I332*(1+IF($J332="",Setup!$B$16,$J332)),2))</f>
        <v/>
      </c>
      <c r="L332" s="90">
        <f>IF($K332="","",ROUND($K332*Setup!$B$13,2))</f>
        <v/>
      </c>
      <c r="M332" s="90">
        <f>IF($K332="","",$K332-$L332)</f>
        <v/>
      </c>
      <c r="N332" s="90">
        <f>IF(OR($M332="",$D332=""),"",ROUND($M332*IFERROR(IF(VLOOKUP($D332,Setup!$A$76:$C$87,3,FALSE)="",Setup!$B$14,VLOOKUP($D332,Setup!$A$76:$C$87,3,FALSE)),Setup!$B$14),2))</f>
        <v/>
      </c>
      <c r="O332" s="90">
        <f>IF(OR($M332="",$E332=""),"",ROUND($M332*IFERROR(IF(VLOOKUP($E332,Setup!$A$76:$C$87,3,FALSE)="",Setup!$B$15,VLOOKUP($E332,Setup!$A$76:$C$87,3,FALSE)),Setup!$B$15),2))</f>
        <v/>
      </c>
      <c r="P332" s="99" t="n"/>
      <c r="Q332" s="99" t="n"/>
      <c r="R332" s="99" t="n"/>
      <c r="S332" s="99" t="n"/>
      <c r="T332" s="99" t="n"/>
      <c r="U332" s="90">
        <f>IF($K332="","",SUM($R332:$T332))</f>
        <v/>
      </c>
      <c r="V332" s="90">
        <f>IF($K332="","",$M332-(N($N332)+N($O332)+IF($P332="",Setup!$B$17,$P332)+N($Q332))-N($U332))</f>
        <v/>
      </c>
      <c r="W332" s="95" t="n"/>
      <c r="X332" s="96" t="n"/>
      <c r="Z332" s="93">
        <f>IF($A332="","",DATE(YEAR($A332),MONTH($A332),1))</f>
        <v/>
      </c>
    </row>
    <row r="333">
      <c r="A333" s="86" t="n"/>
      <c r="B333" s="87" t="n"/>
      <c r="C333" s="87" t="n"/>
      <c r="D333" s="88" t="n"/>
      <c r="E333" s="88" t="n"/>
      <c r="F333" s="88" t="n"/>
      <c r="G333" s="88" t="n"/>
      <c r="H333" s="89" t="n"/>
      <c r="I333" s="90">
        <f>IF($G333="","",IF($F333="",IFERROR(INDEX(Setup!$C$21:$C$60,MATCH("|"&amp;UPPER(TRIM($G333)),Setup!$Q$21:$Q$60,0)),"NO RATE"),IFERROR(INDEX(Setup!$C$21:$C$60,MATCH(UPPER(TRIM($F333))&amp;"|"&amp;UPPER(TRIM($G333)),Setup!$P$21:$P$60,0)),IFERROR(INDEX(Setup!$C$21:$C$60,MATCH(UPPER(TRIM($G333))&amp;"|"&amp;UPPER(TRIM($F333)),Setup!$P$21:$P$60,0)),"NO RATE"))))</f>
        <v/>
      </c>
      <c r="J333" s="91" t="n"/>
      <c r="K333" s="90">
        <f>IF(OR($G333="",$H333="",NOT(ISNUMBER($I333))),"",ROUND($H333*$I333*(1+IF($J333="",Setup!$B$16,$J333)),2))</f>
        <v/>
      </c>
      <c r="L333" s="90">
        <f>IF($K333="","",ROUND($K333*Setup!$B$13,2))</f>
        <v/>
      </c>
      <c r="M333" s="90">
        <f>IF($K333="","",$K333-$L333)</f>
        <v/>
      </c>
      <c r="N333" s="90">
        <f>IF(OR($M333="",$D333=""),"",ROUND($M333*IFERROR(IF(VLOOKUP($D333,Setup!$A$76:$C$87,3,FALSE)="",Setup!$B$14,VLOOKUP($D333,Setup!$A$76:$C$87,3,FALSE)),Setup!$B$14),2))</f>
        <v/>
      </c>
      <c r="O333" s="90">
        <f>IF(OR($M333="",$E333=""),"",ROUND($M333*IFERROR(IF(VLOOKUP($E333,Setup!$A$76:$C$87,3,FALSE)="",Setup!$B$15,VLOOKUP($E333,Setup!$A$76:$C$87,3,FALSE)),Setup!$B$15),2))</f>
        <v/>
      </c>
      <c r="P333" s="92" t="n"/>
      <c r="Q333" s="92" t="n"/>
      <c r="R333" s="92" t="n"/>
      <c r="S333" s="92" t="n"/>
      <c r="T333" s="92" t="n"/>
      <c r="U333" s="90">
        <f>IF($K333="","",SUM($R333:$T333))</f>
        <v/>
      </c>
      <c r="V333" s="90">
        <f>IF($K333="","",$M333-(N($N333)+N($O333)+IF($P333="",Setup!$B$17,$P333)+N($Q333))-N($U333))</f>
        <v/>
      </c>
      <c r="W333" s="87" t="n"/>
      <c r="X333" s="88" t="n"/>
      <c r="Z333" s="93">
        <f>IF($A333="","",DATE(YEAR($A333),MONTH($A333),1))</f>
        <v/>
      </c>
    </row>
    <row r="334">
      <c r="A334" s="94" t="n"/>
      <c r="B334" s="95" t="n"/>
      <c r="C334" s="95" t="n"/>
      <c r="D334" s="96" t="n"/>
      <c r="E334" s="96" t="n"/>
      <c r="F334" s="96" t="n"/>
      <c r="G334" s="96" t="n"/>
      <c r="H334" s="97" t="n"/>
      <c r="I334" s="90">
        <f>IF($G334="","",IF($F334="",IFERROR(INDEX(Setup!$C$21:$C$60,MATCH("|"&amp;UPPER(TRIM($G334)),Setup!$Q$21:$Q$60,0)),"NO RATE"),IFERROR(INDEX(Setup!$C$21:$C$60,MATCH(UPPER(TRIM($F334))&amp;"|"&amp;UPPER(TRIM($G334)),Setup!$P$21:$P$60,0)),IFERROR(INDEX(Setup!$C$21:$C$60,MATCH(UPPER(TRIM($G334))&amp;"|"&amp;UPPER(TRIM($F334)),Setup!$P$21:$P$60,0)),"NO RATE"))))</f>
        <v/>
      </c>
      <c r="J334" s="98" t="n"/>
      <c r="K334" s="90">
        <f>IF(OR($G334="",$H334="",NOT(ISNUMBER($I334))),"",ROUND($H334*$I334*(1+IF($J334="",Setup!$B$16,$J334)),2))</f>
        <v/>
      </c>
      <c r="L334" s="90">
        <f>IF($K334="","",ROUND($K334*Setup!$B$13,2))</f>
        <v/>
      </c>
      <c r="M334" s="90">
        <f>IF($K334="","",$K334-$L334)</f>
        <v/>
      </c>
      <c r="N334" s="90">
        <f>IF(OR($M334="",$D334=""),"",ROUND($M334*IFERROR(IF(VLOOKUP($D334,Setup!$A$76:$C$87,3,FALSE)="",Setup!$B$14,VLOOKUP($D334,Setup!$A$76:$C$87,3,FALSE)),Setup!$B$14),2))</f>
        <v/>
      </c>
      <c r="O334" s="90">
        <f>IF(OR($M334="",$E334=""),"",ROUND($M334*IFERROR(IF(VLOOKUP($E334,Setup!$A$76:$C$87,3,FALSE)="",Setup!$B$15,VLOOKUP($E334,Setup!$A$76:$C$87,3,FALSE)),Setup!$B$15),2))</f>
        <v/>
      </c>
      <c r="P334" s="99" t="n"/>
      <c r="Q334" s="99" t="n"/>
      <c r="R334" s="99" t="n"/>
      <c r="S334" s="99" t="n"/>
      <c r="T334" s="99" t="n"/>
      <c r="U334" s="90">
        <f>IF($K334="","",SUM($R334:$T334))</f>
        <v/>
      </c>
      <c r="V334" s="90">
        <f>IF($K334="","",$M334-(N($N334)+N($O334)+IF($P334="",Setup!$B$17,$P334)+N($Q334))-N($U334))</f>
        <v/>
      </c>
      <c r="W334" s="95" t="n"/>
      <c r="X334" s="96" t="n"/>
      <c r="Z334" s="93">
        <f>IF($A334="","",DATE(YEAR($A334),MONTH($A334),1))</f>
        <v/>
      </c>
    </row>
    <row r="335">
      <c r="A335" s="86" t="n"/>
      <c r="B335" s="87" t="n"/>
      <c r="C335" s="87" t="n"/>
      <c r="D335" s="88" t="n"/>
      <c r="E335" s="88" t="n"/>
      <c r="F335" s="88" t="n"/>
      <c r="G335" s="88" t="n"/>
      <c r="H335" s="89" t="n"/>
      <c r="I335" s="90">
        <f>IF($G335="","",IF($F335="",IFERROR(INDEX(Setup!$C$21:$C$60,MATCH("|"&amp;UPPER(TRIM($G335)),Setup!$Q$21:$Q$60,0)),"NO RATE"),IFERROR(INDEX(Setup!$C$21:$C$60,MATCH(UPPER(TRIM($F335))&amp;"|"&amp;UPPER(TRIM($G335)),Setup!$P$21:$P$60,0)),IFERROR(INDEX(Setup!$C$21:$C$60,MATCH(UPPER(TRIM($G335))&amp;"|"&amp;UPPER(TRIM($F335)),Setup!$P$21:$P$60,0)),"NO RATE"))))</f>
        <v/>
      </c>
      <c r="J335" s="91" t="n"/>
      <c r="K335" s="90">
        <f>IF(OR($G335="",$H335="",NOT(ISNUMBER($I335))),"",ROUND($H335*$I335*(1+IF($J335="",Setup!$B$16,$J335)),2))</f>
        <v/>
      </c>
      <c r="L335" s="90">
        <f>IF($K335="","",ROUND($K335*Setup!$B$13,2))</f>
        <v/>
      </c>
      <c r="M335" s="90">
        <f>IF($K335="","",$K335-$L335)</f>
        <v/>
      </c>
      <c r="N335" s="90">
        <f>IF(OR($M335="",$D335=""),"",ROUND($M335*IFERROR(IF(VLOOKUP($D335,Setup!$A$76:$C$87,3,FALSE)="",Setup!$B$14,VLOOKUP($D335,Setup!$A$76:$C$87,3,FALSE)),Setup!$B$14),2))</f>
        <v/>
      </c>
      <c r="O335" s="90">
        <f>IF(OR($M335="",$E335=""),"",ROUND($M335*IFERROR(IF(VLOOKUP($E335,Setup!$A$76:$C$87,3,FALSE)="",Setup!$B$15,VLOOKUP($E335,Setup!$A$76:$C$87,3,FALSE)),Setup!$B$15),2))</f>
        <v/>
      </c>
      <c r="P335" s="92" t="n"/>
      <c r="Q335" s="92" t="n"/>
      <c r="R335" s="92" t="n"/>
      <c r="S335" s="92" t="n"/>
      <c r="T335" s="92" t="n"/>
      <c r="U335" s="90">
        <f>IF($K335="","",SUM($R335:$T335))</f>
        <v/>
      </c>
      <c r="V335" s="90">
        <f>IF($K335="","",$M335-(N($N335)+N($O335)+IF($P335="",Setup!$B$17,$P335)+N($Q335))-N($U335))</f>
        <v/>
      </c>
      <c r="W335" s="87" t="n"/>
      <c r="X335" s="88" t="n"/>
      <c r="Z335" s="93">
        <f>IF($A335="","",DATE(YEAR($A335),MONTH($A335),1))</f>
        <v/>
      </c>
    </row>
    <row r="336">
      <c r="A336" s="94" t="n"/>
      <c r="B336" s="95" t="n"/>
      <c r="C336" s="95" t="n"/>
      <c r="D336" s="96" t="n"/>
      <c r="E336" s="96" t="n"/>
      <c r="F336" s="96" t="n"/>
      <c r="G336" s="96" t="n"/>
      <c r="H336" s="97" t="n"/>
      <c r="I336" s="90">
        <f>IF($G336="","",IF($F336="",IFERROR(INDEX(Setup!$C$21:$C$60,MATCH("|"&amp;UPPER(TRIM($G336)),Setup!$Q$21:$Q$60,0)),"NO RATE"),IFERROR(INDEX(Setup!$C$21:$C$60,MATCH(UPPER(TRIM($F336))&amp;"|"&amp;UPPER(TRIM($G336)),Setup!$P$21:$P$60,0)),IFERROR(INDEX(Setup!$C$21:$C$60,MATCH(UPPER(TRIM($G336))&amp;"|"&amp;UPPER(TRIM($F336)),Setup!$P$21:$P$60,0)),"NO RATE"))))</f>
        <v/>
      </c>
      <c r="J336" s="98" t="n"/>
      <c r="K336" s="90">
        <f>IF(OR($G336="",$H336="",NOT(ISNUMBER($I336))),"",ROUND($H336*$I336*(1+IF($J336="",Setup!$B$16,$J336)),2))</f>
        <v/>
      </c>
      <c r="L336" s="90">
        <f>IF($K336="","",ROUND($K336*Setup!$B$13,2))</f>
        <v/>
      </c>
      <c r="M336" s="90">
        <f>IF($K336="","",$K336-$L336)</f>
        <v/>
      </c>
      <c r="N336" s="90">
        <f>IF(OR($M336="",$D336=""),"",ROUND($M336*IFERROR(IF(VLOOKUP($D336,Setup!$A$76:$C$87,3,FALSE)="",Setup!$B$14,VLOOKUP($D336,Setup!$A$76:$C$87,3,FALSE)),Setup!$B$14),2))</f>
        <v/>
      </c>
      <c r="O336" s="90">
        <f>IF(OR($M336="",$E336=""),"",ROUND($M336*IFERROR(IF(VLOOKUP($E336,Setup!$A$76:$C$87,3,FALSE)="",Setup!$B$15,VLOOKUP($E336,Setup!$A$76:$C$87,3,FALSE)),Setup!$B$15),2))</f>
        <v/>
      </c>
      <c r="P336" s="99" t="n"/>
      <c r="Q336" s="99" t="n"/>
      <c r="R336" s="99" t="n"/>
      <c r="S336" s="99" t="n"/>
      <c r="T336" s="99" t="n"/>
      <c r="U336" s="90">
        <f>IF($K336="","",SUM($R336:$T336))</f>
        <v/>
      </c>
      <c r="V336" s="90">
        <f>IF($K336="","",$M336-(N($N336)+N($O336)+IF($P336="",Setup!$B$17,$P336)+N($Q336))-N($U336))</f>
        <v/>
      </c>
      <c r="W336" s="95" t="n"/>
      <c r="X336" s="96" t="n"/>
      <c r="Z336" s="93">
        <f>IF($A336="","",DATE(YEAR($A336),MONTH($A336),1))</f>
        <v/>
      </c>
    </row>
    <row r="337">
      <c r="A337" s="86" t="n"/>
      <c r="B337" s="87" t="n"/>
      <c r="C337" s="87" t="n"/>
      <c r="D337" s="88" t="n"/>
      <c r="E337" s="88" t="n"/>
      <c r="F337" s="88" t="n"/>
      <c r="G337" s="88" t="n"/>
      <c r="H337" s="89" t="n"/>
      <c r="I337" s="90">
        <f>IF($G337="","",IF($F337="",IFERROR(INDEX(Setup!$C$21:$C$60,MATCH("|"&amp;UPPER(TRIM($G337)),Setup!$Q$21:$Q$60,0)),"NO RATE"),IFERROR(INDEX(Setup!$C$21:$C$60,MATCH(UPPER(TRIM($F337))&amp;"|"&amp;UPPER(TRIM($G337)),Setup!$P$21:$P$60,0)),IFERROR(INDEX(Setup!$C$21:$C$60,MATCH(UPPER(TRIM($G337))&amp;"|"&amp;UPPER(TRIM($F337)),Setup!$P$21:$P$60,0)),"NO RATE"))))</f>
        <v/>
      </c>
      <c r="J337" s="91" t="n"/>
      <c r="K337" s="90">
        <f>IF(OR($G337="",$H337="",NOT(ISNUMBER($I337))),"",ROUND($H337*$I337*(1+IF($J337="",Setup!$B$16,$J337)),2))</f>
        <v/>
      </c>
      <c r="L337" s="90">
        <f>IF($K337="","",ROUND($K337*Setup!$B$13,2))</f>
        <v/>
      </c>
      <c r="M337" s="90">
        <f>IF($K337="","",$K337-$L337)</f>
        <v/>
      </c>
      <c r="N337" s="90">
        <f>IF(OR($M337="",$D337=""),"",ROUND($M337*IFERROR(IF(VLOOKUP($D337,Setup!$A$76:$C$87,3,FALSE)="",Setup!$B$14,VLOOKUP($D337,Setup!$A$76:$C$87,3,FALSE)),Setup!$B$14),2))</f>
        <v/>
      </c>
      <c r="O337" s="90">
        <f>IF(OR($M337="",$E337=""),"",ROUND($M337*IFERROR(IF(VLOOKUP($E337,Setup!$A$76:$C$87,3,FALSE)="",Setup!$B$15,VLOOKUP($E337,Setup!$A$76:$C$87,3,FALSE)),Setup!$B$15),2))</f>
        <v/>
      </c>
      <c r="P337" s="92" t="n"/>
      <c r="Q337" s="92" t="n"/>
      <c r="R337" s="92" t="n"/>
      <c r="S337" s="92" t="n"/>
      <c r="T337" s="92" t="n"/>
      <c r="U337" s="90">
        <f>IF($K337="","",SUM($R337:$T337))</f>
        <v/>
      </c>
      <c r="V337" s="90">
        <f>IF($K337="","",$M337-(N($N337)+N($O337)+IF($P337="",Setup!$B$17,$P337)+N($Q337))-N($U337))</f>
        <v/>
      </c>
      <c r="W337" s="87" t="n"/>
      <c r="X337" s="88" t="n"/>
      <c r="Z337" s="93">
        <f>IF($A337="","",DATE(YEAR($A337),MONTH($A337),1))</f>
        <v/>
      </c>
    </row>
    <row r="338">
      <c r="A338" s="94" t="n"/>
      <c r="B338" s="95" t="n"/>
      <c r="C338" s="95" t="n"/>
      <c r="D338" s="96" t="n"/>
      <c r="E338" s="96" t="n"/>
      <c r="F338" s="96" t="n"/>
      <c r="G338" s="96" t="n"/>
      <c r="H338" s="97" t="n"/>
      <c r="I338" s="90">
        <f>IF($G338="","",IF($F338="",IFERROR(INDEX(Setup!$C$21:$C$60,MATCH("|"&amp;UPPER(TRIM($G338)),Setup!$Q$21:$Q$60,0)),"NO RATE"),IFERROR(INDEX(Setup!$C$21:$C$60,MATCH(UPPER(TRIM($F338))&amp;"|"&amp;UPPER(TRIM($G338)),Setup!$P$21:$P$60,0)),IFERROR(INDEX(Setup!$C$21:$C$60,MATCH(UPPER(TRIM($G338))&amp;"|"&amp;UPPER(TRIM($F338)),Setup!$P$21:$P$60,0)),"NO RATE"))))</f>
        <v/>
      </c>
      <c r="J338" s="98" t="n"/>
      <c r="K338" s="90">
        <f>IF(OR($G338="",$H338="",NOT(ISNUMBER($I338))),"",ROUND($H338*$I338*(1+IF($J338="",Setup!$B$16,$J338)),2))</f>
        <v/>
      </c>
      <c r="L338" s="90">
        <f>IF($K338="","",ROUND($K338*Setup!$B$13,2))</f>
        <v/>
      </c>
      <c r="M338" s="90">
        <f>IF($K338="","",$K338-$L338)</f>
        <v/>
      </c>
      <c r="N338" s="90">
        <f>IF(OR($M338="",$D338=""),"",ROUND($M338*IFERROR(IF(VLOOKUP($D338,Setup!$A$76:$C$87,3,FALSE)="",Setup!$B$14,VLOOKUP($D338,Setup!$A$76:$C$87,3,FALSE)),Setup!$B$14),2))</f>
        <v/>
      </c>
      <c r="O338" s="90">
        <f>IF(OR($M338="",$E338=""),"",ROUND($M338*IFERROR(IF(VLOOKUP($E338,Setup!$A$76:$C$87,3,FALSE)="",Setup!$B$15,VLOOKUP($E338,Setup!$A$76:$C$87,3,FALSE)),Setup!$B$15),2))</f>
        <v/>
      </c>
      <c r="P338" s="99" t="n"/>
      <c r="Q338" s="99" t="n"/>
      <c r="R338" s="99" t="n"/>
      <c r="S338" s="99" t="n"/>
      <c r="T338" s="99" t="n"/>
      <c r="U338" s="90">
        <f>IF($K338="","",SUM($R338:$T338))</f>
        <v/>
      </c>
      <c r="V338" s="90">
        <f>IF($K338="","",$M338-(N($N338)+N($O338)+IF($P338="",Setup!$B$17,$P338)+N($Q338))-N($U338))</f>
        <v/>
      </c>
      <c r="W338" s="95" t="n"/>
      <c r="X338" s="96" t="n"/>
      <c r="Z338" s="93">
        <f>IF($A338="","",DATE(YEAR($A338),MONTH($A338),1))</f>
        <v/>
      </c>
    </row>
    <row r="339">
      <c r="A339" s="86" t="n"/>
      <c r="B339" s="87" t="n"/>
      <c r="C339" s="87" t="n"/>
      <c r="D339" s="88" t="n"/>
      <c r="E339" s="88" t="n"/>
      <c r="F339" s="88" t="n"/>
      <c r="G339" s="88" t="n"/>
      <c r="H339" s="89" t="n"/>
      <c r="I339" s="90">
        <f>IF($G339="","",IF($F339="",IFERROR(INDEX(Setup!$C$21:$C$60,MATCH("|"&amp;UPPER(TRIM($G339)),Setup!$Q$21:$Q$60,0)),"NO RATE"),IFERROR(INDEX(Setup!$C$21:$C$60,MATCH(UPPER(TRIM($F339))&amp;"|"&amp;UPPER(TRIM($G339)),Setup!$P$21:$P$60,0)),IFERROR(INDEX(Setup!$C$21:$C$60,MATCH(UPPER(TRIM($G339))&amp;"|"&amp;UPPER(TRIM($F339)),Setup!$P$21:$P$60,0)),"NO RATE"))))</f>
        <v/>
      </c>
      <c r="J339" s="91" t="n"/>
      <c r="K339" s="90">
        <f>IF(OR($G339="",$H339="",NOT(ISNUMBER($I339))),"",ROUND($H339*$I339*(1+IF($J339="",Setup!$B$16,$J339)),2))</f>
        <v/>
      </c>
      <c r="L339" s="90">
        <f>IF($K339="","",ROUND($K339*Setup!$B$13,2))</f>
        <v/>
      </c>
      <c r="M339" s="90">
        <f>IF($K339="","",$K339-$L339)</f>
        <v/>
      </c>
      <c r="N339" s="90">
        <f>IF(OR($M339="",$D339=""),"",ROUND($M339*IFERROR(IF(VLOOKUP($D339,Setup!$A$76:$C$87,3,FALSE)="",Setup!$B$14,VLOOKUP($D339,Setup!$A$76:$C$87,3,FALSE)),Setup!$B$14),2))</f>
        <v/>
      </c>
      <c r="O339" s="90">
        <f>IF(OR($M339="",$E339=""),"",ROUND($M339*IFERROR(IF(VLOOKUP($E339,Setup!$A$76:$C$87,3,FALSE)="",Setup!$B$15,VLOOKUP($E339,Setup!$A$76:$C$87,3,FALSE)),Setup!$B$15),2))</f>
        <v/>
      </c>
      <c r="P339" s="92" t="n"/>
      <c r="Q339" s="92" t="n"/>
      <c r="R339" s="92" t="n"/>
      <c r="S339" s="92" t="n"/>
      <c r="T339" s="92" t="n"/>
      <c r="U339" s="90">
        <f>IF($K339="","",SUM($R339:$T339))</f>
        <v/>
      </c>
      <c r="V339" s="90">
        <f>IF($K339="","",$M339-(N($N339)+N($O339)+IF($P339="",Setup!$B$17,$P339)+N($Q339))-N($U339))</f>
        <v/>
      </c>
      <c r="W339" s="87" t="n"/>
      <c r="X339" s="88" t="n"/>
      <c r="Z339" s="93">
        <f>IF($A339="","",DATE(YEAR($A339),MONTH($A339),1))</f>
        <v/>
      </c>
    </row>
    <row r="340">
      <c r="A340" s="94" t="n"/>
      <c r="B340" s="95" t="n"/>
      <c r="C340" s="95" t="n"/>
      <c r="D340" s="96" t="n"/>
      <c r="E340" s="96" t="n"/>
      <c r="F340" s="96" t="n"/>
      <c r="G340" s="96" t="n"/>
      <c r="H340" s="97" t="n"/>
      <c r="I340" s="90">
        <f>IF($G340="","",IF($F340="",IFERROR(INDEX(Setup!$C$21:$C$60,MATCH("|"&amp;UPPER(TRIM($G340)),Setup!$Q$21:$Q$60,0)),"NO RATE"),IFERROR(INDEX(Setup!$C$21:$C$60,MATCH(UPPER(TRIM($F340))&amp;"|"&amp;UPPER(TRIM($G340)),Setup!$P$21:$P$60,0)),IFERROR(INDEX(Setup!$C$21:$C$60,MATCH(UPPER(TRIM($G340))&amp;"|"&amp;UPPER(TRIM($F340)),Setup!$P$21:$P$60,0)),"NO RATE"))))</f>
        <v/>
      </c>
      <c r="J340" s="98" t="n"/>
      <c r="K340" s="90">
        <f>IF(OR($G340="",$H340="",NOT(ISNUMBER($I340))),"",ROUND($H340*$I340*(1+IF($J340="",Setup!$B$16,$J340)),2))</f>
        <v/>
      </c>
      <c r="L340" s="90">
        <f>IF($K340="","",ROUND($K340*Setup!$B$13,2))</f>
        <v/>
      </c>
      <c r="M340" s="90">
        <f>IF($K340="","",$K340-$L340)</f>
        <v/>
      </c>
      <c r="N340" s="90">
        <f>IF(OR($M340="",$D340=""),"",ROUND($M340*IFERROR(IF(VLOOKUP($D340,Setup!$A$76:$C$87,3,FALSE)="",Setup!$B$14,VLOOKUP($D340,Setup!$A$76:$C$87,3,FALSE)),Setup!$B$14),2))</f>
        <v/>
      </c>
      <c r="O340" s="90">
        <f>IF(OR($M340="",$E340=""),"",ROUND($M340*IFERROR(IF(VLOOKUP($E340,Setup!$A$76:$C$87,3,FALSE)="",Setup!$B$15,VLOOKUP($E340,Setup!$A$76:$C$87,3,FALSE)),Setup!$B$15),2))</f>
        <v/>
      </c>
      <c r="P340" s="99" t="n"/>
      <c r="Q340" s="99" t="n"/>
      <c r="R340" s="99" t="n"/>
      <c r="S340" s="99" t="n"/>
      <c r="T340" s="99" t="n"/>
      <c r="U340" s="90">
        <f>IF($K340="","",SUM($R340:$T340))</f>
        <v/>
      </c>
      <c r="V340" s="90">
        <f>IF($K340="","",$M340-(N($N340)+N($O340)+IF($P340="",Setup!$B$17,$P340)+N($Q340))-N($U340))</f>
        <v/>
      </c>
      <c r="W340" s="95" t="n"/>
      <c r="X340" s="96" t="n"/>
      <c r="Z340" s="93">
        <f>IF($A340="","",DATE(YEAR($A340),MONTH($A340),1))</f>
        <v/>
      </c>
    </row>
    <row r="341">
      <c r="A341" s="86" t="n"/>
      <c r="B341" s="87" t="n"/>
      <c r="C341" s="87" t="n"/>
      <c r="D341" s="88" t="n"/>
      <c r="E341" s="88" t="n"/>
      <c r="F341" s="88" t="n"/>
      <c r="G341" s="88" t="n"/>
      <c r="H341" s="89" t="n"/>
      <c r="I341" s="90">
        <f>IF($G341="","",IF($F341="",IFERROR(INDEX(Setup!$C$21:$C$60,MATCH("|"&amp;UPPER(TRIM($G341)),Setup!$Q$21:$Q$60,0)),"NO RATE"),IFERROR(INDEX(Setup!$C$21:$C$60,MATCH(UPPER(TRIM($F341))&amp;"|"&amp;UPPER(TRIM($G341)),Setup!$P$21:$P$60,0)),IFERROR(INDEX(Setup!$C$21:$C$60,MATCH(UPPER(TRIM($G341))&amp;"|"&amp;UPPER(TRIM($F341)),Setup!$P$21:$P$60,0)),"NO RATE"))))</f>
        <v/>
      </c>
      <c r="J341" s="91" t="n"/>
      <c r="K341" s="90">
        <f>IF(OR($G341="",$H341="",NOT(ISNUMBER($I341))),"",ROUND($H341*$I341*(1+IF($J341="",Setup!$B$16,$J341)),2))</f>
        <v/>
      </c>
      <c r="L341" s="90">
        <f>IF($K341="","",ROUND($K341*Setup!$B$13,2))</f>
        <v/>
      </c>
      <c r="M341" s="90">
        <f>IF($K341="","",$K341-$L341)</f>
        <v/>
      </c>
      <c r="N341" s="90">
        <f>IF(OR($M341="",$D341=""),"",ROUND($M341*IFERROR(IF(VLOOKUP($D341,Setup!$A$76:$C$87,3,FALSE)="",Setup!$B$14,VLOOKUP($D341,Setup!$A$76:$C$87,3,FALSE)),Setup!$B$14),2))</f>
        <v/>
      </c>
      <c r="O341" s="90">
        <f>IF(OR($M341="",$E341=""),"",ROUND($M341*IFERROR(IF(VLOOKUP($E341,Setup!$A$76:$C$87,3,FALSE)="",Setup!$B$15,VLOOKUP($E341,Setup!$A$76:$C$87,3,FALSE)),Setup!$B$15),2))</f>
        <v/>
      </c>
      <c r="P341" s="92" t="n"/>
      <c r="Q341" s="92" t="n"/>
      <c r="R341" s="92" t="n"/>
      <c r="S341" s="92" t="n"/>
      <c r="T341" s="92" t="n"/>
      <c r="U341" s="90">
        <f>IF($K341="","",SUM($R341:$T341))</f>
        <v/>
      </c>
      <c r="V341" s="90">
        <f>IF($K341="","",$M341-(N($N341)+N($O341)+IF($P341="",Setup!$B$17,$P341)+N($Q341))-N($U341))</f>
        <v/>
      </c>
      <c r="W341" s="87" t="n"/>
      <c r="X341" s="88" t="n"/>
      <c r="Z341" s="93">
        <f>IF($A341="","",DATE(YEAR($A341),MONTH($A341),1))</f>
        <v/>
      </c>
    </row>
    <row r="342">
      <c r="A342" s="94" t="n"/>
      <c r="B342" s="95" t="n"/>
      <c r="C342" s="95" t="n"/>
      <c r="D342" s="96" t="n"/>
      <c r="E342" s="96" t="n"/>
      <c r="F342" s="96" t="n"/>
      <c r="G342" s="96" t="n"/>
      <c r="H342" s="97" t="n"/>
      <c r="I342" s="90">
        <f>IF($G342="","",IF($F342="",IFERROR(INDEX(Setup!$C$21:$C$60,MATCH("|"&amp;UPPER(TRIM($G342)),Setup!$Q$21:$Q$60,0)),"NO RATE"),IFERROR(INDEX(Setup!$C$21:$C$60,MATCH(UPPER(TRIM($F342))&amp;"|"&amp;UPPER(TRIM($G342)),Setup!$P$21:$P$60,0)),IFERROR(INDEX(Setup!$C$21:$C$60,MATCH(UPPER(TRIM($G342))&amp;"|"&amp;UPPER(TRIM($F342)),Setup!$P$21:$P$60,0)),"NO RATE"))))</f>
        <v/>
      </c>
      <c r="J342" s="98" t="n"/>
      <c r="K342" s="90">
        <f>IF(OR($G342="",$H342="",NOT(ISNUMBER($I342))),"",ROUND($H342*$I342*(1+IF($J342="",Setup!$B$16,$J342)),2))</f>
        <v/>
      </c>
      <c r="L342" s="90">
        <f>IF($K342="","",ROUND($K342*Setup!$B$13,2))</f>
        <v/>
      </c>
      <c r="M342" s="90">
        <f>IF($K342="","",$K342-$L342)</f>
        <v/>
      </c>
      <c r="N342" s="90">
        <f>IF(OR($M342="",$D342=""),"",ROUND($M342*IFERROR(IF(VLOOKUP($D342,Setup!$A$76:$C$87,3,FALSE)="",Setup!$B$14,VLOOKUP($D342,Setup!$A$76:$C$87,3,FALSE)),Setup!$B$14),2))</f>
        <v/>
      </c>
      <c r="O342" s="90">
        <f>IF(OR($M342="",$E342=""),"",ROUND($M342*IFERROR(IF(VLOOKUP($E342,Setup!$A$76:$C$87,3,FALSE)="",Setup!$B$15,VLOOKUP($E342,Setup!$A$76:$C$87,3,FALSE)),Setup!$B$15),2))</f>
        <v/>
      </c>
      <c r="P342" s="99" t="n"/>
      <c r="Q342" s="99" t="n"/>
      <c r="R342" s="99" t="n"/>
      <c r="S342" s="99" t="n"/>
      <c r="T342" s="99" t="n"/>
      <c r="U342" s="90">
        <f>IF($K342="","",SUM($R342:$T342))</f>
        <v/>
      </c>
      <c r="V342" s="90">
        <f>IF($K342="","",$M342-(N($N342)+N($O342)+IF($P342="",Setup!$B$17,$P342)+N($Q342))-N($U342))</f>
        <v/>
      </c>
      <c r="W342" s="95" t="n"/>
      <c r="X342" s="96" t="n"/>
      <c r="Z342" s="93">
        <f>IF($A342="","",DATE(YEAR($A342),MONTH($A342),1))</f>
        <v/>
      </c>
    </row>
    <row r="343">
      <c r="A343" s="86" t="n"/>
      <c r="B343" s="87" t="n"/>
      <c r="C343" s="87" t="n"/>
      <c r="D343" s="88" t="n"/>
      <c r="E343" s="88" t="n"/>
      <c r="F343" s="88" t="n"/>
      <c r="G343" s="88" t="n"/>
      <c r="H343" s="89" t="n"/>
      <c r="I343" s="90">
        <f>IF($G343="","",IF($F343="",IFERROR(INDEX(Setup!$C$21:$C$60,MATCH("|"&amp;UPPER(TRIM($G343)),Setup!$Q$21:$Q$60,0)),"NO RATE"),IFERROR(INDEX(Setup!$C$21:$C$60,MATCH(UPPER(TRIM($F343))&amp;"|"&amp;UPPER(TRIM($G343)),Setup!$P$21:$P$60,0)),IFERROR(INDEX(Setup!$C$21:$C$60,MATCH(UPPER(TRIM($G343))&amp;"|"&amp;UPPER(TRIM($F343)),Setup!$P$21:$P$60,0)),"NO RATE"))))</f>
        <v/>
      </c>
      <c r="J343" s="91" t="n"/>
      <c r="K343" s="90">
        <f>IF(OR($G343="",$H343="",NOT(ISNUMBER($I343))),"",ROUND($H343*$I343*(1+IF($J343="",Setup!$B$16,$J343)),2))</f>
        <v/>
      </c>
      <c r="L343" s="90">
        <f>IF($K343="","",ROUND($K343*Setup!$B$13,2))</f>
        <v/>
      </c>
      <c r="M343" s="90">
        <f>IF($K343="","",$K343-$L343)</f>
        <v/>
      </c>
      <c r="N343" s="90">
        <f>IF(OR($M343="",$D343=""),"",ROUND($M343*IFERROR(IF(VLOOKUP($D343,Setup!$A$76:$C$87,3,FALSE)="",Setup!$B$14,VLOOKUP($D343,Setup!$A$76:$C$87,3,FALSE)),Setup!$B$14),2))</f>
        <v/>
      </c>
      <c r="O343" s="90">
        <f>IF(OR($M343="",$E343=""),"",ROUND($M343*IFERROR(IF(VLOOKUP($E343,Setup!$A$76:$C$87,3,FALSE)="",Setup!$B$15,VLOOKUP($E343,Setup!$A$76:$C$87,3,FALSE)),Setup!$B$15),2))</f>
        <v/>
      </c>
      <c r="P343" s="92" t="n"/>
      <c r="Q343" s="92" t="n"/>
      <c r="R343" s="92" t="n"/>
      <c r="S343" s="92" t="n"/>
      <c r="T343" s="92" t="n"/>
      <c r="U343" s="90">
        <f>IF($K343="","",SUM($R343:$T343))</f>
        <v/>
      </c>
      <c r="V343" s="90">
        <f>IF($K343="","",$M343-(N($N343)+N($O343)+IF($P343="",Setup!$B$17,$P343)+N($Q343))-N($U343))</f>
        <v/>
      </c>
      <c r="W343" s="87" t="n"/>
      <c r="X343" s="88" t="n"/>
      <c r="Z343" s="93">
        <f>IF($A343="","",DATE(YEAR($A343),MONTH($A343),1))</f>
        <v/>
      </c>
    </row>
    <row r="344">
      <c r="A344" s="94" t="n"/>
      <c r="B344" s="95" t="n"/>
      <c r="C344" s="95" t="n"/>
      <c r="D344" s="96" t="n"/>
      <c r="E344" s="96" t="n"/>
      <c r="F344" s="96" t="n"/>
      <c r="G344" s="96" t="n"/>
      <c r="H344" s="97" t="n"/>
      <c r="I344" s="90">
        <f>IF($G344="","",IF($F344="",IFERROR(INDEX(Setup!$C$21:$C$60,MATCH("|"&amp;UPPER(TRIM($G344)),Setup!$Q$21:$Q$60,0)),"NO RATE"),IFERROR(INDEX(Setup!$C$21:$C$60,MATCH(UPPER(TRIM($F344))&amp;"|"&amp;UPPER(TRIM($G344)),Setup!$P$21:$P$60,0)),IFERROR(INDEX(Setup!$C$21:$C$60,MATCH(UPPER(TRIM($G344))&amp;"|"&amp;UPPER(TRIM($F344)),Setup!$P$21:$P$60,0)),"NO RATE"))))</f>
        <v/>
      </c>
      <c r="J344" s="98" t="n"/>
      <c r="K344" s="90">
        <f>IF(OR($G344="",$H344="",NOT(ISNUMBER($I344))),"",ROUND($H344*$I344*(1+IF($J344="",Setup!$B$16,$J344)),2))</f>
        <v/>
      </c>
      <c r="L344" s="90">
        <f>IF($K344="","",ROUND($K344*Setup!$B$13,2))</f>
        <v/>
      </c>
      <c r="M344" s="90">
        <f>IF($K344="","",$K344-$L344)</f>
        <v/>
      </c>
      <c r="N344" s="90">
        <f>IF(OR($M344="",$D344=""),"",ROUND($M344*IFERROR(IF(VLOOKUP($D344,Setup!$A$76:$C$87,3,FALSE)="",Setup!$B$14,VLOOKUP($D344,Setup!$A$76:$C$87,3,FALSE)),Setup!$B$14),2))</f>
        <v/>
      </c>
      <c r="O344" s="90">
        <f>IF(OR($M344="",$E344=""),"",ROUND($M344*IFERROR(IF(VLOOKUP($E344,Setup!$A$76:$C$87,3,FALSE)="",Setup!$B$15,VLOOKUP($E344,Setup!$A$76:$C$87,3,FALSE)),Setup!$B$15),2))</f>
        <v/>
      </c>
      <c r="P344" s="99" t="n"/>
      <c r="Q344" s="99" t="n"/>
      <c r="R344" s="99" t="n"/>
      <c r="S344" s="99" t="n"/>
      <c r="T344" s="99" t="n"/>
      <c r="U344" s="90">
        <f>IF($K344="","",SUM($R344:$T344))</f>
        <v/>
      </c>
      <c r="V344" s="90">
        <f>IF($K344="","",$M344-(N($N344)+N($O344)+IF($P344="",Setup!$B$17,$P344)+N($Q344))-N($U344))</f>
        <v/>
      </c>
      <c r="W344" s="95" t="n"/>
      <c r="X344" s="96" t="n"/>
      <c r="Z344" s="93">
        <f>IF($A344="","",DATE(YEAR($A344),MONTH($A344),1))</f>
        <v/>
      </c>
    </row>
    <row r="345">
      <c r="A345" s="86" t="n"/>
      <c r="B345" s="87" t="n"/>
      <c r="C345" s="87" t="n"/>
      <c r="D345" s="88" t="n"/>
      <c r="E345" s="88" t="n"/>
      <c r="F345" s="88" t="n"/>
      <c r="G345" s="88" t="n"/>
      <c r="H345" s="89" t="n"/>
      <c r="I345" s="90">
        <f>IF($G345="","",IF($F345="",IFERROR(INDEX(Setup!$C$21:$C$60,MATCH("|"&amp;UPPER(TRIM($G345)),Setup!$Q$21:$Q$60,0)),"NO RATE"),IFERROR(INDEX(Setup!$C$21:$C$60,MATCH(UPPER(TRIM($F345))&amp;"|"&amp;UPPER(TRIM($G345)),Setup!$P$21:$P$60,0)),IFERROR(INDEX(Setup!$C$21:$C$60,MATCH(UPPER(TRIM($G345))&amp;"|"&amp;UPPER(TRIM($F345)),Setup!$P$21:$P$60,0)),"NO RATE"))))</f>
        <v/>
      </c>
      <c r="J345" s="91" t="n"/>
      <c r="K345" s="90">
        <f>IF(OR($G345="",$H345="",NOT(ISNUMBER($I345))),"",ROUND($H345*$I345*(1+IF($J345="",Setup!$B$16,$J345)),2))</f>
        <v/>
      </c>
      <c r="L345" s="90">
        <f>IF($K345="","",ROUND($K345*Setup!$B$13,2))</f>
        <v/>
      </c>
      <c r="M345" s="90">
        <f>IF($K345="","",$K345-$L345)</f>
        <v/>
      </c>
      <c r="N345" s="90">
        <f>IF(OR($M345="",$D345=""),"",ROUND($M345*IFERROR(IF(VLOOKUP($D345,Setup!$A$76:$C$87,3,FALSE)="",Setup!$B$14,VLOOKUP($D345,Setup!$A$76:$C$87,3,FALSE)),Setup!$B$14),2))</f>
        <v/>
      </c>
      <c r="O345" s="90">
        <f>IF(OR($M345="",$E345=""),"",ROUND($M345*IFERROR(IF(VLOOKUP($E345,Setup!$A$76:$C$87,3,FALSE)="",Setup!$B$15,VLOOKUP($E345,Setup!$A$76:$C$87,3,FALSE)),Setup!$B$15),2))</f>
        <v/>
      </c>
      <c r="P345" s="92" t="n"/>
      <c r="Q345" s="92" t="n"/>
      <c r="R345" s="92" t="n"/>
      <c r="S345" s="92" t="n"/>
      <c r="T345" s="92" t="n"/>
      <c r="U345" s="90">
        <f>IF($K345="","",SUM($R345:$T345))</f>
        <v/>
      </c>
      <c r="V345" s="90">
        <f>IF($K345="","",$M345-(N($N345)+N($O345)+IF($P345="",Setup!$B$17,$P345)+N($Q345))-N($U345))</f>
        <v/>
      </c>
      <c r="W345" s="87" t="n"/>
      <c r="X345" s="88" t="n"/>
      <c r="Z345" s="93">
        <f>IF($A345="","",DATE(YEAR($A345),MONTH($A345),1))</f>
        <v/>
      </c>
    </row>
    <row r="346">
      <c r="A346" s="94" t="n"/>
      <c r="B346" s="95" t="n"/>
      <c r="C346" s="95" t="n"/>
      <c r="D346" s="96" t="n"/>
      <c r="E346" s="96" t="n"/>
      <c r="F346" s="96" t="n"/>
      <c r="G346" s="96" t="n"/>
      <c r="H346" s="97" t="n"/>
      <c r="I346" s="90">
        <f>IF($G346="","",IF($F346="",IFERROR(INDEX(Setup!$C$21:$C$60,MATCH("|"&amp;UPPER(TRIM($G346)),Setup!$Q$21:$Q$60,0)),"NO RATE"),IFERROR(INDEX(Setup!$C$21:$C$60,MATCH(UPPER(TRIM($F346))&amp;"|"&amp;UPPER(TRIM($G346)),Setup!$P$21:$P$60,0)),IFERROR(INDEX(Setup!$C$21:$C$60,MATCH(UPPER(TRIM($G346))&amp;"|"&amp;UPPER(TRIM($F346)),Setup!$P$21:$P$60,0)),"NO RATE"))))</f>
        <v/>
      </c>
      <c r="J346" s="98" t="n"/>
      <c r="K346" s="90">
        <f>IF(OR($G346="",$H346="",NOT(ISNUMBER($I346))),"",ROUND($H346*$I346*(1+IF($J346="",Setup!$B$16,$J346)),2))</f>
        <v/>
      </c>
      <c r="L346" s="90">
        <f>IF($K346="","",ROUND($K346*Setup!$B$13,2))</f>
        <v/>
      </c>
      <c r="M346" s="90">
        <f>IF($K346="","",$K346-$L346)</f>
        <v/>
      </c>
      <c r="N346" s="90">
        <f>IF(OR($M346="",$D346=""),"",ROUND($M346*IFERROR(IF(VLOOKUP($D346,Setup!$A$76:$C$87,3,FALSE)="",Setup!$B$14,VLOOKUP($D346,Setup!$A$76:$C$87,3,FALSE)),Setup!$B$14),2))</f>
        <v/>
      </c>
      <c r="O346" s="90">
        <f>IF(OR($M346="",$E346=""),"",ROUND($M346*IFERROR(IF(VLOOKUP($E346,Setup!$A$76:$C$87,3,FALSE)="",Setup!$B$15,VLOOKUP($E346,Setup!$A$76:$C$87,3,FALSE)),Setup!$B$15),2))</f>
        <v/>
      </c>
      <c r="P346" s="99" t="n"/>
      <c r="Q346" s="99" t="n"/>
      <c r="R346" s="99" t="n"/>
      <c r="S346" s="99" t="n"/>
      <c r="T346" s="99" t="n"/>
      <c r="U346" s="90">
        <f>IF($K346="","",SUM($R346:$T346))</f>
        <v/>
      </c>
      <c r="V346" s="90">
        <f>IF($K346="","",$M346-(N($N346)+N($O346)+IF($P346="",Setup!$B$17,$P346)+N($Q346))-N($U346))</f>
        <v/>
      </c>
      <c r="W346" s="95" t="n"/>
      <c r="X346" s="96" t="n"/>
      <c r="Z346" s="93">
        <f>IF($A346="","",DATE(YEAR($A346),MONTH($A346),1))</f>
        <v/>
      </c>
    </row>
    <row r="347">
      <c r="A347" s="86" t="n"/>
      <c r="B347" s="87" t="n"/>
      <c r="C347" s="87" t="n"/>
      <c r="D347" s="88" t="n"/>
      <c r="E347" s="88" t="n"/>
      <c r="F347" s="88" t="n"/>
      <c r="G347" s="88" t="n"/>
      <c r="H347" s="89" t="n"/>
      <c r="I347" s="90">
        <f>IF($G347="","",IF($F347="",IFERROR(INDEX(Setup!$C$21:$C$60,MATCH("|"&amp;UPPER(TRIM($G347)),Setup!$Q$21:$Q$60,0)),"NO RATE"),IFERROR(INDEX(Setup!$C$21:$C$60,MATCH(UPPER(TRIM($F347))&amp;"|"&amp;UPPER(TRIM($G347)),Setup!$P$21:$P$60,0)),IFERROR(INDEX(Setup!$C$21:$C$60,MATCH(UPPER(TRIM($G347))&amp;"|"&amp;UPPER(TRIM($F347)),Setup!$P$21:$P$60,0)),"NO RATE"))))</f>
        <v/>
      </c>
      <c r="J347" s="91" t="n"/>
      <c r="K347" s="90">
        <f>IF(OR($G347="",$H347="",NOT(ISNUMBER($I347))),"",ROUND($H347*$I347*(1+IF($J347="",Setup!$B$16,$J347)),2))</f>
        <v/>
      </c>
      <c r="L347" s="90">
        <f>IF($K347="","",ROUND($K347*Setup!$B$13,2))</f>
        <v/>
      </c>
      <c r="M347" s="90">
        <f>IF($K347="","",$K347-$L347)</f>
        <v/>
      </c>
      <c r="N347" s="90">
        <f>IF(OR($M347="",$D347=""),"",ROUND($M347*IFERROR(IF(VLOOKUP($D347,Setup!$A$76:$C$87,3,FALSE)="",Setup!$B$14,VLOOKUP($D347,Setup!$A$76:$C$87,3,FALSE)),Setup!$B$14),2))</f>
        <v/>
      </c>
      <c r="O347" s="90">
        <f>IF(OR($M347="",$E347=""),"",ROUND($M347*IFERROR(IF(VLOOKUP($E347,Setup!$A$76:$C$87,3,FALSE)="",Setup!$B$15,VLOOKUP($E347,Setup!$A$76:$C$87,3,FALSE)),Setup!$B$15),2))</f>
        <v/>
      </c>
      <c r="P347" s="92" t="n"/>
      <c r="Q347" s="92" t="n"/>
      <c r="R347" s="92" t="n"/>
      <c r="S347" s="92" t="n"/>
      <c r="T347" s="92" t="n"/>
      <c r="U347" s="90">
        <f>IF($K347="","",SUM($R347:$T347))</f>
        <v/>
      </c>
      <c r="V347" s="90">
        <f>IF($K347="","",$M347-(N($N347)+N($O347)+IF($P347="",Setup!$B$17,$P347)+N($Q347))-N($U347))</f>
        <v/>
      </c>
      <c r="W347" s="87" t="n"/>
      <c r="X347" s="88" t="n"/>
      <c r="Z347" s="93">
        <f>IF($A347="","",DATE(YEAR($A347),MONTH($A347),1))</f>
        <v/>
      </c>
    </row>
    <row r="348">
      <c r="A348" s="94" t="n"/>
      <c r="B348" s="95" t="n"/>
      <c r="C348" s="95" t="n"/>
      <c r="D348" s="96" t="n"/>
      <c r="E348" s="96" t="n"/>
      <c r="F348" s="96" t="n"/>
      <c r="G348" s="96" t="n"/>
      <c r="H348" s="97" t="n"/>
      <c r="I348" s="90">
        <f>IF($G348="","",IF($F348="",IFERROR(INDEX(Setup!$C$21:$C$60,MATCH("|"&amp;UPPER(TRIM($G348)),Setup!$Q$21:$Q$60,0)),"NO RATE"),IFERROR(INDEX(Setup!$C$21:$C$60,MATCH(UPPER(TRIM($F348))&amp;"|"&amp;UPPER(TRIM($G348)),Setup!$P$21:$P$60,0)),IFERROR(INDEX(Setup!$C$21:$C$60,MATCH(UPPER(TRIM($G348))&amp;"|"&amp;UPPER(TRIM($F348)),Setup!$P$21:$P$60,0)),"NO RATE"))))</f>
        <v/>
      </c>
      <c r="J348" s="98" t="n"/>
      <c r="K348" s="90">
        <f>IF(OR($G348="",$H348="",NOT(ISNUMBER($I348))),"",ROUND($H348*$I348*(1+IF($J348="",Setup!$B$16,$J348)),2))</f>
        <v/>
      </c>
      <c r="L348" s="90">
        <f>IF($K348="","",ROUND($K348*Setup!$B$13,2))</f>
        <v/>
      </c>
      <c r="M348" s="90">
        <f>IF($K348="","",$K348-$L348)</f>
        <v/>
      </c>
      <c r="N348" s="90">
        <f>IF(OR($M348="",$D348=""),"",ROUND($M348*IFERROR(IF(VLOOKUP($D348,Setup!$A$76:$C$87,3,FALSE)="",Setup!$B$14,VLOOKUP($D348,Setup!$A$76:$C$87,3,FALSE)),Setup!$B$14),2))</f>
        <v/>
      </c>
      <c r="O348" s="90">
        <f>IF(OR($M348="",$E348=""),"",ROUND($M348*IFERROR(IF(VLOOKUP($E348,Setup!$A$76:$C$87,3,FALSE)="",Setup!$B$15,VLOOKUP($E348,Setup!$A$76:$C$87,3,FALSE)),Setup!$B$15),2))</f>
        <v/>
      </c>
      <c r="P348" s="99" t="n"/>
      <c r="Q348" s="99" t="n"/>
      <c r="R348" s="99" t="n"/>
      <c r="S348" s="99" t="n"/>
      <c r="T348" s="99" t="n"/>
      <c r="U348" s="90">
        <f>IF($K348="","",SUM($R348:$T348))</f>
        <v/>
      </c>
      <c r="V348" s="90">
        <f>IF($K348="","",$M348-(N($N348)+N($O348)+IF($P348="",Setup!$B$17,$P348)+N($Q348))-N($U348))</f>
        <v/>
      </c>
      <c r="W348" s="95" t="n"/>
      <c r="X348" s="96" t="n"/>
      <c r="Z348" s="93">
        <f>IF($A348="","",DATE(YEAR($A348),MONTH($A348),1))</f>
        <v/>
      </c>
    </row>
    <row r="349">
      <c r="A349" s="86" t="n"/>
      <c r="B349" s="87" t="n"/>
      <c r="C349" s="87" t="n"/>
      <c r="D349" s="88" t="n"/>
      <c r="E349" s="88" t="n"/>
      <c r="F349" s="88" t="n"/>
      <c r="G349" s="88" t="n"/>
      <c r="H349" s="89" t="n"/>
      <c r="I349" s="90">
        <f>IF($G349="","",IF($F349="",IFERROR(INDEX(Setup!$C$21:$C$60,MATCH("|"&amp;UPPER(TRIM($G349)),Setup!$Q$21:$Q$60,0)),"NO RATE"),IFERROR(INDEX(Setup!$C$21:$C$60,MATCH(UPPER(TRIM($F349))&amp;"|"&amp;UPPER(TRIM($G349)),Setup!$P$21:$P$60,0)),IFERROR(INDEX(Setup!$C$21:$C$60,MATCH(UPPER(TRIM($G349))&amp;"|"&amp;UPPER(TRIM($F349)),Setup!$P$21:$P$60,0)),"NO RATE"))))</f>
        <v/>
      </c>
      <c r="J349" s="91" t="n"/>
      <c r="K349" s="90">
        <f>IF(OR($G349="",$H349="",NOT(ISNUMBER($I349))),"",ROUND($H349*$I349*(1+IF($J349="",Setup!$B$16,$J349)),2))</f>
        <v/>
      </c>
      <c r="L349" s="90">
        <f>IF($K349="","",ROUND($K349*Setup!$B$13,2))</f>
        <v/>
      </c>
      <c r="M349" s="90">
        <f>IF($K349="","",$K349-$L349)</f>
        <v/>
      </c>
      <c r="N349" s="90">
        <f>IF(OR($M349="",$D349=""),"",ROUND($M349*IFERROR(IF(VLOOKUP($D349,Setup!$A$76:$C$87,3,FALSE)="",Setup!$B$14,VLOOKUP($D349,Setup!$A$76:$C$87,3,FALSE)),Setup!$B$14),2))</f>
        <v/>
      </c>
      <c r="O349" s="90">
        <f>IF(OR($M349="",$E349=""),"",ROUND($M349*IFERROR(IF(VLOOKUP($E349,Setup!$A$76:$C$87,3,FALSE)="",Setup!$B$15,VLOOKUP($E349,Setup!$A$76:$C$87,3,FALSE)),Setup!$B$15),2))</f>
        <v/>
      </c>
      <c r="P349" s="92" t="n"/>
      <c r="Q349" s="92" t="n"/>
      <c r="R349" s="92" t="n"/>
      <c r="S349" s="92" t="n"/>
      <c r="T349" s="92" t="n"/>
      <c r="U349" s="90">
        <f>IF($K349="","",SUM($R349:$T349))</f>
        <v/>
      </c>
      <c r="V349" s="90">
        <f>IF($K349="","",$M349-(N($N349)+N($O349)+IF($P349="",Setup!$B$17,$P349)+N($Q349))-N($U349))</f>
        <v/>
      </c>
      <c r="W349" s="87" t="n"/>
      <c r="X349" s="88" t="n"/>
      <c r="Z349" s="93">
        <f>IF($A349="","",DATE(YEAR($A349),MONTH($A349),1))</f>
        <v/>
      </c>
    </row>
    <row r="350">
      <c r="A350" s="94" t="n"/>
      <c r="B350" s="95" t="n"/>
      <c r="C350" s="95" t="n"/>
      <c r="D350" s="96" t="n"/>
      <c r="E350" s="96" t="n"/>
      <c r="F350" s="96" t="n"/>
      <c r="G350" s="96" t="n"/>
      <c r="H350" s="97" t="n"/>
      <c r="I350" s="90">
        <f>IF($G350="","",IF($F350="",IFERROR(INDEX(Setup!$C$21:$C$60,MATCH("|"&amp;UPPER(TRIM($G350)),Setup!$Q$21:$Q$60,0)),"NO RATE"),IFERROR(INDEX(Setup!$C$21:$C$60,MATCH(UPPER(TRIM($F350))&amp;"|"&amp;UPPER(TRIM($G350)),Setup!$P$21:$P$60,0)),IFERROR(INDEX(Setup!$C$21:$C$60,MATCH(UPPER(TRIM($G350))&amp;"|"&amp;UPPER(TRIM($F350)),Setup!$P$21:$P$60,0)),"NO RATE"))))</f>
        <v/>
      </c>
      <c r="J350" s="98" t="n"/>
      <c r="K350" s="90">
        <f>IF(OR($G350="",$H350="",NOT(ISNUMBER($I350))),"",ROUND($H350*$I350*(1+IF($J350="",Setup!$B$16,$J350)),2))</f>
        <v/>
      </c>
      <c r="L350" s="90">
        <f>IF($K350="","",ROUND($K350*Setup!$B$13,2))</f>
        <v/>
      </c>
      <c r="M350" s="90">
        <f>IF($K350="","",$K350-$L350)</f>
        <v/>
      </c>
      <c r="N350" s="90">
        <f>IF(OR($M350="",$D350=""),"",ROUND($M350*IFERROR(IF(VLOOKUP($D350,Setup!$A$76:$C$87,3,FALSE)="",Setup!$B$14,VLOOKUP($D350,Setup!$A$76:$C$87,3,FALSE)),Setup!$B$14),2))</f>
        <v/>
      </c>
      <c r="O350" s="90">
        <f>IF(OR($M350="",$E350=""),"",ROUND($M350*IFERROR(IF(VLOOKUP($E350,Setup!$A$76:$C$87,3,FALSE)="",Setup!$B$15,VLOOKUP($E350,Setup!$A$76:$C$87,3,FALSE)),Setup!$B$15),2))</f>
        <v/>
      </c>
      <c r="P350" s="99" t="n"/>
      <c r="Q350" s="99" t="n"/>
      <c r="R350" s="99" t="n"/>
      <c r="S350" s="99" t="n"/>
      <c r="T350" s="99" t="n"/>
      <c r="U350" s="90">
        <f>IF($K350="","",SUM($R350:$T350))</f>
        <v/>
      </c>
      <c r="V350" s="90">
        <f>IF($K350="","",$M350-(N($N350)+N($O350)+IF($P350="",Setup!$B$17,$P350)+N($Q350))-N($U350))</f>
        <v/>
      </c>
      <c r="W350" s="95" t="n"/>
      <c r="X350" s="96" t="n"/>
      <c r="Z350" s="93">
        <f>IF($A350="","",DATE(YEAR($A350),MONTH($A350),1))</f>
        <v/>
      </c>
    </row>
    <row r="351">
      <c r="A351" s="86" t="n"/>
      <c r="B351" s="87" t="n"/>
      <c r="C351" s="87" t="n"/>
      <c r="D351" s="88" t="n"/>
      <c r="E351" s="88" t="n"/>
      <c r="F351" s="88" t="n"/>
      <c r="G351" s="88" t="n"/>
      <c r="H351" s="89" t="n"/>
      <c r="I351" s="90">
        <f>IF($G351="","",IF($F351="",IFERROR(INDEX(Setup!$C$21:$C$60,MATCH("|"&amp;UPPER(TRIM($G351)),Setup!$Q$21:$Q$60,0)),"NO RATE"),IFERROR(INDEX(Setup!$C$21:$C$60,MATCH(UPPER(TRIM($F351))&amp;"|"&amp;UPPER(TRIM($G351)),Setup!$P$21:$P$60,0)),IFERROR(INDEX(Setup!$C$21:$C$60,MATCH(UPPER(TRIM($G351))&amp;"|"&amp;UPPER(TRIM($F351)),Setup!$P$21:$P$60,0)),"NO RATE"))))</f>
        <v/>
      </c>
      <c r="J351" s="91" t="n"/>
      <c r="K351" s="90">
        <f>IF(OR($G351="",$H351="",NOT(ISNUMBER($I351))),"",ROUND($H351*$I351*(1+IF($J351="",Setup!$B$16,$J351)),2))</f>
        <v/>
      </c>
      <c r="L351" s="90">
        <f>IF($K351="","",ROUND($K351*Setup!$B$13,2))</f>
        <v/>
      </c>
      <c r="M351" s="90">
        <f>IF($K351="","",$K351-$L351)</f>
        <v/>
      </c>
      <c r="N351" s="90">
        <f>IF(OR($M351="",$D351=""),"",ROUND($M351*IFERROR(IF(VLOOKUP($D351,Setup!$A$76:$C$87,3,FALSE)="",Setup!$B$14,VLOOKUP($D351,Setup!$A$76:$C$87,3,FALSE)),Setup!$B$14),2))</f>
        <v/>
      </c>
      <c r="O351" s="90">
        <f>IF(OR($M351="",$E351=""),"",ROUND($M351*IFERROR(IF(VLOOKUP($E351,Setup!$A$76:$C$87,3,FALSE)="",Setup!$B$15,VLOOKUP($E351,Setup!$A$76:$C$87,3,FALSE)),Setup!$B$15),2))</f>
        <v/>
      </c>
      <c r="P351" s="92" t="n"/>
      <c r="Q351" s="92" t="n"/>
      <c r="R351" s="92" t="n"/>
      <c r="S351" s="92" t="n"/>
      <c r="T351" s="92" t="n"/>
      <c r="U351" s="90">
        <f>IF($K351="","",SUM($R351:$T351))</f>
        <v/>
      </c>
      <c r="V351" s="90">
        <f>IF($K351="","",$M351-(N($N351)+N($O351)+IF($P351="",Setup!$B$17,$P351)+N($Q351))-N($U351))</f>
        <v/>
      </c>
      <c r="W351" s="87" t="n"/>
      <c r="X351" s="88" t="n"/>
      <c r="Z351" s="93">
        <f>IF($A351="","",DATE(YEAR($A351),MONTH($A351),1))</f>
        <v/>
      </c>
    </row>
    <row r="352">
      <c r="A352" s="94" t="n"/>
      <c r="B352" s="95" t="n"/>
      <c r="C352" s="95" t="n"/>
      <c r="D352" s="96" t="n"/>
      <c r="E352" s="96" t="n"/>
      <c r="F352" s="96" t="n"/>
      <c r="G352" s="96" t="n"/>
      <c r="H352" s="97" t="n"/>
      <c r="I352" s="90">
        <f>IF($G352="","",IF($F352="",IFERROR(INDEX(Setup!$C$21:$C$60,MATCH("|"&amp;UPPER(TRIM($G352)),Setup!$Q$21:$Q$60,0)),"NO RATE"),IFERROR(INDEX(Setup!$C$21:$C$60,MATCH(UPPER(TRIM($F352))&amp;"|"&amp;UPPER(TRIM($G352)),Setup!$P$21:$P$60,0)),IFERROR(INDEX(Setup!$C$21:$C$60,MATCH(UPPER(TRIM($G352))&amp;"|"&amp;UPPER(TRIM($F352)),Setup!$P$21:$P$60,0)),"NO RATE"))))</f>
        <v/>
      </c>
      <c r="J352" s="98" t="n"/>
      <c r="K352" s="90">
        <f>IF(OR($G352="",$H352="",NOT(ISNUMBER($I352))),"",ROUND($H352*$I352*(1+IF($J352="",Setup!$B$16,$J352)),2))</f>
        <v/>
      </c>
      <c r="L352" s="90">
        <f>IF($K352="","",ROUND($K352*Setup!$B$13,2))</f>
        <v/>
      </c>
      <c r="M352" s="90">
        <f>IF($K352="","",$K352-$L352)</f>
        <v/>
      </c>
      <c r="N352" s="90">
        <f>IF(OR($M352="",$D352=""),"",ROUND($M352*IFERROR(IF(VLOOKUP($D352,Setup!$A$76:$C$87,3,FALSE)="",Setup!$B$14,VLOOKUP($D352,Setup!$A$76:$C$87,3,FALSE)),Setup!$B$14),2))</f>
        <v/>
      </c>
      <c r="O352" s="90">
        <f>IF(OR($M352="",$E352=""),"",ROUND($M352*IFERROR(IF(VLOOKUP($E352,Setup!$A$76:$C$87,3,FALSE)="",Setup!$B$15,VLOOKUP($E352,Setup!$A$76:$C$87,3,FALSE)),Setup!$B$15),2))</f>
        <v/>
      </c>
      <c r="P352" s="99" t="n"/>
      <c r="Q352" s="99" t="n"/>
      <c r="R352" s="99" t="n"/>
      <c r="S352" s="99" t="n"/>
      <c r="T352" s="99" t="n"/>
      <c r="U352" s="90">
        <f>IF($K352="","",SUM($R352:$T352))</f>
        <v/>
      </c>
      <c r="V352" s="90">
        <f>IF($K352="","",$M352-(N($N352)+N($O352)+IF($P352="",Setup!$B$17,$P352)+N($Q352))-N($U352))</f>
        <v/>
      </c>
      <c r="W352" s="95" t="n"/>
      <c r="X352" s="96" t="n"/>
      <c r="Z352" s="93">
        <f>IF($A352="","",DATE(YEAR($A352),MONTH($A352),1))</f>
        <v/>
      </c>
    </row>
    <row r="353">
      <c r="A353" s="86" t="n"/>
      <c r="B353" s="87" t="n"/>
      <c r="C353" s="87" t="n"/>
      <c r="D353" s="88" t="n"/>
      <c r="E353" s="88" t="n"/>
      <c r="F353" s="88" t="n"/>
      <c r="G353" s="88" t="n"/>
      <c r="H353" s="89" t="n"/>
      <c r="I353" s="90">
        <f>IF($G353="","",IF($F353="",IFERROR(INDEX(Setup!$C$21:$C$60,MATCH("|"&amp;UPPER(TRIM($G353)),Setup!$Q$21:$Q$60,0)),"NO RATE"),IFERROR(INDEX(Setup!$C$21:$C$60,MATCH(UPPER(TRIM($F353))&amp;"|"&amp;UPPER(TRIM($G353)),Setup!$P$21:$P$60,0)),IFERROR(INDEX(Setup!$C$21:$C$60,MATCH(UPPER(TRIM($G353))&amp;"|"&amp;UPPER(TRIM($F353)),Setup!$P$21:$P$60,0)),"NO RATE"))))</f>
        <v/>
      </c>
      <c r="J353" s="91" t="n"/>
      <c r="K353" s="90">
        <f>IF(OR($G353="",$H353="",NOT(ISNUMBER($I353))),"",ROUND($H353*$I353*(1+IF($J353="",Setup!$B$16,$J353)),2))</f>
        <v/>
      </c>
      <c r="L353" s="90">
        <f>IF($K353="","",ROUND($K353*Setup!$B$13,2))</f>
        <v/>
      </c>
      <c r="M353" s="90">
        <f>IF($K353="","",$K353-$L353)</f>
        <v/>
      </c>
      <c r="N353" s="90">
        <f>IF(OR($M353="",$D353=""),"",ROUND($M353*IFERROR(IF(VLOOKUP($D353,Setup!$A$76:$C$87,3,FALSE)="",Setup!$B$14,VLOOKUP($D353,Setup!$A$76:$C$87,3,FALSE)),Setup!$B$14),2))</f>
        <v/>
      </c>
      <c r="O353" s="90">
        <f>IF(OR($M353="",$E353=""),"",ROUND($M353*IFERROR(IF(VLOOKUP($E353,Setup!$A$76:$C$87,3,FALSE)="",Setup!$B$15,VLOOKUP($E353,Setup!$A$76:$C$87,3,FALSE)),Setup!$B$15),2))</f>
        <v/>
      </c>
      <c r="P353" s="92" t="n"/>
      <c r="Q353" s="92" t="n"/>
      <c r="R353" s="92" t="n"/>
      <c r="S353" s="92" t="n"/>
      <c r="T353" s="92" t="n"/>
      <c r="U353" s="90">
        <f>IF($K353="","",SUM($R353:$T353))</f>
        <v/>
      </c>
      <c r="V353" s="90">
        <f>IF($K353="","",$M353-(N($N353)+N($O353)+IF($P353="",Setup!$B$17,$P353)+N($Q353))-N($U353))</f>
        <v/>
      </c>
      <c r="W353" s="87" t="n"/>
      <c r="X353" s="88" t="n"/>
      <c r="Z353" s="93">
        <f>IF($A353="","",DATE(YEAR($A353),MONTH($A353),1))</f>
        <v/>
      </c>
    </row>
    <row r="354">
      <c r="A354" s="94" t="n"/>
      <c r="B354" s="95" t="n"/>
      <c r="C354" s="95" t="n"/>
      <c r="D354" s="96" t="n"/>
      <c r="E354" s="96" t="n"/>
      <c r="F354" s="96" t="n"/>
      <c r="G354" s="96" t="n"/>
      <c r="H354" s="97" t="n"/>
      <c r="I354" s="90">
        <f>IF($G354="","",IF($F354="",IFERROR(INDEX(Setup!$C$21:$C$60,MATCH("|"&amp;UPPER(TRIM($G354)),Setup!$Q$21:$Q$60,0)),"NO RATE"),IFERROR(INDEX(Setup!$C$21:$C$60,MATCH(UPPER(TRIM($F354))&amp;"|"&amp;UPPER(TRIM($G354)),Setup!$P$21:$P$60,0)),IFERROR(INDEX(Setup!$C$21:$C$60,MATCH(UPPER(TRIM($G354))&amp;"|"&amp;UPPER(TRIM($F354)),Setup!$P$21:$P$60,0)),"NO RATE"))))</f>
        <v/>
      </c>
      <c r="J354" s="98" t="n"/>
      <c r="K354" s="90">
        <f>IF(OR($G354="",$H354="",NOT(ISNUMBER($I354))),"",ROUND($H354*$I354*(1+IF($J354="",Setup!$B$16,$J354)),2))</f>
        <v/>
      </c>
      <c r="L354" s="90">
        <f>IF($K354="","",ROUND($K354*Setup!$B$13,2))</f>
        <v/>
      </c>
      <c r="M354" s="90">
        <f>IF($K354="","",$K354-$L354)</f>
        <v/>
      </c>
      <c r="N354" s="90">
        <f>IF(OR($M354="",$D354=""),"",ROUND($M354*IFERROR(IF(VLOOKUP($D354,Setup!$A$76:$C$87,3,FALSE)="",Setup!$B$14,VLOOKUP($D354,Setup!$A$76:$C$87,3,FALSE)),Setup!$B$14),2))</f>
        <v/>
      </c>
      <c r="O354" s="90">
        <f>IF(OR($M354="",$E354=""),"",ROUND($M354*IFERROR(IF(VLOOKUP($E354,Setup!$A$76:$C$87,3,FALSE)="",Setup!$B$15,VLOOKUP($E354,Setup!$A$76:$C$87,3,FALSE)),Setup!$B$15),2))</f>
        <v/>
      </c>
      <c r="P354" s="99" t="n"/>
      <c r="Q354" s="99" t="n"/>
      <c r="R354" s="99" t="n"/>
      <c r="S354" s="99" t="n"/>
      <c r="T354" s="99" t="n"/>
      <c r="U354" s="90">
        <f>IF($K354="","",SUM($R354:$T354))</f>
        <v/>
      </c>
      <c r="V354" s="90">
        <f>IF($K354="","",$M354-(N($N354)+N($O354)+IF($P354="",Setup!$B$17,$P354)+N($Q354))-N($U354))</f>
        <v/>
      </c>
      <c r="W354" s="95" t="n"/>
      <c r="X354" s="96" t="n"/>
      <c r="Z354" s="93">
        <f>IF($A354="","",DATE(YEAR($A354),MONTH($A354),1))</f>
        <v/>
      </c>
    </row>
    <row r="355">
      <c r="A355" s="86" t="n"/>
      <c r="B355" s="87" t="n"/>
      <c r="C355" s="87" t="n"/>
      <c r="D355" s="88" t="n"/>
      <c r="E355" s="88" t="n"/>
      <c r="F355" s="88" t="n"/>
      <c r="G355" s="88" t="n"/>
      <c r="H355" s="89" t="n"/>
      <c r="I355" s="90">
        <f>IF($G355="","",IF($F355="",IFERROR(INDEX(Setup!$C$21:$C$60,MATCH("|"&amp;UPPER(TRIM($G355)),Setup!$Q$21:$Q$60,0)),"NO RATE"),IFERROR(INDEX(Setup!$C$21:$C$60,MATCH(UPPER(TRIM($F355))&amp;"|"&amp;UPPER(TRIM($G355)),Setup!$P$21:$P$60,0)),IFERROR(INDEX(Setup!$C$21:$C$60,MATCH(UPPER(TRIM($G355))&amp;"|"&amp;UPPER(TRIM($F355)),Setup!$P$21:$P$60,0)),"NO RATE"))))</f>
        <v/>
      </c>
      <c r="J355" s="91" t="n"/>
      <c r="K355" s="90">
        <f>IF(OR($G355="",$H355="",NOT(ISNUMBER($I355))),"",ROUND($H355*$I355*(1+IF($J355="",Setup!$B$16,$J355)),2))</f>
        <v/>
      </c>
      <c r="L355" s="90">
        <f>IF($K355="","",ROUND($K355*Setup!$B$13,2))</f>
        <v/>
      </c>
      <c r="M355" s="90">
        <f>IF($K355="","",$K355-$L355)</f>
        <v/>
      </c>
      <c r="N355" s="90">
        <f>IF(OR($M355="",$D355=""),"",ROUND($M355*IFERROR(IF(VLOOKUP($D355,Setup!$A$76:$C$87,3,FALSE)="",Setup!$B$14,VLOOKUP($D355,Setup!$A$76:$C$87,3,FALSE)),Setup!$B$14),2))</f>
        <v/>
      </c>
      <c r="O355" s="90">
        <f>IF(OR($M355="",$E355=""),"",ROUND($M355*IFERROR(IF(VLOOKUP($E355,Setup!$A$76:$C$87,3,FALSE)="",Setup!$B$15,VLOOKUP($E355,Setup!$A$76:$C$87,3,FALSE)),Setup!$B$15),2))</f>
        <v/>
      </c>
      <c r="P355" s="92" t="n"/>
      <c r="Q355" s="92" t="n"/>
      <c r="R355" s="92" t="n"/>
      <c r="S355" s="92" t="n"/>
      <c r="T355" s="92" t="n"/>
      <c r="U355" s="90">
        <f>IF($K355="","",SUM($R355:$T355))</f>
        <v/>
      </c>
      <c r="V355" s="90">
        <f>IF($K355="","",$M355-(N($N355)+N($O355)+IF($P355="",Setup!$B$17,$P355)+N($Q355))-N($U355))</f>
        <v/>
      </c>
      <c r="W355" s="87" t="n"/>
      <c r="X355" s="88" t="n"/>
      <c r="Z355" s="93">
        <f>IF($A355="","",DATE(YEAR($A355),MONTH($A355),1))</f>
        <v/>
      </c>
    </row>
    <row r="356">
      <c r="A356" s="94" t="n"/>
      <c r="B356" s="95" t="n"/>
      <c r="C356" s="95" t="n"/>
      <c r="D356" s="96" t="n"/>
      <c r="E356" s="96" t="n"/>
      <c r="F356" s="96" t="n"/>
      <c r="G356" s="96" t="n"/>
      <c r="H356" s="97" t="n"/>
      <c r="I356" s="90">
        <f>IF($G356="","",IF($F356="",IFERROR(INDEX(Setup!$C$21:$C$60,MATCH("|"&amp;UPPER(TRIM($G356)),Setup!$Q$21:$Q$60,0)),"NO RATE"),IFERROR(INDEX(Setup!$C$21:$C$60,MATCH(UPPER(TRIM($F356))&amp;"|"&amp;UPPER(TRIM($G356)),Setup!$P$21:$P$60,0)),IFERROR(INDEX(Setup!$C$21:$C$60,MATCH(UPPER(TRIM($G356))&amp;"|"&amp;UPPER(TRIM($F356)),Setup!$P$21:$P$60,0)),"NO RATE"))))</f>
        <v/>
      </c>
      <c r="J356" s="98" t="n"/>
      <c r="K356" s="90">
        <f>IF(OR($G356="",$H356="",NOT(ISNUMBER($I356))),"",ROUND($H356*$I356*(1+IF($J356="",Setup!$B$16,$J356)),2))</f>
        <v/>
      </c>
      <c r="L356" s="90">
        <f>IF($K356="","",ROUND($K356*Setup!$B$13,2))</f>
        <v/>
      </c>
      <c r="M356" s="90">
        <f>IF($K356="","",$K356-$L356)</f>
        <v/>
      </c>
      <c r="N356" s="90">
        <f>IF(OR($M356="",$D356=""),"",ROUND($M356*IFERROR(IF(VLOOKUP($D356,Setup!$A$76:$C$87,3,FALSE)="",Setup!$B$14,VLOOKUP($D356,Setup!$A$76:$C$87,3,FALSE)),Setup!$B$14),2))</f>
        <v/>
      </c>
      <c r="O356" s="90">
        <f>IF(OR($M356="",$E356=""),"",ROUND($M356*IFERROR(IF(VLOOKUP($E356,Setup!$A$76:$C$87,3,FALSE)="",Setup!$B$15,VLOOKUP($E356,Setup!$A$76:$C$87,3,FALSE)),Setup!$B$15),2))</f>
        <v/>
      </c>
      <c r="P356" s="99" t="n"/>
      <c r="Q356" s="99" t="n"/>
      <c r="R356" s="99" t="n"/>
      <c r="S356" s="99" t="n"/>
      <c r="T356" s="99" t="n"/>
      <c r="U356" s="90">
        <f>IF($K356="","",SUM($R356:$T356))</f>
        <v/>
      </c>
      <c r="V356" s="90">
        <f>IF($K356="","",$M356-(N($N356)+N($O356)+IF($P356="",Setup!$B$17,$P356)+N($Q356))-N($U356))</f>
        <v/>
      </c>
      <c r="W356" s="95" t="n"/>
      <c r="X356" s="96" t="n"/>
      <c r="Z356" s="93">
        <f>IF($A356="","",DATE(YEAR($A356),MONTH($A356),1))</f>
        <v/>
      </c>
    </row>
    <row r="357">
      <c r="A357" s="86" t="n"/>
      <c r="B357" s="87" t="n"/>
      <c r="C357" s="87" t="n"/>
      <c r="D357" s="88" t="n"/>
      <c r="E357" s="88" t="n"/>
      <c r="F357" s="88" t="n"/>
      <c r="G357" s="88" t="n"/>
      <c r="H357" s="89" t="n"/>
      <c r="I357" s="90">
        <f>IF($G357="","",IF($F357="",IFERROR(INDEX(Setup!$C$21:$C$60,MATCH("|"&amp;UPPER(TRIM($G357)),Setup!$Q$21:$Q$60,0)),"NO RATE"),IFERROR(INDEX(Setup!$C$21:$C$60,MATCH(UPPER(TRIM($F357))&amp;"|"&amp;UPPER(TRIM($G357)),Setup!$P$21:$P$60,0)),IFERROR(INDEX(Setup!$C$21:$C$60,MATCH(UPPER(TRIM($G357))&amp;"|"&amp;UPPER(TRIM($F357)),Setup!$P$21:$P$60,0)),"NO RATE"))))</f>
        <v/>
      </c>
      <c r="J357" s="91" t="n"/>
      <c r="K357" s="90">
        <f>IF(OR($G357="",$H357="",NOT(ISNUMBER($I357))),"",ROUND($H357*$I357*(1+IF($J357="",Setup!$B$16,$J357)),2))</f>
        <v/>
      </c>
      <c r="L357" s="90">
        <f>IF($K357="","",ROUND($K357*Setup!$B$13,2))</f>
        <v/>
      </c>
      <c r="M357" s="90">
        <f>IF($K357="","",$K357-$L357)</f>
        <v/>
      </c>
      <c r="N357" s="90">
        <f>IF(OR($M357="",$D357=""),"",ROUND($M357*IFERROR(IF(VLOOKUP($D357,Setup!$A$76:$C$87,3,FALSE)="",Setup!$B$14,VLOOKUP($D357,Setup!$A$76:$C$87,3,FALSE)),Setup!$B$14),2))</f>
        <v/>
      </c>
      <c r="O357" s="90">
        <f>IF(OR($M357="",$E357=""),"",ROUND($M357*IFERROR(IF(VLOOKUP($E357,Setup!$A$76:$C$87,3,FALSE)="",Setup!$B$15,VLOOKUP($E357,Setup!$A$76:$C$87,3,FALSE)),Setup!$B$15),2))</f>
        <v/>
      </c>
      <c r="P357" s="92" t="n"/>
      <c r="Q357" s="92" t="n"/>
      <c r="R357" s="92" t="n"/>
      <c r="S357" s="92" t="n"/>
      <c r="T357" s="92" t="n"/>
      <c r="U357" s="90">
        <f>IF($K357="","",SUM($R357:$T357))</f>
        <v/>
      </c>
      <c r="V357" s="90">
        <f>IF($K357="","",$M357-(N($N357)+N($O357)+IF($P357="",Setup!$B$17,$P357)+N($Q357))-N($U357))</f>
        <v/>
      </c>
      <c r="W357" s="87" t="n"/>
      <c r="X357" s="88" t="n"/>
      <c r="Z357" s="93">
        <f>IF($A357="","",DATE(YEAR($A357),MONTH($A357),1))</f>
        <v/>
      </c>
    </row>
    <row r="358">
      <c r="A358" s="94" t="n"/>
      <c r="B358" s="95" t="n"/>
      <c r="C358" s="95" t="n"/>
      <c r="D358" s="96" t="n"/>
      <c r="E358" s="96" t="n"/>
      <c r="F358" s="96" t="n"/>
      <c r="G358" s="96" t="n"/>
      <c r="H358" s="97" t="n"/>
      <c r="I358" s="90">
        <f>IF($G358="","",IF($F358="",IFERROR(INDEX(Setup!$C$21:$C$60,MATCH("|"&amp;UPPER(TRIM($G358)),Setup!$Q$21:$Q$60,0)),"NO RATE"),IFERROR(INDEX(Setup!$C$21:$C$60,MATCH(UPPER(TRIM($F358))&amp;"|"&amp;UPPER(TRIM($G358)),Setup!$P$21:$P$60,0)),IFERROR(INDEX(Setup!$C$21:$C$60,MATCH(UPPER(TRIM($G358))&amp;"|"&amp;UPPER(TRIM($F358)),Setup!$P$21:$P$60,0)),"NO RATE"))))</f>
        <v/>
      </c>
      <c r="J358" s="98" t="n"/>
      <c r="K358" s="90">
        <f>IF(OR($G358="",$H358="",NOT(ISNUMBER($I358))),"",ROUND($H358*$I358*(1+IF($J358="",Setup!$B$16,$J358)),2))</f>
        <v/>
      </c>
      <c r="L358" s="90">
        <f>IF($K358="","",ROUND($K358*Setup!$B$13,2))</f>
        <v/>
      </c>
      <c r="M358" s="90">
        <f>IF($K358="","",$K358-$L358)</f>
        <v/>
      </c>
      <c r="N358" s="90">
        <f>IF(OR($M358="",$D358=""),"",ROUND($M358*IFERROR(IF(VLOOKUP($D358,Setup!$A$76:$C$87,3,FALSE)="",Setup!$B$14,VLOOKUP($D358,Setup!$A$76:$C$87,3,FALSE)),Setup!$B$14),2))</f>
        <v/>
      </c>
      <c r="O358" s="90">
        <f>IF(OR($M358="",$E358=""),"",ROUND($M358*IFERROR(IF(VLOOKUP($E358,Setup!$A$76:$C$87,3,FALSE)="",Setup!$B$15,VLOOKUP($E358,Setup!$A$76:$C$87,3,FALSE)),Setup!$B$15),2))</f>
        <v/>
      </c>
      <c r="P358" s="99" t="n"/>
      <c r="Q358" s="99" t="n"/>
      <c r="R358" s="99" t="n"/>
      <c r="S358" s="99" t="n"/>
      <c r="T358" s="99" t="n"/>
      <c r="U358" s="90">
        <f>IF($K358="","",SUM($R358:$T358))</f>
        <v/>
      </c>
      <c r="V358" s="90">
        <f>IF($K358="","",$M358-(N($N358)+N($O358)+IF($P358="",Setup!$B$17,$P358)+N($Q358))-N($U358))</f>
        <v/>
      </c>
      <c r="W358" s="95" t="n"/>
      <c r="X358" s="96" t="n"/>
      <c r="Z358" s="93">
        <f>IF($A358="","",DATE(YEAR($A358),MONTH($A358),1))</f>
        <v/>
      </c>
    </row>
    <row r="359">
      <c r="A359" s="86" t="n"/>
      <c r="B359" s="87" t="n"/>
      <c r="C359" s="87" t="n"/>
      <c r="D359" s="88" t="n"/>
      <c r="E359" s="88" t="n"/>
      <c r="F359" s="88" t="n"/>
      <c r="G359" s="88" t="n"/>
      <c r="H359" s="89" t="n"/>
      <c r="I359" s="90">
        <f>IF($G359="","",IF($F359="",IFERROR(INDEX(Setup!$C$21:$C$60,MATCH("|"&amp;UPPER(TRIM($G359)),Setup!$Q$21:$Q$60,0)),"NO RATE"),IFERROR(INDEX(Setup!$C$21:$C$60,MATCH(UPPER(TRIM($F359))&amp;"|"&amp;UPPER(TRIM($G359)),Setup!$P$21:$P$60,0)),IFERROR(INDEX(Setup!$C$21:$C$60,MATCH(UPPER(TRIM($G359))&amp;"|"&amp;UPPER(TRIM($F359)),Setup!$P$21:$P$60,0)),"NO RATE"))))</f>
        <v/>
      </c>
      <c r="J359" s="91" t="n"/>
      <c r="K359" s="90">
        <f>IF(OR($G359="",$H359="",NOT(ISNUMBER($I359))),"",ROUND($H359*$I359*(1+IF($J359="",Setup!$B$16,$J359)),2))</f>
        <v/>
      </c>
      <c r="L359" s="90">
        <f>IF($K359="","",ROUND($K359*Setup!$B$13,2))</f>
        <v/>
      </c>
      <c r="M359" s="90">
        <f>IF($K359="","",$K359-$L359)</f>
        <v/>
      </c>
      <c r="N359" s="90">
        <f>IF(OR($M359="",$D359=""),"",ROUND($M359*IFERROR(IF(VLOOKUP($D359,Setup!$A$76:$C$87,3,FALSE)="",Setup!$B$14,VLOOKUP($D359,Setup!$A$76:$C$87,3,FALSE)),Setup!$B$14),2))</f>
        <v/>
      </c>
      <c r="O359" s="90">
        <f>IF(OR($M359="",$E359=""),"",ROUND($M359*IFERROR(IF(VLOOKUP($E359,Setup!$A$76:$C$87,3,FALSE)="",Setup!$B$15,VLOOKUP($E359,Setup!$A$76:$C$87,3,FALSE)),Setup!$B$15),2))</f>
        <v/>
      </c>
      <c r="P359" s="92" t="n"/>
      <c r="Q359" s="92" t="n"/>
      <c r="R359" s="92" t="n"/>
      <c r="S359" s="92" t="n"/>
      <c r="T359" s="92" t="n"/>
      <c r="U359" s="90">
        <f>IF($K359="","",SUM($R359:$T359))</f>
        <v/>
      </c>
      <c r="V359" s="90">
        <f>IF($K359="","",$M359-(N($N359)+N($O359)+IF($P359="",Setup!$B$17,$P359)+N($Q359))-N($U359))</f>
        <v/>
      </c>
      <c r="W359" s="87" t="n"/>
      <c r="X359" s="88" t="n"/>
      <c r="Z359" s="93">
        <f>IF($A359="","",DATE(YEAR($A359),MONTH($A359),1))</f>
        <v/>
      </c>
    </row>
    <row r="360">
      <c r="A360" s="94" t="n"/>
      <c r="B360" s="95" t="n"/>
      <c r="C360" s="95" t="n"/>
      <c r="D360" s="96" t="n"/>
      <c r="E360" s="96" t="n"/>
      <c r="F360" s="96" t="n"/>
      <c r="G360" s="96" t="n"/>
      <c r="H360" s="97" t="n"/>
      <c r="I360" s="90">
        <f>IF($G360="","",IF($F360="",IFERROR(INDEX(Setup!$C$21:$C$60,MATCH("|"&amp;UPPER(TRIM($G360)),Setup!$Q$21:$Q$60,0)),"NO RATE"),IFERROR(INDEX(Setup!$C$21:$C$60,MATCH(UPPER(TRIM($F360))&amp;"|"&amp;UPPER(TRIM($G360)),Setup!$P$21:$P$60,0)),IFERROR(INDEX(Setup!$C$21:$C$60,MATCH(UPPER(TRIM($G360))&amp;"|"&amp;UPPER(TRIM($F360)),Setup!$P$21:$P$60,0)),"NO RATE"))))</f>
        <v/>
      </c>
      <c r="J360" s="98" t="n"/>
      <c r="K360" s="90">
        <f>IF(OR($G360="",$H360="",NOT(ISNUMBER($I360))),"",ROUND($H360*$I360*(1+IF($J360="",Setup!$B$16,$J360)),2))</f>
        <v/>
      </c>
      <c r="L360" s="90">
        <f>IF($K360="","",ROUND($K360*Setup!$B$13,2))</f>
        <v/>
      </c>
      <c r="M360" s="90">
        <f>IF($K360="","",$K360-$L360)</f>
        <v/>
      </c>
      <c r="N360" s="90">
        <f>IF(OR($M360="",$D360=""),"",ROUND($M360*IFERROR(IF(VLOOKUP($D360,Setup!$A$76:$C$87,3,FALSE)="",Setup!$B$14,VLOOKUP($D360,Setup!$A$76:$C$87,3,FALSE)),Setup!$B$14),2))</f>
        <v/>
      </c>
      <c r="O360" s="90">
        <f>IF(OR($M360="",$E360=""),"",ROUND($M360*IFERROR(IF(VLOOKUP($E360,Setup!$A$76:$C$87,3,FALSE)="",Setup!$B$15,VLOOKUP($E360,Setup!$A$76:$C$87,3,FALSE)),Setup!$B$15),2))</f>
        <v/>
      </c>
      <c r="P360" s="99" t="n"/>
      <c r="Q360" s="99" t="n"/>
      <c r="R360" s="99" t="n"/>
      <c r="S360" s="99" t="n"/>
      <c r="T360" s="99" t="n"/>
      <c r="U360" s="90">
        <f>IF($K360="","",SUM($R360:$T360))</f>
        <v/>
      </c>
      <c r="V360" s="90">
        <f>IF($K360="","",$M360-(N($N360)+N($O360)+IF($P360="",Setup!$B$17,$P360)+N($Q360))-N($U360))</f>
        <v/>
      </c>
      <c r="W360" s="95" t="n"/>
      <c r="X360" s="96" t="n"/>
      <c r="Z360" s="93">
        <f>IF($A360="","",DATE(YEAR($A360),MONTH($A360),1))</f>
        <v/>
      </c>
    </row>
    <row r="361">
      <c r="A361" s="86" t="n"/>
      <c r="B361" s="87" t="n"/>
      <c r="C361" s="87" t="n"/>
      <c r="D361" s="88" t="n"/>
      <c r="E361" s="88" t="n"/>
      <c r="F361" s="88" t="n"/>
      <c r="G361" s="88" t="n"/>
      <c r="H361" s="89" t="n"/>
      <c r="I361" s="90">
        <f>IF($G361="","",IF($F361="",IFERROR(INDEX(Setup!$C$21:$C$60,MATCH("|"&amp;UPPER(TRIM($G361)),Setup!$Q$21:$Q$60,0)),"NO RATE"),IFERROR(INDEX(Setup!$C$21:$C$60,MATCH(UPPER(TRIM($F361))&amp;"|"&amp;UPPER(TRIM($G361)),Setup!$P$21:$P$60,0)),IFERROR(INDEX(Setup!$C$21:$C$60,MATCH(UPPER(TRIM($G361))&amp;"|"&amp;UPPER(TRIM($F361)),Setup!$P$21:$P$60,0)),"NO RATE"))))</f>
        <v/>
      </c>
      <c r="J361" s="91" t="n"/>
      <c r="K361" s="90">
        <f>IF(OR($G361="",$H361="",NOT(ISNUMBER($I361))),"",ROUND($H361*$I361*(1+IF($J361="",Setup!$B$16,$J361)),2))</f>
        <v/>
      </c>
      <c r="L361" s="90">
        <f>IF($K361="","",ROUND($K361*Setup!$B$13,2))</f>
        <v/>
      </c>
      <c r="M361" s="90">
        <f>IF($K361="","",$K361-$L361)</f>
        <v/>
      </c>
      <c r="N361" s="90">
        <f>IF(OR($M361="",$D361=""),"",ROUND($M361*IFERROR(IF(VLOOKUP($D361,Setup!$A$76:$C$87,3,FALSE)="",Setup!$B$14,VLOOKUP($D361,Setup!$A$76:$C$87,3,FALSE)),Setup!$B$14),2))</f>
        <v/>
      </c>
      <c r="O361" s="90">
        <f>IF(OR($M361="",$E361=""),"",ROUND($M361*IFERROR(IF(VLOOKUP($E361,Setup!$A$76:$C$87,3,FALSE)="",Setup!$B$15,VLOOKUP($E361,Setup!$A$76:$C$87,3,FALSE)),Setup!$B$15),2))</f>
        <v/>
      </c>
      <c r="P361" s="92" t="n"/>
      <c r="Q361" s="92" t="n"/>
      <c r="R361" s="92" t="n"/>
      <c r="S361" s="92" t="n"/>
      <c r="T361" s="92" t="n"/>
      <c r="U361" s="90">
        <f>IF($K361="","",SUM($R361:$T361))</f>
        <v/>
      </c>
      <c r="V361" s="90">
        <f>IF($K361="","",$M361-(N($N361)+N($O361)+IF($P361="",Setup!$B$17,$P361)+N($Q361))-N($U361))</f>
        <v/>
      </c>
      <c r="W361" s="87" t="n"/>
      <c r="X361" s="88" t="n"/>
      <c r="Z361" s="93">
        <f>IF($A361="","",DATE(YEAR($A361),MONTH($A361),1))</f>
        <v/>
      </c>
    </row>
    <row r="362">
      <c r="A362" s="94" t="n"/>
      <c r="B362" s="95" t="n"/>
      <c r="C362" s="95" t="n"/>
      <c r="D362" s="96" t="n"/>
      <c r="E362" s="96" t="n"/>
      <c r="F362" s="96" t="n"/>
      <c r="G362" s="96" t="n"/>
      <c r="H362" s="97" t="n"/>
      <c r="I362" s="90">
        <f>IF($G362="","",IF($F362="",IFERROR(INDEX(Setup!$C$21:$C$60,MATCH("|"&amp;UPPER(TRIM($G362)),Setup!$Q$21:$Q$60,0)),"NO RATE"),IFERROR(INDEX(Setup!$C$21:$C$60,MATCH(UPPER(TRIM($F362))&amp;"|"&amp;UPPER(TRIM($G362)),Setup!$P$21:$P$60,0)),IFERROR(INDEX(Setup!$C$21:$C$60,MATCH(UPPER(TRIM($G362))&amp;"|"&amp;UPPER(TRIM($F362)),Setup!$P$21:$P$60,0)),"NO RATE"))))</f>
        <v/>
      </c>
      <c r="J362" s="98" t="n"/>
      <c r="K362" s="90">
        <f>IF(OR($G362="",$H362="",NOT(ISNUMBER($I362))),"",ROUND($H362*$I362*(1+IF($J362="",Setup!$B$16,$J362)),2))</f>
        <v/>
      </c>
      <c r="L362" s="90">
        <f>IF($K362="","",ROUND($K362*Setup!$B$13,2))</f>
        <v/>
      </c>
      <c r="M362" s="90">
        <f>IF($K362="","",$K362-$L362)</f>
        <v/>
      </c>
      <c r="N362" s="90">
        <f>IF(OR($M362="",$D362=""),"",ROUND($M362*IFERROR(IF(VLOOKUP($D362,Setup!$A$76:$C$87,3,FALSE)="",Setup!$B$14,VLOOKUP($D362,Setup!$A$76:$C$87,3,FALSE)),Setup!$B$14),2))</f>
        <v/>
      </c>
      <c r="O362" s="90">
        <f>IF(OR($M362="",$E362=""),"",ROUND($M362*IFERROR(IF(VLOOKUP($E362,Setup!$A$76:$C$87,3,FALSE)="",Setup!$B$15,VLOOKUP($E362,Setup!$A$76:$C$87,3,FALSE)),Setup!$B$15),2))</f>
        <v/>
      </c>
      <c r="P362" s="99" t="n"/>
      <c r="Q362" s="99" t="n"/>
      <c r="R362" s="99" t="n"/>
      <c r="S362" s="99" t="n"/>
      <c r="T362" s="99" t="n"/>
      <c r="U362" s="90">
        <f>IF($K362="","",SUM($R362:$T362))</f>
        <v/>
      </c>
      <c r="V362" s="90">
        <f>IF($K362="","",$M362-(N($N362)+N($O362)+IF($P362="",Setup!$B$17,$P362)+N($Q362))-N($U362))</f>
        <v/>
      </c>
      <c r="W362" s="95" t="n"/>
      <c r="X362" s="96" t="n"/>
      <c r="Z362" s="93">
        <f>IF($A362="","",DATE(YEAR($A362),MONTH($A362),1))</f>
        <v/>
      </c>
    </row>
    <row r="363">
      <c r="A363" s="86" t="n"/>
      <c r="B363" s="87" t="n"/>
      <c r="C363" s="87" t="n"/>
      <c r="D363" s="88" t="n"/>
      <c r="E363" s="88" t="n"/>
      <c r="F363" s="88" t="n"/>
      <c r="G363" s="88" t="n"/>
      <c r="H363" s="89" t="n"/>
      <c r="I363" s="90">
        <f>IF($G363="","",IF($F363="",IFERROR(INDEX(Setup!$C$21:$C$60,MATCH("|"&amp;UPPER(TRIM($G363)),Setup!$Q$21:$Q$60,0)),"NO RATE"),IFERROR(INDEX(Setup!$C$21:$C$60,MATCH(UPPER(TRIM($F363))&amp;"|"&amp;UPPER(TRIM($G363)),Setup!$P$21:$P$60,0)),IFERROR(INDEX(Setup!$C$21:$C$60,MATCH(UPPER(TRIM($G363))&amp;"|"&amp;UPPER(TRIM($F363)),Setup!$P$21:$P$60,0)),"NO RATE"))))</f>
        <v/>
      </c>
      <c r="J363" s="91" t="n"/>
      <c r="K363" s="90">
        <f>IF(OR($G363="",$H363="",NOT(ISNUMBER($I363))),"",ROUND($H363*$I363*(1+IF($J363="",Setup!$B$16,$J363)),2))</f>
        <v/>
      </c>
      <c r="L363" s="90">
        <f>IF($K363="","",ROUND($K363*Setup!$B$13,2))</f>
        <v/>
      </c>
      <c r="M363" s="90">
        <f>IF($K363="","",$K363-$L363)</f>
        <v/>
      </c>
      <c r="N363" s="90">
        <f>IF(OR($M363="",$D363=""),"",ROUND($M363*IFERROR(IF(VLOOKUP($D363,Setup!$A$76:$C$87,3,FALSE)="",Setup!$B$14,VLOOKUP($D363,Setup!$A$76:$C$87,3,FALSE)),Setup!$B$14),2))</f>
        <v/>
      </c>
      <c r="O363" s="90">
        <f>IF(OR($M363="",$E363=""),"",ROUND($M363*IFERROR(IF(VLOOKUP($E363,Setup!$A$76:$C$87,3,FALSE)="",Setup!$B$15,VLOOKUP($E363,Setup!$A$76:$C$87,3,FALSE)),Setup!$B$15),2))</f>
        <v/>
      </c>
      <c r="P363" s="92" t="n"/>
      <c r="Q363" s="92" t="n"/>
      <c r="R363" s="92" t="n"/>
      <c r="S363" s="92" t="n"/>
      <c r="T363" s="92" t="n"/>
      <c r="U363" s="90">
        <f>IF($K363="","",SUM($R363:$T363))</f>
        <v/>
      </c>
      <c r="V363" s="90">
        <f>IF($K363="","",$M363-(N($N363)+N($O363)+IF($P363="",Setup!$B$17,$P363)+N($Q363))-N($U363))</f>
        <v/>
      </c>
      <c r="W363" s="87" t="n"/>
      <c r="X363" s="88" t="n"/>
      <c r="Z363" s="93">
        <f>IF($A363="","",DATE(YEAR($A363),MONTH($A363),1))</f>
        <v/>
      </c>
    </row>
    <row r="364">
      <c r="A364" s="94" t="n"/>
      <c r="B364" s="95" t="n"/>
      <c r="C364" s="95" t="n"/>
      <c r="D364" s="96" t="n"/>
      <c r="E364" s="96" t="n"/>
      <c r="F364" s="96" t="n"/>
      <c r="G364" s="96" t="n"/>
      <c r="H364" s="97" t="n"/>
      <c r="I364" s="90">
        <f>IF($G364="","",IF($F364="",IFERROR(INDEX(Setup!$C$21:$C$60,MATCH("|"&amp;UPPER(TRIM($G364)),Setup!$Q$21:$Q$60,0)),"NO RATE"),IFERROR(INDEX(Setup!$C$21:$C$60,MATCH(UPPER(TRIM($F364))&amp;"|"&amp;UPPER(TRIM($G364)),Setup!$P$21:$P$60,0)),IFERROR(INDEX(Setup!$C$21:$C$60,MATCH(UPPER(TRIM($G364))&amp;"|"&amp;UPPER(TRIM($F364)),Setup!$P$21:$P$60,0)),"NO RATE"))))</f>
        <v/>
      </c>
      <c r="J364" s="98" t="n"/>
      <c r="K364" s="90">
        <f>IF(OR($G364="",$H364="",NOT(ISNUMBER($I364))),"",ROUND($H364*$I364*(1+IF($J364="",Setup!$B$16,$J364)),2))</f>
        <v/>
      </c>
      <c r="L364" s="90">
        <f>IF($K364="","",ROUND($K364*Setup!$B$13,2))</f>
        <v/>
      </c>
      <c r="M364" s="90">
        <f>IF($K364="","",$K364-$L364)</f>
        <v/>
      </c>
      <c r="N364" s="90">
        <f>IF(OR($M364="",$D364=""),"",ROUND($M364*IFERROR(IF(VLOOKUP($D364,Setup!$A$76:$C$87,3,FALSE)="",Setup!$B$14,VLOOKUP($D364,Setup!$A$76:$C$87,3,FALSE)),Setup!$B$14),2))</f>
        <v/>
      </c>
      <c r="O364" s="90">
        <f>IF(OR($M364="",$E364=""),"",ROUND($M364*IFERROR(IF(VLOOKUP($E364,Setup!$A$76:$C$87,3,FALSE)="",Setup!$B$15,VLOOKUP($E364,Setup!$A$76:$C$87,3,FALSE)),Setup!$B$15),2))</f>
        <v/>
      </c>
      <c r="P364" s="99" t="n"/>
      <c r="Q364" s="99" t="n"/>
      <c r="R364" s="99" t="n"/>
      <c r="S364" s="99" t="n"/>
      <c r="T364" s="99" t="n"/>
      <c r="U364" s="90">
        <f>IF($K364="","",SUM($R364:$T364))</f>
        <v/>
      </c>
      <c r="V364" s="90">
        <f>IF($K364="","",$M364-(N($N364)+N($O364)+IF($P364="",Setup!$B$17,$P364)+N($Q364))-N($U364))</f>
        <v/>
      </c>
      <c r="W364" s="95" t="n"/>
      <c r="X364" s="96" t="n"/>
      <c r="Z364" s="93">
        <f>IF($A364="","",DATE(YEAR($A364),MONTH($A364),1))</f>
        <v/>
      </c>
    </row>
    <row r="365">
      <c r="A365" s="86" t="n"/>
      <c r="B365" s="87" t="n"/>
      <c r="C365" s="87" t="n"/>
      <c r="D365" s="88" t="n"/>
      <c r="E365" s="88" t="n"/>
      <c r="F365" s="88" t="n"/>
      <c r="G365" s="88" t="n"/>
      <c r="H365" s="89" t="n"/>
      <c r="I365" s="90">
        <f>IF($G365="","",IF($F365="",IFERROR(INDEX(Setup!$C$21:$C$60,MATCH("|"&amp;UPPER(TRIM($G365)),Setup!$Q$21:$Q$60,0)),"NO RATE"),IFERROR(INDEX(Setup!$C$21:$C$60,MATCH(UPPER(TRIM($F365))&amp;"|"&amp;UPPER(TRIM($G365)),Setup!$P$21:$P$60,0)),IFERROR(INDEX(Setup!$C$21:$C$60,MATCH(UPPER(TRIM($G365))&amp;"|"&amp;UPPER(TRIM($F365)),Setup!$P$21:$P$60,0)),"NO RATE"))))</f>
        <v/>
      </c>
      <c r="J365" s="91" t="n"/>
      <c r="K365" s="90">
        <f>IF(OR($G365="",$H365="",NOT(ISNUMBER($I365))),"",ROUND($H365*$I365*(1+IF($J365="",Setup!$B$16,$J365)),2))</f>
        <v/>
      </c>
      <c r="L365" s="90">
        <f>IF($K365="","",ROUND($K365*Setup!$B$13,2))</f>
        <v/>
      </c>
      <c r="M365" s="90">
        <f>IF($K365="","",$K365-$L365)</f>
        <v/>
      </c>
      <c r="N365" s="90">
        <f>IF(OR($M365="",$D365=""),"",ROUND($M365*IFERROR(IF(VLOOKUP($D365,Setup!$A$76:$C$87,3,FALSE)="",Setup!$B$14,VLOOKUP($D365,Setup!$A$76:$C$87,3,FALSE)),Setup!$B$14),2))</f>
        <v/>
      </c>
      <c r="O365" s="90">
        <f>IF(OR($M365="",$E365=""),"",ROUND($M365*IFERROR(IF(VLOOKUP($E365,Setup!$A$76:$C$87,3,FALSE)="",Setup!$B$15,VLOOKUP($E365,Setup!$A$76:$C$87,3,FALSE)),Setup!$B$15),2))</f>
        <v/>
      </c>
      <c r="P365" s="92" t="n"/>
      <c r="Q365" s="92" t="n"/>
      <c r="R365" s="92" t="n"/>
      <c r="S365" s="92" t="n"/>
      <c r="T365" s="92" t="n"/>
      <c r="U365" s="90">
        <f>IF($K365="","",SUM($R365:$T365))</f>
        <v/>
      </c>
      <c r="V365" s="90">
        <f>IF($K365="","",$M365-(N($N365)+N($O365)+IF($P365="",Setup!$B$17,$P365)+N($Q365))-N($U365))</f>
        <v/>
      </c>
      <c r="W365" s="87" t="n"/>
      <c r="X365" s="88" t="n"/>
      <c r="Z365" s="93">
        <f>IF($A365="","",DATE(YEAR($A365),MONTH($A365),1))</f>
        <v/>
      </c>
    </row>
    <row r="366">
      <c r="A366" s="94" t="n"/>
      <c r="B366" s="95" t="n"/>
      <c r="C366" s="95" t="n"/>
      <c r="D366" s="96" t="n"/>
      <c r="E366" s="96" t="n"/>
      <c r="F366" s="96" t="n"/>
      <c r="G366" s="96" t="n"/>
      <c r="H366" s="97" t="n"/>
      <c r="I366" s="90">
        <f>IF($G366="","",IF($F366="",IFERROR(INDEX(Setup!$C$21:$C$60,MATCH("|"&amp;UPPER(TRIM($G366)),Setup!$Q$21:$Q$60,0)),"NO RATE"),IFERROR(INDEX(Setup!$C$21:$C$60,MATCH(UPPER(TRIM($F366))&amp;"|"&amp;UPPER(TRIM($G366)),Setup!$P$21:$P$60,0)),IFERROR(INDEX(Setup!$C$21:$C$60,MATCH(UPPER(TRIM($G366))&amp;"|"&amp;UPPER(TRIM($F366)),Setup!$P$21:$P$60,0)),"NO RATE"))))</f>
        <v/>
      </c>
      <c r="J366" s="98" t="n"/>
      <c r="K366" s="90">
        <f>IF(OR($G366="",$H366="",NOT(ISNUMBER($I366))),"",ROUND($H366*$I366*(1+IF($J366="",Setup!$B$16,$J366)),2))</f>
        <v/>
      </c>
      <c r="L366" s="90">
        <f>IF($K366="","",ROUND($K366*Setup!$B$13,2))</f>
        <v/>
      </c>
      <c r="M366" s="90">
        <f>IF($K366="","",$K366-$L366)</f>
        <v/>
      </c>
      <c r="N366" s="90">
        <f>IF(OR($M366="",$D366=""),"",ROUND($M366*IFERROR(IF(VLOOKUP($D366,Setup!$A$76:$C$87,3,FALSE)="",Setup!$B$14,VLOOKUP($D366,Setup!$A$76:$C$87,3,FALSE)),Setup!$B$14),2))</f>
        <v/>
      </c>
      <c r="O366" s="90">
        <f>IF(OR($M366="",$E366=""),"",ROUND($M366*IFERROR(IF(VLOOKUP($E366,Setup!$A$76:$C$87,3,FALSE)="",Setup!$B$15,VLOOKUP($E366,Setup!$A$76:$C$87,3,FALSE)),Setup!$B$15),2))</f>
        <v/>
      </c>
      <c r="P366" s="99" t="n"/>
      <c r="Q366" s="99" t="n"/>
      <c r="R366" s="99" t="n"/>
      <c r="S366" s="99" t="n"/>
      <c r="T366" s="99" t="n"/>
      <c r="U366" s="90">
        <f>IF($K366="","",SUM($R366:$T366))</f>
        <v/>
      </c>
      <c r="V366" s="90">
        <f>IF($K366="","",$M366-(N($N366)+N($O366)+IF($P366="",Setup!$B$17,$P366)+N($Q366))-N($U366))</f>
        <v/>
      </c>
      <c r="W366" s="95" t="n"/>
      <c r="X366" s="96" t="n"/>
      <c r="Z366" s="93">
        <f>IF($A366="","",DATE(YEAR($A366),MONTH($A366),1))</f>
        <v/>
      </c>
    </row>
    <row r="367">
      <c r="A367" s="86" t="n"/>
      <c r="B367" s="87" t="n"/>
      <c r="C367" s="87" t="n"/>
      <c r="D367" s="88" t="n"/>
      <c r="E367" s="88" t="n"/>
      <c r="F367" s="88" t="n"/>
      <c r="G367" s="88" t="n"/>
      <c r="H367" s="89" t="n"/>
      <c r="I367" s="90">
        <f>IF($G367="","",IF($F367="",IFERROR(INDEX(Setup!$C$21:$C$60,MATCH("|"&amp;UPPER(TRIM($G367)),Setup!$Q$21:$Q$60,0)),"NO RATE"),IFERROR(INDEX(Setup!$C$21:$C$60,MATCH(UPPER(TRIM($F367))&amp;"|"&amp;UPPER(TRIM($G367)),Setup!$P$21:$P$60,0)),IFERROR(INDEX(Setup!$C$21:$C$60,MATCH(UPPER(TRIM($G367))&amp;"|"&amp;UPPER(TRIM($F367)),Setup!$P$21:$P$60,0)),"NO RATE"))))</f>
        <v/>
      </c>
      <c r="J367" s="91" t="n"/>
      <c r="K367" s="90">
        <f>IF(OR($G367="",$H367="",NOT(ISNUMBER($I367))),"",ROUND($H367*$I367*(1+IF($J367="",Setup!$B$16,$J367)),2))</f>
        <v/>
      </c>
      <c r="L367" s="90">
        <f>IF($K367="","",ROUND($K367*Setup!$B$13,2))</f>
        <v/>
      </c>
      <c r="M367" s="90">
        <f>IF($K367="","",$K367-$L367)</f>
        <v/>
      </c>
      <c r="N367" s="90">
        <f>IF(OR($M367="",$D367=""),"",ROUND($M367*IFERROR(IF(VLOOKUP($D367,Setup!$A$76:$C$87,3,FALSE)="",Setup!$B$14,VLOOKUP($D367,Setup!$A$76:$C$87,3,FALSE)),Setup!$B$14),2))</f>
        <v/>
      </c>
      <c r="O367" s="90">
        <f>IF(OR($M367="",$E367=""),"",ROUND($M367*IFERROR(IF(VLOOKUP($E367,Setup!$A$76:$C$87,3,FALSE)="",Setup!$B$15,VLOOKUP($E367,Setup!$A$76:$C$87,3,FALSE)),Setup!$B$15),2))</f>
        <v/>
      </c>
      <c r="P367" s="92" t="n"/>
      <c r="Q367" s="92" t="n"/>
      <c r="R367" s="92" t="n"/>
      <c r="S367" s="92" t="n"/>
      <c r="T367" s="92" t="n"/>
      <c r="U367" s="90">
        <f>IF($K367="","",SUM($R367:$T367))</f>
        <v/>
      </c>
      <c r="V367" s="90">
        <f>IF($K367="","",$M367-(N($N367)+N($O367)+IF($P367="",Setup!$B$17,$P367)+N($Q367))-N($U367))</f>
        <v/>
      </c>
      <c r="W367" s="87" t="n"/>
      <c r="X367" s="88" t="n"/>
      <c r="Z367" s="93">
        <f>IF($A367="","",DATE(YEAR($A367),MONTH($A367),1))</f>
        <v/>
      </c>
    </row>
    <row r="368">
      <c r="A368" s="94" t="n"/>
      <c r="B368" s="95" t="n"/>
      <c r="C368" s="95" t="n"/>
      <c r="D368" s="96" t="n"/>
      <c r="E368" s="96" t="n"/>
      <c r="F368" s="96" t="n"/>
      <c r="G368" s="96" t="n"/>
      <c r="H368" s="97" t="n"/>
      <c r="I368" s="90">
        <f>IF($G368="","",IF($F368="",IFERROR(INDEX(Setup!$C$21:$C$60,MATCH("|"&amp;UPPER(TRIM($G368)),Setup!$Q$21:$Q$60,0)),"NO RATE"),IFERROR(INDEX(Setup!$C$21:$C$60,MATCH(UPPER(TRIM($F368))&amp;"|"&amp;UPPER(TRIM($G368)),Setup!$P$21:$P$60,0)),IFERROR(INDEX(Setup!$C$21:$C$60,MATCH(UPPER(TRIM($G368))&amp;"|"&amp;UPPER(TRIM($F368)),Setup!$P$21:$P$60,0)),"NO RATE"))))</f>
        <v/>
      </c>
      <c r="J368" s="98" t="n"/>
      <c r="K368" s="90">
        <f>IF(OR($G368="",$H368="",NOT(ISNUMBER($I368))),"",ROUND($H368*$I368*(1+IF($J368="",Setup!$B$16,$J368)),2))</f>
        <v/>
      </c>
      <c r="L368" s="90">
        <f>IF($K368="","",ROUND($K368*Setup!$B$13,2))</f>
        <v/>
      </c>
      <c r="M368" s="90">
        <f>IF($K368="","",$K368-$L368)</f>
        <v/>
      </c>
      <c r="N368" s="90">
        <f>IF(OR($M368="",$D368=""),"",ROUND($M368*IFERROR(IF(VLOOKUP($D368,Setup!$A$76:$C$87,3,FALSE)="",Setup!$B$14,VLOOKUP($D368,Setup!$A$76:$C$87,3,FALSE)),Setup!$B$14),2))</f>
        <v/>
      </c>
      <c r="O368" s="90">
        <f>IF(OR($M368="",$E368=""),"",ROUND($M368*IFERROR(IF(VLOOKUP($E368,Setup!$A$76:$C$87,3,FALSE)="",Setup!$B$15,VLOOKUP($E368,Setup!$A$76:$C$87,3,FALSE)),Setup!$B$15),2))</f>
        <v/>
      </c>
      <c r="P368" s="99" t="n"/>
      <c r="Q368" s="99" t="n"/>
      <c r="R368" s="99" t="n"/>
      <c r="S368" s="99" t="n"/>
      <c r="T368" s="99" t="n"/>
      <c r="U368" s="90">
        <f>IF($K368="","",SUM($R368:$T368))</f>
        <v/>
      </c>
      <c r="V368" s="90">
        <f>IF($K368="","",$M368-(N($N368)+N($O368)+IF($P368="",Setup!$B$17,$P368)+N($Q368))-N($U368))</f>
        <v/>
      </c>
      <c r="W368" s="95" t="n"/>
      <c r="X368" s="96" t="n"/>
      <c r="Z368" s="93">
        <f>IF($A368="","",DATE(YEAR($A368),MONTH($A368),1))</f>
        <v/>
      </c>
    </row>
    <row r="369">
      <c r="A369" s="86" t="n"/>
      <c r="B369" s="87" t="n"/>
      <c r="C369" s="87" t="n"/>
      <c r="D369" s="88" t="n"/>
      <c r="E369" s="88" t="n"/>
      <c r="F369" s="88" t="n"/>
      <c r="G369" s="88" t="n"/>
      <c r="H369" s="89" t="n"/>
      <c r="I369" s="90">
        <f>IF($G369="","",IF($F369="",IFERROR(INDEX(Setup!$C$21:$C$60,MATCH("|"&amp;UPPER(TRIM($G369)),Setup!$Q$21:$Q$60,0)),"NO RATE"),IFERROR(INDEX(Setup!$C$21:$C$60,MATCH(UPPER(TRIM($F369))&amp;"|"&amp;UPPER(TRIM($G369)),Setup!$P$21:$P$60,0)),IFERROR(INDEX(Setup!$C$21:$C$60,MATCH(UPPER(TRIM($G369))&amp;"|"&amp;UPPER(TRIM($F369)),Setup!$P$21:$P$60,0)),"NO RATE"))))</f>
        <v/>
      </c>
      <c r="J369" s="91" t="n"/>
      <c r="K369" s="90">
        <f>IF(OR($G369="",$H369="",NOT(ISNUMBER($I369))),"",ROUND($H369*$I369*(1+IF($J369="",Setup!$B$16,$J369)),2))</f>
        <v/>
      </c>
      <c r="L369" s="90">
        <f>IF($K369="","",ROUND($K369*Setup!$B$13,2))</f>
        <v/>
      </c>
      <c r="M369" s="90">
        <f>IF($K369="","",$K369-$L369)</f>
        <v/>
      </c>
      <c r="N369" s="90">
        <f>IF(OR($M369="",$D369=""),"",ROUND($M369*IFERROR(IF(VLOOKUP($D369,Setup!$A$76:$C$87,3,FALSE)="",Setup!$B$14,VLOOKUP($D369,Setup!$A$76:$C$87,3,FALSE)),Setup!$B$14),2))</f>
        <v/>
      </c>
      <c r="O369" s="90">
        <f>IF(OR($M369="",$E369=""),"",ROUND($M369*IFERROR(IF(VLOOKUP($E369,Setup!$A$76:$C$87,3,FALSE)="",Setup!$B$15,VLOOKUP($E369,Setup!$A$76:$C$87,3,FALSE)),Setup!$B$15),2))</f>
        <v/>
      </c>
      <c r="P369" s="92" t="n"/>
      <c r="Q369" s="92" t="n"/>
      <c r="R369" s="92" t="n"/>
      <c r="S369" s="92" t="n"/>
      <c r="T369" s="92" t="n"/>
      <c r="U369" s="90">
        <f>IF($K369="","",SUM($R369:$T369))</f>
        <v/>
      </c>
      <c r="V369" s="90">
        <f>IF($K369="","",$M369-(N($N369)+N($O369)+IF($P369="",Setup!$B$17,$P369)+N($Q369))-N($U369))</f>
        <v/>
      </c>
      <c r="W369" s="87" t="n"/>
      <c r="X369" s="88" t="n"/>
      <c r="Z369" s="93">
        <f>IF($A369="","",DATE(YEAR($A369),MONTH($A369),1))</f>
        <v/>
      </c>
    </row>
    <row r="370">
      <c r="A370" s="94" t="n"/>
      <c r="B370" s="95" t="n"/>
      <c r="C370" s="95" t="n"/>
      <c r="D370" s="96" t="n"/>
      <c r="E370" s="96" t="n"/>
      <c r="F370" s="96" t="n"/>
      <c r="G370" s="96" t="n"/>
      <c r="H370" s="97" t="n"/>
      <c r="I370" s="90">
        <f>IF($G370="","",IF($F370="",IFERROR(INDEX(Setup!$C$21:$C$60,MATCH("|"&amp;UPPER(TRIM($G370)),Setup!$Q$21:$Q$60,0)),"NO RATE"),IFERROR(INDEX(Setup!$C$21:$C$60,MATCH(UPPER(TRIM($F370))&amp;"|"&amp;UPPER(TRIM($G370)),Setup!$P$21:$P$60,0)),IFERROR(INDEX(Setup!$C$21:$C$60,MATCH(UPPER(TRIM($G370))&amp;"|"&amp;UPPER(TRIM($F370)),Setup!$P$21:$P$60,0)),"NO RATE"))))</f>
        <v/>
      </c>
      <c r="J370" s="98" t="n"/>
      <c r="K370" s="90">
        <f>IF(OR($G370="",$H370="",NOT(ISNUMBER($I370))),"",ROUND($H370*$I370*(1+IF($J370="",Setup!$B$16,$J370)),2))</f>
        <v/>
      </c>
      <c r="L370" s="90">
        <f>IF($K370="","",ROUND($K370*Setup!$B$13,2))</f>
        <v/>
      </c>
      <c r="M370" s="90">
        <f>IF($K370="","",$K370-$L370)</f>
        <v/>
      </c>
      <c r="N370" s="90">
        <f>IF(OR($M370="",$D370=""),"",ROUND($M370*IFERROR(IF(VLOOKUP($D370,Setup!$A$76:$C$87,3,FALSE)="",Setup!$B$14,VLOOKUP($D370,Setup!$A$76:$C$87,3,FALSE)),Setup!$B$14),2))</f>
        <v/>
      </c>
      <c r="O370" s="90">
        <f>IF(OR($M370="",$E370=""),"",ROUND($M370*IFERROR(IF(VLOOKUP($E370,Setup!$A$76:$C$87,3,FALSE)="",Setup!$B$15,VLOOKUP($E370,Setup!$A$76:$C$87,3,FALSE)),Setup!$B$15),2))</f>
        <v/>
      </c>
      <c r="P370" s="99" t="n"/>
      <c r="Q370" s="99" t="n"/>
      <c r="R370" s="99" t="n"/>
      <c r="S370" s="99" t="n"/>
      <c r="T370" s="99" t="n"/>
      <c r="U370" s="90">
        <f>IF($K370="","",SUM($R370:$T370))</f>
        <v/>
      </c>
      <c r="V370" s="90">
        <f>IF($K370="","",$M370-(N($N370)+N($O370)+IF($P370="",Setup!$B$17,$P370)+N($Q370))-N($U370))</f>
        <v/>
      </c>
      <c r="W370" s="95" t="n"/>
      <c r="X370" s="96" t="n"/>
      <c r="Z370" s="93">
        <f>IF($A370="","",DATE(YEAR($A370),MONTH($A370),1))</f>
        <v/>
      </c>
    </row>
    <row r="371">
      <c r="A371" s="86" t="n"/>
      <c r="B371" s="87" t="n"/>
      <c r="C371" s="87" t="n"/>
      <c r="D371" s="88" t="n"/>
      <c r="E371" s="88" t="n"/>
      <c r="F371" s="88" t="n"/>
      <c r="G371" s="88" t="n"/>
      <c r="H371" s="89" t="n"/>
      <c r="I371" s="90">
        <f>IF($G371="","",IF($F371="",IFERROR(INDEX(Setup!$C$21:$C$60,MATCH("|"&amp;UPPER(TRIM($G371)),Setup!$Q$21:$Q$60,0)),"NO RATE"),IFERROR(INDEX(Setup!$C$21:$C$60,MATCH(UPPER(TRIM($F371))&amp;"|"&amp;UPPER(TRIM($G371)),Setup!$P$21:$P$60,0)),IFERROR(INDEX(Setup!$C$21:$C$60,MATCH(UPPER(TRIM($G371))&amp;"|"&amp;UPPER(TRIM($F371)),Setup!$P$21:$P$60,0)),"NO RATE"))))</f>
        <v/>
      </c>
      <c r="J371" s="91" t="n"/>
      <c r="K371" s="90">
        <f>IF(OR($G371="",$H371="",NOT(ISNUMBER($I371))),"",ROUND($H371*$I371*(1+IF($J371="",Setup!$B$16,$J371)),2))</f>
        <v/>
      </c>
      <c r="L371" s="90">
        <f>IF($K371="","",ROUND($K371*Setup!$B$13,2))</f>
        <v/>
      </c>
      <c r="M371" s="90">
        <f>IF($K371="","",$K371-$L371)</f>
        <v/>
      </c>
      <c r="N371" s="90">
        <f>IF(OR($M371="",$D371=""),"",ROUND($M371*IFERROR(IF(VLOOKUP($D371,Setup!$A$76:$C$87,3,FALSE)="",Setup!$B$14,VLOOKUP($D371,Setup!$A$76:$C$87,3,FALSE)),Setup!$B$14),2))</f>
        <v/>
      </c>
      <c r="O371" s="90">
        <f>IF(OR($M371="",$E371=""),"",ROUND($M371*IFERROR(IF(VLOOKUP($E371,Setup!$A$76:$C$87,3,FALSE)="",Setup!$B$15,VLOOKUP($E371,Setup!$A$76:$C$87,3,FALSE)),Setup!$B$15),2))</f>
        <v/>
      </c>
      <c r="P371" s="92" t="n"/>
      <c r="Q371" s="92" t="n"/>
      <c r="R371" s="92" t="n"/>
      <c r="S371" s="92" t="n"/>
      <c r="T371" s="92" t="n"/>
      <c r="U371" s="90">
        <f>IF($K371="","",SUM($R371:$T371))</f>
        <v/>
      </c>
      <c r="V371" s="90">
        <f>IF($K371="","",$M371-(N($N371)+N($O371)+IF($P371="",Setup!$B$17,$P371)+N($Q371))-N($U371))</f>
        <v/>
      </c>
      <c r="W371" s="87" t="n"/>
      <c r="X371" s="88" t="n"/>
      <c r="Z371" s="93">
        <f>IF($A371="","",DATE(YEAR($A371),MONTH($A371),1))</f>
        <v/>
      </c>
    </row>
    <row r="372">
      <c r="A372" s="94" t="n"/>
      <c r="B372" s="95" t="n"/>
      <c r="C372" s="95" t="n"/>
      <c r="D372" s="96" t="n"/>
      <c r="E372" s="96" t="n"/>
      <c r="F372" s="96" t="n"/>
      <c r="G372" s="96" t="n"/>
      <c r="H372" s="97" t="n"/>
      <c r="I372" s="90">
        <f>IF($G372="","",IF($F372="",IFERROR(INDEX(Setup!$C$21:$C$60,MATCH("|"&amp;UPPER(TRIM($G372)),Setup!$Q$21:$Q$60,0)),"NO RATE"),IFERROR(INDEX(Setup!$C$21:$C$60,MATCH(UPPER(TRIM($F372))&amp;"|"&amp;UPPER(TRIM($G372)),Setup!$P$21:$P$60,0)),IFERROR(INDEX(Setup!$C$21:$C$60,MATCH(UPPER(TRIM($G372))&amp;"|"&amp;UPPER(TRIM($F372)),Setup!$P$21:$P$60,0)),"NO RATE"))))</f>
        <v/>
      </c>
      <c r="J372" s="98" t="n"/>
      <c r="K372" s="90">
        <f>IF(OR($G372="",$H372="",NOT(ISNUMBER($I372))),"",ROUND($H372*$I372*(1+IF($J372="",Setup!$B$16,$J372)),2))</f>
        <v/>
      </c>
      <c r="L372" s="90">
        <f>IF($K372="","",ROUND($K372*Setup!$B$13,2))</f>
        <v/>
      </c>
      <c r="M372" s="90">
        <f>IF($K372="","",$K372-$L372)</f>
        <v/>
      </c>
      <c r="N372" s="90">
        <f>IF(OR($M372="",$D372=""),"",ROUND($M372*IFERROR(IF(VLOOKUP($D372,Setup!$A$76:$C$87,3,FALSE)="",Setup!$B$14,VLOOKUP($D372,Setup!$A$76:$C$87,3,FALSE)),Setup!$B$14),2))</f>
        <v/>
      </c>
      <c r="O372" s="90">
        <f>IF(OR($M372="",$E372=""),"",ROUND($M372*IFERROR(IF(VLOOKUP($E372,Setup!$A$76:$C$87,3,FALSE)="",Setup!$B$15,VLOOKUP($E372,Setup!$A$76:$C$87,3,FALSE)),Setup!$B$15),2))</f>
        <v/>
      </c>
      <c r="P372" s="99" t="n"/>
      <c r="Q372" s="99" t="n"/>
      <c r="R372" s="99" t="n"/>
      <c r="S372" s="99" t="n"/>
      <c r="T372" s="99" t="n"/>
      <c r="U372" s="90">
        <f>IF($K372="","",SUM($R372:$T372))</f>
        <v/>
      </c>
      <c r="V372" s="90">
        <f>IF($K372="","",$M372-(N($N372)+N($O372)+IF($P372="",Setup!$B$17,$P372)+N($Q372))-N($U372))</f>
        <v/>
      </c>
      <c r="W372" s="95" t="n"/>
      <c r="X372" s="96" t="n"/>
      <c r="Z372" s="93">
        <f>IF($A372="","",DATE(YEAR($A372),MONTH($A372),1))</f>
        <v/>
      </c>
    </row>
    <row r="373">
      <c r="A373" s="86" t="n"/>
      <c r="B373" s="87" t="n"/>
      <c r="C373" s="87" t="n"/>
      <c r="D373" s="88" t="n"/>
      <c r="E373" s="88" t="n"/>
      <c r="F373" s="88" t="n"/>
      <c r="G373" s="88" t="n"/>
      <c r="H373" s="89" t="n"/>
      <c r="I373" s="90">
        <f>IF($G373="","",IF($F373="",IFERROR(INDEX(Setup!$C$21:$C$60,MATCH("|"&amp;UPPER(TRIM($G373)),Setup!$Q$21:$Q$60,0)),"NO RATE"),IFERROR(INDEX(Setup!$C$21:$C$60,MATCH(UPPER(TRIM($F373))&amp;"|"&amp;UPPER(TRIM($G373)),Setup!$P$21:$P$60,0)),IFERROR(INDEX(Setup!$C$21:$C$60,MATCH(UPPER(TRIM($G373))&amp;"|"&amp;UPPER(TRIM($F373)),Setup!$P$21:$P$60,0)),"NO RATE"))))</f>
        <v/>
      </c>
      <c r="J373" s="91" t="n"/>
      <c r="K373" s="90">
        <f>IF(OR($G373="",$H373="",NOT(ISNUMBER($I373))),"",ROUND($H373*$I373*(1+IF($J373="",Setup!$B$16,$J373)),2))</f>
        <v/>
      </c>
      <c r="L373" s="90">
        <f>IF($K373="","",ROUND($K373*Setup!$B$13,2))</f>
        <v/>
      </c>
      <c r="M373" s="90">
        <f>IF($K373="","",$K373-$L373)</f>
        <v/>
      </c>
      <c r="N373" s="90">
        <f>IF(OR($M373="",$D373=""),"",ROUND($M373*IFERROR(IF(VLOOKUP($D373,Setup!$A$76:$C$87,3,FALSE)="",Setup!$B$14,VLOOKUP($D373,Setup!$A$76:$C$87,3,FALSE)),Setup!$B$14),2))</f>
        <v/>
      </c>
      <c r="O373" s="90">
        <f>IF(OR($M373="",$E373=""),"",ROUND($M373*IFERROR(IF(VLOOKUP($E373,Setup!$A$76:$C$87,3,FALSE)="",Setup!$B$15,VLOOKUP($E373,Setup!$A$76:$C$87,3,FALSE)),Setup!$B$15),2))</f>
        <v/>
      </c>
      <c r="P373" s="92" t="n"/>
      <c r="Q373" s="92" t="n"/>
      <c r="R373" s="92" t="n"/>
      <c r="S373" s="92" t="n"/>
      <c r="T373" s="92" t="n"/>
      <c r="U373" s="90">
        <f>IF($K373="","",SUM($R373:$T373))</f>
        <v/>
      </c>
      <c r="V373" s="90">
        <f>IF($K373="","",$M373-(N($N373)+N($O373)+IF($P373="",Setup!$B$17,$P373)+N($Q373))-N($U373))</f>
        <v/>
      </c>
      <c r="W373" s="87" t="n"/>
      <c r="X373" s="88" t="n"/>
      <c r="Z373" s="93">
        <f>IF($A373="","",DATE(YEAR($A373),MONTH($A373),1))</f>
        <v/>
      </c>
    </row>
    <row r="374">
      <c r="A374" s="94" t="n"/>
      <c r="B374" s="95" t="n"/>
      <c r="C374" s="95" t="n"/>
      <c r="D374" s="96" t="n"/>
      <c r="E374" s="96" t="n"/>
      <c r="F374" s="96" t="n"/>
      <c r="G374" s="96" t="n"/>
      <c r="H374" s="97" t="n"/>
      <c r="I374" s="90">
        <f>IF($G374="","",IF($F374="",IFERROR(INDEX(Setup!$C$21:$C$60,MATCH("|"&amp;UPPER(TRIM($G374)),Setup!$Q$21:$Q$60,0)),"NO RATE"),IFERROR(INDEX(Setup!$C$21:$C$60,MATCH(UPPER(TRIM($F374))&amp;"|"&amp;UPPER(TRIM($G374)),Setup!$P$21:$P$60,0)),IFERROR(INDEX(Setup!$C$21:$C$60,MATCH(UPPER(TRIM($G374))&amp;"|"&amp;UPPER(TRIM($F374)),Setup!$P$21:$P$60,0)),"NO RATE"))))</f>
        <v/>
      </c>
      <c r="J374" s="98" t="n"/>
      <c r="K374" s="90">
        <f>IF(OR($G374="",$H374="",NOT(ISNUMBER($I374))),"",ROUND($H374*$I374*(1+IF($J374="",Setup!$B$16,$J374)),2))</f>
        <v/>
      </c>
      <c r="L374" s="90">
        <f>IF($K374="","",ROUND($K374*Setup!$B$13,2))</f>
        <v/>
      </c>
      <c r="M374" s="90">
        <f>IF($K374="","",$K374-$L374)</f>
        <v/>
      </c>
      <c r="N374" s="90">
        <f>IF(OR($M374="",$D374=""),"",ROUND($M374*IFERROR(IF(VLOOKUP($D374,Setup!$A$76:$C$87,3,FALSE)="",Setup!$B$14,VLOOKUP($D374,Setup!$A$76:$C$87,3,FALSE)),Setup!$B$14),2))</f>
        <v/>
      </c>
      <c r="O374" s="90">
        <f>IF(OR($M374="",$E374=""),"",ROUND($M374*IFERROR(IF(VLOOKUP($E374,Setup!$A$76:$C$87,3,FALSE)="",Setup!$B$15,VLOOKUP($E374,Setup!$A$76:$C$87,3,FALSE)),Setup!$B$15),2))</f>
        <v/>
      </c>
      <c r="P374" s="99" t="n"/>
      <c r="Q374" s="99" t="n"/>
      <c r="R374" s="99" t="n"/>
      <c r="S374" s="99" t="n"/>
      <c r="T374" s="99" t="n"/>
      <c r="U374" s="90">
        <f>IF($K374="","",SUM($R374:$T374))</f>
        <v/>
      </c>
      <c r="V374" s="90">
        <f>IF($K374="","",$M374-(N($N374)+N($O374)+IF($P374="",Setup!$B$17,$P374)+N($Q374))-N($U374))</f>
        <v/>
      </c>
      <c r="W374" s="95" t="n"/>
      <c r="X374" s="96" t="n"/>
      <c r="Z374" s="93">
        <f>IF($A374="","",DATE(YEAR($A374),MONTH($A374),1))</f>
        <v/>
      </c>
    </row>
    <row r="375">
      <c r="A375" s="86" t="n"/>
      <c r="B375" s="87" t="n"/>
      <c r="C375" s="87" t="n"/>
      <c r="D375" s="88" t="n"/>
      <c r="E375" s="88" t="n"/>
      <c r="F375" s="88" t="n"/>
      <c r="G375" s="88" t="n"/>
      <c r="H375" s="89" t="n"/>
      <c r="I375" s="90">
        <f>IF($G375="","",IF($F375="",IFERROR(INDEX(Setup!$C$21:$C$60,MATCH("|"&amp;UPPER(TRIM($G375)),Setup!$Q$21:$Q$60,0)),"NO RATE"),IFERROR(INDEX(Setup!$C$21:$C$60,MATCH(UPPER(TRIM($F375))&amp;"|"&amp;UPPER(TRIM($G375)),Setup!$P$21:$P$60,0)),IFERROR(INDEX(Setup!$C$21:$C$60,MATCH(UPPER(TRIM($G375))&amp;"|"&amp;UPPER(TRIM($F375)),Setup!$P$21:$P$60,0)),"NO RATE"))))</f>
        <v/>
      </c>
      <c r="J375" s="91" t="n"/>
      <c r="K375" s="90">
        <f>IF(OR($G375="",$H375="",NOT(ISNUMBER($I375))),"",ROUND($H375*$I375*(1+IF($J375="",Setup!$B$16,$J375)),2))</f>
        <v/>
      </c>
      <c r="L375" s="90">
        <f>IF($K375="","",ROUND($K375*Setup!$B$13,2))</f>
        <v/>
      </c>
      <c r="M375" s="90">
        <f>IF($K375="","",$K375-$L375)</f>
        <v/>
      </c>
      <c r="N375" s="90">
        <f>IF(OR($M375="",$D375=""),"",ROUND($M375*IFERROR(IF(VLOOKUP($D375,Setup!$A$76:$C$87,3,FALSE)="",Setup!$B$14,VLOOKUP($D375,Setup!$A$76:$C$87,3,FALSE)),Setup!$B$14),2))</f>
        <v/>
      </c>
      <c r="O375" s="90">
        <f>IF(OR($M375="",$E375=""),"",ROUND($M375*IFERROR(IF(VLOOKUP($E375,Setup!$A$76:$C$87,3,FALSE)="",Setup!$B$15,VLOOKUP($E375,Setup!$A$76:$C$87,3,FALSE)),Setup!$B$15),2))</f>
        <v/>
      </c>
      <c r="P375" s="92" t="n"/>
      <c r="Q375" s="92" t="n"/>
      <c r="R375" s="92" t="n"/>
      <c r="S375" s="92" t="n"/>
      <c r="T375" s="92" t="n"/>
      <c r="U375" s="90">
        <f>IF($K375="","",SUM($R375:$T375))</f>
        <v/>
      </c>
      <c r="V375" s="90">
        <f>IF($K375="","",$M375-(N($N375)+N($O375)+IF($P375="",Setup!$B$17,$P375)+N($Q375))-N($U375))</f>
        <v/>
      </c>
      <c r="W375" s="87" t="n"/>
      <c r="X375" s="88" t="n"/>
      <c r="Z375" s="93">
        <f>IF($A375="","",DATE(YEAR($A375),MONTH($A375),1))</f>
        <v/>
      </c>
    </row>
    <row r="376">
      <c r="A376" s="94" t="n"/>
      <c r="B376" s="95" t="n"/>
      <c r="C376" s="95" t="n"/>
      <c r="D376" s="96" t="n"/>
      <c r="E376" s="96" t="n"/>
      <c r="F376" s="96" t="n"/>
      <c r="G376" s="96" t="n"/>
      <c r="H376" s="97" t="n"/>
      <c r="I376" s="90">
        <f>IF($G376="","",IF($F376="",IFERROR(INDEX(Setup!$C$21:$C$60,MATCH("|"&amp;UPPER(TRIM($G376)),Setup!$Q$21:$Q$60,0)),"NO RATE"),IFERROR(INDEX(Setup!$C$21:$C$60,MATCH(UPPER(TRIM($F376))&amp;"|"&amp;UPPER(TRIM($G376)),Setup!$P$21:$P$60,0)),IFERROR(INDEX(Setup!$C$21:$C$60,MATCH(UPPER(TRIM($G376))&amp;"|"&amp;UPPER(TRIM($F376)),Setup!$P$21:$P$60,0)),"NO RATE"))))</f>
        <v/>
      </c>
      <c r="J376" s="98" t="n"/>
      <c r="K376" s="90">
        <f>IF(OR($G376="",$H376="",NOT(ISNUMBER($I376))),"",ROUND($H376*$I376*(1+IF($J376="",Setup!$B$16,$J376)),2))</f>
        <v/>
      </c>
      <c r="L376" s="90">
        <f>IF($K376="","",ROUND($K376*Setup!$B$13,2))</f>
        <v/>
      </c>
      <c r="M376" s="90">
        <f>IF($K376="","",$K376-$L376)</f>
        <v/>
      </c>
      <c r="N376" s="90">
        <f>IF(OR($M376="",$D376=""),"",ROUND($M376*IFERROR(IF(VLOOKUP($D376,Setup!$A$76:$C$87,3,FALSE)="",Setup!$B$14,VLOOKUP($D376,Setup!$A$76:$C$87,3,FALSE)),Setup!$B$14),2))</f>
        <v/>
      </c>
      <c r="O376" s="90">
        <f>IF(OR($M376="",$E376=""),"",ROUND($M376*IFERROR(IF(VLOOKUP($E376,Setup!$A$76:$C$87,3,FALSE)="",Setup!$B$15,VLOOKUP($E376,Setup!$A$76:$C$87,3,FALSE)),Setup!$B$15),2))</f>
        <v/>
      </c>
      <c r="P376" s="99" t="n"/>
      <c r="Q376" s="99" t="n"/>
      <c r="R376" s="99" t="n"/>
      <c r="S376" s="99" t="n"/>
      <c r="T376" s="99" t="n"/>
      <c r="U376" s="90">
        <f>IF($K376="","",SUM($R376:$T376))</f>
        <v/>
      </c>
      <c r="V376" s="90">
        <f>IF($K376="","",$M376-(N($N376)+N($O376)+IF($P376="",Setup!$B$17,$P376)+N($Q376))-N($U376))</f>
        <v/>
      </c>
      <c r="W376" s="95" t="n"/>
      <c r="X376" s="96" t="n"/>
      <c r="Z376" s="93">
        <f>IF($A376="","",DATE(YEAR($A376),MONTH($A376),1))</f>
        <v/>
      </c>
    </row>
    <row r="377">
      <c r="A377" s="86" t="n"/>
      <c r="B377" s="87" t="n"/>
      <c r="C377" s="87" t="n"/>
      <c r="D377" s="88" t="n"/>
      <c r="E377" s="88" t="n"/>
      <c r="F377" s="88" t="n"/>
      <c r="G377" s="88" t="n"/>
      <c r="H377" s="89" t="n"/>
      <c r="I377" s="90">
        <f>IF($G377="","",IF($F377="",IFERROR(INDEX(Setup!$C$21:$C$60,MATCH("|"&amp;UPPER(TRIM($G377)),Setup!$Q$21:$Q$60,0)),"NO RATE"),IFERROR(INDEX(Setup!$C$21:$C$60,MATCH(UPPER(TRIM($F377))&amp;"|"&amp;UPPER(TRIM($G377)),Setup!$P$21:$P$60,0)),IFERROR(INDEX(Setup!$C$21:$C$60,MATCH(UPPER(TRIM($G377))&amp;"|"&amp;UPPER(TRIM($F377)),Setup!$P$21:$P$60,0)),"NO RATE"))))</f>
        <v/>
      </c>
      <c r="J377" s="91" t="n"/>
      <c r="K377" s="90">
        <f>IF(OR($G377="",$H377="",NOT(ISNUMBER($I377))),"",ROUND($H377*$I377*(1+IF($J377="",Setup!$B$16,$J377)),2))</f>
        <v/>
      </c>
      <c r="L377" s="90">
        <f>IF($K377="","",ROUND($K377*Setup!$B$13,2))</f>
        <v/>
      </c>
      <c r="M377" s="90">
        <f>IF($K377="","",$K377-$L377)</f>
        <v/>
      </c>
      <c r="N377" s="90">
        <f>IF(OR($M377="",$D377=""),"",ROUND($M377*IFERROR(IF(VLOOKUP($D377,Setup!$A$76:$C$87,3,FALSE)="",Setup!$B$14,VLOOKUP($D377,Setup!$A$76:$C$87,3,FALSE)),Setup!$B$14),2))</f>
        <v/>
      </c>
      <c r="O377" s="90">
        <f>IF(OR($M377="",$E377=""),"",ROUND($M377*IFERROR(IF(VLOOKUP($E377,Setup!$A$76:$C$87,3,FALSE)="",Setup!$B$15,VLOOKUP($E377,Setup!$A$76:$C$87,3,FALSE)),Setup!$B$15),2))</f>
        <v/>
      </c>
      <c r="P377" s="92" t="n"/>
      <c r="Q377" s="92" t="n"/>
      <c r="R377" s="92" t="n"/>
      <c r="S377" s="92" t="n"/>
      <c r="T377" s="92" t="n"/>
      <c r="U377" s="90">
        <f>IF($K377="","",SUM($R377:$T377))</f>
        <v/>
      </c>
      <c r="V377" s="90">
        <f>IF($K377="","",$M377-(N($N377)+N($O377)+IF($P377="",Setup!$B$17,$P377)+N($Q377))-N($U377))</f>
        <v/>
      </c>
      <c r="W377" s="87" t="n"/>
      <c r="X377" s="88" t="n"/>
      <c r="Z377" s="93">
        <f>IF($A377="","",DATE(YEAR($A377),MONTH($A377),1))</f>
        <v/>
      </c>
    </row>
    <row r="378">
      <c r="A378" s="94" t="n"/>
      <c r="B378" s="95" t="n"/>
      <c r="C378" s="95" t="n"/>
      <c r="D378" s="96" t="n"/>
      <c r="E378" s="96" t="n"/>
      <c r="F378" s="96" t="n"/>
      <c r="G378" s="96" t="n"/>
      <c r="H378" s="97" t="n"/>
      <c r="I378" s="90">
        <f>IF($G378="","",IF($F378="",IFERROR(INDEX(Setup!$C$21:$C$60,MATCH("|"&amp;UPPER(TRIM($G378)),Setup!$Q$21:$Q$60,0)),"NO RATE"),IFERROR(INDEX(Setup!$C$21:$C$60,MATCH(UPPER(TRIM($F378))&amp;"|"&amp;UPPER(TRIM($G378)),Setup!$P$21:$P$60,0)),IFERROR(INDEX(Setup!$C$21:$C$60,MATCH(UPPER(TRIM($G378))&amp;"|"&amp;UPPER(TRIM($F378)),Setup!$P$21:$P$60,0)),"NO RATE"))))</f>
        <v/>
      </c>
      <c r="J378" s="98" t="n"/>
      <c r="K378" s="90">
        <f>IF(OR($G378="",$H378="",NOT(ISNUMBER($I378))),"",ROUND($H378*$I378*(1+IF($J378="",Setup!$B$16,$J378)),2))</f>
        <v/>
      </c>
      <c r="L378" s="90">
        <f>IF($K378="","",ROUND($K378*Setup!$B$13,2))</f>
        <v/>
      </c>
      <c r="M378" s="90">
        <f>IF($K378="","",$K378-$L378)</f>
        <v/>
      </c>
      <c r="N378" s="90">
        <f>IF(OR($M378="",$D378=""),"",ROUND($M378*IFERROR(IF(VLOOKUP($D378,Setup!$A$76:$C$87,3,FALSE)="",Setup!$B$14,VLOOKUP($D378,Setup!$A$76:$C$87,3,FALSE)),Setup!$B$14),2))</f>
        <v/>
      </c>
      <c r="O378" s="90">
        <f>IF(OR($M378="",$E378=""),"",ROUND($M378*IFERROR(IF(VLOOKUP($E378,Setup!$A$76:$C$87,3,FALSE)="",Setup!$B$15,VLOOKUP($E378,Setup!$A$76:$C$87,3,FALSE)),Setup!$B$15),2))</f>
        <v/>
      </c>
      <c r="P378" s="99" t="n"/>
      <c r="Q378" s="99" t="n"/>
      <c r="R378" s="99" t="n"/>
      <c r="S378" s="99" t="n"/>
      <c r="T378" s="99" t="n"/>
      <c r="U378" s="90">
        <f>IF($K378="","",SUM($R378:$T378))</f>
        <v/>
      </c>
      <c r="V378" s="90">
        <f>IF($K378="","",$M378-(N($N378)+N($O378)+IF($P378="",Setup!$B$17,$P378)+N($Q378))-N($U378))</f>
        <v/>
      </c>
      <c r="W378" s="95" t="n"/>
      <c r="X378" s="96" t="n"/>
      <c r="Z378" s="93">
        <f>IF($A378="","",DATE(YEAR($A378),MONTH($A378),1))</f>
        <v/>
      </c>
    </row>
    <row r="379">
      <c r="A379" s="86" t="n"/>
      <c r="B379" s="87" t="n"/>
      <c r="C379" s="87" t="n"/>
      <c r="D379" s="88" t="n"/>
      <c r="E379" s="88" t="n"/>
      <c r="F379" s="88" t="n"/>
      <c r="G379" s="88" t="n"/>
      <c r="H379" s="89" t="n"/>
      <c r="I379" s="90">
        <f>IF($G379="","",IF($F379="",IFERROR(INDEX(Setup!$C$21:$C$60,MATCH("|"&amp;UPPER(TRIM($G379)),Setup!$Q$21:$Q$60,0)),"NO RATE"),IFERROR(INDEX(Setup!$C$21:$C$60,MATCH(UPPER(TRIM($F379))&amp;"|"&amp;UPPER(TRIM($G379)),Setup!$P$21:$P$60,0)),IFERROR(INDEX(Setup!$C$21:$C$60,MATCH(UPPER(TRIM($G379))&amp;"|"&amp;UPPER(TRIM($F379)),Setup!$P$21:$P$60,0)),"NO RATE"))))</f>
        <v/>
      </c>
      <c r="J379" s="91" t="n"/>
      <c r="K379" s="90">
        <f>IF(OR($G379="",$H379="",NOT(ISNUMBER($I379))),"",ROUND($H379*$I379*(1+IF($J379="",Setup!$B$16,$J379)),2))</f>
        <v/>
      </c>
      <c r="L379" s="90">
        <f>IF($K379="","",ROUND($K379*Setup!$B$13,2))</f>
        <v/>
      </c>
      <c r="M379" s="90">
        <f>IF($K379="","",$K379-$L379)</f>
        <v/>
      </c>
      <c r="N379" s="90">
        <f>IF(OR($M379="",$D379=""),"",ROUND($M379*IFERROR(IF(VLOOKUP($D379,Setup!$A$76:$C$87,3,FALSE)="",Setup!$B$14,VLOOKUP($D379,Setup!$A$76:$C$87,3,FALSE)),Setup!$B$14),2))</f>
        <v/>
      </c>
      <c r="O379" s="90">
        <f>IF(OR($M379="",$E379=""),"",ROUND($M379*IFERROR(IF(VLOOKUP($E379,Setup!$A$76:$C$87,3,FALSE)="",Setup!$B$15,VLOOKUP($E379,Setup!$A$76:$C$87,3,FALSE)),Setup!$B$15),2))</f>
        <v/>
      </c>
      <c r="P379" s="92" t="n"/>
      <c r="Q379" s="92" t="n"/>
      <c r="R379" s="92" t="n"/>
      <c r="S379" s="92" t="n"/>
      <c r="T379" s="92" t="n"/>
      <c r="U379" s="90">
        <f>IF($K379="","",SUM($R379:$T379))</f>
        <v/>
      </c>
      <c r="V379" s="90">
        <f>IF($K379="","",$M379-(N($N379)+N($O379)+IF($P379="",Setup!$B$17,$P379)+N($Q379))-N($U379))</f>
        <v/>
      </c>
      <c r="W379" s="87" t="n"/>
      <c r="X379" s="88" t="n"/>
      <c r="Z379" s="93">
        <f>IF($A379="","",DATE(YEAR($A379),MONTH($A379),1))</f>
        <v/>
      </c>
    </row>
    <row r="380">
      <c r="A380" s="94" t="n"/>
      <c r="B380" s="95" t="n"/>
      <c r="C380" s="95" t="n"/>
      <c r="D380" s="96" t="n"/>
      <c r="E380" s="96" t="n"/>
      <c r="F380" s="96" t="n"/>
      <c r="G380" s="96" t="n"/>
      <c r="H380" s="97" t="n"/>
      <c r="I380" s="90">
        <f>IF($G380="","",IF($F380="",IFERROR(INDEX(Setup!$C$21:$C$60,MATCH("|"&amp;UPPER(TRIM($G380)),Setup!$Q$21:$Q$60,0)),"NO RATE"),IFERROR(INDEX(Setup!$C$21:$C$60,MATCH(UPPER(TRIM($F380))&amp;"|"&amp;UPPER(TRIM($G380)),Setup!$P$21:$P$60,0)),IFERROR(INDEX(Setup!$C$21:$C$60,MATCH(UPPER(TRIM($G380))&amp;"|"&amp;UPPER(TRIM($F380)),Setup!$P$21:$P$60,0)),"NO RATE"))))</f>
        <v/>
      </c>
      <c r="J380" s="98" t="n"/>
      <c r="K380" s="90">
        <f>IF(OR($G380="",$H380="",NOT(ISNUMBER($I380))),"",ROUND($H380*$I380*(1+IF($J380="",Setup!$B$16,$J380)),2))</f>
        <v/>
      </c>
      <c r="L380" s="90">
        <f>IF($K380="","",ROUND($K380*Setup!$B$13,2))</f>
        <v/>
      </c>
      <c r="M380" s="90">
        <f>IF($K380="","",$K380-$L380)</f>
        <v/>
      </c>
      <c r="N380" s="90">
        <f>IF(OR($M380="",$D380=""),"",ROUND($M380*IFERROR(IF(VLOOKUP($D380,Setup!$A$76:$C$87,3,FALSE)="",Setup!$B$14,VLOOKUP($D380,Setup!$A$76:$C$87,3,FALSE)),Setup!$B$14),2))</f>
        <v/>
      </c>
      <c r="O380" s="90">
        <f>IF(OR($M380="",$E380=""),"",ROUND($M380*IFERROR(IF(VLOOKUP($E380,Setup!$A$76:$C$87,3,FALSE)="",Setup!$B$15,VLOOKUP($E380,Setup!$A$76:$C$87,3,FALSE)),Setup!$B$15),2))</f>
        <v/>
      </c>
      <c r="P380" s="99" t="n"/>
      <c r="Q380" s="99" t="n"/>
      <c r="R380" s="99" t="n"/>
      <c r="S380" s="99" t="n"/>
      <c r="T380" s="99" t="n"/>
      <c r="U380" s="90">
        <f>IF($K380="","",SUM($R380:$T380))</f>
        <v/>
      </c>
      <c r="V380" s="90">
        <f>IF($K380="","",$M380-(N($N380)+N($O380)+IF($P380="",Setup!$B$17,$P380)+N($Q380))-N($U380))</f>
        <v/>
      </c>
      <c r="W380" s="95" t="n"/>
      <c r="X380" s="96" t="n"/>
      <c r="Z380" s="93">
        <f>IF($A380="","",DATE(YEAR($A380),MONTH($A380),1))</f>
        <v/>
      </c>
    </row>
    <row r="381">
      <c r="A381" s="86" t="n"/>
      <c r="B381" s="87" t="n"/>
      <c r="C381" s="87" t="n"/>
      <c r="D381" s="88" t="n"/>
      <c r="E381" s="88" t="n"/>
      <c r="F381" s="88" t="n"/>
      <c r="G381" s="88" t="n"/>
      <c r="H381" s="89" t="n"/>
      <c r="I381" s="90">
        <f>IF($G381="","",IF($F381="",IFERROR(INDEX(Setup!$C$21:$C$60,MATCH("|"&amp;UPPER(TRIM($G381)),Setup!$Q$21:$Q$60,0)),"NO RATE"),IFERROR(INDEX(Setup!$C$21:$C$60,MATCH(UPPER(TRIM($F381))&amp;"|"&amp;UPPER(TRIM($G381)),Setup!$P$21:$P$60,0)),IFERROR(INDEX(Setup!$C$21:$C$60,MATCH(UPPER(TRIM($G381))&amp;"|"&amp;UPPER(TRIM($F381)),Setup!$P$21:$P$60,0)),"NO RATE"))))</f>
        <v/>
      </c>
      <c r="J381" s="91" t="n"/>
      <c r="K381" s="90">
        <f>IF(OR($G381="",$H381="",NOT(ISNUMBER($I381))),"",ROUND($H381*$I381*(1+IF($J381="",Setup!$B$16,$J381)),2))</f>
        <v/>
      </c>
      <c r="L381" s="90">
        <f>IF($K381="","",ROUND($K381*Setup!$B$13,2))</f>
        <v/>
      </c>
      <c r="M381" s="90">
        <f>IF($K381="","",$K381-$L381)</f>
        <v/>
      </c>
      <c r="N381" s="90">
        <f>IF(OR($M381="",$D381=""),"",ROUND($M381*IFERROR(IF(VLOOKUP($D381,Setup!$A$76:$C$87,3,FALSE)="",Setup!$B$14,VLOOKUP($D381,Setup!$A$76:$C$87,3,FALSE)),Setup!$B$14),2))</f>
        <v/>
      </c>
      <c r="O381" s="90">
        <f>IF(OR($M381="",$E381=""),"",ROUND($M381*IFERROR(IF(VLOOKUP($E381,Setup!$A$76:$C$87,3,FALSE)="",Setup!$B$15,VLOOKUP($E381,Setup!$A$76:$C$87,3,FALSE)),Setup!$B$15),2))</f>
        <v/>
      </c>
      <c r="P381" s="92" t="n"/>
      <c r="Q381" s="92" t="n"/>
      <c r="R381" s="92" t="n"/>
      <c r="S381" s="92" t="n"/>
      <c r="T381" s="92" t="n"/>
      <c r="U381" s="90">
        <f>IF($K381="","",SUM($R381:$T381))</f>
        <v/>
      </c>
      <c r="V381" s="90">
        <f>IF($K381="","",$M381-(N($N381)+N($O381)+IF($P381="",Setup!$B$17,$P381)+N($Q381))-N($U381))</f>
        <v/>
      </c>
      <c r="W381" s="87" t="n"/>
      <c r="X381" s="88" t="n"/>
      <c r="Z381" s="93">
        <f>IF($A381="","",DATE(YEAR($A381),MONTH($A381),1))</f>
        <v/>
      </c>
    </row>
    <row r="382">
      <c r="A382" s="94" t="n"/>
      <c r="B382" s="95" t="n"/>
      <c r="C382" s="95" t="n"/>
      <c r="D382" s="96" t="n"/>
      <c r="E382" s="96" t="n"/>
      <c r="F382" s="96" t="n"/>
      <c r="G382" s="96" t="n"/>
      <c r="H382" s="97" t="n"/>
      <c r="I382" s="90">
        <f>IF($G382="","",IF($F382="",IFERROR(INDEX(Setup!$C$21:$C$60,MATCH("|"&amp;UPPER(TRIM($G382)),Setup!$Q$21:$Q$60,0)),"NO RATE"),IFERROR(INDEX(Setup!$C$21:$C$60,MATCH(UPPER(TRIM($F382))&amp;"|"&amp;UPPER(TRIM($G382)),Setup!$P$21:$P$60,0)),IFERROR(INDEX(Setup!$C$21:$C$60,MATCH(UPPER(TRIM($G382))&amp;"|"&amp;UPPER(TRIM($F382)),Setup!$P$21:$P$60,0)),"NO RATE"))))</f>
        <v/>
      </c>
      <c r="J382" s="98" t="n"/>
      <c r="K382" s="90">
        <f>IF(OR($G382="",$H382="",NOT(ISNUMBER($I382))),"",ROUND($H382*$I382*(1+IF($J382="",Setup!$B$16,$J382)),2))</f>
        <v/>
      </c>
      <c r="L382" s="90">
        <f>IF($K382="","",ROUND($K382*Setup!$B$13,2))</f>
        <v/>
      </c>
      <c r="M382" s="90">
        <f>IF($K382="","",$K382-$L382)</f>
        <v/>
      </c>
      <c r="N382" s="90">
        <f>IF(OR($M382="",$D382=""),"",ROUND($M382*IFERROR(IF(VLOOKUP($D382,Setup!$A$76:$C$87,3,FALSE)="",Setup!$B$14,VLOOKUP($D382,Setup!$A$76:$C$87,3,FALSE)),Setup!$B$14),2))</f>
        <v/>
      </c>
      <c r="O382" s="90">
        <f>IF(OR($M382="",$E382=""),"",ROUND($M382*IFERROR(IF(VLOOKUP($E382,Setup!$A$76:$C$87,3,FALSE)="",Setup!$B$15,VLOOKUP($E382,Setup!$A$76:$C$87,3,FALSE)),Setup!$B$15),2))</f>
        <v/>
      </c>
      <c r="P382" s="99" t="n"/>
      <c r="Q382" s="99" t="n"/>
      <c r="R382" s="99" t="n"/>
      <c r="S382" s="99" t="n"/>
      <c r="T382" s="99" t="n"/>
      <c r="U382" s="90">
        <f>IF($K382="","",SUM($R382:$T382))</f>
        <v/>
      </c>
      <c r="V382" s="90">
        <f>IF($K382="","",$M382-(N($N382)+N($O382)+IF($P382="",Setup!$B$17,$P382)+N($Q382))-N($U382))</f>
        <v/>
      </c>
      <c r="W382" s="95" t="n"/>
      <c r="X382" s="96" t="n"/>
      <c r="Z382" s="93">
        <f>IF($A382="","",DATE(YEAR($A382),MONTH($A382),1))</f>
        <v/>
      </c>
    </row>
    <row r="383">
      <c r="A383" s="86" t="n"/>
      <c r="B383" s="87" t="n"/>
      <c r="C383" s="87" t="n"/>
      <c r="D383" s="88" t="n"/>
      <c r="E383" s="88" t="n"/>
      <c r="F383" s="88" t="n"/>
      <c r="G383" s="88" t="n"/>
      <c r="H383" s="89" t="n"/>
      <c r="I383" s="90">
        <f>IF($G383="","",IF($F383="",IFERROR(INDEX(Setup!$C$21:$C$60,MATCH("|"&amp;UPPER(TRIM($G383)),Setup!$Q$21:$Q$60,0)),"NO RATE"),IFERROR(INDEX(Setup!$C$21:$C$60,MATCH(UPPER(TRIM($F383))&amp;"|"&amp;UPPER(TRIM($G383)),Setup!$P$21:$P$60,0)),IFERROR(INDEX(Setup!$C$21:$C$60,MATCH(UPPER(TRIM($G383))&amp;"|"&amp;UPPER(TRIM($F383)),Setup!$P$21:$P$60,0)),"NO RATE"))))</f>
        <v/>
      </c>
      <c r="J383" s="91" t="n"/>
      <c r="K383" s="90">
        <f>IF(OR($G383="",$H383="",NOT(ISNUMBER($I383))),"",ROUND($H383*$I383*(1+IF($J383="",Setup!$B$16,$J383)),2))</f>
        <v/>
      </c>
      <c r="L383" s="90">
        <f>IF($K383="","",ROUND($K383*Setup!$B$13,2))</f>
        <v/>
      </c>
      <c r="M383" s="90">
        <f>IF($K383="","",$K383-$L383)</f>
        <v/>
      </c>
      <c r="N383" s="90">
        <f>IF(OR($M383="",$D383=""),"",ROUND($M383*IFERROR(IF(VLOOKUP($D383,Setup!$A$76:$C$87,3,FALSE)="",Setup!$B$14,VLOOKUP($D383,Setup!$A$76:$C$87,3,FALSE)),Setup!$B$14),2))</f>
        <v/>
      </c>
      <c r="O383" s="90">
        <f>IF(OR($M383="",$E383=""),"",ROUND($M383*IFERROR(IF(VLOOKUP($E383,Setup!$A$76:$C$87,3,FALSE)="",Setup!$B$15,VLOOKUP($E383,Setup!$A$76:$C$87,3,FALSE)),Setup!$B$15),2))</f>
        <v/>
      </c>
      <c r="P383" s="92" t="n"/>
      <c r="Q383" s="92" t="n"/>
      <c r="R383" s="92" t="n"/>
      <c r="S383" s="92" t="n"/>
      <c r="T383" s="92" t="n"/>
      <c r="U383" s="90">
        <f>IF($K383="","",SUM($R383:$T383))</f>
        <v/>
      </c>
      <c r="V383" s="90">
        <f>IF($K383="","",$M383-(N($N383)+N($O383)+IF($P383="",Setup!$B$17,$P383)+N($Q383))-N($U383))</f>
        <v/>
      </c>
      <c r="W383" s="87" t="n"/>
      <c r="X383" s="88" t="n"/>
      <c r="Z383" s="93">
        <f>IF($A383="","",DATE(YEAR($A383),MONTH($A383),1))</f>
        <v/>
      </c>
    </row>
    <row r="384">
      <c r="A384" s="94" t="n"/>
      <c r="B384" s="95" t="n"/>
      <c r="C384" s="95" t="n"/>
      <c r="D384" s="96" t="n"/>
      <c r="E384" s="96" t="n"/>
      <c r="F384" s="96" t="n"/>
      <c r="G384" s="96" t="n"/>
      <c r="H384" s="97" t="n"/>
      <c r="I384" s="90">
        <f>IF($G384="","",IF($F384="",IFERROR(INDEX(Setup!$C$21:$C$60,MATCH("|"&amp;UPPER(TRIM($G384)),Setup!$Q$21:$Q$60,0)),"NO RATE"),IFERROR(INDEX(Setup!$C$21:$C$60,MATCH(UPPER(TRIM($F384))&amp;"|"&amp;UPPER(TRIM($G384)),Setup!$P$21:$P$60,0)),IFERROR(INDEX(Setup!$C$21:$C$60,MATCH(UPPER(TRIM($G384))&amp;"|"&amp;UPPER(TRIM($F384)),Setup!$P$21:$P$60,0)),"NO RATE"))))</f>
        <v/>
      </c>
      <c r="J384" s="98" t="n"/>
      <c r="K384" s="90">
        <f>IF(OR($G384="",$H384="",NOT(ISNUMBER($I384))),"",ROUND($H384*$I384*(1+IF($J384="",Setup!$B$16,$J384)),2))</f>
        <v/>
      </c>
      <c r="L384" s="90">
        <f>IF($K384="","",ROUND($K384*Setup!$B$13,2))</f>
        <v/>
      </c>
      <c r="M384" s="90">
        <f>IF($K384="","",$K384-$L384)</f>
        <v/>
      </c>
      <c r="N384" s="90">
        <f>IF(OR($M384="",$D384=""),"",ROUND($M384*IFERROR(IF(VLOOKUP($D384,Setup!$A$76:$C$87,3,FALSE)="",Setup!$B$14,VLOOKUP($D384,Setup!$A$76:$C$87,3,FALSE)),Setup!$B$14),2))</f>
        <v/>
      </c>
      <c r="O384" s="90">
        <f>IF(OR($M384="",$E384=""),"",ROUND($M384*IFERROR(IF(VLOOKUP($E384,Setup!$A$76:$C$87,3,FALSE)="",Setup!$B$15,VLOOKUP($E384,Setup!$A$76:$C$87,3,FALSE)),Setup!$B$15),2))</f>
        <v/>
      </c>
      <c r="P384" s="99" t="n"/>
      <c r="Q384" s="99" t="n"/>
      <c r="R384" s="99" t="n"/>
      <c r="S384" s="99" t="n"/>
      <c r="T384" s="99" t="n"/>
      <c r="U384" s="90">
        <f>IF($K384="","",SUM($R384:$T384))</f>
        <v/>
      </c>
      <c r="V384" s="90">
        <f>IF($K384="","",$M384-(N($N384)+N($O384)+IF($P384="",Setup!$B$17,$P384)+N($Q384))-N($U384))</f>
        <v/>
      </c>
      <c r="W384" s="95" t="n"/>
      <c r="X384" s="96" t="n"/>
      <c r="Z384" s="93">
        <f>IF($A384="","",DATE(YEAR($A384),MONTH($A384),1))</f>
        <v/>
      </c>
    </row>
    <row r="385">
      <c r="A385" s="86" t="n"/>
      <c r="B385" s="87" t="n"/>
      <c r="C385" s="87" t="n"/>
      <c r="D385" s="88" t="n"/>
      <c r="E385" s="88" t="n"/>
      <c r="F385" s="88" t="n"/>
      <c r="G385" s="88" t="n"/>
      <c r="H385" s="89" t="n"/>
      <c r="I385" s="90">
        <f>IF($G385="","",IF($F385="",IFERROR(INDEX(Setup!$C$21:$C$60,MATCH("|"&amp;UPPER(TRIM($G385)),Setup!$Q$21:$Q$60,0)),"NO RATE"),IFERROR(INDEX(Setup!$C$21:$C$60,MATCH(UPPER(TRIM($F385))&amp;"|"&amp;UPPER(TRIM($G385)),Setup!$P$21:$P$60,0)),IFERROR(INDEX(Setup!$C$21:$C$60,MATCH(UPPER(TRIM($G385))&amp;"|"&amp;UPPER(TRIM($F385)),Setup!$P$21:$P$60,0)),"NO RATE"))))</f>
        <v/>
      </c>
      <c r="J385" s="91" t="n"/>
      <c r="K385" s="90">
        <f>IF(OR($G385="",$H385="",NOT(ISNUMBER($I385))),"",ROUND($H385*$I385*(1+IF($J385="",Setup!$B$16,$J385)),2))</f>
        <v/>
      </c>
      <c r="L385" s="90">
        <f>IF($K385="","",ROUND($K385*Setup!$B$13,2))</f>
        <v/>
      </c>
      <c r="M385" s="90">
        <f>IF($K385="","",$K385-$L385)</f>
        <v/>
      </c>
      <c r="N385" s="90">
        <f>IF(OR($M385="",$D385=""),"",ROUND($M385*IFERROR(IF(VLOOKUP($D385,Setup!$A$76:$C$87,3,FALSE)="",Setup!$B$14,VLOOKUP($D385,Setup!$A$76:$C$87,3,FALSE)),Setup!$B$14),2))</f>
        <v/>
      </c>
      <c r="O385" s="90">
        <f>IF(OR($M385="",$E385=""),"",ROUND($M385*IFERROR(IF(VLOOKUP($E385,Setup!$A$76:$C$87,3,FALSE)="",Setup!$B$15,VLOOKUP($E385,Setup!$A$76:$C$87,3,FALSE)),Setup!$B$15),2))</f>
        <v/>
      </c>
      <c r="P385" s="92" t="n"/>
      <c r="Q385" s="92" t="n"/>
      <c r="R385" s="92" t="n"/>
      <c r="S385" s="92" t="n"/>
      <c r="T385" s="92" t="n"/>
      <c r="U385" s="90">
        <f>IF($K385="","",SUM($R385:$T385))</f>
        <v/>
      </c>
      <c r="V385" s="90">
        <f>IF($K385="","",$M385-(N($N385)+N($O385)+IF($P385="",Setup!$B$17,$P385)+N($Q385))-N($U385))</f>
        <v/>
      </c>
      <c r="W385" s="87" t="n"/>
      <c r="X385" s="88" t="n"/>
      <c r="Z385" s="93">
        <f>IF($A385="","",DATE(YEAR($A385),MONTH($A385),1))</f>
        <v/>
      </c>
    </row>
    <row r="386">
      <c r="A386" s="94" t="n"/>
      <c r="B386" s="95" t="n"/>
      <c r="C386" s="95" t="n"/>
      <c r="D386" s="96" t="n"/>
      <c r="E386" s="96" t="n"/>
      <c r="F386" s="96" t="n"/>
      <c r="G386" s="96" t="n"/>
      <c r="H386" s="97" t="n"/>
      <c r="I386" s="90">
        <f>IF($G386="","",IF($F386="",IFERROR(INDEX(Setup!$C$21:$C$60,MATCH("|"&amp;UPPER(TRIM($G386)),Setup!$Q$21:$Q$60,0)),"NO RATE"),IFERROR(INDEX(Setup!$C$21:$C$60,MATCH(UPPER(TRIM($F386))&amp;"|"&amp;UPPER(TRIM($G386)),Setup!$P$21:$P$60,0)),IFERROR(INDEX(Setup!$C$21:$C$60,MATCH(UPPER(TRIM($G386))&amp;"|"&amp;UPPER(TRIM($F386)),Setup!$P$21:$P$60,0)),"NO RATE"))))</f>
        <v/>
      </c>
      <c r="J386" s="98" t="n"/>
      <c r="K386" s="90">
        <f>IF(OR($G386="",$H386="",NOT(ISNUMBER($I386))),"",ROUND($H386*$I386*(1+IF($J386="",Setup!$B$16,$J386)),2))</f>
        <v/>
      </c>
      <c r="L386" s="90">
        <f>IF($K386="","",ROUND($K386*Setup!$B$13,2))</f>
        <v/>
      </c>
      <c r="M386" s="90">
        <f>IF($K386="","",$K386-$L386)</f>
        <v/>
      </c>
      <c r="N386" s="90">
        <f>IF(OR($M386="",$D386=""),"",ROUND($M386*IFERROR(IF(VLOOKUP($D386,Setup!$A$76:$C$87,3,FALSE)="",Setup!$B$14,VLOOKUP($D386,Setup!$A$76:$C$87,3,FALSE)),Setup!$B$14),2))</f>
        <v/>
      </c>
      <c r="O386" s="90">
        <f>IF(OR($M386="",$E386=""),"",ROUND($M386*IFERROR(IF(VLOOKUP($E386,Setup!$A$76:$C$87,3,FALSE)="",Setup!$B$15,VLOOKUP($E386,Setup!$A$76:$C$87,3,FALSE)),Setup!$B$15),2))</f>
        <v/>
      </c>
      <c r="P386" s="99" t="n"/>
      <c r="Q386" s="99" t="n"/>
      <c r="R386" s="99" t="n"/>
      <c r="S386" s="99" t="n"/>
      <c r="T386" s="99" t="n"/>
      <c r="U386" s="90">
        <f>IF($K386="","",SUM($R386:$T386))</f>
        <v/>
      </c>
      <c r="V386" s="90">
        <f>IF($K386="","",$M386-(N($N386)+N($O386)+IF($P386="",Setup!$B$17,$P386)+N($Q386))-N($U386))</f>
        <v/>
      </c>
      <c r="W386" s="95" t="n"/>
      <c r="X386" s="96" t="n"/>
      <c r="Z386" s="93">
        <f>IF($A386="","",DATE(YEAR($A386),MONTH($A386),1))</f>
        <v/>
      </c>
    </row>
    <row r="387">
      <c r="A387" s="86" t="n"/>
      <c r="B387" s="87" t="n"/>
      <c r="C387" s="87" t="n"/>
      <c r="D387" s="88" t="n"/>
      <c r="E387" s="88" t="n"/>
      <c r="F387" s="88" t="n"/>
      <c r="G387" s="88" t="n"/>
      <c r="H387" s="89" t="n"/>
      <c r="I387" s="90">
        <f>IF($G387="","",IF($F387="",IFERROR(INDEX(Setup!$C$21:$C$60,MATCH("|"&amp;UPPER(TRIM($G387)),Setup!$Q$21:$Q$60,0)),"NO RATE"),IFERROR(INDEX(Setup!$C$21:$C$60,MATCH(UPPER(TRIM($F387))&amp;"|"&amp;UPPER(TRIM($G387)),Setup!$P$21:$P$60,0)),IFERROR(INDEX(Setup!$C$21:$C$60,MATCH(UPPER(TRIM($G387))&amp;"|"&amp;UPPER(TRIM($F387)),Setup!$P$21:$P$60,0)),"NO RATE"))))</f>
        <v/>
      </c>
      <c r="J387" s="91" t="n"/>
      <c r="K387" s="90">
        <f>IF(OR($G387="",$H387="",NOT(ISNUMBER($I387))),"",ROUND($H387*$I387*(1+IF($J387="",Setup!$B$16,$J387)),2))</f>
        <v/>
      </c>
      <c r="L387" s="90">
        <f>IF($K387="","",ROUND($K387*Setup!$B$13,2))</f>
        <v/>
      </c>
      <c r="M387" s="90">
        <f>IF($K387="","",$K387-$L387)</f>
        <v/>
      </c>
      <c r="N387" s="90">
        <f>IF(OR($M387="",$D387=""),"",ROUND($M387*IFERROR(IF(VLOOKUP($D387,Setup!$A$76:$C$87,3,FALSE)="",Setup!$B$14,VLOOKUP($D387,Setup!$A$76:$C$87,3,FALSE)),Setup!$B$14),2))</f>
        <v/>
      </c>
      <c r="O387" s="90">
        <f>IF(OR($M387="",$E387=""),"",ROUND($M387*IFERROR(IF(VLOOKUP($E387,Setup!$A$76:$C$87,3,FALSE)="",Setup!$B$15,VLOOKUP($E387,Setup!$A$76:$C$87,3,FALSE)),Setup!$B$15),2))</f>
        <v/>
      </c>
      <c r="P387" s="92" t="n"/>
      <c r="Q387" s="92" t="n"/>
      <c r="R387" s="92" t="n"/>
      <c r="S387" s="92" t="n"/>
      <c r="T387" s="92" t="n"/>
      <c r="U387" s="90">
        <f>IF($K387="","",SUM($R387:$T387))</f>
        <v/>
      </c>
      <c r="V387" s="90">
        <f>IF($K387="","",$M387-(N($N387)+N($O387)+IF($P387="",Setup!$B$17,$P387)+N($Q387))-N($U387))</f>
        <v/>
      </c>
      <c r="W387" s="87" t="n"/>
      <c r="X387" s="88" t="n"/>
      <c r="Z387" s="93">
        <f>IF($A387="","",DATE(YEAR($A387),MONTH($A387),1))</f>
        <v/>
      </c>
    </row>
    <row r="388">
      <c r="A388" s="94" t="n"/>
      <c r="B388" s="95" t="n"/>
      <c r="C388" s="95" t="n"/>
      <c r="D388" s="96" t="n"/>
      <c r="E388" s="96" t="n"/>
      <c r="F388" s="96" t="n"/>
      <c r="G388" s="96" t="n"/>
      <c r="H388" s="97" t="n"/>
      <c r="I388" s="90">
        <f>IF($G388="","",IF($F388="",IFERROR(INDEX(Setup!$C$21:$C$60,MATCH("|"&amp;UPPER(TRIM($G388)),Setup!$Q$21:$Q$60,0)),"NO RATE"),IFERROR(INDEX(Setup!$C$21:$C$60,MATCH(UPPER(TRIM($F388))&amp;"|"&amp;UPPER(TRIM($G388)),Setup!$P$21:$P$60,0)),IFERROR(INDEX(Setup!$C$21:$C$60,MATCH(UPPER(TRIM($G388))&amp;"|"&amp;UPPER(TRIM($F388)),Setup!$P$21:$P$60,0)),"NO RATE"))))</f>
        <v/>
      </c>
      <c r="J388" s="98" t="n"/>
      <c r="K388" s="90">
        <f>IF(OR($G388="",$H388="",NOT(ISNUMBER($I388))),"",ROUND($H388*$I388*(1+IF($J388="",Setup!$B$16,$J388)),2))</f>
        <v/>
      </c>
      <c r="L388" s="90">
        <f>IF($K388="","",ROUND($K388*Setup!$B$13,2))</f>
        <v/>
      </c>
      <c r="M388" s="90">
        <f>IF($K388="","",$K388-$L388)</f>
        <v/>
      </c>
      <c r="N388" s="90">
        <f>IF(OR($M388="",$D388=""),"",ROUND($M388*IFERROR(IF(VLOOKUP($D388,Setup!$A$76:$C$87,3,FALSE)="",Setup!$B$14,VLOOKUP($D388,Setup!$A$76:$C$87,3,FALSE)),Setup!$B$14),2))</f>
        <v/>
      </c>
      <c r="O388" s="90">
        <f>IF(OR($M388="",$E388=""),"",ROUND($M388*IFERROR(IF(VLOOKUP($E388,Setup!$A$76:$C$87,3,FALSE)="",Setup!$B$15,VLOOKUP($E388,Setup!$A$76:$C$87,3,FALSE)),Setup!$B$15),2))</f>
        <v/>
      </c>
      <c r="P388" s="99" t="n"/>
      <c r="Q388" s="99" t="n"/>
      <c r="R388" s="99" t="n"/>
      <c r="S388" s="99" t="n"/>
      <c r="T388" s="99" t="n"/>
      <c r="U388" s="90">
        <f>IF($K388="","",SUM($R388:$T388))</f>
        <v/>
      </c>
      <c r="V388" s="90">
        <f>IF($K388="","",$M388-(N($N388)+N($O388)+IF($P388="",Setup!$B$17,$P388)+N($Q388))-N($U388))</f>
        <v/>
      </c>
      <c r="W388" s="95" t="n"/>
      <c r="X388" s="96" t="n"/>
      <c r="Z388" s="93">
        <f>IF($A388="","",DATE(YEAR($A388),MONTH($A388),1))</f>
        <v/>
      </c>
    </row>
    <row r="389">
      <c r="A389" s="86" t="n"/>
      <c r="B389" s="87" t="n"/>
      <c r="C389" s="87" t="n"/>
      <c r="D389" s="88" t="n"/>
      <c r="E389" s="88" t="n"/>
      <c r="F389" s="88" t="n"/>
      <c r="G389" s="88" t="n"/>
      <c r="H389" s="89" t="n"/>
      <c r="I389" s="90">
        <f>IF($G389="","",IF($F389="",IFERROR(INDEX(Setup!$C$21:$C$60,MATCH("|"&amp;UPPER(TRIM($G389)),Setup!$Q$21:$Q$60,0)),"NO RATE"),IFERROR(INDEX(Setup!$C$21:$C$60,MATCH(UPPER(TRIM($F389))&amp;"|"&amp;UPPER(TRIM($G389)),Setup!$P$21:$P$60,0)),IFERROR(INDEX(Setup!$C$21:$C$60,MATCH(UPPER(TRIM($G389))&amp;"|"&amp;UPPER(TRIM($F389)),Setup!$P$21:$P$60,0)),"NO RATE"))))</f>
        <v/>
      </c>
      <c r="J389" s="91" t="n"/>
      <c r="K389" s="90">
        <f>IF(OR($G389="",$H389="",NOT(ISNUMBER($I389))),"",ROUND($H389*$I389*(1+IF($J389="",Setup!$B$16,$J389)),2))</f>
        <v/>
      </c>
      <c r="L389" s="90">
        <f>IF($K389="","",ROUND($K389*Setup!$B$13,2))</f>
        <v/>
      </c>
      <c r="M389" s="90">
        <f>IF($K389="","",$K389-$L389)</f>
        <v/>
      </c>
      <c r="N389" s="90">
        <f>IF(OR($M389="",$D389=""),"",ROUND($M389*IFERROR(IF(VLOOKUP($D389,Setup!$A$76:$C$87,3,FALSE)="",Setup!$B$14,VLOOKUP($D389,Setup!$A$76:$C$87,3,FALSE)),Setup!$B$14),2))</f>
        <v/>
      </c>
      <c r="O389" s="90">
        <f>IF(OR($M389="",$E389=""),"",ROUND($M389*IFERROR(IF(VLOOKUP($E389,Setup!$A$76:$C$87,3,FALSE)="",Setup!$B$15,VLOOKUP($E389,Setup!$A$76:$C$87,3,FALSE)),Setup!$B$15),2))</f>
        <v/>
      </c>
      <c r="P389" s="92" t="n"/>
      <c r="Q389" s="92" t="n"/>
      <c r="R389" s="92" t="n"/>
      <c r="S389" s="92" t="n"/>
      <c r="T389" s="92" t="n"/>
      <c r="U389" s="90">
        <f>IF($K389="","",SUM($R389:$T389))</f>
        <v/>
      </c>
      <c r="V389" s="90">
        <f>IF($K389="","",$M389-(N($N389)+N($O389)+IF($P389="",Setup!$B$17,$P389)+N($Q389))-N($U389))</f>
        <v/>
      </c>
      <c r="W389" s="87" t="n"/>
      <c r="X389" s="88" t="n"/>
      <c r="Z389" s="93">
        <f>IF($A389="","",DATE(YEAR($A389),MONTH($A389),1))</f>
        <v/>
      </c>
    </row>
    <row r="390">
      <c r="A390" s="94" t="n"/>
      <c r="B390" s="95" t="n"/>
      <c r="C390" s="95" t="n"/>
      <c r="D390" s="96" t="n"/>
      <c r="E390" s="96" t="n"/>
      <c r="F390" s="96" t="n"/>
      <c r="G390" s="96" t="n"/>
      <c r="H390" s="97" t="n"/>
      <c r="I390" s="90">
        <f>IF($G390="","",IF($F390="",IFERROR(INDEX(Setup!$C$21:$C$60,MATCH("|"&amp;UPPER(TRIM($G390)),Setup!$Q$21:$Q$60,0)),"NO RATE"),IFERROR(INDEX(Setup!$C$21:$C$60,MATCH(UPPER(TRIM($F390))&amp;"|"&amp;UPPER(TRIM($G390)),Setup!$P$21:$P$60,0)),IFERROR(INDEX(Setup!$C$21:$C$60,MATCH(UPPER(TRIM($G390))&amp;"|"&amp;UPPER(TRIM($F390)),Setup!$P$21:$P$60,0)),"NO RATE"))))</f>
        <v/>
      </c>
      <c r="J390" s="98" t="n"/>
      <c r="K390" s="90">
        <f>IF(OR($G390="",$H390="",NOT(ISNUMBER($I390))),"",ROUND($H390*$I390*(1+IF($J390="",Setup!$B$16,$J390)),2))</f>
        <v/>
      </c>
      <c r="L390" s="90">
        <f>IF($K390="","",ROUND($K390*Setup!$B$13,2))</f>
        <v/>
      </c>
      <c r="M390" s="90">
        <f>IF($K390="","",$K390-$L390)</f>
        <v/>
      </c>
      <c r="N390" s="90">
        <f>IF(OR($M390="",$D390=""),"",ROUND($M390*IFERROR(IF(VLOOKUP($D390,Setup!$A$76:$C$87,3,FALSE)="",Setup!$B$14,VLOOKUP($D390,Setup!$A$76:$C$87,3,FALSE)),Setup!$B$14),2))</f>
        <v/>
      </c>
      <c r="O390" s="90">
        <f>IF(OR($M390="",$E390=""),"",ROUND($M390*IFERROR(IF(VLOOKUP($E390,Setup!$A$76:$C$87,3,FALSE)="",Setup!$B$15,VLOOKUP($E390,Setup!$A$76:$C$87,3,FALSE)),Setup!$B$15),2))</f>
        <v/>
      </c>
      <c r="P390" s="99" t="n"/>
      <c r="Q390" s="99" t="n"/>
      <c r="R390" s="99" t="n"/>
      <c r="S390" s="99" t="n"/>
      <c r="T390" s="99" t="n"/>
      <c r="U390" s="90">
        <f>IF($K390="","",SUM($R390:$T390))</f>
        <v/>
      </c>
      <c r="V390" s="90">
        <f>IF($K390="","",$M390-(N($N390)+N($O390)+IF($P390="",Setup!$B$17,$P390)+N($Q390))-N($U390))</f>
        <v/>
      </c>
      <c r="W390" s="95" t="n"/>
      <c r="X390" s="96" t="n"/>
      <c r="Z390" s="93">
        <f>IF($A390="","",DATE(YEAR($A390),MONTH($A390),1))</f>
        <v/>
      </c>
    </row>
    <row r="391">
      <c r="A391" s="86" t="n"/>
      <c r="B391" s="87" t="n"/>
      <c r="C391" s="87" t="n"/>
      <c r="D391" s="88" t="n"/>
      <c r="E391" s="88" t="n"/>
      <c r="F391" s="88" t="n"/>
      <c r="G391" s="88" t="n"/>
      <c r="H391" s="89" t="n"/>
      <c r="I391" s="90">
        <f>IF($G391="","",IF($F391="",IFERROR(INDEX(Setup!$C$21:$C$60,MATCH("|"&amp;UPPER(TRIM($G391)),Setup!$Q$21:$Q$60,0)),"NO RATE"),IFERROR(INDEX(Setup!$C$21:$C$60,MATCH(UPPER(TRIM($F391))&amp;"|"&amp;UPPER(TRIM($G391)),Setup!$P$21:$P$60,0)),IFERROR(INDEX(Setup!$C$21:$C$60,MATCH(UPPER(TRIM($G391))&amp;"|"&amp;UPPER(TRIM($F391)),Setup!$P$21:$P$60,0)),"NO RATE"))))</f>
        <v/>
      </c>
      <c r="J391" s="91" t="n"/>
      <c r="K391" s="90">
        <f>IF(OR($G391="",$H391="",NOT(ISNUMBER($I391))),"",ROUND($H391*$I391*(1+IF($J391="",Setup!$B$16,$J391)),2))</f>
        <v/>
      </c>
      <c r="L391" s="90">
        <f>IF($K391="","",ROUND($K391*Setup!$B$13,2))</f>
        <v/>
      </c>
      <c r="M391" s="90">
        <f>IF($K391="","",$K391-$L391)</f>
        <v/>
      </c>
      <c r="N391" s="90">
        <f>IF(OR($M391="",$D391=""),"",ROUND($M391*IFERROR(IF(VLOOKUP($D391,Setup!$A$76:$C$87,3,FALSE)="",Setup!$B$14,VLOOKUP($D391,Setup!$A$76:$C$87,3,FALSE)),Setup!$B$14),2))</f>
        <v/>
      </c>
      <c r="O391" s="90">
        <f>IF(OR($M391="",$E391=""),"",ROUND($M391*IFERROR(IF(VLOOKUP($E391,Setup!$A$76:$C$87,3,FALSE)="",Setup!$B$15,VLOOKUP($E391,Setup!$A$76:$C$87,3,FALSE)),Setup!$B$15),2))</f>
        <v/>
      </c>
      <c r="P391" s="92" t="n"/>
      <c r="Q391" s="92" t="n"/>
      <c r="R391" s="92" t="n"/>
      <c r="S391" s="92" t="n"/>
      <c r="T391" s="92" t="n"/>
      <c r="U391" s="90">
        <f>IF($K391="","",SUM($R391:$T391))</f>
        <v/>
      </c>
      <c r="V391" s="90">
        <f>IF($K391="","",$M391-(N($N391)+N($O391)+IF($P391="",Setup!$B$17,$P391)+N($Q391))-N($U391))</f>
        <v/>
      </c>
      <c r="W391" s="87" t="n"/>
      <c r="X391" s="88" t="n"/>
      <c r="Z391" s="93">
        <f>IF($A391="","",DATE(YEAR($A391),MONTH($A391),1))</f>
        <v/>
      </c>
    </row>
    <row r="392">
      <c r="A392" s="94" t="n"/>
      <c r="B392" s="95" t="n"/>
      <c r="C392" s="95" t="n"/>
      <c r="D392" s="96" t="n"/>
      <c r="E392" s="96" t="n"/>
      <c r="F392" s="96" t="n"/>
      <c r="G392" s="96" t="n"/>
      <c r="H392" s="97" t="n"/>
      <c r="I392" s="90">
        <f>IF($G392="","",IF($F392="",IFERROR(INDEX(Setup!$C$21:$C$60,MATCH("|"&amp;UPPER(TRIM($G392)),Setup!$Q$21:$Q$60,0)),"NO RATE"),IFERROR(INDEX(Setup!$C$21:$C$60,MATCH(UPPER(TRIM($F392))&amp;"|"&amp;UPPER(TRIM($G392)),Setup!$P$21:$P$60,0)),IFERROR(INDEX(Setup!$C$21:$C$60,MATCH(UPPER(TRIM($G392))&amp;"|"&amp;UPPER(TRIM($F392)),Setup!$P$21:$P$60,0)),"NO RATE"))))</f>
        <v/>
      </c>
      <c r="J392" s="98" t="n"/>
      <c r="K392" s="90">
        <f>IF(OR($G392="",$H392="",NOT(ISNUMBER($I392))),"",ROUND($H392*$I392*(1+IF($J392="",Setup!$B$16,$J392)),2))</f>
        <v/>
      </c>
      <c r="L392" s="90">
        <f>IF($K392="","",ROUND($K392*Setup!$B$13,2))</f>
        <v/>
      </c>
      <c r="M392" s="90">
        <f>IF($K392="","",$K392-$L392)</f>
        <v/>
      </c>
      <c r="N392" s="90">
        <f>IF(OR($M392="",$D392=""),"",ROUND($M392*IFERROR(IF(VLOOKUP($D392,Setup!$A$76:$C$87,3,FALSE)="",Setup!$B$14,VLOOKUP($D392,Setup!$A$76:$C$87,3,FALSE)),Setup!$B$14),2))</f>
        <v/>
      </c>
      <c r="O392" s="90">
        <f>IF(OR($M392="",$E392=""),"",ROUND($M392*IFERROR(IF(VLOOKUP($E392,Setup!$A$76:$C$87,3,FALSE)="",Setup!$B$15,VLOOKUP($E392,Setup!$A$76:$C$87,3,FALSE)),Setup!$B$15),2))</f>
        <v/>
      </c>
      <c r="P392" s="99" t="n"/>
      <c r="Q392" s="99" t="n"/>
      <c r="R392" s="99" t="n"/>
      <c r="S392" s="99" t="n"/>
      <c r="T392" s="99" t="n"/>
      <c r="U392" s="90">
        <f>IF($K392="","",SUM($R392:$T392))</f>
        <v/>
      </c>
      <c r="V392" s="90">
        <f>IF($K392="","",$M392-(N($N392)+N($O392)+IF($P392="",Setup!$B$17,$P392)+N($Q392))-N($U392))</f>
        <v/>
      </c>
      <c r="W392" s="95" t="n"/>
      <c r="X392" s="96" t="n"/>
      <c r="Z392" s="93">
        <f>IF($A392="","",DATE(YEAR($A392),MONTH($A392),1))</f>
        <v/>
      </c>
    </row>
    <row r="393">
      <c r="A393" s="86" t="n"/>
      <c r="B393" s="87" t="n"/>
      <c r="C393" s="87" t="n"/>
      <c r="D393" s="88" t="n"/>
      <c r="E393" s="88" t="n"/>
      <c r="F393" s="88" t="n"/>
      <c r="G393" s="88" t="n"/>
      <c r="H393" s="89" t="n"/>
      <c r="I393" s="90">
        <f>IF($G393="","",IF($F393="",IFERROR(INDEX(Setup!$C$21:$C$60,MATCH("|"&amp;UPPER(TRIM($G393)),Setup!$Q$21:$Q$60,0)),"NO RATE"),IFERROR(INDEX(Setup!$C$21:$C$60,MATCH(UPPER(TRIM($F393))&amp;"|"&amp;UPPER(TRIM($G393)),Setup!$P$21:$P$60,0)),IFERROR(INDEX(Setup!$C$21:$C$60,MATCH(UPPER(TRIM($G393))&amp;"|"&amp;UPPER(TRIM($F393)),Setup!$P$21:$P$60,0)),"NO RATE"))))</f>
        <v/>
      </c>
      <c r="J393" s="91" t="n"/>
      <c r="K393" s="90">
        <f>IF(OR($G393="",$H393="",NOT(ISNUMBER($I393))),"",ROUND($H393*$I393*(1+IF($J393="",Setup!$B$16,$J393)),2))</f>
        <v/>
      </c>
      <c r="L393" s="90">
        <f>IF($K393="","",ROUND($K393*Setup!$B$13,2))</f>
        <v/>
      </c>
      <c r="M393" s="90">
        <f>IF($K393="","",$K393-$L393)</f>
        <v/>
      </c>
      <c r="N393" s="90">
        <f>IF(OR($M393="",$D393=""),"",ROUND($M393*IFERROR(IF(VLOOKUP($D393,Setup!$A$76:$C$87,3,FALSE)="",Setup!$B$14,VLOOKUP($D393,Setup!$A$76:$C$87,3,FALSE)),Setup!$B$14),2))</f>
        <v/>
      </c>
      <c r="O393" s="90">
        <f>IF(OR($M393="",$E393=""),"",ROUND($M393*IFERROR(IF(VLOOKUP($E393,Setup!$A$76:$C$87,3,FALSE)="",Setup!$B$15,VLOOKUP($E393,Setup!$A$76:$C$87,3,FALSE)),Setup!$B$15),2))</f>
        <v/>
      </c>
      <c r="P393" s="92" t="n"/>
      <c r="Q393" s="92" t="n"/>
      <c r="R393" s="92" t="n"/>
      <c r="S393" s="92" t="n"/>
      <c r="T393" s="92" t="n"/>
      <c r="U393" s="90">
        <f>IF($K393="","",SUM($R393:$T393))</f>
        <v/>
      </c>
      <c r="V393" s="90">
        <f>IF($K393="","",$M393-(N($N393)+N($O393)+IF($P393="",Setup!$B$17,$P393)+N($Q393))-N($U393))</f>
        <v/>
      </c>
      <c r="W393" s="87" t="n"/>
      <c r="X393" s="88" t="n"/>
      <c r="Z393" s="93">
        <f>IF($A393="","",DATE(YEAR($A393),MONTH($A393),1))</f>
        <v/>
      </c>
    </row>
    <row r="394">
      <c r="A394" s="94" t="n"/>
      <c r="B394" s="95" t="n"/>
      <c r="C394" s="95" t="n"/>
      <c r="D394" s="96" t="n"/>
      <c r="E394" s="96" t="n"/>
      <c r="F394" s="96" t="n"/>
      <c r="G394" s="96" t="n"/>
      <c r="H394" s="97" t="n"/>
      <c r="I394" s="90">
        <f>IF($G394="","",IF($F394="",IFERROR(INDEX(Setup!$C$21:$C$60,MATCH("|"&amp;UPPER(TRIM($G394)),Setup!$Q$21:$Q$60,0)),"NO RATE"),IFERROR(INDEX(Setup!$C$21:$C$60,MATCH(UPPER(TRIM($F394))&amp;"|"&amp;UPPER(TRIM($G394)),Setup!$P$21:$P$60,0)),IFERROR(INDEX(Setup!$C$21:$C$60,MATCH(UPPER(TRIM($G394))&amp;"|"&amp;UPPER(TRIM($F394)),Setup!$P$21:$P$60,0)),"NO RATE"))))</f>
        <v/>
      </c>
      <c r="J394" s="98" t="n"/>
      <c r="K394" s="90">
        <f>IF(OR($G394="",$H394="",NOT(ISNUMBER($I394))),"",ROUND($H394*$I394*(1+IF($J394="",Setup!$B$16,$J394)),2))</f>
        <v/>
      </c>
      <c r="L394" s="90">
        <f>IF($K394="","",ROUND($K394*Setup!$B$13,2))</f>
        <v/>
      </c>
      <c r="M394" s="90">
        <f>IF($K394="","",$K394-$L394)</f>
        <v/>
      </c>
      <c r="N394" s="90">
        <f>IF(OR($M394="",$D394=""),"",ROUND($M394*IFERROR(IF(VLOOKUP($D394,Setup!$A$76:$C$87,3,FALSE)="",Setup!$B$14,VLOOKUP($D394,Setup!$A$76:$C$87,3,FALSE)),Setup!$B$14),2))</f>
        <v/>
      </c>
      <c r="O394" s="90">
        <f>IF(OR($M394="",$E394=""),"",ROUND($M394*IFERROR(IF(VLOOKUP($E394,Setup!$A$76:$C$87,3,FALSE)="",Setup!$B$15,VLOOKUP($E394,Setup!$A$76:$C$87,3,FALSE)),Setup!$B$15),2))</f>
        <v/>
      </c>
      <c r="P394" s="99" t="n"/>
      <c r="Q394" s="99" t="n"/>
      <c r="R394" s="99" t="n"/>
      <c r="S394" s="99" t="n"/>
      <c r="T394" s="99" t="n"/>
      <c r="U394" s="90">
        <f>IF($K394="","",SUM($R394:$T394))</f>
        <v/>
      </c>
      <c r="V394" s="90">
        <f>IF($K394="","",$M394-(N($N394)+N($O394)+IF($P394="",Setup!$B$17,$P394)+N($Q394))-N($U394))</f>
        <v/>
      </c>
      <c r="W394" s="95" t="n"/>
      <c r="X394" s="96" t="n"/>
      <c r="Z394" s="93">
        <f>IF($A394="","",DATE(YEAR($A394),MONTH($A394),1))</f>
        <v/>
      </c>
    </row>
    <row r="395">
      <c r="A395" s="86" t="n"/>
      <c r="B395" s="87" t="n"/>
      <c r="C395" s="87" t="n"/>
      <c r="D395" s="88" t="n"/>
      <c r="E395" s="88" t="n"/>
      <c r="F395" s="88" t="n"/>
      <c r="G395" s="88" t="n"/>
      <c r="H395" s="89" t="n"/>
      <c r="I395" s="90">
        <f>IF($G395="","",IF($F395="",IFERROR(INDEX(Setup!$C$21:$C$60,MATCH("|"&amp;UPPER(TRIM($G395)),Setup!$Q$21:$Q$60,0)),"NO RATE"),IFERROR(INDEX(Setup!$C$21:$C$60,MATCH(UPPER(TRIM($F395))&amp;"|"&amp;UPPER(TRIM($G395)),Setup!$P$21:$P$60,0)),IFERROR(INDEX(Setup!$C$21:$C$60,MATCH(UPPER(TRIM($G395))&amp;"|"&amp;UPPER(TRIM($F395)),Setup!$P$21:$P$60,0)),"NO RATE"))))</f>
        <v/>
      </c>
      <c r="J395" s="91" t="n"/>
      <c r="K395" s="90">
        <f>IF(OR($G395="",$H395="",NOT(ISNUMBER($I395))),"",ROUND($H395*$I395*(1+IF($J395="",Setup!$B$16,$J395)),2))</f>
        <v/>
      </c>
      <c r="L395" s="90">
        <f>IF($K395="","",ROUND($K395*Setup!$B$13,2))</f>
        <v/>
      </c>
      <c r="M395" s="90">
        <f>IF($K395="","",$K395-$L395)</f>
        <v/>
      </c>
      <c r="N395" s="90">
        <f>IF(OR($M395="",$D395=""),"",ROUND($M395*IFERROR(IF(VLOOKUP($D395,Setup!$A$76:$C$87,3,FALSE)="",Setup!$B$14,VLOOKUP($D395,Setup!$A$76:$C$87,3,FALSE)),Setup!$B$14),2))</f>
        <v/>
      </c>
      <c r="O395" s="90">
        <f>IF(OR($M395="",$E395=""),"",ROUND($M395*IFERROR(IF(VLOOKUP($E395,Setup!$A$76:$C$87,3,FALSE)="",Setup!$B$15,VLOOKUP($E395,Setup!$A$76:$C$87,3,FALSE)),Setup!$B$15),2))</f>
        <v/>
      </c>
      <c r="P395" s="92" t="n"/>
      <c r="Q395" s="92" t="n"/>
      <c r="R395" s="92" t="n"/>
      <c r="S395" s="92" t="n"/>
      <c r="T395" s="92" t="n"/>
      <c r="U395" s="90">
        <f>IF($K395="","",SUM($R395:$T395))</f>
        <v/>
      </c>
      <c r="V395" s="90">
        <f>IF($K395="","",$M395-(N($N395)+N($O395)+IF($P395="",Setup!$B$17,$P395)+N($Q395))-N($U395))</f>
        <v/>
      </c>
      <c r="W395" s="87" t="n"/>
      <c r="X395" s="88" t="n"/>
      <c r="Z395" s="93">
        <f>IF($A395="","",DATE(YEAR($A395),MONTH($A395),1))</f>
        <v/>
      </c>
    </row>
    <row r="396">
      <c r="A396" s="94" t="n"/>
      <c r="B396" s="95" t="n"/>
      <c r="C396" s="95" t="n"/>
      <c r="D396" s="96" t="n"/>
      <c r="E396" s="96" t="n"/>
      <c r="F396" s="96" t="n"/>
      <c r="G396" s="96" t="n"/>
      <c r="H396" s="97" t="n"/>
      <c r="I396" s="90">
        <f>IF($G396="","",IF($F396="",IFERROR(INDEX(Setup!$C$21:$C$60,MATCH("|"&amp;UPPER(TRIM($G396)),Setup!$Q$21:$Q$60,0)),"NO RATE"),IFERROR(INDEX(Setup!$C$21:$C$60,MATCH(UPPER(TRIM($F396))&amp;"|"&amp;UPPER(TRIM($G396)),Setup!$P$21:$P$60,0)),IFERROR(INDEX(Setup!$C$21:$C$60,MATCH(UPPER(TRIM($G396))&amp;"|"&amp;UPPER(TRIM($F396)),Setup!$P$21:$P$60,0)),"NO RATE"))))</f>
        <v/>
      </c>
      <c r="J396" s="98" t="n"/>
      <c r="K396" s="90">
        <f>IF(OR($G396="",$H396="",NOT(ISNUMBER($I396))),"",ROUND($H396*$I396*(1+IF($J396="",Setup!$B$16,$J396)),2))</f>
        <v/>
      </c>
      <c r="L396" s="90">
        <f>IF($K396="","",ROUND($K396*Setup!$B$13,2))</f>
        <v/>
      </c>
      <c r="M396" s="90">
        <f>IF($K396="","",$K396-$L396)</f>
        <v/>
      </c>
      <c r="N396" s="90">
        <f>IF(OR($M396="",$D396=""),"",ROUND($M396*IFERROR(IF(VLOOKUP($D396,Setup!$A$76:$C$87,3,FALSE)="",Setup!$B$14,VLOOKUP($D396,Setup!$A$76:$C$87,3,FALSE)),Setup!$B$14),2))</f>
        <v/>
      </c>
      <c r="O396" s="90">
        <f>IF(OR($M396="",$E396=""),"",ROUND($M396*IFERROR(IF(VLOOKUP($E396,Setup!$A$76:$C$87,3,FALSE)="",Setup!$B$15,VLOOKUP($E396,Setup!$A$76:$C$87,3,FALSE)),Setup!$B$15),2))</f>
        <v/>
      </c>
      <c r="P396" s="99" t="n"/>
      <c r="Q396" s="99" t="n"/>
      <c r="R396" s="99" t="n"/>
      <c r="S396" s="99" t="n"/>
      <c r="T396" s="99" t="n"/>
      <c r="U396" s="90">
        <f>IF($K396="","",SUM($R396:$T396))</f>
        <v/>
      </c>
      <c r="V396" s="90">
        <f>IF($K396="","",$M396-(N($N396)+N($O396)+IF($P396="",Setup!$B$17,$P396)+N($Q396))-N($U396))</f>
        <v/>
      </c>
      <c r="W396" s="95" t="n"/>
      <c r="X396" s="96" t="n"/>
      <c r="Z396" s="93">
        <f>IF($A396="","",DATE(YEAR($A396),MONTH($A396),1))</f>
        <v/>
      </c>
    </row>
    <row r="397">
      <c r="A397" s="86" t="n"/>
      <c r="B397" s="87" t="n"/>
      <c r="C397" s="87" t="n"/>
      <c r="D397" s="88" t="n"/>
      <c r="E397" s="88" t="n"/>
      <c r="F397" s="88" t="n"/>
      <c r="G397" s="88" t="n"/>
      <c r="H397" s="89" t="n"/>
      <c r="I397" s="90">
        <f>IF($G397="","",IF($F397="",IFERROR(INDEX(Setup!$C$21:$C$60,MATCH("|"&amp;UPPER(TRIM($G397)),Setup!$Q$21:$Q$60,0)),"NO RATE"),IFERROR(INDEX(Setup!$C$21:$C$60,MATCH(UPPER(TRIM($F397))&amp;"|"&amp;UPPER(TRIM($G397)),Setup!$P$21:$P$60,0)),IFERROR(INDEX(Setup!$C$21:$C$60,MATCH(UPPER(TRIM($G397))&amp;"|"&amp;UPPER(TRIM($F397)),Setup!$P$21:$P$60,0)),"NO RATE"))))</f>
        <v/>
      </c>
      <c r="J397" s="91" t="n"/>
      <c r="K397" s="90">
        <f>IF(OR($G397="",$H397="",NOT(ISNUMBER($I397))),"",ROUND($H397*$I397*(1+IF($J397="",Setup!$B$16,$J397)),2))</f>
        <v/>
      </c>
      <c r="L397" s="90">
        <f>IF($K397="","",ROUND($K397*Setup!$B$13,2))</f>
        <v/>
      </c>
      <c r="M397" s="90">
        <f>IF($K397="","",$K397-$L397)</f>
        <v/>
      </c>
      <c r="N397" s="90">
        <f>IF(OR($M397="",$D397=""),"",ROUND($M397*IFERROR(IF(VLOOKUP($D397,Setup!$A$76:$C$87,3,FALSE)="",Setup!$B$14,VLOOKUP($D397,Setup!$A$76:$C$87,3,FALSE)),Setup!$B$14),2))</f>
        <v/>
      </c>
      <c r="O397" s="90">
        <f>IF(OR($M397="",$E397=""),"",ROUND($M397*IFERROR(IF(VLOOKUP($E397,Setup!$A$76:$C$87,3,FALSE)="",Setup!$B$15,VLOOKUP($E397,Setup!$A$76:$C$87,3,FALSE)),Setup!$B$15),2))</f>
        <v/>
      </c>
      <c r="P397" s="92" t="n"/>
      <c r="Q397" s="92" t="n"/>
      <c r="R397" s="92" t="n"/>
      <c r="S397" s="92" t="n"/>
      <c r="T397" s="92" t="n"/>
      <c r="U397" s="90">
        <f>IF($K397="","",SUM($R397:$T397))</f>
        <v/>
      </c>
      <c r="V397" s="90">
        <f>IF($K397="","",$M397-(N($N397)+N($O397)+IF($P397="",Setup!$B$17,$P397)+N($Q397))-N($U397))</f>
        <v/>
      </c>
      <c r="W397" s="87" t="n"/>
      <c r="X397" s="88" t="n"/>
      <c r="Z397" s="93">
        <f>IF($A397="","",DATE(YEAR($A397),MONTH($A397),1))</f>
        <v/>
      </c>
    </row>
    <row r="398">
      <c r="A398" s="94" t="n"/>
      <c r="B398" s="95" t="n"/>
      <c r="C398" s="95" t="n"/>
      <c r="D398" s="96" t="n"/>
      <c r="E398" s="96" t="n"/>
      <c r="F398" s="96" t="n"/>
      <c r="G398" s="96" t="n"/>
      <c r="H398" s="97" t="n"/>
      <c r="I398" s="90">
        <f>IF($G398="","",IF($F398="",IFERROR(INDEX(Setup!$C$21:$C$60,MATCH("|"&amp;UPPER(TRIM($G398)),Setup!$Q$21:$Q$60,0)),"NO RATE"),IFERROR(INDEX(Setup!$C$21:$C$60,MATCH(UPPER(TRIM($F398))&amp;"|"&amp;UPPER(TRIM($G398)),Setup!$P$21:$P$60,0)),IFERROR(INDEX(Setup!$C$21:$C$60,MATCH(UPPER(TRIM($G398))&amp;"|"&amp;UPPER(TRIM($F398)),Setup!$P$21:$P$60,0)),"NO RATE"))))</f>
        <v/>
      </c>
      <c r="J398" s="98" t="n"/>
      <c r="K398" s="90">
        <f>IF(OR($G398="",$H398="",NOT(ISNUMBER($I398))),"",ROUND($H398*$I398*(1+IF($J398="",Setup!$B$16,$J398)),2))</f>
        <v/>
      </c>
      <c r="L398" s="90">
        <f>IF($K398="","",ROUND($K398*Setup!$B$13,2))</f>
        <v/>
      </c>
      <c r="M398" s="90">
        <f>IF($K398="","",$K398-$L398)</f>
        <v/>
      </c>
      <c r="N398" s="90">
        <f>IF(OR($M398="",$D398=""),"",ROUND($M398*IFERROR(IF(VLOOKUP($D398,Setup!$A$76:$C$87,3,FALSE)="",Setup!$B$14,VLOOKUP($D398,Setup!$A$76:$C$87,3,FALSE)),Setup!$B$14),2))</f>
        <v/>
      </c>
      <c r="O398" s="90">
        <f>IF(OR($M398="",$E398=""),"",ROUND($M398*IFERROR(IF(VLOOKUP($E398,Setup!$A$76:$C$87,3,FALSE)="",Setup!$B$15,VLOOKUP($E398,Setup!$A$76:$C$87,3,FALSE)),Setup!$B$15),2))</f>
        <v/>
      </c>
      <c r="P398" s="99" t="n"/>
      <c r="Q398" s="99" t="n"/>
      <c r="R398" s="99" t="n"/>
      <c r="S398" s="99" t="n"/>
      <c r="T398" s="99" t="n"/>
      <c r="U398" s="90">
        <f>IF($K398="","",SUM($R398:$T398))</f>
        <v/>
      </c>
      <c r="V398" s="90">
        <f>IF($K398="","",$M398-(N($N398)+N($O398)+IF($P398="",Setup!$B$17,$P398)+N($Q398))-N($U398))</f>
        <v/>
      </c>
      <c r="W398" s="95" t="n"/>
      <c r="X398" s="96" t="n"/>
      <c r="Z398" s="93">
        <f>IF($A398="","",DATE(YEAR($A398),MONTH($A398),1))</f>
        <v/>
      </c>
    </row>
    <row r="399">
      <c r="A399" s="86" t="n"/>
      <c r="B399" s="87" t="n"/>
      <c r="C399" s="87" t="n"/>
      <c r="D399" s="88" t="n"/>
      <c r="E399" s="88" t="n"/>
      <c r="F399" s="88" t="n"/>
      <c r="G399" s="88" t="n"/>
      <c r="H399" s="89" t="n"/>
      <c r="I399" s="90">
        <f>IF($G399="","",IF($F399="",IFERROR(INDEX(Setup!$C$21:$C$60,MATCH("|"&amp;UPPER(TRIM($G399)),Setup!$Q$21:$Q$60,0)),"NO RATE"),IFERROR(INDEX(Setup!$C$21:$C$60,MATCH(UPPER(TRIM($F399))&amp;"|"&amp;UPPER(TRIM($G399)),Setup!$P$21:$P$60,0)),IFERROR(INDEX(Setup!$C$21:$C$60,MATCH(UPPER(TRIM($G399))&amp;"|"&amp;UPPER(TRIM($F399)),Setup!$P$21:$P$60,0)),"NO RATE"))))</f>
        <v/>
      </c>
      <c r="J399" s="91" t="n"/>
      <c r="K399" s="90">
        <f>IF(OR($G399="",$H399="",NOT(ISNUMBER($I399))),"",ROUND($H399*$I399*(1+IF($J399="",Setup!$B$16,$J399)),2))</f>
        <v/>
      </c>
      <c r="L399" s="90">
        <f>IF($K399="","",ROUND($K399*Setup!$B$13,2))</f>
        <v/>
      </c>
      <c r="M399" s="90">
        <f>IF($K399="","",$K399-$L399)</f>
        <v/>
      </c>
      <c r="N399" s="90">
        <f>IF(OR($M399="",$D399=""),"",ROUND($M399*IFERROR(IF(VLOOKUP($D399,Setup!$A$76:$C$87,3,FALSE)="",Setup!$B$14,VLOOKUP($D399,Setup!$A$76:$C$87,3,FALSE)),Setup!$B$14),2))</f>
        <v/>
      </c>
      <c r="O399" s="90">
        <f>IF(OR($M399="",$E399=""),"",ROUND($M399*IFERROR(IF(VLOOKUP($E399,Setup!$A$76:$C$87,3,FALSE)="",Setup!$B$15,VLOOKUP($E399,Setup!$A$76:$C$87,3,FALSE)),Setup!$B$15),2))</f>
        <v/>
      </c>
      <c r="P399" s="92" t="n"/>
      <c r="Q399" s="92" t="n"/>
      <c r="R399" s="92" t="n"/>
      <c r="S399" s="92" t="n"/>
      <c r="T399" s="92" t="n"/>
      <c r="U399" s="90">
        <f>IF($K399="","",SUM($R399:$T399))</f>
        <v/>
      </c>
      <c r="V399" s="90">
        <f>IF($K399="","",$M399-(N($N399)+N($O399)+IF($P399="",Setup!$B$17,$P399)+N($Q399))-N($U399))</f>
        <v/>
      </c>
      <c r="W399" s="87" t="n"/>
      <c r="X399" s="88" t="n"/>
      <c r="Z399" s="93">
        <f>IF($A399="","",DATE(YEAR($A399),MONTH($A399),1))</f>
        <v/>
      </c>
    </row>
    <row r="400">
      <c r="A400" s="94" t="n"/>
      <c r="B400" s="95" t="n"/>
      <c r="C400" s="95" t="n"/>
      <c r="D400" s="96" t="n"/>
      <c r="E400" s="96" t="n"/>
      <c r="F400" s="96" t="n"/>
      <c r="G400" s="96" t="n"/>
      <c r="H400" s="97" t="n"/>
      <c r="I400" s="90">
        <f>IF($G400="","",IF($F400="",IFERROR(INDEX(Setup!$C$21:$C$60,MATCH("|"&amp;UPPER(TRIM($G400)),Setup!$Q$21:$Q$60,0)),"NO RATE"),IFERROR(INDEX(Setup!$C$21:$C$60,MATCH(UPPER(TRIM($F400))&amp;"|"&amp;UPPER(TRIM($G400)),Setup!$P$21:$P$60,0)),IFERROR(INDEX(Setup!$C$21:$C$60,MATCH(UPPER(TRIM($G400))&amp;"|"&amp;UPPER(TRIM($F400)),Setup!$P$21:$P$60,0)),"NO RATE"))))</f>
        <v/>
      </c>
      <c r="J400" s="98" t="n"/>
      <c r="K400" s="90">
        <f>IF(OR($G400="",$H400="",NOT(ISNUMBER($I400))),"",ROUND($H400*$I400*(1+IF($J400="",Setup!$B$16,$J400)),2))</f>
        <v/>
      </c>
      <c r="L400" s="90">
        <f>IF($K400="","",ROUND($K400*Setup!$B$13,2))</f>
        <v/>
      </c>
      <c r="M400" s="90">
        <f>IF($K400="","",$K400-$L400)</f>
        <v/>
      </c>
      <c r="N400" s="90">
        <f>IF(OR($M400="",$D400=""),"",ROUND($M400*IFERROR(IF(VLOOKUP($D400,Setup!$A$76:$C$87,3,FALSE)="",Setup!$B$14,VLOOKUP($D400,Setup!$A$76:$C$87,3,FALSE)),Setup!$B$14),2))</f>
        <v/>
      </c>
      <c r="O400" s="90">
        <f>IF(OR($M400="",$E400=""),"",ROUND($M400*IFERROR(IF(VLOOKUP($E400,Setup!$A$76:$C$87,3,FALSE)="",Setup!$B$15,VLOOKUP($E400,Setup!$A$76:$C$87,3,FALSE)),Setup!$B$15),2))</f>
        <v/>
      </c>
      <c r="P400" s="99" t="n"/>
      <c r="Q400" s="99" t="n"/>
      <c r="R400" s="99" t="n"/>
      <c r="S400" s="99" t="n"/>
      <c r="T400" s="99" t="n"/>
      <c r="U400" s="90">
        <f>IF($K400="","",SUM($R400:$T400))</f>
        <v/>
      </c>
      <c r="V400" s="90">
        <f>IF($K400="","",$M400-(N($N400)+N($O400)+IF($P400="",Setup!$B$17,$P400)+N($Q400))-N($U400))</f>
        <v/>
      </c>
      <c r="W400" s="95" t="n"/>
      <c r="X400" s="96" t="n"/>
      <c r="Z400" s="93">
        <f>IF($A400="","",DATE(YEAR($A400),MONTH($A400),1))</f>
        <v/>
      </c>
    </row>
    <row r="401">
      <c r="A401" s="86" t="n"/>
      <c r="B401" s="87" t="n"/>
      <c r="C401" s="87" t="n"/>
      <c r="D401" s="88" t="n"/>
      <c r="E401" s="88" t="n"/>
      <c r="F401" s="88" t="n"/>
      <c r="G401" s="88" t="n"/>
      <c r="H401" s="89" t="n"/>
      <c r="I401" s="90">
        <f>IF($G401="","",IF($F401="",IFERROR(INDEX(Setup!$C$21:$C$60,MATCH("|"&amp;UPPER(TRIM($G401)),Setup!$Q$21:$Q$60,0)),"NO RATE"),IFERROR(INDEX(Setup!$C$21:$C$60,MATCH(UPPER(TRIM($F401))&amp;"|"&amp;UPPER(TRIM($G401)),Setup!$P$21:$P$60,0)),IFERROR(INDEX(Setup!$C$21:$C$60,MATCH(UPPER(TRIM($G401))&amp;"|"&amp;UPPER(TRIM($F401)),Setup!$P$21:$P$60,0)),"NO RATE"))))</f>
        <v/>
      </c>
      <c r="J401" s="91" t="n"/>
      <c r="K401" s="90">
        <f>IF(OR($G401="",$H401="",NOT(ISNUMBER($I401))),"",ROUND($H401*$I401*(1+IF($J401="",Setup!$B$16,$J401)),2))</f>
        <v/>
      </c>
      <c r="L401" s="90">
        <f>IF($K401="","",ROUND($K401*Setup!$B$13,2))</f>
        <v/>
      </c>
      <c r="M401" s="90">
        <f>IF($K401="","",$K401-$L401)</f>
        <v/>
      </c>
      <c r="N401" s="90">
        <f>IF(OR($M401="",$D401=""),"",ROUND($M401*IFERROR(IF(VLOOKUP($D401,Setup!$A$76:$C$87,3,FALSE)="",Setup!$B$14,VLOOKUP($D401,Setup!$A$76:$C$87,3,FALSE)),Setup!$B$14),2))</f>
        <v/>
      </c>
      <c r="O401" s="90">
        <f>IF(OR($M401="",$E401=""),"",ROUND($M401*IFERROR(IF(VLOOKUP($E401,Setup!$A$76:$C$87,3,FALSE)="",Setup!$B$15,VLOOKUP($E401,Setup!$A$76:$C$87,3,FALSE)),Setup!$B$15),2))</f>
        <v/>
      </c>
      <c r="P401" s="92" t="n"/>
      <c r="Q401" s="92" t="n"/>
      <c r="R401" s="92" t="n"/>
      <c r="S401" s="92" t="n"/>
      <c r="T401" s="92" t="n"/>
      <c r="U401" s="90">
        <f>IF($K401="","",SUM($R401:$T401))</f>
        <v/>
      </c>
      <c r="V401" s="90">
        <f>IF($K401="","",$M401-(N($N401)+N($O401)+IF($P401="",Setup!$B$17,$P401)+N($Q401))-N($U401))</f>
        <v/>
      </c>
      <c r="W401" s="87" t="n"/>
      <c r="X401" s="88" t="n"/>
      <c r="Z401" s="93">
        <f>IF($A401="","",DATE(YEAR($A401),MONTH($A401),1))</f>
        <v/>
      </c>
    </row>
    <row r="402">
      <c r="A402" s="94" t="n"/>
      <c r="B402" s="95" t="n"/>
      <c r="C402" s="95" t="n"/>
      <c r="D402" s="96" t="n"/>
      <c r="E402" s="96" t="n"/>
      <c r="F402" s="96" t="n"/>
      <c r="G402" s="96" t="n"/>
      <c r="H402" s="97" t="n"/>
      <c r="I402" s="90">
        <f>IF($G402="","",IF($F402="",IFERROR(INDEX(Setup!$C$21:$C$60,MATCH("|"&amp;UPPER(TRIM($G402)),Setup!$Q$21:$Q$60,0)),"NO RATE"),IFERROR(INDEX(Setup!$C$21:$C$60,MATCH(UPPER(TRIM($F402))&amp;"|"&amp;UPPER(TRIM($G402)),Setup!$P$21:$P$60,0)),IFERROR(INDEX(Setup!$C$21:$C$60,MATCH(UPPER(TRIM($G402))&amp;"|"&amp;UPPER(TRIM($F402)),Setup!$P$21:$P$60,0)),"NO RATE"))))</f>
        <v/>
      </c>
      <c r="J402" s="98" t="n"/>
      <c r="K402" s="90">
        <f>IF(OR($G402="",$H402="",NOT(ISNUMBER($I402))),"",ROUND($H402*$I402*(1+IF($J402="",Setup!$B$16,$J402)),2))</f>
        <v/>
      </c>
      <c r="L402" s="90">
        <f>IF($K402="","",ROUND($K402*Setup!$B$13,2))</f>
        <v/>
      </c>
      <c r="M402" s="90">
        <f>IF($K402="","",$K402-$L402)</f>
        <v/>
      </c>
      <c r="N402" s="90">
        <f>IF(OR($M402="",$D402=""),"",ROUND($M402*IFERROR(IF(VLOOKUP($D402,Setup!$A$76:$C$87,3,FALSE)="",Setup!$B$14,VLOOKUP($D402,Setup!$A$76:$C$87,3,FALSE)),Setup!$B$14),2))</f>
        <v/>
      </c>
      <c r="O402" s="90">
        <f>IF(OR($M402="",$E402=""),"",ROUND($M402*IFERROR(IF(VLOOKUP($E402,Setup!$A$76:$C$87,3,FALSE)="",Setup!$B$15,VLOOKUP($E402,Setup!$A$76:$C$87,3,FALSE)),Setup!$B$15),2))</f>
        <v/>
      </c>
      <c r="P402" s="99" t="n"/>
      <c r="Q402" s="99" t="n"/>
      <c r="R402" s="99" t="n"/>
      <c r="S402" s="99" t="n"/>
      <c r="T402" s="99" t="n"/>
      <c r="U402" s="90">
        <f>IF($K402="","",SUM($R402:$T402))</f>
        <v/>
      </c>
      <c r="V402" s="90">
        <f>IF($K402="","",$M402-(N($N402)+N($O402)+IF($P402="",Setup!$B$17,$P402)+N($Q402))-N($U402))</f>
        <v/>
      </c>
      <c r="W402" s="95" t="n"/>
      <c r="X402" s="96" t="n"/>
      <c r="Z402" s="93">
        <f>IF($A402="","",DATE(YEAR($A402),MONTH($A402),1))</f>
        <v/>
      </c>
    </row>
    <row r="403">
      <c r="A403" s="86" t="n"/>
      <c r="B403" s="87" t="n"/>
      <c r="C403" s="87" t="n"/>
      <c r="D403" s="88" t="n"/>
      <c r="E403" s="88" t="n"/>
      <c r="F403" s="88" t="n"/>
      <c r="G403" s="88" t="n"/>
      <c r="H403" s="89" t="n"/>
      <c r="I403" s="90">
        <f>IF($G403="","",IF($F403="",IFERROR(INDEX(Setup!$C$21:$C$60,MATCH("|"&amp;UPPER(TRIM($G403)),Setup!$Q$21:$Q$60,0)),"NO RATE"),IFERROR(INDEX(Setup!$C$21:$C$60,MATCH(UPPER(TRIM($F403))&amp;"|"&amp;UPPER(TRIM($G403)),Setup!$P$21:$P$60,0)),IFERROR(INDEX(Setup!$C$21:$C$60,MATCH(UPPER(TRIM($G403))&amp;"|"&amp;UPPER(TRIM($F403)),Setup!$P$21:$P$60,0)),"NO RATE"))))</f>
        <v/>
      </c>
      <c r="J403" s="91" t="n"/>
      <c r="K403" s="90">
        <f>IF(OR($G403="",$H403="",NOT(ISNUMBER($I403))),"",ROUND($H403*$I403*(1+IF($J403="",Setup!$B$16,$J403)),2))</f>
        <v/>
      </c>
      <c r="L403" s="90">
        <f>IF($K403="","",ROUND($K403*Setup!$B$13,2))</f>
        <v/>
      </c>
      <c r="M403" s="90">
        <f>IF($K403="","",$K403-$L403)</f>
        <v/>
      </c>
      <c r="N403" s="90">
        <f>IF(OR($M403="",$D403=""),"",ROUND($M403*IFERROR(IF(VLOOKUP($D403,Setup!$A$76:$C$87,3,FALSE)="",Setup!$B$14,VLOOKUP($D403,Setup!$A$76:$C$87,3,FALSE)),Setup!$B$14),2))</f>
        <v/>
      </c>
      <c r="O403" s="90">
        <f>IF(OR($M403="",$E403=""),"",ROUND($M403*IFERROR(IF(VLOOKUP($E403,Setup!$A$76:$C$87,3,FALSE)="",Setup!$B$15,VLOOKUP($E403,Setup!$A$76:$C$87,3,FALSE)),Setup!$B$15),2))</f>
        <v/>
      </c>
      <c r="P403" s="92" t="n"/>
      <c r="Q403" s="92" t="n"/>
      <c r="R403" s="92" t="n"/>
      <c r="S403" s="92" t="n"/>
      <c r="T403" s="92" t="n"/>
      <c r="U403" s="90">
        <f>IF($K403="","",SUM($R403:$T403))</f>
        <v/>
      </c>
      <c r="V403" s="90">
        <f>IF($K403="","",$M403-(N($N403)+N($O403)+IF($P403="",Setup!$B$17,$P403)+N($Q403))-N($U403))</f>
        <v/>
      </c>
      <c r="W403" s="87" t="n"/>
      <c r="X403" s="88" t="n"/>
      <c r="Z403" s="93">
        <f>IF($A403="","",DATE(YEAR($A403),MONTH($A403),1))</f>
        <v/>
      </c>
    </row>
    <row r="404">
      <c r="A404" s="94" t="n"/>
      <c r="B404" s="95" t="n"/>
      <c r="C404" s="95" t="n"/>
      <c r="D404" s="96" t="n"/>
      <c r="E404" s="96" t="n"/>
      <c r="F404" s="96" t="n"/>
      <c r="G404" s="96" t="n"/>
      <c r="H404" s="97" t="n"/>
      <c r="I404" s="90">
        <f>IF($G404="","",IF($F404="",IFERROR(INDEX(Setup!$C$21:$C$60,MATCH("|"&amp;UPPER(TRIM($G404)),Setup!$Q$21:$Q$60,0)),"NO RATE"),IFERROR(INDEX(Setup!$C$21:$C$60,MATCH(UPPER(TRIM($F404))&amp;"|"&amp;UPPER(TRIM($G404)),Setup!$P$21:$P$60,0)),IFERROR(INDEX(Setup!$C$21:$C$60,MATCH(UPPER(TRIM($G404))&amp;"|"&amp;UPPER(TRIM($F404)),Setup!$P$21:$P$60,0)),"NO RATE"))))</f>
        <v/>
      </c>
      <c r="J404" s="98" t="n"/>
      <c r="K404" s="90">
        <f>IF(OR($G404="",$H404="",NOT(ISNUMBER($I404))),"",ROUND($H404*$I404*(1+IF($J404="",Setup!$B$16,$J404)),2))</f>
        <v/>
      </c>
      <c r="L404" s="90">
        <f>IF($K404="","",ROUND($K404*Setup!$B$13,2))</f>
        <v/>
      </c>
      <c r="M404" s="90">
        <f>IF($K404="","",$K404-$L404)</f>
        <v/>
      </c>
      <c r="N404" s="90">
        <f>IF(OR($M404="",$D404=""),"",ROUND($M404*IFERROR(IF(VLOOKUP($D404,Setup!$A$76:$C$87,3,FALSE)="",Setup!$B$14,VLOOKUP($D404,Setup!$A$76:$C$87,3,FALSE)),Setup!$B$14),2))</f>
        <v/>
      </c>
      <c r="O404" s="90">
        <f>IF(OR($M404="",$E404=""),"",ROUND($M404*IFERROR(IF(VLOOKUP($E404,Setup!$A$76:$C$87,3,FALSE)="",Setup!$B$15,VLOOKUP($E404,Setup!$A$76:$C$87,3,FALSE)),Setup!$B$15),2))</f>
        <v/>
      </c>
      <c r="P404" s="99" t="n"/>
      <c r="Q404" s="99" t="n"/>
      <c r="R404" s="99" t="n"/>
      <c r="S404" s="99" t="n"/>
      <c r="T404" s="99" t="n"/>
      <c r="U404" s="90">
        <f>IF($K404="","",SUM($R404:$T404))</f>
        <v/>
      </c>
      <c r="V404" s="90">
        <f>IF($K404="","",$M404-(N($N404)+N($O404)+IF($P404="",Setup!$B$17,$P404)+N($Q404))-N($U404))</f>
        <v/>
      </c>
      <c r="W404" s="95" t="n"/>
      <c r="X404" s="96" t="n"/>
      <c r="Z404" s="93">
        <f>IF($A404="","",DATE(YEAR($A404),MONTH($A404),1))</f>
        <v/>
      </c>
    </row>
    <row r="405">
      <c r="A405" s="86" t="n"/>
      <c r="B405" s="87" t="n"/>
      <c r="C405" s="87" t="n"/>
      <c r="D405" s="88" t="n"/>
      <c r="E405" s="88" t="n"/>
      <c r="F405" s="88" t="n"/>
      <c r="G405" s="88" t="n"/>
      <c r="H405" s="89" t="n"/>
      <c r="I405" s="90">
        <f>IF($G405="","",IF($F405="",IFERROR(INDEX(Setup!$C$21:$C$60,MATCH("|"&amp;UPPER(TRIM($G405)),Setup!$Q$21:$Q$60,0)),"NO RATE"),IFERROR(INDEX(Setup!$C$21:$C$60,MATCH(UPPER(TRIM($F405))&amp;"|"&amp;UPPER(TRIM($G405)),Setup!$P$21:$P$60,0)),IFERROR(INDEX(Setup!$C$21:$C$60,MATCH(UPPER(TRIM($G405))&amp;"|"&amp;UPPER(TRIM($F405)),Setup!$P$21:$P$60,0)),"NO RATE"))))</f>
        <v/>
      </c>
      <c r="J405" s="91" t="n"/>
      <c r="K405" s="90">
        <f>IF(OR($G405="",$H405="",NOT(ISNUMBER($I405))),"",ROUND($H405*$I405*(1+IF($J405="",Setup!$B$16,$J405)),2))</f>
        <v/>
      </c>
      <c r="L405" s="90">
        <f>IF($K405="","",ROUND($K405*Setup!$B$13,2))</f>
        <v/>
      </c>
      <c r="M405" s="90">
        <f>IF($K405="","",$K405-$L405)</f>
        <v/>
      </c>
      <c r="N405" s="90">
        <f>IF(OR($M405="",$D405=""),"",ROUND($M405*IFERROR(IF(VLOOKUP($D405,Setup!$A$76:$C$87,3,FALSE)="",Setup!$B$14,VLOOKUP($D405,Setup!$A$76:$C$87,3,FALSE)),Setup!$B$14),2))</f>
        <v/>
      </c>
      <c r="O405" s="90">
        <f>IF(OR($M405="",$E405=""),"",ROUND($M405*IFERROR(IF(VLOOKUP($E405,Setup!$A$76:$C$87,3,FALSE)="",Setup!$B$15,VLOOKUP($E405,Setup!$A$76:$C$87,3,FALSE)),Setup!$B$15),2))</f>
        <v/>
      </c>
      <c r="P405" s="92" t="n"/>
      <c r="Q405" s="92" t="n"/>
      <c r="R405" s="92" t="n"/>
      <c r="S405" s="92" t="n"/>
      <c r="T405" s="92" t="n"/>
      <c r="U405" s="90">
        <f>IF($K405="","",SUM($R405:$T405))</f>
        <v/>
      </c>
      <c r="V405" s="90">
        <f>IF($K405="","",$M405-(N($N405)+N($O405)+IF($P405="",Setup!$B$17,$P405)+N($Q405))-N($U405))</f>
        <v/>
      </c>
      <c r="W405" s="87" t="n"/>
      <c r="X405" s="88" t="n"/>
      <c r="Z405" s="93">
        <f>IF($A405="","",DATE(YEAR($A405),MONTH($A405),1))</f>
        <v/>
      </c>
    </row>
    <row r="406">
      <c r="A406" s="94" t="n"/>
      <c r="B406" s="95" t="n"/>
      <c r="C406" s="95" t="n"/>
      <c r="D406" s="96" t="n"/>
      <c r="E406" s="96" t="n"/>
      <c r="F406" s="96" t="n"/>
      <c r="G406" s="96" t="n"/>
      <c r="H406" s="97" t="n"/>
      <c r="I406" s="90">
        <f>IF($G406="","",IF($F406="",IFERROR(INDEX(Setup!$C$21:$C$60,MATCH("|"&amp;UPPER(TRIM($G406)),Setup!$Q$21:$Q$60,0)),"NO RATE"),IFERROR(INDEX(Setup!$C$21:$C$60,MATCH(UPPER(TRIM($F406))&amp;"|"&amp;UPPER(TRIM($G406)),Setup!$P$21:$P$60,0)),IFERROR(INDEX(Setup!$C$21:$C$60,MATCH(UPPER(TRIM($G406))&amp;"|"&amp;UPPER(TRIM($F406)),Setup!$P$21:$P$60,0)),"NO RATE"))))</f>
        <v/>
      </c>
      <c r="J406" s="98" t="n"/>
      <c r="K406" s="90">
        <f>IF(OR($G406="",$H406="",NOT(ISNUMBER($I406))),"",ROUND($H406*$I406*(1+IF($J406="",Setup!$B$16,$J406)),2))</f>
        <v/>
      </c>
      <c r="L406" s="90">
        <f>IF($K406="","",ROUND($K406*Setup!$B$13,2))</f>
        <v/>
      </c>
      <c r="M406" s="90">
        <f>IF($K406="","",$K406-$L406)</f>
        <v/>
      </c>
      <c r="N406" s="90">
        <f>IF(OR($M406="",$D406=""),"",ROUND($M406*IFERROR(IF(VLOOKUP($D406,Setup!$A$76:$C$87,3,FALSE)="",Setup!$B$14,VLOOKUP($D406,Setup!$A$76:$C$87,3,FALSE)),Setup!$B$14),2))</f>
        <v/>
      </c>
      <c r="O406" s="90">
        <f>IF(OR($M406="",$E406=""),"",ROUND($M406*IFERROR(IF(VLOOKUP($E406,Setup!$A$76:$C$87,3,FALSE)="",Setup!$B$15,VLOOKUP($E406,Setup!$A$76:$C$87,3,FALSE)),Setup!$B$15),2))</f>
        <v/>
      </c>
      <c r="P406" s="99" t="n"/>
      <c r="Q406" s="99" t="n"/>
      <c r="R406" s="99" t="n"/>
      <c r="S406" s="99" t="n"/>
      <c r="T406" s="99" t="n"/>
      <c r="U406" s="90">
        <f>IF($K406="","",SUM($R406:$T406))</f>
        <v/>
      </c>
      <c r="V406" s="90">
        <f>IF($K406="","",$M406-(N($N406)+N($O406)+IF($P406="",Setup!$B$17,$P406)+N($Q406))-N($U406))</f>
        <v/>
      </c>
      <c r="W406" s="95" t="n"/>
      <c r="X406" s="96" t="n"/>
      <c r="Z406" s="93">
        <f>IF($A406="","",DATE(YEAR($A406),MONTH($A406),1))</f>
        <v/>
      </c>
    </row>
    <row r="407">
      <c r="A407" s="86" t="n"/>
      <c r="B407" s="87" t="n"/>
      <c r="C407" s="87" t="n"/>
      <c r="D407" s="88" t="n"/>
      <c r="E407" s="88" t="n"/>
      <c r="F407" s="88" t="n"/>
      <c r="G407" s="88" t="n"/>
      <c r="H407" s="89" t="n"/>
      <c r="I407" s="90">
        <f>IF($G407="","",IF($F407="",IFERROR(INDEX(Setup!$C$21:$C$60,MATCH("|"&amp;UPPER(TRIM($G407)),Setup!$Q$21:$Q$60,0)),"NO RATE"),IFERROR(INDEX(Setup!$C$21:$C$60,MATCH(UPPER(TRIM($F407))&amp;"|"&amp;UPPER(TRIM($G407)),Setup!$P$21:$P$60,0)),IFERROR(INDEX(Setup!$C$21:$C$60,MATCH(UPPER(TRIM($G407))&amp;"|"&amp;UPPER(TRIM($F407)),Setup!$P$21:$P$60,0)),"NO RATE"))))</f>
        <v/>
      </c>
      <c r="J407" s="91" t="n"/>
      <c r="K407" s="90">
        <f>IF(OR($G407="",$H407="",NOT(ISNUMBER($I407))),"",ROUND($H407*$I407*(1+IF($J407="",Setup!$B$16,$J407)),2))</f>
        <v/>
      </c>
      <c r="L407" s="90">
        <f>IF($K407="","",ROUND($K407*Setup!$B$13,2))</f>
        <v/>
      </c>
      <c r="M407" s="90">
        <f>IF($K407="","",$K407-$L407)</f>
        <v/>
      </c>
      <c r="N407" s="90">
        <f>IF(OR($M407="",$D407=""),"",ROUND($M407*IFERROR(IF(VLOOKUP($D407,Setup!$A$76:$C$87,3,FALSE)="",Setup!$B$14,VLOOKUP($D407,Setup!$A$76:$C$87,3,FALSE)),Setup!$B$14),2))</f>
        <v/>
      </c>
      <c r="O407" s="90">
        <f>IF(OR($M407="",$E407=""),"",ROUND($M407*IFERROR(IF(VLOOKUP($E407,Setup!$A$76:$C$87,3,FALSE)="",Setup!$B$15,VLOOKUP($E407,Setup!$A$76:$C$87,3,FALSE)),Setup!$B$15),2))</f>
        <v/>
      </c>
      <c r="P407" s="92" t="n"/>
      <c r="Q407" s="92" t="n"/>
      <c r="R407" s="92" t="n"/>
      <c r="S407" s="92" t="n"/>
      <c r="T407" s="92" t="n"/>
      <c r="U407" s="90">
        <f>IF($K407="","",SUM($R407:$T407))</f>
        <v/>
      </c>
      <c r="V407" s="90">
        <f>IF($K407="","",$M407-(N($N407)+N($O407)+IF($P407="",Setup!$B$17,$P407)+N($Q407))-N($U407))</f>
        <v/>
      </c>
      <c r="W407" s="87" t="n"/>
      <c r="X407" s="88" t="n"/>
      <c r="Z407" s="93">
        <f>IF($A407="","",DATE(YEAR($A407),MONTH($A407),1))</f>
        <v/>
      </c>
    </row>
    <row r="408">
      <c r="A408" s="94" t="n"/>
      <c r="B408" s="95" t="n"/>
      <c r="C408" s="95" t="n"/>
      <c r="D408" s="96" t="n"/>
      <c r="E408" s="96" t="n"/>
      <c r="F408" s="96" t="n"/>
      <c r="G408" s="96" t="n"/>
      <c r="H408" s="97" t="n"/>
      <c r="I408" s="90">
        <f>IF($G408="","",IF($F408="",IFERROR(INDEX(Setup!$C$21:$C$60,MATCH("|"&amp;UPPER(TRIM($G408)),Setup!$Q$21:$Q$60,0)),"NO RATE"),IFERROR(INDEX(Setup!$C$21:$C$60,MATCH(UPPER(TRIM($F408))&amp;"|"&amp;UPPER(TRIM($G408)),Setup!$P$21:$P$60,0)),IFERROR(INDEX(Setup!$C$21:$C$60,MATCH(UPPER(TRIM($G408))&amp;"|"&amp;UPPER(TRIM($F408)),Setup!$P$21:$P$60,0)),"NO RATE"))))</f>
        <v/>
      </c>
      <c r="J408" s="98" t="n"/>
      <c r="K408" s="90">
        <f>IF(OR($G408="",$H408="",NOT(ISNUMBER($I408))),"",ROUND($H408*$I408*(1+IF($J408="",Setup!$B$16,$J408)),2))</f>
        <v/>
      </c>
      <c r="L408" s="90">
        <f>IF($K408="","",ROUND($K408*Setup!$B$13,2))</f>
        <v/>
      </c>
      <c r="M408" s="90">
        <f>IF($K408="","",$K408-$L408)</f>
        <v/>
      </c>
      <c r="N408" s="90">
        <f>IF(OR($M408="",$D408=""),"",ROUND($M408*IFERROR(IF(VLOOKUP($D408,Setup!$A$76:$C$87,3,FALSE)="",Setup!$B$14,VLOOKUP($D408,Setup!$A$76:$C$87,3,FALSE)),Setup!$B$14),2))</f>
        <v/>
      </c>
      <c r="O408" s="90">
        <f>IF(OR($M408="",$E408=""),"",ROUND($M408*IFERROR(IF(VLOOKUP($E408,Setup!$A$76:$C$87,3,FALSE)="",Setup!$B$15,VLOOKUP($E408,Setup!$A$76:$C$87,3,FALSE)),Setup!$B$15),2))</f>
        <v/>
      </c>
      <c r="P408" s="99" t="n"/>
      <c r="Q408" s="99" t="n"/>
      <c r="R408" s="99" t="n"/>
      <c r="S408" s="99" t="n"/>
      <c r="T408" s="99" t="n"/>
      <c r="U408" s="90">
        <f>IF($K408="","",SUM($R408:$T408))</f>
        <v/>
      </c>
      <c r="V408" s="90">
        <f>IF($K408="","",$M408-(N($N408)+N($O408)+IF($P408="",Setup!$B$17,$P408)+N($Q408))-N($U408))</f>
        <v/>
      </c>
      <c r="W408" s="95" t="n"/>
      <c r="X408" s="96" t="n"/>
      <c r="Z408" s="93">
        <f>IF($A408="","",DATE(YEAR($A408),MONTH($A408),1))</f>
        <v/>
      </c>
    </row>
    <row r="409">
      <c r="A409" s="86" t="n"/>
      <c r="B409" s="87" t="n"/>
      <c r="C409" s="87" t="n"/>
      <c r="D409" s="88" t="n"/>
      <c r="E409" s="88" t="n"/>
      <c r="F409" s="88" t="n"/>
      <c r="G409" s="88" t="n"/>
      <c r="H409" s="89" t="n"/>
      <c r="I409" s="90">
        <f>IF($G409="","",IF($F409="",IFERROR(INDEX(Setup!$C$21:$C$60,MATCH("|"&amp;UPPER(TRIM($G409)),Setup!$Q$21:$Q$60,0)),"NO RATE"),IFERROR(INDEX(Setup!$C$21:$C$60,MATCH(UPPER(TRIM($F409))&amp;"|"&amp;UPPER(TRIM($G409)),Setup!$P$21:$P$60,0)),IFERROR(INDEX(Setup!$C$21:$C$60,MATCH(UPPER(TRIM($G409))&amp;"|"&amp;UPPER(TRIM($F409)),Setup!$P$21:$P$60,0)),"NO RATE"))))</f>
        <v/>
      </c>
      <c r="J409" s="91" t="n"/>
      <c r="K409" s="90">
        <f>IF(OR($G409="",$H409="",NOT(ISNUMBER($I409))),"",ROUND($H409*$I409*(1+IF($J409="",Setup!$B$16,$J409)),2))</f>
        <v/>
      </c>
      <c r="L409" s="90">
        <f>IF($K409="","",ROUND($K409*Setup!$B$13,2))</f>
        <v/>
      </c>
      <c r="M409" s="90">
        <f>IF($K409="","",$K409-$L409)</f>
        <v/>
      </c>
      <c r="N409" s="90">
        <f>IF(OR($M409="",$D409=""),"",ROUND($M409*IFERROR(IF(VLOOKUP($D409,Setup!$A$76:$C$87,3,FALSE)="",Setup!$B$14,VLOOKUP($D409,Setup!$A$76:$C$87,3,FALSE)),Setup!$B$14),2))</f>
        <v/>
      </c>
      <c r="O409" s="90">
        <f>IF(OR($M409="",$E409=""),"",ROUND($M409*IFERROR(IF(VLOOKUP($E409,Setup!$A$76:$C$87,3,FALSE)="",Setup!$B$15,VLOOKUP($E409,Setup!$A$76:$C$87,3,FALSE)),Setup!$B$15),2))</f>
        <v/>
      </c>
      <c r="P409" s="92" t="n"/>
      <c r="Q409" s="92" t="n"/>
      <c r="R409" s="92" t="n"/>
      <c r="S409" s="92" t="n"/>
      <c r="T409" s="92" t="n"/>
      <c r="U409" s="90">
        <f>IF($K409="","",SUM($R409:$T409))</f>
        <v/>
      </c>
      <c r="V409" s="90">
        <f>IF($K409="","",$M409-(N($N409)+N($O409)+IF($P409="",Setup!$B$17,$P409)+N($Q409))-N($U409))</f>
        <v/>
      </c>
      <c r="W409" s="87" t="n"/>
      <c r="X409" s="88" t="n"/>
      <c r="Z409" s="93">
        <f>IF($A409="","",DATE(YEAR($A409),MONTH($A409),1))</f>
        <v/>
      </c>
    </row>
    <row r="410">
      <c r="A410" s="94" t="n"/>
      <c r="B410" s="95" t="n"/>
      <c r="C410" s="95" t="n"/>
      <c r="D410" s="96" t="n"/>
      <c r="E410" s="96" t="n"/>
      <c r="F410" s="96" t="n"/>
      <c r="G410" s="96" t="n"/>
      <c r="H410" s="97" t="n"/>
      <c r="I410" s="90">
        <f>IF($G410="","",IF($F410="",IFERROR(INDEX(Setup!$C$21:$C$60,MATCH("|"&amp;UPPER(TRIM($G410)),Setup!$Q$21:$Q$60,0)),"NO RATE"),IFERROR(INDEX(Setup!$C$21:$C$60,MATCH(UPPER(TRIM($F410))&amp;"|"&amp;UPPER(TRIM($G410)),Setup!$P$21:$P$60,0)),IFERROR(INDEX(Setup!$C$21:$C$60,MATCH(UPPER(TRIM($G410))&amp;"|"&amp;UPPER(TRIM($F410)),Setup!$P$21:$P$60,0)),"NO RATE"))))</f>
        <v/>
      </c>
      <c r="J410" s="98" t="n"/>
      <c r="K410" s="90">
        <f>IF(OR($G410="",$H410="",NOT(ISNUMBER($I410))),"",ROUND($H410*$I410*(1+IF($J410="",Setup!$B$16,$J410)),2))</f>
        <v/>
      </c>
      <c r="L410" s="90">
        <f>IF($K410="","",ROUND($K410*Setup!$B$13,2))</f>
        <v/>
      </c>
      <c r="M410" s="90">
        <f>IF($K410="","",$K410-$L410)</f>
        <v/>
      </c>
      <c r="N410" s="90">
        <f>IF(OR($M410="",$D410=""),"",ROUND($M410*IFERROR(IF(VLOOKUP($D410,Setup!$A$76:$C$87,3,FALSE)="",Setup!$B$14,VLOOKUP($D410,Setup!$A$76:$C$87,3,FALSE)),Setup!$B$14),2))</f>
        <v/>
      </c>
      <c r="O410" s="90">
        <f>IF(OR($M410="",$E410=""),"",ROUND($M410*IFERROR(IF(VLOOKUP($E410,Setup!$A$76:$C$87,3,FALSE)="",Setup!$B$15,VLOOKUP($E410,Setup!$A$76:$C$87,3,FALSE)),Setup!$B$15),2))</f>
        <v/>
      </c>
      <c r="P410" s="99" t="n"/>
      <c r="Q410" s="99" t="n"/>
      <c r="R410" s="99" t="n"/>
      <c r="S410" s="99" t="n"/>
      <c r="T410" s="99" t="n"/>
      <c r="U410" s="90">
        <f>IF($K410="","",SUM($R410:$T410))</f>
        <v/>
      </c>
      <c r="V410" s="90">
        <f>IF($K410="","",$M410-(N($N410)+N($O410)+IF($P410="",Setup!$B$17,$P410)+N($Q410))-N($U410))</f>
        <v/>
      </c>
      <c r="W410" s="95" t="n"/>
      <c r="X410" s="96" t="n"/>
      <c r="Z410" s="93">
        <f>IF($A410="","",DATE(YEAR($A410),MONTH($A410),1))</f>
        <v/>
      </c>
    </row>
    <row r="411">
      <c r="A411" s="86" t="n"/>
      <c r="B411" s="87" t="n"/>
      <c r="C411" s="87" t="n"/>
      <c r="D411" s="88" t="n"/>
      <c r="E411" s="88" t="n"/>
      <c r="F411" s="88" t="n"/>
      <c r="G411" s="88" t="n"/>
      <c r="H411" s="89" t="n"/>
      <c r="I411" s="90">
        <f>IF($G411="","",IF($F411="",IFERROR(INDEX(Setup!$C$21:$C$60,MATCH("|"&amp;UPPER(TRIM($G411)),Setup!$Q$21:$Q$60,0)),"NO RATE"),IFERROR(INDEX(Setup!$C$21:$C$60,MATCH(UPPER(TRIM($F411))&amp;"|"&amp;UPPER(TRIM($G411)),Setup!$P$21:$P$60,0)),IFERROR(INDEX(Setup!$C$21:$C$60,MATCH(UPPER(TRIM($G411))&amp;"|"&amp;UPPER(TRIM($F411)),Setup!$P$21:$P$60,0)),"NO RATE"))))</f>
        <v/>
      </c>
      <c r="J411" s="91" t="n"/>
      <c r="K411" s="90">
        <f>IF(OR($G411="",$H411="",NOT(ISNUMBER($I411))),"",ROUND($H411*$I411*(1+IF($J411="",Setup!$B$16,$J411)),2))</f>
        <v/>
      </c>
      <c r="L411" s="90">
        <f>IF($K411="","",ROUND($K411*Setup!$B$13,2))</f>
        <v/>
      </c>
      <c r="M411" s="90">
        <f>IF($K411="","",$K411-$L411)</f>
        <v/>
      </c>
      <c r="N411" s="90">
        <f>IF(OR($M411="",$D411=""),"",ROUND($M411*IFERROR(IF(VLOOKUP($D411,Setup!$A$76:$C$87,3,FALSE)="",Setup!$B$14,VLOOKUP($D411,Setup!$A$76:$C$87,3,FALSE)),Setup!$B$14),2))</f>
        <v/>
      </c>
      <c r="O411" s="90">
        <f>IF(OR($M411="",$E411=""),"",ROUND($M411*IFERROR(IF(VLOOKUP($E411,Setup!$A$76:$C$87,3,FALSE)="",Setup!$B$15,VLOOKUP($E411,Setup!$A$76:$C$87,3,FALSE)),Setup!$B$15),2))</f>
        <v/>
      </c>
      <c r="P411" s="92" t="n"/>
      <c r="Q411" s="92" t="n"/>
      <c r="R411" s="92" t="n"/>
      <c r="S411" s="92" t="n"/>
      <c r="T411" s="92" t="n"/>
      <c r="U411" s="90">
        <f>IF($K411="","",SUM($R411:$T411))</f>
        <v/>
      </c>
      <c r="V411" s="90">
        <f>IF($K411="","",$M411-(N($N411)+N($O411)+IF($P411="",Setup!$B$17,$P411)+N($Q411))-N($U411))</f>
        <v/>
      </c>
      <c r="W411" s="87" t="n"/>
      <c r="X411" s="88" t="n"/>
      <c r="Z411" s="93">
        <f>IF($A411="","",DATE(YEAR($A411),MONTH($A411),1))</f>
        <v/>
      </c>
    </row>
    <row r="412">
      <c r="A412" s="94" t="n"/>
      <c r="B412" s="95" t="n"/>
      <c r="C412" s="95" t="n"/>
      <c r="D412" s="96" t="n"/>
      <c r="E412" s="96" t="n"/>
      <c r="F412" s="96" t="n"/>
      <c r="G412" s="96" t="n"/>
      <c r="H412" s="97" t="n"/>
      <c r="I412" s="90">
        <f>IF($G412="","",IF($F412="",IFERROR(INDEX(Setup!$C$21:$C$60,MATCH("|"&amp;UPPER(TRIM($G412)),Setup!$Q$21:$Q$60,0)),"NO RATE"),IFERROR(INDEX(Setup!$C$21:$C$60,MATCH(UPPER(TRIM($F412))&amp;"|"&amp;UPPER(TRIM($G412)),Setup!$P$21:$P$60,0)),IFERROR(INDEX(Setup!$C$21:$C$60,MATCH(UPPER(TRIM($G412))&amp;"|"&amp;UPPER(TRIM($F412)),Setup!$P$21:$P$60,0)),"NO RATE"))))</f>
        <v/>
      </c>
      <c r="J412" s="98" t="n"/>
      <c r="K412" s="90">
        <f>IF(OR($G412="",$H412="",NOT(ISNUMBER($I412))),"",ROUND($H412*$I412*(1+IF($J412="",Setup!$B$16,$J412)),2))</f>
        <v/>
      </c>
      <c r="L412" s="90">
        <f>IF($K412="","",ROUND($K412*Setup!$B$13,2))</f>
        <v/>
      </c>
      <c r="M412" s="90">
        <f>IF($K412="","",$K412-$L412)</f>
        <v/>
      </c>
      <c r="N412" s="90">
        <f>IF(OR($M412="",$D412=""),"",ROUND($M412*IFERROR(IF(VLOOKUP($D412,Setup!$A$76:$C$87,3,FALSE)="",Setup!$B$14,VLOOKUP($D412,Setup!$A$76:$C$87,3,FALSE)),Setup!$B$14),2))</f>
        <v/>
      </c>
      <c r="O412" s="90">
        <f>IF(OR($M412="",$E412=""),"",ROUND($M412*IFERROR(IF(VLOOKUP($E412,Setup!$A$76:$C$87,3,FALSE)="",Setup!$B$15,VLOOKUP($E412,Setup!$A$76:$C$87,3,FALSE)),Setup!$B$15),2))</f>
        <v/>
      </c>
      <c r="P412" s="99" t="n"/>
      <c r="Q412" s="99" t="n"/>
      <c r="R412" s="99" t="n"/>
      <c r="S412" s="99" t="n"/>
      <c r="T412" s="99" t="n"/>
      <c r="U412" s="90">
        <f>IF($K412="","",SUM($R412:$T412))</f>
        <v/>
      </c>
      <c r="V412" s="90">
        <f>IF($K412="","",$M412-(N($N412)+N($O412)+IF($P412="",Setup!$B$17,$P412)+N($Q412))-N($U412))</f>
        <v/>
      </c>
      <c r="W412" s="95" t="n"/>
      <c r="X412" s="96" t="n"/>
      <c r="Z412" s="93">
        <f>IF($A412="","",DATE(YEAR($A412),MONTH($A412),1))</f>
        <v/>
      </c>
    </row>
    <row r="413">
      <c r="A413" s="86" t="n"/>
      <c r="B413" s="87" t="n"/>
      <c r="C413" s="87" t="n"/>
      <c r="D413" s="88" t="n"/>
      <c r="E413" s="88" t="n"/>
      <c r="F413" s="88" t="n"/>
      <c r="G413" s="88" t="n"/>
      <c r="H413" s="89" t="n"/>
      <c r="I413" s="90">
        <f>IF($G413="","",IF($F413="",IFERROR(INDEX(Setup!$C$21:$C$60,MATCH("|"&amp;UPPER(TRIM($G413)),Setup!$Q$21:$Q$60,0)),"NO RATE"),IFERROR(INDEX(Setup!$C$21:$C$60,MATCH(UPPER(TRIM($F413))&amp;"|"&amp;UPPER(TRIM($G413)),Setup!$P$21:$P$60,0)),IFERROR(INDEX(Setup!$C$21:$C$60,MATCH(UPPER(TRIM($G413))&amp;"|"&amp;UPPER(TRIM($F413)),Setup!$P$21:$P$60,0)),"NO RATE"))))</f>
        <v/>
      </c>
      <c r="J413" s="91" t="n"/>
      <c r="K413" s="90">
        <f>IF(OR($G413="",$H413="",NOT(ISNUMBER($I413))),"",ROUND($H413*$I413*(1+IF($J413="",Setup!$B$16,$J413)),2))</f>
        <v/>
      </c>
      <c r="L413" s="90">
        <f>IF($K413="","",ROUND($K413*Setup!$B$13,2))</f>
        <v/>
      </c>
      <c r="M413" s="90">
        <f>IF($K413="","",$K413-$L413)</f>
        <v/>
      </c>
      <c r="N413" s="90">
        <f>IF(OR($M413="",$D413=""),"",ROUND($M413*IFERROR(IF(VLOOKUP($D413,Setup!$A$76:$C$87,3,FALSE)="",Setup!$B$14,VLOOKUP($D413,Setup!$A$76:$C$87,3,FALSE)),Setup!$B$14),2))</f>
        <v/>
      </c>
      <c r="O413" s="90">
        <f>IF(OR($M413="",$E413=""),"",ROUND($M413*IFERROR(IF(VLOOKUP($E413,Setup!$A$76:$C$87,3,FALSE)="",Setup!$B$15,VLOOKUP($E413,Setup!$A$76:$C$87,3,FALSE)),Setup!$B$15),2))</f>
        <v/>
      </c>
      <c r="P413" s="92" t="n"/>
      <c r="Q413" s="92" t="n"/>
      <c r="R413" s="92" t="n"/>
      <c r="S413" s="92" t="n"/>
      <c r="T413" s="92" t="n"/>
      <c r="U413" s="90">
        <f>IF($K413="","",SUM($R413:$T413))</f>
        <v/>
      </c>
      <c r="V413" s="90">
        <f>IF($K413="","",$M413-(N($N413)+N($O413)+IF($P413="",Setup!$B$17,$P413)+N($Q413))-N($U413))</f>
        <v/>
      </c>
      <c r="W413" s="87" t="n"/>
      <c r="X413" s="88" t="n"/>
      <c r="Z413" s="93">
        <f>IF($A413="","",DATE(YEAR($A413),MONTH($A413),1))</f>
        <v/>
      </c>
    </row>
    <row r="414">
      <c r="A414" s="94" t="n"/>
      <c r="B414" s="95" t="n"/>
      <c r="C414" s="95" t="n"/>
      <c r="D414" s="96" t="n"/>
      <c r="E414" s="96" t="n"/>
      <c r="F414" s="96" t="n"/>
      <c r="G414" s="96" t="n"/>
      <c r="H414" s="97" t="n"/>
      <c r="I414" s="90">
        <f>IF($G414="","",IF($F414="",IFERROR(INDEX(Setup!$C$21:$C$60,MATCH("|"&amp;UPPER(TRIM($G414)),Setup!$Q$21:$Q$60,0)),"NO RATE"),IFERROR(INDEX(Setup!$C$21:$C$60,MATCH(UPPER(TRIM($F414))&amp;"|"&amp;UPPER(TRIM($G414)),Setup!$P$21:$P$60,0)),IFERROR(INDEX(Setup!$C$21:$C$60,MATCH(UPPER(TRIM($G414))&amp;"|"&amp;UPPER(TRIM($F414)),Setup!$P$21:$P$60,0)),"NO RATE"))))</f>
        <v/>
      </c>
      <c r="J414" s="98" t="n"/>
      <c r="K414" s="90">
        <f>IF(OR($G414="",$H414="",NOT(ISNUMBER($I414))),"",ROUND($H414*$I414*(1+IF($J414="",Setup!$B$16,$J414)),2))</f>
        <v/>
      </c>
      <c r="L414" s="90">
        <f>IF($K414="","",ROUND($K414*Setup!$B$13,2))</f>
        <v/>
      </c>
      <c r="M414" s="90">
        <f>IF($K414="","",$K414-$L414)</f>
        <v/>
      </c>
      <c r="N414" s="90">
        <f>IF(OR($M414="",$D414=""),"",ROUND($M414*IFERROR(IF(VLOOKUP($D414,Setup!$A$76:$C$87,3,FALSE)="",Setup!$B$14,VLOOKUP($D414,Setup!$A$76:$C$87,3,FALSE)),Setup!$B$14),2))</f>
        <v/>
      </c>
      <c r="O414" s="90">
        <f>IF(OR($M414="",$E414=""),"",ROUND($M414*IFERROR(IF(VLOOKUP($E414,Setup!$A$76:$C$87,3,FALSE)="",Setup!$B$15,VLOOKUP($E414,Setup!$A$76:$C$87,3,FALSE)),Setup!$B$15),2))</f>
        <v/>
      </c>
      <c r="P414" s="99" t="n"/>
      <c r="Q414" s="99" t="n"/>
      <c r="R414" s="99" t="n"/>
      <c r="S414" s="99" t="n"/>
      <c r="T414" s="99" t="n"/>
      <c r="U414" s="90">
        <f>IF($K414="","",SUM($R414:$T414))</f>
        <v/>
      </c>
      <c r="V414" s="90">
        <f>IF($K414="","",$M414-(N($N414)+N($O414)+IF($P414="",Setup!$B$17,$P414)+N($Q414))-N($U414))</f>
        <v/>
      </c>
      <c r="W414" s="95" t="n"/>
      <c r="X414" s="96" t="n"/>
      <c r="Z414" s="93">
        <f>IF($A414="","",DATE(YEAR($A414),MONTH($A414),1))</f>
        <v/>
      </c>
    </row>
    <row r="415">
      <c r="A415" s="86" t="n"/>
      <c r="B415" s="87" t="n"/>
      <c r="C415" s="87" t="n"/>
      <c r="D415" s="88" t="n"/>
      <c r="E415" s="88" t="n"/>
      <c r="F415" s="88" t="n"/>
      <c r="G415" s="88" t="n"/>
      <c r="H415" s="89" t="n"/>
      <c r="I415" s="90">
        <f>IF($G415="","",IF($F415="",IFERROR(INDEX(Setup!$C$21:$C$60,MATCH("|"&amp;UPPER(TRIM($G415)),Setup!$Q$21:$Q$60,0)),"NO RATE"),IFERROR(INDEX(Setup!$C$21:$C$60,MATCH(UPPER(TRIM($F415))&amp;"|"&amp;UPPER(TRIM($G415)),Setup!$P$21:$P$60,0)),IFERROR(INDEX(Setup!$C$21:$C$60,MATCH(UPPER(TRIM($G415))&amp;"|"&amp;UPPER(TRIM($F415)),Setup!$P$21:$P$60,0)),"NO RATE"))))</f>
        <v/>
      </c>
      <c r="J415" s="91" t="n"/>
      <c r="K415" s="90">
        <f>IF(OR($G415="",$H415="",NOT(ISNUMBER($I415))),"",ROUND($H415*$I415*(1+IF($J415="",Setup!$B$16,$J415)),2))</f>
        <v/>
      </c>
      <c r="L415" s="90">
        <f>IF($K415="","",ROUND($K415*Setup!$B$13,2))</f>
        <v/>
      </c>
      <c r="M415" s="90">
        <f>IF($K415="","",$K415-$L415)</f>
        <v/>
      </c>
      <c r="N415" s="90">
        <f>IF(OR($M415="",$D415=""),"",ROUND($M415*IFERROR(IF(VLOOKUP($D415,Setup!$A$76:$C$87,3,FALSE)="",Setup!$B$14,VLOOKUP($D415,Setup!$A$76:$C$87,3,FALSE)),Setup!$B$14),2))</f>
        <v/>
      </c>
      <c r="O415" s="90">
        <f>IF(OR($M415="",$E415=""),"",ROUND($M415*IFERROR(IF(VLOOKUP($E415,Setup!$A$76:$C$87,3,FALSE)="",Setup!$B$15,VLOOKUP($E415,Setup!$A$76:$C$87,3,FALSE)),Setup!$B$15),2))</f>
        <v/>
      </c>
      <c r="P415" s="92" t="n"/>
      <c r="Q415" s="92" t="n"/>
      <c r="R415" s="92" t="n"/>
      <c r="S415" s="92" t="n"/>
      <c r="T415" s="92" t="n"/>
      <c r="U415" s="90">
        <f>IF($K415="","",SUM($R415:$T415))</f>
        <v/>
      </c>
      <c r="V415" s="90">
        <f>IF($K415="","",$M415-(N($N415)+N($O415)+IF($P415="",Setup!$B$17,$P415)+N($Q415))-N($U415))</f>
        <v/>
      </c>
      <c r="W415" s="87" t="n"/>
      <c r="X415" s="88" t="n"/>
      <c r="Z415" s="93">
        <f>IF($A415="","",DATE(YEAR($A415),MONTH($A415),1))</f>
        <v/>
      </c>
    </row>
    <row r="416">
      <c r="A416" s="94" t="n"/>
      <c r="B416" s="95" t="n"/>
      <c r="C416" s="95" t="n"/>
      <c r="D416" s="96" t="n"/>
      <c r="E416" s="96" t="n"/>
      <c r="F416" s="96" t="n"/>
      <c r="G416" s="96" t="n"/>
      <c r="H416" s="97" t="n"/>
      <c r="I416" s="90">
        <f>IF($G416="","",IF($F416="",IFERROR(INDEX(Setup!$C$21:$C$60,MATCH("|"&amp;UPPER(TRIM($G416)),Setup!$Q$21:$Q$60,0)),"NO RATE"),IFERROR(INDEX(Setup!$C$21:$C$60,MATCH(UPPER(TRIM($F416))&amp;"|"&amp;UPPER(TRIM($G416)),Setup!$P$21:$P$60,0)),IFERROR(INDEX(Setup!$C$21:$C$60,MATCH(UPPER(TRIM($G416))&amp;"|"&amp;UPPER(TRIM($F416)),Setup!$P$21:$P$60,0)),"NO RATE"))))</f>
        <v/>
      </c>
      <c r="J416" s="98" t="n"/>
      <c r="K416" s="90">
        <f>IF(OR($G416="",$H416="",NOT(ISNUMBER($I416))),"",ROUND($H416*$I416*(1+IF($J416="",Setup!$B$16,$J416)),2))</f>
        <v/>
      </c>
      <c r="L416" s="90">
        <f>IF($K416="","",ROUND($K416*Setup!$B$13,2))</f>
        <v/>
      </c>
      <c r="M416" s="90">
        <f>IF($K416="","",$K416-$L416)</f>
        <v/>
      </c>
      <c r="N416" s="90">
        <f>IF(OR($M416="",$D416=""),"",ROUND($M416*IFERROR(IF(VLOOKUP($D416,Setup!$A$76:$C$87,3,FALSE)="",Setup!$B$14,VLOOKUP($D416,Setup!$A$76:$C$87,3,FALSE)),Setup!$B$14),2))</f>
        <v/>
      </c>
      <c r="O416" s="90">
        <f>IF(OR($M416="",$E416=""),"",ROUND($M416*IFERROR(IF(VLOOKUP($E416,Setup!$A$76:$C$87,3,FALSE)="",Setup!$B$15,VLOOKUP($E416,Setup!$A$76:$C$87,3,FALSE)),Setup!$B$15),2))</f>
        <v/>
      </c>
      <c r="P416" s="99" t="n"/>
      <c r="Q416" s="99" t="n"/>
      <c r="R416" s="99" t="n"/>
      <c r="S416" s="99" t="n"/>
      <c r="T416" s="99" t="n"/>
      <c r="U416" s="90">
        <f>IF($K416="","",SUM($R416:$T416))</f>
        <v/>
      </c>
      <c r="V416" s="90">
        <f>IF($K416="","",$M416-(N($N416)+N($O416)+IF($P416="",Setup!$B$17,$P416)+N($Q416))-N($U416))</f>
        <v/>
      </c>
      <c r="W416" s="95" t="n"/>
      <c r="X416" s="96" t="n"/>
      <c r="Z416" s="93">
        <f>IF($A416="","",DATE(YEAR($A416),MONTH($A416),1))</f>
        <v/>
      </c>
    </row>
    <row r="417">
      <c r="A417" s="86" t="n"/>
      <c r="B417" s="87" t="n"/>
      <c r="C417" s="87" t="n"/>
      <c r="D417" s="88" t="n"/>
      <c r="E417" s="88" t="n"/>
      <c r="F417" s="88" t="n"/>
      <c r="G417" s="88" t="n"/>
      <c r="H417" s="89" t="n"/>
      <c r="I417" s="90">
        <f>IF($G417="","",IF($F417="",IFERROR(INDEX(Setup!$C$21:$C$60,MATCH("|"&amp;UPPER(TRIM($G417)),Setup!$Q$21:$Q$60,0)),"NO RATE"),IFERROR(INDEX(Setup!$C$21:$C$60,MATCH(UPPER(TRIM($F417))&amp;"|"&amp;UPPER(TRIM($G417)),Setup!$P$21:$P$60,0)),IFERROR(INDEX(Setup!$C$21:$C$60,MATCH(UPPER(TRIM($G417))&amp;"|"&amp;UPPER(TRIM($F417)),Setup!$P$21:$P$60,0)),"NO RATE"))))</f>
        <v/>
      </c>
      <c r="J417" s="91" t="n"/>
      <c r="K417" s="90">
        <f>IF(OR($G417="",$H417="",NOT(ISNUMBER($I417))),"",ROUND($H417*$I417*(1+IF($J417="",Setup!$B$16,$J417)),2))</f>
        <v/>
      </c>
      <c r="L417" s="90">
        <f>IF($K417="","",ROUND($K417*Setup!$B$13,2))</f>
        <v/>
      </c>
      <c r="M417" s="90">
        <f>IF($K417="","",$K417-$L417)</f>
        <v/>
      </c>
      <c r="N417" s="90">
        <f>IF(OR($M417="",$D417=""),"",ROUND($M417*IFERROR(IF(VLOOKUP($D417,Setup!$A$76:$C$87,3,FALSE)="",Setup!$B$14,VLOOKUP($D417,Setup!$A$76:$C$87,3,FALSE)),Setup!$B$14),2))</f>
        <v/>
      </c>
      <c r="O417" s="90">
        <f>IF(OR($M417="",$E417=""),"",ROUND($M417*IFERROR(IF(VLOOKUP($E417,Setup!$A$76:$C$87,3,FALSE)="",Setup!$B$15,VLOOKUP($E417,Setup!$A$76:$C$87,3,FALSE)),Setup!$B$15),2))</f>
        <v/>
      </c>
      <c r="P417" s="92" t="n"/>
      <c r="Q417" s="92" t="n"/>
      <c r="R417" s="92" t="n"/>
      <c r="S417" s="92" t="n"/>
      <c r="T417" s="92" t="n"/>
      <c r="U417" s="90">
        <f>IF($K417="","",SUM($R417:$T417))</f>
        <v/>
      </c>
      <c r="V417" s="90">
        <f>IF($K417="","",$M417-(N($N417)+N($O417)+IF($P417="",Setup!$B$17,$P417)+N($Q417))-N($U417))</f>
        <v/>
      </c>
      <c r="W417" s="87" t="n"/>
      <c r="X417" s="88" t="n"/>
      <c r="Z417" s="93">
        <f>IF($A417="","",DATE(YEAR($A417),MONTH($A417),1))</f>
        <v/>
      </c>
    </row>
    <row r="418">
      <c r="A418" s="94" t="n"/>
      <c r="B418" s="95" t="n"/>
      <c r="C418" s="95" t="n"/>
      <c r="D418" s="96" t="n"/>
      <c r="E418" s="96" t="n"/>
      <c r="F418" s="96" t="n"/>
      <c r="G418" s="96" t="n"/>
      <c r="H418" s="97" t="n"/>
      <c r="I418" s="90">
        <f>IF($G418="","",IF($F418="",IFERROR(INDEX(Setup!$C$21:$C$60,MATCH("|"&amp;UPPER(TRIM($G418)),Setup!$Q$21:$Q$60,0)),"NO RATE"),IFERROR(INDEX(Setup!$C$21:$C$60,MATCH(UPPER(TRIM($F418))&amp;"|"&amp;UPPER(TRIM($G418)),Setup!$P$21:$P$60,0)),IFERROR(INDEX(Setup!$C$21:$C$60,MATCH(UPPER(TRIM($G418))&amp;"|"&amp;UPPER(TRIM($F418)),Setup!$P$21:$P$60,0)),"NO RATE"))))</f>
        <v/>
      </c>
      <c r="J418" s="98" t="n"/>
      <c r="K418" s="90">
        <f>IF(OR($G418="",$H418="",NOT(ISNUMBER($I418))),"",ROUND($H418*$I418*(1+IF($J418="",Setup!$B$16,$J418)),2))</f>
        <v/>
      </c>
      <c r="L418" s="90">
        <f>IF($K418="","",ROUND($K418*Setup!$B$13,2))</f>
        <v/>
      </c>
      <c r="M418" s="90">
        <f>IF($K418="","",$K418-$L418)</f>
        <v/>
      </c>
      <c r="N418" s="90">
        <f>IF(OR($M418="",$D418=""),"",ROUND($M418*IFERROR(IF(VLOOKUP($D418,Setup!$A$76:$C$87,3,FALSE)="",Setup!$B$14,VLOOKUP($D418,Setup!$A$76:$C$87,3,FALSE)),Setup!$B$14),2))</f>
        <v/>
      </c>
      <c r="O418" s="90">
        <f>IF(OR($M418="",$E418=""),"",ROUND($M418*IFERROR(IF(VLOOKUP($E418,Setup!$A$76:$C$87,3,FALSE)="",Setup!$B$15,VLOOKUP($E418,Setup!$A$76:$C$87,3,FALSE)),Setup!$B$15),2))</f>
        <v/>
      </c>
      <c r="P418" s="99" t="n"/>
      <c r="Q418" s="99" t="n"/>
      <c r="R418" s="99" t="n"/>
      <c r="S418" s="99" t="n"/>
      <c r="T418" s="99" t="n"/>
      <c r="U418" s="90">
        <f>IF($K418="","",SUM($R418:$T418))</f>
        <v/>
      </c>
      <c r="V418" s="90">
        <f>IF($K418="","",$M418-(N($N418)+N($O418)+IF($P418="",Setup!$B$17,$P418)+N($Q418))-N($U418))</f>
        <v/>
      </c>
      <c r="W418" s="95" t="n"/>
      <c r="X418" s="96" t="n"/>
      <c r="Z418" s="93">
        <f>IF($A418="","",DATE(YEAR($A418),MONTH($A418),1))</f>
        <v/>
      </c>
    </row>
    <row r="419">
      <c r="A419" s="86" t="n"/>
      <c r="B419" s="87" t="n"/>
      <c r="C419" s="87" t="n"/>
      <c r="D419" s="88" t="n"/>
      <c r="E419" s="88" t="n"/>
      <c r="F419" s="88" t="n"/>
      <c r="G419" s="88" t="n"/>
      <c r="H419" s="89" t="n"/>
      <c r="I419" s="90">
        <f>IF($G419="","",IF($F419="",IFERROR(INDEX(Setup!$C$21:$C$60,MATCH("|"&amp;UPPER(TRIM($G419)),Setup!$Q$21:$Q$60,0)),"NO RATE"),IFERROR(INDEX(Setup!$C$21:$C$60,MATCH(UPPER(TRIM($F419))&amp;"|"&amp;UPPER(TRIM($G419)),Setup!$P$21:$P$60,0)),IFERROR(INDEX(Setup!$C$21:$C$60,MATCH(UPPER(TRIM($G419))&amp;"|"&amp;UPPER(TRIM($F419)),Setup!$P$21:$P$60,0)),"NO RATE"))))</f>
        <v/>
      </c>
      <c r="J419" s="91" t="n"/>
      <c r="K419" s="90">
        <f>IF(OR($G419="",$H419="",NOT(ISNUMBER($I419))),"",ROUND($H419*$I419*(1+IF($J419="",Setup!$B$16,$J419)),2))</f>
        <v/>
      </c>
      <c r="L419" s="90">
        <f>IF($K419="","",ROUND($K419*Setup!$B$13,2))</f>
        <v/>
      </c>
      <c r="M419" s="90">
        <f>IF($K419="","",$K419-$L419)</f>
        <v/>
      </c>
      <c r="N419" s="90">
        <f>IF(OR($M419="",$D419=""),"",ROUND($M419*IFERROR(IF(VLOOKUP($D419,Setup!$A$76:$C$87,3,FALSE)="",Setup!$B$14,VLOOKUP($D419,Setup!$A$76:$C$87,3,FALSE)),Setup!$B$14),2))</f>
        <v/>
      </c>
      <c r="O419" s="90">
        <f>IF(OR($M419="",$E419=""),"",ROUND($M419*IFERROR(IF(VLOOKUP($E419,Setup!$A$76:$C$87,3,FALSE)="",Setup!$B$15,VLOOKUP($E419,Setup!$A$76:$C$87,3,FALSE)),Setup!$B$15),2))</f>
        <v/>
      </c>
      <c r="P419" s="92" t="n"/>
      <c r="Q419" s="92" t="n"/>
      <c r="R419" s="92" t="n"/>
      <c r="S419" s="92" t="n"/>
      <c r="T419" s="92" t="n"/>
      <c r="U419" s="90">
        <f>IF($K419="","",SUM($R419:$T419))</f>
        <v/>
      </c>
      <c r="V419" s="90">
        <f>IF($K419="","",$M419-(N($N419)+N($O419)+IF($P419="",Setup!$B$17,$P419)+N($Q419))-N($U419))</f>
        <v/>
      </c>
      <c r="W419" s="87" t="n"/>
      <c r="X419" s="88" t="n"/>
      <c r="Z419" s="93">
        <f>IF($A419="","",DATE(YEAR($A419),MONTH($A419),1))</f>
        <v/>
      </c>
    </row>
    <row r="420">
      <c r="A420" s="94" t="n"/>
      <c r="B420" s="95" t="n"/>
      <c r="C420" s="95" t="n"/>
      <c r="D420" s="96" t="n"/>
      <c r="E420" s="96" t="n"/>
      <c r="F420" s="96" t="n"/>
      <c r="G420" s="96" t="n"/>
      <c r="H420" s="97" t="n"/>
      <c r="I420" s="90">
        <f>IF($G420="","",IF($F420="",IFERROR(INDEX(Setup!$C$21:$C$60,MATCH("|"&amp;UPPER(TRIM($G420)),Setup!$Q$21:$Q$60,0)),"NO RATE"),IFERROR(INDEX(Setup!$C$21:$C$60,MATCH(UPPER(TRIM($F420))&amp;"|"&amp;UPPER(TRIM($G420)),Setup!$P$21:$P$60,0)),IFERROR(INDEX(Setup!$C$21:$C$60,MATCH(UPPER(TRIM($G420))&amp;"|"&amp;UPPER(TRIM($F420)),Setup!$P$21:$P$60,0)),"NO RATE"))))</f>
        <v/>
      </c>
      <c r="J420" s="98" t="n"/>
      <c r="K420" s="90">
        <f>IF(OR($G420="",$H420="",NOT(ISNUMBER($I420))),"",ROUND($H420*$I420*(1+IF($J420="",Setup!$B$16,$J420)),2))</f>
        <v/>
      </c>
      <c r="L420" s="90">
        <f>IF($K420="","",ROUND($K420*Setup!$B$13,2))</f>
        <v/>
      </c>
      <c r="M420" s="90">
        <f>IF($K420="","",$K420-$L420)</f>
        <v/>
      </c>
      <c r="N420" s="90">
        <f>IF(OR($M420="",$D420=""),"",ROUND($M420*IFERROR(IF(VLOOKUP($D420,Setup!$A$76:$C$87,3,FALSE)="",Setup!$B$14,VLOOKUP($D420,Setup!$A$76:$C$87,3,FALSE)),Setup!$B$14),2))</f>
        <v/>
      </c>
      <c r="O420" s="90">
        <f>IF(OR($M420="",$E420=""),"",ROUND($M420*IFERROR(IF(VLOOKUP($E420,Setup!$A$76:$C$87,3,FALSE)="",Setup!$B$15,VLOOKUP($E420,Setup!$A$76:$C$87,3,FALSE)),Setup!$B$15),2))</f>
        <v/>
      </c>
      <c r="P420" s="99" t="n"/>
      <c r="Q420" s="99" t="n"/>
      <c r="R420" s="99" t="n"/>
      <c r="S420" s="99" t="n"/>
      <c r="T420" s="99" t="n"/>
      <c r="U420" s="90">
        <f>IF($K420="","",SUM($R420:$T420))</f>
        <v/>
      </c>
      <c r="V420" s="90">
        <f>IF($K420="","",$M420-(N($N420)+N($O420)+IF($P420="",Setup!$B$17,$P420)+N($Q420))-N($U420))</f>
        <v/>
      </c>
      <c r="W420" s="95" t="n"/>
      <c r="X420" s="96" t="n"/>
      <c r="Z420" s="93">
        <f>IF($A420="","",DATE(YEAR($A420),MONTH($A420),1))</f>
        <v/>
      </c>
    </row>
    <row r="421">
      <c r="A421" s="86" t="n"/>
      <c r="B421" s="87" t="n"/>
      <c r="C421" s="87" t="n"/>
      <c r="D421" s="88" t="n"/>
      <c r="E421" s="88" t="n"/>
      <c r="F421" s="88" t="n"/>
      <c r="G421" s="88" t="n"/>
      <c r="H421" s="89" t="n"/>
      <c r="I421" s="90">
        <f>IF($G421="","",IF($F421="",IFERROR(INDEX(Setup!$C$21:$C$60,MATCH("|"&amp;UPPER(TRIM($G421)),Setup!$Q$21:$Q$60,0)),"NO RATE"),IFERROR(INDEX(Setup!$C$21:$C$60,MATCH(UPPER(TRIM($F421))&amp;"|"&amp;UPPER(TRIM($G421)),Setup!$P$21:$P$60,0)),IFERROR(INDEX(Setup!$C$21:$C$60,MATCH(UPPER(TRIM($G421))&amp;"|"&amp;UPPER(TRIM($F421)),Setup!$P$21:$P$60,0)),"NO RATE"))))</f>
        <v/>
      </c>
      <c r="J421" s="91" t="n"/>
      <c r="K421" s="90">
        <f>IF(OR($G421="",$H421="",NOT(ISNUMBER($I421))),"",ROUND($H421*$I421*(1+IF($J421="",Setup!$B$16,$J421)),2))</f>
        <v/>
      </c>
      <c r="L421" s="90">
        <f>IF($K421="","",ROUND($K421*Setup!$B$13,2))</f>
        <v/>
      </c>
      <c r="M421" s="90">
        <f>IF($K421="","",$K421-$L421)</f>
        <v/>
      </c>
      <c r="N421" s="90">
        <f>IF(OR($M421="",$D421=""),"",ROUND($M421*IFERROR(IF(VLOOKUP($D421,Setup!$A$76:$C$87,3,FALSE)="",Setup!$B$14,VLOOKUP($D421,Setup!$A$76:$C$87,3,FALSE)),Setup!$B$14),2))</f>
        <v/>
      </c>
      <c r="O421" s="90">
        <f>IF(OR($M421="",$E421=""),"",ROUND($M421*IFERROR(IF(VLOOKUP($E421,Setup!$A$76:$C$87,3,FALSE)="",Setup!$B$15,VLOOKUP($E421,Setup!$A$76:$C$87,3,FALSE)),Setup!$B$15),2))</f>
        <v/>
      </c>
      <c r="P421" s="92" t="n"/>
      <c r="Q421" s="92" t="n"/>
      <c r="R421" s="92" t="n"/>
      <c r="S421" s="92" t="n"/>
      <c r="T421" s="92" t="n"/>
      <c r="U421" s="90">
        <f>IF($K421="","",SUM($R421:$T421))</f>
        <v/>
      </c>
      <c r="V421" s="90">
        <f>IF($K421="","",$M421-(N($N421)+N($O421)+IF($P421="",Setup!$B$17,$P421)+N($Q421))-N($U421))</f>
        <v/>
      </c>
      <c r="W421" s="87" t="n"/>
      <c r="X421" s="88" t="n"/>
      <c r="Z421" s="93">
        <f>IF($A421="","",DATE(YEAR($A421),MONTH($A421),1))</f>
        <v/>
      </c>
    </row>
    <row r="422">
      <c r="A422" s="94" t="n"/>
      <c r="B422" s="95" t="n"/>
      <c r="C422" s="95" t="n"/>
      <c r="D422" s="96" t="n"/>
      <c r="E422" s="96" t="n"/>
      <c r="F422" s="96" t="n"/>
      <c r="G422" s="96" t="n"/>
      <c r="H422" s="97" t="n"/>
      <c r="I422" s="90">
        <f>IF($G422="","",IF($F422="",IFERROR(INDEX(Setup!$C$21:$C$60,MATCH("|"&amp;UPPER(TRIM($G422)),Setup!$Q$21:$Q$60,0)),"NO RATE"),IFERROR(INDEX(Setup!$C$21:$C$60,MATCH(UPPER(TRIM($F422))&amp;"|"&amp;UPPER(TRIM($G422)),Setup!$P$21:$P$60,0)),IFERROR(INDEX(Setup!$C$21:$C$60,MATCH(UPPER(TRIM($G422))&amp;"|"&amp;UPPER(TRIM($F422)),Setup!$P$21:$P$60,0)),"NO RATE"))))</f>
        <v/>
      </c>
      <c r="J422" s="98" t="n"/>
      <c r="K422" s="90">
        <f>IF(OR($G422="",$H422="",NOT(ISNUMBER($I422))),"",ROUND($H422*$I422*(1+IF($J422="",Setup!$B$16,$J422)),2))</f>
        <v/>
      </c>
      <c r="L422" s="90">
        <f>IF($K422="","",ROUND($K422*Setup!$B$13,2))</f>
        <v/>
      </c>
      <c r="M422" s="90">
        <f>IF($K422="","",$K422-$L422)</f>
        <v/>
      </c>
      <c r="N422" s="90">
        <f>IF(OR($M422="",$D422=""),"",ROUND($M422*IFERROR(IF(VLOOKUP($D422,Setup!$A$76:$C$87,3,FALSE)="",Setup!$B$14,VLOOKUP($D422,Setup!$A$76:$C$87,3,FALSE)),Setup!$B$14),2))</f>
        <v/>
      </c>
      <c r="O422" s="90">
        <f>IF(OR($M422="",$E422=""),"",ROUND($M422*IFERROR(IF(VLOOKUP($E422,Setup!$A$76:$C$87,3,FALSE)="",Setup!$B$15,VLOOKUP($E422,Setup!$A$76:$C$87,3,FALSE)),Setup!$B$15),2))</f>
        <v/>
      </c>
      <c r="P422" s="99" t="n"/>
      <c r="Q422" s="99" t="n"/>
      <c r="R422" s="99" t="n"/>
      <c r="S422" s="99" t="n"/>
      <c r="T422" s="99" t="n"/>
      <c r="U422" s="90">
        <f>IF($K422="","",SUM($R422:$T422))</f>
        <v/>
      </c>
      <c r="V422" s="90">
        <f>IF($K422="","",$M422-(N($N422)+N($O422)+IF($P422="",Setup!$B$17,$P422)+N($Q422))-N($U422))</f>
        <v/>
      </c>
      <c r="W422" s="95" t="n"/>
      <c r="X422" s="96" t="n"/>
      <c r="Z422" s="93">
        <f>IF($A422="","",DATE(YEAR($A422),MONTH($A422),1))</f>
        <v/>
      </c>
    </row>
    <row r="423">
      <c r="A423" s="86" t="n"/>
      <c r="B423" s="87" t="n"/>
      <c r="C423" s="87" t="n"/>
      <c r="D423" s="88" t="n"/>
      <c r="E423" s="88" t="n"/>
      <c r="F423" s="88" t="n"/>
      <c r="G423" s="88" t="n"/>
      <c r="H423" s="89" t="n"/>
      <c r="I423" s="90">
        <f>IF($G423="","",IF($F423="",IFERROR(INDEX(Setup!$C$21:$C$60,MATCH("|"&amp;UPPER(TRIM($G423)),Setup!$Q$21:$Q$60,0)),"NO RATE"),IFERROR(INDEX(Setup!$C$21:$C$60,MATCH(UPPER(TRIM($F423))&amp;"|"&amp;UPPER(TRIM($G423)),Setup!$P$21:$P$60,0)),IFERROR(INDEX(Setup!$C$21:$C$60,MATCH(UPPER(TRIM($G423))&amp;"|"&amp;UPPER(TRIM($F423)),Setup!$P$21:$P$60,0)),"NO RATE"))))</f>
        <v/>
      </c>
      <c r="J423" s="91" t="n"/>
      <c r="K423" s="90">
        <f>IF(OR($G423="",$H423="",NOT(ISNUMBER($I423))),"",ROUND($H423*$I423*(1+IF($J423="",Setup!$B$16,$J423)),2))</f>
        <v/>
      </c>
      <c r="L423" s="90">
        <f>IF($K423="","",ROUND($K423*Setup!$B$13,2))</f>
        <v/>
      </c>
      <c r="M423" s="90">
        <f>IF($K423="","",$K423-$L423)</f>
        <v/>
      </c>
      <c r="N423" s="90">
        <f>IF(OR($M423="",$D423=""),"",ROUND($M423*IFERROR(IF(VLOOKUP($D423,Setup!$A$76:$C$87,3,FALSE)="",Setup!$B$14,VLOOKUP($D423,Setup!$A$76:$C$87,3,FALSE)),Setup!$B$14),2))</f>
        <v/>
      </c>
      <c r="O423" s="90">
        <f>IF(OR($M423="",$E423=""),"",ROUND($M423*IFERROR(IF(VLOOKUP($E423,Setup!$A$76:$C$87,3,FALSE)="",Setup!$B$15,VLOOKUP($E423,Setup!$A$76:$C$87,3,FALSE)),Setup!$B$15),2))</f>
        <v/>
      </c>
      <c r="P423" s="92" t="n"/>
      <c r="Q423" s="92" t="n"/>
      <c r="R423" s="92" t="n"/>
      <c r="S423" s="92" t="n"/>
      <c r="T423" s="92" t="n"/>
      <c r="U423" s="90">
        <f>IF($K423="","",SUM($R423:$T423))</f>
        <v/>
      </c>
      <c r="V423" s="90">
        <f>IF($K423="","",$M423-(N($N423)+N($O423)+IF($P423="",Setup!$B$17,$P423)+N($Q423))-N($U423))</f>
        <v/>
      </c>
      <c r="W423" s="87" t="n"/>
      <c r="X423" s="88" t="n"/>
      <c r="Z423" s="93">
        <f>IF($A423="","",DATE(YEAR($A423),MONTH($A423),1))</f>
        <v/>
      </c>
    </row>
    <row r="424">
      <c r="A424" s="94" t="n"/>
      <c r="B424" s="95" t="n"/>
      <c r="C424" s="95" t="n"/>
      <c r="D424" s="96" t="n"/>
      <c r="E424" s="96" t="n"/>
      <c r="F424" s="96" t="n"/>
      <c r="G424" s="96" t="n"/>
      <c r="H424" s="97" t="n"/>
      <c r="I424" s="90">
        <f>IF($G424="","",IF($F424="",IFERROR(INDEX(Setup!$C$21:$C$60,MATCH("|"&amp;UPPER(TRIM($G424)),Setup!$Q$21:$Q$60,0)),"NO RATE"),IFERROR(INDEX(Setup!$C$21:$C$60,MATCH(UPPER(TRIM($F424))&amp;"|"&amp;UPPER(TRIM($G424)),Setup!$P$21:$P$60,0)),IFERROR(INDEX(Setup!$C$21:$C$60,MATCH(UPPER(TRIM($G424))&amp;"|"&amp;UPPER(TRIM($F424)),Setup!$P$21:$P$60,0)),"NO RATE"))))</f>
        <v/>
      </c>
      <c r="J424" s="98" t="n"/>
      <c r="K424" s="90">
        <f>IF(OR($G424="",$H424="",NOT(ISNUMBER($I424))),"",ROUND($H424*$I424*(1+IF($J424="",Setup!$B$16,$J424)),2))</f>
        <v/>
      </c>
      <c r="L424" s="90">
        <f>IF($K424="","",ROUND($K424*Setup!$B$13,2))</f>
        <v/>
      </c>
      <c r="M424" s="90">
        <f>IF($K424="","",$K424-$L424)</f>
        <v/>
      </c>
      <c r="N424" s="90">
        <f>IF(OR($M424="",$D424=""),"",ROUND($M424*IFERROR(IF(VLOOKUP($D424,Setup!$A$76:$C$87,3,FALSE)="",Setup!$B$14,VLOOKUP($D424,Setup!$A$76:$C$87,3,FALSE)),Setup!$B$14),2))</f>
        <v/>
      </c>
      <c r="O424" s="90">
        <f>IF(OR($M424="",$E424=""),"",ROUND($M424*IFERROR(IF(VLOOKUP($E424,Setup!$A$76:$C$87,3,FALSE)="",Setup!$B$15,VLOOKUP($E424,Setup!$A$76:$C$87,3,FALSE)),Setup!$B$15),2))</f>
        <v/>
      </c>
      <c r="P424" s="99" t="n"/>
      <c r="Q424" s="99" t="n"/>
      <c r="R424" s="99" t="n"/>
      <c r="S424" s="99" t="n"/>
      <c r="T424" s="99" t="n"/>
      <c r="U424" s="90">
        <f>IF($K424="","",SUM($R424:$T424))</f>
        <v/>
      </c>
      <c r="V424" s="90">
        <f>IF($K424="","",$M424-(N($N424)+N($O424)+IF($P424="",Setup!$B$17,$P424)+N($Q424))-N($U424))</f>
        <v/>
      </c>
      <c r="W424" s="95" t="n"/>
      <c r="X424" s="96" t="n"/>
      <c r="Z424" s="93">
        <f>IF($A424="","",DATE(YEAR($A424),MONTH($A424),1))</f>
        <v/>
      </c>
    </row>
    <row r="425">
      <c r="A425" s="86" t="n"/>
      <c r="B425" s="87" t="n"/>
      <c r="C425" s="87" t="n"/>
      <c r="D425" s="88" t="n"/>
      <c r="E425" s="88" t="n"/>
      <c r="F425" s="88" t="n"/>
      <c r="G425" s="88" t="n"/>
      <c r="H425" s="89" t="n"/>
      <c r="I425" s="90">
        <f>IF($G425="","",IF($F425="",IFERROR(INDEX(Setup!$C$21:$C$60,MATCH("|"&amp;UPPER(TRIM($G425)),Setup!$Q$21:$Q$60,0)),"NO RATE"),IFERROR(INDEX(Setup!$C$21:$C$60,MATCH(UPPER(TRIM($F425))&amp;"|"&amp;UPPER(TRIM($G425)),Setup!$P$21:$P$60,0)),IFERROR(INDEX(Setup!$C$21:$C$60,MATCH(UPPER(TRIM($G425))&amp;"|"&amp;UPPER(TRIM($F425)),Setup!$P$21:$P$60,0)),"NO RATE"))))</f>
        <v/>
      </c>
      <c r="J425" s="91" t="n"/>
      <c r="K425" s="90">
        <f>IF(OR($G425="",$H425="",NOT(ISNUMBER($I425))),"",ROUND($H425*$I425*(1+IF($J425="",Setup!$B$16,$J425)),2))</f>
        <v/>
      </c>
      <c r="L425" s="90">
        <f>IF($K425="","",ROUND($K425*Setup!$B$13,2))</f>
        <v/>
      </c>
      <c r="M425" s="90">
        <f>IF($K425="","",$K425-$L425)</f>
        <v/>
      </c>
      <c r="N425" s="90">
        <f>IF(OR($M425="",$D425=""),"",ROUND($M425*IFERROR(IF(VLOOKUP($D425,Setup!$A$76:$C$87,3,FALSE)="",Setup!$B$14,VLOOKUP($D425,Setup!$A$76:$C$87,3,FALSE)),Setup!$B$14),2))</f>
        <v/>
      </c>
      <c r="O425" s="90">
        <f>IF(OR($M425="",$E425=""),"",ROUND($M425*IFERROR(IF(VLOOKUP($E425,Setup!$A$76:$C$87,3,FALSE)="",Setup!$B$15,VLOOKUP($E425,Setup!$A$76:$C$87,3,FALSE)),Setup!$B$15),2))</f>
        <v/>
      </c>
      <c r="P425" s="92" t="n"/>
      <c r="Q425" s="92" t="n"/>
      <c r="R425" s="92" t="n"/>
      <c r="S425" s="92" t="n"/>
      <c r="T425" s="92" t="n"/>
      <c r="U425" s="90">
        <f>IF($K425="","",SUM($R425:$T425))</f>
        <v/>
      </c>
      <c r="V425" s="90">
        <f>IF($K425="","",$M425-(N($N425)+N($O425)+IF($P425="",Setup!$B$17,$P425)+N($Q425))-N($U425))</f>
        <v/>
      </c>
      <c r="W425" s="87" t="n"/>
      <c r="X425" s="88" t="n"/>
      <c r="Z425" s="93">
        <f>IF($A425="","",DATE(YEAR($A425),MONTH($A425),1))</f>
        <v/>
      </c>
    </row>
    <row r="426">
      <c r="A426" s="94" t="n"/>
      <c r="B426" s="95" t="n"/>
      <c r="C426" s="95" t="n"/>
      <c r="D426" s="96" t="n"/>
      <c r="E426" s="96" t="n"/>
      <c r="F426" s="96" t="n"/>
      <c r="G426" s="96" t="n"/>
      <c r="H426" s="97" t="n"/>
      <c r="I426" s="90">
        <f>IF($G426="","",IF($F426="",IFERROR(INDEX(Setup!$C$21:$C$60,MATCH("|"&amp;UPPER(TRIM($G426)),Setup!$Q$21:$Q$60,0)),"NO RATE"),IFERROR(INDEX(Setup!$C$21:$C$60,MATCH(UPPER(TRIM($F426))&amp;"|"&amp;UPPER(TRIM($G426)),Setup!$P$21:$P$60,0)),IFERROR(INDEX(Setup!$C$21:$C$60,MATCH(UPPER(TRIM($G426))&amp;"|"&amp;UPPER(TRIM($F426)),Setup!$P$21:$P$60,0)),"NO RATE"))))</f>
        <v/>
      </c>
      <c r="J426" s="98" t="n"/>
      <c r="K426" s="90">
        <f>IF(OR($G426="",$H426="",NOT(ISNUMBER($I426))),"",ROUND($H426*$I426*(1+IF($J426="",Setup!$B$16,$J426)),2))</f>
        <v/>
      </c>
      <c r="L426" s="90">
        <f>IF($K426="","",ROUND($K426*Setup!$B$13,2))</f>
        <v/>
      </c>
      <c r="M426" s="90">
        <f>IF($K426="","",$K426-$L426)</f>
        <v/>
      </c>
      <c r="N426" s="90">
        <f>IF(OR($M426="",$D426=""),"",ROUND($M426*IFERROR(IF(VLOOKUP($D426,Setup!$A$76:$C$87,3,FALSE)="",Setup!$B$14,VLOOKUP($D426,Setup!$A$76:$C$87,3,FALSE)),Setup!$B$14),2))</f>
        <v/>
      </c>
      <c r="O426" s="90">
        <f>IF(OR($M426="",$E426=""),"",ROUND($M426*IFERROR(IF(VLOOKUP($E426,Setup!$A$76:$C$87,3,FALSE)="",Setup!$B$15,VLOOKUP($E426,Setup!$A$76:$C$87,3,FALSE)),Setup!$B$15),2))</f>
        <v/>
      </c>
      <c r="P426" s="99" t="n"/>
      <c r="Q426" s="99" t="n"/>
      <c r="R426" s="99" t="n"/>
      <c r="S426" s="99" t="n"/>
      <c r="T426" s="99" t="n"/>
      <c r="U426" s="90">
        <f>IF($K426="","",SUM($R426:$T426))</f>
        <v/>
      </c>
      <c r="V426" s="90">
        <f>IF($K426="","",$M426-(N($N426)+N($O426)+IF($P426="",Setup!$B$17,$P426)+N($Q426))-N($U426))</f>
        <v/>
      </c>
      <c r="W426" s="95" t="n"/>
      <c r="X426" s="96" t="n"/>
      <c r="Z426" s="93">
        <f>IF($A426="","",DATE(YEAR($A426),MONTH($A426),1))</f>
        <v/>
      </c>
    </row>
    <row r="427">
      <c r="A427" s="86" t="n"/>
      <c r="B427" s="87" t="n"/>
      <c r="C427" s="87" t="n"/>
      <c r="D427" s="88" t="n"/>
      <c r="E427" s="88" t="n"/>
      <c r="F427" s="88" t="n"/>
      <c r="G427" s="88" t="n"/>
      <c r="H427" s="89" t="n"/>
      <c r="I427" s="90">
        <f>IF($G427="","",IF($F427="",IFERROR(INDEX(Setup!$C$21:$C$60,MATCH("|"&amp;UPPER(TRIM($G427)),Setup!$Q$21:$Q$60,0)),"NO RATE"),IFERROR(INDEX(Setup!$C$21:$C$60,MATCH(UPPER(TRIM($F427))&amp;"|"&amp;UPPER(TRIM($G427)),Setup!$P$21:$P$60,0)),IFERROR(INDEX(Setup!$C$21:$C$60,MATCH(UPPER(TRIM($G427))&amp;"|"&amp;UPPER(TRIM($F427)),Setup!$P$21:$P$60,0)),"NO RATE"))))</f>
        <v/>
      </c>
      <c r="J427" s="91" t="n"/>
      <c r="K427" s="90">
        <f>IF(OR($G427="",$H427="",NOT(ISNUMBER($I427))),"",ROUND($H427*$I427*(1+IF($J427="",Setup!$B$16,$J427)),2))</f>
        <v/>
      </c>
      <c r="L427" s="90">
        <f>IF($K427="","",ROUND($K427*Setup!$B$13,2))</f>
        <v/>
      </c>
      <c r="M427" s="90">
        <f>IF($K427="","",$K427-$L427)</f>
        <v/>
      </c>
      <c r="N427" s="90">
        <f>IF(OR($M427="",$D427=""),"",ROUND($M427*IFERROR(IF(VLOOKUP($D427,Setup!$A$76:$C$87,3,FALSE)="",Setup!$B$14,VLOOKUP($D427,Setup!$A$76:$C$87,3,FALSE)),Setup!$B$14),2))</f>
        <v/>
      </c>
      <c r="O427" s="90">
        <f>IF(OR($M427="",$E427=""),"",ROUND($M427*IFERROR(IF(VLOOKUP($E427,Setup!$A$76:$C$87,3,FALSE)="",Setup!$B$15,VLOOKUP($E427,Setup!$A$76:$C$87,3,FALSE)),Setup!$B$15),2))</f>
        <v/>
      </c>
      <c r="P427" s="92" t="n"/>
      <c r="Q427" s="92" t="n"/>
      <c r="R427" s="92" t="n"/>
      <c r="S427" s="92" t="n"/>
      <c r="T427" s="92" t="n"/>
      <c r="U427" s="90">
        <f>IF($K427="","",SUM($R427:$T427))</f>
        <v/>
      </c>
      <c r="V427" s="90">
        <f>IF($K427="","",$M427-(N($N427)+N($O427)+IF($P427="",Setup!$B$17,$P427)+N($Q427))-N($U427))</f>
        <v/>
      </c>
      <c r="W427" s="87" t="n"/>
      <c r="X427" s="88" t="n"/>
      <c r="Z427" s="93">
        <f>IF($A427="","",DATE(YEAR($A427),MONTH($A427),1))</f>
        <v/>
      </c>
    </row>
    <row r="428">
      <c r="A428" s="94" t="n"/>
      <c r="B428" s="95" t="n"/>
      <c r="C428" s="95" t="n"/>
      <c r="D428" s="96" t="n"/>
      <c r="E428" s="96" t="n"/>
      <c r="F428" s="96" t="n"/>
      <c r="G428" s="96" t="n"/>
      <c r="H428" s="97" t="n"/>
      <c r="I428" s="90">
        <f>IF($G428="","",IF($F428="",IFERROR(INDEX(Setup!$C$21:$C$60,MATCH("|"&amp;UPPER(TRIM($G428)),Setup!$Q$21:$Q$60,0)),"NO RATE"),IFERROR(INDEX(Setup!$C$21:$C$60,MATCH(UPPER(TRIM($F428))&amp;"|"&amp;UPPER(TRIM($G428)),Setup!$P$21:$P$60,0)),IFERROR(INDEX(Setup!$C$21:$C$60,MATCH(UPPER(TRIM($G428))&amp;"|"&amp;UPPER(TRIM($F428)),Setup!$P$21:$P$60,0)),"NO RATE"))))</f>
        <v/>
      </c>
      <c r="J428" s="98" t="n"/>
      <c r="K428" s="90">
        <f>IF(OR($G428="",$H428="",NOT(ISNUMBER($I428))),"",ROUND($H428*$I428*(1+IF($J428="",Setup!$B$16,$J428)),2))</f>
        <v/>
      </c>
      <c r="L428" s="90">
        <f>IF($K428="","",ROUND($K428*Setup!$B$13,2))</f>
        <v/>
      </c>
      <c r="M428" s="90">
        <f>IF($K428="","",$K428-$L428)</f>
        <v/>
      </c>
      <c r="N428" s="90">
        <f>IF(OR($M428="",$D428=""),"",ROUND($M428*IFERROR(IF(VLOOKUP($D428,Setup!$A$76:$C$87,3,FALSE)="",Setup!$B$14,VLOOKUP($D428,Setup!$A$76:$C$87,3,FALSE)),Setup!$B$14),2))</f>
        <v/>
      </c>
      <c r="O428" s="90">
        <f>IF(OR($M428="",$E428=""),"",ROUND($M428*IFERROR(IF(VLOOKUP($E428,Setup!$A$76:$C$87,3,FALSE)="",Setup!$B$15,VLOOKUP($E428,Setup!$A$76:$C$87,3,FALSE)),Setup!$B$15),2))</f>
        <v/>
      </c>
      <c r="P428" s="99" t="n"/>
      <c r="Q428" s="99" t="n"/>
      <c r="R428" s="99" t="n"/>
      <c r="S428" s="99" t="n"/>
      <c r="T428" s="99" t="n"/>
      <c r="U428" s="90">
        <f>IF($K428="","",SUM($R428:$T428))</f>
        <v/>
      </c>
      <c r="V428" s="90">
        <f>IF($K428="","",$M428-(N($N428)+N($O428)+IF($P428="",Setup!$B$17,$P428)+N($Q428))-N($U428))</f>
        <v/>
      </c>
      <c r="W428" s="95" t="n"/>
      <c r="X428" s="96" t="n"/>
      <c r="Z428" s="93">
        <f>IF($A428="","",DATE(YEAR($A428),MONTH($A428),1))</f>
        <v/>
      </c>
    </row>
    <row r="429">
      <c r="A429" s="86" t="n"/>
      <c r="B429" s="87" t="n"/>
      <c r="C429" s="87" t="n"/>
      <c r="D429" s="88" t="n"/>
      <c r="E429" s="88" t="n"/>
      <c r="F429" s="88" t="n"/>
      <c r="G429" s="88" t="n"/>
      <c r="H429" s="89" t="n"/>
      <c r="I429" s="90">
        <f>IF($G429="","",IF($F429="",IFERROR(INDEX(Setup!$C$21:$C$60,MATCH("|"&amp;UPPER(TRIM($G429)),Setup!$Q$21:$Q$60,0)),"NO RATE"),IFERROR(INDEX(Setup!$C$21:$C$60,MATCH(UPPER(TRIM($F429))&amp;"|"&amp;UPPER(TRIM($G429)),Setup!$P$21:$P$60,0)),IFERROR(INDEX(Setup!$C$21:$C$60,MATCH(UPPER(TRIM($G429))&amp;"|"&amp;UPPER(TRIM($F429)),Setup!$P$21:$P$60,0)),"NO RATE"))))</f>
        <v/>
      </c>
      <c r="J429" s="91" t="n"/>
      <c r="K429" s="90">
        <f>IF(OR($G429="",$H429="",NOT(ISNUMBER($I429))),"",ROUND($H429*$I429*(1+IF($J429="",Setup!$B$16,$J429)),2))</f>
        <v/>
      </c>
      <c r="L429" s="90">
        <f>IF($K429="","",ROUND($K429*Setup!$B$13,2))</f>
        <v/>
      </c>
      <c r="M429" s="90">
        <f>IF($K429="","",$K429-$L429)</f>
        <v/>
      </c>
      <c r="N429" s="90">
        <f>IF(OR($M429="",$D429=""),"",ROUND($M429*IFERROR(IF(VLOOKUP($D429,Setup!$A$76:$C$87,3,FALSE)="",Setup!$B$14,VLOOKUP($D429,Setup!$A$76:$C$87,3,FALSE)),Setup!$B$14),2))</f>
        <v/>
      </c>
      <c r="O429" s="90">
        <f>IF(OR($M429="",$E429=""),"",ROUND($M429*IFERROR(IF(VLOOKUP($E429,Setup!$A$76:$C$87,3,FALSE)="",Setup!$B$15,VLOOKUP($E429,Setup!$A$76:$C$87,3,FALSE)),Setup!$B$15),2))</f>
        <v/>
      </c>
      <c r="P429" s="92" t="n"/>
      <c r="Q429" s="92" t="n"/>
      <c r="R429" s="92" t="n"/>
      <c r="S429" s="92" t="n"/>
      <c r="T429" s="92" t="n"/>
      <c r="U429" s="90">
        <f>IF($K429="","",SUM($R429:$T429))</f>
        <v/>
      </c>
      <c r="V429" s="90">
        <f>IF($K429="","",$M429-(N($N429)+N($O429)+IF($P429="",Setup!$B$17,$P429)+N($Q429))-N($U429))</f>
        <v/>
      </c>
      <c r="W429" s="87" t="n"/>
      <c r="X429" s="88" t="n"/>
      <c r="Z429" s="93">
        <f>IF($A429="","",DATE(YEAR($A429),MONTH($A429),1))</f>
        <v/>
      </c>
    </row>
    <row r="430">
      <c r="A430" s="94" t="n"/>
      <c r="B430" s="95" t="n"/>
      <c r="C430" s="95" t="n"/>
      <c r="D430" s="96" t="n"/>
      <c r="E430" s="96" t="n"/>
      <c r="F430" s="96" t="n"/>
      <c r="G430" s="96" t="n"/>
      <c r="H430" s="97" t="n"/>
      <c r="I430" s="90">
        <f>IF($G430="","",IF($F430="",IFERROR(INDEX(Setup!$C$21:$C$60,MATCH("|"&amp;UPPER(TRIM($G430)),Setup!$Q$21:$Q$60,0)),"NO RATE"),IFERROR(INDEX(Setup!$C$21:$C$60,MATCH(UPPER(TRIM($F430))&amp;"|"&amp;UPPER(TRIM($G430)),Setup!$P$21:$P$60,0)),IFERROR(INDEX(Setup!$C$21:$C$60,MATCH(UPPER(TRIM($G430))&amp;"|"&amp;UPPER(TRIM($F430)),Setup!$P$21:$P$60,0)),"NO RATE"))))</f>
        <v/>
      </c>
      <c r="J430" s="98" t="n"/>
      <c r="K430" s="90">
        <f>IF(OR($G430="",$H430="",NOT(ISNUMBER($I430))),"",ROUND($H430*$I430*(1+IF($J430="",Setup!$B$16,$J430)),2))</f>
        <v/>
      </c>
      <c r="L430" s="90">
        <f>IF($K430="","",ROUND($K430*Setup!$B$13,2))</f>
        <v/>
      </c>
      <c r="M430" s="90">
        <f>IF($K430="","",$K430-$L430)</f>
        <v/>
      </c>
      <c r="N430" s="90">
        <f>IF(OR($M430="",$D430=""),"",ROUND($M430*IFERROR(IF(VLOOKUP($D430,Setup!$A$76:$C$87,3,FALSE)="",Setup!$B$14,VLOOKUP($D430,Setup!$A$76:$C$87,3,FALSE)),Setup!$B$14),2))</f>
        <v/>
      </c>
      <c r="O430" s="90">
        <f>IF(OR($M430="",$E430=""),"",ROUND($M430*IFERROR(IF(VLOOKUP($E430,Setup!$A$76:$C$87,3,FALSE)="",Setup!$B$15,VLOOKUP($E430,Setup!$A$76:$C$87,3,FALSE)),Setup!$B$15),2))</f>
        <v/>
      </c>
      <c r="P430" s="99" t="n"/>
      <c r="Q430" s="99" t="n"/>
      <c r="R430" s="99" t="n"/>
      <c r="S430" s="99" t="n"/>
      <c r="T430" s="99" t="n"/>
      <c r="U430" s="90">
        <f>IF($K430="","",SUM($R430:$T430))</f>
        <v/>
      </c>
      <c r="V430" s="90">
        <f>IF($K430="","",$M430-(N($N430)+N($O430)+IF($P430="",Setup!$B$17,$P430)+N($Q430))-N($U430))</f>
        <v/>
      </c>
      <c r="W430" s="95" t="n"/>
      <c r="X430" s="96" t="n"/>
      <c r="Z430" s="93">
        <f>IF($A430="","",DATE(YEAR($A430),MONTH($A430),1))</f>
        <v/>
      </c>
    </row>
    <row r="431">
      <c r="A431" s="86" t="n"/>
      <c r="B431" s="87" t="n"/>
      <c r="C431" s="87" t="n"/>
      <c r="D431" s="88" t="n"/>
      <c r="E431" s="88" t="n"/>
      <c r="F431" s="88" t="n"/>
      <c r="G431" s="88" t="n"/>
      <c r="H431" s="89" t="n"/>
      <c r="I431" s="90">
        <f>IF($G431="","",IF($F431="",IFERROR(INDEX(Setup!$C$21:$C$60,MATCH("|"&amp;UPPER(TRIM($G431)),Setup!$Q$21:$Q$60,0)),"NO RATE"),IFERROR(INDEX(Setup!$C$21:$C$60,MATCH(UPPER(TRIM($F431))&amp;"|"&amp;UPPER(TRIM($G431)),Setup!$P$21:$P$60,0)),IFERROR(INDEX(Setup!$C$21:$C$60,MATCH(UPPER(TRIM($G431))&amp;"|"&amp;UPPER(TRIM($F431)),Setup!$P$21:$P$60,0)),"NO RATE"))))</f>
        <v/>
      </c>
      <c r="J431" s="91" t="n"/>
      <c r="K431" s="90">
        <f>IF(OR($G431="",$H431="",NOT(ISNUMBER($I431))),"",ROUND($H431*$I431*(1+IF($J431="",Setup!$B$16,$J431)),2))</f>
        <v/>
      </c>
      <c r="L431" s="90">
        <f>IF($K431="","",ROUND($K431*Setup!$B$13,2))</f>
        <v/>
      </c>
      <c r="M431" s="90">
        <f>IF($K431="","",$K431-$L431)</f>
        <v/>
      </c>
      <c r="N431" s="90">
        <f>IF(OR($M431="",$D431=""),"",ROUND($M431*IFERROR(IF(VLOOKUP($D431,Setup!$A$76:$C$87,3,FALSE)="",Setup!$B$14,VLOOKUP($D431,Setup!$A$76:$C$87,3,FALSE)),Setup!$B$14),2))</f>
        <v/>
      </c>
      <c r="O431" s="90">
        <f>IF(OR($M431="",$E431=""),"",ROUND($M431*IFERROR(IF(VLOOKUP($E431,Setup!$A$76:$C$87,3,FALSE)="",Setup!$B$15,VLOOKUP($E431,Setup!$A$76:$C$87,3,FALSE)),Setup!$B$15),2))</f>
        <v/>
      </c>
      <c r="P431" s="92" t="n"/>
      <c r="Q431" s="92" t="n"/>
      <c r="R431" s="92" t="n"/>
      <c r="S431" s="92" t="n"/>
      <c r="T431" s="92" t="n"/>
      <c r="U431" s="90">
        <f>IF($K431="","",SUM($R431:$T431))</f>
        <v/>
      </c>
      <c r="V431" s="90">
        <f>IF($K431="","",$M431-(N($N431)+N($O431)+IF($P431="",Setup!$B$17,$P431)+N($Q431))-N($U431))</f>
        <v/>
      </c>
      <c r="W431" s="87" t="n"/>
      <c r="X431" s="88" t="n"/>
      <c r="Z431" s="93">
        <f>IF($A431="","",DATE(YEAR($A431),MONTH($A431),1))</f>
        <v/>
      </c>
    </row>
    <row r="432">
      <c r="A432" s="94" t="n"/>
      <c r="B432" s="95" t="n"/>
      <c r="C432" s="95" t="n"/>
      <c r="D432" s="96" t="n"/>
      <c r="E432" s="96" t="n"/>
      <c r="F432" s="96" t="n"/>
      <c r="G432" s="96" t="n"/>
      <c r="H432" s="97" t="n"/>
      <c r="I432" s="90">
        <f>IF($G432="","",IF($F432="",IFERROR(INDEX(Setup!$C$21:$C$60,MATCH("|"&amp;UPPER(TRIM($G432)),Setup!$Q$21:$Q$60,0)),"NO RATE"),IFERROR(INDEX(Setup!$C$21:$C$60,MATCH(UPPER(TRIM($F432))&amp;"|"&amp;UPPER(TRIM($G432)),Setup!$P$21:$P$60,0)),IFERROR(INDEX(Setup!$C$21:$C$60,MATCH(UPPER(TRIM($G432))&amp;"|"&amp;UPPER(TRIM($F432)),Setup!$P$21:$P$60,0)),"NO RATE"))))</f>
        <v/>
      </c>
      <c r="J432" s="98" t="n"/>
      <c r="K432" s="90">
        <f>IF(OR($G432="",$H432="",NOT(ISNUMBER($I432))),"",ROUND($H432*$I432*(1+IF($J432="",Setup!$B$16,$J432)),2))</f>
        <v/>
      </c>
      <c r="L432" s="90">
        <f>IF($K432="","",ROUND($K432*Setup!$B$13,2))</f>
        <v/>
      </c>
      <c r="M432" s="90">
        <f>IF($K432="","",$K432-$L432)</f>
        <v/>
      </c>
      <c r="N432" s="90">
        <f>IF(OR($M432="",$D432=""),"",ROUND($M432*IFERROR(IF(VLOOKUP($D432,Setup!$A$76:$C$87,3,FALSE)="",Setup!$B$14,VLOOKUP($D432,Setup!$A$76:$C$87,3,FALSE)),Setup!$B$14),2))</f>
        <v/>
      </c>
      <c r="O432" s="90">
        <f>IF(OR($M432="",$E432=""),"",ROUND($M432*IFERROR(IF(VLOOKUP($E432,Setup!$A$76:$C$87,3,FALSE)="",Setup!$B$15,VLOOKUP($E432,Setup!$A$76:$C$87,3,FALSE)),Setup!$B$15),2))</f>
        <v/>
      </c>
      <c r="P432" s="99" t="n"/>
      <c r="Q432" s="99" t="n"/>
      <c r="R432" s="99" t="n"/>
      <c r="S432" s="99" t="n"/>
      <c r="T432" s="99" t="n"/>
      <c r="U432" s="90">
        <f>IF($K432="","",SUM($R432:$T432))</f>
        <v/>
      </c>
      <c r="V432" s="90">
        <f>IF($K432="","",$M432-(N($N432)+N($O432)+IF($P432="",Setup!$B$17,$P432)+N($Q432))-N($U432))</f>
        <v/>
      </c>
      <c r="W432" s="95" t="n"/>
      <c r="X432" s="96" t="n"/>
      <c r="Z432" s="93">
        <f>IF($A432="","",DATE(YEAR($A432),MONTH($A432),1))</f>
        <v/>
      </c>
    </row>
    <row r="433">
      <c r="A433" s="86" t="n"/>
      <c r="B433" s="87" t="n"/>
      <c r="C433" s="87" t="n"/>
      <c r="D433" s="88" t="n"/>
      <c r="E433" s="88" t="n"/>
      <c r="F433" s="88" t="n"/>
      <c r="G433" s="88" t="n"/>
      <c r="H433" s="89" t="n"/>
      <c r="I433" s="90">
        <f>IF($G433="","",IF($F433="",IFERROR(INDEX(Setup!$C$21:$C$60,MATCH("|"&amp;UPPER(TRIM($G433)),Setup!$Q$21:$Q$60,0)),"NO RATE"),IFERROR(INDEX(Setup!$C$21:$C$60,MATCH(UPPER(TRIM($F433))&amp;"|"&amp;UPPER(TRIM($G433)),Setup!$P$21:$P$60,0)),IFERROR(INDEX(Setup!$C$21:$C$60,MATCH(UPPER(TRIM($G433))&amp;"|"&amp;UPPER(TRIM($F433)),Setup!$P$21:$P$60,0)),"NO RATE"))))</f>
        <v/>
      </c>
      <c r="J433" s="91" t="n"/>
      <c r="K433" s="90">
        <f>IF(OR($G433="",$H433="",NOT(ISNUMBER($I433))),"",ROUND($H433*$I433*(1+IF($J433="",Setup!$B$16,$J433)),2))</f>
        <v/>
      </c>
      <c r="L433" s="90">
        <f>IF($K433="","",ROUND($K433*Setup!$B$13,2))</f>
        <v/>
      </c>
      <c r="M433" s="90">
        <f>IF($K433="","",$K433-$L433)</f>
        <v/>
      </c>
      <c r="N433" s="90">
        <f>IF(OR($M433="",$D433=""),"",ROUND($M433*IFERROR(IF(VLOOKUP($D433,Setup!$A$76:$C$87,3,FALSE)="",Setup!$B$14,VLOOKUP($D433,Setup!$A$76:$C$87,3,FALSE)),Setup!$B$14),2))</f>
        <v/>
      </c>
      <c r="O433" s="90">
        <f>IF(OR($M433="",$E433=""),"",ROUND($M433*IFERROR(IF(VLOOKUP($E433,Setup!$A$76:$C$87,3,FALSE)="",Setup!$B$15,VLOOKUP($E433,Setup!$A$76:$C$87,3,FALSE)),Setup!$B$15),2))</f>
        <v/>
      </c>
      <c r="P433" s="92" t="n"/>
      <c r="Q433" s="92" t="n"/>
      <c r="R433" s="92" t="n"/>
      <c r="S433" s="92" t="n"/>
      <c r="T433" s="92" t="n"/>
      <c r="U433" s="90">
        <f>IF($K433="","",SUM($R433:$T433))</f>
        <v/>
      </c>
      <c r="V433" s="90">
        <f>IF($K433="","",$M433-(N($N433)+N($O433)+IF($P433="",Setup!$B$17,$P433)+N($Q433))-N($U433))</f>
        <v/>
      </c>
      <c r="W433" s="87" t="n"/>
      <c r="X433" s="88" t="n"/>
      <c r="Z433" s="93">
        <f>IF($A433="","",DATE(YEAR($A433),MONTH($A433),1))</f>
        <v/>
      </c>
    </row>
    <row r="434">
      <c r="A434" s="94" t="n"/>
      <c r="B434" s="95" t="n"/>
      <c r="C434" s="95" t="n"/>
      <c r="D434" s="96" t="n"/>
      <c r="E434" s="96" t="n"/>
      <c r="F434" s="96" t="n"/>
      <c r="G434" s="96" t="n"/>
      <c r="H434" s="97" t="n"/>
      <c r="I434" s="90">
        <f>IF($G434="","",IF($F434="",IFERROR(INDEX(Setup!$C$21:$C$60,MATCH("|"&amp;UPPER(TRIM($G434)),Setup!$Q$21:$Q$60,0)),"NO RATE"),IFERROR(INDEX(Setup!$C$21:$C$60,MATCH(UPPER(TRIM($F434))&amp;"|"&amp;UPPER(TRIM($G434)),Setup!$P$21:$P$60,0)),IFERROR(INDEX(Setup!$C$21:$C$60,MATCH(UPPER(TRIM($G434))&amp;"|"&amp;UPPER(TRIM($F434)),Setup!$P$21:$P$60,0)),"NO RATE"))))</f>
        <v/>
      </c>
      <c r="J434" s="98" t="n"/>
      <c r="K434" s="90">
        <f>IF(OR($G434="",$H434="",NOT(ISNUMBER($I434))),"",ROUND($H434*$I434*(1+IF($J434="",Setup!$B$16,$J434)),2))</f>
        <v/>
      </c>
      <c r="L434" s="90">
        <f>IF($K434="","",ROUND($K434*Setup!$B$13,2))</f>
        <v/>
      </c>
      <c r="M434" s="90">
        <f>IF($K434="","",$K434-$L434)</f>
        <v/>
      </c>
      <c r="N434" s="90">
        <f>IF(OR($M434="",$D434=""),"",ROUND($M434*IFERROR(IF(VLOOKUP($D434,Setup!$A$76:$C$87,3,FALSE)="",Setup!$B$14,VLOOKUP($D434,Setup!$A$76:$C$87,3,FALSE)),Setup!$B$14),2))</f>
        <v/>
      </c>
      <c r="O434" s="90">
        <f>IF(OR($M434="",$E434=""),"",ROUND($M434*IFERROR(IF(VLOOKUP($E434,Setup!$A$76:$C$87,3,FALSE)="",Setup!$B$15,VLOOKUP($E434,Setup!$A$76:$C$87,3,FALSE)),Setup!$B$15),2))</f>
        <v/>
      </c>
      <c r="P434" s="99" t="n"/>
      <c r="Q434" s="99" t="n"/>
      <c r="R434" s="99" t="n"/>
      <c r="S434" s="99" t="n"/>
      <c r="T434" s="99" t="n"/>
      <c r="U434" s="90">
        <f>IF($K434="","",SUM($R434:$T434))</f>
        <v/>
      </c>
      <c r="V434" s="90">
        <f>IF($K434="","",$M434-(N($N434)+N($O434)+IF($P434="",Setup!$B$17,$P434)+N($Q434))-N($U434))</f>
        <v/>
      </c>
      <c r="W434" s="95" t="n"/>
      <c r="X434" s="96" t="n"/>
      <c r="Z434" s="93">
        <f>IF($A434="","",DATE(YEAR($A434),MONTH($A434),1))</f>
        <v/>
      </c>
    </row>
    <row r="435">
      <c r="A435" s="86" t="n"/>
      <c r="B435" s="87" t="n"/>
      <c r="C435" s="87" t="n"/>
      <c r="D435" s="88" t="n"/>
      <c r="E435" s="88" t="n"/>
      <c r="F435" s="88" t="n"/>
      <c r="G435" s="88" t="n"/>
      <c r="H435" s="89" t="n"/>
      <c r="I435" s="90">
        <f>IF($G435="","",IF($F435="",IFERROR(INDEX(Setup!$C$21:$C$60,MATCH("|"&amp;UPPER(TRIM($G435)),Setup!$Q$21:$Q$60,0)),"NO RATE"),IFERROR(INDEX(Setup!$C$21:$C$60,MATCH(UPPER(TRIM($F435))&amp;"|"&amp;UPPER(TRIM($G435)),Setup!$P$21:$P$60,0)),IFERROR(INDEX(Setup!$C$21:$C$60,MATCH(UPPER(TRIM($G435))&amp;"|"&amp;UPPER(TRIM($F435)),Setup!$P$21:$P$60,0)),"NO RATE"))))</f>
        <v/>
      </c>
      <c r="J435" s="91" t="n"/>
      <c r="K435" s="90">
        <f>IF(OR($G435="",$H435="",NOT(ISNUMBER($I435))),"",ROUND($H435*$I435*(1+IF($J435="",Setup!$B$16,$J435)),2))</f>
        <v/>
      </c>
      <c r="L435" s="90">
        <f>IF($K435="","",ROUND($K435*Setup!$B$13,2))</f>
        <v/>
      </c>
      <c r="M435" s="90">
        <f>IF($K435="","",$K435-$L435)</f>
        <v/>
      </c>
      <c r="N435" s="90">
        <f>IF(OR($M435="",$D435=""),"",ROUND($M435*IFERROR(IF(VLOOKUP($D435,Setup!$A$76:$C$87,3,FALSE)="",Setup!$B$14,VLOOKUP($D435,Setup!$A$76:$C$87,3,FALSE)),Setup!$B$14),2))</f>
        <v/>
      </c>
      <c r="O435" s="90">
        <f>IF(OR($M435="",$E435=""),"",ROUND($M435*IFERROR(IF(VLOOKUP($E435,Setup!$A$76:$C$87,3,FALSE)="",Setup!$B$15,VLOOKUP($E435,Setup!$A$76:$C$87,3,FALSE)),Setup!$B$15),2))</f>
        <v/>
      </c>
      <c r="P435" s="92" t="n"/>
      <c r="Q435" s="92" t="n"/>
      <c r="R435" s="92" t="n"/>
      <c r="S435" s="92" t="n"/>
      <c r="T435" s="92" t="n"/>
      <c r="U435" s="90">
        <f>IF($K435="","",SUM($R435:$T435))</f>
        <v/>
      </c>
      <c r="V435" s="90">
        <f>IF($K435="","",$M435-(N($N435)+N($O435)+IF($P435="",Setup!$B$17,$P435)+N($Q435))-N($U435))</f>
        <v/>
      </c>
      <c r="W435" s="87" t="n"/>
      <c r="X435" s="88" t="n"/>
      <c r="Z435" s="93">
        <f>IF($A435="","",DATE(YEAR($A435),MONTH($A435),1))</f>
        <v/>
      </c>
    </row>
    <row r="436">
      <c r="A436" s="94" t="n"/>
      <c r="B436" s="95" t="n"/>
      <c r="C436" s="95" t="n"/>
      <c r="D436" s="96" t="n"/>
      <c r="E436" s="96" t="n"/>
      <c r="F436" s="96" t="n"/>
      <c r="G436" s="96" t="n"/>
      <c r="H436" s="97" t="n"/>
      <c r="I436" s="90">
        <f>IF($G436="","",IF($F436="",IFERROR(INDEX(Setup!$C$21:$C$60,MATCH("|"&amp;UPPER(TRIM($G436)),Setup!$Q$21:$Q$60,0)),"NO RATE"),IFERROR(INDEX(Setup!$C$21:$C$60,MATCH(UPPER(TRIM($F436))&amp;"|"&amp;UPPER(TRIM($G436)),Setup!$P$21:$P$60,0)),IFERROR(INDEX(Setup!$C$21:$C$60,MATCH(UPPER(TRIM($G436))&amp;"|"&amp;UPPER(TRIM($F436)),Setup!$P$21:$P$60,0)),"NO RATE"))))</f>
        <v/>
      </c>
      <c r="J436" s="98" t="n"/>
      <c r="K436" s="90">
        <f>IF(OR($G436="",$H436="",NOT(ISNUMBER($I436))),"",ROUND($H436*$I436*(1+IF($J436="",Setup!$B$16,$J436)),2))</f>
        <v/>
      </c>
      <c r="L436" s="90">
        <f>IF($K436="","",ROUND($K436*Setup!$B$13,2))</f>
        <v/>
      </c>
      <c r="M436" s="90">
        <f>IF($K436="","",$K436-$L436)</f>
        <v/>
      </c>
      <c r="N436" s="90">
        <f>IF(OR($M436="",$D436=""),"",ROUND($M436*IFERROR(IF(VLOOKUP($D436,Setup!$A$76:$C$87,3,FALSE)="",Setup!$B$14,VLOOKUP($D436,Setup!$A$76:$C$87,3,FALSE)),Setup!$B$14),2))</f>
        <v/>
      </c>
      <c r="O436" s="90">
        <f>IF(OR($M436="",$E436=""),"",ROUND($M436*IFERROR(IF(VLOOKUP($E436,Setup!$A$76:$C$87,3,FALSE)="",Setup!$B$15,VLOOKUP($E436,Setup!$A$76:$C$87,3,FALSE)),Setup!$B$15),2))</f>
        <v/>
      </c>
      <c r="P436" s="99" t="n"/>
      <c r="Q436" s="99" t="n"/>
      <c r="R436" s="99" t="n"/>
      <c r="S436" s="99" t="n"/>
      <c r="T436" s="99" t="n"/>
      <c r="U436" s="90">
        <f>IF($K436="","",SUM($R436:$T436))</f>
        <v/>
      </c>
      <c r="V436" s="90">
        <f>IF($K436="","",$M436-(N($N436)+N($O436)+IF($P436="",Setup!$B$17,$P436)+N($Q436))-N($U436))</f>
        <v/>
      </c>
      <c r="W436" s="95" t="n"/>
      <c r="X436" s="96" t="n"/>
      <c r="Z436" s="93">
        <f>IF($A436="","",DATE(YEAR($A436),MONTH($A436),1))</f>
        <v/>
      </c>
    </row>
    <row r="437">
      <c r="A437" s="86" t="n"/>
      <c r="B437" s="87" t="n"/>
      <c r="C437" s="87" t="n"/>
      <c r="D437" s="88" t="n"/>
      <c r="E437" s="88" t="n"/>
      <c r="F437" s="88" t="n"/>
      <c r="G437" s="88" t="n"/>
      <c r="H437" s="89" t="n"/>
      <c r="I437" s="90">
        <f>IF($G437="","",IF($F437="",IFERROR(INDEX(Setup!$C$21:$C$60,MATCH("|"&amp;UPPER(TRIM($G437)),Setup!$Q$21:$Q$60,0)),"NO RATE"),IFERROR(INDEX(Setup!$C$21:$C$60,MATCH(UPPER(TRIM($F437))&amp;"|"&amp;UPPER(TRIM($G437)),Setup!$P$21:$P$60,0)),IFERROR(INDEX(Setup!$C$21:$C$60,MATCH(UPPER(TRIM($G437))&amp;"|"&amp;UPPER(TRIM($F437)),Setup!$P$21:$P$60,0)),"NO RATE"))))</f>
        <v/>
      </c>
      <c r="J437" s="91" t="n"/>
      <c r="K437" s="90">
        <f>IF(OR($G437="",$H437="",NOT(ISNUMBER($I437))),"",ROUND($H437*$I437*(1+IF($J437="",Setup!$B$16,$J437)),2))</f>
        <v/>
      </c>
      <c r="L437" s="90">
        <f>IF($K437="","",ROUND($K437*Setup!$B$13,2))</f>
        <v/>
      </c>
      <c r="M437" s="90">
        <f>IF($K437="","",$K437-$L437)</f>
        <v/>
      </c>
      <c r="N437" s="90">
        <f>IF(OR($M437="",$D437=""),"",ROUND($M437*IFERROR(IF(VLOOKUP($D437,Setup!$A$76:$C$87,3,FALSE)="",Setup!$B$14,VLOOKUP($D437,Setup!$A$76:$C$87,3,FALSE)),Setup!$B$14),2))</f>
        <v/>
      </c>
      <c r="O437" s="90">
        <f>IF(OR($M437="",$E437=""),"",ROUND($M437*IFERROR(IF(VLOOKUP($E437,Setup!$A$76:$C$87,3,FALSE)="",Setup!$B$15,VLOOKUP($E437,Setup!$A$76:$C$87,3,FALSE)),Setup!$B$15),2))</f>
        <v/>
      </c>
      <c r="P437" s="92" t="n"/>
      <c r="Q437" s="92" t="n"/>
      <c r="R437" s="92" t="n"/>
      <c r="S437" s="92" t="n"/>
      <c r="T437" s="92" t="n"/>
      <c r="U437" s="90">
        <f>IF($K437="","",SUM($R437:$T437))</f>
        <v/>
      </c>
      <c r="V437" s="90">
        <f>IF($K437="","",$M437-(N($N437)+N($O437)+IF($P437="",Setup!$B$17,$P437)+N($Q437))-N($U437))</f>
        <v/>
      </c>
      <c r="W437" s="87" t="n"/>
      <c r="X437" s="88" t="n"/>
      <c r="Z437" s="93">
        <f>IF($A437="","",DATE(YEAR($A437),MONTH($A437),1))</f>
        <v/>
      </c>
    </row>
    <row r="438">
      <c r="A438" s="94" t="n"/>
      <c r="B438" s="95" t="n"/>
      <c r="C438" s="95" t="n"/>
      <c r="D438" s="96" t="n"/>
      <c r="E438" s="96" t="n"/>
      <c r="F438" s="96" t="n"/>
      <c r="G438" s="96" t="n"/>
      <c r="H438" s="97" t="n"/>
      <c r="I438" s="90">
        <f>IF($G438="","",IF($F438="",IFERROR(INDEX(Setup!$C$21:$C$60,MATCH("|"&amp;UPPER(TRIM($G438)),Setup!$Q$21:$Q$60,0)),"NO RATE"),IFERROR(INDEX(Setup!$C$21:$C$60,MATCH(UPPER(TRIM($F438))&amp;"|"&amp;UPPER(TRIM($G438)),Setup!$P$21:$P$60,0)),IFERROR(INDEX(Setup!$C$21:$C$60,MATCH(UPPER(TRIM($G438))&amp;"|"&amp;UPPER(TRIM($F438)),Setup!$P$21:$P$60,0)),"NO RATE"))))</f>
        <v/>
      </c>
      <c r="J438" s="98" t="n"/>
      <c r="K438" s="90">
        <f>IF(OR($G438="",$H438="",NOT(ISNUMBER($I438))),"",ROUND($H438*$I438*(1+IF($J438="",Setup!$B$16,$J438)),2))</f>
        <v/>
      </c>
      <c r="L438" s="90">
        <f>IF($K438="","",ROUND($K438*Setup!$B$13,2))</f>
        <v/>
      </c>
      <c r="M438" s="90">
        <f>IF($K438="","",$K438-$L438)</f>
        <v/>
      </c>
      <c r="N438" s="90">
        <f>IF(OR($M438="",$D438=""),"",ROUND($M438*IFERROR(IF(VLOOKUP($D438,Setup!$A$76:$C$87,3,FALSE)="",Setup!$B$14,VLOOKUP($D438,Setup!$A$76:$C$87,3,FALSE)),Setup!$B$14),2))</f>
        <v/>
      </c>
      <c r="O438" s="90">
        <f>IF(OR($M438="",$E438=""),"",ROUND($M438*IFERROR(IF(VLOOKUP($E438,Setup!$A$76:$C$87,3,FALSE)="",Setup!$B$15,VLOOKUP($E438,Setup!$A$76:$C$87,3,FALSE)),Setup!$B$15),2))</f>
        <v/>
      </c>
      <c r="P438" s="99" t="n"/>
      <c r="Q438" s="99" t="n"/>
      <c r="R438" s="99" t="n"/>
      <c r="S438" s="99" t="n"/>
      <c r="T438" s="99" t="n"/>
      <c r="U438" s="90">
        <f>IF($K438="","",SUM($R438:$T438))</f>
        <v/>
      </c>
      <c r="V438" s="90">
        <f>IF($K438="","",$M438-(N($N438)+N($O438)+IF($P438="",Setup!$B$17,$P438)+N($Q438))-N($U438))</f>
        <v/>
      </c>
      <c r="W438" s="95" t="n"/>
      <c r="X438" s="96" t="n"/>
      <c r="Z438" s="93">
        <f>IF($A438="","",DATE(YEAR($A438),MONTH($A438),1))</f>
        <v/>
      </c>
    </row>
    <row r="439">
      <c r="A439" s="86" t="n"/>
      <c r="B439" s="87" t="n"/>
      <c r="C439" s="87" t="n"/>
      <c r="D439" s="88" t="n"/>
      <c r="E439" s="88" t="n"/>
      <c r="F439" s="88" t="n"/>
      <c r="G439" s="88" t="n"/>
      <c r="H439" s="89" t="n"/>
      <c r="I439" s="90">
        <f>IF($G439="","",IF($F439="",IFERROR(INDEX(Setup!$C$21:$C$60,MATCH("|"&amp;UPPER(TRIM($G439)),Setup!$Q$21:$Q$60,0)),"NO RATE"),IFERROR(INDEX(Setup!$C$21:$C$60,MATCH(UPPER(TRIM($F439))&amp;"|"&amp;UPPER(TRIM($G439)),Setup!$P$21:$P$60,0)),IFERROR(INDEX(Setup!$C$21:$C$60,MATCH(UPPER(TRIM($G439))&amp;"|"&amp;UPPER(TRIM($F439)),Setup!$P$21:$P$60,0)),"NO RATE"))))</f>
        <v/>
      </c>
      <c r="J439" s="91" t="n"/>
      <c r="K439" s="90">
        <f>IF(OR($G439="",$H439="",NOT(ISNUMBER($I439))),"",ROUND($H439*$I439*(1+IF($J439="",Setup!$B$16,$J439)),2))</f>
        <v/>
      </c>
      <c r="L439" s="90">
        <f>IF($K439="","",ROUND($K439*Setup!$B$13,2))</f>
        <v/>
      </c>
      <c r="M439" s="90">
        <f>IF($K439="","",$K439-$L439)</f>
        <v/>
      </c>
      <c r="N439" s="90">
        <f>IF(OR($M439="",$D439=""),"",ROUND($M439*IFERROR(IF(VLOOKUP($D439,Setup!$A$76:$C$87,3,FALSE)="",Setup!$B$14,VLOOKUP($D439,Setup!$A$76:$C$87,3,FALSE)),Setup!$B$14),2))</f>
        <v/>
      </c>
      <c r="O439" s="90">
        <f>IF(OR($M439="",$E439=""),"",ROUND($M439*IFERROR(IF(VLOOKUP($E439,Setup!$A$76:$C$87,3,FALSE)="",Setup!$B$15,VLOOKUP($E439,Setup!$A$76:$C$87,3,FALSE)),Setup!$B$15),2))</f>
        <v/>
      </c>
      <c r="P439" s="92" t="n"/>
      <c r="Q439" s="92" t="n"/>
      <c r="R439" s="92" t="n"/>
      <c r="S439" s="92" t="n"/>
      <c r="T439" s="92" t="n"/>
      <c r="U439" s="90">
        <f>IF($K439="","",SUM($R439:$T439))</f>
        <v/>
      </c>
      <c r="V439" s="90">
        <f>IF($K439="","",$M439-(N($N439)+N($O439)+IF($P439="",Setup!$B$17,$P439)+N($Q439))-N($U439))</f>
        <v/>
      </c>
      <c r="W439" s="87" t="n"/>
      <c r="X439" s="88" t="n"/>
      <c r="Z439" s="93">
        <f>IF($A439="","",DATE(YEAR($A439),MONTH($A439),1))</f>
        <v/>
      </c>
    </row>
    <row r="440">
      <c r="A440" s="94" t="n"/>
      <c r="B440" s="95" t="n"/>
      <c r="C440" s="95" t="n"/>
      <c r="D440" s="96" t="n"/>
      <c r="E440" s="96" t="n"/>
      <c r="F440" s="96" t="n"/>
      <c r="G440" s="96" t="n"/>
      <c r="H440" s="97" t="n"/>
      <c r="I440" s="90">
        <f>IF($G440="","",IF($F440="",IFERROR(INDEX(Setup!$C$21:$C$60,MATCH("|"&amp;UPPER(TRIM($G440)),Setup!$Q$21:$Q$60,0)),"NO RATE"),IFERROR(INDEX(Setup!$C$21:$C$60,MATCH(UPPER(TRIM($F440))&amp;"|"&amp;UPPER(TRIM($G440)),Setup!$P$21:$P$60,0)),IFERROR(INDEX(Setup!$C$21:$C$60,MATCH(UPPER(TRIM($G440))&amp;"|"&amp;UPPER(TRIM($F440)),Setup!$P$21:$P$60,0)),"NO RATE"))))</f>
        <v/>
      </c>
      <c r="J440" s="98" t="n"/>
      <c r="K440" s="90">
        <f>IF(OR($G440="",$H440="",NOT(ISNUMBER($I440))),"",ROUND($H440*$I440*(1+IF($J440="",Setup!$B$16,$J440)),2))</f>
        <v/>
      </c>
      <c r="L440" s="90">
        <f>IF($K440="","",ROUND($K440*Setup!$B$13,2))</f>
        <v/>
      </c>
      <c r="M440" s="90">
        <f>IF($K440="","",$K440-$L440)</f>
        <v/>
      </c>
      <c r="N440" s="90">
        <f>IF(OR($M440="",$D440=""),"",ROUND($M440*IFERROR(IF(VLOOKUP($D440,Setup!$A$76:$C$87,3,FALSE)="",Setup!$B$14,VLOOKUP($D440,Setup!$A$76:$C$87,3,FALSE)),Setup!$B$14),2))</f>
        <v/>
      </c>
      <c r="O440" s="90">
        <f>IF(OR($M440="",$E440=""),"",ROUND($M440*IFERROR(IF(VLOOKUP($E440,Setup!$A$76:$C$87,3,FALSE)="",Setup!$B$15,VLOOKUP($E440,Setup!$A$76:$C$87,3,FALSE)),Setup!$B$15),2))</f>
        <v/>
      </c>
      <c r="P440" s="99" t="n"/>
      <c r="Q440" s="99" t="n"/>
      <c r="R440" s="99" t="n"/>
      <c r="S440" s="99" t="n"/>
      <c r="T440" s="99" t="n"/>
      <c r="U440" s="90">
        <f>IF($K440="","",SUM($R440:$T440))</f>
        <v/>
      </c>
      <c r="V440" s="90">
        <f>IF($K440="","",$M440-(N($N440)+N($O440)+IF($P440="",Setup!$B$17,$P440)+N($Q440))-N($U440))</f>
        <v/>
      </c>
      <c r="W440" s="95" t="n"/>
      <c r="X440" s="96" t="n"/>
      <c r="Z440" s="93">
        <f>IF($A440="","",DATE(YEAR($A440),MONTH($A440),1))</f>
        <v/>
      </c>
    </row>
    <row r="441">
      <c r="A441" s="86" t="n"/>
      <c r="B441" s="87" t="n"/>
      <c r="C441" s="87" t="n"/>
      <c r="D441" s="88" t="n"/>
      <c r="E441" s="88" t="n"/>
      <c r="F441" s="88" t="n"/>
      <c r="G441" s="88" t="n"/>
      <c r="H441" s="89" t="n"/>
      <c r="I441" s="90">
        <f>IF($G441="","",IF($F441="",IFERROR(INDEX(Setup!$C$21:$C$60,MATCH("|"&amp;UPPER(TRIM($G441)),Setup!$Q$21:$Q$60,0)),"NO RATE"),IFERROR(INDEX(Setup!$C$21:$C$60,MATCH(UPPER(TRIM($F441))&amp;"|"&amp;UPPER(TRIM($G441)),Setup!$P$21:$P$60,0)),IFERROR(INDEX(Setup!$C$21:$C$60,MATCH(UPPER(TRIM($G441))&amp;"|"&amp;UPPER(TRIM($F441)),Setup!$P$21:$P$60,0)),"NO RATE"))))</f>
        <v/>
      </c>
      <c r="J441" s="91" t="n"/>
      <c r="K441" s="90">
        <f>IF(OR($G441="",$H441="",NOT(ISNUMBER($I441))),"",ROUND($H441*$I441*(1+IF($J441="",Setup!$B$16,$J441)),2))</f>
        <v/>
      </c>
      <c r="L441" s="90">
        <f>IF($K441="","",ROUND($K441*Setup!$B$13,2))</f>
        <v/>
      </c>
      <c r="M441" s="90">
        <f>IF($K441="","",$K441-$L441)</f>
        <v/>
      </c>
      <c r="N441" s="90">
        <f>IF(OR($M441="",$D441=""),"",ROUND($M441*IFERROR(IF(VLOOKUP($D441,Setup!$A$76:$C$87,3,FALSE)="",Setup!$B$14,VLOOKUP($D441,Setup!$A$76:$C$87,3,FALSE)),Setup!$B$14),2))</f>
        <v/>
      </c>
      <c r="O441" s="90">
        <f>IF(OR($M441="",$E441=""),"",ROUND($M441*IFERROR(IF(VLOOKUP($E441,Setup!$A$76:$C$87,3,FALSE)="",Setup!$B$15,VLOOKUP($E441,Setup!$A$76:$C$87,3,FALSE)),Setup!$B$15),2))</f>
        <v/>
      </c>
      <c r="P441" s="92" t="n"/>
      <c r="Q441" s="92" t="n"/>
      <c r="R441" s="92" t="n"/>
      <c r="S441" s="92" t="n"/>
      <c r="T441" s="92" t="n"/>
      <c r="U441" s="90">
        <f>IF($K441="","",SUM($R441:$T441))</f>
        <v/>
      </c>
      <c r="V441" s="90">
        <f>IF($K441="","",$M441-(N($N441)+N($O441)+IF($P441="",Setup!$B$17,$P441)+N($Q441))-N($U441))</f>
        <v/>
      </c>
      <c r="W441" s="87" t="n"/>
      <c r="X441" s="88" t="n"/>
      <c r="Z441" s="93">
        <f>IF($A441="","",DATE(YEAR($A441),MONTH($A441),1))</f>
        <v/>
      </c>
    </row>
    <row r="442">
      <c r="A442" s="94" t="n"/>
      <c r="B442" s="95" t="n"/>
      <c r="C442" s="95" t="n"/>
      <c r="D442" s="96" t="n"/>
      <c r="E442" s="96" t="n"/>
      <c r="F442" s="96" t="n"/>
      <c r="G442" s="96" t="n"/>
      <c r="H442" s="97" t="n"/>
      <c r="I442" s="90">
        <f>IF($G442="","",IF($F442="",IFERROR(INDEX(Setup!$C$21:$C$60,MATCH("|"&amp;UPPER(TRIM($G442)),Setup!$Q$21:$Q$60,0)),"NO RATE"),IFERROR(INDEX(Setup!$C$21:$C$60,MATCH(UPPER(TRIM($F442))&amp;"|"&amp;UPPER(TRIM($G442)),Setup!$P$21:$P$60,0)),IFERROR(INDEX(Setup!$C$21:$C$60,MATCH(UPPER(TRIM($G442))&amp;"|"&amp;UPPER(TRIM($F442)),Setup!$P$21:$P$60,0)),"NO RATE"))))</f>
        <v/>
      </c>
      <c r="J442" s="98" t="n"/>
      <c r="K442" s="90">
        <f>IF(OR($G442="",$H442="",NOT(ISNUMBER($I442))),"",ROUND($H442*$I442*(1+IF($J442="",Setup!$B$16,$J442)),2))</f>
        <v/>
      </c>
      <c r="L442" s="90">
        <f>IF($K442="","",ROUND($K442*Setup!$B$13,2))</f>
        <v/>
      </c>
      <c r="M442" s="90">
        <f>IF($K442="","",$K442-$L442)</f>
        <v/>
      </c>
      <c r="N442" s="90">
        <f>IF(OR($M442="",$D442=""),"",ROUND($M442*IFERROR(IF(VLOOKUP($D442,Setup!$A$76:$C$87,3,FALSE)="",Setup!$B$14,VLOOKUP($D442,Setup!$A$76:$C$87,3,FALSE)),Setup!$B$14),2))</f>
        <v/>
      </c>
      <c r="O442" s="90">
        <f>IF(OR($M442="",$E442=""),"",ROUND($M442*IFERROR(IF(VLOOKUP($E442,Setup!$A$76:$C$87,3,FALSE)="",Setup!$B$15,VLOOKUP($E442,Setup!$A$76:$C$87,3,FALSE)),Setup!$B$15),2))</f>
        <v/>
      </c>
      <c r="P442" s="99" t="n"/>
      <c r="Q442" s="99" t="n"/>
      <c r="R442" s="99" t="n"/>
      <c r="S442" s="99" t="n"/>
      <c r="T442" s="99" t="n"/>
      <c r="U442" s="90">
        <f>IF($K442="","",SUM($R442:$T442))</f>
        <v/>
      </c>
      <c r="V442" s="90">
        <f>IF($K442="","",$M442-(N($N442)+N($O442)+IF($P442="",Setup!$B$17,$P442)+N($Q442))-N($U442))</f>
        <v/>
      </c>
      <c r="W442" s="95" t="n"/>
      <c r="X442" s="96" t="n"/>
      <c r="Z442" s="93">
        <f>IF($A442="","",DATE(YEAR($A442),MONTH($A442),1))</f>
        <v/>
      </c>
    </row>
    <row r="443">
      <c r="A443" s="86" t="n"/>
      <c r="B443" s="87" t="n"/>
      <c r="C443" s="87" t="n"/>
      <c r="D443" s="88" t="n"/>
      <c r="E443" s="88" t="n"/>
      <c r="F443" s="88" t="n"/>
      <c r="G443" s="88" t="n"/>
      <c r="H443" s="89" t="n"/>
      <c r="I443" s="90">
        <f>IF($G443="","",IF($F443="",IFERROR(INDEX(Setup!$C$21:$C$60,MATCH("|"&amp;UPPER(TRIM($G443)),Setup!$Q$21:$Q$60,0)),"NO RATE"),IFERROR(INDEX(Setup!$C$21:$C$60,MATCH(UPPER(TRIM($F443))&amp;"|"&amp;UPPER(TRIM($G443)),Setup!$P$21:$P$60,0)),IFERROR(INDEX(Setup!$C$21:$C$60,MATCH(UPPER(TRIM($G443))&amp;"|"&amp;UPPER(TRIM($F443)),Setup!$P$21:$P$60,0)),"NO RATE"))))</f>
        <v/>
      </c>
      <c r="J443" s="91" t="n"/>
      <c r="K443" s="90">
        <f>IF(OR($G443="",$H443="",NOT(ISNUMBER($I443))),"",ROUND($H443*$I443*(1+IF($J443="",Setup!$B$16,$J443)),2))</f>
        <v/>
      </c>
      <c r="L443" s="90">
        <f>IF($K443="","",ROUND($K443*Setup!$B$13,2))</f>
        <v/>
      </c>
      <c r="M443" s="90">
        <f>IF($K443="","",$K443-$L443)</f>
        <v/>
      </c>
      <c r="N443" s="90">
        <f>IF(OR($M443="",$D443=""),"",ROUND($M443*IFERROR(IF(VLOOKUP($D443,Setup!$A$76:$C$87,3,FALSE)="",Setup!$B$14,VLOOKUP($D443,Setup!$A$76:$C$87,3,FALSE)),Setup!$B$14),2))</f>
        <v/>
      </c>
      <c r="O443" s="90">
        <f>IF(OR($M443="",$E443=""),"",ROUND($M443*IFERROR(IF(VLOOKUP($E443,Setup!$A$76:$C$87,3,FALSE)="",Setup!$B$15,VLOOKUP($E443,Setup!$A$76:$C$87,3,FALSE)),Setup!$B$15),2))</f>
        <v/>
      </c>
      <c r="P443" s="92" t="n"/>
      <c r="Q443" s="92" t="n"/>
      <c r="R443" s="92" t="n"/>
      <c r="S443" s="92" t="n"/>
      <c r="T443" s="92" t="n"/>
      <c r="U443" s="90">
        <f>IF($K443="","",SUM($R443:$T443))</f>
        <v/>
      </c>
      <c r="V443" s="90">
        <f>IF($K443="","",$M443-(N($N443)+N($O443)+IF($P443="",Setup!$B$17,$P443)+N($Q443))-N($U443))</f>
        <v/>
      </c>
      <c r="W443" s="87" t="n"/>
      <c r="X443" s="88" t="n"/>
      <c r="Z443" s="93">
        <f>IF($A443="","",DATE(YEAR($A443),MONTH($A443),1))</f>
        <v/>
      </c>
    </row>
    <row r="444">
      <c r="A444" s="94" t="n"/>
      <c r="B444" s="95" t="n"/>
      <c r="C444" s="95" t="n"/>
      <c r="D444" s="96" t="n"/>
      <c r="E444" s="96" t="n"/>
      <c r="F444" s="96" t="n"/>
      <c r="G444" s="96" t="n"/>
      <c r="H444" s="97" t="n"/>
      <c r="I444" s="90">
        <f>IF($G444="","",IF($F444="",IFERROR(INDEX(Setup!$C$21:$C$60,MATCH("|"&amp;UPPER(TRIM($G444)),Setup!$Q$21:$Q$60,0)),"NO RATE"),IFERROR(INDEX(Setup!$C$21:$C$60,MATCH(UPPER(TRIM($F444))&amp;"|"&amp;UPPER(TRIM($G444)),Setup!$P$21:$P$60,0)),IFERROR(INDEX(Setup!$C$21:$C$60,MATCH(UPPER(TRIM($G444))&amp;"|"&amp;UPPER(TRIM($F444)),Setup!$P$21:$P$60,0)),"NO RATE"))))</f>
        <v/>
      </c>
      <c r="J444" s="98" t="n"/>
      <c r="K444" s="90">
        <f>IF(OR($G444="",$H444="",NOT(ISNUMBER($I444))),"",ROUND($H444*$I444*(1+IF($J444="",Setup!$B$16,$J444)),2))</f>
        <v/>
      </c>
      <c r="L444" s="90">
        <f>IF($K444="","",ROUND($K444*Setup!$B$13,2))</f>
        <v/>
      </c>
      <c r="M444" s="90">
        <f>IF($K444="","",$K444-$L444)</f>
        <v/>
      </c>
      <c r="N444" s="90">
        <f>IF(OR($M444="",$D444=""),"",ROUND($M444*IFERROR(IF(VLOOKUP($D444,Setup!$A$76:$C$87,3,FALSE)="",Setup!$B$14,VLOOKUP($D444,Setup!$A$76:$C$87,3,FALSE)),Setup!$B$14),2))</f>
        <v/>
      </c>
      <c r="O444" s="90">
        <f>IF(OR($M444="",$E444=""),"",ROUND($M444*IFERROR(IF(VLOOKUP($E444,Setup!$A$76:$C$87,3,FALSE)="",Setup!$B$15,VLOOKUP($E444,Setup!$A$76:$C$87,3,FALSE)),Setup!$B$15),2))</f>
        <v/>
      </c>
      <c r="P444" s="99" t="n"/>
      <c r="Q444" s="99" t="n"/>
      <c r="R444" s="99" t="n"/>
      <c r="S444" s="99" t="n"/>
      <c r="T444" s="99" t="n"/>
      <c r="U444" s="90">
        <f>IF($K444="","",SUM($R444:$T444))</f>
        <v/>
      </c>
      <c r="V444" s="90">
        <f>IF($K444="","",$M444-(N($N444)+N($O444)+IF($P444="",Setup!$B$17,$P444)+N($Q444))-N($U444))</f>
        <v/>
      </c>
      <c r="W444" s="95" t="n"/>
      <c r="X444" s="96" t="n"/>
      <c r="Z444" s="93">
        <f>IF($A444="","",DATE(YEAR($A444),MONTH($A444),1))</f>
        <v/>
      </c>
    </row>
    <row r="445">
      <c r="A445" s="86" t="n"/>
      <c r="B445" s="87" t="n"/>
      <c r="C445" s="87" t="n"/>
      <c r="D445" s="88" t="n"/>
      <c r="E445" s="88" t="n"/>
      <c r="F445" s="88" t="n"/>
      <c r="G445" s="88" t="n"/>
      <c r="H445" s="89" t="n"/>
      <c r="I445" s="90">
        <f>IF($G445="","",IF($F445="",IFERROR(INDEX(Setup!$C$21:$C$60,MATCH("|"&amp;UPPER(TRIM($G445)),Setup!$Q$21:$Q$60,0)),"NO RATE"),IFERROR(INDEX(Setup!$C$21:$C$60,MATCH(UPPER(TRIM($F445))&amp;"|"&amp;UPPER(TRIM($G445)),Setup!$P$21:$P$60,0)),IFERROR(INDEX(Setup!$C$21:$C$60,MATCH(UPPER(TRIM($G445))&amp;"|"&amp;UPPER(TRIM($F445)),Setup!$P$21:$P$60,0)),"NO RATE"))))</f>
        <v/>
      </c>
      <c r="J445" s="91" t="n"/>
      <c r="K445" s="90">
        <f>IF(OR($G445="",$H445="",NOT(ISNUMBER($I445))),"",ROUND($H445*$I445*(1+IF($J445="",Setup!$B$16,$J445)),2))</f>
        <v/>
      </c>
      <c r="L445" s="90">
        <f>IF($K445="","",ROUND($K445*Setup!$B$13,2))</f>
        <v/>
      </c>
      <c r="M445" s="90">
        <f>IF($K445="","",$K445-$L445)</f>
        <v/>
      </c>
      <c r="N445" s="90">
        <f>IF(OR($M445="",$D445=""),"",ROUND($M445*IFERROR(IF(VLOOKUP($D445,Setup!$A$76:$C$87,3,FALSE)="",Setup!$B$14,VLOOKUP($D445,Setup!$A$76:$C$87,3,FALSE)),Setup!$B$14),2))</f>
        <v/>
      </c>
      <c r="O445" s="90">
        <f>IF(OR($M445="",$E445=""),"",ROUND($M445*IFERROR(IF(VLOOKUP($E445,Setup!$A$76:$C$87,3,FALSE)="",Setup!$B$15,VLOOKUP($E445,Setup!$A$76:$C$87,3,FALSE)),Setup!$B$15),2))</f>
        <v/>
      </c>
      <c r="P445" s="92" t="n"/>
      <c r="Q445" s="92" t="n"/>
      <c r="R445" s="92" t="n"/>
      <c r="S445" s="92" t="n"/>
      <c r="T445" s="92" t="n"/>
      <c r="U445" s="90">
        <f>IF($K445="","",SUM($R445:$T445))</f>
        <v/>
      </c>
      <c r="V445" s="90">
        <f>IF($K445="","",$M445-(N($N445)+N($O445)+IF($P445="",Setup!$B$17,$P445)+N($Q445))-N($U445))</f>
        <v/>
      </c>
      <c r="W445" s="87" t="n"/>
      <c r="X445" s="88" t="n"/>
      <c r="Z445" s="93">
        <f>IF($A445="","",DATE(YEAR($A445),MONTH($A445),1))</f>
        <v/>
      </c>
    </row>
    <row r="446">
      <c r="A446" s="94" t="n"/>
      <c r="B446" s="95" t="n"/>
      <c r="C446" s="95" t="n"/>
      <c r="D446" s="96" t="n"/>
      <c r="E446" s="96" t="n"/>
      <c r="F446" s="96" t="n"/>
      <c r="G446" s="96" t="n"/>
      <c r="H446" s="97" t="n"/>
      <c r="I446" s="90">
        <f>IF($G446="","",IF($F446="",IFERROR(INDEX(Setup!$C$21:$C$60,MATCH("|"&amp;UPPER(TRIM($G446)),Setup!$Q$21:$Q$60,0)),"NO RATE"),IFERROR(INDEX(Setup!$C$21:$C$60,MATCH(UPPER(TRIM($F446))&amp;"|"&amp;UPPER(TRIM($G446)),Setup!$P$21:$P$60,0)),IFERROR(INDEX(Setup!$C$21:$C$60,MATCH(UPPER(TRIM($G446))&amp;"|"&amp;UPPER(TRIM($F446)),Setup!$P$21:$P$60,0)),"NO RATE"))))</f>
        <v/>
      </c>
      <c r="J446" s="98" t="n"/>
      <c r="K446" s="90">
        <f>IF(OR($G446="",$H446="",NOT(ISNUMBER($I446))),"",ROUND($H446*$I446*(1+IF($J446="",Setup!$B$16,$J446)),2))</f>
        <v/>
      </c>
      <c r="L446" s="90">
        <f>IF($K446="","",ROUND($K446*Setup!$B$13,2))</f>
        <v/>
      </c>
      <c r="M446" s="90">
        <f>IF($K446="","",$K446-$L446)</f>
        <v/>
      </c>
      <c r="N446" s="90">
        <f>IF(OR($M446="",$D446=""),"",ROUND($M446*IFERROR(IF(VLOOKUP($D446,Setup!$A$76:$C$87,3,FALSE)="",Setup!$B$14,VLOOKUP($D446,Setup!$A$76:$C$87,3,FALSE)),Setup!$B$14),2))</f>
        <v/>
      </c>
      <c r="O446" s="90">
        <f>IF(OR($M446="",$E446=""),"",ROUND($M446*IFERROR(IF(VLOOKUP($E446,Setup!$A$76:$C$87,3,FALSE)="",Setup!$B$15,VLOOKUP($E446,Setup!$A$76:$C$87,3,FALSE)),Setup!$B$15),2))</f>
        <v/>
      </c>
      <c r="P446" s="99" t="n"/>
      <c r="Q446" s="99" t="n"/>
      <c r="R446" s="99" t="n"/>
      <c r="S446" s="99" t="n"/>
      <c r="T446" s="99" t="n"/>
      <c r="U446" s="90">
        <f>IF($K446="","",SUM($R446:$T446))</f>
        <v/>
      </c>
      <c r="V446" s="90">
        <f>IF($K446="","",$M446-(N($N446)+N($O446)+IF($P446="",Setup!$B$17,$P446)+N($Q446))-N($U446))</f>
        <v/>
      </c>
      <c r="W446" s="95" t="n"/>
      <c r="X446" s="96" t="n"/>
      <c r="Z446" s="93">
        <f>IF($A446="","",DATE(YEAR($A446),MONTH($A446),1))</f>
        <v/>
      </c>
    </row>
    <row r="447">
      <c r="A447" s="86" t="n"/>
      <c r="B447" s="87" t="n"/>
      <c r="C447" s="87" t="n"/>
      <c r="D447" s="88" t="n"/>
      <c r="E447" s="88" t="n"/>
      <c r="F447" s="88" t="n"/>
      <c r="G447" s="88" t="n"/>
      <c r="H447" s="89" t="n"/>
      <c r="I447" s="90">
        <f>IF($G447="","",IF($F447="",IFERROR(INDEX(Setup!$C$21:$C$60,MATCH("|"&amp;UPPER(TRIM($G447)),Setup!$Q$21:$Q$60,0)),"NO RATE"),IFERROR(INDEX(Setup!$C$21:$C$60,MATCH(UPPER(TRIM($F447))&amp;"|"&amp;UPPER(TRIM($G447)),Setup!$P$21:$P$60,0)),IFERROR(INDEX(Setup!$C$21:$C$60,MATCH(UPPER(TRIM($G447))&amp;"|"&amp;UPPER(TRIM($F447)),Setup!$P$21:$P$60,0)),"NO RATE"))))</f>
        <v/>
      </c>
      <c r="J447" s="91" t="n"/>
      <c r="K447" s="90">
        <f>IF(OR($G447="",$H447="",NOT(ISNUMBER($I447))),"",ROUND($H447*$I447*(1+IF($J447="",Setup!$B$16,$J447)),2))</f>
        <v/>
      </c>
      <c r="L447" s="90">
        <f>IF($K447="","",ROUND($K447*Setup!$B$13,2))</f>
        <v/>
      </c>
      <c r="M447" s="90">
        <f>IF($K447="","",$K447-$L447)</f>
        <v/>
      </c>
      <c r="N447" s="90">
        <f>IF(OR($M447="",$D447=""),"",ROUND($M447*IFERROR(IF(VLOOKUP($D447,Setup!$A$76:$C$87,3,FALSE)="",Setup!$B$14,VLOOKUP($D447,Setup!$A$76:$C$87,3,FALSE)),Setup!$B$14),2))</f>
        <v/>
      </c>
      <c r="O447" s="90">
        <f>IF(OR($M447="",$E447=""),"",ROUND($M447*IFERROR(IF(VLOOKUP($E447,Setup!$A$76:$C$87,3,FALSE)="",Setup!$B$15,VLOOKUP($E447,Setup!$A$76:$C$87,3,FALSE)),Setup!$B$15),2))</f>
        <v/>
      </c>
      <c r="P447" s="92" t="n"/>
      <c r="Q447" s="92" t="n"/>
      <c r="R447" s="92" t="n"/>
      <c r="S447" s="92" t="n"/>
      <c r="T447" s="92" t="n"/>
      <c r="U447" s="90">
        <f>IF($K447="","",SUM($R447:$T447))</f>
        <v/>
      </c>
      <c r="V447" s="90">
        <f>IF($K447="","",$M447-(N($N447)+N($O447)+IF($P447="",Setup!$B$17,$P447)+N($Q447))-N($U447))</f>
        <v/>
      </c>
      <c r="W447" s="87" t="n"/>
      <c r="X447" s="88" t="n"/>
      <c r="Z447" s="93">
        <f>IF($A447="","",DATE(YEAR($A447),MONTH($A447),1))</f>
        <v/>
      </c>
    </row>
    <row r="448">
      <c r="A448" s="94" t="n"/>
      <c r="B448" s="95" t="n"/>
      <c r="C448" s="95" t="n"/>
      <c r="D448" s="96" t="n"/>
      <c r="E448" s="96" t="n"/>
      <c r="F448" s="96" t="n"/>
      <c r="G448" s="96" t="n"/>
      <c r="H448" s="97" t="n"/>
      <c r="I448" s="90">
        <f>IF($G448="","",IF($F448="",IFERROR(INDEX(Setup!$C$21:$C$60,MATCH("|"&amp;UPPER(TRIM($G448)),Setup!$Q$21:$Q$60,0)),"NO RATE"),IFERROR(INDEX(Setup!$C$21:$C$60,MATCH(UPPER(TRIM($F448))&amp;"|"&amp;UPPER(TRIM($G448)),Setup!$P$21:$P$60,0)),IFERROR(INDEX(Setup!$C$21:$C$60,MATCH(UPPER(TRIM($G448))&amp;"|"&amp;UPPER(TRIM($F448)),Setup!$P$21:$P$60,0)),"NO RATE"))))</f>
        <v/>
      </c>
      <c r="J448" s="98" t="n"/>
      <c r="K448" s="90">
        <f>IF(OR($G448="",$H448="",NOT(ISNUMBER($I448))),"",ROUND($H448*$I448*(1+IF($J448="",Setup!$B$16,$J448)),2))</f>
        <v/>
      </c>
      <c r="L448" s="90">
        <f>IF($K448="","",ROUND($K448*Setup!$B$13,2))</f>
        <v/>
      </c>
      <c r="M448" s="90">
        <f>IF($K448="","",$K448-$L448)</f>
        <v/>
      </c>
      <c r="N448" s="90">
        <f>IF(OR($M448="",$D448=""),"",ROUND($M448*IFERROR(IF(VLOOKUP($D448,Setup!$A$76:$C$87,3,FALSE)="",Setup!$B$14,VLOOKUP($D448,Setup!$A$76:$C$87,3,FALSE)),Setup!$B$14),2))</f>
        <v/>
      </c>
      <c r="O448" s="90">
        <f>IF(OR($M448="",$E448=""),"",ROUND($M448*IFERROR(IF(VLOOKUP($E448,Setup!$A$76:$C$87,3,FALSE)="",Setup!$B$15,VLOOKUP($E448,Setup!$A$76:$C$87,3,FALSE)),Setup!$B$15),2))</f>
        <v/>
      </c>
      <c r="P448" s="99" t="n"/>
      <c r="Q448" s="99" t="n"/>
      <c r="R448" s="99" t="n"/>
      <c r="S448" s="99" t="n"/>
      <c r="T448" s="99" t="n"/>
      <c r="U448" s="90">
        <f>IF($K448="","",SUM($R448:$T448))</f>
        <v/>
      </c>
      <c r="V448" s="90">
        <f>IF($K448="","",$M448-(N($N448)+N($O448)+IF($P448="",Setup!$B$17,$P448)+N($Q448))-N($U448))</f>
        <v/>
      </c>
      <c r="W448" s="95" t="n"/>
      <c r="X448" s="96" t="n"/>
      <c r="Z448" s="93">
        <f>IF($A448="","",DATE(YEAR($A448),MONTH($A448),1))</f>
        <v/>
      </c>
    </row>
    <row r="449">
      <c r="A449" s="86" t="n"/>
      <c r="B449" s="87" t="n"/>
      <c r="C449" s="87" t="n"/>
      <c r="D449" s="88" t="n"/>
      <c r="E449" s="88" t="n"/>
      <c r="F449" s="88" t="n"/>
      <c r="G449" s="88" t="n"/>
      <c r="H449" s="89" t="n"/>
      <c r="I449" s="90">
        <f>IF($G449="","",IF($F449="",IFERROR(INDEX(Setup!$C$21:$C$60,MATCH("|"&amp;UPPER(TRIM($G449)),Setup!$Q$21:$Q$60,0)),"NO RATE"),IFERROR(INDEX(Setup!$C$21:$C$60,MATCH(UPPER(TRIM($F449))&amp;"|"&amp;UPPER(TRIM($G449)),Setup!$P$21:$P$60,0)),IFERROR(INDEX(Setup!$C$21:$C$60,MATCH(UPPER(TRIM($G449))&amp;"|"&amp;UPPER(TRIM($F449)),Setup!$P$21:$P$60,0)),"NO RATE"))))</f>
        <v/>
      </c>
      <c r="J449" s="91" t="n"/>
      <c r="K449" s="90">
        <f>IF(OR($G449="",$H449="",NOT(ISNUMBER($I449))),"",ROUND($H449*$I449*(1+IF($J449="",Setup!$B$16,$J449)),2))</f>
        <v/>
      </c>
      <c r="L449" s="90">
        <f>IF($K449="","",ROUND($K449*Setup!$B$13,2))</f>
        <v/>
      </c>
      <c r="M449" s="90">
        <f>IF($K449="","",$K449-$L449)</f>
        <v/>
      </c>
      <c r="N449" s="90">
        <f>IF(OR($M449="",$D449=""),"",ROUND($M449*IFERROR(IF(VLOOKUP($D449,Setup!$A$76:$C$87,3,FALSE)="",Setup!$B$14,VLOOKUP($D449,Setup!$A$76:$C$87,3,FALSE)),Setup!$B$14),2))</f>
        <v/>
      </c>
      <c r="O449" s="90">
        <f>IF(OR($M449="",$E449=""),"",ROUND($M449*IFERROR(IF(VLOOKUP($E449,Setup!$A$76:$C$87,3,FALSE)="",Setup!$B$15,VLOOKUP($E449,Setup!$A$76:$C$87,3,FALSE)),Setup!$B$15),2))</f>
        <v/>
      </c>
      <c r="P449" s="92" t="n"/>
      <c r="Q449" s="92" t="n"/>
      <c r="R449" s="92" t="n"/>
      <c r="S449" s="92" t="n"/>
      <c r="T449" s="92" t="n"/>
      <c r="U449" s="90">
        <f>IF($K449="","",SUM($R449:$T449))</f>
        <v/>
      </c>
      <c r="V449" s="90">
        <f>IF($K449="","",$M449-(N($N449)+N($O449)+IF($P449="",Setup!$B$17,$P449)+N($Q449))-N($U449))</f>
        <v/>
      </c>
      <c r="W449" s="87" t="n"/>
      <c r="X449" s="88" t="n"/>
      <c r="Z449" s="93">
        <f>IF($A449="","",DATE(YEAR($A449),MONTH($A449),1))</f>
        <v/>
      </c>
    </row>
    <row r="450">
      <c r="A450" s="94" t="n"/>
      <c r="B450" s="95" t="n"/>
      <c r="C450" s="95" t="n"/>
      <c r="D450" s="96" t="n"/>
      <c r="E450" s="96" t="n"/>
      <c r="F450" s="96" t="n"/>
      <c r="G450" s="96" t="n"/>
      <c r="H450" s="97" t="n"/>
      <c r="I450" s="90">
        <f>IF($G450="","",IF($F450="",IFERROR(INDEX(Setup!$C$21:$C$60,MATCH("|"&amp;UPPER(TRIM($G450)),Setup!$Q$21:$Q$60,0)),"NO RATE"),IFERROR(INDEX(Setup!$C$21:$C$60,MATCH(UPPER(TRIM($F450))&amp;"|"&amp;UPPER(TRIM($G450)),Setup!$P$21:$P$60,0)),IFERROR(INDEX(Setup!$C$21:$C$60,MATCH(UPPER(TRIM($G450))&amp;"|"&amp;UPPER(TRIM($F450)),Setup!$P$21:$P$60,0)),"NO RATE"))))</f>
        <v/>
      </c>
      <c r="J450" s="98" t="n"/>
      <c r="K450" s="90">
        <f>IF(OR($G450="",$H450="",NOT(ISNUMBER($I450))),"",ROUND($H450*$I450*(1+IF($J450="",Setup!$B$16,$J450)),2))</f>
        <v/>
      </c>
      <c r="L450" s="90">
        <f>IF($K450="","",ROUND($K450*Setup!$B$13,2))</f>
        <v/>
      </c>
      <c r="M450" s="90">
        <f>IF($K450="","",$K450-$L450)</f>
        <v/>
      </c>
      <c r="N450" s="90">
        <f>IF(OR($M450="",$D450=""),"",ROUND($M450*IFERROR(IF(VLOOKUP($D450,Setup!$A$76:$C$87,3,FALSE)="",Setup!$B$14,VLOOKUP($D450,Setup!$A$76:$C$87,3,FALSE)),Setup!$B$14),2))</f>
        <v/>
      </c>
      <c r="O450" s="90">
        <f>IF(OR($M450="",$E450=""),"",ROUND($M450*IFERROR(IF(VLOOKUP($E450,Setup!$A$76:$C$87,3,FALSE)="",Setup!$B$15,VLOOKUP($E450,Setup!$A$76:$C$87,3,FALSE)),Setup!$B$15),2))</f>
        <v/>
      </c>
      <c r="P450" s="99" t="n"/>
      <c r="Q450" s="99" t="n"/>
      <c r="R450" s="99" t="n"/>
      <c r="S450" s="99" t="n"/>
      <c r="T450" s="99" t="n"/>
      <c r="U450" s="90">
        <f>IF($K450="","",SUM($R450:$T450))</f>
        <v/>
      </c>
      <c r="V450" s="90">
        <f>IF($K450="","",$M450-(N($N450)+N($O450)+IF($P450="",Setup!$B$17,$P450)+N($Q450))-N($U450))</f>
        <v/>
      </c>
      <c r="W450" s="95" t="n"/>
      <c r="X450" s="96" t="n"/>
      <c r="Z450" s="93">
        <f>IF($A450="","",DATE(YEAR($A450),MONTH($A450),1))</f>
        <v/>
      </c>
    </row>
    <row r="451">
      <c r="A451" s="86" t="n"/>
      <c r="B451" s="87" t="n"/>
      <c r="C451" s="87" t="n"/>
      <c r="D451" s="88" t="n"/>
      <c r="E451" s="88" t="n"/>
      <c r="F451" s="88" t="n"/>
      <c r="G451" s="88" t="n"/>
      <c r="H451" s="89" t="n"/>
      <c r="I451" s="90">
        <f>IF($G451="","",IF($F451="",IFERROR(INDEX(Setup!$C$21:$C$60,MATCH("|"&amp;UPPER(TRIM($G451)),Setup!$Q$21:$Q$60,0)),"NO RATE"),IFERROR(INDEX(Setup!$C$21:$C$60,MATCH(UPPER(TRIM($F451))&amp;"|"&amp;UPPER(TRIM($G451)),Setup!$P$21:$P$60,0)),IFERROR(INDEX(Setup!$C$21:$C$60,MATCH(UPPER(TRIM($G451))&amp;"|"&amp;UPPER(TRIM($F451)),Setup!$P$21:$P$60,0)),"NO RATE"))))</f>
        <v/>
      </c>
      <c r="J451" s="91" t="n"/>
      <c r="K451" s="90">
        <f>IF(OR($G451="",$H451="",NOT(ISNUMBER($I451))),"",ROUND($H451*$I451*(1+IF($J451="",Setup!$B$16,$J451)),2))</f>
        <v/>
      </c>
      <c r="L451" s="90">
        <f>IF($K451="","",ROUND($K451*Setup!$B$13,2))</f>
        <v/>
      </c>
      <c r="M451" s="90">
        <f>IF($K451="","",$K451-$L451)</f>
        <v/>
      </c>
      <c r="N451" s="90">
        <f>IF(OR($M451="",$D451=""),"",ROUND($M451*IFERROR(IF(VLOOKUP($D451,Setup!$A$76:$C$87,3,FALSE)="",Setup!$B$14,VLOOKUP($D451,Setup!$A$76:$C$87,3,FALSE)),Setup!$B$14),2))</f>
        <v/>
      </c>
      <c r="O451" s="90">
        <f>IF(OR($M451="",$E451=""),"",ROUND($M451*IFERROR(IF(VLOOKUP($E451,Setup!$A$76:$C$87,3,FALSE)="",Setup!$B$15,VLOOKUP($E451,Setup!$A$76:$C$87,3,FALSE)),Setup!$B$15),2))</f>
        <v/>
      </c>
      <c r="P451" s="92" t="n"/>
      <c r="Q451" s="92" t="n"/>
      <c r="R451" s="92" t="n"/>
      <c r="S451" s="92" t="n"/>
      <c r="T451" s="92" t="n"/>
      <c r="U451" s="90">
        <f>IF($K451="","",SUM($R451:$T451))</f>
        <v/>
      </c>
      <c r="V451" s="90">
        <f>IF($K451="","",$M451-(N($N451)+N($O451)+IF($P451="",Setup!$B$17,$P451)+N($Q451))-N($U451))</f>
        <v/>
      </c>
      <c r="W451" s="87" t="n"/>
      <c r="X451" s="88" t="n"/>
      <c r="Z451" s="93">
        <f>IF($A451="","",DATE(YEAR($A451),MONTH($A451),1))</f>
        <v/>
      </c>
    </row>
    <row r="452">
      <c r="A452" s="94" t="n"/>
      <c r="B452" s="95" t="n"/>
      <c r="C452" s="95" t="n"/>
      <c r="D452" s="96" t="n"/>
      <c r="E452" s="96" t="n"/>
      <c r="F452" s="96" t="n"/>
      <c r="G452" s="96" t="n"/>
      <c r="H452" s="97" t="n"/>
      <c r="I452" s="90">
        <f>IF($G452="","",IF($F452="",IFERROR(INDEX(Setup!$C$21:$C$60,MATCH("|"&amp;UPPER(TRIM($G452)),Setup!$Q$21:$Q$60,0)),"NO RATE"),IFERROR(INDEX(Setup!$C$21:$C$60,MATCH(UPPER(TRIM($F452))&amp;"|"&amp;UPPER(TRIM($G452)),Setup!$P$21:$P$60,0)),IFERROR(INDEX(Setup!$C$21:$C$60,MATCH(UPPER(TRIM($G452))&amp;"|"&amp;UPPER(TRIM($F452)),Setup!$P$21:$P$60,0)),"NO RATE"))))</f>
        <v/>
      </c>
      <c r="J452" s="98" t="n"/>
      <c r="K452" s="90">
        <f>IF(OR($G452="",$H452="",NOT(ISNUMBER($I452))),"",ROUND($H452*$I452*(1+IF($J452="",Setup!$B$16,$J452)),2))</f>
        <v/>
      </c>
      <c r="L452" s="90">
        <f>IF($K452="","",ROUND($K452*Setup!$B$13,2))</f>
        <v/>
      </c>
      <c r="M452" s="90">
        <f>IF($K452="","",$K452-$L452)</f>
        <v/>
      </c>
      <c r="N452" s="90">
        <f>IF(OR($M452="",$D452=""),"",ROUND($M452*IFERROR(IF(VLOOKUP($D452,Setup!$A$76:$C$87,3,FALSE)="",Setup!$B$14,VLOOKUP($D452,Setup!$A$76:$C$87,3,FALSE)),Setup!$B$14),2))</f>
        <v/>
      </c>
      <c r="O452" s="90">
        <f>IF(OR($M452="",$E452=""),"",ROUND($M452*IFERROR(IF(VLOOKUP($E452,Setup!$A$76:$C$87,3,FALSE)="",Setup!$B$15,VLOOKUP($E452,Setup!$A$76:$C$87,3,FALSE)),Setup!$B$15),2))</f>
        <v/>
      </c>
      <c r="P452" s="99" t="n"/>
      <c r="Q452" s="99" t="n"/>
      <c r="R452" s="99" t="n"/>
      <c r="S452" s="99" t="n"/>
      <c r="T452" s="99" t="n"/>
      <c r="U452" s="90">
        <f>IF($K452="","",SUM($R452:$T452))</f>
        <v/>
      </c>
      <c r="V452" s="90">
        <f>IF($K452="","",$M452-(N($N452)+N($O452)+IF($P452="",Setup!$B$17,$P452)+N($Q452))-N($U452))</f>
        <v/>
      </c>
      <c r="W452" s="95" t="n"/>
      <c r="X452" s="96" t="n"/>
      <c r="Z452" s="93">
        <f>IF($A452="","",DATE(YEAR($A452),MONTH($A452),1))</f>
        <v/>
      </c>
    </row>
    <row r="453">
      <c r="A453" s="86" t="n"/>
      <c r="B453" s="87" t="n"/>
      <c r="C453" s="87" t="n"/>
      <c r="D453" s="88" t="n"/>
      <c r="E453" s="88" t="n"/>
      <c r="F453" s="88" t="n"/>
      <c r="G453" s="88" t="n"/>
      <c r="H453" s="89" t="n"/>
      <c r="I453" s="90">
        <f>IF($G453="","",IF($F453="",IFERROR(INDEX(Setup!$C$21:$C$60,MATCH("|"&amp;UPPER(TRIM($G453)),Setup!$Q$21:$Q$60,0)),"NO RATE"),IFERROR(INDEX(Setup!$C$21:$C$60,MATCH(UPPER(TRIM($F453))&amp;"|"&amp;UPPER(TRIM($G453)),Setup!$P$21:$P$60,0)),IFERROR(INDEX(Setup!$C$21:$C$60,MATCH(UPPER(TRIM($G453))&amp;"|"&amp;UPPER(TRIM($F453)),Setup!$P$21:$P$60,0)),"NO RATE"))))</f>
        <v/>
      </c>
      <c r="J453" s="91" t="n"/>
      <c r="K453" s="90">
        <f>IF(OR($G453="",$H453="",NOT(ISNUMBER($I453))),"",ROUND($H453*$I453*(1+IF($J453="",Setup!$B$16,$J453)),2))</f>
        <v/>
      </c>
      <c r="L453" s="90">
        <f>IF($K453="","",ROUND($K453*Setup!$B$13,2))</f>
        <v/>
      </c>
      <c r="M453" s="90">
        <f>IF($K453="","",$K453-$L453)</f>
        <v/>
      </c>
      <c r="N453" s="90">
        <f>IF(OR($M453="",$D453=""),"",ROUND($M453*IFERROR(IF(VLOOKUP($D453,Setup!$A$76:$C$87,3,FALSE)="",Setup!$B$14,VLOOKUP($D453,Setup!$A$76:$C$87,3,FALSE)),Setup!$B$14),2))</f>
        <v/>
      </c>
      <c r="O453" s="90">
        <f>IF(OR($M453="",$E453=""),"",ROUND($M453*IFERROR(IF(VLOOKUP($E453,Setup!$A$76:$C$87,3,FALSE)="",Setup!$B$15,VLOOKUP($E453,Setup!$A$76:$C$87,3,FALSE)),Setup!$B$15),2))</f>
        <v/>
      </c>
      <c r="P453" s="92" t="n"/>
      <c r="Q453" s="92" t="n"/>
      <c r="R453" s="92" t="n"/>
      <c r="S453" s="92" t="n"/>
      <c r="T453" s="92" t="n"/>
      <c r="U453" s="90">
        <f>IF($K453="","",SUM($R453:$T453))</f>
        <v/>
      </c>
      <c r="V453" s="90">
        <f>IF($K453="","",$M453-(N($N453)+N($O453)+IF($P453="",Setup!$B$17,$P453)+N($Q453))-N($U453))</f>
        <v/>
      </c>
      <c r="W453" s="87" t="n"/>
      <c r="X453" s="88" t="n"/>
      <c r="Z453" s="93">
        <f>IF($A453="","",DATE(YEAR($A453),MONTH($A453),1))</f>
        <v/>
      </c>
    </row>
    <row r="454">
      <c r="A454" s="94" t="n"/>
      <c r="B454" s="95" t="n"/>
      <c r="C454" s="95" t="n"/>
      <c r="D454" s="96" t="n"/>
      <c r="E454" s="96" t="n"/>
      <c r="F454" s="96" t="n"/>
      <c r="G454" s="96" t="n"/>
      <c r="H454" s="97" t="n"/>
      <c r="I454" s="90">
        <f>IF($G454="","",IF($F454="",IFERROR(INDEX(Setup!$C$21:$C$60,MATCH("|"&amp;UPPER(TRIM($G454)),Setup!$Q$21:$Q$60,0)),"NO RATE"),IFERROR(INDEX(Setup!$C$21:$C$60,MATCH(UPPER(TRIM($F454))&amp;"|"&amp;UPPER(TRIM($G454)),Setup!$P$21:$P$60,0)),IFERROR(INDEX(Setup!$C$21:$C$60,MATCH(UPPER(TRIM($G454))&amp;"|"&amp;UPPER(TRIM($F454)),Setup!$P$21:$P$60,0)),"NO RATE"))))</f>
        <v/>
      </c>
      <c r="J454" s="98" t="n"/>
      <c r="K454" s="90">
        <f>IF(OR($G454="",$H454="",NOT(ISNUMBER($I454))),"",ROUND($H454*$I454*(1+IF($J454="",Setup!$B$16,$J454)),2))</f>
        <v/>
      </c>
      <c r="L454" s="90">
        <f>IF($K454="","",ROUND($K454*Setup!$B$13,2))</f>
        <v/>
      </c>
      <c r="M454" s="90">
        <f>IF($K454="","",$K454-$L454)</f>
        <v/>
      </c>
      <c r="N454" s="90">
        <f>IF(OR($M454="",$D454=""),"",ROUND($M454*IFERROR(IF(VLOOKUP($D454,Setup!$A$76:$C$87,3,FALSE)="",Setup!$B$14,VLOOKUP($D454,Setup!$A$76:$C$87,3,FALSE)),Setup!$B$14),2))</f>
        <v/>
      </c>
      <c r="O454" s="90">
        <f>IF(OR($M454="",$E454=""),"",ROUND($M454*IFERROR(IF(VLOOKUP($E454,Setup!$A$76:$C$87,3,FALSE)="",Setup!$B$15,VLOOKUP($E454,Setup!$A$76:$C$87,3,FALSE)),Setup!$B$15),2))</f>
        <v/>
      </c>
      <c r="P454" s="99" t="n"/>
      <c r="Q454" s="99" t="n"/>
      <c r="R454" s="99" t="n"/>
      <c r="S454" s="99" t="n"/>
      <c r="T454" s="99" t="n"/>
      <c r="U454" s="90">
        <f>IF($K454="","",SUM($R454:$T454))</f>
        <v/>
      </c>
      <c r="V454" s="90">
        <f>IF($K454="","",$M454-(N($N454)+N($O454)+IF($P454="",Setup!$B$17,$P454)+N($Q454))-N($U454))</f>
        <v/>
      </c>
      <c r="W454" s="95" t="n"/>
      <c r="X454" s="96" t="n"/>
      <c r="Z454" s="93">
        <f>IF($A454="","",DATE(YEAR($A454),MONTH($A454),1))</f>
        <v/>
      </c>
    </row>
    <row r="455">
      <c r="A455" s="86" t="n"/>
      <c r="B455" s="87" t="n"/>
      <c r="C455" s="87" t="n"/>
      <c r="D455" s="88" t="n"/>
      <c r="E455" s="88" t="n"/>
      <c r="F455" s="88" t="n"/>
      <c r="G455" s="88" t="n"/>
      <c r="H455" s="89" t="n"/>
      <c r="I455" s="90">
        <f>IF($G455="","",IF($F455="",IFERROR(INDEX(Setup!$C$21:$C$60,MATCH("|"&amp;UPPER(TRIM($G455)),Setup!$Q$21:$Q$60,0)),"NO RATE"),IFERROR(INDEX(Setup!$C$21:$C$60,MATCH(UPPER(TRIM($F455))&amp;"|"&amp;UPPER(TRIM($G455)),Setup!$P$21:$P$60,0)),IFERROR(INDEX(Setup!$C$21:$C$60,MATCH(UPPER(TRIM($G455))&amp;"|"&amp;UPPER(TRIM($F455)),Setup!$P$21:$P$60,0)),"NO RATE"))))</f>
        <v/>
      </c>
      <c r="J455" s="91" t="n"/>
      <c r="K455" s="90">
        <f>IF(OR($G455="",$H455="",NOT(ISNUMBER($I455))),"",ROUND($H455*$I455*(1+IF($J455="",Setup!$B$16,$J455)),2))</f>
        <v/>
      </c>
      <c r="L455" s="90">
        <f>IF($K455="","",ROUND($K455*Setup!$B$13,2))</f>
        <v/>
      </c>
      <c r="M455" s="90">
        <f>IF($K455="","",$K455-$L455)</f>
        <v/>
      </c>
      <c r="N455" s="90">
        <f>IF(OR($M455="",$D455=""),"",ROUND($M455*IFERROR(IF(VLOOKUP($D455,Setup!$A$76:$C$87,3,FALSE)="",Setup!$B$14,VLOOKUP($D455,Setup!$A$76:$C$87,3,FALSE)),Setup!$B$14),2))</f>
        <v/>
      </c>
      <c r="O455" s="90">
        <f>IF(OR($M455="",$E455=""),"",ROUND($M455*IFERROR(IF(VLOOKUP($E455,Setup!$A$76:$C$87,3,FALSE)="",Setup!$B$15,VLOOKUP($E455,Setup!$A$76:$C$87,3,FALSE)),Setup!$B$15),2))</f>
        <v/>
      </c>
      <c r="P455" s="92" t="n"/>
      <c r="Q455" s="92" t="n"/>
      <c r="R455" s="92" t="n"/>
      <c r="S455" s="92" t="n"/>
      <c r="T455" s="92" t="n"/>
      <c r="U455" s="90">
        <f>IF($K455="","",SUM($R455:$T455))</f>
        <v/>
      </c>
      <c r="V455" s="90">
        <f>IF($K455="","",$M455-(N($N455)+N($O455)+IF($P455="",Setup!$B$17,$P455)+N($Q455))-N($U455))</f>
        <v/>
      </c>
      <c r="W455" s="87" t="n"/>
      <c r="X455" s="88" t="n"/>
      <c r="Z455" s="93">
        <f>IF($A455="","",DATE(YEAR($A455),MONTH($A455),1))</f>
        <v/>
      </c>
    </row>
    <row r="456">
      <c r="A456" s="94" t="n"/>
      <c r="B456" s="95" t="n"/>
      <c r="C456" s="95" t="n"/>
      <c r="D456" s="96" t="n"/>
      <c r="E456" s="96" t="n"/>
      <c r="F456" s="96" t="n"/>
      <c r="G456" s="96" t="n"/>
      <c r="H456" s="97" t="n"/>
      <c r="I456" s="90">
        <f>IF($G456="","",IF($F456="",IFERROR(INDEX(Setup!$C$21:$C$60,MATCH("|"&amp;UPPER(TRIM($G456)),Setup!$Q$21:$Q$60,0)),"NO RATE"),IFERROR(INDEX(Setup!$C$21:$C$60,MATCH(UPPER(TRIM($F456))&amp;"|"&amp;UPPER(TRIM($G456)),Setup!$P$21:$P$60,0)),IFERROR(INDEX(Setup!$C$21:$C$60,MATCH(UPPER(TRIM($G456))&amp;"|"&amp;UPPER(TRIM($F456)),Setup!$P$21:$P$60,0)),"NO RATE"))))</f>
        <v/>
      </c>
      <c r="J456" s="98" t="n"/>
      <c r="K456" s="90">
        <f>IF(OR($G456="",$H456="",NOT(ISNUMBER($I456))),"",ROUND($H456*$I456*(1+IF($J456="",Setup!$B$16,$J456)),2))</f>
        <v/>
      </c>
      <c r="L456" s="90">
        <f>IF($K456="","",ROUND($K456*Setup!$B$13,2))</f>
        <v/>
      </c>
      <c r="M456" s="90">
        <f>IF($K456="","",$K456-$L456)</f>
        <v/>
      </c>
      <c r="N456" s="90">
        <f>IF(OR($M456="",$D456=""),"",ROUND($M456*IFERROR(IF(VLOOKUP($D456,Setup!$A$76:$C$87,3,FALSE)="",Setup!$B$14,VLOOKUP($D456,Setup!$A$76:$C$87,3,FALSE)),Setup!$B$14),2))</f>
        <v/>
      </c>
      <c r="O456" s="90">
        <f>IF(OR($M456="",$E456=""),"",ROUND($M456*IFERROR(IF(VLOOKUP($E456,Setup!$A$76:$C$87,3,FALSE)="",Setup!$B$15,VLOOKUP($E456,Setup!$A$76:$C$87,3,FALSE)),Setup!$B$15),2))</f>
        <v/>
      </c>
      <c r="P456" s="99" t="n"/>
      <c r="Q456" s="99" t="n"/>
      <c r="R456" s="99" t="n"/>
      <c r="S456" s="99" t="n"/>
      <c r="T456" s="99" t="n"/>
      <c r="U456" s="90">
        <f>IF($K456="","",SUM($R456:$T456))</f>
        <v/>
      </c>
      <c r="V456" s="90">
        <f>IF($K456="","",$M456-(N($N456)+N($O456)+IF($P456="",Setup!$B$17,$P456)+N($Q456))-N($U456))</f>
        <v/>
      </c>
      <c r="W456" s="95" t="n"/>
      <c r="X456" s="96" t="n"/>
      <c r="Z456" s="93">
        <f>IF($A456="","",DATE(YEAR($A456),MONTH($A456),1))</f>
        <v/>
      </c>
    </row>
    <row r="457">
      <c r="A457" s="86" t="n"/>
      <c r="B457" s="87" t="n"/>
      <c r="C457" s="87" t="n"/>
      <c r="D457" s="88" t="n"/>
      <c r="E457" s="88" t="n"/>
      <c r="F457" s="88" t="n"/>
      <c r="G457" s="88" t="n"/>
      <c r="H457" s="89" t="n"/>
      <c r="I457" s="90">
        <f>IF($G457="","",IF($F457="",IFERROR(INDEX(Setup!$C$21:$C$60,MATCH("|"&amp;UPPER(TRIM($G457)),Setup!$Q$21:$Q$60,0)),"NO RATE"),IFERROR(INDEX(Setup!$C$21:$C$60,MATCH(UPPER(TRIM($F457))&amp;"|"&amp;UPPER(TRIM($G457)),Setup!$P$21:$P$60,0)),IFERROR(INDEX(Setup!$C$21:$C$60,MATCH(UPPER(TRIM($G457))&amp;"|"&amp;UPPER(TRIM($F457)),Setup!$P$21:$P$60,0)),"NO RATE"))))</f>
        <v/>
      </c>
      <c r="J457" s="91" t="n"/>
      <c r="K457" s="90">
        <f>IF(OR($G457="",$H457="",NOT(ISNUMBER($I457))),"",ROUND($H457*$I457*(1+IF($J457="",Setup!$B$16,$J457)),2))</f>
        <v/>
      </c>
      <c r="L457" s="90">
        <f>IF($K457="","",ROUND($K457*Setup!$B$13,2))</f>
        <v/>
      </c>
      <c r="M457" s="90">
        <f>IF($K457="","",$K457-$L457)</f>
        <v/>
      </c>
      <c r="N457" s="90">
        <f>IF(OR($M457="",$D457=""),"",ROUND($M457*IFERROR(IF(VLOOKUP($D457,Setup!$A$76:$C$87,3,FALSE)="",Setup!$B$14,VLOOKUP($D457,Setup!$A$76:$C$87,3,FALSE)),Setup!$B$14),2))</f>
        <v/>
      </c>
      <c r="O457" s="90">
        <f>IF(OR($M457="",$E457=""),"",ROUND($M457*IFERROR(IF(VLOOKUP($E457,Setup!$A$76:$C$87,3,FALSE)="",Setup!$B$15,VLOOKUP($E457,Setup!$A$76:$C$87,3,FALSE)),Setup!$B$15),2))</f>
        <v/>
      </c>
      <c r="P457" s="92" t="n"/>
      <c r="Q457" s="92" t="n"/>
      <c r="R457" s="92" t="n"/>
      <c r="S457" s="92" t="n"/>
      <c r="T457" s="92" t="n"/>
      <c r="U457" s="90">
        <f>IF($K457="","",SUM($R457:$T457))</f>
        <v/>
      </c>
      <c r="V457" s="90">
        <f>IF($K457="","",$M457-(N($N457)+N($O457)+IF($P457="",Setup!$B$17,$P457)+N($Q457))-N($U457))</f>
        <v/>
      </c>
      <c r="W457" s="87" t="n"/>
      <c r="X457" s="88" t="n"/>
      <c r="Z457" s="93">
        <f>IF($A457="","",DATE(YEAR($A457),MONTH($A457),1))</f>
        <v/>
      </c>
    </row>
    <row r="458">
      <c r="A458" s="94" t="n"/>
      <c r="B458" s="95" t="n"/>
      <c r="C458" s="95" t="n"/>
      <c r="D458" s="96" t="n"/>
      <c r="E458" s="96" t="n"/>
      <c r="F458" s="96" t="n"/>
      <c r="G458" s="96" t="n"/>
      <c r="H458" s="97" t="n"/>
      <c r="I458" s="90">
        <f>IF($G458="","",IF($F458="",IFERROR(INDEX(Setup!$C$21:$C$60,MATCH("|"&amp;UPPER(TRIM($G458)),Setup!$Q$21:$Q$60,0)),"NO RATE"),IFERROR(INDEX(Setup!$C$21:$C$60,MATCH(UPPER(TRIM($F458))&amp;"|"&amp;UPPER(TRIM($G458)),Setup!$P$21:$P$60,0)),IFERROR(INDEX(Setup!$C$21:$C$60,MATCH(UPPER(TRIM($G458))&amp;"|"&amp;UPPER(TRIM($F458)),Setup!$P$21:$P$60,0)),"NO RATE"))))</f>
        <v/>
      </c>
      <c r="J458" s="98" t="n"/>
      <c r="K458" s="90">
        <f>IF(OR($G458="",$H458="",NOT(ISNUMBER($I458))),"",ROUND($H458*$I458*(1+IF($J458="",Setup!$B$16,$J458)),2))</f>
        <v/>
      </c>
      <c r="L458" s="90">
        <f>IF($K458="","",ROUND($K458*Setup!$B$13,2))</f>
        <v/>
      </c>
      <c r="M458" s="90">
        <f>IF($K458="","",$K458-$L458)</f>
        <v/>
      </c>
      <c r="N458" s="90">
        <f>IF(OR($M458="",$D458=""),"",ROUND($M458*IFERROR(IF(VLOOKUP($D458,Setup!$A$76:$C$87,3,FALSE)="",Setup!$B$14,VLOOKUP($D458,Setup!$A$76:$C$87,3,FALSE)),Setup!$B$14),2))</f>
        <v/>
      </c>
      <c r="O458" s="90">
        <f>IF(OR($M458="",$E458=""),"",ROUND($M458*IFERROR(IF(VLOOKUP($E458,Setup!$A$76:$C$87,3,FALSE)="",Setup!$B$15,VLOOKUP($E458,Setup!$A$76:$C$87,3,FALSE)),Setup!$B$15),2))</f>
        <v/>
      </c>
      <c r="P458" s="99" t="n"/>
      <c r="Q458" s="99" t="n"/>
      <c r="R458" s="99" t="n"/>
      <c r="S458" s="99" t="n"/>
      <c r="T458" s="99" t="n"/>
      <c r="U458" s="90">
        <f>IF($K458="","",SUM($R458:$T458))</f>
        <v/>
      </c>
      <c r="V458" s="90">
        <f>IF($K458="","",$M458-(N($N458)+N($O458)+IF($P458="",Setup!$B$17,$P458)+N($Q458))-N($U458))</f>
        <v/>
      </c>
      <c r="W458" s="95" t="n"/>
      <c r="X458" s="96" t="n"/>
      <c r="Z458" s="93">
        <f>IF($A458="","",DATE(YEAR($A458),MONTH($A458),1))</f>
        <v/>
      </c>
    </row>
    <row r="459">
      <c r="A459" s="86" t="n"/>
      <c r="B459" s="87" t="n"/>
      <c r="C459" s="87" t="n"/>
      <c r="D459" s="88" t="n"/>
      <c r="E459" s="88" t="n"/>
      <c r="F459" s="88" t="n"/>
      <c r="G459" s="88" t="n"/>
      <c r="H459" s="89" t="n"/>
      <c r="I459" s="90">
        <f>IF($G459="","",IF($F459="",IFERROR(INDEX(Setup!$C$21:$C$60,MATCH("|"&amp;UPPER(TRIM($G459)),Setup!$Q$21:$Q$60,0)),"NO RATE"),IFERROR(INDEX(Setup!$C$21:$C$60,MATCH(UPPER(TRIM($F459))&amp;"|"&amp;UPPER(TRIM($G459)),Setup!$P$21:$P$60,0)),IFERROR(INDEX(Setup!$C$21:$C$60,MATCH(UPPER(TRIM($G459))&amp;"|"&amp;UPPER(TRIM($F459)),Setup!$P$21:$P$60,0)),"NO RATE"))))</f>
        <v/>
      </c>
      <c r="J459" s="91" t="n"/>
      <c r="K459" s="90">
        <f>IF(OR($G459="",$H459="",NOT(ISNUMBER($I459))),"",ROUND($H459*$I459*(1+IF($J459="",Setup!$B$16,$J459)),2))</f>
        <v/>
      </c>
      <c r="L459" s="90">
        <f>IF($K459="","",ROUND($K459*Setup!$B$13,2))</f>
        <v/>
      </c>
      <c r="M459" s="90">
        <f>IF($K459="","",$K459-$L459)</f>
        <v/>
      </c>
      <c r="N459" s="90">
        <f>IF(OR($M459="",$D459=""),"",ROUND($M459*IFERROR(IF(VLOOKUP($D459,Setup!$A$76:$C$87,3,FALSE)="",Setup!$B$14,VLOOKUP($D459,Setup!$A$76:$C$87,3,FALSE)),Setup!$B$14),2))</f>
        <v/>
      </c>
      <c r="O459" s="90">
        <f>IF(OR($M459="",$E459=""),"",ROUND($M459*IFERROR(IF(VLOOKUP($E459,Setup!$A$76:$C$87,3,FALSE)="",Setup!$B$15,VLOOKUP($E459,Setup!$A$76:$C$87,3,FALSE)),Setup!$B$15),2))</f>
        <v/>
      </c>
      <c r="P459" s="92" t="n"/>
      <c r="Q459" s="92" t="n"/>
      <c r="R459" s="92" t="n"/>
      <c r="S459" s="92" t="n"/>
      <c r="T459" s="92" t="n"/>
      <c r="U459" s="90">
        <f>IF($K459="","",SUM($R459:$T459))</f>
        <v/>
      </c>
      <c r="V459" s="90">
        <f>IF($K459="","",$M459-(N($N459)+N($O459)+IF($P459="",Setup!$B$17,$P459)+N($Q459))-N($U459))</f>
        <v/>
      </c>
      <c r="W459" s="87" t="n"/>
      <c r="X459" s="88" t="n"/>
      <c r="Z459" s="93">
        <f>IF($A459="","",DATE(YEAR($A459),MONTH($A459),1))</f>
        <v/>
      </c>
    </row>
    <row r="460">
      <c r="A460" s="94" t="n"/>
      <c r="B460" s="95" t="n"/>
      <c r="C460" s="95" t="n"/>
      <c r="D460" s="96" t="n"/>
      <c r="E460" s="96" t="n"/>
      <c r="F460" s="96" t="n"/>
      <c r="G460" s="96" t="n"/>
      <c r="H460" s="97" t="n"/>
      <c r="I460" s="90">
        <f>IF($G460="","",IF($F460="",IFERROR(INDEX(Setup!$C$21:$C$60,MATCH("|"&amp;UPPER(TRIM($G460)),Setup!$Q$21:$Q$60,0)),"NO RATE"),IFERROR(INDEX(Setup!$C$21:$C$60,MATCH(UPPER(TRIM($F460))&amp;"|"&amp;UPPER(TRIM($G460)),Setup!$P$21:$P$60,0)),IFERROR(INDEX(Setup!$C$21:$C$60,MATCH(UPPER(TRIM($G460))&amp;"|"&amp;UPPER(TRIM($F460)),Setup!$P$21:$P$60,0)),"NO RATE"))))</f>
        <v/>
      </c>
      <c r="J460" s="98" t="n"/>
      <c r="K460" s="90">
        <f>IF(OR($G460="",$H460="",NOT(ISNUMBER($I460))),"",ROUND($H460*$I460*(1+IF($J460="",Setup!$B$16,$J460)),2))</f>
        <v/>
      </c>
      <c r="L460" s="90">
        <f>IF($K460="","",ROUND($K460*Setup!$B$13,2))</f>
        <v/>
      </c>
      <c r="M460" s="90">
        <f>IF($K460="","",$K460-$L460)</f>
        <v/>
      </c>
      <c r="N460" s="90">
        <f>IF(OR($M460="",$D460=""),"",ROUND($M460*IFERROR(IF(VLOOKUP($D460,Setup!$A$76:$C$87,3,FALSE)="",Setup!$B$14,VLOOKUP($D460,Setup!$A$76:$C$87,3,FALSE)),Setup!$B$14),2))</f>
        <v/>
      </c>
      <c r="O460" s="90">
        <f>IF(OR($M460="",$E460=""),"",ROUND($M460*IFERROR(IF(VLOOKUP($E460,Setup!$A$76:$C$87,3,FALSE)="",Setup!$B$15,VLOOKUP($E460,Setup!$A$76:$C$87,3,FALSE)),Setup!$B$15),2))</f>
        <v/>
      </c>
      <c r="P460" s="99" t="n"/>
      <c r="Q460" s="99" t="n"/>
      <c r="R460" s="99" t="n"/>
      <c r="S460" s="99" t="n"/>
      <c r="T460" s="99" t="n"/>
      <c r="U460" s="90">
        <f>IF($K460="","",SUM($R460:$T460))</f>
        <v/>
      </c>
      <c r="V460" s="90">
        <f>IF($K460="","",$M460-(N($N460)+N($O460)+IF($P460="",Setup!$B$17,$P460)+N($Q460))-N($U460))</f>
        <v/>
      </c>
      <c r="W460" s="95" t="n"/>
      <c r="X460" s="96" t="n"/>
      <c r="Z460" s="93">
        <f>IF($A460="","",DATE(YEAR($A460),MONTH($A460),1))</f>
        <v/>
      </c>
    </row>
    <row r="461">
      <c r="A461" s="86" t="n"/>
      <c r="B461" s="87" t="n"/>
      <c r="C461" s="87" t="n"/>
      <c r="D461" s="88" t="n"/>
      <c r="E461" s="88" t="n"/>
      <c r="F461" s="88" t="n"/>
      <c r="G461" s="88" t="n"/>
      <c r="H461" s="89" t="n"/>
      <c r="I461" s="90">
        <f>IF($G461="","",IF($F461="",IFERROR(INDEX(Setup!$C$21:$C$60,MATCH("|"&amp;UPPER(TRIM($G461)),Setup!$Q$21:$Q$60,0)),"NO RATE"),IFERROR(INDEX(Setup!$C$21:$C$60,MATCH(UPPER(TRIM($F461))&amp;"|"&amp;UPPER(TRIM($G461)),Setup!$P$21:$P$60,0)),IFERROR(INDEX(Setup!$C$21:$C$60,MATCH(UPPER(TRIM($G461))&amp;"|"&amp;UPPER(TRIM($F461)),Setup!$P$21:$P$60,0)),"NO RATE"))))</f>
        <v/>
      </c>
      <c r="J461" s="91" t="n"/>
      <c r="K461" s="90">
        <f>IF(OR($G461="",$H461="",NOT(ISNUMBER($I461))),"",ROUND($H461*$I461*(1+IF($J461="",Setup!$B$16,$J461)),2))</f>
        <v/>
      </c>
      <c r="L461" s="90">
        <f>IF($K461="","",ROUND($K461*Setup!$B$13,2))</f>
        <v/>
      </c>
      <c r="M461" s="90">
        <f>IF($K461="","",$K461-$L461)</f>
        <v/>
      </c>
      <c r="N461" s="90">
        <f>IF(OR($M461="",$D461=""),"",ROUND($M461*IFERROR(IF(VLOOKUP($D461,Setup!$A$76:$C$87,3,FALSE)="",Setup!$B$14,VLOOKUP($D461,Setup!$A$76:$C$87,3,FALSE)),Setup!$B$14),2))</f>
        <v/>
      </c>
      <c r="O461" s="90">
        <f>IF(OR($M461="",$E461=""),"",ROUND($M461*IFERROR(IF(VLOOKUP($E461,Setup!$A$76:$C$87,3,FALSE)="",Setup!$B$15,VLOOKUP($E461,Setup!$A$76:$C$87,3,FALSE)),Setup!$B$15),2))</f>
        <v/>
      </c>
      <c r="P461" s="92" t="n"/>
      <c r="Q461" s="92" t="n"/>
      <c r="R461" s="92" t="n"/>
      <c r="S461" s="92" t="n"/>
      <c r="T461" s="92" t="n"/>
      <c r="U461" s="90">
        <f>IF($K461="","",SUM($R461:$T461))</f>
        <v/>
      </c>
      <c r="V461" s="90">
        <f>IF($K461="","",$M461-(N($N461)+N($O461)+IF($P461="",Setup!$B$17,$P461)+N($Q461))-N($U461))</f>
        <v/>
      </c>
      <c r="W461" s="87" t="n"/>
      <c r="X461" s="88" t="n"/>
      <c r="Z461" s="93">
        <f>IF($A461="","",DATE(YEAR($A461),MONTH($A461),1))</f>
        <v/>
      </c>
    </row>
    <row r="462">
      <c r="A462" s="94" t="n"/>
      <c r="B462" s="95" t="n"/>
      <c r="C462" s="95" t="n"/>
      <c r="D462" s="96" t="n"/>
      <c r="E462" s="96" t="n"/>
      <c r="F462" s="96" t="n"/>
      <c r="G462" s="96" t="n"/>
      <c r="H462" s="97" t="n"/>
      <c r="I462" s="90">
        <f>IF($G462="","",IF($F462="",IFERROR(INDEX(Setup!$C$21:$C$60,MATCH("|"&amp;UPPER(TRIM($G462)),Setup!$Q$21:$Q$60,0)),"NO RATE"),IFERROR(INDEX(Setup!$C$21:$C$60,MATCH(UPPER(TRIM($F462))&amp;"|"&amp;UPPER(TRIM($G462)),Setup!$P$21:$P$60,0)),IFERROR(INDEX(Setup!$C$21:$C$60,MATCH(UPPER(TRIM($G462))&amp;"|"&amp;UPPER(TRIM($F462)),Setup!$P$21:$P$60,0)),"NO RATE"))))</f>
        <v/>
      </c>
      <c r="J462" s="98" t="n"/>
      <c r="K462" s="90">
        <f>IF(OR($G462="",$H462="",NOT(ISNUMBER($I462))),"",ROUND($H462*$I462*(1+IF($J462="",Setup!$B$16,$J462)),2))</f>
        <v/>
      </c>
      <c r="L462" s="90">
        <f>IF($K462="","",ROUND($K462*Setup!$B$13,2))</f>
        <v/>
      </c>
      <c r="M462" s="90">
        <f>IF($K462="","",$K462-$L462)</f>
        <v/>
      </c>
      <c r="N462" s="90">
        <f>IF(OR($M462="",$D462=""),"",ROUND($M462*IFERROR(IF(VLOOKUP($D462,Setup!$A$76:$C$87,3,FALSE)="",Setup!$B$14,VLOOKUP($D462,Setup!$A$76:$C$87,3,FALSE)),Setup!$B$14),2))</f>
        <v/>
      </c>
      <c r="O462" s="90">
        <f>IF(OR($M462="",$E462=""),"",ROUND($M462*IFERROR(IF(VLOOKUP($E462,Setup!$A$76:$C$87,3,FALSE)="",Setup!$B$15,VLOOKUP($E462,Setup!$A$76:$C$87,3,FALSE)),Setup!$B$15),2))</f>
        <v/>
      </c>
      <c r="P462" s="99" t="n"/>
      <c r="Q462" s="99" t="n"/>
      <c r="R462" s="99" t="n"/>
      <c r="S462" s="99" t="n"/>
      <c r="T462" s="99" t="n"/>
      <c r="U462" s="90">
        <f>IF($K462="","",SUM($R462:$T462))</f>
        <v/>
      </c>
      <c r="V462" s="90">
        <f>IF($K462="","",$M462-(N($N462)+N($O462)+IF($P462="",Setup!$B$17,$P462)+N($Q462))-N($U462))</f>
        <v/>
      </c>
      <c r="W462" s="95" t="n"/>
      <c r="X462" s="96" t="n"/>
      <c r="Z462" s="93">
        <f>IF($A462="","",DATE(YEAR($A462),MONTH($A462),1))</f>
        <v/>
      </c>
    </row>
    <row r="463">
      <c r="A463" s="86" t="n"/>
      <c r="B463" s="87" t="n"/>
      <c r="C463" s="87" t="n"/>
      <c r="D463" s="88" t="n"/>
      <c r="E463" s="88" t="n"/>
      <c r="F463" s="88" t="n"/>
      <c r="G463" s="88" t="n"/>
      <c r="H463" s="89" t="n"/>
      <c r="I463" s="90">
        <f>IF($G463="","",IF($F463="",IFERROR(INDEX(Setup!$C$21:$C$60,MATCH("|"&amp;UPPER(TRIM($G463)),Setup!$Q$21:$Q$60,0)),"NO RATE"),IFERROR(INDEX(Setup!$C$21:$C$60,MATCH(UPPER(TRIM($F463))&amp;"|"&amp;UPPER(TRIM($G463)),Setup!$P$21:$P$60,0)),IFERROR(INDEX(Setup!$C$21:$C$60,MATCH(UPPER(TRIM($G463))&amp;"|"&amp;UPPER(TRIM($F463)),Setup!$P$21:$P$60,0)),"NO RATE"))))</f>
        <v/>
      </c>
      <c r="J463" s="91" t="n"/>
      <c r="K463" s="90">
        <f>IF(OR($G463="",$H463="",NOT(ISNUMBER($I463))),"",ROUND($H463*$I463*(1+IF($J463="",Setup!$B$16,$J463)),2))</f>
        <v/>
      </c>
      <c r="L463" s="90">
        <f>IF($K463="","",ROUND($K463*Setup!$B$13,2))</f>
        <v/>
      </c>
      <c r="M463" s="90">
        <f>IF($K463="","",$K463-$L463)</f>
        <v/>
      </c>
      <c r="N463" s="90">
        <f>IF(OR($M463="",$D463=""),"",ROUND($M463*IFERROR(IF(VLOOKUP($D463,Setup!$A$76:$C$87,3,FALSE)="",Setup!$B$14,VLOOKUP($D463,Setup!$A$76:$C$87,3,FALSE)),Setup!$B$14),2))</f>
        <v/>
      </c>
      <c r="O463" s="90">
        <f>IF(OR($M463="",$E463=""),"",ROUND($M463*IFERROR(IF(VLOOKUP($E463,Setup!$A$76:$C$87,3,FALSE)="",Setup!$B$15,VLOOKUP($E463,Setup!$A$76:$C$87,3,FALSE)),Setup!$B$15),2))</f>
        <v/>
      </c>
      <c r="P463" s="92" t="n"/>
      <c r="Q463" s="92" t="n"/>
      <c r="R463" s="92" t="n"/>
      <c r="S463" s="92" t="n"/>
      <c r="T463" s="92" t="n"/>
      <c r="U463" s="90">
        <f>IF($K463="","",SUM($R463:$T463))</f>
        <v/>
      </c>
      <c r="V463" s="90">
        <f>IF($K463="","",$M463-(N($N463)+N($O463)+IF($P463="",Setup!$B$17,$P463)+N($Q463))-N($U463))</f>
        <v/>
      </c>
      <c r="W463" s="87" t="n"/>
      <c r="X463" s="88" t="n"/>
      <c r="Z463" s="93">
        <f>IF($A463="","",DATE(YEAR($A463),MONTH($A463),1))</f>
        <v/>
      </c>
    </row>
    <row r="464">
      <c r="A464" s="94" t="n"/>
      <c r="B464" s="95" t="n"/>
      <c r="C464" s="95" t="n"/>
      <c r="D464" s="96" t="n"/>
      <c r="E464" s="96" t="n"/>
      <c r="F464" s="96" t="n"/>
      <c r="G464" s="96" t="n"/>
      <c r="H464" s="97" t="n"/>
      <c r="I464" s="90">
        <f>IF($G464="","",IF($F464="",IFERROR(INDEX(Setup!$C$21:$C$60,MATCH("|"&amp;UPPER(TRIM($G464)),Setup!$Q$21:$Q$60,0)),"NO RATE"),IFERROR(INDEX(Setup!$C$21:$C$60,MATCH(UPPER(TRIM($F464))&amp;"|"&amp;UPPER(TRIM($G464)),Setup!$P$21:$P$60,0)),IFERROR(INDEX(Setup!$C$21:$C$60,MATCH(UPPER(TRIM($G464))&amp;"|"&amp;UPPER(TRIM($F464)),Setup!$P$21:$P$60,0)),"NO RATE"))))</f>
        <v/>
      </c>
      <c r="J464" s="98" t="n"/>
      <c r="K464" s="90">
        <f>IF(OR($G464="",$H464="",NOT(ISNUMBER($I464))),"",ROUND($H464*$I464*(1+IF($J464="",Setup!$B$16,$J464)),2))</f>
        <v/>
      </c>
      <c r="L464" s="90">
        <f>IF($K464="","",ROUND($K464*Setup!$B$13,2))</f>
        <v/>
      </c>
      <c r="M464" s="90">
        <f>IF($K464="","",$K464-$L464)</f>
        <v/>
      </c>
      <c r="N464" s="90">
        <f>IF(OR($M464="",$D464=""),"",ROUND($M464*IFERROR(IF(VLOOKUP($D464,Setup!$A$76:$C$87,3,FALSE)="",Setup!$B$14,VLOOKUP($D464,Setup!$A$76:$C$87,3,FALSE)),Setup!$B$14),2))</f>
        <v/>
      </c>
      <c r="O464" s="90">
        <f>IF(OR($M464="",$E464=""),"",ROUND($M464*IFERROR(IF(VLOOKUP($E464,Setup!$A$76:$C$87,3,FALSE)="",Setup!$B$15,VLOOKUP($E464,Setup!$A$76:$C$87,3,FALSE)),Setup!$B$15),2))</f>
        <v/>
      </c>
      <c r="P464" s="99" t="n"/>
      <c r="Q464" s="99" t="n"/>
      <c r="R464" s="99" t="n"/>
      <c r="S464" s="99" t="n"/>
      <c r="T464" s="99" t="n"/>
      <c r="U464" s="90">
        <f>IF($K464="","",SUM($R464:$T464))</f>
        <v/>
      </c>
      <c r="V464" s="90">
        <f>IF($K464="","",$M464-(N($N464)+N($O464)+IF($P464="",Setup!$B$17,$P464)+N($Q464))-N($U464))</f>
        <v/>
      </c>
      <c r="W464" s="95" t="n"/>
      <c r="X464" s="96" t="n"/>
      <c r="Z464" s="93">
        <f>IF($A464="","",DATE(YEAR($A464),MONTH($A464),1))</f>
        <v/>
      </c>
    </row>
    <row r="465">
      <c r="A465" s="86" t="n"/>
      <c r="B465" s="87" t="n"/>
      <c r="C465" s="87" t="n"/>
      <c r="D465" s="88" t="n"/>
      <c r="E465" s="88" t="n"/>
      <c r="F465" s="88" t="n"/>
      <c r="G465" s="88" t="n"/>
      <c r="H465" s="89" t="n"/>
      <c r="I465" s="90">
        <f>IF($G465="","",IF($F465="",IFERROR(INDEX(Setup!$C$21:$C$60,MATCH("|"&amp;UPPER(TRIM($G465)),Setup!$Q$21:$Q$60,0)),"NO RATE"),IFERROR(INDEX(Setup!$C$21:$C$60,MATCH(UPPER(TRIM($F465))&amp;"|"&amp;UPPER(TRIM($G465)),Setup!$P$21:$P$60,0)),IFERROR(INDEX(Setup!$C$21:$C$60,MATCH(UPPER(TRIM($G465))&amp;"|"&amp;UPPER(TRIM($F465)),Setup!$P$21:$P$60,0)),"NO RATE"))))</f>
        <v/>
      </c>
      <c r="J465" s="91" t="n"/>
      <c r="K465" s="90">
        <f>IF(OR($G465="",$H465="",NOT(ISNUMBER($I465))),"",ROUND($H465*$I465*(1+IF($J465="",Setup!$B$16,$J465)),2))</f>
        <v/>
      </c>
      <c r="L465" s="90">
        <f>IF($K465="","",ROUND($K465*Setup!$B$13,2))</f>
        <v/>
      </c>
      <c r="M465" s="90">
        <f>IF($K465="","",$K465-$L465)</f>
        <v/>
      </c>
      <c r="N465" s="90">
        <f>IF(OR($M465="",$D465=""),"",ROUND($M465*IFERROR(IF(VLOOKUP($D465,Setup!$A$76:$C$87,3,FALSE)="",Setup!$B$14,VLOOKUP($D465,Setup!$A$76:$C$87,3,FALSE)),Setup!$B$14),2))</f>
        <v/>
      </c>
      <c r="O465" s="90">
        <f>IF(OR($M465="",$E465=""),"",ROUND($M465*IFERROR(IF(VLOOKUP($E465,Setup!$A$76:$C$87,3,FALSE)="",Setup!$B$15,VLOOKUP($E465,Setup!$A$76:$C$87,3,FALSE)),Setup!$B$15),2))</f>
        <v/>
      </c>
      <c r="P465" s="92" t="n"/>
      <c r="Q465" s="92" t="n"/>
      <c r="R465" s="92" t="n"/>
      <c r="S465" s="92" t="n"/>
      <c r="T465" s="92" t="n"/>
      <c r="U465" s="90">
        <f>IF($K465="","",SUM($R465:$T465))</f>
        <v/>
      </c>
      <c r="V465" s="90">
        <f>IF($K465="","",$M465-(N($N465)+N($O465)+IF($P465="",Setup!$B$17,$P465)+N($Q465))-N($U465))</f>
        <v/>
      </c>
      <c r="W465" s="87" t="n"/>
      <c r="X465" s="88" t="n"/>
      <c r="Z465" s="93">
        <f>IF($A465="","",DATE(YEAR($A465),MONTH($A465),1))</f>
        <v/>
      </c>
    </row>
    <row r="466">
      <c r="A466" s="94" t="n"/>
      <c r="B466" s="95" t="n"/>
      <c r="C466" s="95" t="n"/>
      <c r="D466" s="96" t="n"/>
      <c r="E466" s="96" t="n"/>
      <c r="F466" s="96" t="n"/>
      <c r="G466" s="96" t="n"/>
      <c r="H466" s="97" t="n"/>
      <c r="I466" s="90">
        <f>IF($G466="","",IF($F466="",IFERROR(INDEX(Setup!$C$21:$C$60,MATCH("|"&amp;UPPER(TRIM($G466)),Setup!$Q$21:$Q$60,0)),"NO RATE"),IFERROR(INDEX(Setup!$C$21:$C$60,MATCH(UPPER(TRIM($F466))&amp;"|"&amp;UPPER(TRIM($G466)),Setup!$P$21:$P$60,0)),IFERROR(INDEX(Setup!$C$21:$C$60,MATCH(UPPER(TRIM($G466))&amp;"|"&amp;UPPER(TRIM($F466)),Setup!$P$21:$P$60,0)),"NO RATE"))))</f>
        <v/>
      </c>
      <c r="J466" s="98" t="n"/>
      <c r="K466" s="90">
        <f>IF(OR($G466="",$H466="",NOT(ISNUMBER($I466))),"",ROUND($H466*$I466*(1+IF($J466="",Setup!$B$16,$J466)),2))</f>
        <v/>
      </c>
      <c r="L466" s="90">
        <f>IF($K466="","",ROUND($K466*Setup!$B$13,2))</f>
        <v/>
      </c>
      <c r="M466" s="90">
        <f>IF($K466="","",$K466-$L466)</f>
        <v/>
      </c>
      <c r="N466" s="90">
        <f>IF(OR($M466="",$D466=""),"",ROUND($M466*IFERROR(IF(VLOOKUP($D466,Setup!$A$76:$C$87,3,FALSE)="",Setup!$B$14,VLOOKUP($D466,Setup!$A$76:$C$87,3,FALSE)),Setup!$B$14),2))</f>
        <v/>
      </c>
      <c r="O466" s="90">
        <f>IF(OR($M466="",$E466=""),"",ROUND($M466*IFERROR(IF(VLOOKUP($E466,Setup!$A$76:$C$87,3,FALSE)="",Setup!$B$15,VLOOKUP($E466,Setup!$A$76:$C$87,3,FALSE)),Setup!$B$15),2))</f>
        <v/>
      </c>
      <c r="P466" s="99" t="n"/>
      <c r="Q466" s="99" t="n"/>
      <c r="R466" s="99" t="n"/>
      <c r="S466" s="99" t="n"/>
      <c r="T466" s="99" t="n"/>
      <c r="U466" s="90">
        <f>IF($K466="","",SUM($R466:$T466))</f>
        <v/>
      </c>
      <c r="V466" s="90">
        <f>IF($K466="","",$M466-(N($N466)+N($O466)+IF($P466="",Setup!$B$17,$P466)+N($Q466))-N($U466))</f>
        <v/>
      </c>
      <c r="W466" s="95" t="n"/>
      <c r="X466" s="96" t="n"/>
      <c r="Z466" s="93">
        <f>IF($A466="","",DATE(YEAR($A466),MONTH($A466),1))</f>
        <v/>
      </c>
    </row>
    <row r="467">
      <c r="A467" s="86" t="n"/>
      <c r="B467" s="87" t="n"/>
      <c r="C467" s="87" t="n"/>
      <c r="D467" s="88" t="n"/>
      <c r="E467" s="88" t="n"/>
      <c r="F467" s="88" t="n"/>
      <c r="G467" s="88" t="n"/>
      <c r="H467" s="89" t="n"/>
      <c r="I467" s="90">
        <f>IF($G467="","",IF($F467="",IFERROR(INDEX(Setup!$C$21:$C$60,MATCH("|"&amp;UPPER(TRIM($G467)),Setup!$Q$21:$Q$60,0)),"NO RATE"),IFERROR(INDEX(Setup!$C$21:$C$60,MATCH(UPPER(TRIM($F467))&amp;"|"&amp;UPPER(TRIM($G467)),Setup!$P$21:$P$60,0)),IFERROR(INDEX(Setup!$C$21:$C$60,MATCH(UPPER(TRIM($G467))&amp;"|"&amp;UPPER(TRIM($F467)),Setup!$P$21:$P$60,0)),"NO RATE"))))</f>
        <v/>
      </c>
      <c r="J467" s="91" t="n"/>
      <c r="K467" s="90">
        <f>IF(OR($G467="",$H467="",NOT(ISNUMBER($I467))),"",ROUND($H467*$I467*(1+IF($J467="",Setup!$B$16,$J467)),2))</f>
        <v/>
      </c>
      <c r="L467" s="90">
        <f>IF($K467="","",ROUND($K467*Setup!$B$13,2))</f>
        <v/>
      </c>
      <c r="M467" s="90">
        <f>IF($K467="","",$K467-$L467)</f>
        <v/>
      </c>
      <c r="N467" s="90">
        <f>IF(OR($M467="",$D467=""),"",ROUND($M467*IFERROR(IF(VLOOKUP($D467,Setup!$A$76:$C$87,3,FALSE)="",Setup!$B$14,VLOOKUP($D467,Setup!$A$76:$C$87,3,FALSE)),Setup!$B$14),2))</f>
        <v/>
      </c>
      <c r="O467" s="90">
        <f>IF(OR($M467="",$E467=""),"",ROUND($M467*IFERROR(IF(VLOOKUP($E467,Setup!$A$76:$C$87,3,FALSE)="",Setup!$B$15,VLOOKUP($E467,Setup!$A$76:$C$87,3,FALSE)),Setup!$B$15),2))</f>
        <v/>
      </c>
      <c r="P467" s="92" t="n"/>
      <c r="Q467" s="92" t="n"/>
      <c r="R467" s="92" t="n"/>
      <c r="S467" s="92" t="n"/>
      <c r="T467" s="92" t="n"/>
      <c r="U467" s="90">
        <f>IF($K467="","",SUM($R467:$T467))</f>
        <v/>
      </c>
      <c r="V467" s="90">
        <f>IF($K467="","",$M467-(N($N467)+N($O467)+IF($P467="",Setup!$B$17,$P467)+N($Q467))-N($U467))</f>
        <v/>
      </c>
      <c r="W467" s="87" t="n"/>
      <c r="X467" s="88" t="n"/>
      <c r="Z467" s="93">
        <f>IF($A467="","",DATE(YEAR($A467),MONTH($A467),1))</f>
        <v/>
      </c>
    </row>
    <row r="468">
      <c r="A468" s="94" t="n"/>
      <c r="B468" s="95" t="n"/>
      <c r="C468" s="95" t="n"/>
      <c r="D468" s="96" t="n"/>
      <c r="E468" s="96" t="n"/>
      <c r="F468" s="96" t="n"/>
      <c r="G468" s="96" t="n"/>
      <c r="H468" s="97" t="n"/>
      <c r="I468" s="90">
        <f>IF($G468="","",IF($F468="",IFERROR(INDEX(Setup!$C$21:$C$60,MATCH("|"&amp;UPPER(TRIM($G468)),Setup!$Q$21:$Q$60,0)),"NO RATE"),IFERROR(INDEX(Setup!$C$21:$C$60,MATCH(UPPER(TRIM($F468))&amp;"|"&amp;UPPER(TRIM($G468)),Setup!$P$21:$P$60,0)),IFERROR(INDEX(Setup!$C$21:$C$60,MATCH(UPPER(TRIM($G468))&amp;"|"&amp;UPPER(TRIM($F468)),Setup!$P$21:$P$60,0)),"NO RATE"))))</f>
        <v/>
      </c>
      <c r="J468" s="98" t="n"/>
      <c r="K468" s="90">
        <f>IF(OR($G468="",$H468="",NOT(ISNUMBER($I468))),"",ROUND($H468*$I468*(1+IF($J468="",Setup!$B$16,$J468)),2))</f>
        <v/>
      </c>
      <c r="L468" s="90">
        <f>IF($K468="","",ROUND($K468*Setup!$B$13,2))</f>
        <v/>
      </c>
      <c r="M468" s="90">
        <f>IF($K468="","",$K468-$L468)</f>
        <v/>
      </c>
      <c r="N468" s="90">
        <f>IF(OR($M468="",$D468=""),"",ROUND($M468*IFERROR(IF(VLOOKUP($D468,Setup!$A$76:$C$87,3,FALSE)="",Setup!$B$14,VLOOKUP($D468,Setup!$A$76:$C$87,3,FALSE)),Setup!$B$14),2))</f>
        <v/>
      </c>
      <c r="O468" s="90">
        <f>IF(OR($M468="",$E468=""),"",ROUND($M468*IFERROR(IF(VLOOKUP($E468,Setup!$A$76:$C$87,3,FALSE)="",Setup!$B$15,VLOOKUP($E468,Setup!$A$76:$C$87,3,FALSE)),Setup!$B$15),2))</f>
        <v/>
      </c>
      <c r="P468" s="99" t="n"/>
      <c r="Q468" s="99" t="n"/>
      <c r="R468" s="99" t="n"/>
      <c r="S468" s="99" t="n"/>
      <c r="T468" s="99" t="n"/>
      <c r="U468" s="90">
        <f>IF($K468="","",SUM($R468:$T468))</f>
        <v/>
      </c>
      <c r="V468" s="90">
        <f>IF($K468="","",$M468-(N($N468)+N($O468)+IF($P468="",Setup!$B$17,$P468)+N($Q468))-N($U468))</f>
        <v/>
      </c>
      <c r="W468" s="95" t="n"/>
      <c r="X468" s="96" t="n"/>
      <c r="Z468" s="93">
        <f>IF($A468="","",DATE(YEAR($A468),MONTH($A468),1))</f>
        <v/>
      </c>
    </row>
    <row r="469">
      <c r="A469" s="86" t="n"/>
      <c r="B469" s="87" t="n"/>
      <c r="C469" s="87" t="n"/>
      <c r="D469" s="88" t="n"/>
      <c r="E469" s="88" t="n"/>
      <c r="F469" s="88" t="n"/>
      <c r="G469" s="88" t="n"/>
      <c r="H469" s="89" t="n"/>
      <c r="I469" s="90">
        <f>IF($G469="","",IF($F469="",IFERROR(INDEX(Setup!$C$21:$C$60,MATCH("|"&amp;UPPER(TRIM($G469)),Setup!$Q$21:$Q$60,0)),"NO RATE"),IFERROR(INDEX(Setup!$C$21:$C$60,MATCH(UPPER(TRIM($F469))&amp;"|"&amp;UPPER(TRIM($G469)),Setup!$P$21:$P$60,0)),IFERROR(INDEX(Setup!$C$21:$C$60,MATCH(UPPER(TRIM($G469))&amp;"|"&amp;UPPER(TRIM($F469)),Setup!$P$21:$P$60,0)),"NO RATE"))))</f>
        <v/>
      </c>
      <c r="J469" s="91" t="n"/>
      <c r="K469" s="90">
        <f>IF(OR($G469="",$H469="",NOT(ISNUMBER($I469))),"",ROUND($H469*$I469*(1+IF($J469="",Setup!$B$16,$J469)),2))</f>
        <v/>
      </c>
      <c r="L469" s="90">
        <f>IF($K469="","",ROUND($K469*Setup!$B$13,2))</f>
        <v/>
      </c>
      <c r="M469" s="90">
        <f>IF($K469="","",$K469-$L469)</f>
        <v/>
      </c>
      <c r="N469" s="90">
        <f>IF(OR($M469="",$D469=""),"",ROUND($M469*IFERROR(IF(VLOOKUP($D469,Setup!$A$76:$C$87,3,FALSE)="",Setup!$B$14,VLOOKUP($D469,Setup!$A$76:$C$87,3,FALSE)),Setup!$B$14),2))</f>
        <v/>
      </c>
      <c r="O469" s="90">
        <f>IF(OR($M469="",$E469=""),"",ROUND($M469*IFERROR(IF(VLOOKUP($E469,Setup!$A$76:$C$87,3,FALSE)="",Setup!$B$15,VLOOKUP($E469,Setup!$A$76:$C$87,3,FALSE)),Setup!$B$15),2))</f>
        <v/>
      </c>
      <c r="P469" s="92" t="n"/>
      <c r="Q469" s="92" t="n"/>
      <c r="R469" s="92" t="n"/>
      <c r="S469" s="92" t="n"/>
      <c r="T469" s="92" t="n"/>
      <c r="U469" s="90">
        <f>IF($K469="","",SUM($R469:$T469))</f>
        <v/>
      </c>
      <c r="V469" s="90">
        <f>IF($K469="","",$M469-(N($N469)+N($O469)+IF($P469="",Setup!$B$17,$P469)+N($Q469))-N($U469))</f>
        <v/>
      </c>
      <c r="W469" s="87" t="n"/>
      <c r="X469" s="88" t="n"/>
      <c r="Z469" s="93">
        <f>IF($A469="","",DATE(YEAR($A469),MONTH($A469),1))</f>
        <v/>
      </c>
    </row>
    <row r="470">
      <c r="A470" s="94" t="n"/>
      <c r="B470" s="95" t="n"/>
      <c r="C470" s="95" t="n"/>
      <c r="D470" s="96" t="n"/>
      <c r="E470" s="96" t="n"/>
      <c r="F470" s="96" t="n"/>
      <c r="G470" s="96" t="n"/>
      <c r="H470" s="97" t="n"/>
      <c r="I470" s="90">
        <f>IF($G470="","",IF($F470="",IFERROR(INDEX(Setup!$C$21:$C$60,MATCH("|"&amp;UPPER(TRIM($G470)),Setup!$Q$21:$Q$60,0)),"NO RATE"),IFERROR(INDEX(Setup!$C$21:$C$60,MATCH(UPPER(TRIM($F470))&amp;"|"&amp;UPPER(TRIM($G470)),Setup!$P$21:$P$60,0)),IFERROR(INDEX(Setup!$C$21:$C$60,MATCH(UPPER(TRIM($G470))&amp;"|"&amp;UPPER(TRIM($F470)),Setup!$P$21:$P$60,0)),"NO RATE"))))</f>
        <v/>
      </c>
      <c r="J470" s="98" t="n"/>
      <c r="K470" s="90">
        <f>IF(OR($G470="",$H470="",NOT(ISNUMBER($I470))),"",ROUND($H470*$I470*(1+IF($J470="",Setup!$B$16,$J470)),2))</f>
        <v/>
      </c>
      <c r="L470" s="90">
        <f>IF($K470="","",ROUND($K470*Setup!$B$13,2))</f>
        <v/>
      </c>
      <c r="M470" s="90">
        <f>IF($K470="","",$K470-$L470)</f>
        <v/>
      </c>
      <c r="N470" s="90">
        <f>IF(OR($M470="",$D470=""),"",ROUND($M470*IFERROR(IF(VLOOKUP($D470,Setup!$A$76:$C$87,3,FALSE)="",Setup!$B$14,VLOOKUP($D470,Setup!$A$76:$C$87,3,FALSE)),Setup!$B$14),2))</f>
        <v/>
      </c>
      <c r="O470" s="90">
        <f>IF(OR($M470="",$E470=""),"",ROUND($M470*IFERROR(IF(VLOOKUP($E470,Setup!$A$76:$C$87,3,FALSE)="",Setup!$B$15,VLOOKUP($E470,Setup!$A$76:$C$87,3,FALSE)),Setup!$B$15),2))</f>
        <v/>
      </c>
      <c r="P470" s="99" t="n"/>
      <c r="Q470" s="99" t="n"/>
      <c r="R470" s="99" t="n"/>
      <c r="S470" s="99" t="n"/>
      <c r="T470" s="99" t="n"/>
      <c r="U470" s="90">
        <f>IF($K470="","",SUM($R470:$T470))</f>
        <v/>
      </c>
      <c r="V470" s="90">
        <f>IF($K470="","",$M470-(N($N470)+N($O470)+IF($P470="",Setup!$B$17,$P470)+N($Q470))-N($U470))</f>
        <v/>
      </c>
      <c r="W470" s="95" t="n"/>
      <c r="X470" s="96" t="n"/>
      <c r="Z470" s="93">
        <f>IF($A470="","",DATE(YEAR($A470),MONTH($A470),1))</f>
        <v/>
      </c>
    </row>
    <row r="471">
      <c r="A471" s="86" t="n"/>
      <c r="B471" s="87" t="n"/>
      <c r="C471" s="87" t="n"/>
      <c r="D471" s="88" t="n"/>
      <c r="E471" s="88" t="n"/>
      <c r="F471" s="88" t="n"/>
      <c r="G471" s="88" t="n"/>
      <c r="H471" s="89" t="n"/>
      <c r="I471" s="90">
        <f>IF($G471="","",IF($F471="",IFERROR(INDEX(Setup!$C$21:$C$60,MATCH("|"&amp;UPPER(TRIM($G471)),Setup!$Q$21:$Q$60,0)),"NO RATE"),IFERROR(INDEX(Setup!$C$21:$C$60,MATCH(UPPER(TRIM($F471))&amp;"|"&amp;UPPER(TRIM($G471)),Setup!$P$21:$P$60,0)),IFERROR(INDEX(Setup!$C$21:$C$60,MATCH(UPPER(TRIM($G471))&amp;"|"&amp;UPPER(TRIM($F471)),Setup!$P$21:$P$60,0)),"NO RATE"))))</f>
        <v/>
      </c>
      <c r="J471" s="91" t="n"/>
      <c r="K471" s="90">
        <f>IF(OR($G471="",$H471="",NOT(ISNUMBER($I471))),"",ROUND($H471*$I471*(1+IF($J471="",Setup!$B$16,$J471)),2))</f>
        <v/>
      </c>
      <c r="L471" s="90">
        <f>IF($K471="","",ROUND($K471*Setup!$B$13,2))</f>
        <v/>
      </c>
      <c r="M471" s="90">
        <f>IF($K471="","",$K471-$L471)</f>
        <v/>
      </c>
      <c r="N471" s="90">
        <f>IF(OR($M471="",$D471=""),"",ROUND($M471*IFERROR(IF(VLOOKUP($D471,Setup!$A$76:$C$87,3,FALSE)="",Setup!$B$14,VLOOKUP($D471,Setup!$A$76:$C$87,3,FALSE)),Setup!$B$14),2))</f>
        <v/>
      </c>
      <c r="O471" s="90">
        <f>IF(OR($M471="",$E471=""),"",ROUND($M471*IFERROR(IF(VLOOKUP($E471,Setup!$A$76:$C$87,3,FALSE)="",Setup!$B$15,VLOOKUP($E471,Setup!$A$76:$C$87,3,FALSE)),Setup!$B$15),2))</f>
        <v/>
      </c>
      <c r="P471" s="92" t="n"/>
      <c r="Q471" s="92" t="n"/>
      <c r="R471" s="92" t="n"/>
      <c r="S471" s="92" t="n"/>
      <c r="T471" s="92" t="n"/>
      <c r="U471" s="90">
        <f>IF($K471="","",SUM($R471:$T471))</f>
        <v/>
      </c>
      <c r="V471" s="90">
        <f>IF($K471="","",$M471-(N($N471)+N($O471)+IF($P471="",Setup!$B$17,$P471)+N($Q471))-N($U471))</f>
        <v/>
      </c>
      <c r="W471" s="87" t="n"/>
      <c r="X471" s="88" t="n"/>
      <c r="Z471" s="93">
        <f>IF($A471="","",DATE(YEAR($A471),MONTH($A471),1))</f>
        <v/>
      </c>
    </row>
    <row r="472">
      <c r="A472" s="94" t="n"/>
      <c r="B472" s="95" t="n"/>
      <c r="C472" s="95" t="n"/>
      <c r="D472" s="96" t="n"/>
      <c r="E472" s="96" t="n"/>
      <c r="F472" s="96" t="n"/>
      <c r="G472" s="96" t="n"/>
      <c r="H472" s="97" t="n"/>
      <c r="I472" s="90">
        <f>IF($G472="","",IF($F472="",IFERROR(INDEX(Setup!$C$21:$C$60,MATCH("|"&amp;UPPER(TRIM($G472)),Setup!$Q$21:$Q$60,0)),"NO RATE"),IFERROR(INDEX(Setup!$C$21:$C$60,MATCH(UPPER(TRIM($F472))&amp;"|"&amp;UPPER(TRIM($G472)),Setup!$P$21:$P$60,0)),IFERROR(INDEX(Setup!$C$21:$C$60,MATCH(UPPER(TRIM($G472))&amp;"|"&amp;UPPER(TRIM($F472)),Setup!$P$21:$P$60,0)),"NO RATE"))))</f>
        <v/>
      </c>
      <c r="J472" s="98" t="n"/>
      <c r="K472" s="90">
        <f>IF(OR($G472="",$H472="",NOT(ISNUMBER($I472))),"",ROUND($H472*$I472*(1+IF($J472="",Setup!$B$16,$J472)),2))</f>
        <v/>
      </c>
      <c r="L472" s="90">
        <f>IF($K472="","",ROUND($K472*Setup!$B$13,2))</f>
        <v/>
      </c>
      <c r="M472" s="90">
        <f>IF($K472="","",$K472-$L472)</f>
        <v/>
      </c>
      <c r="N472" s="90">
        <f>IF(OR($M472="",$D472=""),"",ROUND($M472*IFERROR(IF(VLOOKUP($D472,Setup!$A$76:$C$87,3,FALSE)="",Setup!$B$14,VLOOKUP($D472,Setup!$A$76:$C$87,3,FALSE)),Setup!$B$14),2))</f>
        <v/>
      </c>
      <c r="O472" s="90">
        <f>IF(OR($M472="",$E472=""),"",ROUND($M472*IFERROR(IF(VLOOKUP($E472,Setup!$A$76:$C$87,3,FALSE)="",Setup!$B$15,VLOOKUP($E472,Setup!$A$76:$C$87,3,FALSE)),Setup!$B$15),2))</f>
        <v/>
      </c>
      <c r="P472" s="99" t="n"/>
      <c r="Q472" s="99" t="n"/>
      <c r="R472" s="99" t="n"/>
      <c r="S472" s="99" t="n"/>
      <c r="T472" s="99" t="n"/>
      <c r="U472" s="90">
        <f>IF($K472="","",SUM($R472:$T472))</f>
        <v/>
      </c>
      <c r="V472" s="90">
        <f>IF($K472="","",$M472-(N($N472)+N($O472)+IF($P472="",Setup!$B$17,$P472)+N($Q472))-N($U472))</f>
        <v/>
      </c>
      <c r="W472" s="95" t="n"/>
      <c r="X472" s="96" t="n"/>
      <c r="Z472" s="93">
        <f>IF($A472="","",DATE(YEAR($A472),MONTH($A472),1))</f>
        <v/>
      </c>
    </row>
    <row r="473">
      <c r="A473" s="86" t="n"/>
      <c r="B473" s="87" t="n"/>
      <c r="C473" s="87" t="n"/>
      <c r="D473" s="88" t="n"/>
      <c r="E473" s="88" t="n"/>
      <c r="F473" s="88" t="n"/>
      <c r="G473" s="88" t="n"/>
      <c r="H473" s="89" t="n"/>
      <c r="I473" s="90">
        <f>IF($G473="","",IF($F473="",IFERROR(INDEX(Setup!$C$21:$C$60,MATCH("|"&amp;UPPER(TRIM($G473)),Setup!$Q$21:$Q$60,0)),"NO RATE"),IFERROR(INDEX(Setup!$C$21:$C$60,MATCH(UPPER(TRIM($F473))&amp;"|"&amp;UPPER(TRIM($G473)),Setup!$P$21:$P$60,0)),IFERROR(INDEX(Setup!$C$21:$C$60,MATCH(UPPER(TRIM($G473))&amp;"|"&amp;UPPER(TRIM($F473)),Setup!$P$21:$P$60,0)),"NO RATE"))))</f>
        <v/>
      </c>
      <c r="J473" s="91" t="n"/>
      <c r="K473" s="90">
        <f>IF(OR($G473="",$H473="",NOT(ISNUMBER($I473))),"",ROUND($H473*$I473*(1+IF($J473="",Setup!$B$16,$J473)),2))</f>
        <v/>
      </c>
      <c r="L473" s="90">
        <f>IF($K473="","",ROUND($K473*Setup!$B$13,2))</f>
        <v/>
      </c>
      <c r="M473" s="90">
        <f>IF($K473="","",$K473-$L473)</f>
        <v/>
      </c>
      <c r="N473" s="90">
        <f>IF(OR($M473="",$D473=""),"",ROUND($M473*IFERROR(IF(VLOOKUP($D473,Setup!$A$76:$C$87,3,FALSE)="",Setup!$B$14,VLOOKUP($D473,Setup!$A$76:$C$87,3,FALSE)),Setup!$B$14),2))</f>
        <v/>
      </c>
      <c r="O473" s="90">
        <f>IF(OR($M473="",$E473=""),"",ROUND($M473*IFERROR(IF(VLOOKUP($E473,Setup!$A$76:$C$87,3,FALSE)="",Setup!$B$15,VLOOKUP($E473,Setup!$A$76:$C$87,3,FALSE)),Setup!$B$15),2))</f>
        <v/>
      </c>
      <c r="P473" s="92" t="n"/>
      <c r="Q473" s="92" t="n"/>
      <c r="R473" s="92" t="n"/>
      <c r="S473" s="92" t="n"/>
      <c r="T473" s="92" t="n"/>
      <c r="U473" s="90">
        <f>IF($K473="","",SUM($R473:$T473))</f>
        <v/>
      </c>
      <c r="V473" s="90">
        <f>IF($K473="","",$M473-(N($N473)+N($O473)+IF($P473="",Setup!$B$17,$P473)+N($Q473))-N($U473))</f>
        <v/>
      </c>
      <c r="W473" s="87" t="n"/>
      <c r="X473" s="88" t="n"/>
      <c r="Z473" s="93">
        <f>IF($A473="","",DATE(YEAR($A473),MONTH($A473),1))</f>
        <v/>
      </c>
    </row>
    <row r="474">
      <c r="A474" s="94" t="n"/>
      <c r="B474" s="95" t="n"/>
      <c r="C474" s="95" t="n"/>
      <c r="D474" s="96" t="n"/>
      <c r="E474" s="96" t="n"/>
      <c r="F474" s="96" t="n"/>
      <c r="G474" s="96" t="n"/>
      <c r="H474" s="97" t="n"/>
      <c r="I474" s="90">
        <f>IF($G474="","",IF($F474="",IFERROR(INDEX(Setup!$C$21:$C$60,MATCH("|"&amp;UPPER(TRIM($G474)),Setup!$Q$21:$Q$60,0)),"NO RATE"),IFERROR(INDEX(Setup!$C$21:$C$60,MATCH(UPPER(TRIM($F474))&amp;"|"&amp;UPPER(TRIM($G474)),Setup!$P$21:$P$60,0)),IFERROR(INDEX(Setup!$C$21:$C$60,MATCH(UPPER(TRIM($G474))&amp;"|"&amp;UPPER(TRIM($F474)),Setup!$P$21:$P$60,0)),"NO RATE"))))</f>
        <v/>
      </c>
      <c r="J474" s="98" t="n"/>
      <c r="K474" s="90">
        <f>IF(OR($G474="",$H474="",NOT(ISNUMBER($I474))),"",ROUND($H474*$I474*(1+IF($J474="",Setup!$B$16,$J474)),2))</f>
        <v/>
      </c>
      <c r="L474" s="90">
        <f>IF($K474="","",ROUND($K474*Setup!$B$13,2))</f>
        <v/>
      </c>
      <c r="M474" s="90">
        <f>IF($K474="","",$K474-$L474)</f>
        <v/>
      </c>
      <c r="N474" s="90">
        <f>IF(OR($M474="",$D474=""),"",ROUND($M474*IFERROR(IF(VLOOKUP($D474,Setup!$A$76:$C$87,3,FALSE)="",Setup!$B$14,VLOOKUP($D474,Setup!$A$76:$C$87,3,FALSE)),Setup!$B$14),2))</f>
        <v/>
      </c>
      <c r="O474" s="90">
        <f>IF(OR($M474="",$E474=""),"",ROUND($M474*IFERROR(IF(VLOOKUP($E474,Setup!$A$76:$C$87,3,FALSE)="",Setup!$B$15,VLOOKUP($E474,Setup!$A$76:$C$87,3,FALSE)),Setup!$B$15),2))</f>
        <v/>
      </c>
      <c r="P474" s="99" t="n"/>
      <c r="Q474" s="99" t="n"/>
      <c r="R474" s="99" t="n"/>
      <c r="S474" s="99" t="n"/>
      <c r="T474" s="99" t="n"/>
      <c r="U474" s="90">
        <f>IF($K474="","",SUM($R474:$T474))</f>
        <v/>
      </c>
      <c r="V474" s="90">
        <f>IF($K474="","",$M474-(N($N474)+N($O474)+IF($P474="",Setup!$B$17,$P474)+N($Q474))-N($U474))</f>
        <v/>
      </c>
      <c r="W474" s="95" t="n"/>
      <c r="X474" s="96" t="n"/>
      <c r="Z474" s="93">
        <f>IF($A474="","",DATE(YEAR($A474),MONTH($A474),1))</f>
        <v/>
      </c>
    </row>
    <row r="475">
      <c r="A475" s="86" t="n"/>
      <c r="B475" s="87" t="n"/>
      <c r="C475" s="87" t="n"/>
      <c r="D475" s="88" t="n"/>
      <c r="E475" s="88" t="n"/>
      <c r="F475" s="88" t="n"/>
      <c r="G475" s="88" t="n"/>
      <c r="H475" s="89" t="n"/>
      <c r="I475" s="90">
        <f>IF($G475="","",IF($F475="",IFERROR(INDEX(Setup!$C$21:$C$60,MATCH("|"&amp;UPPER(TRIM($G475)),Setup!$Q$21:$Q$60,0)),"NO RATE"),IFERROR(INDEX(Setup!$C$21:$C$60,MATCH(UPPER(TRIM($F475))&amp;"|"&amp;UPPER(TRIM($G475)),Setup!$P$21:$P$60,0)),IFERROR(INDEX(Setup!$C$21:$C$60,MATCH(UPPER(TRIM($G475))&amp;"|"&amp;UPPER(TRIM($F475)),Setup!$P$21:$P$60,0)),"NO RATE"))))</f>
        <v/>
      </c>
      <c r="J475" s="91" t="n"/>
      <c r="K475" s="90">
        <f>IF(OR($G475="",$H475="",NOT(ISNUMBER($I475))),"",ROUND($H475*$I475*(1+IF($J475="",Setup!$B$16,$J475)),2))</f>
        <v/>
      </c>
      <c r="L475" s="90">
        <f>IF($K475="","",ROUND($K475*Setup!$B$13,2))</f>
        <v/>
      </c>
      <c r="M475" s="90">
        <f>IF($K475="","",$K475-$L475)</f>
        <v/>
      </c>
      <c r="N475" s="90">
        <f>IF(OR($M475="",$D475=""),"",ROUND($M475*IFERROR(IF(VLOOKUP($D475,Setup!$A$76:$C$87,3,FALSE)="",Setup!$B$14,VLOOKUP($D475,Setup!$A$76:$C$87,3,FALSE)),Setup!$B$14),2))</f>
        <v/>
      </c>
      <c r="O475" s="90">
        <f>IF(OR($M475="",$E475=""),"",ROUND($M475*IFERROR(IF(VLOOKUP($E475,Setup!$A$76:$C$87,3,FALSE)="",Setup!$B$15,VLOOKUP($E475,Setup!$A$76:$C$87,3,FALSE)),Setup!$B$15),2))</f>
        <v/>
      </c>
      <c r="P475" s="92" t="n"/>
      <c r="Q475" s="92" t="n"/>
      <c r="R475" s="92" t="n"/>
      <c r="S475" s="92" t="n"/>
      <c r="T475" s="92" t="n"/>
      <c r="U475" s="90">
        <f>IF($K475="","",SUM($R475:$T475))</f>
        <v/>
      </c>
      <c r="V475" s="90">
        <f>IF($K475="","",$M475-(N($N475)+N($O475)+IF($P475="",Setup!$B$17,$P475)+N($Q475))-N($U475))</f>
        <v/>
      </c>
      <c r="W475" s="87" t="n"/>
      <c r="X475" s="88" t="n"/>
      <c r="Z475" s="93">
        <f>IF($A475="","",DATE(YEAR($A475),MONTH($A475),1))</f>
        <v/>
      </c>
    </row>
    <row r="476">
      <c r="A476" s="94" t="n"/>
      <c r="B476" s="95" t="n"/>
      <c r="C476" s="95" t="n"/>
      <c r="D476" s="96" t="n"/>
      <c r="E476" s="96" t="n"/>
      <c r="F476" s="96" t="n"/>
      <c r="G476" s="96" t="n"/>
      <c r="H476" s="97" t="n"/>
      <c r="I476" s="90">
        <f>IF($G476="","",IF($F476="",IFERROR(INDEX(Setup!$C$21:$C$60,MATCH("|"&amp;UPPER(TRIM($G476)),Setup!$Q$21:$Q$60,0)),"NO RATE"),IFERROR(INDEX(Setup!$C$21:$C$60,MATCH(UPPER(TRIM($F476))&amp;"|"&amp;UPPER(TRIM($G476)),Setup!$P$21:$P$60,0)),IFERROR(INDEX(Setup!$C$21:$C$60,MATCH(UPPER(TRIM($G476))&amp;"|"&amp;UPPER(TRIM($F476)),Setup!$P$21:$P$60,0)),"NO RATE"))))</f>
        <v/>
      </c>
      <c r="J476" s="98" t="n"/>
      <c r="K476" s="90">
        <f>IF(OR($G476="",$H476="",NOT(ISNUMBER($I476))),"",ROUND($H476*$I476*(1+IF($J476="",Setup!$B$16,$J476)),2))</f>
        <v/>
      </c>
      <c r="L476" s="90">
        <f>IF($K476="","",ROUND($K476*Setup!$B$13,2))</f>
        <v/>
      </c>
      <c r="M476" s="90">
        <f>IF($K476="","",$K476-$L476)</f>
        <v/>
      </c>
      <c r="N476" s="90">
        <f>IF(OR($M476="",$D476=""),"",ROUND($M476*IFERROR(IF(VLOOKUP($D476,Setup!$A$76:$C$87,3,FALSE)="",Setup!$B$14,VLOOKUP($D476,Setup!$A$76:$C$87,3,FALSE)),Setup!$B$14),2))</f>
        <v/>
      </c>
      <c r="O476" s="90">
        <f>IF(OR($M476="",$E476=""),"",ROUND($M476*IFERROR(IF(VLOOKUP($E476,Setup!$A$76:$C$87,3,FALSE)="",Setup!$B$15,VLOOKUP($E476,Setup!$A$76:$C$87,3,FALSE)),Setup!$B$15),2))</f>
        <v/>
      </c>
      <c r="P476" s="99" t="n"/>
      <c r="Q476" s="99" t="n"/>
      <c r="R476" s="99" t="n"/>
      <c r="S476" s="99" t="n"/>
      <c r="T476" s="99" t="n"/>
      <c r="U476" s="90">
        <f>IF($K476="","",SUM($R476:$T476))</f>
        <v/>
      </c>
      <c r="V476" s="90">
        <f>IF($K476="","",$M476-(N($N476)+N($O476)+IF($P476="",Setup!$B$17,$P476)+N($Q476))-N($U476))</f>
        <v/>
      </c>
      <c r="W476" s="95" t="n"/>
      <c r="X476" s="96" t="n"/>
      <c r="Z476" s="93">
        <f>IF($A476="","",DATE(YEAR($A476),MONTH($A476),1))</f>
        <v/>
      </c>
    </row>
    <row r="477">
      <c r="A477" s="86" t="n"/>
      <c r="B477" s="87" t="n"/>
      <c r="C477" s="87" t="n"/>
      <c r="D477" s="88" t="n"/>
      <c r="E477" s="88" t="n"/>
      <c r="F477" s="88" t="n"/>
      <c r="G477" s="88" t="n"/>
      <c r="H477" s="89" t="n"/>
      <c r="I477" s="90">
        <f>IF($G477="","",IF($F477="",IFERROR(INDEX(Setup!$C$21:$C$60,MATCH("|"&amp;UPPER(TRIM($G477)),Setup!$Q$21:$Q$60,0)),"NO RATE"),IFERROR(INDEX(Setup!$C$21:$C$60,MATCH(UPPER(TRIM($F477))&amp;"|"&amp;UPPER(TRIM($G477)),Setup!$P$21:$P$60,0)),IFERROR(INDEX(Setup!$C$21:$C$60,MATCH(UPPER(TRIM($G477))&amp;"|"&amp;UPPER(TRIM($F477)),Setup!$P$21:$P$60,0)),"NO RATE"))))</f>
        <v/>
      </c>
      <c r="J477" s="91" t="n"/>
      <c r="K477" s="90">
        <f>IF(OR($G477="",$H477="",NOT(ISNUMBER($I477))),"",ROUND($H477*$I477*(1+IF($J477="",Setup!$B$16,$J477)),2))</f>
        <v/>
      </c>
      <c r="L477" s="90">
        <f>IF($K477="","",ROUND($K477*Setup!$B$13,2))</f>
        <v/>
      </c>
      <c r="M477" s="90">
        <f>IF($K477="","",$K477-$L477)</f>
        <v/>
      </c>
      <c r="N477" s="90">
        <f>IF(OR($M477="",$D477=""),"",ROUND($M477*IFERROR(IF(VLOOKUP($D477,Setup!$A$76:$C$87,3,FALSE)="",Setup!$B$14,VLOOKUP($D477,Setup!$A$76:$C$87,3,FALSE)),Setup!$B$14),2))</f>
        <v/>
      </c>
      <c r="O477" s="90">
        <f>IF(OR($M477="",$E477=""),"",ROUND($M477*IFERROR(IF(VLOOKUP($E477,Setup!$A$76:$C$87,3,FALSE)="",Setup!$B$15,VLOOKUP($E477,Setup!$A$76:$C$87,3,FALSE)),Setup!$B$15),2))</f>
        <v/>
      </c>
      <c r="P477" s="92" t="n"/>
      <c r="Q477" s="92" t="n"/>
      <c r="R477" s="92" t="n"/>
      <c r="S477" s="92" t="n"/>
      <c r="T477" s="92" t="n"/>
      <c r="U477" s="90">
        <f>IF($K477="","",SUM($R477:$T477))</f>
        <v/>
      </c>
      <c r="V477" s="90">
        <f>IF($K477="","",$M477-(N($N477)+N($O477)+IF($P477="",Setup!$B$17,$P477)+N($Q477))-N($U477))</f>
        <v/>
      </c>
      <c r="W477" s="87" t="n"/>
      <c r="X477" s="88" t="n"/>
      <c r="Z477" s="93">
        <f>IF($A477="","",DATE(YEAR($A477),MONTH($A477),1))</f>
        <v/>
      </c>
    </row>
    <row r="478">
      <c r="A478" s="94" t="n"/>
      <c r="B478" s="95" t="n"/>
      <c r="C478" s="95" t="n"/>
      <c r="D478" s="96" t="n"/>
      <c r="E478" s="96" t="n"/>
      <c r="F478" s="96" t="n"/>
      <c r="G478" s="96" t="n"/>
      <c r="H478" s="97" t="n"/>
      <c r="I478" s="90">
        <f>IF($G478="","",IF($F478="",IFERROR(INDEX(Setup!$C$21:$C$60,MATCH("|"&amp;UPPER(TRIM($G478)),Setup!$Q$21:$Q$60,0)),"NO RATE"),IFERROR(INDEX(Setup!$C$21:$C$60,MATCH(UPPER(TRIM($F478))&amp;"|"&amp;UPPER(TRIM($G478)),Setup!$P$21:$P$60,0)),IFERROR(INDEX(Setup!$C$21:$C$60,MATCH(UPPER(TRIM($G478))&amp;"|"&amp;UPPER(TRIM($F478)),Setup!$P$21:$P$60,0)),"NO RATE"))))</f>
        <v/>
      </c>
      <c r="J478" s="98" t="n"/>
      <c r="K478" s="90">
        <f>IF(OR($G478="",$H478="",NOT(ISNUMBER($I478))),"",ROUND($H478*$I478*(1+IF($J478="",Setup!$B$16,$J478)),2))</f>
        <v/>
      </c>
      <c r="L478" s="90">
        <f>IF($K478="","",ROUND($K478*Setup!$B$13,2))</f>
        <v/>
      </c>
      <c r="M478" s="90">
        <f>IF($K478="","",$K478-$L478)</f>
        <v/>
      </c>
      <c r="N478" s="90">
        <f>IF(OR($M478="",$D478=""),"",ROUND($M478*IFERROR(IF(VLOOKUP($D478,Setup!$A$76:$C$87,3,FALSE)="",Setup!$B$14,VLOOKUP($D478,Setup!$A$76:$C$87,3,FALSE)),Setup!$B$14),2))</f>
        <v/>
      </c>
      <c r="O478" s="90">
        <f>IF(OR($M478="",$E478=""),"",ROUND($M478*IFERROR(IF(VLOOKUP($E478,Setup!$A$76:$C$87,3,FALSE)="",Setup!$B$15,VLOOKUP($E478,Setup!$A$76:$C$87,3,FALSE)),Setup!$B$15),2))</f>
        <v/>
      </c>
      <c r="P478" s="99" t="n"/>
      <c r="Q478" s="99" t="n"/>
      <c r="R478" s="99" t="n"/>
      <c r="S478" s="99" t="n"/>
      <c r="T478" s="99" t="n"/>
      <c r="U478" s="90">
        <f>IF($K478="","",SUM($R478:$T478))</f>
        <v/>
      </c>
      <c r="V478" s="90">
        <f>IF($K478="","",$M478-(N($N478)+N($O478)+IF($P478="",Setup!$B$17,$P478)+N($Q478))-N($U478))</f>
        <v/>
      </c>
      <c r="W478" s="95" t="n"/>
      <c r="X478" s="96" t="n"/>
      <c r="Z478" s="93">
        <f>IF($A478="","",DATE(YEAR($A478),MONTH($A478),1))</f>
        <v/>
      </c>
    </row>
    <row r="479">
      <c r="A479" s="86" t="n"/>
      <c r="B479" s="87" t="n"/>
      <c r="C479" s="87" t="n"/>
      <c r="D479" s="88" t="n"/>
      <c r="E479" s="88" t="n"/>
      <c r="F479" s="88" t="n"/>
      <c r="G479" s="88" t="n"/>
      <c r="H479" s="89" t="n"/>
      <c r="I479" s="90">
        <f>IF($G479="","",IF($F479="",IFERROR(INDEX(Setup!$C$21:$C$60,MATCH("|"&amp;UPPER(TRIM($G479)),Setup!$Q$21:$Q$60,0)),"NO RATE"),IFERROR(INDEX(Setup!$C$21:$C$60,MATCH(UPPER(TRIM($F479))&amp;"|"&amp;UPPER(TRIM($G479)),Setup!$P$21:$P$60,0)),IFERROR(INDEX(Setup!$C$21:$C$60,MATCH(UPPER(TRIM($G479))&amp;"|"&amp;UPPER(TRIM($F479)),Setup!$P$21:$P$60,0)),"NO RATE"))))</f>
        <v/>
      </c>
      <c r="J479" s="91" t="n"/>
      <c r="K479" s="90">
        <f>IF(OR($G479="",$H479="",NOT(ISNUMBER($I479))),"",ROUND($H479*$I479*(1+IF($J479="",Setup!$B$16,$J479)),2))</f>
        <v/>
      </c>
      <c r="L479" s="90">
        <f>IF($K479="","",ROUND($K479*Setup!$B$13,2))</f>
        <v/>
      </c>
      <c r="M479" s="90">
        <f>IF($K479="","",$K479-$L479)</f>
        <v/>
      </c>
      <c r="N479" s="90">
        <f>IF(OR($M479="",$D479=""),"",ROUND($M479*IFERROR(IF(VLOOKUP($D479,Setup!$A$76:$C$87,3,FALSE)="",Setup!$B$14,VLOOKUP($D479,Setup!$A$76:$C$87,3,FALSE)),Setup!$B$14),2))</f>
        <v/>
      </c>
      <c r="O479" s="90">
        <f>IF(OR($M479="",$E479=""),"",ROUND($M479*IFERROR(IF(VLOOKUP($E479,Setup!$A$76:$C$87,3,FALSE)="",Setup!$B$15,VLOOKUP($E479,Setup!$A$76:$C$87,3,FALSE)),Setup!$B$15),2))</f>
        <v/>
      </c>
      <c r="P479" s="92" t="n"/>
      <c r="Q479" s="92" t="n"/>
      <c r="R479" s="92" t="n"/>
      <c r="S479" s="92" t="n"/>
      <c r="T479" s="92" t="n"/>
      <c r="U479" s="90">
        <f>IF($K479="","",SUM($R479:$T479))</f>
        <v/>
      </c>
      <c r="V479" s="90">
        <f>IF($K479="","",$M479-(N($N479)+N($O479)+IF($P479="",Setup!$B$17,$P479)+N($Q479))-N($U479))</f>
        <v/>
      </c>
      <c r="W479" s="87" t="n"/>
      <c r="X479" s="88" t="n"/>
      <c r="Z479" s="93">
        <f>IF($A479="","",DATE(YEAR($A479),MONTH($A479),1))</f>
        <v/>
      </c>
    </row>
    <row r="480">
      <c r="A480" s="94" t="n"/>
      <c r="B480" s="95" t="n"/>
      <c r="C480" s="95" t="n"/>
      <c r="D480" s="96" t="n"/>
      <c r="E480" s="96" t="n"/>
      <c r="F480" s="96" t="n"/>
      <c r="G480" s="96" t="n"/>
      <c r="H480" s="97" t="n"/>
      <c r="I480" s="90">
        <f>IF($G480="","",IF($F480="",IFERROR(INDEX(Setup!$C$21:$C$60,MATCH("|"&amp;UPPER(TRIM($G480)),Setup!$Q$21:$Q$60,0)),"NO RATE"),IFERROR(INDEX(Setup!$C$21:$C$60,MATCH(UPPER(TRIM($F480))&amp;"|"&amp;UPPER(TRIM($G480)),Setup!$P$21:$P$60,0)),IFERROR(INDEX(Setup!$C$21:$C$60,MATCH(UPPER(TRIM($G480))&amp;"|"&amp;UPPER(TRIM($F480)),Setup!$P$21:$P$60,0)),"NO RATE"))))</f>
        <v/>
      </c>
      <c r="J480" s="98" t="n"/>
      <c r="K480" s="90">
        <f>IF(OR($G480="",$H480="",NOT(ISNUMBER($I480))),"",ROUND($H480*$I480*(1+IF($J480="",Setup!$B$16,$J480)),2))</f>
        <v/>
      </c>
      <c r="L480" s="90">
        <f>IF($K480="","",ROUND($K480*Setup!$B$13,2))</f>
        <v/>
      </c>
      <c r="M480" s="90">
        <f>IF($K480="","",$K480-$L480)</f>
        <v/>
      </c>
      <c r="N480" s="90">
        <f>IF(OR($M480="",$D480=""),"",ROUND($M480*IFERROR(IF(VLOOKUP($D480,Setup!$A$76:$C$87,3,FALSE)="",Setup!$B$14,VLOOKUP($D480,Setup!$A$76:$C$87,3,FALSE)),Setup!$B$14),2))</f>
        <v/>
      </c>
      <c r="O480" s="90">
        <f>IF(OR($M480="",$E480=""),"",ROUND($M480*IFERROR(IF(VLOOKUP($E480,Setup!$A$76:$C$87,3,FALSE)="",Setup!$B$15,VLOOKUP($E480,Setup!$A$76:$C$87,3,FALSE)),Setup!$B$15),2))</f>
        <v/>
      </c>
      <c r="P480" s="99" t="n"/>
      <c r="Q480" s="99" t="n"/>
      <c r="R480" s="99" t="n"/>
      <c r="S480" s="99" t="n"/>
      <c r="T480" s="99" t="n"/>
      <c r="U480" s="90">
        <f>IF($K480="","",SUM($R480:$T480))</f>
        <v/>
      </c>
      <c r="V480" s="90">
        <f>IF($K480="","",$M480-(N($N480)+N($O480)+IF($P480="",Setup!$B$17,$P480)+N($Q480))-N($U480))</f>
        <v/>
      </c>
      <c r="W480" s="95" t="n"/>
      <c r="X480" s="96" t="n"/>
      <c r="Z480" s="93">
        <f>IF($A480="","",DATE(YEAR($A480),MONTH($A480),1))</f>
        <v/>
      </c>
    </row>
    <row r="481">
      <c r="A481" s="86" t="n"/>
      <c r="B481" s="87" t="n"/>
      <c r="C481" s="87" t="n"/>
      <c r="D481" s="88" t="n"/>
      <c r="E481" s="88" t="n"/>
      <c r="F481" s="88" t="n"/>
      <c r="G481" s="88" t="n"/>
      <c r="H481" s="89" t="n"/>
      <c r="I481" s="90">
        <f>IF($G481="","",IF($F481="",IFERROR(INDEX(Setup!$C$21:$C$60,MATCH("|"&amp;UPPER(TRIM($G481)),Setup!$Q$21:$Q$60,0)),"NO RATE"),IFERROR(INDEX(Setup!$C$21:$C$60,MATCH(UPPER(TRIM($F481))&amp;"|"&amp;UPPER(TRIM($G481)),Setup!$P$21:$P$60,0)),IFERROR(INDEX(Setup!$C$21:$C$60,MATCH(UPPER(TRIM($G481))&amp;"|"&amp;UPPER(TRIM($F481)),Setup!$P$21:$P$60,0)),"NO RATE"))))</f>
        <v/>
      </c>
      <c r="J481" s="91" t="n"/>
      <c r="K481" s="90">
        <f>IF(OR($G481="",$H481="",NOT(ISNUMBER($I481))),"",ROUND($H481*$I481*(1+IF($J481="",Setup!$B$16,$J481)),2))</f>
        <v/>
      </c>
      <c r="L481" s="90">
        <f>IF($K481="","",ROUND($K481*Setup!$B$13,2))</f>
        <v/>
      </c>
      <c r="M481" s="90">
        <f>IF($K481="","",$K481-$L481)</f>
        <v/>
      </c>
      <c r="N481" s="90">
        <f>IF(OR($M481="",$D481=""),"",ROUND($M481*IFERROR(IF(VLOOKUP($D481,Setup!$A$76:$C$87,3,FALSE)="",Setup!$B$14,VLOOKUP($D481,Setup!$A$76:$C$87,3,FALSE)),Setup!$B$14),2))</f>
        <v/>
      </c>
      <c r="O481" s="90">
        <f>IF(OR($M481="",$E481=""),"",ROUND($M481*IFERROR(IF(VLOOKUP($E481,Setup!$A$76:$C$87,3,FALSE)="",Setup!$B$15,VLOOKUP($E481,Setup!$A$76:$C$87,3,FALSE)),Setup!$B$15),2))</f>
        <v/>
      </c>
      <c r="P481" s="92" t="n"/>
      <c r="Q481" s="92" t="n"/>
      <c r="R481" s="92" t="n"/>
      <c r="S481" s="92" t="n"/>
      <c r="T481" s="92" t="n"/>
      <c r="U481" s="90">
        <f>IF($K481="","",SUM($R481:$T481))</f>
        <v/>
      </c>
      <c r="V481" s="90">
        <f>IF($K481="","",$M481-(N($N481)+N($O481)+IF($P481="",Setup!$B$17,$P481)+N($Q481))-N($U481))</f>
        <v/>
      </c>
      <c r="W481" s="87" t="n"/>
      <c r="X481" s="88" t="n"/>
      <c r="Z481" s="93">
        <f>IF($A481="","",DATE(YEAR($A481),MONTH($A481),1))</f>
        <v/>
      </c>
    </row>
    <row r="482">
      <c r="A482" s="94" t="n"/>
      <c r="B482" s="95" t="n"/>
      <c r="C482" s="95" t="n"/>
      <c r="D482" s="96" t="n"/>
      <c r="E482" s="96" t="n"/>
      <c r="F482" s="96" t="n"/>
      <c r="G482" s="96" t="n"/>
      <c r="H482" s="97" t="n"/>
      <c r="I482" s="90">
        <f>IF($G482="","",IF($F482="",IFERROR(INDEX(Setup!$C$21:$C$60,MATCH("|"&amp;UPPER(TRIM($G482)),Setup!$Q$21:$Q$60,0)),"NO RATE"),IFERROR(INDEX(Setup!$C$21:$C$60,MATCH(UPPER(TRIM($F482))&amp;"|"&amp;UPPER(TRIM($G482)),Setup!$P$21:$P$60,0)),IFERROR(INDEX(Setup!$C$21:$C$60,MATCH(UPPER(TRIM($G482))&amp;"|"&amp;UPPER(TRIM($F482)),Setup!$P$21:$P$60,0)),"NO RATE"))))</f>
        <v/>
      </c>
      <c r="J482" s="98" t="n"/>
      <c r="K482" s="90">
        <f>IF(OR($G482="",$H482="",NOT(ISNUMBER($I482))),"",ROUND($H482*$I482*(1+IF($J482="",Setup!$B$16,$J482)),2))</f>
        <v/>
      </c>
      <c r="L482" s="90">
        <f>IF($K482="","",ROUND($K482*Setup!$B$13,2))</f>
        <v/>
      </c>
      <c r="M482" s="90">
        <f>IF($K482="","",$K482-$L482)</f>
        <v/>
      </c>
      <c r="N482" s="90">
        <f>IF(OR($M482="",$D482=""),"",ROUND($M482*IFERROR(IF(VLOOKUP($D482,Setup!$A$76:$C$87,3,FALSE)="",Setup!$B$14,VLOOKUP($D482,Setup!$A$76:$C$87,3,FALSE)),Setup!$B$14),2))</f>
        <v/>
      </c>
      <c r="O482" s="90">
        <f>IF(OR($M482="",$E482=""),"",ROUND($M482*IFERROR(IF(VLOOKUP($E482,Setup!$A$76:$C$87,3,FALSE)="",Setup!$B$15,VLOOKUP($E482,Setup!$A$76:$C$87,3,FALSE)),Setup!$B$15),2))</f>
        <v/>
      </c>
      <c r="P482" s="99" t="n"/>
      <c r="Q482" s="99" t="n"/>
      <c r="R482" s="99" t="n"/>
      <c r="S482" s="99" t="n"/>
      <c r="T482" s="99" t="n"/>
      <c r="U482" s="90">
        <f>IF($K482="","",SUM($R482:$T482))</f>
        <v/>
      </c>
      <c r="V482" s="90">
        <f>IF($K482="","",$M482-(N($N482)+N($O482)+IF($P482="",Setup!$B$17,$P482)+N($Q482))-N($U482))</f>
        <v/>
      </c>
      <c r="W482" s="95" t="n"/>
      <c r="X482" s="96" t="n"/>
      <c r="Z482" s="93">
        <f>IF($A482="","",DATE(YEAR($A482),MONTH($A482),1))</f>
        <v/>
      </c>
    </row>
    <row r="483">
      <c r="A483" s="86" t="n"/>
      <c r="B483" s="87" t="n"/>
      <c r="C483" s="87" t="n"/>
      <c r="D483" s="88" t="n"/>
      <c r="E483" s="88" t="n"/>
      <c r="F483" s="88" t="n"/>
      <c r="G483" s="88" t="n"/>
      <c r="H483" s="89" t="n"/>
      <c r="I483" s="90">
        <f>IF($G483="","",IF($F483="",IFERROR(INDEX(Setup!$C$21:$C$60,MATCH("|"&amp;UPPER(TRIM($G483)),Setup!$Q$21:$Q$60,0)),"NO RATE"),IFERROR(INDEX(Setup!$C$21:$C$60,MATCH(UPPER(TRIM($F483))&amp;"|"&amp;UPPER(TRIM($G483)),Setup!$P$21:$P$60,0)),IFERROR(INDEX(Setup!$C$21:$C$60,MATCH(UPPER(TRIM($G483))&amp;"|"&amp;UPPER(TRIM($F483)),Setup!$P$21:$P$60,0)),"NO RATE"))))</f>
        <v/>
      </c>
      <c r="J483" s="91" t="n"/>
      <c r="K483" s="90">
        <f>IF(OR($G483="",$H483="",NOT(ISNUMBER($I483))),"",ROUND($H483*$I483*(1+IF($J483="",Setup!$B$16,$J483)),2))</f>
        <v/>
      </c>
      <c r="L483" s="90">
        <f>IF($K483="","",ROUND($K483*Setup!$B$13,2))</f>
        <v/>
      </c>
      <c r="M483" s="90">
        <f>IF($K483="","",$K483-$L483)</f>
        <v/>
      </c>
      <c r="N483" s="90">
        <f>IF(OR($M483="",$D483=""),"",ROUND($M483*IFERROR(IF(VLOOKUP($D483,Setup!$A$76:$C$87,3,FALSE)="",Setup!$B$14,VLOOKUP($D483,Setup!$A$76:$C$87,3,FALSE)),Setup!$B$14),2))</f>
        <v/>
      </c>
      <c r="O483" s="90">
        <f>IF(OR($M483="",$E483=""),"",ROUND($M483*IFERROR(IF(VLOOKUP($E483,Setup!$A$76:$C$87,3,FALSE)="",Setup!$B$15,VLOOKUP($E483,Setup!$A$76:$C$87,3,FALSE)),Setup!$B$15),2))</f>
        <v/>
      </c>
      <c r="P483" s="92" t="n"/>
      <c r="Q483" s="92" t="n"/>
      <c r="R483" s="92" t="n"/>
      <c r="S483" s="92" t="n"/>
      <c r="T483" s="92" t="n"/>
      <c r="U483" s="90">
        <f>IF($K483="","",SUM($R483:$T483))</f>
        <v/>
      </c>
      <c r="V483" s="90">
        <f>IF($K483="","",$M483-(N($N483)+N($O483)+IF($P483="",Setup!$B$17,$P483)+N($Q483))-N($U483))</f>
        <v/>
      </c>
      <c r="W483" s="87" t="n"/>
      <c r="X483" s="88" t="n"/>
      <c r="Z483" s="93">
        <f>IF($A483="","",DATE(YEAR($A483),MONTH($A483),1))</f>
        <v/>
      </c>
    </row>
    <row r="484">
      <c r="A484" s="94" t="n"/>
      <c r="B484" s="95" t="n"/>
      <c r="C484" s="95" t="n"/>
      <c r="D484" s="96" t="n"/>
      <c r="E484" s="96" t="n"/>
      <c r="F484" s="96" t="n"/>
      <c r="G484" s="96" t="n"/>
      <c r="H484" s="97" t="n"/>
      <c r="I484" s="90">
        <f>IF($G484="","",IF($F484="",IFERROR(INDEX(Setup!$C$21:$C$60,MATCH("|"&amp;UPPER(TRIM($G484)),Setup!$Q$21:$Q$60,0)),"NO RATE"),IFERROR(INDEX(Setup!$C$21:$C$60,MATCH(UPPER(TRIM($F484))&amp;"|"&amp;UPPER(TRIM($G484)),Setup!$P$21:$P$60,0)),IFERROR(INDEX(Setup!$C$21:$C$60,MATCH(UPPER(TRIM($G484))&amp;"|"&amp;UPPER(TRIM($F484)),Setup!$P$21:$P$60,0)),"NO RATE"))))</f>
        <v/>
      </c>
      <c r="J484" s="98" t="n"/>
      <c r="K484" s="90">
        <f>IF(OR($G484="",$H484="",NOT(ISNUMBER($I484))),"",ROUND($H484*$I484*(1+IF($J484="",Setup!$B$16,$J484)),2))</f>
        <v/>
      </c>
      <c r="L484" s="90">
        <f>IF($K484="","",ROUND($K484*Setup!$B$13,2))</f>
        <v/>
      </c>
      <c r="M484" s="90">
        <f>IF($K484="","",$K484-$L484)</f>
        <v/>
      </c>
      <c r="N484" s="90">
        <f>IF(OR($M484="",$D484=""),"",ROUND($M484*IFERROR(IF(VLOOKUP($D484,Setup!$A$76:$C$87,3,FALSE)="",Setup!$B$14,VLOOKUP($D484,Setup!$A$76:$C$87,3,FALSE)),Setup!$B$14),2))</f>
        <v/>
      </c>
      <c r="O484" s="90">
        <f>IF(OR($M484="",$E484=""),"",ROUND($M484*IFERROR(IF(VLOOKUP($E484,Setup!$A$76:$C$87,3,FALSE)="",Setup!$B$15,VLOOKUP($E484,Setup!$A$76:$C$87,3,FALSE)),Setup!$B$15),2))</f>
        <v/>
      </c>
      <c r="P484" s="99" t="n"/>
      <c r="Q484" s="99" t="n"/>
      <c r="R484" s="99" t="n"/>
      <c r="S484" s="99" t="n"/>
      <c r="T484" s="99" t="n"/>
      <c r="U484" s="90">
        <f>IF($K484="","",SUM($R484:$T484))</f>
        <v/>
      </c>
      <c r="V484" s="90">
        <f>IF($K484="","",$M484-(N($N484)+N($O484)+IF($P484="",Setup!$B$17,$P484)+N($Q484))-N($U484))</f>
        <v/>
      </c>
      <c r="W484" s="95" t="n"/>
      <c r="X484" s="96" t="n"/>
      <c r="Z484" s="93">
        <f>IF($A484="","",DATE(YEAR($A484),MONTH($A484),1))</f>
        <v/>
      </c>
    </row>
    <row r="485">
      <c r="A485" s="86" t="n"/>
      <c r="B485" s="87" t="n"/>
      <c r="C485" s="87" t="n"/>
      <c r="D485" s="88" t="n"/>
      <c r="E485" s="88" t="n"/>
      <c r="F485" s="88" t="n"/>
      <c r="G485" s="88" t="n"/>
      <c r="H485" s="89" t="n"/>
      <c r="I485" s="90">
        <f>IF($G485="","",IF($F485="",IFERROR(INDEX(Setup!$C$21:$C$60,MATCH("|"&amp;UPPER(TRIM($G485)),Setup!$Q$21:$Q$60,0)),"NO RATE"),IFERROR(INDEX(Setup!$C$21:$C$60,MATCH(UPPER(TRIM($F485))&amp;"|"&amp;UPPER(TRIM($G485)),Setup!$P$21:$P$60,0)),IFERROR(INDEX(Setup!$C$21:$C$60,MATCH(UPPER(TRIM($G485))&amp;"|"&amp;UPPER(TRIM($F485)),Setup!$P$21:$P$60,0)),"NO RATE"))))</f>
        <v/>
      </c>
      <c r="J485" s="91" t="n"/>
      <c r="K485" s="90">
        <f>IF(OR($G485="",$H485="",NOT(ISNUMBER($I485))),"",ROUND($H485*$I485*(1+IF($J485="",Setup!$B$16,$J485)),2))</f>
        <v/>
      </c>
      <c r="L485" s="90">
        <f>IF($K485="","",ROUND($K485*Setup!$B$13,2))</f>
        <v/>
      </c>
      <c r="M485" s="90">
        <f>IF($K485="","",$K485-$L485)</f>
        <v/>
      </c>
      <c r="N485" s="90">
        <f>IF(OR($M485="",$D485=""),"",ROUND($M485*IFERROR(IF(VLOOKUP($D485,Setup!$A$76:$C$87,3,FALSE)="",Setup!$B$14,VLOOKUP($D485,Setup!$A$76:$C$87,3,FALSE)),Setup!$B$14),2))</f>
        <v/>
      </c>
      <c r="O485" s="90">
        <f>IF(OR($M485="",$E485=""),"",ROUND($M485*IFERROR(IF(VLOOKUP($E485,Setup!$A$76:$C$87,3,FALSE)="",Setup!$B$15,VLOOKUP($E485,Setup!$A$76:$C$87,3,FALSE)),Setup!$B$15),2))</f>
        <v/>
      </c>
      <c r="P485" s="92" t="n"/>
      <c r="Q485" s="92" t="n"/>
      <c r="R485" s="92" t="n"/>
      <c r="S485" s="92" t="n"/>
      <c r="T485" s="92" t="n"/>
      <c r="U485" s="90">
        <f>IF($K485="","",SUM($R485:$T485))</f>
        <v/>
      </c>
      <c r="V485" s="90">
        <f>IF($K485="","",$M485-(N($N485)+N($O485)+IF($P485="",Setup!$B$17,$P485)+N($Q485))-N($U485))</f>
        <v/>
      </c>
      <c r="W485" s="87" t="n"/>
      <c r="X485" s="88" t="n"/>
      <c r="Z485" s="93">
        <f>IF($A485="","",DATE(YEAR($A485),MONTH($A485),1))</f>
        <v/>
      </c>
    </row>
    <row r="486">
      <c r="A486" s="94" t="n"/>
      <c r="B486" s="95" t="n"/>
      <c r="C486" s="95" t="n"/>
      <c r="D486" s="96" t="n"/>
      <c r="E486" s="96" t="n"/>
      <c r="F486" s="96" t="n"/>
      <c r="G486" s="96" t="n"/>
      <c r="H486" s="97" t="n"/>
      <c r="I486" s="90">
        <f>IF($G486="","",IF($F486="",IFERROR(INDEX(Setup!$C$21:$C$60,MATCH("|"&amp;UPPER(TRIM($G486)),Setup!$Q$21:$Q$60,0)),"NO RATE"),IFERROR(INDEX(Setup!$C$21:$C$60,MATCH(UPPER(TRIM($F486))&amp;"|"&amp;UPPER(TRIM($G486)),Setup!$P$21:$P$60,0)),IFERROR(INDEX(Setup!$C$21:$C$60,MATCH(UPPER(TRIM($G486))&amp;"|"&amp;UPPER(TRIM($F486)),Setup!$P$21:$P$60,0)),"NO RATE"))))</f>
        <v/>
      </c>
      <c r="J486" s="98" t="n"/>
      <c r="K486" s="90">
        <f>IF(OR($G486="",$H486="",NOT(ISNUMBER($I486))),"",ROUND($H486*$I486*(1+IF($J486="",Setup!$B$16,$J486)),2))</f>
        <v/>
      </c>
      <c r="L486" s="90">
        <f>IF($K486="","",ROUND($K486*Setup!$B$13,2))</f>
        <v/>
      </c>
      <c r="M486" s="90">
        <f>IF($K486="","",$K486-$L486)</f>
        <v/>
      </c>
      <c r="N486" s="90">
        <f>IF(OR($M486="",$D486=""),"",ROUND($M486*IFERROR(IF(VLOOKUP($D486,Setup!$A$76:$C$87,3,FALSE)="",Setup!$B$14,VLOOKUP($D486,Setup!$A$76:$C$87,3,FALSE)),Setup!$B$14),2))</f>
        <v/>
      </c>
      <c r="O486" s="90">
        <f>IF(OR($M486="",$E486=""),"",ROUND($M486*IFERROR(IF(VLOOKUP($E486,Setup!$A$76:$C$87,3,FALSE)="",Setup!$B$15,VLOOKUP($E486,Setup!$A$76:$C$87,3,FALSE)),Setup!$B$15),2))</f>
        <v/>
      </c>
      <c r="P486" s="99" t="n"/>
      <c r="Q486" s="99" t="n"/>
      <c r="R486" s="99" t="n"/>
      <c r="S486" s="99" t="n"/>
      <c r="T486" s="99" t="n"/>
      <c r="U486" s="90">
        <f>IF($K486="","",SUM($R486:$T486))</f>
        <v/>
      </c>
      <c r="V486" s="90">
        <f>IF($K486="","",$M486-(N($N486)+N($O486)+IF($P486="",Setup!$B$17,$P486)+N($Q486))-N($U486))</f>
        <v/>
      </c>
      <c r="W486" s="95" t="n"/>
      <c r="X486" s="96" t="n"/>
      <c r="Z486" s="93">
        <f>IF($A486="","",DATE(YEAR($A486),MONTH($A486),1))</f>
        <v/>
      </c>
    </row>
    <row r="487">
      <c r="A487" s="86" t="n"/>
      <c r="B487" s="87" t="n"/>
      <c r="C487" s="87" t="n"/>
      <c r="D487" s="88" t="n"/>
      <c r="E487" s="88" t="n"/>
      <c r="F487" s="88" t="n"/>
      <c r="G487" s="88" t="n"/>
      <c r="H487" s="89" t="n"/>
      <c r="I487" s="90">
        <f>IF($G487="","",IF($F487="",IFERROR(INDEX(Setup!$C$21:$C$60,MATCH("|"&amp;UPPER(TRIM($G487)),Setup!$Q$21:$Q$60,0)),"NO RATE"),IFERROR(INDEX(Setup!$C$21:$C$60,MATCH(UPPER(TRIM($F487))&amp;"|"&amp;UPPER(TRIM($G487)),Setup!$P$21:$P$60,0)),IFERROR(INDEX(Setup!$C$21:$C$60,MATCH(UPPER(TRIM($G487))&amp;"|"&amp;UPPER(TRIM($F487)),Setup!$P$21:$P$60,0)),"NO RATE"))))</f>
        <v/>
      </c>
      <c r="J487" s="91" t="n"/>
      <c r="K487" s="90">
        <f>IF(OR($G487="",$H487="",NOT(ISNUMBER($I487))),"",ROUND($H487*$I487*(1+IF($J487="",Setup!$B$16,$J487)),2))</f>
        <v/>
      </c>
      <c r="L487" s="90">
        <f>IF($K487="","",ROUND($K487*Setup!$B$13,2))</f>
        <v/>
      </c>
      <c r="M487" s="90">
        <f>IF($K487="","",$K487-$L487)</f>
        <v/>
      </c>
      <c r="N487" s="90">
        <f>IF(OR($M487="",$D487=""),"",ROUND($M487*IFERROR(IF(VLOOKUP($D487,Setup!$A$76:$C$87,3,FALSE)="",Setup!$B$14,VLOOKUP($D487,Setup!$A$76:$C$87,3,FALSE)),Setup!$B$14),2))</f>
        <v/>
      </c>
      <c r="O487" s="90">
        <f>IF(OR($M487="",$E487=""),"",ROUND($M487*IFERROR(IF(VLOOKUP($E487,Setup!$A$76:$C$87,3,FALSE)="",Setup!$B$15,VLOOKUP($E487,Setup!$A$76:$C$87,3,FALSE)),Setup!$B$15),2))</f>
        <v/>
      </c>
      <c r="P487" s="92" t="n"/>
      <c r="Q487" s="92" t="n"/>
      <c r="R487" s="92" t="n"/>
      <c r="S487" s="92" t="n"/>
      <c r="T487" s="92" t="n"/>
      <c r="U487" s="90">
        <f>IF($K487="","",SUM($R487:$T487))</f>
        <v/>
      </c>
      <c r="V487" s="90">
        <f>IF($K487="","",$M487-(N($N487)+N($O487)+IF($P487="",Setup!$B$17,$P487)+N($Q487))-N($U487))</f>
        <v/>
      </c>
      <c r="W487" s="87" t="n"/>
      <c r="X487" s="88" t="n"/>
      <c r="Z487" s="93">
        <f>IF($A487="","",DATE(YEAR($A487),MONTH($A487),1))</f>
        <v/>
      </c>
    </row>
    <row r="488">
      <c r="A488" s="94" t="n"/>
      <c r="B488" s="95" t="n"/>
      <c r="C488" s="95" t="n"/>
      <c r="D488" s="96" t="n"/>
      <c r="E488" s="96" t="n"/>
      <c r="F488" s="96" t="n"/>
      <c r="G488" s="96" t="n"/>
      <c r="H488" s="97" t="n"/>
      <c r="I488" s="90">
        <f>IF($G488="","",IF($F488="",IFERROR(INDEX(Setup!$C$21:$C$60,MATCH("|"&amp;UPPER(TRIM($G488)),Setup!$Q$21:$Q$60,0)),"NO RATE"),IFERROR(INDEX(Setup!$C$21:$C$60,MATCH(UPPER(TRIM($F488))&amp;"|"&amp;UPPER(TRIM($G488)),Setup!$P$21:$P$60,0)),IFERROR(INDEX(Setup!$C$21:$C$60,MATCH(UPPER(TRIM($G488))&amp;"|"&amp;UPPER(TRIM($F488)),Setup!$P$21:$P$60,0)),"NO RATE"))))</f>
        <v/>
      </c>
      <c r="J488" s="98" t="n"/>
      <c r="K488" s="90">
        <f>IF(OR($G488="",$H488="",NOT(ISNUMBER($I488))),"",ROUND($H488*$I488*(1+IF($J488="",Setup!$B$16,$J488)),2))</f>
        <v/>
      </c>
      <c r="L488" s="90">
        <f>IF($K488="","",ROUND($K488*Setup!$B$13,2))</f>
        <v/>
      </c>
      <c r="M488" s="90">
        <f>IF($K488="","",$K488-$L488)</f>
        <v/>
      </c>
      <c r="N488" s="90">
        <f>IF(OR($M488="",$D488=""),"",ROUND($M488*IFERROR(IF(VLOOKUP($D488,Setup!$A$76:$C$87,3,FALSE)="",Setup!$B$14,VLOOKUP($D488,Setup!$A$76:$C$87,3,FALSE)),Setup!$B$14),2))</f>
        <v/>
      </c>
      <c r="O488" s="90">
        <f>IF(OR($M488="",$E488=""),"",ROUND($M488*IFERROR(IF(VLOOKUP($E488,Setup!$A$76:$C$87,3,FALSE)="",Setup!$B$15,VLOOKUP($E488,Setup!$A$76:$C$87,3,FALSE)),Setup!$B$15),2))</f>
        <v/>
      </c>
      <c r="P488" s="99" t="n"/>
      <c r="Q488" s="99" t="n"/>
      <c r="R488" s="99" t="n"/>
      <c r="S488" s="99" t="n"/>
      <c r="T488" s="99" t="n"/>
      <c r="U488" s="90">
        <f>IF($K488="","",SUM($R488:$T488))</f>
        <v/>
      </c>
      <c r="V488" s="90">
        <f>IF($K488="","",$M488-(N($N488)+N($O488)+IF($P488="",Setup!$B$17,$P488)+N($Q488))-N($U488))</f>
        <v/>
      </c>
      <c r="W488" s="95" t="n"/>
      <c r="X488" s="96" t="n"/>
      <c r="Z488" s="93">
        <f>IF($A488="","",DATE(YEAR($A488),MONTH($A488),1))</f>
        <v/>
      </c>
    </row>
    <row r="489">
      <c r="A489" s="86" t="n"/>
      <c r="B489" s="87" t="n"/>
      <c r="C489" s="87" t="n"/>
      <c r="D489" s="88" t="n"/>
      <c r="E489" s="88" t="n"/>
      <c r="F489" s="88" t="n"/>
      <c r="G489" s="88" t="n"/>
      <c r="H489" s="89" t="n"/>
      <c r="I489" s="90">
        <f>IF($G489="","",IF($F489="",IFERROR(INDEX(Setup!$C$21:$C$60,MATCH("|"&amp;UPPER(TRIM($G489)),Setup!$Q$21:$Q$60,0)),"NO RATE"),IFERROR(INDEX(Setup!$C$21:$C$60,MATCH(UPPER(TRIM($F489))&amp;"|"&amp;UPPER(TRIM($G489)),Setup!$P$21:$P$60,0)),IFERROR(INDEX(Setup!$C$21:$C$60,MATCH(UPPER(TRIM($G489))&amp;"|"&amp;UPPER(TRIM($F489)),Setup!$P$21:$P$60,0)),"NO RATE"))))</f>
        <v/>
      </c>
      <c r="J489" s="91" t="n"/>
      <c r="K489" s="90">
        <f>IF(OR($G489="",$H489="",NOT(ISNUMBER($I489))),"",ROUND($H489*$I489*(1+IF($J489="",Setup!$B$16,$J489)),2))</f>
        <v/>
      </c>
      <c r="L489" s="90">
        <f>IF($K489="","",ROUND($K489*Setup!$B$13,2))</f>
        <v/>
      </c>
      <c r="M489" s="90">
        <f>IF($K489="","",$K489-$L489)</f>
        <v/>
      </c>
      <c r="N489" s="90">
        <f>IF(OR($M489="",$D489=""),"",ROUND($M489*IFERROR(IF(VLOOKUP($D489,Setup!$A$76:$C$87,3,FALSE)="",Setup!$B$14,VLOOKUP($D489,Setup!$A$76:$C$87,3,FALSE)),Setup!$B$14),2))</f>
        <v/>
      </c>
      <c r="O489" s="90">
        <f>IF(OR($M489="",$E489=""),"",ROUND($M489*IFERROR(IF(VLOOKUP($E489,Setup!$A$76:$C$87,3,FALSE)="",Setup!$B$15,VLOOKUP($E489,Setup!$A$76:$C$87,3,FALSE)),Setup!$B$15),2))</f>
        <v/>
      </c>
      <c r="P489" s="92" t="n"/>
      <c r="Q489" s="92" t="n"/>
      <c r="R489" s="92" t="n"/>
      <c r="S489" s="92" t="n"/>
      <c r="T489" s="92" t="n"/>
      <c r="U489" s="90">
        <f>IF($K489="","",SUM($R489:$T489))</f>
        <v/>
      </c>
      <c r="V489" s="90">
        <f>IF($K489="","",$M489-(N($N489)+N($O489)+IF($P489="",Setup!$B$17,$P489)+N($Q489))-N($U489))</f>
        <v/>
      </c>
      <c r="W489" s="87" t="n"/>
      <c r="X489" s="88" t="n"/>
      <c r="Z489" s="93">
        <f>IF($A489="","",DATE(YEAR($A489),MONTH($A489),1))</f>
        <v/>
      </c>
    </row>
    <row r="490">
      <c r="A490" s="94" t="n"/>
      <c r="B490" s="95" t="n"/>
      <c r="C490" s="95" t="n"/>
      <c r="D490" s="96" t="n"/>
      <c r="E490" s="96" t="n"/>
      <c r="F490" s="96" t="n"/>
      <c r="G490" s="96" t="n"/>
      <c r="H490" s="97" t="n"/>
      <c r="I490" s="90">
        <f>IF($G490="","",IF($F490="",IFERROR(INDEX(Setup!$C$21:$C$60,MATCH("|"&amp;UPPER(TRIM($G490)),Setup!$Q$21:$Q$60,0)),"NO RATE"),IFERROR(INDEX(Setup!$C$21:$C$60,MATCH(UPPER(TRIM($F490))&amp;"|"&amp;UPPER(TRIM($G490)),Setup!$P$21:$P$60,0)),IFERROR(INDEX(Setup!$C$21:$C$60,MATCH(UPPER(TRIM($G490))&amp;"|"&amp;UPPER(TRIM($F490)),Setup!$P$21:$P$60,0)),"NO RATE"))))</f>
        <v/>
      </c>
      <c r="J490" s="98" t="n"/>
      <c r="K490" s="90">
        <f>IF(OR($G490="",$H490="",NOT(ISNUMBER($I490))),"",ROUND($H490*$I490*(1+IF($J490="",Setup!$B$16,$J490)),2))</f>
        <v/>
      </c>
      <c r="L490" s="90">
        <f>IF($K490="","",ROUND($K490*Setup!$B$13,2))</f>
        <v/>
      </c>
      <c r="M490" s="90">
        <f>IF($K490="","",$K490-$L490)</f>
        <v/>
      </c>
      <c r="N490" s="90">
        <f>IF(OR($M490="",$D490=""),"",ROUND($M490*IFERROR(IF(VLOOKUP($D490,Setup!$A$76:$C$87,3,FALSE)="",Setup!$B$14,VLOOKUP($D490,Setup!$A$76:$C$87,3,FALSE)),Setup!$B$14),2))</f>
        <v/>
      </c>
      <c r="O490" s="90">
        <f>IF(OR($M490="",$E490=""),"",ROUND($M490*IFERROR(IF(VLOOKUP($E490,Setup!$A$76:$C$87,3,FALSE)="",Setup!$B$15,VLOOKUP($E490,Setup!$A$76:$C$87,3,FALSE)),Setup!$B$15),2))</f>
        <v/>
      </c>
      <c r="P490" s="99" t="n"/>
      <c r="Q490" s="99" t="n"/>
      <c r="R490" s="99" t="n"/>
      <c r="S490" s="99" t="n"/>
      <c r="T490" s="99" t="n"/>
      <c r="U490" s="90">
        <f>IF($K490="","",SUM($R490:$T490))</f>
        <v/>
      </c>
      <c r="V490" s="90">
        <f>IF($K490="","",$M490-(N($N490)+N($O490)+IF($P490="",Setup!$B$17,$P490)+N($Q490))-N($U490))</f>
        <v/>
      </c>
      <c r="W490" s="95" t="n"/>
      <c r="X490" s="96" t="n"/>
      <c r="Z490" s="93">
        <f>IF($A490="","",DATE(YEAR($A490),MONTH($A490),1))</f>
        <v/>
      </c>
    </row>
    <row r="491">
      <c r="A491" s="86" t="n"/>
      <c r="B491" s="87" t="n"/>
      <c r="C491" s="87" t="n"/>
      <c r="D491" s="88" t="n"/>
      <c r="E491" s="88" t="n"/>
      <c r="F491" s="88" t="n"/>
      <c r="G491" s="88" t="n"/>
      <c r="H491" s="89" t="n"/>
      <c r="I491" s="90">
        <f>IF($G491="","",IF($F491="",IFERROR(INDEX(Setup!$C$21:$C$60,MATCH("|"&amp;UPPER(TRIM($G491)),Setup!$Q$21:$Q$60,0)),"NO RATE"),IFERROR(INDEX(Setup!$C$21:$C$60,MATCH(UPPER(TRIM($F491))&amp;"|"&amp;UPPER(TRIM($G491)),Setup!$P$21:$P$60,0)),IFERROR(INDEX(Setup!$C$21:$C$60,MATCH(UPPER(TRIM($G491))&amp;"|"&amp;UPPER(TRIM($F491)),Setup!$P$21:$P$60,0)),"NO RATE"))))</f>
        <v/>
      </c>
      <c r="J491" s="91" t="n"/>
      <c r="K491" s="90">
        <f>IF(OR($G491="",$H491="",NOT(ISNUMBER($I491))),"",ROUND($H491*$I491*(1+IF($J491="",Setup!$B$16,$J491)),2))</f>
        <v/>
      </c>
      <c r="L491" s="90">
        <f>IF($K491="","",ROUND($K491*Setup!$B$13,2))</f>
        <v/>
      </c>
      <c r="M491" s="90">
        <f>IF($K491="","",$K491-$L491)</f>
        <v/>
      </c>
      <c r="N491" s="90">
        <f>IF(OR($M491="",$D491=""),"",ROUND($M491*IFERROR(IF(VLOOKUP($D491,Setup!$A$76:$C$87,3,FALSE)="",Setup!$B$14,VLOOKUP($D491,Setup!$A$76:$C$87,3,FALSE)),Setup!$B$14),2))</f>
        <v/>
      </c>
      <c r="O491" s="90">
        <f>IF(OR($M491="",$E491=""),"",ROUND($M491*IFERROR(IF(VLOOKUP($E491,Setup!$A$76:$C$87,3,FALSE)="",Setup!$B$15,VLOOKUP($E491,Setup!$A$76:$C$87,3,FALSE)),Setup!$B$15),2))</f>
        <v/>
      </c>
      <c r="P491" s="92" t="n"/>
      <c r="Q491" s="92" t="n"/>
      <c r="R491" s="92" t="n"/>
      <c r="S491" s="92" t="n"/>
      <c r="T491" s="92" t="n"/>
      <c r="U491" s="90">
        <f>IF($K491="","",SUM($R491:$T491))</f>
        <v/>
      </c>
      <c r="V491" s="90">
        <f>IF($K491="","",$M491-(N($N491)+N($O491)+IF($P491="",Setup!$B$17,$P491)+N($Q491))-N($U491))</f>
        <v/>
      </c>
      <c r="W491" s="87" t="n"/>
      <c r="X491" s="88" t="n"/>
      <c r="Z491" s="93">
        <f>IF($A491="","",DATE(YEAR($A491),MONTH($A491),1))</f>
        <v/>
      </c>
    </row>
    <row r="492">
      <c r="A492" s="94" t="n"/>
      <c r="B492" s="95" t="n"/>
      <c r="C492" s="95" t="n"/>
      <c r="D492" s="96" t="n"/>
      <c r="E492" s="96" t="n"/>
      <c r="F492" s="96" t="n"/>
      <c r="G492" s="96" t="n"/>
      <c r="H492" s="97" t="n"/>
      <c r="I492" s="90">
        <f>IF($G492="","",IF($F492="",IFERROR(INDEX(Setup!$C$21:$C$60,MATCH("|"&amp;UPPER(TRIM($G492)),Setup!$Q$21:$Q$60,0)),"NO RATE"),IFERROR(INDEX(Setup!$C$21:$C$60,MATCH(UPPER(TRIM($F492))&amp;"|"&amp;UPPER(TRIM($G492)),Setup!$P$21:$P$60,0)),IFERROR(INDEX(Setup!$C$21:$C$60,MATCH(UPPER(TRIM($G492))&amp;"|"&amp;UPPER(TRIM($F492)),Setup!$P$21:$P$60,0)),"NO RATE"))))</f>
        <v/>
      </c>
      <c r="J492" s="98" t="n"/>
      <c r="K492" s="90">
        <f>IF(OR($G492="",$H492="",NOT(ISNUMBER($I492))),"",ROUND($H492*$I492*(1+IF($J492="",Setup!$B$16,$J492)),2))</f>
        <v/>
      </c>
      <c r="L492" s="90">
        <f>IF($K492="","",ROUND($K492*Setup!$B$13,2))</f>
        <v/>
      </c>
      <c r="M492" s="90">
        <f>IF($K492="","",$K492-$L492)</f>
        <v/>
      </c>
      <c r="N492" s="90">
        <f>IF(OR($M492="",$D492=""),"",ROUND($M492*IFERROR(IF(VLOOKUP($D492,Setup!$A$76:$C$87,3,FALSE)="",Setup!$B$14,VLOOKUP($D492,Setup!$A$76:$C$87,3,FALSE)),Setup!$B$14),2))</f>
        <v/>
      </c>
      <c r="O492" s="90">
        <f>IF(OR($M492="",$E492=""),"",ROUND($M492*IFERROR(IF(VLOOKUP($E492,Setup!$A$76:$C$87,3,FALSE)="",Setup!$B$15,VLOOKUP($E492,Setup!$A$76:$C$87,3,FALSE)),Setup!$B$15),2))</f>
        <v/>
      </c>
      <c r="P492" s="99" t="n"/>
      <c r="Q492" s="99" t="n"/>
      <c r="R492" s="99" t="n"/>
      <c r="S492" s="99" t="n"/>
      <c r="T492" s="99" t="n"/>
      <c r="U492" s="90">
        <f>IF($K492="","",SUM($R492:$T492))</f>
        <v/>
      </c>
      <c r="V492" s="90">
        <f>IF($K492="","",$M492-(N($N492)+N($O492)+IF($P492="",Setup!$B$17,$P492)+N($Q492))-N($U492))</f>
        <v/>
      </c>
      <c r="W492" s="95" t="n"/>
      <c r="X492" s="96" t="n"/>
      <c r="Z492" s="93">
        <f>IF($A492="","",DATE(YEAR($A492),MONTH($A492),1))</f>
        <v/>
      </c>
    </row>
    <row r="493">
      <c r="A493" s="86" t="n"/>
      <c r="B493" s="87" t="n"/>
      <c r="C493" s="87" t="n"/>
      <c r="D493" s="88" t="n"/>
      <c r="E493" s="88" t="n"/>
      <c r="F493" s="88" t="n"/>
      <c r="G493" s="88" t="n"/>
      <c r="H493" s="89" t="n"/>
      <c r="I493" s="90">
        <f>IF($G493="","",IF($F493="",IFERROR(INDEX(Setup!$C$21:$C$60,MATCH("|"&amp;UPPER(TRIM($G493)),Setup!$Q$21:$Q$60,0)),"NO RATE"),IFERROR(INDEX(Setup!$C$21:$C$60,MATCH(UPPER(TRIM($F493))&amp;"|"&amp;UPPER(TRIM($G493)),Setup!$P$21:$P$60,0)),IFERROR(INDEX(Setup!$C$21:$C$60,MATCH(UPPER(TRIM($G493))&amp;"|"&amp;UPPER(TRIM($F493)),Setup!$P$21:$P$60,0)),"NO RATE"))))</f>
        <v/>
      </c>
      <c r="J493" s="91" t="n"/>
      <c r="K493" s="90">
        <f>IF(OR($G493="",$H493="",NOT(ISNUMBER($I493))),"",ROUND($H493*$I493*(1+IF($J493="",Setup!$B$16,$J493)),2))</f>
        <v/>
      </c>
      <c r="L493" s="90">
        <f>IF($K493="","",ROUND($K493*Setup!$B$13,2))</f>
        <v/>
      </c>
      <c r="M493" s="90">
        <f>IF($K493="","",$K493-$L493)</f>
        <v/>
      </c>
      <c r="N493" s="90">
        <f>IF(OR($M493="",$D493=""),"",ROUND($M493*IFERROR(IF(VLOOKUP($D493,Setup!$A$76:$C$87,3,FALSE)="",Setup!$B$14,VLOOKUP($D493,Setup!$A$76:$C$87,3,FALSE)),Setup!$B$14),2))</f>
        <v/>
      </c>
      <c r="O493" s="90">
        <f>IF(OR($M493="",$E493=""),"",ROUND($M493*IFERROR(IF(VLOOKUP($E493,Setup!$A$76:$C$87,3,FALSE)="",Setup!$B$15,VLOOKUP($E493,Setup!$A$76:$C$87,3,FALSE)),Setup!$B$15),2))</f>
        <v/>
      </c>
      <c r="P493" s="92" t="n"/>
      <c r="Q493" s="92" t="n"/>
      <c r="R493" s="92" t="n"/>
      <c r="S493" s="92" t="n"/>
      <c r="T493" s="92" t="n"/>
      <c r="U493" s="90">
        <f>IF($K493="","",SUM($R493:$T493))</f>
        <v/>
      </c>
      <c r="V493" s="90">
        <f>IF($K493="","",$M493-(N($N493)+N($O493)+IF($P493="",Setup!$B$17,$P493)+N($Q493))-N($U493))</f>
        <v/>
      </c>
      <c r="W493" s="87" t="n"/>
      <c r="X493" s="88" t="n"/>
      <c r="Z493" s="93">
        <f>IF($A493="","",DATE(YEAR($A493),MONTH($A493),1))</f>
        <v/>
      </c>
    </row>
    <row r="494">
      <c r="A494" s="94" t="n"/>
      <c r="B494" s="95" t="n"/>
      <c r="C494" s="95" t="n"/>
      <c r="D494" s="96" t="n"/>
      <c r="E494" s="96" t="n"/>
      <c r="F494" s="96" t="n"/>
      <c r="G494" s="96" t="n"/>
      <c r="H494" s="97" t="n"/>
      <c r="I494" s="90">
        <f>IF($G494="","",IF($F494="",IFERROR(INDEX(Setup!$C$21:$C$60,MATCH("|"&amp;UPPER(TRIM($G494)),Setup!$Q$21:$Q$60,0)),"NO RATE"),IFERROR(INDEX(Setup!$C$21:$C$60,MATCH(UPPER(TRIM($F494))&amp;"|"&amp;UPPER(TRIM($G494)),Setup!$P$21:$P$60,0)),IFERROR(INDEX(Setup!$C$21:$C$60,MATCH(UPPER(TRIM($G494))&amp;"|"&amp;UPPER(TRIM($F494)),Setup!$P$21:$P$60,0)),"NO RATE"))))</f>
        <v/>
      </c>
      <c r="J494" s="98" t="n"/>
      <c r="K494" s="90">
        <f>IF(OR($G494="",$H494="",NOT(ISNUMBER($I494))),"",ROUND($H494*$I494*(1+IF($J494="",Setup!$B$16,$J494)),2))</f>
        <v/>
      </c>
      <c r="L494" s="90">
        <f>IF($K494="","",ROUND($K494*Setup!$B$13,2))</f>
        <v/>
      </c>
      <c r="M494" s="90">
        <f>IF($K494="","",$K494-$L494)</f>
        <v/>
      </c>
      <c r="N494" s="90">
        <f>IF(OR($M494="",$D494=""),"",ROUND($M494*IFERROR(IF(VLOOKUP($D494,Setup!$A$76:$C$87,3,FALSE)="",Setup!$B$14,VLOOKUP($D494,Setup!$A$76:$C$87,3,FALSE)),Setup!$B$14),2))</f>
        <v/>
      </c>
      <c r="O494" s="90">
        <f>IF(OR($M494="",$E494=""),"",ROUND($M494*IFERROR(IF(VLOOKUP($E494,Setup!$A$76:$C$87,3,FALSE)="",Setup!$B$15,VLOOKUP($E494,Setup!$A$76:$C$87,3,FALSE)),Setup!$B$15),2))</f>
        <v/>
      </c>
      <c r="P494" s="99" t="n"/>
      <c r="Q494" s="99" t="n"/>
      <c r="R494" s="99" t="n"/>
      <c r="S494" s="99" t="n"/>
      <c r="T494" s="99" t="n"/>
      <c r="U494" s="90">
        <f>IF($K494="","",SUM($R494:$T494))</f>
        <v/>
      </c>
      <c r="V494" s="90">
        <f>IF($K494="","",$M494-(N($N494)+N($O494)+IF($P494="",Setup!$B$17,$P494)+N($Q494))-N($U494))</f>
        <v/>
      </c>
      <c r="W494" s="95" t="n"/>
      <c r="X494" s="96" t="n"/>
      <c r="Z494" s="93">
        <f>IF($A494="","",DATE(YEAR($A494),MONTH($A494),1))</f>
        <v/>
      </c>
    </row>
    <row r="495">
      <c r="A495" s="86" t="n"/>
      <c r="B495" s="87" t="n"/>
      <c r="C495" s="87" t="n"/>
      <c r="D495" s="88" t="n"/>
      <c r="E495" s="88" t="n"/>
      <c r="F495" s="88" t="n"/>
      <c r="G495" s="88" t="n"/>
      <c r="H495" s="89" t="n"/>
      <c r="I495" s="90">
        <f>IF($G495="","",IF($F495="",IFERROR(INDEX(Setup!$C$21:$C$60,MATCH("|"&amp;UPPER(TRIM($G495)),Setup!$Q$21:$Q$60,0)),"NO RATE"),IFERROR(INDEX(Setup!$C$21:$C$60,MATCH(UPPER(TRIM($F495))&amp;"|"&amp;UPPER(TRIM($G495)),Setup!$P$21:$P$60,0)),IFERROR(INDEX(Setup!$C$21:$C$60,MATCH(UPPER(TRIM($G495))&amp;"|"&amp;UPPER(TRIM($F495)),Setup!$P$21:$P$60,0)),"NO RATE"))))</f>
        <v/>
      </c>
      <c r="J495" s="91" t="n"/>
      <c r="K495" s="90">
        <f>IF(OR($G495="",$H495="",NOT(ISNUMBER($I495))),"",ROUND($H495*$I495*(1+IF($J495="",Setup!$B$16,$J495)),2))</f>
        <v/>
      </c>
      <c r="L495" s="90">
        <f>IF($K495="","",ROUND($K495*Setup!$B$13,2))</f>
        <v/>
      </c>
      <c r="M495" s="90">
        <f>IF($K495="","",$K495-$L495)</f>
        <v/>
      </c>
      <c r="N495" s="90">
        <f>IF(OR($M495="",$D495=""),"",ROUND($M495*IFERROR(IF(VLOOKUP($D495,Setup!$A$76:$C$87,3,FALSE)="",Setup!$B$14,VLOOKUP($D495,Setup!$A$76:$C$87,3,FALSE)),Setup!$B$14),2))</f>
        <v/>
      </c>
      <c r="O495" s="90">
        <f>IF(OR($M495="",$E495=""),"",ROUND($M495*IFERROR(IF(VLOOKUP($E495,Setup!$A$76:$C$87,3,FALSE)="",Setup!$B$15,VLOOKUP($E495,Setup!$A$76:$C$87,3,FALSE)),Setup!$B$15),2))</f>
        <v/>
      </c>
      <c r="P495" s="92" t="n"/>
      <c r="Q495" s="92" t="n"/>
      <c r="R495" s="92" t="n"/>
      <c r="S495" s="92" t="n"/>
      <c r="T495" s="92" t="n"/>
      <c r="U495" s="90">
        <f>IF($K495="","",SUM($R495:$T495))</f>
        <v/>
      </c>
      <c r="V495" s="90">
        <f>IF($K495="","",$M495-(N($N495)+N($O495)+IF($P495="",Setup!$B$17,$P495)+N($Q495))-N($U495))</f>
        <v/>
      </c>
      <c r="W495" s="87" t="n"/>
      <c r="X495" s="88" t="n"/>
      <c r="Z495" s="93">
        <f>IF($A495="","",DATE(YEAR($A495),MONTH($A495),1))</f>
        <v/>
      </c>
    </row>
    <row r="496">
      <c r="A496" s="94" t="n"/>
      <c r="B496" s="95" t="n"/>
      <c r="C496" s="95" t="n"/>
      <c r="D496" s="96" t="n"/>
      <c r="E496" s="96" t="n"/>
      <c r="F496" s="96" t="n"/>
      <c r="G496" s="96" t="n"/>
      <c r="H496" s="97" t="n"/>
      <c r="I496" s="90">
        <f>IF($G496="","",IF($F496="",IFERROR(INDEX(Setup!$C$21:$C$60,MATCH("|"&amp;UPPER(TRIM($G496)),Setup!$Q$21:$Q$60,0)),"NO RATE"),IFERROR(INDEX(Setup!$C$21:$C$60,MATCH(UPPER(TRIM($F496))&amp;"|"&amp;UPPER(TRIM($G496)),Setup!$P$21:$P$60,0)),IFERROR(INDEX(Setup!$C$21:$C$60,MATCH(UPPER(TRIM($G496))&amp;"|"&amp;UPPER(TRIM($F496)),Setup!$P$21:$P$60,0)),"NO RATE"))))</f>
        <v/>
      </c>
      <c r="J496" s="98" t="n"/>
      <c r="K496" s="90">
        <f>IF(OR($G496="",$H496="",NOT(ISNUMBER($I496))),"",ROUND($H496*$I496*(1+IF($J496="",Setup!$B$16,$J496)),2))</f>
        <v/>
      </c>
      <c r="L496" s="90">
        <f>IF($K496="","",ROUND($K496*Setup!$B$13,2))</f>
        <v/>
      </c>
      <c r="M496" s="90">
        <f>IF($K496="","",$K496-$L496)</f>
        <v/>
      </c>
      <c r="N496" s="90">
        <f>IF(OR($M496="",$D496=""),"",ROUND($M496*IFERROR(IF(VLOOKUP($D496,Setup!$A$76:$C$87,3,FALSE)="",Setup!$B$14,VLOOKUP($D496,Setup!$A$76:$C$87,3,FALSE)),Setup!$B$14),2))</f>
        <v/>
      </c>
      <c r="O496" s="90">
        <f>IF(OR($M496="",$E496=""),"",ROUND($M496*IFERROR(IF(VLOOKUP($E496,Setup!$A$76:$C$87,3,FALSE)="",Setup!$B$15,VLOOKUP($E496,Setup!$A$76:$C$87,3,FALSE)),Setup!$B$15),2))</f>
        <v/>
      </c>
      <c r="P496" s="99" t="n"/>
      <c r="Q496" s="99" t="n"/>
      <c r="R496" s="99" t="n"/>
      <c r="S496" s="99" t="n"/>
      <c r="T496" s="99" t="n"/>
      <c r="U496" s="90">
        <f>IF($K496="","",SUM($R496:$T496))</f>
        <v/>
      </c>
      <c r="V496" s="90">
        <f>IF($K496="","",$M496-(N($N496)+N($O496)+IF($P496="",Setup!$B$17,$P496)+N($Q496))-N($U496))</f>
        <v/>
      </c>
      <c r="W496" s="95" t="n"/>
      <c r="X496" s="96" t="n"/>
      <c r="Z496" s="93">
        <f>IF($A496="","",DATE(YEAR($A496),MONTH($A496),1))</f>
        <v/>
      </c>
    </row>
    <row r="497">
      <c r="A497" s="86" t="n"/>
      <c r="B497" s="87" t="n"/>
      <c r="C497" s="87" t="n"/>
      <c r="D497" s="88" t="n"/>
      <c r="E497" s="88" t="n"/>
      <c r="F497" s="88" t="n"/>
      <c r="G497" s="88" t="n"/>
      <c r="H497" s="89" t="n"/>
      <c r="I497" s="90">
        <f>IF($G497="","",IF($F497="",IFERROR(INDEX(Setup!$C$21:$C$60,MATCH("|"&amp;UPPER(TRIM($G497)),Setup!$Q$21:$Q$60,0)),"NO RATE"),IFERROR(INDEX(Setup!$C$21:$C$60,MATCH(UPPER(TRIM($F497))&amp;"|"&amp;UPPER(TRIM($G497)),Setup!$P$21:$P$60,0)),IFERROR(INDEX(Setup!$C$21:$C$60,MATCH(UPPER(TRIM($G497))&amp;"|"&amp;UPPER(TRIM($F497)),Setup!$P$21:$P$60,0)),"NO RATE"))))</f>
        <v/>
      </c>
      <c r="J497" s="91" t="n"/>
      <c r="K497" s="90">
        <f>IF(OR($G497="",$H497="",NOT(ISNUMBER($I497))),"",ROUND($H497*$I497*(1+IF($J497="",Setup!$B$16,$J497)),2))</f>
        <v/>
      </c>
      <c r="L497" s="90">
        <f>IF($K497="","",ROUND($K497*Setup!$B$13,2))</f>
        <v/>
      </c>
      <c r="M497" s="90">
        <f>IF($K497="","",$K497-$L497)</f>
        <v/>
      </c>
      <c r="N497" s="90">
        <f>IF(OR($M497="",$D497=""),"",ROUND($M497*IFERROR(IF(VLOOKUP($D497,Setup!$A$76:$C$87,3,FALSE)="",Setup!$B$14,VLOOKUP($D497,Setup!$A$76:$C$87,3,FALSE)),Setup!$B$14),2))</f>
        <v/>
      </c>
      <c r="O497" s="90">
        <f>IF(OR($M497="",$E497=""),"",ROUND($M497*IFERROR(IF(VLOOKUP($E497,Setup!$A$76:$C$87,3,FALSE)="",Setup!$B$15,VLOOKUP($E497,Setup!$A$76:$C$87,3,FALSE)),Setup!$B$15),2))</f>
        <v/>
      </c>
      <c r="P497" s="92" t="n"/>
      <c r="Q497" s="92" t="n"/>
      <c r="R497" s="92" t="n"/>
      <c r="S497" s="92" t="n"/>
      <c r="T497" s="92" t="n"/>
      <c r="U497" s="90">
        <f>IF($K497="","",SUM($R497:$T497))</f>
        <v/>
      </c>
      <c r="V497" s="90">
        <f>IF($K497="","",$M497-(N($N497)+N($O497)+IF($P497="",Setup!$B$17,$P497)+N($Q497))-N($U497))</f>
        <v/>
      </c>
      <c r="W497" s="87" t="n"/>
      <c r="X497" s="88" t="n"/>
      <c r="Z497" s="93">
        <f>IF($A497="","",DATE(YEAR($A497),MONTH($A497),1))</f>
        <v/>
      </c>
    </row>
    <row r="498">
      <c r="A498" s="94" t="n"/>
      <c r="B498" s="95" t="n"/>
      <c r="C498" s="95" t="n"/>
      <c r="D498" s="96" t="n"/>
      <c r="E498" s="96" t="n"/>
      <c r="F498" s="96" t="n"/>
      <c r="G498" s="96" t="n"/>
      <c r="H498" s="97" t="n"/>
      <c r="I498" s="90">
        <f>IF($G498="","",IF($F498="",IFERROR(INDEX(Setup!$C$21:$C$60,MATCH("|"&amp;UPPER(TRIM($G498)),Setup!$Q$21:$Q$60,0)),"NO RATE"),IFERROR(INDEX(Setup!$C$21:$C$60,MATCH(UPPER(TRIM($F498))&amp;"|"&amp;UPPER(TRIM($G498)),Setup!$P$21:$P$60,0)),IFERROR(INDEX(Setup!$C$21:$C$60,MATCH(UPPER(TRIM($G498))&amp;"|"&amp;UPPER(TRIM($F498)),Setup!$P$21:$P$60,0)),"NO RATE"))))</f>
        <v/>
      </c>
      <c r="J498" s="98" t="n"/>
      <c r="K498" s="90">
        <f>IF(OR($G498="",$H498="",NOT(ISNUMBER($I498))),"",ROUND($H498*$I498*(1+IF($J498="",Setup!$B$16,$J498)),2))</f>
        <v/>
      </c>
      <c r="L498" s="90">
        <f>IF($K498="","",ROUND($K498*Setup!$B$13,2))</f>
        <v/>
      </c>
      <c r="M498" s="90">
        <f>IF($K498="","",$K498-$L498)</f>
        <v/>
      </c>
      <c r="N498" s="90">
        <f>IF(OR($M498="",$D498=""),"",ROUND($M498*IFERROR(IF(VLOOKUP($D498,Setup!$A$76:$C$87,3,FALSE)="",Setup!$B$14,VLOOKUP($D498,Setup!$A$76:$C$87,3,FALSE)),Setup!$B$14),2))</f>
        <v/>
      </c>
      <c r="O498" s="90">
        <f>IF(OR($M498="",$E498=""),"",ROUND($M498*IFERROR(IF(VLOOKUP($E498,Setup!$A$76:$C$87,3,FALSE)="",Setup!$B$15,VLOOKUP($E498,Setup!$A$76:$C$87,3,FALSE)),Setup!$B$15),2))</f>
        <v/>
      </c>
      <c r="P498" s="99" t="n"/>
      <c r="Q498" s="99" t="n"/>
      <c r="R498" s="99" t="n"/>
      <c r="S498" s="99" t="n"/>
      <c r="T498" s="99" t="n"/>
      <c r="U498" s="90">
        <f>IF($K498="","",SUM($R498:$T498))</f>
        <v/>
      </c>
      <c r="V498" s="90">
        <f>IF($K498="","",$M498-(N($N498)+N($O498)+IF($P498="",Setup!$B$17,$P498)+N($Q498))-N($U498))</f>
        <v/>
      </c>
      <c r="W498" s="95" t="n"/>
      <c r="X498" s="96" t="n"/>
      <c r="Z498" s="93">
        <f>IF($A498="","",DATE(YEAR($A498),MONTH($A498),1))</f>
        <v/>
      </c>
    </row>
    <row r="499">
      <c r="A499" s="86" t="n"/>
      <c r="B499" s="87" t="n"/>
      <c r="C499" s="87" t="n"/>
      <c r="D499" s="88" t="n"/>
      <c r="E499" s="88" t="n"/>
      <c r="F499" s="88" t="n"/>
      <c r="G499" s="88" t="n"/>
      <c r="H499" s="89" t="n"/>
      <c r="I499" s="90">
        <f>IF($G499="","",IF($F499="",IFERROR(INDEX(Setup!$C$21:$C$60,MATCH("|"&amp;UPPER(TRIM($G499)),Setup!$Q$21:$Q$60,0)),"NO RATE"),IFERROR(INDEX(Setup!$C$21:$C$60,MATCH(UPPER(TRIM($F499))&amp;"|"&amp;UPPER(TRIM($G499)),Setup!$P$21:$P$60,0)),IFERROR(INDEX(Setup!$C$21:$C$60,MATCH(UPPER(TRIM($G499))&amp;"|"&amp;UPPER(TRIM($F499)),Setup!$P$21:$P$60,0)),"NO RATE"))))</f>
        <v/>
      </c>
      <c r="J499" s="91" t="n"/>
      <c r="K499" s="90">
        <f>IF(OR($G499="",$H499="",NOT(ISNUMBER($I499))),"",ROUND($H499*$I499*(1+IF($J499="",Setup!$B$16,$J499)),2))</f>
        <v/>
      </c>
      <c r="L499" s="90">
        <f>IF($K499="","",ROUND($K499*Setup!$B$13,2))</f>
        <v/>
      </c>
      <c r="M499" s="90">
        <f>IF($K499="","",$K499-$L499)</f>
        <v/>
      </c>
      <c r="N499" s="90">
        <f>IF(OR($M499="",$D499=""),"",ROUND($M499*IFERROR(IF(VLOOKUP($D499,Setup!$A$76:$C$87,3,FALSE)="",Setup!$B$14,VLOOKUP($D499,Setup!$A$76:$C$87,3,FALSE)),Setup!$B$14),2))</f>
        <v/>
      </c>
      <c r="O499" s="90">
        <f>IF(OR($M499="",$E499=""),"",ROUND($M499*IFERROR(IF(VLOOKUP($E499,Setup!$A$76:$C$87,3,FALSE)="",Setup!$B$15,VLOOKUP($E499,Setup!$A$76:$C$87,3,FALSE)),Setup!$B$15),2))</f>
        <v/>
      </c>
      <c r="P499" s="92" t="n"/>
      <c r="Q499" s="92" t="n"/>
      <c r="R499" s="92" t="n"/>
      <c r="S499" s="92" t="n"/>
      <c r="T499" s="92" t="n"/>
      <c r="U499" s="90">
        <f>IF($K499="","",SUM($R499:$T499))</f>
        <v/>
      </c>
      <c r="V499" s="90">
        <f>IF($K499="","",$M499-(N($N499)+N($O499)+IF($P499="",Setup!$B$17,$P499)+N($Q499))-N($U499))</f>
        <v/>
      </c>
      <c r="W499" s="87" t="n"/>
      <c r="X499" s="88" t="n"/>
      <c r="Z499" s="93">
        <f>IF($A499="","",DATE(YEAR($A499),MONTH($A499),1))</f>
        <v/>
      </c>
    </row>
    <row r="500">
      <c r="A500" s="94" t="n"/>
      <c r="B500" s="95" t="n"/>
      <c r="C500" s="95" t="n"/>
      <c r="D500" s="96" t="n"/>
      <c r="E500" s="96" t="n"/>
      <c r="F500" s="96" t="n"/>
      <c r="G500" s="96" t="n"/>
      <c r="H500" s="97" t="n"/>
      <c r="I500" s="90">
        <f>IF($G500="","",IF($F500="",IFERROR(INDEX(Setup!$C$21:$C$60,MATCH("|"&amp;UPPER(TRIM($G500)),Setup!$Q$21:$Q$60,0)),"NO RATE"),IFERROR(INDEX(Setup!$C$21:$C$60,MATCH(UPPER(TRIM($F500))&amp;"|"&amp;UPPER(TRIM($G500)),Setup!$P$21:$P$60,0)),IFERROR(INDEX(Setup!$C$21:$C$60,MATCH(UPPER(TRIM($G500))&amp;"|"&amp;UPPER(TRIM($F500)),Setup!$P$21:$P$60,0)),"NO RATE"))))</f>
        <v/>
      </c>
      <c r="J500" s="98" t="n"/>
      <c r="K500" s="90">
        <f>IF(OR($G500="",$H500="",NOT(ISNUMBER($I500))),"",ROUND($H500*$I500*(1+IF($J500="",Setup!$B$16,$J500)),2))</f>
        <v/>
      </c>
      <c r="L500" s="90">
        <f>IF($K500="","",ROUND($K500*Setup!$B$13,2))</f>
        <v/>
      </c>
      <c r="M500" s="90">
        <f>IF($K500="","",$K500-$L500)</f>
        <v/>
      </c>
      <c r="N500" s="90">
        <f>IF(OR($M500="",$D500=""),"",ROUND($M500*IFERROR(IF(VLOOKUP($D500,Setup!$A$76:$C$87,3,FALSE)="",Setup!$B$14,VLOOKUP($D500,Setup!$A$76:$C$87,3,FALSE)),Setup!$B$14),2))</f>
        <v/>
      </c>
      <c r="O500" s="90">
        <f>IF(OR($M500="",$E500=""),"",ROUND($M500*IFERROR(IF(VLOOKUP($E500,Setup!$A$76:$C$87,3,FALSE)="",Setup!$B$15,VLOOKUP($E500,Setup!$A$76:$C$87,3,FALSE)),Setup!$B$15),2))</f>
        <v/>
      </c>
      <c r="P500" s="99" t="n"/>
      <c r="Q500" s="99" t="n"/>
      <c r="R500" s="99" t="n"/>
      <c r="S500" s="99" t="n"/>
      <c r="T500" s="99" t="n"/>
      <c r="U500" s="90">
        <f>IF($K500="","",SUM($R500:$T500))</f>
        <v/>
      </c>
      <c r="V500" s="90">
        <f>IF($K500="","",$M500-(N($N500)+N($O500)+IF($P500="",Setup!$B$17,$P500)+N($Q500))-N($U500))</f>
        <v/>
      </c>
      <c r="W500" s="95" t="n"/>
      <c r="X500" s="96" t="n"/>
      <c r="Z500" s="93">
        <f>IF($A500="","",DATE(YEAR($A500),MONTH($A500),1))</f>
        <v/>
      </c>
    </row>
    <row r="501">
      <c r="A501" s="86" t="n"/>
      <c r="B501" s="87" t="n"/>
      <c r="C501" s="87" t="n"/>
      <c r="D501" s="88" t="n"/>
      <c r="E501" s="88" t="n"/>
      <c r="F501" s="88" t="n"/>
      <c r="G501" s="88" t="n"/>
      <c r="H501" s="89" t="n"/>
      <c r="I501" s="90">
        <f>IF($G501="","",IF($F501="",IFERROR(INDEX(Setup!$C$21:$C$60,MATCH("|"&amp;UPPER(TRIM($G501)),Setup!$Q$21:$Q$60,0)),"NO RATE"),IFERROR(INDEX(Setup!$C$21:$C$60,MATCH(UPPER(TRIM($F501))&amp;"|"&amp;UPPER(TRIM($G501)),Setup!$P$21:$P$60,0)),IFERROR(INDEX(Setup!$C$21:$C$60,MATCH(UPPER(TRIM($G501))&amp;"|"&amp;UPPER(TRIM($F501)),Setup!$P$21:$P$60,0)),"NO RATE"))))</f>
        <v/>
      </c>
      <c r="J501" s="91" t="n"/>
      <c r="K501" s="90">
        <f>IF(OR($G501="",$H501="",NOT(ISNUMBER($I501))),"",ROUND($H501*$I501*(1+IF($J501="",Setup!$B$16,$J501)),2))</f>
        <v/>
      </c>
      <c r="L501" s="90">
        <f>IF($K501="","",ROUND($K501*Setup!$B$13,2))</f>
        <v/>
      </c>
      <c r="M501" s="90">
        <f>IF($K501="","",$K501-$L501)</f>
        <v/>
      </c>
      <c r="N501" s="90">
        <f>IF(OR($M501="",$D501=""),"",ROUND($M501*IFERROR(IF(VLOOKUP($D501,Setup!$A$76:$C$87,3,FALSE)="",Setup!$B$14,VLOOKUP($D501,Setup!$A$76:$C$87,3,FALSE)),Setup!$B$14),2))</f>
        <v/>
      </c>
      <c r="O501" s="90">
        <f>IF(OR($M501="",$E501=""),"",ROUND($M501*IFERROR(IF(VLOOKUP($E501,Setup!$A$76:$C$87,3,FALSE)="",Setup!$B$15,VLOOKUP($E501,Setup!$A$76:$C$87,3,FALSE)),Setup!$B$15),2))</f>
        <v/>
      </c>
      <c r="P501" s="92" t="n"/>
      <c r="Q501" s="92" t="n"/>
      <c r="R501" s="92" t="n"/>
      <c r="S501" s="92" t="n"/>
      <c r="T501" s="92" t="n"/>
      <c r="U501" s="90">
        <f>IF($K501="","",SUM($R501:$T501))</f>
        <v/>
      </c>
      <c r="V501" s="90">
        <f>IF($K501="","",$M501-(N($N501)+N($O501)+IF($P501="",Setup!$B$17,$P501)+N($Q501))-N($U501))</f>
        <v/>
      </c>
      <c r="W501" s="87" t="n"/>
      <c r="X501" s="88" t="n"/>
      <c r="Z501" s="93">
        <f>IF($A501="","",DATE(YEAR($A501),MONTH($A501),1))</f>
        <v/>
      </c>
    </row>
    <row r="502">
      <c r="A502" s="94" t="n"/>
      <c r="B502" s="95" t="n"/>
      <c r="C502" s="95" t="n"/>
      <c r="D502" s="96" t="n"/>
      <c r="E502" s="96" t="n"/>
      <c r="F502" s="96" t="n"/>
      <c r="G502" s="96" t="n"/>
      <c r="H502" s="97" t="n"/>
      <c r="I502" s="90">
        <f>IF($G502="","",IF($F502="",IFERROR(INDEX(Setup!$C$21:$C$60,MATCH("|"&amp;UPPER(TRIM($G502)),Setup!$Q$21:$Q$60,0)),"NO RATE"),IFERROR(INDEX(Setup!$C$21:$C$60,MATCH(UPPER(TRIM($F502))&amp;"|"&amp;UPPER(TRIM($G502)),Setup!$P$21:$P$60,0)),IFERROR(INDEX(Setup!$C$21:$C$60,MATCH(UPPER(TRIM($G502))&amp;"|"&amp;UPPER(TRIM($F502)),Setup!$P$21:$P$60,0)),"NO RATE"))))</f>
        <v/>
      </c>
      <c r="J502" s="98" t="n"/>
      <c r="K502" s="90">
        <f>IF(OR($G502="",$H502="",NOT(ISNUMBER($I502))),"",ROUND($H502*$I502*(1+IF($J502="",Setup!$B$16,$J502)),2))</f>
        <v/>
      </c>
      <c r="L502" s="90">
        <f>IF($K502="","",ROUND($K502*Setup!$B$13,2))</f>
        <v/>
      </c>
      <c r="M502" s="90">
        <f>IF($K502="","",$K502-$L502)</f>
        <v/>
      </c>
      <c r="N502" s="90">
        <f>IF(OR($M502="",$D502=""),"",ROUND($M502*IFERROR(IF(VLOOKUP($D502,Setup!$A$76:$C$87,3,FALSE)="",Setup!$B$14,VLOOKUP($D502,Setup!$A$76:$C$87,3,FALSE)),Setup!$B$14),2))</f>
        <v/>
      </c>
      <c r="O502" s="90">
        <f>IF(OR($M502="",$E502=""),"",ROUND($M502*IFERROR(IF(VLOOKUP($E502,Setup!$A$76:$C$87,3,FALSE)="",Setup!$B$15,VLOOKUP($E502,Setup!$A$76:$C$87,3,FALSE)),Setup!$B$15),2))</f>
        <v/>
      </c>
      <c r="P502" s="99" t="n"/>
      <c r="Q502" s="99" t="n"/>
      <c r="R502" s="99" t="n"/>
      <c r="S502" s="99" t="n"/>
      <c r="T502" s="99" t="n"/>
      <c r="U502" s="90">
        <f>IF($K502="","",SUM($R502:$T502))</f>
        <v/>
      </c>
      <c r="V502" s="90">
        <f>IF($K502="","",$M502-(N($N502)+N($O502)+IF($P502="",Setup!$B$17,$P502)+N($Q502))-N($U502))</f>
        <v/>
      </c>
      <c r="W502" s="95" t="n"/>
      <c r="X502" s="96" t="n"/>
      <c r="Z502" s="93">
        <f>IF($A502="","",DATE(YEAR($A502),MONTH($A502),1))</f>
        <v/>
      </c>
    </row>
    <row r="503">
      <c r="A503" s="86" t="n"/>
      <c r="B503" s="87" t="n"/>
      <c r="C503" s="87" t="n"/>
      <c r="D503" s="88" t="n"/>
      <c r="E503" s="88" t="n"/>
      <c r="F503" s="88" t="n"/>
      <c r="G503" s="88" t="n"/>
      <c r="H503" s="89" t="n"/>
      <c r="I503" s="90">
        <f>IF($G503="","",IF($F503="",IFERROR(INDEX(Setup!$C$21:$C$60,MATCH("|"&amp;UPPER(TRIM($G503)),Setup!$Q$21:$Q$60,0)),"NO RATE"),IFERROR(INDEX(Setup!$C$21:$C$60,MATCH(UPPER(TRIM($F503))&amp;"|"&amp;UPPER(TRIM($G503)),Setup!$P$21:$P$60,0)),IFERROR(INDEX(Setup!$C$21:$C$60,MATCH(UPPER(TRIM($G503))&amp;"|"&amp;UPPER(TRIM($F503)),Setup!$P$21:$P$60,0)),"NO RATE"))))</f>
        <v/>
      </c>
      <c r="J503" s="91" t="n"/>
      <c r="K503" s="90">
        <f>IF(OR($G503="",$H503="",NOT(ISNUMBER($I503))),"",ROUND($H503*$I503*(1+IF($J503="",Setup!$B$16,$J503)),2))</f>
        <v/>
      </c>
      <c r="L503" s="90">
        <f>IF($K503="","",ROUND($K503*Setup!$B$13,2))</f>
        <v/>
      </c>
      <c r="M503" s="90">
        <f>IF($K503="","",$K503-$L503)</f>
        <v/>
      </c>
      <c r="N503" s="90">
        <f>IF(OR($M503="",$D503=""),"",ROUND($M503*IFERROR(IF(VLOOKUP($D503,Setup!$A$76:$C$87,3,FALSE)="",Setup!$B$14,VLOOKUP($D503,Setup!$A$76:$C$87,3,FALSE)),Setup!$B$14),2))</f>
        <v/>
      </c>
      <c r="O503" s="90">
        <f>IF(OR($M503="",$E503=""),"",ROUND($M503*IFERROR(IF(VLOOKUP($E503,Setup!$A$76:$C$87,3,FALSE)="",Setup!$B$15,VLOOKUP($E503,Setup!$A$76:$C$87,3,FALSE)),Setup!$B$15),2))</f>
        <v/>
      </c>
      <c r="P503" s="92" t="n"/>
      <c r="Q503" s="92" t="n"/>
      <c r="R503" s="92" t="n"/>
      <c r="S503" s="92" t="n"/>
      <c r="T503" s="92" t="n"/>
      <c r="U503" s="90">
        <f>IF($K503="","",SUM($R503:$T503))</f>
        <v/>
      </c>
      <c r="V503" s="90">
        <f>IF($K503="","",$M503-(N($N503)+N($O503)+IF($P503="",Setup!$B$17,$P503)+N($Q503))-N($U503))</f>
        <v/>
      </c>
      <c r="W503" s="87" t="n"/>
      <c r="X503" s="88" t="n"/>
      <c r="Z503" s="93">
        <f>IF($A503="","",DATE(YEAR($A503),MONTH($A503),1))</f>
        <v/>
      </c>
    </row>
    <row r="504">
      <c r="A504" s="94" t="n"/>
      <c r="B504" s="95" t="n"/>
      <c r="C504" s="95" t="n"/>
      <c r="D504" s="96" t="n"/>
      <c r="E504" s="96" t="n"/>
      <c r="F504" s="96" t="n"/>
      <c r="G504" s="96" t="n"/>
      <c r="H504" s="97" t="n"/>
      <c r="I504" s="90">
        <f>IF($G504="","",IF($F504="",IFERROR(INDEX(Setup!$C$21:$C$60,MATCH("|"&amp;UPPER(TRIM($G504)),Setup!$Q$21:$Q$60,0)),"NO RATE"),IFERROR(INDEX(Setup!$C$21:$C$60,MATCH(UPPER(TRIM($F504))&amp;"|"&amp;UPPER(TRIM($G504)),Setup!$P$21:$P$60,0)),IFERROR(INDEX(Setup!$C$21:$C$60,MATCH(UPPER(TRIM($G504))&amp;"|"&amp;UPPER(TRIM($F504)),Setup!$P$21:$P$60,0)),"NO RATE"))))</f>
        <v/>
      </c>
      <c r="J504" s="98" t="n"/>
      <c r="K504" s="90">
        <f>IF(OR($G504="",$H504="",NOT(ISNUMBER($I504))),"",ROUND($H504*$I504*(1+IF($J504="",Setup!$B$16,$J504)),2))</f>
        <v/>
      </c>
      <c r="L504" s="90">
        <f>IF($K504="","",ROUND($K504*Setup!$B$13,2))</f>
        <v/>
      </c>
      <c r="M504" s="90">
        <f>IF($K504="","",$K504-$L504)</f>
        <v/>
      </c>
      <c r="N504" s="90">
        <f>IF(OR($M504="",$D504=""),"",ROUND($M504*IFERROR(IF(VLOOKUP($D504,Setup!$A$76:$C$87,3,FALSE)="",Setup!$B$14,VLOOKUP($D504,Setup!$A$76:$C$87,3,FALSE)),Setup!$B$14),2))</f>
        <v/>
      </c>
      <c r="O504" s="90">
        <f>IF(OR($M504="",$E504=""),"",ROUND($M504*IFERROR(IF(VLOOKUP($E504,Setup!$A$76:$C$87,3,FALSE)="",Setup!$B$15,VLOOKUP($E504,Setup!$A$76:$C$87,3,FALSE)),Setup!$B$15),2))</f>
        <v/>
      </c>
      <c r="P504" s="99" t="n"/>
      <c r="Q504" s="99" t="n"/>
      <c r="R504" s="99" t="n"/>
      <c r="S504" s="99" t="n"/>
      <c r="T504" s="99" t="n"/>
      <c r="U504" s="90">
        <f>IF($K504="","",SUM($R504:$T504))</f>
        <v/>
      </c>
      <c r="V504" s="90">
        <f>IF($K504="","",$M504-(N($N504)+N($O504)+IF($P504="",Setup!$B$17,$P504)+N($Q504))-N($U504))</f>
        <v/>
      </c>
      <c r="W504" s="95" t="n"/>
      <c r="X504" s="96" t="n"/>
      <c r="Z504" s="93">
        <f>IF($A504="","",DATE(YEAR($A504),MONTH($A504),1))</f>
        <v/>
      </c>
    </row>
    <row r="505">
      <c r="A505" s="86" t="n"/>
      <c r="B505" s="87" t="n"/>
      <c r="C505" s="87" t="n"/>
      <c r="D505" s="88" t="n"/>
      <c r="E505" s="88" t="n"/>
      <c r="F505" s="88" t="n"/>
      <c r="G505" s="88" t="n"/>
      <c r="H505" s="89" t="n"/>
      <c r="I505" s="90">
        <f>IF($G505="","",IF($F505="",IFERROR(INDEX(Setup!$C$21:$C$60,MATCH("|"&amp;UPPER(TRIM($G505)),Setup!$Q$21:$Q$60,0)),"NO RATE"),IFERROR(INDEX(Setup!$C$21:$C$60,MATCH(UPPER(TRIM($F505))&amp;"|"&amp;UPPER(TRIM($G505)),Setup!$P$21:$P$60,0)),IFERROR(INDEX(Setup!$C$21:$C$60,MATCH(UPPER(TRIM($G505))&amp;"|"&amp;UPPER(TRIM($F505)),Setup!$P$21:$P$60,0)),"NO RATE"))))</f>
        <v/>
      </c>
      <c r="J505" s="91" t="n"/>
      <c r="K505" s="90">
        <f>IF(OR($G505="",$H505="",NOT(ISNUMBER($I505))),"",ROUND($H505*$I505*(1+IF($J505="",Setup!$B$16,$J505)),2))</f>
        <v/>
      </c>
      <c r="L505" s="90">
        <f>IF($K505="","",ROUND($K505*Setup!$B$13,2))</f>
        <v/>
      </c>
      <c r="M505" s="90">
        <f>IF($K505="","",$K505-$L505)</f>
        <v/>
      </c>
      <c r="N505" s="90">
        <f>IF(OR($M505="",$D505=""),"",ROUND($M505*IFERROR(IF(VLOOKUP($D505,Setup!$A$76:$C$87,3,FALSE)="",Setup!$B$14,VLOOKUP($D505,Setup!$A$76:$C$87,3,FALSE)),Setup!$B$14),2))</f>
        <v/>
      </c>
      <c r="O505" s="90">
        <f>IF(OR($M505="",$E505=""),"",ROUND($M505*IFERROR(IF(VLOOKUP($E505,Setup!$A$76:$C$87,3,FALSE)="",Setup!$B$15,VLOOKUP($E505,Setup!$A$76:$C$87,3,FALSE)),Setup!$B$15),2))</f>
        <v/>
      </c>
      <c r="P505" s="92" t="n"/>
      <c r="Q505" s="92" t="n"/>
      <c r="R505" s="92" t="n"/>
      <c r="S505" s="92" t="n"/>
      <c r="T505" s="92" t="n"/>
      <c r="U505" s="90">
        <f>IF($K505="","",SUM($R505:$T505))</f>
        <v/>
      </c>
      <c r="V505" s="90">
        <f>IF($K505="","",$M505-(N($N505)+N($O505)+IF($P505="",Setup!$B$17,$P505)+N($Q505))-N($U505))</f>
        <v/>
      </c>
      <c r="W505" s="87" t="n"/>
      <c r="X505" s="88" t="n"/>
      <c r="Z505" s="93">
        <f>IF($A505="","",DATE(YEAR($A505),MONTH($A505),1))</f>
        <v/>
      </c>
    </row>
    <row r="506">
      <c r="A506" s="94" t="n"/>
      <c r="B506" s="95" t="n"/>
      <c r="C506" s="95" t="n"/>
      <c r="D506" s="96" t="n"/>
      <c r="E506" s="96" t="n"/>
      <c r="F506" s="96" t="n"/>
      <c r="G506" s="96" t="n"/>
      <c r="H506" s="97" t="n"/>
      <c r="I506" s="90">
        <f>IF($G506="","",IF($F506="",IFERROR(INDEX(Setup!$C$21:$C$60,MATCH("|"&amp;UPPER(TRIM($G506)),Setup!$Q$21:$Q$60,0)),"NO RATE"),IFERROR(INDEX(Setup!$C$21:$C$60,MATCH(UPPER(TRIM($F506))&amp;"|"&amp;UPPER(TRIM($G506)),Setup!$P$21:$P$60,0)),IFERROR(INDEX(Setup!$C$21:$C$60,MATCH(UPPER(TRIM($G506))&amp;"|"&amp;UPPER(TRIM($F506)),Setup!$P$21:$P$60,0)),"NO RATE"))))</f>
        <v/>
      </c>
      <c r="J506" s="98" t="n"/>
      <c r="K506" s="90">
        <f>IF(OR($G506="",$H506="",NOT(ISNUMBER($I506))),"",ROUND($H506*$I506*(1+IF($J506="",Setup!$B$16,$J506)),2))</f>
        <v/>
      </c>
      <c r="L506" s="90">
        <f>IF($K506="","",ROUND($K506*Setup!$B$13,2))</f>
        <v/>
      </c>
      <c r="M506" s="90">
        <f>IF($K506="","",$K506-$L506)</f>
        <v/>
      </c>
      <c r="N506" s="90">
        <f>IF(OR($M506="",$D506=""),"",ROUND($M506*IFERROR(IF(VLOOKUP($D506,Setup!$A$76:$C$87,3,FALSE)="",Setup!$B$14,VLOOKUP($D506,Setup!$A$76:$C$87,3,FALSE)),Setup!$B$14),2))</f>
        <v/>
      </c>
      <c r="O506" s="90">
        <f>IF(OR($M506="",$E506=""),"",ROUND($M506*IFERROR(IF(VLOOKUP($E506,Setup!$A$76:$C$87,3,FALSE)="",Setup!$B$15,VLOOKUP($E506,Setup!$A$76:$C$87,3,FALSE)),Setup!$B$15),2))</f>
        <v/>
      </c>
      <c r="P506" s="99" t="n"/>
      <c r="Q506" s="99" t="n"/>
      <c r="R506" s="99" t="n"/>
      <c r="S506" s="99" t="n"/>
      <c r="T506" s="99" t="n"/>
      <c r="U506" s="90">
        <f>IF($K506="","",SUM($R506:$T506))</f>
        <v/>
      </c>
      <c r="V506" s="90">
        <f>IF($K506="","",$M506-(N($N506)+N($O506)+IF($P506="",Setup!$B$17,$P506)+N($Q506))-N($U506))</f>
        <v/>
      </c>
      <c r="W506" s="95" t="n"/>
      <c r="X506" s="96" t="n"/>
      <c r="Z506" s="93">
        <f>IF($A506="","",DATE(YEAR($A506),MONTH($A506),1))</f>
        <v/>
      </c>
    </row>
    <row r="507">
      <c r="A507" s="86" t="n"/>
      <c r="B507" s="87" t="n"/>
      <c r="C507" s="87" t="n"/>
      <c r="D507" s="88" t="n"/>
      <c r="E507" s="88" t="n"/>
      <c r="F507" s="88" t="n"/>
      <c r="G507" s="88" t="n"/>
      <c r="H507" s="89" t="n"/>
      <c r="I507" s="90">
        <f>IF($G507="","",IF($F507="",IFERROR(INDEX(Setup!$C$21:$C$60,MATCH("|"&amp;UPPER(TRIM($G507)),Setup!$Q$21:$Q$60,0)),"NO RATE"),IFERROR(INDEX(Setup!$C$21:$C$60,MATCH(UPPER(TRIM($F507))&amp;"|"&amp;UPPER(TRIM($G507)),Setup!$P$21:$P$60,0)),IFERROR(INDEX(Setup!$C$21:$C$60,MATCH(UPPER(TRIM($G507))&amp;"|"&amp;UPPER(TRIM($F507)),Setup!$P$21:$P$60,0)),"NO RATE"))))</f>
        <v/>
      </c>
      <c r="J507" s="91" t="n"/>
      <c r="K507" s="90">
        <f>IF(OR($G507="",$H507="",NOT(ISNUMBER($I507))),"",ROUND($H507*$I507*(1+IF($J507="",Setup!$B$16,$J507)),2))</f>
        <v/>
      </c>
      <c r="L507" s="90">
        <f>IF($K507="","",ROUND($K507*Setup!$B$13,2))</f>
        <v/>
      </c>
      <c r="M507" s="90">
        <f>IF($K507="","",$K507-$L507)</f>
        <v/>
      </c>
      <c r="N507" s="90">
        <f>IF(OR($M507="",$D507=""),"",ROUND($M507*IFERROR(IF(VLOOKUP($D507,Setup!$A$76:$C$87,3,FALSE)="",Setup!$B$14,VLOOKUP($D507,Setup!$A$76:$C$87,3,FALSE)),Setup!$B$14),2))</f>
        <v/>
      </c>
      <c r="O507" s="90">
        <f>IF(OR($M507="",$E507=""),"",ROUND($M507*IFERROR(IF(VLOOKUP($E507,Setup!$A$76:$C$87,3,FALSE)="",Setup!$B$15,VLOOKUP($E507,Setup!$A$76:$C$87,3,FALSE)),Setup!$B$15),2))</f>
        <v/>
      </c>
      <c r="P507" s="92" t="n"/>
      <c r="Q507" s="92" t="n"/>
      <c r="R507" s="92" t="n"/>
      <c r="S507" s="92" t="n"/>
      <c r="T507" s="92" t="n"/>
      <c r="U507" s="90">
        <f>IF($K507="","",SUM($R507:$T507))</f>
        <v/>
      </c>
      <c r="V507" s="90">
        <f>IF($K507="","",$M507-(N($N507)+N($O507)+IF($P507="",Setup!$B$17,$P507)+N($Q507))-N($U507))</f>
        <v/>
      </c>
      <c r="W507" s="87" t="n"/>
      <c r="X507" s="88" t="n"/>
      <c r="Z507" s="93">
        <f>IF($A507="","",DATE(YEAR($A507),MONTH($A507),1))</f>
        <v/>
      </c>
    </row>
    <row r="508">
      <c r="A508" s="94" t="n"/>
      <c r="B508" s="95" t="n"/>
      <c r="C508" s="95" t="n"/>
      <c r="D508" s="96" t="n"/>
      <c r="E508" s="96" t="n"/>
      <c r="F508" s="96" t="n"/>
      <c r="G508" s="96" t="n"/>
      <c r="H508" s="97" t="n"/>
      <c r="I508" s="90">
        <f>IF($G508="","",IF($F508="",IFERROR(INDEX(Setup!$C$21:$C$60,MATCH("|"&amp;UPPER(TRIM($G508)),Setup!$Q$21:$Q$60,0)),"NO RATE"),IFERROR(INDEX(Setup!$C$21:$C$60,MATCH(UPPER(TRIM($F508))&amp;"|"&amp;UPPER(TRIM($G508)),Setup!$P$21:$P$60,0)),IFERROR(INDEX(Setup!$C$21:$C$60,MATCH(UPPER(TRIM($G508))&amp;"|"&amp;UPPER(TRIM($F508)),Setup!$P$21:$P$60,0)),"NO RATE"))))</f>
        <v/>
      </c>
      <c r="J508" s="98" t="n"/>
      <c r="K508" s="90">
        <f>IF(OR($G508="",$H508="",NOT(ISNUMBER($I508))),"",ROUND($H508*$I508*(1+IF($J508="",Setup!$B$16,$J508)),2))</f>
        <v/>
      </c>
      <c r="L508" s="90">
        <f>IF($K508="","",ROUND($K508*Setup!$B$13,2))</f>
        <v/>
      </c>
      <c r="M508" s="90">
        <f>IF($K508="","",$K508-$L508)</f>
        <v/>
      </c>
      <c r="N508" s="90">
        <f>IF(OR($M508="",$D508=""),"",ROUND($M508*IFERROR(IF(VLOOKUP($D508,Setup!$A$76:$C$87,3,FALSE)="",Setup!$B$14,VLOOKUP($D508,Setup!$A$76:$C$87,3,FALSE)),Setup!$B$14),2))</f>
        <v/>
      </c>
      <c r="O508" s="90">
        <f>IF(OR($M508="",$E508=""),"",ROUND($M508*IFERROR(IF(VLOOKUP($E508,Setup!$A$76:$C$87,3,FALSE)="",Setup!$B$15,VLOOKUP($E508,Setup!$A$76:$C$87,3,FALSE)),Setup!$B$15),2))</f>
        <v/>
      </c>
      <c r="P508" s="99" t="n"/>
      <c r="Q508" s="99" t="n"/>
      <c r="R508" s="99" t="n"/>
      <c r="S508" s="99" t="n"/>
      <c r="T508" s="99" t="n"/>
      <c r="U508" s="90">
        <f>IF($K508="","",SUM($R508:$T508))</f>
        <v/>
      </c>
      <c r="V508" s="90">
        <f>IF($K508="","",$M508-(N($N508)+N($O508)+IF($P508="",Setup!$B$17,$P508)+N($Q508))-N($U508))</f>
        <v/>
      </c>
      <c r="W508" s="95" t="n"/>
      <c r="X508" s="96" t="n"/>
      <c r="Z508" s="93">
        <f>IF($A508="","",DATE(YEAR($A508),MONTH($A508),1))</f>
        <v/>
      </c>
    </row>
    <row r="509">
      <c r="A509" s="86" t="n"/>
      <c r="B509" s="87" t="n"/>
      <c r="C509" s="87" t="n"/>
      <c r="D509" s="88" t="n"/>
      <c r="E509" s="88" t="n"/>
      <c r="F509" s="88" t="n"/>
      <c r="G509" s="88" t="n"/>
      <c r="H509" s="89" t="n"/>
      <c r="I509" s="90">
        <f>IF($G509="","",IF($F509="",IFERROR(INDEX(Setup!$C$21:$C$60,MATCH("|"&amp;UPPER(TRIM($G509)),Setup!$Q$21:$Q$60,0)),"NO RATE"),IFERROR(INDEX(Setup!$C$21:$C$60,MATCH(UPPER(TRIM($F509))&amp;"|"&amp;UPPER(TRIM($G509)),Setup!$P$21:$P$60,0)),IFERROR(INDEX(Setup!$C$21:$C$60,MATCH(UPPER(TRIM($G509))&amp;"|"&amp;UPPER(TRIM($F509)),Setup!$P$21:$P$60,0)),"NO RATE"))))</f>
        <v/>
      </c>
      <c r="J509" s="91" t="n"/>
      <c r="K509" s="90">
        <f>IF(OR($G509="",$H509="",NOT(ISNUMBER($I509))),"",ROUND($H509*$I509*(1+IF($J509="",Setup!$B$16,$J509)),2))</f>
        <v/>
      </c>
      <c r="L509" s="90">
        <f>IF($K509="","",ROUND($K509*Setup!$B$13,2))</f>
        <v/>
      </c>
      <c r="M509" s="90">
        <f>IF($K509="","",$K509-$L509)</f>
        <v/>
      </c>
      <c r="N509" s="90">
        <f>IF(OR($M509="",$D509=""),"",ROUND($M509*IFERROR(IF(VLOOKUP($D509,Setup!$A$76:$C$87,3,FALSE)="",Setup!$B$14,VLOOKUP($D509,Setup!$A$76:$C$87,3,FALSE)),Setup!$B$14),2))</f>
        <v/>
      </c>
      <c r="O509" s="90">
        <f>IF(OR($M509="",$E509=""),"",ROUND($M509*IFERROR(IF(VLOOKUP($E509,Setup!$A$76:$C$87,3,FALSE)="",Setup!$B$15,VLOOKUP($E509,Setup!$A$76:$C$87,3,FALSE)),Setup!$B$15),2))</f>
        <v/>
      </c>
      <c r="P509" s="92" t="n"/>
      <c r="Q509" s="92" t="n"/>
      <c r="R509" s="92" t="n"/>
      <c r="S509" s="92" t="n"/>
      <c r="T509" s="92" t="n"/>
      <c r="U509" s="90">
        <f>IF($K509="","",SUM($R509:$T509))</f>
        <v/>
      </c>
      <c r="V509" s="90">
        <f>IF($K509="","",$M509-(N($N509)+N($O509)+IF($P509="",Setup!$B$17,$P509)+N($Q509))-N($U509))</f>
        <v/>
      </c>
      <c r="W509" s="87" t="n"/>
      <c r="X509" s="88" t="n"/>
      <c r="Z509" s="93">
        <f>IF($A509="","",DATE(YEAR($A509),MONTH($A509),1))</f>
        <v/>
      </c>
    </row>
    <row r="510">
      <c r="A510" s="94" t="n"/>
      <c r="B510" s="95" t="n"/>
      <c r="C510" s="95" t="n"/>
      <c r="D510" s="96" t="n"/>
      <c r="E510" s="96" t="n"/>
      <c r="F510" s="96" t="n"/>
      <c r="G510" s="96" t="n"/>
      <c r="H510" s="97" t="n"/>
      <c r="I510" s="90">
        <f>IF($G510="","",IF($F510="",IFERROR(INDEX(Setup!$C$21:$C$60,MATCH("|"&amp;UPPER(TRIM($G510)),Setup!$Q$21:$Q$60,0)),"NO RATE"),IFERROR(INDEX(Setup!$C$21:$C$60,MATCH(UPPER(TRIM($F510))&amp;"|"&amp;UPPER(TRIM($G510)),Setup!$P$21:$P$60,0)),IFERROR(INDEX(Setup!$C$21:$C$60,MATCH(UPPER(TRIM($G510))&amp;"|"&amp;UPPER(TRIM($F510)),Setup!$P$21:$P$60,0)),"NO RATE"))))</f>
        <v/>
      </c>
      <c r="J510" s="98" t="n"/>
      <c r="K510" s="90">
        <f>IF(OR($G510="",$H510="",NOT(ISNUMBER($I510))),"",ROUND($H510*$I510*(1+IF($J510="",Setup!$B$16,$J510)),2))</f>
        <v/>
      </c>
      <c r="L510" s="90">
        <f>IF($K510="","",ROUND($K510*Setup!$B$13,2))</f>
        <v/>
      </c>
      <c r="M510" s="90">
        <f>IF($K510="","",$K510-$L510)</f>
        <v/>
      </c>
      <c r="N510" s="90">
        <f>IF(OR($M510="",$D510=""),"",ROUND($M510*IFERROR(IF(VLOOKUP($D510,Setup!$A$76:$C$87,3,FALSE)="",Setup!$B$14,VLOOKUP($D510,Setup!$A$76:$C$87,3,FALSE)),Setup!$B$14),2))</f>
        <v/>
      </c>
      <c r="O510" s="90">
        <f>IF(OR($M510="",$E510=""),"",ROUND($M510*IFERROR(IF(VLOOKUP($E510,Setup!$A$76:$C$87,3,FALSE)="",Setup!$B$15,VLOOKUP($E510,Setup!$A$76:$C$87,3,FALSE)),Setup!$B$15),2))</f>
        <v/>
      </c>
      <c r="P510" s="99" t="n"/>
      <c r="Q510" s="99" t="n"/>
      <c r="R510" s="99" t="n"/>
      <c r="S510" s="99" t="n"/>
      <c r="T510" s="99" t="n"/>
      <c r="U510" s="90">
        <f>IF($K510="","",SUM($R510:$T510))</f>
        <v/>
      </c>
      <c r="V510" s="90">
        <f>IF($K510="","",$M510-(N($N510)+N($O510)+IF($P510="",Setup!$B$17,$P510)+N($Q510))-N($U510))</f>
        <v/>
      </c>
      <c r="W510" s="95" t="n"/>
      <c r="X510" s="96" t="n"/>
      <c r="Z510" s="93">
        <f>IF($A510="","",DATE(YEAR($A510),MONTH($A510),1))</f>
        <v/>
      </c>
    </row>
    <row r="511">
      <c r="A511" s="86" t="n"/>
      <c r="B511" s="87" t="n"/>
      <c r="C511" s="87" t="n"/>
      <c r="D511" s="88" t="n"/>
      <c r="E511" s="88" t="n"/>
      <c r="F511" s="88" t="n"/>
      <c r="G511" s="88" t="n"/>
      <c r="H511" s="89" t="n"/>
      <c r="I511" s="90">
        <f>IF($G511="","",IF($F511="",IFERROR(INDEX(Setup!$C$21:$C$60,MATCH("|"&amp;UPPER(TRIM($G511)),Setup!$Q$21:$Q$60,0)),"NO RATE"),IFERROR(INDEX(Setup!$C$21:$C$60,MATCH(UPPER(TRIM($F511))&amp;"|"&amp;UPPER(TRIM($G511)),Setup!$P$21:$P$60,0)),IFERROR(INDEX(Setup!$C$21:$C$60,MATCH(UPPER(TRIM($G511))&amp;"|"&amp;UPPER(TRIM($F511)),Setup!$P$21:$P$60,0)),"NO RATE"))))</f>
        <v/>
      </c>
      <c r="J511" s="91" t="n"/>
      <c r="K511" s="90">
        <f>IF(OR($G511="",$H511="",NOT(ISNUMBER($I511))),"",ROUND($H511*$I511*(1+IF($J511="",Setup!$B$16,$J511)),2))</f>
        <v/>
      </c>
      <c r="L511" s="90">
        <f>IF($K511="","",ROUND($K511*Setup!$B$13,2))</f>
        <v/>
      </c>
      <c r="M511" s="90">
        <f>IF($K511="","",$K511-$L511)</f>
        <v/>
      </c>
      <c r="N511" s="90">
        <f>IF(OR($M511="",$D511=""),"",ROUND($M511*IFERROR(IF(VLOOKUP($D511,Setup!$A$76:$C$87,3,FALSE)="",Setup!$B$14,VLOOKUP($D511,Setup!$A$76:$C$87,3,FALSE)),Setup!$B$14),2))</f>
        <v/>
      </c>
      <c r="O511" s="90">
        <f>IF(OR($M511="",$E511=""),"",ROUND($M511*IFERROR(IF(VLOOKUP($E511,Setup!$A$76:$C$87,3,FALSE)="",Setup!$B$15,VLOOKUP($E511,Setup!$A$76:$C$87,3,FALSE)),Setup!$B$15),2))</f>
        <v/>
      </c>
      <c r="P511" s="92" t="n"/>
      <c r="Q511" s="92" t="n"/>
      <c r="R511" s="92" t="n"/>
      <c r="S511" s="92" t="n"/>
      <c r="T511" s="92" t="n"/>
      <c r="U511" s="90">
        <f>IF($K511="","",SUM($R511:$T511))</f>
        <v/>
      </c>
      <c r="V511" s="90">
        <f>IF($K511="","",$M511-(N($N511)+N($O511)+IF($P511="",Setup!$B$17,$P511)+N($Q511))-N($U511))</f>
        <v/>
      </c>
      <c r="W511" s="87" t="n"/>
      <c r="X511" s="88" t="n"/>
      <c r="Z511" s="93">
        <f>IF($A511="","",DATE(YEAR($A511),MONTH($A511),1))</f>
        <v/>
      </c>
    </row>
    <row r="512">
      <c r="A512" s="94" t="n"/>
      <c r="B512" s="95" t="n"/>
      <c r="C512" s="95" t="n"/>
      <c r="D512" s="96" t="n"/>
      <c r="E512" s="96" t="n"/>
      <c r="F512" s="96" t="n"/>
      <c r="G512" s="96" t="n"/>
      <c r="H512" s="97" t="n"/>
      <c r="I512" s="90">
        <f>IF($G512="","",IF($F512="",IFERROR(INDEX(Setup!$C$21:$C$60,MATCH("|"&amp;UPPER(TRIM($G512)),Setup!$Q$21:$Q$60,0)),"NO RATE"),IFERROR(INDEX(Setup!$C$21:$C$60,MATCH(UPPER(TRIM($F512))&amp;"|"&amp;UPPER(TRIM($G512)),Setup!$P$21:$P$60,0)),IFERROR(INDEX(Setup!$C$21:$C$60,MATCH(UPPER(TRIM($G512))&amp;"|"&amp;UPPER(TRIM($F512)),Setup!$P$21:$P$60,0)),"NO RATE"))))</f>
        <v/>
      </c>
      <c r="J512" s="98" t="n"/>
      <c r="K512" s="90">
        <f>IF(OR($G512="",$H512="",NOT(ISNUMBER($I512))),"",ROUND($H512*$I512*(1+IF($J512="",Setup!$B$16,$J512)),2))</f>
        <v/>
      </c>
      <c r="L512" s="90">
        <f>IF($K512="","",ROUND($K512*Setup!$B$13,2))</f>
        <v/>
      </c>
      <c r="M512" s="90">
        <f>IF($K512="","",$K512-$L512)</f>
        <v/>
      </c>
      <c r="N512" s="90">
        <f>IF(OR($M512="",$D512=""),"",ROUND($M512*IFERROR(IF(VLOOKUP($D512,Setup!$A$76:$C$87,3,FALSE)="",Setup!$B$14,VLOOKUP($D512,Setup!$A$76:$C$87,3,FALSE)),Setup!$B$14),2))</f>
        <v/>
      </c>
      <c r="O512" s="90">
        <f>IF(OR($M512="",$E512=""),"",ROUND($M512*IFERROR(IF(VLOOKUP($E512,Setup!$A$76:$C$87,3,FALSE)="",Setup!$B$15,VLOOKUP($E512,Setup!$A$76:$C$87,3,FALSE)),Setup!$B$15),2))</f>
        <v/>
      </c>
      <c r="P512" s="99" t="n"/>
      <c r="Q512" s="99" t="n"/>
      <c r="R512" s="99" t="n"/>
      <c r="S512" s="99" t="n"/>
      <c r="T512" s="99" t="n"/>
      <c r="U512" s="90">
        <f>IF($K512="","",SUM($R512:$T512))</f>
        <v/>
      </c>
      <c r="V512" s="90">
        <f>IF($K512="","",$M512-(N($N512)+N($O512)+IF($P512="",Setup!$B$17,$P512)+N($Q512))-N($U512))</f>
        <v/>
      </c>
      <c r="W512" s="95" t="n"/>
      <c r="X512" s="96" t="n"/>
      <c r="Z512" s="93">
        <f>IF($A512="","",DATE(YEAR($A512),MONTH($A512),1))</f>
        <v/>
      </c>
    </row>
    <row r="513">
      <c r="A513" s="86" t="n"/>
      <c r="B513" s="87" t="n"/>
      <c r="C513" s="87" t="n"/>
      <c r="D513" s="88" t="n"/>
      <c r="E513" s="88" t="n"/>
      <c r="F513" s="88" t="n"/>
      <c r="G513" s="88" t="n"/>
      <c r="H513" s="89" t="n"/>
      <c r="I513" s="90">
        <f>IF($G513="","",IF($F513="",IFERROR(INDEX(Setup!$C$21:$C$60,MATCH("|"&amp;UPPER(TRIM($G513)),Setup!$Q$21:$Q$60,0)),"NO RATE"),IFERROR(INDEX(Setup!$C$21:$C$60,MATCH(UPPER(TRIM($F513))&amp;"|"&amp;UPPER(TRIM($G513)),Setup!$P$21:$P$60,0)),IFERROR(INDEX(Setup!$C$21:$C$60,MATCH(UPPER(TRIM($G513))&amp;"|"&amp;UPPER(TRIM($F513)),Setup!$P$21:$P$60,0)),"NO RATE"))))</f>
        <v/>
      </c>
      <c r="J513" s="91" t="n"/>
      <c r="K513" s="90">
        <f>IF(OR($G513="",$H513="",NOT(ISNUMBER($I513))),"",ROUND($H513*$I513*(1+IF($J513="",Setup!$B$16,$J513)),2))</f>
        <v/>
      </c>
      <c r="L513" s="90">
        <f>IF($K513="","",ROUND($K513*Setup!$B$13,2))</f>
        <v/>
      </c>
      <c r="M513" s="90">
        <f>IF($K513="","",$K513-$L513)</f>
        <v/>
      </c>
      <c r="N513" s="90">
        <f>IF(OR($M513="",$D513=""),"",ROUND($M513*IFERROR(IF(VLOOKUP($D513,Setup!$A$76:$C$87,3,FALSE)="",Setup!$B$14,VLOOKUP($D513,Setup!$A$76:$C$87,3,FALSE)),Setup!$B$14),2))</f>
        <v/>
      </c>
      <c r="O513" s="90">
        <f>IF(OR($M513="",$E513=""),"",ROUND($M513*IFERROR(IF(VLOOKUP($E513,Setup!$A$76:$C$87,3,FALSE)="",Setup!$B$15,VLOOKUP($E513,Setup!$A$76:$C$87,3,FALSE)),Setup!$B$15),2))</f>
        <v/>
      </c>
      <c r="P513" s="92" t="n"/>
      <c r="Q513" s="92" t="n"/>
      <c r="R513" s="92" t="n"/>
      <c r="S513" s="92" t="n"/>
      <c r="T513" s="92" t="n"/>
      <c r="U513" s="90">
        <f>IF($K513="","",SUM($R513:$T513))</f>
        <v/>
      </c>
      <c r="V513" s="90">
        <f>IF($K513="","",$M513-(N($N513)+N($O513)+IF($P513="",Setup!$B$17,$P513)+N($Q513))-N($U513))</f>
        <v/>
      </c>
      <c r="W513" s="87" t="n"/>
      <c r="X513" s="88" t="n"/>
      <c r="Z513" s="93">
        <f>IF($A513="","",DATE(YEAR($A513),MONTH($A513),1))</f>
        <v/>
      </c>
    </row>
    <row r="514">
      <c r="A514" s="94" t="n"/>
      <c r="B514" s="95" t="n"/>
      <c r="C514" s="95" t="n"/>
      <c r="D514" s="96" t="n"/>
      <c r="E514" s="96" t="n"/>
      <c r="F514" s="96" t="n"/>
      <c r="G514" s="96" t="n"/>
      <c r="H514" s="97" t="n"/>
      <c r="I514" s="90">
        <f>IF($G514="","",IF($F514="",IFERROR(INDEX(Setup!$C$21:$C$60,MATCH("|"&amp;UPPER(TRIM($G514)),Setup!$Q$21:$Q$60,0)),"NO RATE"),IFERROR(INDEX(Setup!$C$21:$C$60,MATCH(UPPER(TRIM($F514))&amp;"|"&amp;UPPER(TRIM($G514)),Setup!$P$21:$P$60,0)),IFERROR(INDEX(Setup!$C$21:$C$60,MATCH(UPPER(TRIM($G514))&amp;"|"&amp;UPPER(TRIM($F514)),Setup!$P$21:$P$60,0)),"NO RATE"))))</f>
        <v/>
      </c>
      <c r="J514" s="98" t="n"/>
      <c r="K514" s="90">
        <f>IF(OR($G514="",$H514="",NOT(ISNUMBER($I514))),"",ROUND($H514*$I514*(1+IF($J514="",Setup!$B$16,$J514)),2))</f>
        <v/>
      </c>
      <c r="L514" s="90">
        <f>IF($K514="","",ROUND($K514*Setup!$B$13,2))</f>
        <v/>
      </c>
      <c r="M514" s="90">
        <f>IF($K514="","",$K514-$L514)</f>
        <v/>
      </c>
      <c r="N514" s="90">
        <f>IF(OR($M514="",$D514=""),"",ROUND($M514*IFERROR(IF(VLOOKUP($D514,Setup!$A$76:$C$87,3,FALSE)="",Setup!$B$14,VLOOKUP($D514,Setup!$A$76:$C$87,3,FALSE)),Setup!$B$14),2))</f>
        <v/>
      </c>
      <c r="O514" s="90">
        <f>IF(OR($M514="",$E514=""),"",ROUND($M514*IFERROR(IF(VLOOKUP($E514,Setup!$A$76:$C$87,3,FALSE)="",Setup!$B$15,VLOOKUP($E514,Setup!$A$76:$C$87,3,FALSE)),Setup!$B$15),2))</f>
        <v/>
      </c>
      <c r="P514" s="99" t="n"/>
      <c r="Q514" s="99" t="n"/>
      <c r="R514" s="99" t="n"/>
      <c r="S514" s="99" t="n"/>
      <c r="T514" s="99" t="n"/>
      <c r="U514" s="90">
        <f>IF($K514="","",SUM($R514:$T514))</f>
        <v/>
      </c>
      <c r="V514" s="90">
        <f>IF($K514="","",$M514-(N($N514)+N($O514)+IF($P514="",Setup!$B$17,$P514)+N($Q514))-N($U514))</f>
        <v/>
      </c>
      <c r="W514" s="95" t="n"/>
      <c r="X514" s="96" t="n"/>
      <c r="Z514" s="93">
        <f>IF($A514="","",DATE(YEAR($A514),MONTH($A514),1))</f>
        <v/>
      </c>
    </row>
    <row r="515">
      <c r="A515" s="86" t="n"/>
      <c r="B515" s="87" t="n"/>
      <c r="C515" s="87" t="n"/>
      <c r="D515" s="88" t="n"/>
      <c r="E515" s="88" t="n"/>
      <c r="F515" s="88" t="n"/>
      <c r="G515" s="88" t="n"/>
      <c r="H515" s="89" t="n"/>
      <c r="I515" s="90">
        <f>IF($G515="","",IF($F515="",IFERROR(INDEX(Setup!$C$21:$C$60,MATCH("|"&amp;UPPER(TRIM($G515)),Setup!$Q$21:$Q$60,0)),"NO RATE"),IFERROR(INDEX(Setup!$C$21:$C$60,MATCH(UPPER(TRIM($F515))&amp;"|"&amp;UPPER(TRIM($G515)),Setup!$P$21:$P$60,0)),IFERROR(INDEX(Setup!$C$21:$C$60,MATCH(UPPER(TRIM($G515))&amp;"|"&amp;UPPER(TRIM($F515)),Setup!$P$21:$P$60,0)),"NO RATE"))))</f>
        <v/>
      </c>
      <c r="J515" s="91" t="n"/>
      <c r="K515" s="90">
        <f>IF(OR($G515="",$H515="",NOT(ISNUMBER($I515))),"",ROUND($H515*$I515*(1+IF($J515="",Setup!$B$16,$J515)),2))</f>
        <v/>
      </c>
      <c r="L515" s="90">
        <f>IF($K515="","",ROUND($K515*Setup!$B$13,2))</f>
        <v/>
      </c>
      <c r="M515" s="90">
        <f>IF($K515="","",$K515-$L515)</f>
        <v/>
      </c>
      <c r="N515" s="90">
        <f>IF(OR($M515="",$D515=""),"",ROUND($M515*IFERROR(IF(VLOOKUP($D515,Setup!$A$76:$C$87,3,FALSE)="",Setup!$B$14,VLOOKUP($D515,Setup!$A$76:$C$87,3,FALSE)),Setup!$B$14),2))</f>
        <v/>
      </c>
      <c r="O515" s="90">
        <f>IF(OR($M515="",$E515=""),"",ROUND($M515*IFERROR(IF(VLOOKUP($E515,Setup!$A$76:$C$87,3,FALSE)="",Setup!$B$15,VLOOKUP($E515,Setup!$A$76:$C$87,3,FALSE)),Setup!$B$15),2))</f>
        <v/>
      </c>
      <c r="P515" s="92" t="n"/>
      <c r="Q515" s="92" t="n"/>
      <c r="R515" s="92" t="n"/>
      <c r="S515" s="92" t="n"/>
      <c r="T515" s="92" t="n"/>
      <c r="U515" s="90">
        <f>IF($K515="","",SUM($R515:$T515))</f>
        <v/>
      </c>
      <c r="V515" s="90">
        <f>IF($K515="","",$M515-(N($N515)+N($O515)+IF($P515="",Setup!$B$17,$P515)+N($Q515))-N($U515))</f>
        <v/>
      </c>
      <c r="W515" s="87" t="n"/>
      <c r="X515" s="88" t="n"/>
      <c r="Z515" s="93">
        <f>IF($A515="","",DATE(YEAR($A515),MONTH($A515),1))</f>
        <v/>
      </c>
    </row>
    <row r="516">
      <c r="A516" s="94" t="n"/>
      <c r="B516" s="95" t="n"/>
      <c r="C516" s="95" t="n"/>
      <c r="D516" s="96" t="n"/>
      <c r="E516" s="96" t="n"/>
      <c r="F516" s="96" t="n"/>
      <c r="G516" s="96" t="n"/>
      <c r="H516" s="97" t="n"/>
      <c r="I516" s="90">
        <f>IF($G516="","",IF($F516="",IFERROR(INDEX(Setup!$C$21:$C$60,MATCH("|"&amp;UPPER(TRIM($G516)),Setup!$Q$21:$Q$60,0)),"NO RATE"),IFERROR(INDEX(Setup!$C$21:$C$60,MATCH(UPPER(TRIM($F516))&amp;"|"&amp;UPPER(TRIM($G516)),Setup!$P$21:$P$60,0)),IFERROR(INDEX(Setup!$C$21:$C$60,MATCH(UPPER(TRIM($G516))&amp;"|"&amp;UPPER(TRIM($F516)),Setup!$P$21:$P$60,0)),"NO RATE"))))</f>
        <v/>
      </c>
      <c r="J516" s="98" t="n"/>
      <c r="K516" s="90">
        <f>IF(OR($G516="",$H516="",NOT(ISNUMBER($I516))),"",ROUND($H516*$I516*(1+IF($J516="",Setup!$B$16,$J516)),2))</f>
        <v/>
      </c>
      <c r="L516" s="90">
        <f>IF($K516="","",ROUND($K516*Setup!$B$13,2))</f>
        <v/>
      </c>
      <c r="M516" s="90">
        <f>IF($K516="","",$K516-$L516)</f>
        <v/>
      </c>
      <c r="N516" s="90">
        <f>IF(OR($M516="",$D516=""),"",ROUND($M516*IFERROR(IF(VLOOKUP($D516,Setup!$A$76:$C$87,3,FALSE)="",Setup!$B$14,VLOOKUP($D516,Setup!$A$76:$C$87,3,FALSE)),Setup!$B$14),2))</f>
        <v/>
      </c>
      <c r="O516" s="90">
        <f>IF(OR($M516="",$E516=""),"",ROUND($M516*IFERROR(IF(VLOOKUP($E516,Setup!$A$76:$C$87,3,FALSE)="",Setup!$B$15,VLOOKUP($E516,Setup!$A$76:$C$87,3,FALSE)),Setup!$B$15),2))</f>
        <v/>
      </c>
      <c r="P516" s="99" t="n"/>
      <c r="Q516" s="99" t="n"/>
      <c r="R516" s="99" t="n"/>
      <c r="S516" s="99" t="n"/>
      <c r="T516" s="99" t="n"/>
      <c r="U516" s="90">
        <f>IF($K516="","",SUM($R516:$T516))</f>
        <v/>
      </c>
      <c r="V516" s="90">
        <f>IF($K516="","",$M516-(N($N516)+N($O516)+IF($P516="",Setup!$B$17,$P516)+N($Q516))-N($U516))</f>
        <v/>
      </c>
      <c r="W516" s="95" t="n"/>
      <c r="X516" s="96" t="n"/>
      <c r="Z516" s="93">
        <f>IF($A516="","",DATE(YEAR($A516),MONTH($A516),1))</f>
        <v/>
      </c>
    </row>
    <row r="517">
      <c r="A517" s="86" t="n"/>
      <c r="B517" s="87" t="n"/>
      <c r="C517" s="87" t="n"/>
      <c r="D517" s="88" t="n"/>
      <c r="E517" s="88" t="n"/>
      <c r="F517" s="88" t="n"/>
      <c r="G517" s="88" t="n"/>
      <c r="H517" s="89" t="n"/>
      <c r="I517" s="90">
        <f>IF($G517="","",IF($F517="",IFERROR(INDEX(Setup!$C$21:$C$60,MATCH("|"&amp;UPPER(TRIM($G517)),Setup!$Q$21:$Q$60,0)),"NO RATE"),IFERROR(INDEX(Setup!$C$21:$C$60,MATCH(UPPER(TRIM($F517))&amp;"|"&amp;UPPER(TRIM($G517)),Setup!$P$21:$P$60,0)),IFERROR(INDEX(Setup!$C$21:$C$60,MATCH(UPPER(TRIM($G517))&amp;"|"&amp;UPPER(TRIM($F517)),Setup!$P$21:$P$60,0)),"NO RATE"))))</f>
        <v/>
      </c>
      <c r="J517" s="91" t="n"/>
      <c r="K517" s="90">
        <f>IF(OR($G517="",$H517="",NOT(ISNUMBER($I517))),"",ROUND($H517*$I517*(1+IF($J517="",Setup!$B$16,$J517)),2))</f>
        <v/>
      </c>
      <c r="L517" s="90">
        <f>IF($K517="","",ROUND($K517*Setup!$B$13,2))</f>
        <v/>
      </c>
      <c r="M517" s="90">
        <f>IF($K517="","",$K517-$L517)</f>
        <v/>
      </c>
      <c r="N517" s="90">
        <f>IF(OR($M517="",$D517=""),"",ROUND($M517*IFERROR(IF(VLOOKUP($D517,Setup!$A$76:$C$87,3,FALSE)="",Setup!$B$14,VLOOKUP($D517,Setup!$A$76:$C$87,3,FALSE)),Setup!$B$14),2))</f>
        <v/>
      </c>
      <c r="O517" s="90">
        <f>IF(OR($M517="",$E517=""),"",ROUND($M517*IFERROR(IF(VLOOKUP($E517,Setup!$A$76:$C$87,3,FALSE)="",Setup!$B$15,VLOOKUP($E517,Setup!$A$76:$C$87,3,FALSE)),Setup!$B$15),2))</f>
        <v/>
      </c>
      <c r="P517" s="92" t="n"/>
      <c r="Q517" s="92" t="n"/>
      <c r="R517" s="92" t="n"/>
      <c r="S517" s="92" t="n"/>
      <c r="T517" s="92" t="n"/>
      <c r="U517" s="90">
        <f>IF($K517="","",SUM($R517:$T517))</f>
        <v/>
      </c>
      <c r="V517" s="90">
        <f>IF($K517="","",$M517-(N($N517)+N($O517)+IF($P517="",Setup!$B$17,$P517)+N($Q517))-N($U517))</f>
        <v/>
      </c>
      <c r="W517" s="87" t="n"/>
      <c r="X517" s="88" t="n"/>
      <c r="Z517" s="93">
        <f>IF($A517="","",DATE(YEAR($A517),MONTH($A517),1))</f>
        <v/>
      </c>
    </row>
    <row r="518">
      <c r="A518" s="94" t="n"/>
      <c r="B518" s="95" t="n"/>
      <c r="C518" s="95" t="n"/>
      <c r="D518" s="96" t="n"/>
      <c r="E518" s="96" t="n"/>
      <c r="F518" s="96" t="n"/>
      <c r="G518" s="96" t="n"/>
      <c r="H518" s="97" t="n"/>
      <c r="I518" s="90">
        <f>IF($G518="","",IF($F518="",IFERROR(INDEX(Setup!$C$21:$C$60,MATCH("|"&amp;UPPER(TRIM($G518)),Setup!$Q$21:$Q$60,0)),"NO RATE"),IFERROR(INDEX(Setup!$C$21:$C$60,MATCH(UPPER(TRIM($F518))&amp;"|"&amp;UPPER(TRIM($G518)),Setup!$P$21:$P$60,0)),IFERROR(INDEX(Setup!$C$21:$C$60,MATCH(UPPER(TRIM($G518))&amp;"|"&amp;UPPER(TRIM($F518)),Setup!$P$21:$P$60,0)),"NO RATE"))))</f>
        <v/>
      </c>
      <c r="J518" s="98" t="n"/>
      <c r="K518" s="90">
        <f>IF(OR($G518="",$H518="",NOT(ISNUMBER($I518))),"",ROUND($H518*$I518*(1+IF($J518="",Setup!$B$16,$J518)),2))</f>
        <v/>
      </c>
      <c r="L518" s="90">
        <f>IF($K518="","",ROUND($K518*Setup!$B$13,2))</f>
        <v/>
      </c>
      <c r="M518" s="90">
        <f>IF($K518="","",$K518-$L518)</f>
        <v/>
      </c>
      <c r="N518" s="90">
        <f>IF(OR($M518="",$D518=""),"",ROUND($M518*IFERROR(IF(VLOOKUP($D518,Setup!$A$76:$C$87,3,FALSE)="",Setup!$B$14,VLOOKUP($D518,Setup!$A$76:$C$87,3,FALSE)),Setup!$B$14),2))</f>
        <v/>
      </c>
      <c r="O518" s="90">
        <f>IF(OR($M518="",$E518=""),"",ROUND($M518*IFERROR(IF(VLOOKUP($E518,Setup!$A$76:$C$87,3,FALSE)="",Setup!$B$15,VLOOKUP($E518,Setup!$A$76:$C$87,3,FALSE)),Setup!$B$15),2))</f>
        <v/>
      </c>
      <c r="P518" s="99" t="n"/>
      <c r="Q518" s="99" t="n"/>
      <c r="R518" s="99" t="n"/>
      <c r="S518" s="99" t="n"/>
      <c r="T518" s="99" t="n"/>
      <c r="U518" s="90">
        <f>IF($K518="","",SUM($R518:$T518))</f>
        <v/>
      </c>
      <c r="V518" s="90">
        <f>IF($K518="","",$M518-(N($N518)+N($O518)+IF($P518="",Setup!$B$17,$P518)+N($Q518))-N($U518))</f>
        <v/>
      </c>
      <c r="W518" s="95" t="n"/>
      <c r="X518" s="96" t="n"/>
      <c r="Z518" s="93">
        <f>IF($A518="","",DATE(YEAR($A518),MONTH($A518),1))</f>
        <v/>
      </c>
    </row>
    <row r="519">
      <c r="A519" s="86" t="n"/>
      <c r="B519" s="87" t="n"/>
      <c r="C519" s="87" t="n"/>
      <c r="D519" s="88" t="n"/>
      <c r="E519" s="88" t="n"/>
      <c r="F519" s="88" t="n"/>
      <c r="G519" s="88" t="n"/>
      <c r="H519" s="89" t="n"/>
      <c r="I519" s="90">
        <f>IF($G519="","",IF($F519="",IFERROR(INDEX(Setup!$C$21:$C$60,MATCH("|"&amp;UPPER(TRIM($G519)),Setup!$Q$21:$Q$60,0)),"NO RATE"),IFERROR(INDEX(Setup!$C$21:$C$60,MATCH(UPPER(TRIM($F519))&amp;"|"&amp;UPPER(TRIM($G519)),Setup!$P$21:$P$60,0)),IFERROR(INDEX(Setup!$C$21:$C$60,MATCH(UPPER(TRIM($G519))&amp;"|"&amp;UPPER(TRIM($F519)),Setup!$P$21:$P$60,0)),"NO RATE"))))</f>
        <v/>
      </c>
      <c r="J519" s="91" t="n"/>
      <c r="K519" s="90">
        <f>IF(OR($G519="",$H519="",NOT(ISNUMBER($I519))),"",ROUND($H519*$I519*(1+IF($J519="",Setup!$B$16,$J519)),2))</f>
        <v/>
      </c>
      <c r="L519" s="90">
        <f>IF($K519="","",ROUND($K519*Setup!$B$13,2))</f>
        <v/>
      </c>
      <c r="M519" s="90">
        <f>IF($K519="","",$K519-$L519)</f>
        <v/>
      </c>
      <c r="N519" s="90">
        <f>IF(OR($M519="",$D519=""),"",ROUND($M519*IFERROR(IF(VLOOKUP($D519,Setup!$A$76:$C$87,3,FALSE)="",Setup!$B$14,VLOOKUP($D519,Setup!$A$76:$C$87,3,FALSE)),Setup!$B$14),2))</f>
        <v/>
      </c>
      <c r="O519" s="90">
        <f>IF(OR($M519="",$E519=""),"",ROUND($M519*IFERROR(IF(VLOOKUP($E519,Setup!$A$76:$C$87,3,FALSE)="",Setup!$B$15,VLOOKUP($E519,Setup!$A$76:$C$87,3,FALSE)),Setup!$B$15),2))</f>
        <v/>
      </c>
      <c r="P519" s="92" t="n"/>
      <c r="Q519" s="92" t="n"/>
      <c r="R519" s="92" t="n"/>
      <c r="S519" s="92" t="n"/>
      <c r="T519" s="92" t="n"/>
      <c r="U519" s="90">
        <f>IF($K519="","",SUM($R519:$T519))</f>
        <v/>
      </c>
      <c r="V519" s="90">
        <f>IF($K519="","",$M519-(N($N519)+N($O519)+IF($P519="",Setup!$B$17,$P519)+N($Q519))-N($U519))</f>
        <v/>
      </c>
      <c r="W519" s="87" t="n"/>
      <c r="X519" s="88" t="n"/>
      <c r="Z519" s="93">
        <f>IF($A519="","",DATE(YEAR($A519),MONTH($A519),1))</f>
        <v/>
      </c>
    </row>
    <row r="520">
      <c r="A520" s="94" t="n"/>
      <c r="B520" s="95" t="n"/>
      <c r="C520" s="95" t="n"/>
      <c r="D520" s="96" t="n"/>
      <c r="E520" s="96" t="n"/>
      <c r="F520" s="96" t="n"/>
      <c r="G520" s="96" t="n"/>
      <c r="H520" s="97" t="n"/>
      <c r="I520" s="90">
        <f>IF($G520="","",IF($F520="",IFERROR(INDEX(Setup!$C$21:$C$60,MATCH("|"&amp;UPPER(TRIM($G520)),Setup!$Q$21:$Q$60,0)),"NO RATE"),IFERROR(INDEX(Setup!$C$21:$C$60,MATCH(UPPER(TRIM($F520))&amp;"|"&amp;UPPER(TRIM($G520)),Setup!$P$21:$P$60,0)),IFERROR(INDEX(Setup!$C$21:$C$60,MATCH(UPPER(TRIM($G520))&amp;"|"&amp;UPPER(TRIM($F520)),Setup!$P$21:$P$60,0)),"NO RATE"))))</f>
        <v/>
      </c>
      <c r="J520" s="98" t="n"/>
      <c r="K520" s="90">
        <f>IF(OR($G520="",$H520="",NOT(ISNUMBER($I520))),"",ROUND($H520*$I520*(1+IF($J520="",Setup!$B$16,$J520)),2))</f>
        <v/>
      </c>
      <c r="L520" s="90">
        <f>IF($K520="","",ROUND($K520*Setup!$B$13,2))</f>
        <v/>
      </c>
      <c r="M520" s="90">
        <f>IF($K520="","",$K520-$L520)</f>
        <v/>
      </c>
      <c r="N520" s="90">
        <f>IF(OR($M520="",$D520=""),"",ROUND($M520*IFERROR(IF(VLOOKUP($D520,Setup!$A$76:$C$87,3,FALSE)="",Setup!$B$14,VLOOKUP($D520,Setup!$A$76:$C$87,3,FALSE)),Setup!$B$14),2))</f>
        <v/>
      </c>
      <c r="O520" s="90">
        <f>IF(OR($M520="",$E520=""),"",ROUND($M520*IFERROR(IF(VLOOKUP($E520,Setup!$A$76:$C$87,3,FALSE)="",Setup!$B$15,VLOOKUP($E520,Setup!$A$76:$C$87,3,FALSE)),Setup!$B$15),2))</f>
        <v/>
      </c>
      <c r="P520" s="99" t="n"/>
      <c r="Q520" s="99" t="n"/>
      <c r="R520" s="99" t="n"/>
      <c r="S520" s="99" t="n"/>
      <c r="T520" s="99" t="n"/>
      <c r="U520" s="90">
        <f>IF($K520="","",SUM($R520:$T520))</f>
        <v/>
      </c>
      <c r="V520" s="90">
        <f>IF($K520="","",$M520-(N($N520)+N($O520)+IF($P520="",Setup!$B$17,$P520)+N($Q520))-N($U520))</f>
        <v/>
      </c>
      <c r="W520" s="95" t="n"/>
      <c r="X520" s="96" t="n"/>
      <c r="Z520" s="93">
        <f>IF($A520="","",DATE(YEAR($A520),MONTH($A520),1))</f>
        <v/>
      </c>
    </row>
    <row r="521">
      <c r="A521" s="86" t="n"/>
      <c r="B521" s="87" t="n"/>
      <c r="C521" s="87" t="n"/>
      <c r="D521" s="88" t="n"/>
      <c r="E521" s="88" t="n"/>
      <c r="F521" s="88" t="n"/>
      <c r="G521" s="88" t="n"/>
      <c r="H521" s="89" t="n"/>
      <c r="I521" s="90">
        <f>IF($G521="","",IF($F521="",IFERROR(INDEX(Setup!$C$21:$C$60,MATCH("|"&amp;UPPER(TRIM($G521)),Setup!$Q$21:$Q$60,0)),"NO RATE"),IFERROR(INDEX(Setup!$C$21:$C$60,MATCH(UPPER(TRIM($F521))&amp;"|"&amp;UPPER(TRIM($G521)),Setup!$P$21:$P$60,0)),IFERROR(INDEX(Setup!$C$21:$C$60,MATCH(UPPER(TRIM($G521))&amp;"|"&amp;UPPER(TRIM($F521)),Setup!$P$21:$P$60,0)),"NO RATE"))))</f>
        <v/>
      </c>
      <c r="J521" s="91" t="n"/>
      <c r="K521" s="90">
        <f>IF(OR($G521="",$H521="",NOT(ISNUMBER($I521))),"",ROUND($H521*$I521*(1+IF($J521="",Setup!$B$16,$J521)),2))</f>
        <v/>
      </c>
      <c r="L521" s="90">
        <f>IF($K521="","",ROUND($K521*Setup!$B$13,2))</f>
        <v/>
      </c>
      <c r="M521" s="90">
        <f>IF($K521="","",$K521-$L521)</f>
        <v/>
      </c>
      <c r="N521" s="90">
        <f>IF(OR($M521="",$D521=""),"",ROUND($M521*IFERROR(IF(VLOOKUP($D521,Setup!$A$76:$C$87,3,FALSE)="",Setup!$B$14,VLOOKUP($D521,Setup!$A$76:$C$87,3,FALSE)),Setup!$B$14),2))</f>
        <v/>
      </c>
      <c r="O521" s="90">
        <f>IF(OR($M521="",$E521=""),"",ROUND($M521*IFERROR(IF(VLOOKUP($E521,Setup!$A$76:$C$87,3,FALSE)="",Setup!$B$15,VLOOKUP($E521,Setup!$A$76:$C$87,3,FALSE)),Setup!$B$15),2))</f>
        <v/>
      </c>
      <c r="P521" s="92" t="n"/>
      <c r="Q521" s="92" t="n"/>
      <c r="R521" s="92" t="n"/>
      <c r="S521" s="92" t="n"/>
      <c r="T521" s="92" t="n"/>
      <c r="U521" s="90">
        <f>IF($K521="","",SUM($R521:$T521))</f>
        <v/>
      </c>
      <c r="V521" s="90">
        <f>IF($K521="","",$M521-(N($N521)+N($O521)+IF($P521="",Setup!$B$17,$P521)+N($Q521))-N($U521))</f>
        <v/>
      </c>
      <c r="W521" s="87" t="n"/>
      <c r="X521" s="88" t="n"/>
      <c r="Z521" s="93">
        <f>IF($A521="","",DATE(YEAR($A521),MONTH($A521),1))</f>
        <v/>
      </c>
    </row>
    <row r="522">
      <c r="A522" s="94" t="n"/>
      <c r="B522" s="95" t="n"/>
      <c r="C522" s="95" t="n"/>
      <c r="D522" s="96" t="n"/>
      <c r="E522" s="96" t="n"/>
      <c r="F522" s="96" t="n"/>
      <c r="G522" s="96" t="n"/>
      <c r="H522" s="97" t="n"/>
      <c r="I522" s="90">
        <f>IF($G522="","",IF($F522="",IFERROR(INDEX(Setup!$C$21:$C$60,MATCH("|"&amp;UPPER(TRIM($G522)),Setup!$Q$21:$Q$60,0)),"NO RATE"),IFERROR(INDEX(Setup!$C$21:$C$60,MATCH(UPPER(TRIM($F522))&amp;"|"&amp;UPPER(TRIM($G522)),Setup!$P$21:$P$60,0)),IFERROR(INDEX(Setup!$C$21:$C$60,MATCH(UPPER(TRIM($G522))&amp;"|"&amp;UPPER(TRIM($F522)),Setup!$P$21:$P$60,0)),"NO RATE"))))</f>
        <v/>
      </c>
      <c r="J522" s="98" t="n"/>
      <c r="K522" s="90">
        <f>IF(OR($G522="",$H522="",NOT(ISNUMBER($I522))),"",ROUND($H522*$I522*(1+IF($J522="",Setup!$B$16,$J522)),2))</f>
        <v/>
      </c>
      <c r="L522" s="90">
        <f>IF($K522="","",ROUND($K522*Setup!$B$13,2))</f>
        <v/>
      </c>
      <c r="M522" s="90">
        <f>IF($K522="","",$K522-$L522)</f>
        <v/>
      </c>
      <c r="N522" s="90">
        <f>IF(OR($M522="",$D522=""),"",ROUND($M522*IFERROR(IF(VLOOKUP($D522,Setup!$A$76:$C$87,3,FALSE)="",Setup!$B$14,VLOOKUP($D522,Setup!$A$76:$C$87,3,FALSE)),Setup!$B$14),2))</f>
        <v/>
      </c>
      <c r="O522" s="90">
        <f>IF(OR($M522="",$E522=""),"",ROUND($M522*IFERROR(IF(VLOOKUP($E522,Setup!$A$76:$C$87,3,FALSE)="",Setup!$B$15,VLOOKUP($E522,Setup!$A$76:$C$87,3,FALSE)),Setup!$B$15),2))</f>
        <v/>
      </c>
      <c r="P522" s="99" t="n"/>
      <c r="Q522" s="99" t="n"/>
      <c r="R522" s="99" t="n"/>
      <c r="S522" s="99" t="n"/>
      <c r="T522" s="99" t="n"/>
      <c r="U522" s="90">
        <f>IF($K522="","",SUM($R522:$T522))</f>
        <v/>
      </c>
      <c r="V522" s="90">
        <f>IF($K522="","",$M522-(N($N522)+N($O522)+IF($P522="",Setup!$B$17,$P522)+N($Q522))-N($U522))</f>
        <v/>
      </c>
      <c r="W522" s="95" t="n"/>
      <c r="X522" s="96" t="n"/>
      <c r="Z522" s="93">
        <f>IF($A522="","",DATE(YEAR($A522),MONTH($A522),1))</f>
        <v/>
      </c>
    </row>
    <row r="523">
      <c r="A523" s="86" t="n"/>
      <c r="B523" s="87" t="n"/>
      <c r="C523" s="87" t="n"/>
      <c r="D523" s="88" t="n"/>
      <c r="E523" s="88" t="n"/>
      <c r="F523" s="88" t="n"/>
      <c r="G523" s="88" t="n"/>
      <c r="H523" s="89" t="n"/>
      <c r="I523" s="90">
        <f>IF($G523="","",IF($F523="",IFERROR(INDEX(Setup!$C$21:$C$60,MATCH("|"&amp;UPPER(TRIM($G523)),Setup!$Q$21:$Q$60,0)),"NO RATE"),IFERROR(INDEX(Setup!$C$21:$C$60,MATCH(UPPER(TRIM($F523))&amp;"|"&amp;UPPER(TRIM($G523)),Setup!$P$21:$P$60,0)),IFERROR(INDEX(Setup!$C$21:$C$60,MATCH(UPPER(TRIM($G523))&amp;"|"&amp;UPPER(TRIM($F523)),Setup!$P$21:$P$60,0)),"NO RATE"))))</f>
        <v/>
      </c>
      <c r="J523" s="91" t="n"/>
      <c r="K523" s="90">
        <f>IF(OR($G523="",$H523="",NOT(ISNUMBER($I523))),"",ROUND($H523*$I523*(1+IF($J523="",Setup!$B$16,$J523)),2))</f>
        <v/>
      </c>
      <c r="L523" s="90">
        <f>IF($K523="","",ROUND($K523*Setup!$B$13,2))</f>
        <v/>
      </c>
      <c r="M523" s="90">
        <f>IF($K523="","",$K523-$L523)</f>
        <v/>
      </c>
      <c r="N523" s="90">
        <f>IF(OR($M523="",$D523=""),"",ROUND($M523*IFERROR(IF(VLOOKUP($D523,Setup!$A$76:$C$87,3,FALSE)="",Setup!$B$14,VLOOKUP($D523,Setup!$A$76:$C$87,3,FALSE)),Setup!$B$14),2))</f>
        <v/>
      </c>
      <c r="O523" s="90">
        <f>IF(OR($M523="",$E523=""),"",ROUND($M523*IFERROR(IF(VLOOKUP($E523,Setup!$A$76:$C$87,3,FALSE)="",Setup!$B$15,VLOOKUP($E523,Setup!$A$76:$C$87,3,FALSE)),Setup!$B$15),2))</f>
        <v/>
      </c>
      <c r="P523" s="92" t="n"/>
      <c r="Q523" s="92" t="n"/>
      <c r="R523" s="92" t="n"/>
      <c r="S523" s="92" t="n"/>
      <c r="T523" s="92" t="n"/>
      <c r="U523" s="90">
        <f>IF($K523="","",SUM($R523:$T523))</f>
        <v/>
      </c>
      <c r="V523" s="90">
        <f>IF($K523="","",$M523-(N($N523)+N($O523)+IF($P523="",Setup!$B$17,$P523)+N($Q523))-N($U523))</f>
        <v/>
      </c>
      <c r="W523" s="87" t="n"/>
      <c r="X523" s="88" t="n"/>
      <c r="Z523" s="93">
        <f>IF($A523="","",DATE(YEAR($A523),MONTH($A523),1))</f>
        <v/>
      </c>
    </row>
    <row r="524">
      <c r="A524" s="94" t="n"/>
      <c r="B524" s="95" t="n"/>
      <c r="C524" s="95" t="n"/>
      <c r="D524" s="96" t="n"/>
      <c r="E524" s="96" t="n"/>
      <c r="F524" s="96" t="n"/>
      <c r="G524" s="96" t="n"/>
      <c r="H524" s="97" t="n"/>
      <c r="I524" s="90">
        <f>IF($G524="","",IF($F524="",IFERROR(INDEX(Setup!$C$21:$C$60,MATCH("|"&amp;UPPER(TRIM($G524)),Setup!$Q$21:$Q$60,0)),"NO RATE"),IFERROR(INDEX(Setup!$C$21:$C$60,MATCH(UPPER(TRIM($F524))&amp;"|"&amp;UPPER(TRIM($G524)),Setup!$P$21:$P$60,0)),IFERROR(INDEX(Setup!$C$21:$C$60,MATCH(UPPER(TRIM($G524))&amp;"|"&amp;UPPER(TRIM($F524)),Setup!$P$21:$P$60,0)),"NO RATE"))))</f>
        <v/>
      </c>
      <c r="J524" s="98" t="n"/>
      <c r="K524" s="90">
        <f>IF(OR($G524="",$H524="",NOT(ISNUMBER($I524))),"",ROUND($H524*$I524*(1+IF($J524="",Setup!$B$16,$J524)),2))</f>
        <v/>
      </c>
      <c r="L524" s="90">
        <f>IF($K524="","",ROUND($K524*Setup!$B$13,2))</f>
        <v/>
      </c>
      <c r="M524" s="90">
        <f>IF($K524="","",$K524-$L524)</f>
        <v/>
      </c>
      <c r="N524" s="90">
        <f>IF(OR($M524="",$D524=""),"",ROUND($M524*IFERROR(IF(VLOOKUP($D524,Setup!$A$76:$C$87,3,FALSE)="",Setup!$B$14,VLOOKUP($D524,Setup!$A$76:$C$87,3,FALSE)),Setup!$B$14),2))</f>
        <v/>
      </c>
      <c r="O524" s="90">
        <f>IF(OR($M524="",$E524=""),"",ROUND($M524*IFERROR(IF(VLOOKUP($E524,Setup!$A$76:$C$87,3,FALSE)="",Setup!$B$15,VLOOKUP($E524,Setup!$A$76:$C$87,3,FALSE)),Setup!$B$15),2))</f>
        <v/>
      </c>
      <c r="P524" s="99" t="n"/>
      <c r="Q524" s="99" t="n"/>
      <c r="R524" s="99" t="n"/>
      <c r="S524" s="99" t="n"/>
      <c r="T524" s="99" t="n"/>
      <c r="U524" s="90">
        <f>IF($K524="","",SUM($R524:$T524))</f>
        <v/>
      </c>
      <c r="V524" s="90">
        <f>IF($K524="","",$M524-(N($N524)+N($O524)+IF($P524="",Setup!$B$17,$P524)+N($Q524))-N($U524))</f>
        <v/>
      </c>
      <c r="W524" s="95" t="n"/>
      <c r="X524" s="96" t="n"/>
      <c r="Z524" s="93">
        <f>IF($A524="","",DATE(YEAR($A524),MONTH($A524),1))</f>
        <v/>
      </c>
    </row>
    <row r="525">
      <c r="A525" s="86" t="n"/>
      <c r="B525" s="87" t="n"/>
      <c r="C525" s="87" t="n"/>
      <c r="D525" s="88" t="n"/>
      <c r="E525" s="88" t="n"/>
      <c r="F525" s="88" t="n"/>
      <c r="G525" s="88" t="n"/>
      <c r="H525" s="89" t="n"/>
      <c r="I525" s="90">
        <f>IF($G525="","",IF($F525="",IFERROR(INDEX(Setup!$C$21:$C$60,MATCH("|"&amp;UPPER(TRIM($G525)),Setup!$Q$21:$Q$60,0)),"NO RATE"),IFERROR(INDEX(Setup!$C$21:$C$60,MATCH(UPPER(TRIM($F525))&amp;"|"&amp;UPPER(TRIM($G525)),Setup!$P$21:$P$60,0)),IFERROR(INDEX(Setup!$C$21:$C$60,MATCH(UPPER(TRIM($G525))&amp;"|"&amp;UPPER(TRIM($F525)),Setup!$P$21:$P$60,0)),"NO RATE"))))</f>
        <v/>
      </c>
      <c r="J525" s="91" t="n"/>
      <c r="K525" s="90">
        <f>IF(OR($G525="",$H525="",NOT(ISNUMBER($I525))),"",ROUND($H525*$I525*(1+IF($J525="",Setup!$B$16,$J525)),2))</f>
        <v/>
      </c>
      <c r="L525" s="90">
        <f>IF($K525="","",ROUND($K525*Setup!$B$13,2))</f>
        <v/>
      </c>
      <c r="M525" s="90">
        <f>IF($K525="","",$K525-$L525)</f>
        <v/>
      </c>
      <c r="N525" s="90">
        <f>IF(OR($M525="",$D525=""),"",ROUND($M525*IFERROR(IF(VLOOKUP($D525,Setup!$A$76:$C$87,3,FALSE)="",Setup!$B$14,VLOOKUP($D525,Setup!$A$76:$C$87,3,FALSE)),Setup!$B$14),2))</f>
        <v/>
      </c>
      <c r="O525" s="90">
        <f>IF(OR($M525="",$E525=""),"",ROUND($M525*IFERROR(IF(VLOOKUP($E525,Setup!$A$76:$C$87,3,FALSE)="",Setup!$B$15,VLOOKUP($E525,Setup!$A$76:$C$87,3,FALSE)),Setup!$B$15),2))</f>
        <v/>
      </c>
      <c r="P525" s="92" t="n"/>
      <c r="Q525" s="92" t="n"/>
      <c r="R525" s="92" t="n"/>
      <c r="S525" s="92" t="n"/>
      <c r="T525" s="92" t="n"/>
      <c r="U525" s="90">
        <f>IF($K525="","",SUM($R525:$T525))</f>
        <v/>
      </c>
      <c r="V525" s="90">
        <f>IF($K525="","",$M525-(N($N525)+N($O525)+IF($P525="",Setup!$B$17,$P525)+N($Q525))-N($U525))</f>
        <v/>
      </c>
      <c r="W525" s="87" t="n"/>
      <c r="X525" s="88" t="n"/>
      <c r="Z525" s="93">
        <f>IF($A525="","",DATE(YEAR($A525),MONTH($A525),1))</f>
        <v/>
      </c>
    </row>
    <row r="526">
      <c r="A526" s="94" t="n"/>
      <c r="B526" s="95" t="n"/>
      <c r="C526" s="95" t="n"/>
      <c r="D526" s="96" t="n"/>
      <c r="E526" s="96" t="n"/>
      <c r="F526" s="96" t="n"/>
      <c r="G526" s="96" t="n"/>
      <c r="H526" s="97" t="n"/>
      <c r="I526" s="90">
        <f>IF($G526="","",IF($F526="",IFERROR(INDEX(Setup!$C$21:$C$60,MATCH("|"&amp;UPPER(TRIM($G526)),Setup!$Q$21:$Q$60,0)),"NO RATE"),IFERROR(INDEX(Setup!$C$21:$C$60,MATCH(UPPER(TRIM($F526))&amp;"|"&amp;UPPER(TRIM($G526)),Setup!$P$21:$P$60,0)),IFERROR(INDEX(Setup!$C$21:$C$60,MATCH(UPPER(TRIM($G526))&amp;"|"&amp;UPPER(TRIM($F526)),Setup!$P$21:$P$60,0)),"NO RATE"))))</f>
        <v/>
      </c>
      <c r="J526" s="98" t="n"/>
      <c r="K526" s="90">
        <f>IF(OR($G526="",$H526="",NOT(ISNUMBER($I526))),"",ROUND($H526*$I526*(1+IF($J526="",Setup!$B$16,$J526)),2))</f>
        <v/>
      </c>
      <c r="L526" s="90">
        <f>IF($K526="","",ROUND($K526*Setup!$B$13,2))</f>
        <v/>
      </c>
      <c r="M526" s="90">
        <f>IF($K526="","",$K526-$L526)</f>
        <v/>
      </c>
      <c r="N526" s="90">
        <f>IF(OR($M526="",$D526=""),"",ROUND($M526*IFERROR(IF(VLOOKUP($D526,Setup!$A$76:$C$87,3,FALSE)="",Setup!$B$14,VLOOKUP($D526,Setup!$A$76:$C$87,3,FALSE)),Setup!$B$14),2))</f>
        <v/>
      </c>
      <c r="O526" s="90">
        <f>IF(OR($M526="",$E526=""),"",ROUND($M526*IFERROR(IF(VLOOKUP($E526,Setup!$A$76:$C$87,3,FALSE)="",Setup!$B$15,VLOOKUP($E526,Setup!$A$76:$C$87,3,FALSE)),Setup!$B$15),2))</f>
        <v/>
      </c>
      <c r="P526" s="99" t="n"/>
      <c r="Q526" s="99" t="n"/>
      <c r="R526" s="99" t="n"/>
      <c r="S526" s="99" t="n"/>
      <c r="T526" s="99" t="n"/>
      <c r="U526" s="90">
        <f>IF($K526="","",SUM($R526:$T526))</f>
        <v/>
      </c>
      <c r="V526" s="90">
        <f>IF($K526="","",$M526-(N($N526)+N($O526)+IF($P526="",Setup!$B$17,$P526)+N($Q526))-N($U526))</f>
        <v/>
      </c>
      <c r="W526" s="95" t="n"/>
      <c r="X526" s="96" t="n"/>
      <c r="Z526" s="93">
        <f>IF($A526="","",DATE(YEAR($A526),MONTH($A526),1))</f>
        <v/>
      </c>
    </row>
    <row r="527">
      <c r="A527" s="86" t="n"/>
      <c r="B527" s="87" t="n"/>
      <c r="C527" s="87" t="n"/>
      <c r="D527" s="88" t="n"/>
      <c r="E527" s="88" t="n"/>
      <c r="F527" s="88" t="n"/>
      <c r="G527" s="88" t="n"/>
      <c r="H527" s="89" t="n"/>
      <c r="I527" s="90">
        <f>IF($G527="","",IF($F527="",IFERROR(INDEX(Setup!$C$21:$C$60,MATCH("|"&amp;UPPER(TRIM($G527)),Setup!$Q$21:$Q$60,0)),"NO RATE"),IFERROR(INDEX(Setup!$C$21:$C$60,MATCH(UPPER(TRIM($F527))&amp;"|"&amp;UPPER(TRIM($G527)),Setup!$P$21:$P$60,0)),IFERROR(INDEX(Setup!$C$21:$C$60,MATCH(UPPER(TRIM($G527))&amp;"|"&amp;UPPER(TRIM($F527)),Setup!$P$21:$P$60,0)),"NO RATE"))))</f>
        <v/>
      </c>
      <c r="J527" s="91" t="n"/>
      <c r="K527" s="90">
        <f>IF(OR($G527="",$H527="",NOT(ISNUMBER($I527))),"",ROUND($H527*$I527*(1+IF($J527="",Setup!$B$16,$J527)),2))</f>
        <v/>
      </c>
      <c r="L527" s="90">
        <f>IF($K527="","",ROUND($K527*Setup!$B$13,2))</f>
        <v/>
      </c>
      <c r="M527" s="90">
        <f>IF($K527="","",$K527-$L527)</f>
        <v/>
      </c>
      <c r="N527" s="90">
        <f>IF(OR($M527="",$D527=""),"",ROUND($M527*IFERROR(IF(VLOOKUP($D527,Setup!$A$76:$C$87,3,FALSE)="",Setup!$B$14,VLOOKUP($D527,Setup!$A$76:$C$87,3,FALSE)),Setup!$B$14),2))</f>
        <v/>
      </c>
      <c r="O527" s="90">
        <f>IF(OR($M527="",$E527=""),"",ROUND($M527*IFERROR(IF(VLOOKUP($E527,Setup!$A$76:$C$87,3,FALSE)="",Setup!$B$15,VLOOKUP($E527,Setup!$A$76:$C$87,3,FALSE)),Setup!$B$15),2))</f>
        <v/>
      </c>
      <c r="P527" s="92" t="n"/>
      <c r="Q527" s="92" t="n"/>
      <c r="R527" s="92" t="n"/>
      <c r="S527" s="92" t="n"/>
      <c r="T527" s="92" t="n"/>
      <c r="U527" s="90">
        <f>IF($K527="","",SUM($R527:$T527))</f>
        <v/>
      </c>
      <c r="V527" s="90">
        <f>IF($K527="","",$M527-(N($N527)+N($O527)+IF($P527="",Setup!$B$17,$P527)+N($Q527))-N($U527))</f>
        <v/>
      </c>
      <c r="W527" s="87" t="n"/>
      <c r="X527" s="88" t="n"/>
      <c r="Z527" s="93">
        <f>IF($A527="","",DATE(YEAR($A527),MONTH($A527),1))</f>
        <v/>
      </c>
    </row>
    <row r="528">
      <c r="A528" s="94" t="n"/>
      <c r="B528" s="95" t="n"/>
      <c r="C528" s="95" t="n"/>
      <c r="D528" s="96" t="n"/>
      <c r="E528" s="96" t="n"/>
      <c r="F528" s="96" t="n"/>
      <c r="G528" s="96" t="n"/>
      <c r="H528" s="97" t="n"/>
      <c r="I528" s="90">
        <f>IF($G528="","",IF($F528="",IFERROR(INDEX(Setup!$C$21:$C$60,MATCH("|"&amp;UPPER(TRIM($G528)),Setup!$Q$21:$Q$60,0)),"NO RATE"),IFERROR(INDEX(Setup!$C$21:$C$60,MATCH(UPPER(TRIM($F528))&amp;"|"&amp;UPPER(TRIM($G528)),Setup!$P$21:$P$60,0)),IFERROR(INDEX(Setup!$C$21:$C$60,MATCH(UPPER(TRIM($G528))&amp;"|"&amp;UPPER(TRIM($F528)),Setup!$P$21:$P$60,0)),"NO RATE"))))</f>
        <v/>
      </c>
      <c r="J528" s="98" t="n"/>
      <c r="K528" s="90">
        <f>IF(OR($G528="",$H528="",NOT(ISNUMBER($I528))),"",ROUND($H528*$I528*(1+IF($J528="",Setup!$B$16,$J528)),2))</f>
        <v/>
      </c>
      <c r="L528" s="90">
        <f>IF($K528="","",ROUND($K528*Setup!$B$13,2))</f>
        <v/>
      </c>
      <c r="M528" s="90">
        <f>IF($K528="","",$K528-$L528)</f>
        <v/>
      </c>
      <c r="N528" s="90">
        <f>IF(OR($M528="",$D528=""),"",ROUND($M528*IFERROR(IF(VLOOKUP($D528,Setup!$A$76:$C$87,3,FALSE)="",Setup!$B$14,VLOOKUP($D528,Setup!$A$76:$C$87,3,FALSE)),Setup!$B$14),2))</f>
        <v/>
      </c>
      <c r="O528" s="90">
        <f>IF(OR($M528="",$E528=""),"",ROUND($M528*IFERROR(IF(VLOOKUP($E528,Setup!$A$76:$C$87,3,FALSE)="",Setup!$B$15,VLOOKUP($E528,Setup!$A$76:$C$87,3,FALSE)),Setup!$B$15),2))</f>
        <v/>
      </c>
      <c r="P528" s="99" t="n"/>
      <c r="Q528" s="99" t="n"/>
      <c r="R528" s="99" t="n"/>
      <c r="S528" s="99" t="n"/>
      <c r="T528" s="99" t="n"/>
      <c r="U528" s="90">
        <f>IF($K528="","",SUM($R528:$T528))</f>
        <v/>
      </c>
      <c r="V528" s="90">
        <f>IF($K528="","",$M528-(N($N528)+N($O528)+IF($P528="",Setup!$B$17,$P528)+N($Q528))-N($U528))</f>
        <v/>
      </c>
      <c r="W528" s="95" t="n"/>
      <c r="X528" s="96" t="n"/>
      <c r="Z528" s="93">
        <f>IF($A528="","",DATE(YEAR($A528),MONTH($A528),1))</f>
        <v/>
      </c>
    </row>
    <row r="529">
      <c r="A529" s="86" t="n"/>
      <c r="B529" s="87" t="n"/>
      <c r="C529" s="87" t="n"/>
      <c r="D529" s="88" t="n"/>
      <c r="E529" s="88" t="n"/>
      <c r="F529" s="88" t="n"/>
      <c r="G529" s="88" t="n"/>
      <c r="H529" s="89" t="n"/>
      <c r="I529" s="90">
        <f>IF($G529="","",IF($F529="",IFERROR(INDEX(Setup!$C$21:$C$60,MATCH("|"&amp;UPPER(TRIM($G529)),Setup!$Q$21:$Q$60,0)),"NO RATE"),IFERROR(INDEX(Setup!$C$21:$C$60,MATCH(UPPER(TRIM($F529))&amp;"|"&amp;UPPER(TRIM($G529)),Setup!$P$21:$P$60,0)),IFERROR(INDEX(Setup!$C$21:$C$60,MATCH(UPPER(TRIM($G529))&amp;"|"&amp;UPPER(TRIM($F529)),Setup!$P$21:$P$60,0)),"NO RATE"))))</f>
        <v/>
      </c>
      <c r="J529" s="91" t="n"/>
      <c r="K529" s="90">
        <f>IF(OR($G529="",$H529="",NOT(ISNUMBER($I529))),"",ROUND($H529*$I529*(1+IF($J529="",Setup!$B$16,$J529)),2))</f>
        <v/>
      </c>
      <c r="L529" s="90">
        <f>IF($K529="","",ROUND($K529*Setup!$B$13,2))</f>
        <v/>
      </c>
      <c r="M529" s="90">
        <f>IF($K529="","",$K529-$L529)</f>
        <v/>
      </c>
      <c r="N529" s="90">
        <f>IF(OR($M529="",$D529=""),"",ROUND($M529*IFERROR(IF(VLOOKUP($D529,Setup!$A$76:$C$87,3,FALSE)="",Setup!$B$14,VLOOKUP($D529,Setup!$A$76:$C$87,3,FALSE)),Setup!$B$14),2))</f>
        <v/>
      </c>
      <c r="O529" s="90">
        <f>IF(OR($M529="",$E529=""),"",ROUND($M529*IFERROR(IF(VLOOKUP($E529,Setup!$A$76:$C$87,3,FALSE)="",Setup!$B$15,VLOOKUP($E529,Setup!$A$76:$C$87,3,FALSE)),Setup!$B$15),2))</f>
        <v/>
      </c>
      <c r="P529" s="92" t="n"/>
      <c r="Q529" s="92" t="n"/>
      <c r="R529" s="92" t="n"/>
      <c r="S529" s="92" t="n"/>
      <c r="T529" s="92" t="n"/>
      <c r="U529" s="90">
        <f>IF($K529="","",SUM($R529:$T529))</f>
        <v/>
      </c>
      <c r="V529" s="90">
        <f>IF($K529="","",$M529-(N($N529)+N($O529)+IF($P529="",Setup!$B$17,$P529)+N($Q529))-N($U529))</f>
        <v/>
      </c>
      <c r="W529" s="87" t="n"/>
      <c r="X529" s="88" t="n"/>
      <c r="Z529" s="93">
        <f>IF($A529="","",DATE(YEAR($A529),MONTH($A529),1))</f>
        <v/>
      </c>
    </row>
    <row r="530">
      <c r="A530" s="94" t="n"/>
      <c r="B530" s="95" t="n"/>
      <c r="C530" s="95" t="n"/>
      <c r="D530" s="96" t="n"/>
      <c r="E530" s="96" t="n"/>
      <c r="F530" s="96" t="n"/>
      <c r="G530" s="96" t="n"/>
      <c r="H530" s="97" t="n"/>
      <c r="I530" s="90">
        <f>IF($G530="","",IF($F530="",IFERROR(INDEX(Setup!$C$21:$C$60,MATCH("|"&amp;UPPER(TRIM($G530)),Setup!$Q$21:$Q$60,0)),"NO RATE"),IFERROR(INDEX(Setup!$C$21:$C$60,MATCH(UPPER(TRIM($F530))&amp;"|"&amp;UPPER(TRIM($G530)),Setup!$P$21:$P$60,0)),IFERROR(INDEX(Setup!$C$21:$C$60,MATCH(UPPER(TRIM($G530))&amp;"|"&amp;UPPER(TRIM($F530)),Setup!$P$21:$P$60,0)),"NO RATE"))))</f>
        <v/>
      </c>
      <c r="J530" s="98" t="n"/>
      <c r="K530" s="90">
        <f>IF(OR($G530="",$H530="",NOT(ISNUMBER($I530))),"",ROUND($H530*$I530*(1+IF($J530="",Setup!$B$16,$J530)),2))</f>
        <v/>
      </c>
      <c r="L530" s="90">
        <f>IF($K530="","",ROUND($K530*Setup!$B$13,2))</f>
        <v/>
      </c>
      <c r="M530" s="90">
        <f>IF($K530="","",$K530-$L530)</f>
        <v/>
      </c>
      <c r="N530" s="90">
        <f>IF(OR($M530="",$D530=""),"",ROUND($M530*IFERROR(IF(VLOOKUP($D530,Setup!$A$76:$C$87,3,FALSE)="",Setup!$B$14,VLOOKUP($D530,Setup!$A$76:$C$87,3,FALSE)),Setup!$B$14),2))</f>
        <v/>
      </c>
      <c r="O530" s="90">
        <f>IF(OR($M530="",$E530=""),"",ROUND($M530*IFERROR(IF(VLOOKUP($E530,Setup!$A$76:$C$87,3,FALSE)="",Setup!$B$15,VLOOKUP($E530,Setup!$A$76:$C$87,3,FALSE)),Setup!$B$15),2))</f>
        <v/>
      </c>
      <c r="P530" s="99" t="n"/>
      <c r="Q530" s="99" t="n"/>
      <c r="R530" s="99" t="n"/>
      <c r="S530" s="99" t="n"/>
      <c r="T530" s="99" t="n"/>
      <c r="U530" s="90">
        <f>IF($K530="","",SUM($R530:$T530))</f>
        <v/>
      </c>
      <c r="V530" s="90">
        <f>IF($K530="","",$M530-(N($N530)+N($O530)+IF($P530="",Setup!$B$17,$P530)+N($Q530))-N($U530))</f>
        <v/>
      </c>
      <c r="W530" s="95" t="n"/>
      <c r="X530" s="96" t="n"/>
      <c r="Z530" s="93">
        <f>IF($A530="","",DATE(YEAR($A530),MONTH($A530),1))</f>
        <v/>
      </c>
    </row>
    <row r="531">
      <c r="A531" s="86" t="n"/>
      <c r="B531" s="87" t="n"/>
      <c r="C531" s="87" t="n"/>
      <c r="D531" s="88" t="n"/>
      <c r="E531" s="88" t="n"/>
      <c r="F531" s="88" t="n"/>
      <c r="G531" s="88" t="n"/>
      <c r="H531" s="89" t="n"/>
      <c r="I531" s="90">
        <f>IF($G531="","",IF($F531="",IFERROR(INDEX(Setup!$C$21:$C$60,MATCH("|"&amp;UPPER(TRIM($G531)),Setup!$Q$21:$Q$60,0)),"NO RATE"),IFERROR(INDEX(Setup!$C$21:$C$60,MATCH(UPPER(TRIM($F531))&amp;"|"&amp;UPPER(TRIM($G531)),Setup!$P$21:$P$60,0)),IFERROR(INDEX(Setup!$C$21:$C$60,MATCH(UPPER(TRIM($G531))&amp;"|"&amp;UPPER(TRIM($F531)),Setup!$P$21:$P$60,0)),"NO RATE"))))</f>
        <v/>
      </c>
      <c r="J531" s="91" t="n"/>
      <c r="K531" s="90">
        <f>IF(OR($G531="",$H531="",NOT(ISNUMBER($I531))),"",ROUND($H531*$I531*(1+IF($J531="",Setup!$B$16,$J531)),2))</f>
        <v/>
      </c>
      <c r="L531" s="90">
        <f>IF($K531="","",ROUND($K531*Setup!$B$13,2))</f>
        <v/>
      </c>
      <c r="M531" s="90">
        <f>IF($K531="","",$K531-$L531)</f>
        <v/>
      </c>
      <c r="N531" s="90">
        <f>IF(OR($M531="",$D531=""),"",ROUND($M531*IFERROR(IF(VLOOKUP($D531,Setup!$A$76:$C$87,3,FALSE)="",Setup!$B$14,VLOOKUP($D531,Setup!$A$76:$C$87,3,FALSE)),Setup!$B$14),2))</f>
        <v/>
      </c>
      <c r="O531" s="90">
        <f>IF(OR($M531="",$E531=""),"",ROUND($M531*IFERROR(IF(VLOOKUP($E531,Setup!$A$76:$C$87,3,FALSE)="",Setup!$B$15,VLOOKUP($E531,Setup!$A$76:$C$87,3,FALSE)),Setup!$B$15),2))</f>
        <v/>
      </c>
      <c r="P531" s="92" t="n"/>
      <c r="Q531" s="92" t="n"/>
      <c r="R531" s="92" t="n"/>
      <c r="S531" s="92" t="n"/>
      <c r="T531" s="92" t="n"/>
      <c r="U531" s="90">
        <f>IF($K531="","",SUM($R531:$T531))</f>
        <v/>
      </c>
      <c r="V531" s="90">
        <f>IF($K531="","",$M531-(N($N531)+N($O531)+IF($P531="",Setup!$B$17,$P531)+N($Q531))-N($U531))</f>
        <v/>
      </c>
      <c r="W531" s="87" t="n"/>
      <c r="X531" s="88" t="n"/>
      <c r="Z531" s="93">
        <f>IF($A531="","",DATE(YEAR($A531),MONTH($A531),1))</f>
        <v/>
      </c>
    </row>
    <row r="532">
      <c r="A532" s="94" t="n"/>
      <c r="B532" s="95" t="n"/>
      <c r="C532" s="95" t="n"/>
      <c r="D532" s="96" t="n"/>
      <c r="E532" s="96" t="n"/>
      <c r="F532" s="96" t="n"/>
      <c r="G532" s="96" t="n"/>
      <c r="H532" s="97" t="n"/>
      <c r="I532" s="90">
        <f>IF($G532="","",IF($F532="",IFERROR(INDEX(Setup!$C$21:$C$60,MATCH("|"&amp;UPPER(TRIM($G532)),Setup!$Q$21:$Q$60,0)),"NO RATE"),IFERROR(INDEX(Setup!$C$21:$C$60,MATCH(UPPER(TRIM($F532))&amp;"|"&amp;UPPER(TRIM($G532)),Setup!$P$21:$P$60,0)),IFERROR(INDEX(Setup!$C$21:$C$60,MATCH(UPPER(TRIM($G532))&amp;"|"&amp;UPPER(TRIM($F532)),Setup!$P$21:$P$60,0)),"NO RATE"))))</f>
        <v/>
      </c>
      <c r="J532" s="98" t="n"/>
      <c r="K532" s="90">
        <f>IF(OR($G532="",$H532="",NOT(ISNUMBER($I532))),"",ROUND($H532*$I532*(1+IF($J532="",Setup!$B$16,$J532)),2))</f>
        <v/>
      </c>
      <c r="L532" s="90">
        <f>IF($K532="","",ROUND($K532*Setup!$B$13,2))</f>
        <v/>
      </c>
      <c r="M532" s="90">
        <f>IF($K532="","",$K532-$L532)</f>
        <v/>
      </c>
      <c r="N532" s="90">
        <f>IF(OR($M532="",$D532=""),"",ROUND($M532*IFERROR(IF(VLOOKUP($D532,Setup!$A$76:$C$87,3,FALSE)="",Setup!$B$14,VLOOKUP($D532,Setup!$A$76:$C$87,3,FALSE)),Setup!$B$14),2))</f>
        <v/>
      </c>
      <c r="O532" s="90">
        <f>IF(OR($M532="",$E532=""),"",ROUND($M532*IFERROR(IF(VLOOKUP($E532,Setup!$A$76:$C$87,3,FALSE)="",Setup!$B$15,VLOOKUP($E532,Setup!$A$76:$C$87,3,FALSE)),Setup!$B$15),2))</f>
        <v/>
      </c>
      <c r="P532" s="99" t="n"/>
      <c r="Q532" s="99" t="n"/>
      <c r="R532" s="99" t="n"/>
      <c r="S532" s="99" t="n"/>
      <c r="T532" s="99" t="n"/>
      <c r="U532" s="90">
        <f>IF($K532="","",SUM($R532:$T532))</f>
        <v/>
      </c>
      <c r="V532" s="90">
        <f>IF($K532="","",$M532-(N($N532)+N($O532)+IF($P532="",Setup!$B$17,$P532)+N($Q532))-N($U532))</f>
        <v/>
      </c>
      <c r="W532" s="95" t="n"/>
      <c r="X532" s="96" t="n"/>
      <c r="Z532" s="93">
        <f>IF($A532="","",DATE(YEAR($A532),MONTH($A532),1))</f>
        <v/>
      </c>
    </row>
    <row r="533">
      <c r="A533" s="86" t="n"/>
      <c r="B533" s="87" t="n"/>
      <c r="C533" s="87" t="n"/>
      <c r="D533" s="88" t="n"/>
      <c r="E533" s="88" t="n"/>
      <c r="F533" s="88" t="n"/>
      <c r="G533" s="88" t="n"/>
      <c r="H533" s="89" t="n"/>
      <c r="I533" s="90">
        <f>IF($G533="","",IF($F533="",IFERROR(INDEX(Setup!$C$21:$C$60,MATCH("|"&amp;UPPER(TRIM($G533)),Setup!$Q$21:$Q$60,0)),"NO RATE"),IFERROR(INDEX(Setup!$C$21:$C$60,MATCH(UPPER(TRIM($F533))&amp;"|"&amp;UPPER(TRIM($G533)),Setup!$P$21:$P$60,0)),IFERROR(INDEX(Setup!$C$21:$C$60,MATCH(UPPER(TRIM($G533))&amp;"|"&amp;UPPER(TRIM($F533)),Setup!$P$21:$P$60,0)),"NO RATE"))))</f>
        <v/>
      </c>
      <c r="J533" s="91" t="n"/>
      <c r="K533" s="90">
        <f>IF(OR($G533="",$H533="",NOT(ISNUMBER($I533))),"",ROUND($H533*$I533*(1+IF($J533="",Setup!$B$16,$J533)),2))</f>
        <v/>
      </c>
      <c r="L533" s="90">
        <f>IF($K533="","",ROUND($K533*Setup!$B$13,2))</f>
        <v/>
      </c>
      <c r="M533" s="90">
        <f>IF($K533="","",$K533-$L533)</f>
        <v/>
      </c>
      <c r="N533" s="90">
        <f>IF(OR($M533="",$D533=""),"",ROUND($M533*IFERROR(IF(VLOOKUP($D533,Setup!$A$76:$C$87,3,FALSE)="",Setup!$B$14,VLOOKUP($D533,Setup!$A$76:$C$87,3,FALSE)),Setup!$B$14),2))</f>
        <v/>
      </c>
      <c r="O533" s="90">
        <f>IF(OR($M533="",$E533=""),"",ROUND($M533*IFERROR(IF(VLOOKUP($E533,Setup!$A$76:$C$87,3,FALSE)="",Setup!$B$15,VLOOKUP($E533,Setup!$A$76:$C$87,3,FALSE)),Setup!$B$15),2))</f>
        <v/>
      </c>
      <c r="P533" s="92" t="n"/>
      <c r="Q533" s="92" t="n"/>
      <c r="R533" s="92" t="n"/>
      <c r="S533" s="92" t="n"/>
      <c r="T533" s="92" t="n"/>
      <c r="U533" s="90">
        <f>IF($K533="","",SUM($R533:$T533))</f>
        <v/>
      </c>
      <c r="V533" s="90">
        <f>IF($K533="","",$M533-(N($N533)+N($O533)+IF($P533="",Setup!$B$17,$P533)+N($Q533))-N($U533))</f>
        <v/>
      </c>
      <c r="W533" s="87" t="n"/>
      <c r="X533" s="88" t="n"/>
      <c r="Z533" s="93">
        <f>IF($A533="","",DATE(YEAR($A533),MONTH($A533),1))</f>
        <v/>
      </c>
    </row>
    <row r="534">
      <c r="A534" s="94" t="n"/>
      <c r="B534" s="95" t="n"/>
      <c r="C534" s="95" t="n"/>
      <c r="D534" s="96" t="n"/>
      <c r="E534" s="96" t="n"/>
      <c r="F534" s="96" t="n"/>
      <c r="G534" s="96" t="n"/>
      <c r="H534" s="97" t="n"/>
      <c r="I534" s="90">
        <f>IF($G534="","",IF($F534="",IFERROR(INDEX(Setup!$C$21:$C$60,MATCH("|"&amp;UPPER(TRIM($G534)),Setup!$Q$21:$Q$60,0)),"NO RATE"),IFERROR(INDEX(Setup!$C$21:$C$60,MATCH(UPPER(TRIM($F534))&amp;"|"&amp;UPPER(TRIM($G534)),Setup!$P$21:$P$60,0)),IFERROR(INDEX(Setup!$C$21:$C$60,MATCH(UPPER(TRIM($G534))&amp;"|"&amp;UPPER(TRIM($F534)),Setup!$P$21:$P$60,0)),"NO RATE"))))</f>
        <v/>
      </c>
      <c r="J534" s="98" t="n"/>
      <c r="K534" s="90">
        <f>IF(OR($G534="",$H534="",NOT(ISNUMBER($I534))),"",ROUND($H534*$I534*(1+IF($J534="",Setup!$B$16,$J534)),2))</f>
        <v/>
      </c>
      <c r="L534" s="90">
        <f>IF($K534="","",ROUND($K534*Setup!$B$13,2))</f>
        <v/>
      </c>
      <c r="M534" s="90">
        <f>IF($K534="","",$K534-$L534)</f>
        <v/>
      </c>
      <c r="N534" s="90">
        <f>IF(OR($M534="",$D534=""),"",ROUND($M534*IFERROR(IF(VLOOKUP($D534,Setup!$A$76:$C$87,3,FALSE)="",Setup!$B$14,VLOOKUP($D534,Setup!$A$76:$C$87,3,FALSE)),Setup!$B$14),2))</f>
        <v/>
      </c>
      <c r="O534" s="90">
        <f>IF(OR($M534="",$E534=""),"",ROUND($M534*IFERROR(IF(VLOOKUP($E534,Setup!$A$76:$C$87,3,FALSE)="",Setup!$B$15,VLOOKUP($E534,Setup!$A$76:$C$87,3,FALSE)),Setup!$B$15),2))</f>
        <v/>
      </c>
      <c r="P534" s="99" t="n"/>
      <c r="Q534" s="99" t="n"/>
      <c r="R534" s="99" t="n"/>
      <c r="S534" s="99" t="n"/>
      <c r="T534" s="99" t="n"/>
      <c r="U534" s="90">
        <f>IF($K534="","",SUM($R534:$T534))</f>
        <v/>
      </c>
      <c r="V534" s="90">
        <f>IF($K534="","",$M534-(N($N534)+N($O534)+IF($P534="",Setup!$B$17,$P534)+N($Q534))-N($U534))</f>
        <v/>
      </c>
      <c r="W534" s="95" t="n"/>
      <c r="X534" s="96" t="n"/>
      <c r="Z534" s="93">
        <f>IF($A534="","",DATE(YEAR($A534),MONTH($A534),1))</f>
        <v/>
      </c>
    </row>
    <row r="535">
      <c r="A535" s="86" t="n"/>
      <c r="B535" s="87" t="n"/>
      <c r="C535" s="87" t="n"/>
      <c r="D535" s="88" t="n"/>
      <c r="E535" s="88" t="n"/>
      <c r="F535" s="88" t="n"/>
      <c r="G535" s="88" t="n"/>
      <c r="H535" s="89" t="n"/>
      <c r="I535" s="90">
        <f>IF($G535="","",IF($F535="",IFERROR(INDEX(Setup!$C$21:$C$60,MATCH("|"&amp;UPPER(TRIM($G535)),Setup!$Q$21:$Q$60,0)),"NO RATE"),IFERROR(INDEX(Setup!$C$21:$C$60,MATCH(UPPER(TRIM($F535))&amp;"|"&amp;UPPER(TRIM($G535)),Setup!$P$21:$P$60,0)),IFERROR(INDEX(Setup!$C$21:$C$60,MATCH(UPPER(TRIM($G535))&amp;"|"&amp;UPPER(TRIM($F535)),Setup!$P$21:$P$60,0)),"NO RATE"))))</f>
        <v/>
      </c>
      <c r="J535" s="91" t="n"/>
      <c r="K535" s="90">
        <f>IF(OR($G535="",$H535="",NOT(ISNUMBER($I535))),"",ROUND($H535*$I535*(1+IF($J535="",Setup!$B$16,$J535)),2))</f>
        <v/>
      </c>
      <c r="L535" s="90">
        <f>IF($K535="","",ROUND($K535*Setup!$B$13,2))</f>
        <v/>
      </c>
      <c r="M535" s="90">
        <f>IF($K535="","",$K535-$L535)</f>
        <v/>
      </c>
      <c r="N535" s="90">
        <f>IF(OR($M535="",$D535=""),"",ROUND($M535*IFERROR(IF(VLOOKUP($D535,Setup!$A$76:$C$87,3,FALSE)="",Setup!$B$14,VLOOKUP($D535,Setup!$A$76:$C$87,3,FALSE)),Setup!$B$14),2))</f>
        <v/>
      </c>
      <c r="O535" s="90">
        <f>IF(OR($M535="",$E535=""),"",ROUND($M535*IFERROR(IF(VLOOKUP($E535,Setup!$A$76:$C$87,3,FALSE)="",Setup!$B$15,VLOOKUP($E535,Setup!$A$76:$C$87,3,FALSE)),Setup!$B$15),2))</f>
        <v/>
      </c>
      <c r="P535" s="92" t="n"/>
      <c r="Q535" s="92" t="n"/>
      <c r="R535" s="92" t="n"/>
      <c r="S535" s="92" t="n"/>
      <c r="T535" s="92" t="n"/>
      <c r="U535" s="90">
        <f>IF($K535="","",SUM($R535:$T535))</f>
        <v/>
      </c>
      <c r="V535" s="90">
        <f>IF($K535="","",$M535-(N($N535)+N($O535)+IF($P535="",Setup!$B$17,$P535)+N($Q535))-N($U535))</f>
        <v/>
      </c>
      <c r="W535" s="87" t="n"/>
      <c r="X535" s="88" t="n"/>
      <c r="Z535" s="93">
        <f>IF($A535="","",DATE(YEAR($A535),MONTH($A535),1))</f>
        <v/>
      </c>
    </row>
    <row r="536">
      <c r="A536" s="94" t="n"/>
      <c r="B536" s="95" t="n"/>
      <c r="C536" s="95" t="n"/>
      <c r="D536" s="96" t="n"/>
      <c r="E536" s="96" t="n"/>
      <c r="F536" s="96" t="n"/>
      <c r="G536" s="96" t="n"/>
      <c r="H536" s="97" t="n"/>
      <c r="I536" s="90">
        <f>IF($G536="","",IF($F536="",IFERROR(INDEX(Setup!$C$21:$C$60,MATCH("|"&amp;UPPER(TRIM($G536)),Setup!$Q$21:$Q$60,0)),"NO RATE"),IFERROR(INDEX(Setup!$C$21:$C$60,MATCH(UPPER(TRIM($F536))&amp;"|"&amp;UPPER(TRIM($G536)),Setup!$P$21:$P$60,0)),IFERROR(INDEX(Setup!$C$21:$C$60,MATCH(UPPER(TRIM($G536))&amp;"|"&amp;UPPER(TRIM($F536)),Setup!$P$21:$P$60,0)),"NO RATE"))))</f>
        <v/>
      </c>
      <c r="J536" s="98" t="n"/>
      <c r="K536" s="90">
        <f>IF(OR($G536="",$H536="",NOT(ISNUMBER($I536))),"",ROUND($H536*$I536*(1+IF($J536="",Setup!$B$16,$J536)),2))</f>
        <v/>
      </c>
      <c r="L536" s="90">
        <f>IF($K536="","",ROUND($K536*Setup!$B$13,2))</f>
        <v/>
      </c>
      <c r="M536" s="90">
        <f>IF($K536="","",$K536-$L536)</f>
        <v/>
      </c>
      <c r="N536" s="90">
        <f>IF(OR($M536="",$D536=""),"",ROUND($M536*IFERROR(IF(VLOOKUP($D536,Setup!$A$76:$C$87,3,FALSE)="",Setup!$B$14,VLOOKUP($D536,Setup!$A$76:$C$87,3,FALSE)),Setup!$B$14),2))</f>
        <v/>
      </c>
      <c r="O536" s="90">
        <f>IF(OR($M536="",$E536=""),"",ROUND($M536*IFERROR(IF(VLOOKUP($E536,Setup!$A$76:$C$87,3,FALSE)="",Setup!$B$15,VLOOKUP($E536,Setup!$A$76:$C$87,3,FALSE)),Setup!$B$15),2))</f>
        <v/>
      </c>
      <c r="P536" s="99" t="n"/>
      <c r="Q536" s="99" t="n"/>
      <c r="R536" s="99" t="n"/>
      <c r="S536" s="99" t="n"/>
      <c r="T536" s="99" t="n"/>
      <c r="U536" s="90">
        <f>IF($K536="","",SUM($R536:$T536))</f>
        <v/>
      </c>
      <c r="V536" s="90">
        <f>IF($K536="","",$M536-(N($N536)+N($O536)+IF($P536="",Setup!$B$17,$P536)+N($Q536))-N($U536))</f>
        <v/>
      </c>
      <c r="W536" s="95" t="n"/>
      <c r="X536" s="96" t="n"/>
      <c r="Z536" s="93">
        <f>IF($A536="","",DATE(YEAR($A536),MONTH($A536),1))</f>
        <v/>
      </c>
    </row>
    <row r="537">
      <c r="A537" s="86" t="n"/>
      <c r="B537" s="87" t="n"/>
      <c r="C537" s="87" t="n"/>
      <c r="D537" s="88" t="n"/>
      <c r="E537" s="88" t="n"/>
      <c r="F537" s="88" t="n"/>
      <c r="G537" s="88" t="n"/>
      <c r="H537" s="89" t="n"/>
      <c r="I537" s="90">
        <f>IF($G537="","",IF($F537="",IFERROR(INDEX(Setup!$C$21:$C$60,MATCH("|"&amp;UPPER(TRIM($G537)),Setup!$Q$21:$Q$60,0)),"NO RATE"),IFERROR(INDEX(Setup!$C$21:$C$60,MATCH(UPPER(TRIM($F537))&amp;"|"&amp;UPPER(TRIM($G537)),Setup!$P$21:$P$60,0)),IFERROR(INDEX(Setup!$C$21:$C$60,MATCH(UPPER(TRIM($G537))&amp;"|"&amp;UPPER(TRIM($F537)),Setup!$P$21:$P$60,0)),"NO RATE"))))</f>
        <v/>
      </c>
      <c r="J537" s="91" t="n"/>
      <c r="K537" s="90">
        <f>IF(OR($G537="",$H537="",NOT(ISNUMBER($I537))),"",ROUND($H537*$I537*(1+IF($J537="",Setup!$B$16,$J537)),2))</f>
        <v/>
      </c>
      <c r="L537" s="90">
        <f>IF($K537="","",ROUND($K537*Setup!$B$13,2))</f>
        <v/>
      </c>
      <c r="M537" s="90">
        <f>IF($K537="","",$K537-$L537)</f>
        <v/>
      </c>
      <c r="N537" s="90">
        <f>IF(OR($M537="",$D537=""),"",ROUND($M537*IFERROR(IF(VLOOKUP($D537,Setup!$A$76:$C$87,3,FALSE)="",Setup!$B$14,VLOOKUP($D537,Setup!$A$76:$C$87,3,FALSE)),Setup!$B$14),2))</f>
        <v/>
      </c>
      <c r="O537" s="90">
        <f>IF(OR($M537="",$E537=""),"",ROUND($M537*IFERROR(IF(VLOOKUP($E537,Setup!$A$76:$C$87,3,FALSE)="",Setup!$B$15,VLOOKUP($E537,Setup!$A$76:$C$87,3,FALSE)),Setup!$B$15),2))</f>
        <v/>
      </c>
      <c r="P537" s="92" t="n"/>
      <c r="Q537" s="92" t="n"/>
      <c r="R537" s="92" t="n"/>
      <c r="S537" s="92" t="n"/>
      <c r="T537" s="92" t="n"/>
      <c r="U537" s="90">
        <f>IF($K537="","",SUM($R537:$T537))</f>
        <v/>
      </c>
      <c r="V537" s="90">
        <f>IF($K537="","",$M537-(N($N537)+N($O537)+IF($P537="",Setup!$B$17,$P537)+N($Q537))-N($U537))</f>
        <v/>
      </c>
      <c r="W537" s="87" t="n"/>
      <c r="X537" s="88" t="n"/>
      <c r="Z537" s="93">
        <f>IF($A537="","",DATE(YEAR($A537),MONTH($A537),1))</f>
        <v/>
      </c>
    </row>
    <row r="538">
      <c r="A538" s="94" t="n"/>
      <c r="B538" s="95" t="n"/>
      <c r="C538" s="95" t="n"/>
      <c r="D538" s="96" t="n"/>
      <c r="E538" s="96" t="n"/>
      <c r="F538" s="96" t="n"/>
      <c r="G538" s="96" t="n"/>
      <c r="H538" s="97" t="n"/>
      <c r="I538" s="90">
        <f>IF($G538="","",IF($F538="",IFERROR(INDEX(Setup!$C$21:$C$60,MATCH("|"&amp;UPPER(TRIM($G538)),Setup!$Q$21:$Q$60,0)),"NO RATE"),IFERROR(INDEX(Setup!$C$21:$C$60,MATCH(UPPER(TRIM($F538))&amp;"|"&amp;UPPER(TRIM($G538)),Setup!$P$21:$P$60,0)),IFERROR(INDEX(Setup!$C$21:$C$60,MATCH(UPPER(TRIM($G538))&amp;"|"&amp;UPPER(TRIM($F538)),Setup!$P$21:$P$60,0)),"NO RATE"))))</f>
        <v/>
      </c>
      <c r="J538" s="98" t="n"/>
      <c r="K538" s="90">
        <f>IF(OR($G538="",$H538="",NOT(ISNUMBER($I538))),"",ROUND($H538*$I538*(1+IF($J538="",Setup!$B$16,$J538)),2))</f>
        <v/>
      </c>
      <c r="L538" s="90">
        <f>IF($K538="","",ROUND($K538*Setup!$B$13,2))</f>
        <v/>
      </c>
      <c r="M538" s="90">
        <f>IF($K538="","",$K538-$L538)</f>
        <v/>
      </c>
      <c r="N538" s="90">
        <f>IF(OR($M538="",$D538=""),"",ROUND($M538*IFERROR(IF(VLOOKUP($D538,Setup!$A$76:$C$87,3,FALSE)="",Setup!$B$14,VLOOKUP($D538,Setup!$A$76:$C$87,3,FALSE)),Setup!$B$14),2))</f>
        <v/>
      </c>
      <c r="O538" s="90">
        <f>IF(OR($M538="",$E538=""),"",ROUND($M538*IFERROR(IF(VLOOKUP($E538,Setup!$A$76:$C$87,3,FALSE)="",Setup!$B$15,VLOOKUP($E538,Setup!$A$76:$C$87,3,FALSE)),Setup!$B$15),2))</f>
        <v/>
      </c>
      <c r="P538" s="99" t="n"/>
      <c r="Q538" s="99" t="n"/>
      <c r="R538" s="99" t="n"/>
      <c r="S538" s="99" t="n"/>
      <c r="T538" s="99" t="n"/>
      <c r="U538" s="90">
        <f>IF($K538="","",SUM($R538:$T538))</f>
        <v/>
      </c>
      <c r="V538" s="90">
        <f>IF($K538="","",$M538-(N($N538)+N($O538)+IF($P538="",Setup!$B$17,$P538)+N($Q538))-N($U538))</f>
        <v/>
      </c>
      <c r="W538" s="95" t="n"/>
      <c r="X538" s="96" t="n"/>
      <c r="Z538" s="93">
        <f>IF($A538="","",DATE(YEAR($A538),MONTH($A538),1))</f>
        <v/>
      </c>
    </row>
    <row r="539">
      <c r="A539" s="86" t="n"/>
      <c r="B539" s="87" t="n"/>
      <c r="C539" s="87" t="n"/>
      <c r="D539" s="88" t="n"/>
      <c r="E539" s="88" t="n"/>
      <c r="F539" s="88" t="n"/>
      <c r="G539" s="88" t="n"/>
      <c r="H539" s="89" t="n"/>
      <c r="I539" s="90">
        <f>IF($G539="","",IF($F539="",IFERROR(INDEX(Setup!$C$21:$C$60,MATCH("|"&amp;UPPER(TRIM($G539)),Setup!$Q$21:$Q$60,0)),"NO RATE"),IFERROR(INDEX(Setup!$C$21:$C$60,MATCH(UPPER(TRIM($F539))&amp;"|"&amp;UPPER(TRIM($G539)),Setup!$P$21:$P$60,0)),IFERROR(INDEX(Setup!$C$21:$C$60,MATCH(UPPER(TRIM($G539))&amp;"|"&amp;UPPER(TRIM($F539)),Setup!$P$21:$P$60,0)),"NO RATE"))))</f>
        <v/>
      </c>
      <c r="J539" s="91" t="n"/>
      <c r="K539" s="90">
        <f>IF(OR($G539="",$H539="",NOT(ISNUMBER($I539))),"",ROUND($H539*$I539*(1+IF($J539="",Setup!$B$16,$J539)),2))</f>
        <v/>
      </c>
      <c r="L539" s="90">
        <f>IF($K539="","",ROUND($K539*Setup!$B$13,2))</f>
        <v/>
      </c>
      <c r="M539" s="90">
        <f>IF($K539="","",$K539-$L539)</f>
        <v/>
      </c>
      <c r="N539" s="90">
        <f>IF(OR($M539="",$D539=""),"",ROUND($M539*IFERROR(IF(VLOOKUP($D539,Setup!$A$76:$C$87,3,FALSE)="",Setup!$B$14,VLOOKUP($D539,Setup!$A$76:$C$87,3,FALSE)),Setup!$B$14),2))</f>
        <v/>
      </c>
      <c r="O539" s="90">
        <f>IF(OR($M539="",$E539=""),"",ROUND($M539*IFERROR(IF(VLOOKUP($E539,Setup!$A$76:$C$87,3,FALSE)="",Setup!$B$15,VLOOKUP($E539,Setup!$A$76:$C$87,3,FALSE)),Setup!$B$15),2))</f>
        <v/>
      </c>
      <c r="P539" s="92" t="n"/>
      <c r="Q539" s="92" t="n"/>
      <c r="R539" s="92" t="n"/>
      <c r="S539" s="92" t="n"/>
      <c r="T539" s="92" t="n"/>
      <c r="U539" s="90">
        <f>IF($K539="","",SUM($R539:$T539))</f>
        <v/>
      </c>
      <c r="V539" s="90">
        <f>IF($K539="","",$M539-(N($N539)+N($O539)+IF($P539="",Setup!$B$17,$P539)+N($Q539))-N($U539))</f>
        <v/>
      </c>
      <c r="W539" s="87" t="n"/>
      <c r="X539" s="88" t="n"/>
      <c r="Z539" s="93">
        <f>IF($A539="","",DATE(YEAR($A539),MONTH($A539),1))</f>
        <v/>
      </c>
    </row>
    <row r="540">
      <c r="A540" s="94" t="n"/>
      <c r="B540" s="95" t="n"/>
      <c r="C540" s="95" t="n"/>
      <c r="D540" s="96" t="n"/>
      <c r="E540" s="96" t="n"/>
      <c r="F540" s="96" t="n"/>
      <c r="G540" s="96" t="n"/>
      <c r="H540" s="97" t="n"/>
      <c r="I540" s="90">
        <f>IF($G540="","",IF($F540="",IFERROR(INDEX(Setup!$C$21:$C$60,MATCH("|"&amp;UPPER(TRIM($G540)),Setup!$Q$21:$Q$60,0)),"NO RATE"),IFERROR(INDEX(Setup!$C$21:$C$60,MATCH(UPPER(TRIM($F540))&amp;"|"&amp;UPPER(TRIM($G540)),Setup!$P$21:$P$60,0)),IFERROR(INDEX(Setup!$C$21:$C$60,MATCH(UPPER(TRIM($G540))&amp;"|"&amp;UPPER(TRIM($F540)),Setup!$P$21:$P$60,0)),"NO RATE"))))</f>
        <v/>
      </c>
      <c r="J540" s="98" t="n"/>
      <c r="K540" s="90">
        <f>IF(OR($G540="",$H540="",NOT(ISNUMBER($I540))),"",ROUND($H540*$I540*(1+IF($J540="",Setup!$B$16,$J540)),2))</f>
        <v/>
      </c>
      <c r="L540" s="90">
        <f>IF($K540="","",ROUND($K540*Setup!$B$13,2))</f>
        <v/>
      </c>
      <c r="M540" s="90">
        <f>IF($K540="","",$K540-$L540)</f>
        <v/>
      </c>
      <c r="N540" s="90">
        <f>IF(OR($M540="",$D540=""),"",ROUND($M540*IFERROR(IF(VLOOKUP($D540,Setup!$A$76:$C$87,3,FALSE)="",Setup!$B$14,VLOOKUP($D540,Setup!$A$76:$C$87,3,FALSE)),Setup!$B$14),2))</f>
        <v/>
      </c>
      <c r="O540" s="90">
        <f>IF(OR($M540="",$E540=""),"",ROUND($M540*IFERROR(IF(VLOOKUP($E540,Setup!$A$76:$C$87,3,FALSE)="",Setup!$B$15,VLOOKUP($E540,Setup!$A$76:$C$87,3,FALSE)),Setup!$B$15),2))</f>
        <v/>
      </c>
      <c r="P540" s="99" t="n"/>
      <c r="Q540" s="99" t="n"/>
      <c r="R540" s="99" t="n"/>
      <c r="S540" s="99" t="n"/>
      <c r="T540" s="99" t="n"/>
      <c r="U540" s="90">
        <f>IF($K540="","",SUM($R540:$T540))</f>
        <v/>
      </c>
      <c r="V540" s="90">
        <f>IF($K540="","",$M540-(N($N540)+N($O540)+IF($P540="",Setup!$B$17,$P540)+N($Q540))-N($U540))</f>
        <v/>
      </c>
      <c r="W540" s="95" t="n"/>
      <c r="X540" s="96" t="n"/>
      <c r="Z540" s="93">
        <f>IF($A540="","",DATE(YEAR($A540),MONTH($A540),1))</f>
        <v/>
      </c>
    </row>
    <row r="541">
      <c r="A541" s="86" t="n"/>
      <c r="B541" s="87" t="n"/>
      <c r="C541" s="87" t="n"/>
      <c r="D541" s="88" t="n"/>
      <c r="E541" s="88" t="n"/>
      <c r="F541" s="88" t="n"/>
      <c r="G541" s="88" t="n"/>
      <c r="H541" s="89" t="n"/>
      <c r="I541" s="90">
        <f>IF($G541="","",IF($F541="",IFERROR(INDEX(Setup!$C$21:$C$60,MATCH("|"&amp;UPPER(TRIM($G541)),Setup!$Q$21:$Q$60,0)),"NO RATE"),IFERROR(INDEX(Setup!$C$21:$C$60,MATCH(UPPER(TRIM($F541))&amp;"|"&amp;UPPER(TRIM($G541)),Setup!$P$21:$P$60,0)),IFERROR(INDEX(Setup!$C$21:$C$60,MATCH(UPPER(TRIM($G541))&amp;"|"&amp;UPPER(TRIM($F541)),Setup!$P$21:$P$60,0)),"NO RATE"))))</f>
        <v/>
      </c>
      <c r="J541" s="91" t="n"/>
      <c r="K541" s="90">
        <f>IF(OR($G541="",$H541="",NOT(ISNUMBER($I541))),"",ROUND($H541*$I541*(1+IF($J541="",Setup!$B$16,$J541)),2))</f>
        <v/>
      </c>
      <c r="L541" s="90">
        <f>IF($K541="","",ROUND($K541*Setup!$B$13,2))</f>
        <v/>
      </c>
      <c r="M541" s="90">
        <f>IF($K541="","",$K541-$L541)</f>
        <v/>
      </c>
      <c r="N541" s="90">
        <f>IF(OR($M541="",$D541=""),"",ROUND($M541*IFERROR(IF(VLOOKUP($D541,Setup!$A$76:$C$87,3,FALSE)="",Setup!$B$14,VLOOKUP($D541,Setup!$A$76:$C$87,3,FALSE)),Setup!$B$14),2))</f>
        <v/>
      </c>
      <c r="O541" s="90">
        <f>IF(OR($M541="",$E541=""),"",ROUND($M541*IFERROR(IF(VLOOKUP($E541,Setup!$A$76:$C$87,3,FALSE)="",Setup!$B$15,VLOOKUP($E541,Setup!$A$76:$C$87,3,FALSE)),Setup!$B$15),2))</f>
        <v/>
      </c>
      <c r="P541" s="92" t="n"/>
      <c r="Q541" s="92" t="n"/>
      <c r="R541" s="92" t="n"/>
      <c r="S541" s="92" t="n"/>
      <c r="T541" s="92" t="n"/>
      <c r="U541" s="90">
        <f>IF($K541="","",SUM($R541:$T541))</f>
        <v/>
      </c>
      <c r="V541" s="90">
        <f>IF($K541="","",$M541-(N($N541)+N($O541)+IF($P541="",Setup!$B$17,$P541)+N($Q541))-N($U541))</f>
        <v/>
      </c>
      <c r="W541" s="87" t="n"/>
      <c r="X541" s="88" t="n"/>
      <c r="Z541" s="93">
        <f>IF($A541="","",DATE(YEAR($A541),MONTH($A541),1))</f>
        <v/>
      </c>
    </row>
    <row r="542">
      <c r="A542" s="94" t="n"/>
      <c r="B542" s="95" t="n"/>
      <c r="C542" s="95" t="n"/>
      <c r="D542" s="96" t="n"/>
      <c r="E542" s="96" t="n"/>
      <c r="F542" s="96" t="n"/>
      <c r="G542" s="96" t="n"/>
      <c r="H542" s="97" t="n"/>
      <c r="I542" s="90">
        <f>IF($G542="","",IF($F542="",IFERROR(INDEX(Setup!$C$21:$C$60,MATCH("|"&amp;UPPER(TRIM($G542)),Setup!$Q$21:$Q$60,0)),"NO RATE"),IFERROR(INDEX(Setup!$C$21:$C$60,MATCH(UPPER(TRIM($F542))&amp;"|"&amp;UPPER(TRIM($G542)),Setup!$P$21:$P$60,0)),IFERROR(INDEX(Setup!$C$21:$C$60,MATCH(UPPER(TRIM($G542))&amp;"|"&amp;UPPER(TRIM($F542)),Setup!$P$21:$P$60,0)),"NO RATE"))))</f>
        <v/>
      </c>
      <c r="J542" s="98" t="n"/>
      <c r="K542" s="90">
        <f>IF(OR($G542="",$H542="",NOT(ISNUMBER($I542))),"",ROUND($H542*$I542*(1+IF($J542="",Setup!$B$16,$J542)),2))</f>
        <v/>
      </c>
      <c r="L542" s="90">
        <f>IF($K542="","",ROUND($K542*Setup!$B$13,2))</f>
        <v/>
      </c>
      <c r="M542" s="90">
        <f>IF($K542="","",$K542-$L542)</f>
        <v/>
      </c>
      <c r="N542" s="90">
        <f>IF(OR($M542="",$D542=""),"",ROUND($M542*IFERROR(IF(VLOOKUP($D542,Setup!$A$76:$C$87,3,FALSE)="",Setup!$B$14,VLOOKUP($D542,Setup!$A$76:$C$87,3,FALSE)),Setup!$B$14),2))</f>
        <v/>
      </c>
      <c r="O542" s="90">
        <f>IF(OR($M542="",$E542=""),"",ROUND($M542*IFERROR(IF(VLOOKUP($E542,Setup!$A$76:$C$87,3,FALSE)="",Setup!$B$15,VLOOKUP($E542,Setup!$A$76:$C$87,3,FALSE)),Setup!$B$15),2))</f>
        <v/>
      </c>
      <c r="P542" s="99" t="n"/>
      <c r="Q542" s="99" t="n"/>
      <c r="R542" s="99" t="n"/>
      <c r="S542" s="99" t="n"/>
      <c r="T542" s="99" t="n"/>
      <c r="U542" s="90">
        <f>IF($K542="","",SUM($R542:$T542))</f>
        <v/>
      </c>
      <c r="V542" s="90">
        <f>IF($K542="","",$M542-(N($N542)+N($O542)+IF($P542="",Setup!$B$17,$P542)+N($Q542))-N($U542))</f>
        <v/>
      </c>
      <c r="W542" s="95" t="n"/>
      <c r="X542" s="96" t="n"/>
      <c r="Z542" s="93">
        <f>IF($A542="","",DATE(YEAR($A542),MONTH($A542),1))</f>
        <v/>
      </c>
    </row>
    <row r="543">
      <c r="A543" s="86" t="n"/>
      <c r="B543" s="87" t="n"/>
      <c r="C543" s="87" t="n"/>
      <c r="D543" s="88" t="n"/>
      <c r="E543" s="88" t="n"/>
      <c r="F543" s="88" t="n"/>
      <c r="G543" s="88" t="n"/>
      <c r="H543" s="89" t="n"/>
      <c r="I543" s="90">
        <f>IF($G543="","",IF($F543="",IFERROR(INDEX(Setup!$C$21:$C$60,MATCH("|"&amp;UPPER(TRIM($G543)),Setup!$Q$21:$Q$60,0)),"NO RATE"),IFERROR(INDEX(Setup!$C$21:$C$60,MATCH(UPPER(TRIM($F543))&amp;"|"&amp;UPPER(TRIM($G543)),Setup!$P$21:$P$60,0)),IFERROR(INDEX(Setup!$C$21:$C$60,MATCH(UPPER(TRIM($G543))&amp;"|"&amp;UPPER(TRIM($F543)),Setup!$P$21:$P$60,0)),"NO RATE"))))</f>
        <v/>
      </c>
      <c r="J543" s="91" t="n"/>
      <c r="K543" s="90">
        <f>IF(OR($G543="",$H543="",NOT(ISNUMBER($I543))),"",ROUND($H543*$I543*(1+IF($J543="",Setup!$B$16,$J543)),2))</f>
        <v/>
      </c>
      <c r="L543" s="90">
        <f>IF($K543="","",ROUND($K543*Setup!$B$13,2))</f>
        <v/>
      </c>
      <c r="M543" s="90">
        <f>IF($K543="","",$K543-$L543)</f>
        <v/>
      </c>
      <c r="N543" s="90">
        <f>IF(OR($M543="",$D543=""),"",ROUND($M543*IFERROR(IF(VLOOKUP($D543,Setup!$A$76:$C$87,3,FALSE)="",Setup!$B$14,VLOOKUP($D543,Setup!$A$76:$C$87,3,FALSE)),Setup!$B$14),2))</f>
        <v/>
      </c>
      <c r="O543" s="90">
        <f>IF(OR($M543="",$E543=""),"",ROUND($M543*IFERROR(IF(VLOOKUP($E543,Setup!$A$76:$C$87,3,FALSE)="",Setup!$B$15,VLOOKUP($E543,Setup!$A$76:$C$87,3,FALSE)),Setup!$B$15),2))</f>
        <v/>
      </c>
      <c r="P543" s="92" t="n"/>
      <c r="Q543" s="92" t="n"/>
      <c r="R543" s="92" t="n"/>
      <c r="S543" s="92" t="n"/>
      <c r="T543" s="92" t="n"/>
      <c r="U543" s="90">
        <f>IF($K543="","",SUM($R543:$T543))</f>
        <v/>
      </c>
      <c r="V543" s="90">
        <f>IF($K543="","",$M543-(N($N543)+N($O543)+IF($P543="",Setup!$B$17,$P543)+N($Q543))-N($U543))</f>
        <v/>
      </c>
      <c r="W543" s="87" t="n"/>
      <c r="X543" s="88" t="n"/>
      <c r="Z543" s="93">
        <f>IF($A543="","",DATE(YEAR($A543),MONTH($A543),1))</f>
        <v/>
      </c>
    </row>
    <row r="544">
      <c r="A544" s="94" t="n"/>
      <c r="B544" s="95" t="n"/>
      <c r="C544" s="95" t="n"/>
      <c r="D544" s="96" t="n"/>
      <c r="E544" s="96" t="n"/>
      <c r="F544" s="96" t="n"/>
      <c r="G544" s="96" t="n"/>
      <c r="H544" s="97" t="n"/>
      <c r="I544" s="90">
        <f>IF($G544="","",IF($F544="",IFERROR(INDEX(Setup!$C$21:$C$60,MATCH("|"&amp;UPPER(TRIM($G544)),Setup!$Q$21:$Q$60,0)),"NO RATE"),IFERROR(INDEX(Setup!$C$21:$C$60,MATCH(UPPER(TRIM($F544))&amp;"|"&amp;UPPER(TRIM($G544)),Setup!$P$21:$P$60,0)),IFERROR(INDEX(Setup!$C$21:$C$60,MATCH(UPPER(TRIM($G544))&amp;"|"&amp;UPPER(TRIM($F544)),Setup!$P$21:$P$60,0)),"NO RATE"))))</f>
        <v/>
      </c>
      <c r="J544" s="98" t="n"/>
      <c r="K544" s="90">
        <f>IF(OR($G544="",$H544="",NOT(ISNUMBER($I544))),"",ROUND($H544*$I544*(1+IF($J544="",Setup!$B$16,$J544)),2))</f>
        <v/>
      </c>
      <c r="L544" s="90">
        <f>IF($K544="","",ROUND($K544*Setup!$B$13,2))</f>
        <v/>
      </c>
      <c r="M544" s="90">
        <f>IF($K544="","",$K544-$L544)</f>
        <v/>
      </c>
      <c r="N544" s="90">
        <f>IF(OR($M544="",$D544=""),"",ROUND($M544*IFERROR(IF(VLOOKUP($D544,Setup!$A$76:$C$87,3,FALSE)="",Setup!$B$14,VLOOKUP($D544,Setup!$A$76:$C$87,3,FALSE)),Setup!$B$14),2))</f>
        <v/>
      </c>
      <c r="O544" s="90">
        <f>IF(OR($M544="",$E544=""),"",ROUND($M544*IFERROR(IF(VLOOKUP($E544,Setup!$A$76:$C$87,3,FALSE)="",Setup!$B$15,VLOOKUP($E544,Setup!$A$76:$C$87,3,FALSE)),Setup!$B$15),2))</f>
        <v/>
      </c>
      <c r="P544" s="99" t="n"/>
      <c r="Q544" s="99" t="n"/>
      <c r="R544" s="99" t="n"/>
      <c r="S544" s="99" t="n"/>
      <c r="T544" s="99" t="n"/>
      <c r="U544" s="90">
        <f>IF($K544="","",SUM($R544:$T544))</f>
        <v/>
      </c>
      <c r="V544" s="90">
        <f>IF($K544="","",$M544-(N($N544)+N($O544)+IF($P544="",Setup!$B$17,$P544)+N($Q544))-N($U544))</f>
        <v/>
      </c>
      <c r="W544" s="95" t="n"/>
      <c r="X544" s="96" t="n"/>
      <c r="Z544" s="93">
        <f>IF($A544="","",DATE(YEAR($A544),MONTH($A544),1))</f>
        <v/>
      </c>
    </row>
    <row r="545">
      <c r="A545" s="86" t="n"/>
      <c r="B545" s="87" t="n"/>
      <c r="C545" s="87" t="n"/>
      <c r="D545" s="88" t="n"/>
      <c r="E545" s="88" t="n"/>
      <c r="F545" s="88" t="n"/>
      <c r="G545" s="88" t="n"/>
      <c r="H545" s="89" t="n"/>
      <c r="I545" s="90">
        <f>IF($G545="","",IF($F545="",IFERROR(INDEX(Setup!$C$21:$C$60,MATCH("|"&amp;UPPER(TRIM($G545)),Setup!$Q$21:$Q$60,0)),"NO RATE"),IFERROR(INDEX(Setup!$C$21:$C$60,MATCH(UPPER(TRIM($F545))&amp;"|"&amp;UPPER(TRIM($G545)),Setup!$P$21:$P$60,0)),IFERROR(INDEX(Setup!$C$21:$C$60,MATCH(UPPER(TRIM($G545))&amp;"|"&amp;UPPER(TRIM($F545)),Setup!$P$21:$P$60,0)),"NO RATE"))))</f>
        <v/>
      </c>
      <c r="J545" s="91" t="n"/>
      <c r="K545" s="90">
        <f>IF(OR($G545="",$H545="",NOT(ISNUMBER($I545))),"",ROUND($H545*$I545*(1+IF($J545="",Setup!$B$16,$J545)),2))</f>
        <v/>
      </c>
      <c r="L545" s="90">
        <f>IF($K545="","",ROUND($K545*Setup!$B$13,2))</f>
        <v/>
      </c>
      <c r="M545" s="90">
        <f>IF($K545="","",$K545-$L545)</f>
        <v/>
      </c>
      <c r="N545" s="90">
        <f>IF(OR($M545="",$D545=""),"",ROUND($M545*IFERROR(IF(VLOOKUP($D545,Setup!$A$76:$C$87,3,FALSE)="",Setup!$B$14,VLOOKUP($D545,Setup!$A$76:$C$87,3,FALSE)),Setup!$B$14),2))</f>
        <v/>
      </c>
      <c r="O545" s="90">
        <f>IF(OR($M545="",$E545=""),"",ROUND($M545*IFERROR(IF(VLOOKUP($E545,Setup!$A$76:$C$87,3,FALSE)="",Setup!$B$15,VLOOKUP($E545,Setup!$A$76:$C$87,3,FALSE)),Setup!$B$15),2))</f>
        <v/>
      </c>
      <c r="P545" s="92" t="n"/>
      <c r="Q545" s="92" t="n"/>
      <c r="R545" s="92" t="n"/>
      <c r="S545" s="92" t="n"/>
      <c r="T545" s="92" t="n"/>
      <c r="U545" s="90">
        <f>IF($K545="","",SUM($R545:$T545))</f>
        <v/>
      </c>
      <c r="V545" s="90">
        <f>IF($K545="","",$M545-(N($N545)+N($O545)+IF($P545="",Setup!$B$17,$P545)+N($Q545))-N($U545))</f>
        <v/>
      </c>
      <c r="W545" s="87" t="n"/>
      <c r="X545" s="88" t="n"/>
      <c r="Z545" s="93">
        <f>IF($A545="","",DATE(YEAR($A545),MONTH($A545),1))</f>
        <v/>
      </c>
    </row>
    <row r="546">
      <c r="A546" s="94" t="n"/>
      <c r="B546" s="95" t="n"/>
      <c r="C546" s="95" t="n"/>
      <c r="D546" s="96" t="n"/>
      <c r="E546" s="96" t="n"/>
      <c r="F546" s="96" t="n"/>
      <c r="G546" s="96" t="n"/>
      <c r="H546" s="97" t="n"/>
      <c r="I546" s="90">
        <f>IF($G546="","",IF($F546="",IFERROR(INDEX(Setup!$C$21:$C$60,MATCH("|"&amp;UPPER(TRIM($G546)),Setup!$Q$21:$Q$60,0)),"NO RATE"),IFERROR(INDEX(Setup!$C$21:$C$60,MATCH(UPPER(TRIM($F546))&amp;"|"&amp;UPPER(TRIM($G546)),Setup!$P$21:$P$60,0)),IFERROR(INDEX(Setup!$C$21:$C$60,MATCH(UPPER(TRIM($G546))&amp;"|"&amp;UPPER(TRIM($F546)),Setup!$P$21:$P$60,0)),"NO RATE"))))</f>
        <v/>
      </c>
      <c r="J546" s="98" t="n"/>
      <c r="K546" s="90">
        <f>IF(OR($G546="",$H546="",NOT(ISNUMBER($I546))),"",ROUND($H546*$I546*(1+IF($J546="",Setup!$B$16,$J546)),2))</f>
        <v/>
      </c>
      <c r="L546" s="90">
        <f>IF($K546="","",ROUND($K546*Setup!$B$13,2))</f>
        <v/>
      </c>
      <c r="M546" s="90">
        <f>IF($K546="","",$K546-$L546)</f>
        <v/>
      </c>
      <c r="N546" s="90">
        <f>IF(OR($M546="",$D546=""),"",ROUND($M546*IFERROR(IF(VLOOKUP($D546,Setup!$A$76:$C$87,3,FALSE)="",Setup!$B$14,VLOOKUP($D546,Setup!$A$76:$C$87,3,FALSE)),Setup!$B$14),2))</f>
        <v/>
      </c>
      <c r="O546" s="90">
        <f>IF(OR($M546="",$E546=""),"",ROUND($M546*IFERROR(IF(VLOOKUP($E546,Setup!$A$76:$C$87,3,FALSE)="",Setup!$B$15,VLOOKUP($E546,Setup!$A$76:$C$87,3,FALSE)),Setup!$B$15),2))</f>
        <v/>
      </c>
      <c r="P546" s="99" t="n"/>
      <c r="Q546" s="99" t="n"/>
      <c r="R546" s="99" t="n"/>
      <c r="S546" s="99" t="n"/>
      <c r="T546" s="99" t="n"/>
      <c r="U546" s="90">
        <f>IF($K546="","",SUM($R546:$T546))</f>
        <v/>
      </c>
      <c r="V546" s="90">
        <f>IF($K546="","",$M546-(N($N546)+N($O546)+IF($P546="",Setup!$B$17,$P546)+N($Q546))-N($U546))</f>
        <v/>
      </c>
      <c r="W546" s="95" t="n"/>
      <c r="X546" s="96" t="n"/>
      <c r="Z546" s="93">
        <f>IF($A546="","",DATE(YEAR($A546),MONTH($A546),1))</f>
        <v/>
      </c>
    </row>
    <row r="547">
      <c r="A547" s="86" t="n"/>
      <c r="B547" s="87" t="n"/>
      <c r="C547" s="87" t="n"/>
      <c r="D547" s="88" t="n"/>
      <c r="E547" s="88" t="n"/>
      <c r="F547" s="88" t="n"/>
      <c r="G547" s="88" t="n"/>
      <c r="H547" s="89" t="n"/>
      <c r="I547" s="90">
        <f>IF($G547="","",IF($F547="",IFERROR(INDEX(Setup!$C$21:$C$60,MATCH("|"&amp;UPPER(TRIM($G547)),Setup!$Q$21:$Q$60,0)),"NO RATE"),IFERROR(INDEX(Setup!$C$21:$C$60,MATCH(UPPER(TRIM($F547))&amp;"|"&amp;UPPER(TRIM($G547)),Setup!$P$21:$P$60,0)),IFERROR(INDEX(Setup!$C$21:$C$60,MATCH(UPPER(TRIM($G547))&amp;"|"&amp;UPPER(TRIM($F547)),Setup!$P$21:$P$60,0)),"NO RATE"))))</f>
        <v/>
      </c>
      <c r="J547" s="91" t="n"/>
      <c r="K547" s="90">
        <f>IF(OR($G547="",$H547="",NOT(ISNUMBER($I547))),"",ROUND($H547*$I547*(1+IF($J547="",Setup!$B$16,$J547)),2))</f>
        <v/>
      </c>
      <c r="L547" s="90">
        <f>IF($K547="","",ROUND($K547*Setup!$B$13,2))</f>
        <v/>
      </c>
      <c r="M547" s="90">
        <f>IF($K547="","",$K547-$L547)</f>
        <v/>
      </c>
      <c r="N547" s="90">
        <f>IF(OR($M547="",$D547=""),"",ROUND($M547*IFERROR(IF(VLOOKUP($D547,Setup!$A$76:$C$87,3,FALSE)="",Setup!$B$14,VLOOKUP($D547,Setup!$A$76:$C$87,3,FALSE)),Setup!$B$14),2))</f>
        <v/>
      </c>
      <c r="O547" s="90">
        <f>IF(OR($M547="",$E547=""),"",ROUND($M547*IFERROR(IF(VLOOKUP($E547,Setup!$A$76:$C$87,3,FALSE)="",Setup!$B$15,VLOOKUP($E547,Setup!$A$76:$C$87,3,FALSE)),Setup!$B$15),2))</f>
        <v/>
      </c>
      <c r="P547" s="92" t="n"/>
      <c r="Q547" s="92" t="n"/>
      <c r="R547" s="92" t="n"/>
      <c r="S547" s="92" t="n"/>
      <c r="T547" s="92" t="n"/>
      <c r="U547" s="90">
        <f>IF($K547="","",SUM($R547:$T547))</f>
        <v/>
      </c>
      <c r="V547" s="90">
        <f>IF($K547="","",$M547-(N($N547)+N($O547)+IF($P547="",Setup!$B$17,$P547)+N($Q547))-N($U547))</f>
        <v/>
      </c>
      <c r="W547" s="87" t="n"/>
      <c r="X547" s="88" t="n"/>
      <c r="Z547" s="93">
        <f>IF($A547="","",DATE(YEAR($A547),MONTH($A547),1))</f>
        <v/>
      </c>
    </row>
    <row r="548">
      <c r="A548" s="94" t="n"/>
      <c r="B548" s="95" t="n"/>
      <c r="C548" s="95" t="n"/>
      <c r="D548" s="96" t="n"/>
      <c r="E548" s="96" t="n"/>
      <c r="F548" s="96" t="n"/>
      <c r="G548" s="96" t="n"/>
      <c r="H548" s="97" t="n"/>
      <c r="I548" s="90">
        <f>IF($G548="","",IF($F548="",IFERROR(INDEX(Setup!$C$21:$C$60,MATCH("|"&amp;UPPER(TRIM($G548)),Setup!$Q$21:$Q$60,0)),"NO RATE"),IFERROR(INDEX(Setup!$C$21:$C$60,MATCH(UPPER(TRIM($F548))&amp;"|"&amp;UPPER(TRIM($G548)),Setup!$P$21:$P$60,0)),IFERROR(INDEX(Setup!$C$21:$C$60,MATCH(UPPER(TRIM($G548))&amp;"|"&amp;UPPER(TRIM($F548)),Setup!$P$21:$P$60,0)),"NO RATE"))))</f>
        <v/>
      </c>
      <c r="J548" s="98" t="n"/>
      <c r="K548" s="90">
        <f>IF(OR($G548="",$H548="",NOT(ISNUMBER($I548))),"",ROUND($H548*$I548*(1+IF($J548="",Setup!$B$16,$J548)),2))</f>
        <v/>
      </c>
      <c r="L548" s="90">
        <f>IF($K548="","",ROUND($K548*Setup!$B$13,2))</f>
        <v/>
      </c>
      <c r="M548" s="90">
        <f>IF($K548="","",$K548-$L548)</f>
        <v/>
      </c>
      <c r="N548" s="90">
        <f>IF(OR($M548="",$D548=""),"",ROUND($M548*IFERROR(IF(VLOOKUP($D548,Setup!$A$76:$C$87,3,FALSE)="",Setup!$B$14,VLOOKUP($D548,Setup!$A$76:$C$87,3,FALSE)),Setup!$B$14),2))</f>
        <v/>
      </c>
      <c r="O548" s="90">
        <f>IF(OR($M548="",$E548=""),"",ROUND($M548*IFERROR(IF(VLOOKUP($E548,Setup!$A$76:$C$87,3,FALSE)="",Setup!$B$15,VLOOKUP($E548,Setup!$A$76:$C$87,3,FALSE)),Setup!$B$15),2))</f>
        <v/>
      </c>
      <c r="P548" s="99" t="n"/>
      <c r="Q548" s="99" t="n"/>
      <c r="R548" s="99" t="n"/>
      <c r="S548" s="99" t="n"/>
      <c r="T548" s="99" t="n"/>
      <c r="U548" s="90">
        <f>IF($K548="","",SUM($R548:$T548))</f>
        <v/>
      </c>
      <c r="V548" s="90">
        <f>IF($K548="","",$M548-(N($N548)+N($O548)+IF($P548="",Setup!$B$17,$P548)+N($Q548))-N($U548))</f>
        <v/>
      </c>
      <c r="W548" s="95" t="n"/>
      <c r="X548" s="96" t="n"/>
      <c r="Z548" s="93">
        <f>IF($A548="","",DATE(YEAR($A548),MONTH($A548),1))</f>
        <v/>
      </c>
    </row>
    <row r="549">
      <c r="A549" s="86" t="n"/>
      <c r="B549" s="87" t="n"/>
      <c r="C549" s="87" t="n"/>
      <c r="D549" s="88" t="n"/>
      <c r="E549" s="88" t="n"/>
      <c r="F549" s="88" t="n"/>
      <c r="G549" s="88" t="n"/>
      <c r="H549" s="89" t="n"/>
      <c r="I549" s="90">
        <f>IF($G549="","",IF($F549="",IFERROR(INDEX(Setup!$C$21:$C$60,MATCH("|"&amp;UPPER(TRIM($G549)),Setup!$Q$21:$Q$60,0)),"NO RATE"),IFERROR(INDEX(Setup!$C$21:$C$60,MATCH(UPPER(TRIM($F549))&amp;"|"&amp;UPPER(TRIM($G549)),Setup!$P$21:$P$60,0)),IFERROR(INDEX(Setup!$C$21:$C$60,MATCH(UPPER(TRIM($G549))&amp;"|"&amp;UPPER(TRIM($F549)),Setup!$P$21:$P$60,0)),"NO RATE"))))</f>
        <v/>
      </c>
      <c r="J549" s="91" t="n"/>
      <c r="K549" s="90">
        <f>IF(OR($G549="",$H549="",NOT(ISNUMBER($I549))),"",ROUND($H549*$I549*(1+IF($J549="",Setup!$B$16,$J549)),2))</f>
        <v/>
      </c>
      <c r="L549" s="90">
        <f>IF($K549="","",ROUND($K549*Setup!$B$13,2))</f>
        <v/>
      </c>
      <c r="M549" s="90">
        <f>IF($K549="","",$K549-$L549)</f>
        <v/>
      </c>
      <c r="N549" s="90">
        <f>IF(OR($M549="",$D549=""),"",ROUND($M549*IFERROR(IF(VLOOKUP($D549,Setup!$A$76:$C$87,3,FALSE)="",Setup!$B$14,VLOOKUP($D549,Setup!$A$76:$C$87,3,FALSE)),Setup!$B$14),2))</f>
        <v/>
      </c>
      <c r="O549" s="90">
        <f>IF(OR($M549="",$E549=""),"",ROUND($M549*IFERROR(IF(VLOOKUP($E549,Setup!$A$76:$C$87,3,FALSE)="",Setup!$B$15,VLOOKUP($E549,Setup!$A$76:$C$87,3,FALSE)),Setup!$B$15),2))</f>
        <v/>
      </c>
      <c r="P549" s="92" t="n"/>
      <c r="Q549" s="92" t="n"/>
      <c r="R549" s="92" t="n"/>
      <c r="S549" s="92" t="n"/>
      <c r="T549" s="92" t="n"/>
      <c r="U549" s="90">
        <f>IF($K549="","",SUM($R549:$T549))</f>
        <v/>
      </c>
      <c r="V549" s="90">
        <f>IF($K549="","",$M549-(N($N549)+N($O549)+IF($P549="",Setup!$B$17,$P549)+N($Q549))-N($U549))</f>
        <v/>
      </c>
      <c r="W549" s="87" t="n"/>
      <c r="X549" s="88" t="n"/>
      <c r="Z549" s="93">
        <f>IF($A549="","",DATE(YEAR($A549),MONTH($A549),1))</f>
        <v/>
      </c>
    </row>
    <row r="550">
      <c r="A550" s="94" t="n"/>
      <c r="B550" s="95" t="n"/>
      <c r="C550" s="95" t="n"/>
      <c r="D550" s="96" t="n"/>
      <c r="E550" s="96" t="n"/>
      <c r="F550" s="96" t="n"/>
      <c r="G550" s="96" t="n"/>
      <c r="H550" s="97" t="n"/>
      <c r="I550" s="90">
        <f>IF($G550="","",IF($F550="",IFERROR(INDEX(Setup!$C$21:$C$60,MATCH("|"&amp;UPPER(TRIM($G550)),Setup!$Q$21:$Q$60,0)),"NO RATE"),IFERROR(INDEX(Setup!$C$21:$C$60,MATCH(UPPER(TRIM($F550))&amp;"|"&amp;UPPER(TRIM($G550)),Setup!$P$21:$P$60,0)),IFERROR(INDEX(Setup!$C$21:$C$60,MATCH(UPPER(TRIM($G550))&amp;"|"&amp;UPPER(TRIM($F550)),Setup!$P$21:$P$60,0)),"NO RATE"))))</f>
        <v/>
      </c>
      <c r="J550" s="98" t="n"/>
      <c r="K550" s="90">
        <f>IF(OR($G550="",$H550="",NOT(ISNUMBER($I550))),"",ROUND($H550*$I550*(1+IF($J550="",Setup!$B$16,$J550)),2))</f>
        <v/>
      </c>
      <c r="L550" s="90">
        <f>IF($K550="","",ROUND($K550*Setup!$B$13,2))</f>
        <v/>
      </c>
      <c r="M550" s="90">
        <f>IF($K550="","",$K550-$L550)</f>
        <v/>
      </c>
      <c r="N550" s="90">
        <f>IF(OR($M550="",$D550=""),"",ROUND($M550*IFERROR(IF(VLOOKUP($D550,Setup!$A$76:$C$87,3,FALSE)="",Setup!$B$14,VLOOKUP($D550,Setup!$A$76:$C$87,3,FALSE)),Setup!$B$14),2))</f>
        <v/>
      </c>
      <c r="O550" s="90">
        <f>IF(OR($M550="",$E550=""),"",ROUND($M550*IFERROR(IF(VLOOKUP($E550,Setup!$A$76:$C$87,3,FALSE)="",Setup!$B$15,VLOOKUP($E550,Setup!$A$76:$C$87,3,FALSE)),Setup!$B$15),2))</f>
        <v/>
      </c>
      <c r="P550" s="99" t="n"/>
      <c r="Q550" s="99" t="n"/>
      <c r="R550" s="99" t="n"/>
      <c r="S550" s="99" t="n"/>
      <c r="T550" s="99" t="n"/>
      <c r="U550" s="90">
        <f>IF($K550="","",SUM($R550:$T550))</f>
        <v/>
      </c>
      <c r="V550" s="90">
        <f>IF($K550="","",$M550-(N($N550)+N($O550)+IF($P550="",Setup!$B$17,$P550)+N($Q550))-N($U550))</f>
        <v/>
      </c>
      <c r="W550" s="95" t="n"/>
      <c r="X550" s="96" t="n"/>
      <c r="Z550" s="93">
        <f>IF($A550="","",DATE(YEAR($A550),MONTH($A550),1))</f>
        <v/>
      </c>
    </row>
    <row r="551">
      <c r="A551" s="86" t="n"/>
      <c r="B551" s="87" t="n"/>
      <c r="C551" s="87" t="n"/>
      <c r="D551" s="88" t="n"/>
      <c r="E551" s="88" t="n"/>
      <c r="F551" s="88" t="n"/>
      <c r="G551" s="88" t="n"/>
      <c r="H551" s="89" t="n"/>
      <c r="I551" s="90">
        <f>IF($G551="","",IF($F551="",IFERROR(INDEX(Setup!$C$21:$C$60,MATCH("|"&amp;UPPER(TRIM($G551)),Setup!$Q$21:$Q$60,0)),"NO RATE"),IFERROR(INDEX(Setup!$C$21:$C$60,MATCH(UPPER(TRIM($F551))&amp;"|"&amp;UPPER(TRIM($G551)),Setup!$P$21:$P$60,0)),IFERROR(INDEX(Setup!$C$21:$C$60,MATCH(UPPER(TRIM($G551))&amp;"|"&amp;UPPER(TRIM($F551)),Setup!$P$21:$P$60,0)),"NO RATE"))))</f>
        <v/>
      </c>
      <c r="J551" s="91" t="n"/>
      <c r="K551" s="90">
        <f>IF(OR($G551="",$H551="",NOT(ISNUMBER($I551))),"",ROUND($H551*$I551*(1+IF($J551="",Setup!$B$16,$J551)),2))</f>
        <v/>
      </c>
      <c r="L551" s="90">
        <f>IF($K551="","",ROUND($K551*Setup!$B$13,2))</f>
        <v/>
      </c>
      <c r="M551" s="90">
        <f>IF($K551="","",$K551-$L551)</f>
        <v/>
      </c>
      <c r="N551" s="90">
        <f>IF(OR($M551="",$D551=""),"",ROUND($M551*IFERROR(IF(VLOOKUP($D551,Setup!$A$76:$C$87,3,FALSE)="",Setup!$B$14,VLOOKUP($D551,Setup!$A$76:$C$87,3,FALSE)),Setup!$B$14),2))</f>
        <v/>
      </c>
      <c r="O551" s="90">
        <f>IF(OR($M551="",$E551=""),"",ROUND($M551*IFERROR(IF(VLOOKUP($E551,Setup!$A$76:$C$87,3,FALSE)="",Setup!$B$15,VLOOKUP($E551,Setup!$A$76:$C$87,3,FALSE)),Setup!$B$15),2))</f>
        <v/>
      </c>
      <c r="P551" s="92" t="n"/>
      <c r="Q551" s="92" t="n"/>
      <c r="R551" s="92" t="n"/>
      <c r="S551" s="92" t="n"/>
      <c r="T551" s="92" t="n"/>
      <c r="U551" s="90">
        <f>IF($K551="","",SUM($R551:$T551))</f>
        <v/>
      </c>
      <c r="V551" s="90">
        <f>IF($K551="","",$M551-(N($N551)+N($O551)+IF($P551="",Setup!$B$17,$P551)+N($Q551))-N($U551))</f>
        <v/>
      </c>
      <c r="W551" s="87" t="n"/>
      <c r="X551" s="88" t="n"/>
      <c r="Z551" s="93">
        <f>IF($A551="","",DATE(YEAR($A551),MONTH($A551),1))</f>
        <v/>
      </c>
    </row>
    <row r="552">
      <c r="A552" s="94" t="n"/>
      <c r="B552" s="95" t="n"/>
      <c r="C552" s="95" t="n"/>
      <c r="D552" s="96" t="n"/>
      <c r="E552" s="96" t="n"/>
      <c r="F552" s="96" t="n"/>
      <c r="G552" s="96" t="n"/>
      <c r="H552" s="97" t="n"/>
      <c r="I552" s="90">
        <f>IF($G552="","",IF($F552="",IFERROR(INDEX(Setup!$C$21:$C$60,MATCH("|"&amp;UPPER(TRIM($G552)),Setup!$Q$21:$Q$60,0)),"NO RATE"),IFERROR(INDEX(Setup!$C$21:$C$60,MATCH(UPPER(TRIM($F552))&amp;"|"&amp;UPPER(TRIM($G552)),Setup!$P$21:$P$60,0)),IFERROR(INDEX(Setup!$C$21:$C$60,MATCH(UPPER(TRIM($G552))&amp;"|"&amp;UPPER(TRIM($F552)),Setup!$P$21:$P$60,0)),"NO RATE"))))</f>
        <v/>
      </c>
      <c r="J552" s="98" t="n"/>
      <c r="K552" s="90">
        <f>IF(OR($G552="",$H552="",NOT(ISNUMBER($I552))),"",ROUND($H552*$I552*(1+IF($J552="",Setup!$B$16,$J552)),2))</f>
        <v/>
      </c>
      <c r="L552" s="90">
        <f>IF($K552="","",ROUND($K552*Setup!$B$13,2))</f>
        <v/>
      </c>
      <c r="M552" s="90">
        <f>IF($K552="","",$K552-$L552)</f>
        <v/>
      </c>
      <c r="N552" s="90">
        <f>IF(OR($M552="",$D552=""),"",ROUND($M552*IFERROR(IF(VLOOKUP($D552,Setup!$A$76:$C$87,3,FALSE)="",Setup!$B$14,VLOOKUP($D552,Setup!$A$76:$C$87,3,FALSE)),Setup!$B$14),2))</f>
        <v/>
      </c>
      <c r="O552" s="90">
        <f>IF(OR($M552="",$E552=""),"",ROUND($M552*IFERROR(IF(VLOOKUP($E552,Setup!$A$76:$C$87,3,FALSE)="",Setup!$B$15,VLOOKUP($E552,Setup!$A$76:$C$87,3,FALSE)),Setup!$B$15),2))</f>
        <v/>
      </c>
      <c r="P552" s="99" t="n"/>
      <c r="Q552" s="99" t="n"/>
      <c r="R552" s="99" t="n"/>
      <c r="S552" s="99" t="n"/>
      <c r="T552" s="99" t="n"/>
      <c r="U552" s="90">
        <f>IF($K552="","",SUM($R552:$T552))</f>
        <v/>
      </c>
      <c r="V552" s="90">
        <f>IF($K552="","",$M552-(N($N552)+N($O552)+IF($P552="",Setup!$B$17,$P552)+N($Q552))-N($U552))</f>
        <v/>
      </c>
      <c r="W552" s="95" t="n"/>
      <c r="X552" s="96" t="n"/>
      <c r="Z552" s="93">
        <f>IF($A552="","",DATE(YEAR($A552),MONTH($A552),1))</f>
        <v/>
      </c>
    </row>
    <row r="553">
      <c r="A553" s="86" t="n"/>
      <c r="B553" s="87" t="n"/>
      <c r="C553" s="87" t="n"/>
      <c r="D553" s="88" t="n"/>
      <c r="E553" s="88" t="n"/>
      <c r="F553" s="88" t="n"/>
      <c r="G553" s="88" t="n"/>
      <c r="H553" s="89" t="n"/>
      <c r="I553" s="90">
        <f>IF($G553="","",IF($F553="",IFERROR(INDEX(Setup!$C$21:$C$60,MATCH("|"&amp;UPPER(TRIM($G553)),Setup!$Q$21:$Q$60,0)),"NO RATE"),IFERROR(INDEX(Setup!$C$21:$C$60,MATCH(UPPER(TRIM($F553))&amp;"|"&amp;UPPER(TRIM($G553)),Setup!$P$21:$P$60,0)),IFERROR(INDEX(Setup!$C$21:$C$60,MATCH(UPPER(TRIM($G553))&amp;"|"&amp;UPPER(TRIM($F553)),Setup!$P$21:$P$60,0)),"NO RATE"))))</f>
        <v/>
      </c>
      <c r="J553" s="91" t="n"/>
      <c r="K553" s="90">
        <f>IF(OR($G553="",$H553="",NOT(ISNUMBER($I553))),"",ROUND($H553*$I553*(1+IF($J553="",Setup!$B$16,$J553)),2))</f>
        <v/>
      </c>
      <c r="L553" s="90">
        <f>IF($K553="","",ROUND($K553*Setup!$B$13,2))</f>
        <v/>
      </c>
      <c r="M553" s="90">
        <f>IF($K553="","",$K553-$L553)</f>
        <v/>
      </c>
      <c r="N553" s="90">
        <f>IF(OR($M553="",$D553=""),"",ROUND($M553*IFERROR(IF(VLOOKUP($D553,Setup!$A$76:$C$87,3,FALSE)="",Setup!$B$14,VLOOKUP($D553,Setup!$A$76:$C$87,3,FALSE)),Setup!$B$14),2))</f>
        <v/>
      </c>
      <c r="O553" s="90">
        <f>IF(OR($M553="",$E553=""),"",ROUND($M553*IFERROR(IF(VLOOKUP($E553,Setup!$A$76:$C$87,3,FALSE)="",Setup!$B$15,VLOOKUP($E553,Setup!$A$76:$C$87,3,FALSE)),Setup!$B$15),2))</f>
        <v/>
      </c>
      <c r="P553" s="92" t="n"/>
      <c r="Q553" s="92" t="n"/>
      <c r="R553" s="92" t="n"/>
      <c r="S553" s="92" t="n"/>
      <c r="T553" s="92" t="n"/>
      <c r="U553" s="90">
        <f>IF($K553="","",SUM($R553:$T553))</f>
        <v/>
      </c>
      <c r="V553" s="90">
        <f>IF($K553="","",$M553-(N($N553)+N($O553)+IF($P553="",Setup!$B$17,$P553)+N($Q553))-N($U553))</f>
        <v/>
      </c>
      <c r="W553" s="87" t="n"/>
      <c r="X553" s="88" t="n"/>
      <c r="Z553" s="93">
        <f>IF($A553="","",DATE(YEAR($A553),MONTH($A553),1))</f>
        <v/>
      </c>
    </row>
    <row r="554">
      <c r="A554" s="94" t="n"/>
      <c r="B554" s="95" t="n"/>
      <c r="C554" s="95" t="n"/>
      <c r="D554" s="96" t="n"/>
      <c r="E554" s="96" t="n"/>
      <c r="F554" s="96" t="n"/>
      <c r="G554" s="96" t="n"/>
      <c r="H554" s="97" t="n"/>
      <c r="I554" s="90">
        <f>IF($G554="","",IF($F554="",IFERROR(INDEX(Setup!$C$21:$C$60,MATCH("|"&amp;UPPER(TRIM($G554)),Setup!$Q$21:$Q$60,0)),"NO RATE"),IFERROR(INDEX(Setup!$C$21:$C$60,MATCH(UPPER(TRIM($F554))&amp;"|"&amp;UPPER(TRIM($G554)),Setup!$P$21:$P$60,0)),IFERROR(INDEX(Setup!$C$21:$C$60,MATCH(UPPER(TRIM($G554))&amp;"|"&amp;UPPER(TRIM($F554)),Setup!$P$21:$P$60,0)),"NO RATE"))))</f>
        <v/>
      </c>
      <c r="J554" s="98" t="n"/>
      <c r="K554" s="90">
        <f>IF(OR($G554="",$H554="",NOT(ISNUMBER($I554))),"",ROUND($H554*$I554*(1+IF($J554="",Setup!$B$16,$J554)),2))</f>
        <v/>
      </c>
      <c r="L554" s="90">
        <f>IF($K554="","",ROUND($K554*Setup!$B$13,2))</f>
        <v/>
      </c>
      <c r="M554" s="90">
        <f>IF($K554="","",$K554-$L554)</f>
        <v/>
      </c>
      <c r="N554" s="90">
        <f>IF(OR($M554="",$D554=""),"",ROUND($M554*IFERROR(IF(VLOOKUP($D554,Setup!$A$76:$C$87,3,FALSE)="",Setup!$B$14,VLOOKUP($D554,Setup!$A$76:$C$87,3,FALSE)),Setup!$B$14),2))</f>
        <v/>
      </c>
      <c r="O554" s="90">
        <f>IF(OR($M554="",$E554=""),"",ROUND($M554*IFERROR(IF(VLOOKUP($E554,Setup!$A$76:$C$87,3,FALSE)="",Setup!$B$15,VLOOKUP($E554,Setup!$A$76:$C$87,3,FALSE)),Setup!$B$15),2))</f>
        <v/>
      </c>
      <c r="P554" s="99" t="n"/>
      <c r="Q554" s="99" t="n"/>
      <c r="R554" s="99" t="n"/>
      <c r="S554" s="99" t="n"/>
      <c r="T554" s="99" t="n"/>
      <c r="U554" s="90">
        <f>IF($K554="","",SUM($R554:$T554))</f>
        <v/>
      </c>
      <c r="V554" s="90">
        <f>IF($K554="","",$M554-(N($N554)+N($O554)+IF($P554="",Setup!$B$17,$P554)+N($Q554))-N($U554))</f>
        <v/>
      </c>
      <c r="W554" s="95" t="n"/>
      <c r="X554" s="96" t="n"/>
      <c r="Z554" s="93">
        <f>IF($A554="","",DATE(YEAR($A554),MONTH($A554),1))</f>
        <v/>
      </c>
    </row>
    <row r="555">
      <c r="A555" s="86" t="n"/>
      <c r="B555" s="87" t="n"/>
      <c r="C555" s="87" t="n"/>
      <c r="D555" s="88" t="n"/>
      <c r="E555" s="88" t="n"/>
      <c r="F555" s="88" t="n"/>
      <c r="G555" s="88" t="n"/>
      <c r="H555" s="89" t="n"/>
      <c r="I555" s="90">
        <f>IF($G555="","",IF($F555="",IFERROR(INDEX(Setup!$C$21:$C$60,MATCH("|"&amp;UPPER(TRIM($G555)),Setup!$Q$21:$Q$60,0)),"NO RATE"),IFERROR(INDEX(Setup!$C$21:$C$60,MATCH(UPPER(TRIM($F555))&amp;"|"&amp;UPPER(TRIM($G555)),Setup!$P$21:$P$60,0)),IFERROR(INDEX(Setup!$C$21:$C$60,MATCH(UPPER(TRIM($G555))&amp;"|"&amp;UPPER(TRIM($F555)),Setup!$P$21:$P$60,0)),"NO RATE"))))</f>
        <v/>
      </c>
      <c r="J555" s="91" t="n"/>
      <c r="K555" s="90">
        <f>IF(OR($G555="",$H555="",NOT(ISNUMBER($I555))),"",ROUND($H555*$I555*(1+IF($J555="",Setup!$B$16,$J555)),2))</f>
        <v/>
      </c>
      <c r="L555" s="90">
        <f>IF($K555="","",ROUND($K555*Setup!$B$13,2))</f>
        <v/>
      </c>
      <c r="M555" s="90">
        <f>IF($K555="","",$K555-$L555)</f>
        <v/>
      </c>
      <c r="N555" s="90">
        <f>IF(OR($M555="",$D555=""),"",ROUND($M555*IFERROR(IF(VLOOKUP($D555,Setup!$A$76:$C$87,3,FALSE)="",Setup!$B$14,VLOOKUP($D555,Setup!$A$76:$C$87,3,FALSE)),Setup!$B$14),2))</f>
        <v/>
      </c>
      <c r="O555" s="90">
        <f>IF(OR($M555="",$E555=""),"",ROUND($M555*IFERROR(IF(VLOOKUP($E555,Setup!$A$76:$C$87,3,FALSE)="",Setup!$B$15,VLOOKUP($E555,Setup!$A$76:$C$87,3,FALSE)),Setup!$B$15),2))</f>
        <v/>
      </c>
      <c r="P555" s="92" t="n"/>
      <c r="Q555" s="92" t="n"/>
      <c r="R555" s="92" t="n"/>
      <c r="S555" s="92" t="n"/>
      <c r="T555" s="92" t="n"/>
      <c r="U555" s="90">
        <f>IF($K555="","",SUM($R555:$T555))</f>
        <v/>
      </c>
      <c r="V555" s="90">
        <f>IF($K555="","",$M555-(N($N555)+N($O555)+IF($P555="",Setup!$B$17,$P555)+N($Q555))-N($U555))</f>
        <v/>
      </c>
      <c r="W555" s="87" t="n"/>
      <c r="X555" s="88" t="n"/>
      <c r="Z555" s="93">
        <f>IF($A555="","",DATE(YEAR($A555),MONTH($A555),1))</f>
        <v/>
      </c>
    </row>
    <row r="556">
      <c r="A556" s="94" t="n"/>
      <c r="B556" s="95" t="n"/>
      <c r="C556" s="95" t="n"/>
      <c r="D556" s="96" t="n"/>
      <c r="E556" s="96" t="n"/>
      <c r="F556" s="96" t="n"/>
      <c r="G556" s="96" t="n"/>
      <c r="H556" s="97" t="n"/>
      <c r="I556" s="90">
        <f>IF($G556="","",IF($F556="",IFERROR(INDEX(Setup!$C$21:$C$60,MATCH("|"&amp;UPPER(TRIM($G556)),Setup!$Q$21:$Q$60,0)),"NO RATE"),IFERROR(INDEX(Setup!$C$21:$C$60,MATCH(UPPER(TRIM($F556))&amp;"|"&amp;UPPER(TRIM($G556)),Setup!$P$21:$P$60,0)),IFERROR(INDEX(Setup!$C$21:$C$60,MATCH(UPPER(TRIM($G556))&amp;"|"&amp;UPPER(TRIM($F556)),Setup!$P$21:$P$60,0)),"NO RATE"))))</f>
        <v/>
      </c>
      <c r="J556" s="98" t="n"/>
      <c r="K556" s="90">
        <f>IF(OR($G556="",$H556="",NOT(ISNUMBER($I556))),"",ROUND($H556*$I556*(1+IF($J556="",Setup!$B$16,$J556)),2))</f>
        <v/>
      </c>
      <c r="L556" s="90">
        <f>IF($K556="","",ROUND($K556*Setup!$B$13,2))</f>
        <v/>
      </c>
      <c r="M556" s="90">
        <f>IF($K556="","",$K556-$L556)</f>
        <v/>
      </c>
      <c r="N556" s="90">
        <f>IF(OR($M556="",$D556=""),"",ROUND($M556*IFERROR(IF(VLOOKUP($D556,Setup!$A$76:$C$87,3,FALSE)="",Setup!$B$14,VLOOKUP($D556,Setup!$A$76:$C$87,3,FALSE)),Setup!$B$14),2))</f>
        <v/>
      </c>
      <c r="O556" s="90">
        <f>IF(OR($M556="",$E556=""),"",ROUND($M556*IFERROR(IF(VLOOKUP($E556,Setup!$A$76:$C$87,3,FALSE)="",Setup!$B$15,VLOOKUP($E556,Setup!$A$76:$C$87,3,FALSE)),Setup!$B$15),2))</f>
        <v/>
      </c>
      <c r="P556" s="99" t="n"/>
      <c r="Q556" s="99" t="n"/>
      <c r="R556" s="99" t="n"/>
      <c r="S556" s="99" t="n"/>
      <c r="T556" s="99" t="n"/>
      <c r="U556" s="90">
        <f>IF($K556="","",SUM($R556:$T556))</f>
        <v/>
      </c>
      <c r="V556" s="90">
        <f>IF($K556="","",$M556-(N($N556)+N($O556)+IF($P556="",Setup!$B$17,$P556)+N($Q556))-N($U556))</f>
        <v/>
      </c>
      <c r="W556" s="95" t="n"/>
      <c r="X556" s="96" t="n"/>
      <c r="Z556" s="93">
        <f>IF($A556="","",DATE(YEAR($A556),MONTH($A556),1))</f>
        <v/>
      </c>
    </row>
    <row r="557">
      <c r="A557" s="86" t="n"/>
      <c r="B557" s="87" t="n"/>
      <c r="C557" s="87" t="n"/>
      <c r="D557" s="88" t="n"/>
      <c r="E557" s="88" t="n"/>
      <c r="F557" s="88" t="n"/>
      <c r="G557" s="88" t="n"/>
      <c r="H557" s="89" t="n"/>
      <c r="I557" s="90">
        <f>IF($G557="","",IF($F557="",IFERROR(INDEX(Setup!$C$21:$C$60,MATCH("|"&amp;UPPER(TRIM($G557)),Setup!$Q$21:$Q$60,0)),"NO RATE"),IFERROR(INDEX(Setup!$C$21:$C$60,MATCH(UPPER(TRIM($F557))&amp;"|"&amp;UPPER(TRIM($G557)),Setup!$P$21:$P$60,0)),IFERROR(INDEX(Setup!$C$21:$C$60,MATCH(UPPER(TRIM($G557))&amp;"|"&amp;UPPER(TRIM($F557)),Setup!$P$21:$P$60,0)),"NO RATE"))))</f>
        <v/>
      </c>
      <c r="J557" s="91" t="n"/>
      <c r="K557" s="90">
        <f>IF(OR($G557="",$H557="",NOT(ISNUMBER($I557))),"",ROUND($H557*$I557*(1+IF($J557="",Setup!$B$16,$J557)),2))</f>
        <v/>
      </c>
      <c r="L557" s="90">
        <f>IF($K557="","",ROUND($K557*Setup!$B$13,2))</f>
        <v/>
      </c>
      <c r="M557" s="90">
        <f>IF($K557="","",$K557-$L557)</f>
        <v/>
      </c>
      <c r="N557" s="90">
        <f>IF(OR($M557="",$D557=""),"",ROUND($M557*IFERROR(IF(VLOOKUP($D557,Setup!$A$76:$C$87,3,FALSE)="",Setup!$B$14,VLOOKUP($D557,Setup!$A$76:$C$87,3,FALSE)),Setup!$B$14),2))</f>
        <v/>
      </c>
      <c r="O557" s="90">
        <f>IF(OR($M557="",$E557=""),"",ROUND($M557*IFERROR(IF(VLOOKUP($E557,Setup!$A$76:$C$87,3,FALSE)="",Setup!$B$15,VLOOKUP($E557,Setup!$A$76:$C$87,3,FALSE)),Setup!$B$15),2))</f>
        <v/>
      </c>
      <c r="P557" s="92" t="n"/>
      <c r="Q557" s="92" t="n"/>
      <c r="R557" s="92" t="n"/>
      <c r="S557" s="92" t="n"/>
      <c r="T557" s="92" t="n"/>
      <c r="U557" s="90">
        <f>IF($K557="","",SUM($R557:$T557))</f>
        <v/>
      </c>
      <c r="V557" s="90">
        <f>IF($K557="","",$M557-(N($N557)+N($O557)+IF($P557="",Setup!$B$17,$P557)+N($Q557))-N($U557))</f>
        <v/>
      </c>
      <c r="W557" s="87" t="n"/>
      <c r="X557" s="88" t="n"/>
      <c r="Z557" s="93">
        <f>IF($A557="","",DATE(YEAR($A557),MONTH($A557),1))</f>
        <v/>
      </c>
    </row>
    <row r="558">
      <c r="A558" s="94" t="n"/>
      <c r="B558" s="95" t="n"/>
      <c r="C558" s="95" t="n"/>
      <c r="D558" s="96" t="n"/>
      <c r="E558" s="96" t="n"/>
      <c r="F558" s="96" t="n"/>
      <c r="G558" s="96" t="n"/>
      <c r="H558" s="97" t="n"/>
      <c r="I558" s="90">
        <f>IF($G558="","",IF($F558="",IFERROR(INDEX(Setup!$C$21:$C$60,MATCH("|"&amp;UPPER(TRIM($G558)),Setup!$Q$21:$Q$60,0)),"NO RATE"),IFERROR(INDEX(Setup!$C$21:$C$60,MATCH(UPPER(TRIM($F558))&amp;"|"&amp;UPPER(TRIM($G558)),Setup!$P$21:$P$60,0)),IFERROR(INDEX(Setup!$C$21:$C$60,MATCH(UPPER(TRIM($G558))&amp;"|"&amp;UPPER(TRIM($F558)),Setup!$P$21:$P$60,0)),"NO RATE"))))</f>
        <v/>
      </c>
      <c r="J558" s="98" t="n"/>
      <c r="K558" s="90">
        <f>IF(OR($G558="",$H558="",NOT(ISNUMBER($I558))),"",ROUND($H558*$I558*(1+IF($J558="",Setup!$B$16,$J558)),2))</f>
        <v/>
      </c>
      <c r="L558" s="90">
        <f>IF($K558="","",ROUND($K558*Setup!$B$13,2))</f>
        <v/>
      </c>
      <c r="M558" s="90">
        <f>IF($K558="","",$K558-$L558)</f>
        <v/>
      </c>
      <c r="N558" s="90">
        <f>IF(OR($M558="",$D558=""),"",ROUND($M558*IFERROR(IF(VLOOKUP($D558,Setup!$A$76:$C$87,3,FALSE)="",Setup!$B$14,VLOOKUP($D558,Setup!$A$76:$C$87,3,FALSE)),Setup!$B$14),2))</f>
        <v/>
      </c>
      <c r="O558" s="90">
        <f>IF(OR($M558="",$E558=""),"",ROUND($M558*IFERROR(IF(VLOOKUP($E558,Setup!$A$76:$C$87,3,FALSE)="",Setup!$B$15,VLOOKUP($E558,Setup!$A$76:$C$87,3,FALSE)),Setup!$B$15),2))</f>
        <v/>
      </c>
      <c r="P558" s="99" t="n"/>
      <c r="Q558" s="99" t="n"/>
      <c r="R558" s="99" t="n"/>
      <c r="S558" s="99" t="n"/>
      <c r="T558" s="99" t="n"/>
      <c r="U558" s="90">
        <f>IF($K558="","",SUM($R558:$T558))</f>
        <v/>
      </c>
      <c r="V558" s="90">
        <f>IF($K558="","",$M558-(N($N558)+N($O558)+IF($P558="",Setup!$B$17,$P558)+N($Q558))-N($U558))</f>
        <v/>
      </c>
      <c r="W558" s="95" t="n"/>
      <c r="X558" s="96" t="n"/>
      <c r="Z558" s="93">
        <f>IF($A558="","",DATE(YEAR($A558),MONTH($A558),1))</f>
        <v/>
      </c>
    </row>
    <row r="559">
      <c r="A559" s="86" t="n"/>
      <c r="B559" s="87" t="n"/>
      <c r="C559" s="87" t="n"/>
      <c r="D559" s="88" t="n"/>
      <c r="E559" s="88" t="n"/>
      <c r="F559" s="88" t="n"/>
      <c r="G559" s="88" t="n"/>
      <c r="H559" s="89" t="n"/>
      <c r="I559" s="90">
        <f>IF($G559="","",IF($F559="",IFERROR(INDEX(Setup!$C$21:$C$60,MATCH("|"&amp;UPPER(TRIM($G559)),Setup!$Q$21:$Q$60,0)),"NO RATE"),IFERROR(INDEX(Setup!$C$21:$C$60,MATCH(UPPER(TRIM($F559))&amp;"|"&amp;UPPER(TRIM($G559)),Setup!$P$21:$P$60,0)),IFERROR(INDEX(Setup!$C$21:$C$60,MATCH(UPPER(TRIM($G559))&amp;"|"&amp;UPPER(TRIM($F559)),Setup!$P$21:$P$60,0)),"NO RATE"))))</f>
        <v/>
      </c>
      <c r="J559" s="91" t="n"/>
      <c r="K559" s="90">
        <f>IF(OR($G559="",$H559="",NOT(ISNUMBER($I559))),"",ROUND($H559*$I559*(1+IF($J559="",Setup!$B$16,$J559)),2))</f>
        <v/>
      </c>
      <c r="L559" s="90">
        <f>IF($K559="","",ROUND($K559*Setup!$B$13,2))</f>
        <v/>
      </c>
      <c r="M559" s="90">
        <f>IF($K559="","",$K559-$L559)</f>
        <v/>
      </c>
      <c r="N559" s="90">
        <f>IF(OR($M559="",$D559=""),"",ROUND($M559*IFERROR(IF(VLOOKUP($D559,Setup!$A$76:$C$87,3,FALSE)="",Setup!$B$14,VLOOKUP($D559,Setup!$A$76:$C$87,3,FALSE)),Setup!$B$14),2))</f>
        <v/>
      </c>
      <c r="O559" s="90">
        <f>IF(OR($M559="",$E559=""),"",ROUND($M559*IFERROR(IF(VLOOKUP($E559,Setup!$A$76:$C$87,3,FALSE)="",Setup!$B$15,VLOOKUP($E559,Setup!$A$76:$C$87,3,FALSE)),Setup!$B$15),2))</f>
        <v/>
      </c>
      <c r="P559" s="92" t="n"/>
      <c r="Q559" s="92" t="n"/>
      <c r="R559" s="92" t="n"/>
      <c r="S559" s="92" t="n"/>
      <c r="T559" s="92" t="n"/>
      <c r="U559" s="90">
        <f>IF($K559="","",SUM($R559:$T559))</f>
        <v/>
      </c>
      <c r="V559" s="90">
        <f>IF($K559="","",$M559-(N($N559)+N($O559)+IF($P559="",Setup!$B$17,$P559)+N($Q559))-N($U559))</f>
        <v/>
      </c>
      <c r="W559" s="87" t="n"/>
      <c r="X559" s="88" t="n"/>
      <c r="Z559" s="93">
        <f>IF($A559="","",DATE(YEAR($A559),MONTH($A559),1))</f>
        <v/>
      </c>
    </row>
    <row r="560">
      <c r="A560" s="94" t="n"/>
      <c r="B560" s="95" t="n"/>
      <c r="C560" s="95" t="n"/>
      <c r="D560" s="96" t="n"/>
      <c r="E560" s="96" t="n"/>
      <c r="F560" s="96" t="n"/>
      <c r="G560" s="96" t="n"/>
      <c r="H560" s="97" t="n"/>
      <c r="I560" s="90">
        <f>IF($G560="","",IF($F560="",IFERROR(INDEX(Setup!$C$21:$C$60,MATCH("|"&amp;UPPER(TRIM($G560)),Setup!$Q$21:$Q$60,0)),"NO RATE"),IFERROR(INDEX(Setup!$C$21:$C$60,MATCH(UPPER(TRIM($F560))&amp;"|"&amp;UPPER(TRIM($G560)),Setup!$P$21:$P$60,0)),IFERROR(INDEX(Setup!$C$21:$C$60,MATCH(UPPER(TRIM($G560))&amp;"|"&amp;UPPER(TRIM($F560)),Setup!$P$21:$P$60,0)),"NO RATE"))))</f>
        <v/>
      </c>
      <c r="J560" s="98" t="n"/>
      <c r="K560" s="90">
        <f>IF(OR($G560="",$H560="",NOT(ISNUMBER($I560))),"",ROUND($H560*$I560*(1+IF($J560="",Setup!$B$16,$J560)),2))</f>
        <v/>
      </c>
      <c r="L560" s="90">
        <f>IF($K560="","",ROUND($K560*Setup!$B$13,2))</f>
        <v/>
      </c>
      <c r="M560" s="90">
        <f>IF($K560="","",$K560-$L560)</f>
        <v/>
      </c>
      <c r="N560" s="90">
        <f>IF(OR($M560="",$D560=""),"",ROUND($M560*IFERROR(IF(VLOOKUP($D560,Setup!$A$76:$C$87,3,FALSE)="",Setup!$B$14,VLOOKUP($D560,Setup!$A$76:$C$87,3,FALSE)),Setup!$B$14),2))</f>
        <v/>
      </c>
      <c r="O560" s="90">
        <f>IF(OR($M560="",$E560=""),"",ROUND($M560*IFERROR(IF(VLOOKUP($E560,Setup!$A$76:$C$87,3,FALSE)="",Setup!$B$15,VLOOKUP($E560,Setup!$A$76:$C$87,3,FALSE)),Setup!$B$15),2))</f>
        <v/>
      </c>
      <c r="P560" s="99" t="n"/>
      <c r="Q560" s="99" t="n"/>
      <c r="R560" s="99" t="n"/>
      <c r="S560" s="99" t="n"/>
      <c r="T560" s="99" t="n"/>
      <c r="U560" s="90">
        <f>IF($K560="","",SUM($R560:$T560))</f>
        <v/>
      </c>
      <c r="V560" s="90">
        <f>IF($K560="","",$M560-(N($N560)+N($O560)+IF($P560="",Setup!$B$17,$P560)+N($Q560))-N($U560))</f>
        <v/>
      </c>
      <c r="W560" s="95" t="n"/>
      <c r="X560" s="96" t="n"/>
      <c r="Z560" s="93">
        <f>IF($A560="","",DATE(YEAR($A560),MONTH($A560),1))</f>
        <v/>
      </c>
    </row>
    <row r="561">
      <c r="A561" s="86" t="n"/>
      <c r="B561" s="87" t="n"/>
      <c r="C561" s="87" t="n"/>
      <c r="D561" s="88" t="n"/>
      <c r="E561" s="88" t="n"/>
      <c r="F561" s="88" t="n"/>
      <c r="G561" s="88" t="n"/>
      <c r="H561" s="89" t="n"/>
      <c r="I561" s="90">
        <f>IF($G561="","",IF($F561="",IFERROR(INDEX(Setup!$C$21:$C$60,MATCH("|"&amp;UPPER(TRIM($G561)),Setup!$Q$21:$Q$60,0)),"NO RATE"),IFERROR(INDEX(Setup!$C$21:$C$60,MATCH(UPPER(TRIM($F561))&amp;"|"&amp;UPPER(TRIM($G561)),Setup!$P$21:$P$60,0)),IFERROR(INDEX(Setup!$C$21:$C$60,MATCH(UPPER(TRIM($G561))&amp;"|"&amp;UPPER(TRIM($F561)),Setup!$P$21:$P$60,0)),"NO RATE"))))</f>
        <v/>
      </c>
      <c r="J561" s="91" t="n"/>
      <c r="K561" s="90">
        <f>IF(OR($G561="",$H561="",NOT(ISNUMBER($I561))),"",ROUND($H561*$I561*(1+IF($J561="",Setup!$B$16,$J561)),2))</f>
        <v/>
      </c>
      <c r="L561" s="90">
        <f>IF($K561="","",ROUND($K561*Setup!$B$13,2))</f>
        <v/>
      </c>
      <c r="M561" s="90">
        <f>IF($K561="","",$K561-$L561)</f>
        <v/>
      </c>
      <c r="N561" s="90">
        <f>IF(OR($M561="",$D561=""),"",ROUND($M561*IFERROR(IF(VLOOKUP($D561,Setup!$A$76:$C$87,3,FALSE)="",Setup!$B$14,VLOOKUP($D561,Setup!$A$76:$C$87,3,FALSE)),Setup!$B$14),2))</f>
        <v/>
      </c>
      <c r="O561" s="90">
        <f>IF(OR($M561="",$E561=""),"",ROUND($M561*IFERROR(IF(VLOOKUP($E561,Setup!$A$76:$C$87,3,FALSE)="",Setup!$B$15,VLOOKUP($E561,Setup!$A$76:$C$87,3,FALSE)),Setup!$B$15),2))</f>
        <v/>
      </c>
      <c r="P561" s="92" t="n"/>
      <c r="Q561" s="92" t="n"/>
      <c r="R561" s="92" t="n"/>
      <c r="S561" s="92" t="n"/>
      <c r="T561" s="92" t="n"/>
      <c r="U561" s="90">
        <f>IF($K561="","",SUM($R561:$T561))</f>
        <v/>
      </c>
      <c r="V561" s="90">
        <f>IF($K561="","",$M561-(N($N561)+N($O561)+IF($P561="",Setup!$B$17,$P561)+N($Q561))-N($U561))</f>
        <v/>
      </c>
      <c r="W561" s="87" t="n"/>
      <c r="X561" s="88" t="n"/>
      <c r="Z561" s="93">
        <f>IF($A561="","",DATE(YEAR($A561),MONTH($A561),1))</f>
        <v/>
      </c>
    </row>
    <row r="562">
      <c r="A562" s="94" t="n"/>
      <c r="B562" s="95" t="n"/>
      <c r="C562" s="95" t="n"/>
      <c r="D562" s="96" t="n"/>
      <c r="E562" s="96" t="n"/>
      <c r="F562" s="96" t="n"/>
      <c r="G562" s="96" t="n"/>
      <c r="H562" s="97" t="n"/>
      <c r="I562" s="90">
        <f>IF($G562="","",IF($F562="",IFERROR(INDEX(Setup!$C$21:$C$60,MATCH("|"&amp;UPPER(TRIM($G562)),Setup!$Q$21:$Q$60,0)),"NO RATE"),IFERROR(INDEX(Setup!$C$21:$C$60,MATCH(UPPER(TRIM($F562))&amp;"|"&amp;UPPER(TRIM($G562)),Setup!$P$21:$P$60,0)),IFERROR(INDEX(Setup!$C$21:$C$60,MATCH(UPPER(TRIM($G562))&amp;"|"&amp;UPPER(TRIM($F562)),Setup!$P$21:$P$60,0)),"NO RATE"))))</f>
        <v/>
      </c>
      <c r="J562" s="98" t="n"/>
      <c r="K562" s="90">
        <f>IF(OR($G562="",$H562="",NOT(ISNUMBER($I562))),"",ROUND($H562*$I562*(1+IF($J562="",Setup!$B$16,$J562)),2))</f>
        <v/>
      </c>
      <c r="L562" s="90">
        <f>IF($K562="","",ROUND($K562*Setup!$B$13,2))</f>
        <v/>
      </c>
      <c r="M562" s="90">
        <f>IF($K562="","",$K562-$L562)</f>
        <v/>
      </c>
      <c r="N562" s="90">
        <f>IF(OR($M562="",$D562=""),"",ROUND($M562*IFERROR(IF(VLOOKUP($D562,Setup!$A$76:$C$87,3,FALSE)="",Setup!$B$14,VLOOKUP($D562,Setup!$A$76:$C$87,3,FALSE)),Setup!$B$14),2))</f>
        <v/>
      </c>
      <c r="O562" s="90">
        <f>IF(OR($M562="",$E562=""),"",ROUND($M562*IFERROR(IF(VLOOKUP($E562,Setup!$A$76:$C$87,3,FALSE)="",Setup!$B$15,VLOOKUP($E562,Setup!$A$76:$C$87,3,FALSE)),Setup!$B$15),2))</f>
        <v/>
      </c>
      <c r="P562" s="99" t="n"/>
      <c r="Q562" s="99" t="n"/>
      <c r="R562" s="99" t="n"/>
      <c r="S562" s="99" t="n"/>
      <c r="T562" s="99" t="n"/>
      <c r="U562" s="90">
        <f>IF($K562="","",SUM($R562:$T562))</f>
        <v/>
      </c>
      <c r="V562" s="90">
        <f>IF($K562="","",$M562-(N($N562)+N($O562)+IF($P562="",Setup!$B$17,$P562)+N($Q562))-N($U562))</f>
        <v/>
      </c>
      <c r="W562" s="95" t="n"/>
      <c r="X562" s="96" t="n"/>
      <c r="Z562" s="93">
        <f>IF($A562="","",DATE(YEAR($A562),MONTH($A562),1))</f>
        <v/>
      </c>
    </row>
    <row r="563">
      <c r="A563" s="86" t="n"/>
      <c r="B563" s="87" t="n"/>
      <c r="C563" s="87" t="n"/>
      <c r="D563" s="88" t="n"/>
      <c r="E563" s="88" t="n"/>
      <c r="F563" s="88" t="n"/>
      <c r="G563" s="88" t="n"/>
      <c r="H563" s="89" t="n"/>
      <c r="I563" s="90">
        <f>IF($G563="","",IF($F563="",IFERROR(INDEX(Setup!$C$21:$C$60,MATCH("|"&amp;UPPER(TRIM($G563)),Setup!$Q$21:$Q$60,0)),"NO RATE"),IFERROR(INDEX(Setup!$C$21:$C$60,MATCH(UPPER(TRIM($F563))&amp;"|"&amp;UPPER(TRIM($G563)),Setup!$P$21:$P$60,0)),IFERROR(INDEX(Setup!$C$21:$C$60,MATCH(UPPER(TRIM($G563))&amp;"|"&amp;UPPER(TRIM($F563)),Setup!$P$21:$P$60,0)),"NO RATE"))))</f>
        <v/>
      </c>
      <c r="J563" s="91" t="n"/>
      <c r="K563" s="90">
        <f>IF(OR($G563="",$H563="",NOT(ISNUMBER($I563))),"",ROUND($H563*$I563*(1+IF($J563="",Setup!$B$16,$J563)),2))</f>
        <v/>
      </c>
      <c r="L563" s="90">
        <f>IF($K563="","",ROUND($K563*Setup!$B$13,2))</f>
        <v/>
      </c>
      <c r="M563" s="90">
        <f>IF($K563="","",$K563-$L563)</f>
        <v/>
      </c>
      <c r="N563" s="90">
        <f>IF(OR($M563="",$D563=""),"",ROUND($M563*IFERROR(IF(VLOOKUP($D563,Setup!$A$76:$C$87,3,FALSE)="",Setup!$B$14,VLOOKUP($D563,Setup!$A$76:$C$87,3,FALSE)),Setup!$B$14),2))</f>
        <v/>
      </c>
      <c r="O563" s="90">
        <f>IF(OR($M563="",$E563=""),"",ROUND($M563*IFERROR(IF(VLOOKUP($E563,Setup!$A$76:$C$87,3,FALSE)="",Setup!$B$15,VLOOKUP($E563,Setup!$A$76:$C$87,3,FALSE)),Setup!$B$15),2))</f>
        <v/>
      </c>
      <c r="P563" s="92" t="n"/>
      <c r="Q563" s="92" t="n"/>
      <c r="R563" s="92" t="n"/>
      <c r="S563" s="92" t="n"/>
      <c r="T563" s="92" t="n"/>
      <c r="U563" s="90">
        <f>IF($K563="","",SUM($R563:$T563))</f>
        <v/>
      </c>
      <c r="V563" s="90">
        <f>IF($K563="","",$M563-(N($N563)+N($O563)+IF($P563="",Setup!$B$17,$P563)+N($Q563))-N($U563))</f>
        <v/>
      </c>
      <c r="W563" s="87" t="n"/>
      <c r="X563" s="88" t="n"/>
      <c r="Z563" s="93">
        <f>IF($A563="","",DATE(YEAR($A563),MONTH($A563),1))</f>
        <v/>
      </c>
    </row>
    <row r="564">
      <c r="A564" s="94" t="n"/>
      <c r="B564" s="95" t="n"/>
      <c r="C564" s="95" t="n"/>
      <c r="D564" s="96" t="n"/>
      <c r="E564" s="96" t="n"/>
      <c r="F564" s="96" t="n"/>
      <c r="G564" s="96" t="n"/>
      <c r="H564" s="97" t="n"/>
      <c r="I564" s="90">
        <f>IF($G564="","",IF($F564="",IFERROR(INDEX(Setup!$C$21:$C$60,MATCH("|"&amp;UPPER(TRIM($G564)),Setup!$Q$21:$Q$60,0)),"NO RATE"),IFERROR(INDEX(Setup!$C$21:$C$60,MATCH(UPPER(TRIM($F564))&amp;"|"&amp;UPPER(TRIM($G564)),Setup!$P$21:$P$60,0)),IFERROR(INDEX(Setup!$C$21:$C$60,MATCH(UPPER(TRIM($G564))&amp;"|"&amp;UPPER(TRIM($F564)),Setup!$P$21:$P$60,0)),"NO RATE"))))</f>
        <v/>
      </c>
      <c r="J564" s="98" t="n"/>
      <c r="K564" s="90">
        <f>IF(OR($G564="",$H564="",NOT(ISNUMBER($I564))),"",ROUND($H564*$I564*(1+IF($J564="",Setup!$B$16,$J564)),2))</f>
        <v/>
      </c>
      <c r="L564" s="90">
        <f>IF($K564="","",ROUND($K564*Setup!$B$13,2))</f>
        <v/>
      </c>
      <c r="M564" s="90">
        <f>IF($K564="","",$K564-$L564)</f>
        <v/>
      </c>
      <c r="N564" s="90">
        <f>IF(OR($M564="",$D564=""),"",ROUND($M564*IFERROR(IF(VLOOKUP($D564,Setup!$A$76:$C$87,3,FALSE)="",Setup!$B$14,VLOOKUP($D564,Setup!$A$76:$C$87,3,FALSE)),Setup!$B$14),2))</f>
        <v/>
      </c>
      <c r="O564" s="90">
        <f>IF(OR($M564="",$E564=""),"",ROUND($M564*IFERROR(IF(VLOOKUP($E564,Setup!$A$76:$C$87,3,FALSE)="",Setup!$B$15,VLOOKUP($E564,Setup!$A$76:$C$87,3,FALSE)),Setup!$B$15),2))</f>
        <v/>
      </c>
      <c r="P564" s="99" t="n"/>
      <c r="Q564" s="99" t="n"/>
      <c r="R564" s="99" t="n"/>
      <c r="S564" s="99" t="n"/>
      <c r="T564" s="99" t="n"/>
      <c r="U564" s="90">
        <f>IF($K564="","",SUM($R564:$T564))</f>
        <v/>
      </c>
      <c r="V564" s="90">
        <f>IF($K564="","",$M564-(N($N564)+N($O564)+IF($P564="",Setup!$B$17,$P564)+N($Q564))-N($U564))</f>
        <v/>
      </c>
      <c r="W564" s="95" t="n"/>
      <c r="X564" s="96" t="n"/>
      <c r="Z564" s="93">
        <f>IF($A564="","",DATE(YEAR($A564),MONTH($A564),1))</f>
        <v/>
      </c>
    </row>
    <row r="565">
      <c r="A565" s="86" t="n"/>
      <c r="B565" s="87" t="n"/>
      <c r="C565" s="87" t="n"/>
      <c r="D565" s="88" t="n"/>
      <c r="E565" s="88" t="n"/>
      <c r="F565" s="88" t="n"/>
      <c r="G565" s="88" t="n"/>
      <c r="H565" s="89" t="n"/>
      <c r="I565" s="90">
        <f>IF($G565="","",IF($F565="",IFERROR(INDEX(Setup!$C$21:$C$60,MATCH("|"&amp;UPPER(TRIM($G565)),Setup!$Q$21:$Q$60,0)),"NO RATE"),IFERROR(INDEX(Setup!$C$21:$C$60,MATCH(UPPER(TRIM($F565))&amp;"|"&amp;UPPER(TRIM($G565)),Setup!$P$21:$P$60,0)),IFERROR(INDEX(Setup!$C$21:$C$60,MATCH(UPPER(TRIM($G565))&amp;"|"&amp;UPPER(TRIM($F565)),Setup!$P$21:$P$60,0)),"NO RATE"))))</f>
        <v/>
      </c>
      <c r="J565" s="91" t="n"/>
      <c r="K565" s="90">
        <f>IF(OR($G565="",$H565="",NOT(ISNUMBER($I565))),"",ROUND($H565*$I565*(1+IF($J565="",Setup!$B$16,$J565)),2))</f>
        <v/>
      </c>
      <c r="L565" s="90">
        <f>IF($K565="","",ROUND($K565*Setup!$B$13,2))</f>
        <v/>
      </c>
      <c r="M565" s="90">
        <f>IF($K565="","",$K565-$L565)</f>
        <v/>
      </c>
      <c r="N565" s="90">
        <f>IF(OR($M565="",$D565=""),"",ROUND($M565*IFERROR(IF(VLOOKUP($D565,Setup!$A$76:$C$87,3,FALSE)="",Setup!$B$14,VLOOKUP($D565,Setup!$A$76:$C$87,3,FALSE)),Setup!$B$14),2))</f>
        <v/>
      </c>
      <c r="O565" s="90">
        <f>IF(OR($M565="",$E565=""),"",ROUND($M565*IFERROR(IF(VLOOKUP($E565,Setup!$A$76:$C$87,3,FALSE)="",Setup!$B$15,VLOOKUP($E565,Setup!$A$76:$C$87,3,FALSE)),Setup!$B$15),2))</f>
        <v/>
      </c>
      <c r="P565" s="92" t="n"/>
      <c r="Q565" s="92" t="n"/>
      <c r="R565" s="92" t="n"/>
      <c r="S565" s="92" t="n"/>
      <c r="T565" s="92" t="n"/>
      <c r="U565" s="90">
        <f>IF($K565="","",SUM($R565:$T565))</f>
        <v/>
      </c>
      <c r="V565" s="90">
        <f>IF($K565="","",$M565-(N($N565)+N($O565)+IF($P565="",Setup!$B$17,$P565)+N($Q565))-N($U565))</f>
        <v/>
      </c>
      <c r="W565" s="87" t="n"/>
      <c r="X565" s="88" t="n"/>
      <c r="Z565" s="93">
        <f>IF($A565="","",DATE(YEAR($A565),MONTH($A565),1))</f>
        <v/>
      </c>
    </row>
    <row r="566">
      <c r="A566" s="94" t="n"/>
      <c r="B566" s="95" t="n"/>
      <c r="C566" s="95" t="n"/>
      <c r="D566" s="96" t="n"/>
      <c r="E566" s="96" t="n"/>
      <c r="F566" s="96" t="n"/>
      <c r="G566" s="96" t="n"/>
      <c r="H566" s="97" t="n"/>
      <c r="I566" s="90">
        <f>IF($G566="","",IF($F566="",IFERROR(INDEX(Setup!$C$21:$C$60,MATCH("|"&amp;UPPER(TRIM($G566)),Setup!$Q$21:$Q$60,0)),"NO RATE"),IFERROR(INDEX(Setup!$C$21:$C$60,MATCH(UPPER(TRIM($F566))&amp;"|"&amp;UPPER(TRIM($G566)),Setup!$P$21:$P$60,0)),IFERROR(INDEX(Setup!$C$21:$C$60,MATCH(UPPER(TRIM($G566))&amp;"|"&amp;UPPER(TRIM($F566)),Setup!$P$21:$P$60,0)),"NO RATE"))))</f>
        <v/>
      </c>
      <c r="J566" s="98" t="n"/>
      <c r="K566" s="90">
        <f>IF(OR($G566="",$H566="",NOT(ISNUMBER($I566))),"",ROUND($H566*$I566*(1+IF($J566="",Setup!$B$16,$J566)),2))</f>
        <v/>
      </c>
      <c r="L566" s="90">
        <f>IF($K566="","",ROUND($K566*Setup!$B$13,2))</f>
        <v/>
      </c>
      <c r="M566" s="90">
        <f>IF($K566="","",$K566-$L566)</f>
        <v/>
      </c>
      <c r="N566" s="90">
        <f>IF(OR($M566="",$D566=""),"",ROUND($M566*IFERROR(IF(VLOOKUP($D566,Setup!$A$76:$C$87,3,FALSE)="",Setup!$B$14,VLOOKUP($D566,Setup!$A$76:$C$87,3,FALSE)),Setup!$B$14),2))</f>
        <v/>
      </c>
      <c r="O566" s="90">
        <f>IF(OR($M566="",$E566=""),"",ROUND($M566*IFERROR(IF(VLOOKUP($E566,Setup!$A$76:$C$87,3,FALSE)="",Setup!$B$15,VLOOKUP($E566,Setup!$A$76:$C$87,3,FALSE)),Setup!$B$15),2))</f>
        <v/>
      </c>
      <c r="P566" s="99" t="n"/>
      <c r="Q566" s="99" t="n"/>
      <c r="R566" s="99" t="n"/>
      <c r="S566" s="99" t="n"/>
      <c r="T566" s="99" t="n"/>
      <c r="U566" s="90">
        <f>IF($K566="","",SUM($R566:$T566))</f>
        <v/>
      </c>
      <c r="V566" s="90">
        <f>IF($K566="","",$M566-(N($N566)+N($O566)+IF($P566="",Setup!$B$17,$P566)+N($Q566))-N($U566))</f>
        <v/>
      </c>
      <c r="W566" s="95" t="n"/>
      <c r="X566" s="96" t="n"/>
      <c r="Z566" s="93">
        <f>IF($A566="","",DATE(YEAR($A566),MONTH($A566),1))</f>
        <v/>
      </c>
    </row>
    <row r="567">
      <c r="A567" s="86" t="n"/>
      <c r="B567" s="87" t="n"/>
      <c r="C567" s="87" t="n"/>
      <c r="D567" s="88" t="n"/>
      <c r="E567" s="88" t="n"/>
      <c r="F567" s="88" t="n"/>
      <c r="G567" s="88" t="n"/>
      <c r="H567" s="89" t="n"/>
      <c r="I567" s="90">
        <f>IF($G567="","",IF($F567="",IFERROR(INDEX(Setup!$C$21:$C$60,MATCH("|"&amp;UPPER(TRIM($G567)),Setup!$Q$21:$Q$60,0)),"NO RATE"),IFERROR(INDEX(Setup!$C$21:$C$60,MATCH(UPPER(TRIM($F567))&amp;"|"&amp;UPPER(TRIM($G567)),Setup!$P$21:$P$60,0)),IFERROR(INDEX(Setup!$C$21:$C$60,MATCH(UPPER(TRIM($G567))&amp;"|"&amp;UPPER(TRIM($F567)),Setup!$P$21:$P$60,0)),"NO RATE"))))</f>
        <v/>
      </c>
      <c r="J567" s="91" t="n"/>
      <c r="K567" s="90">
        <f>IF(OR($G567="",$H567="",NOT(ISNUMBER($I567))),"",ROUND($H567*$I567*(1+IF($J567="",Setup!$B$16,$J567)),2))</f>
        <v/>
      </c>
      <c r="L567" s="90">
        <f>IF($K567="","",ROUND($K567*Setup!$B$13,2))</f>
        <v/>
      </c>
      <c r="M567" s="90">
        <f>IF($K567="","",$K567-$L567)</f>
        <v/>
      </c>
      <c r="N567" s="90">
        <f>IF(OR($M567="",$D567=""),"",ROUND($M567*IFERROR(IF(VLOOKUP($D567,Setup!$A$76:$C$87,3,FALSE)="",Setup!$B$14,VLOOKUP($D567,Setup!$A$76:$C$87,3,FALSE)),Setup!$B$14),2))</f>
        <v/>
      </c>
      <c r="O567" s="90">
        <f>IF(OR($M567="",$E567=""),"",ROUND($M567*IFERROR(IF(VLOOKUP($E567,Setup!$A$76:$C$87,3,FALSE)="",Setup!$B$15,VLOOKUP($E567,Setup!$A$76:$C$87,3,FALSE)),Setup!$B$15),2))</f>
        <v/>
      </c>
      <c r="P567" s="92" t="n"/>
      <c r="Q567" s="92" t="n"/>
      <c r="R567" s="92" t="n"/>
      <c r="S567" s="92" t="n"/>
      <c r="T567" s="92" t="n"/>
      <c r="U567" s="90">
        <f>IF($K567="","",SUM($R567:$T567))</f>
        <v/>
      </c>
      <c r="V567" s="90">
        <f>IF($K567="","",$M567-(N($N567)+N($O567)+IF($P567="",Setup!$B$17,$P567)+N($Q567))-N($U567))</f>
        <v/>
      </c>
      <c r="W567" s="87" t="n"/>
      <c r="X567" s="88" t="n"/>
      <c r="Z567" s="93">
        <f>IF($A567="","",DATE(YEAR($A567),MONTH($A567),1))</f>
        <v/>
      </c>
    </row>
    <row r="568">
      <c r="A568" s="94" t="n"/>
      <c r="B568" s="95" t="n"/>
      <c r="C568" s="95" t="n"/>
      <c r="D568" s="96" t="n"/>
      <c r="E568" s="96" t="n"/>
      <c r="F568" s="96" t="n"/>
      <c r="G568" s="96" t="n"/>
      <c r="H568" s="97" t="n"/>
      <c r="I568" s="90">
        <f>IF($G568="","",IF($F568="",IFERROR(INDEX(Setup!$C$21:$C$60,MATCH("|"&amp;UPPER(TRIM($G568)),Setup!$Q$21:$Q$60,0)),"NO RATE"),IFERROR(INDEX(Setup!$C$21:$C$60,MATCH(UPPER(TRIM($F568))&amp;"|"&amp;UPPER(TRIM($G568)),Setup!$P$21:$P$60,0)),IFERROR(INDEX(Setup!$C$21:$C$60,MATCH(UPPER(TRIM($G568))&amp;"|"&amp;UPPER(TRIM($F568)),Setup!$P$21:$P$60,0)),"NO RATE"))))</f>
        <v/>
      </c>
      <c r="J568" s="98" t="n"/>
      <c r="K568" s="90">
        <f>IF(OR($G568="",$H568="",NOT(ISNUMBER($I568))),"",ROUND($H568*$I568*(1+IF($J568="",Setup!$B$16,$J568)),2))</f>
        <v/>
      </c>
      <c r="L568" s="90">
        <f>IF($K568="","",ROUND($K568*Setup!$B$13,2))</f>
        <v/>
      </c>
      <c r="M568" s="90">
        <f>IF($K568="","",$K568-$L568)</f>
        <v/>
      </c>
      <c r="N568" s="90">
        <f>IF(OR($M568="",$D568=""),"",ROUND($M568*IFERROR(IF(VLOOKUP($D568,Setup!$A$76:$C$87,3,FALSE)="",Setup!$B$14,VLOOKUP($D568,Setup!$A$76:$C$87,3,FALSE)),Setup!$B$14),2))</f>
        <v/>
      </c>
      <c r="O568" s="90">
        <f>IF(OR($M568="",$E568=""),"",ROUND($M568*IFERROR(IF(VLOOKUP($E568,Setup!$A$76:$C$87,3,FALSE)="",Setup!$B$15,VLOOKUP($E568,Setup!$A$76:$C$87,3,FALSE)),Setup!$B$15),2))</f>
        <v/>
      </c>
      <c r="P568" s="99" t="n"/>
      <c r="Q568" s="99" t="n"/>
      <c r="R568" s="99" t="n"/>
      <c r="S568" s="99" t="n"/>
      <c r="T568" s="99" t="n"/>
      <c r="U568" s="90">
        <f>IF($K568="","",SUM($R568:$T568))</f>
        <v/>
      </c>
      <c r="V568" s="90">
        <f>IF($K568="","",$M568-(N($N568)+N($O568)+IF($P568="",Setup!$B$17,$P568)+N($Q568))-N($U568))</f>
        <v/>
      </c>
      <c r="W568" s="95" t="n"/>
      <c r="X568" s="96" t="n"/>
      <c r="Z568" s="93">
        <f>IF($A568="","",DATE(YEAR($A568),MONTH($A568),1))</f>
        <v/>
      </c>
    </row>
    <row r="569">
      <c r="A569" s="86" t="n"/>
      <c r="B569" s="87" t="n"/>
      <c r="C569" s="87" t="n"/>
      <c r="D569" s="88" t="n"/>
      <c r="E569" s="88" t="n"/>
      <c r="F569" s="88" t="n"/>
      <c r="G569" s="88" t="n"/>
      <c r="H569" s="89" t="n"/>
      <c r="I569" s="90">
        <f>IF($G569="","",IF($F569="",IFERROR(INDEX(Setup!$C$21:$C$60,MATCH("|"&amp;UPPER(TRIM($G569)),Setup!$Q$21:$Q$60,0)),"NO RATE"),IFERROR(INDEX(Setup!$C$21:$C$60,MATCH(UPPER(TRIM($F569))&amp;"|"&amp;UPPER(TRIM($G569)),Setup!$P$21:$P$60,0)),IFERROR(INDEX(Setup!$C$21:$C$60,MATCH(UPPER(TRIM($G569))&amp;"|"&amp;UPPER(TRIM($F569)),Setup!$P$21:$P$60,0)),"NO RATE"))))</f>
        <v/>
      </c>
      <c r="J569" s="91" t="n"/>
      <c r="K569" s="90">
        <f>IF(OR($G569="",$H569="",NOT(ISNUMBER($I569))),"",ROUND($H569*$I569*(1+IF($J569="",Setup!$B$16,$J569)),2))</f>
        <v/>
      </c>
      <c r="L569" s="90">
        <f>IF($K569="","",ROUND($K569*Setup!$B$13,2))</f>
        <v/>
      </c>
      <c r="M569" s="90">
        <f>IF($K569="","",$K569-$L569)</f>
        <v/>
      </c>
      <c r="N569" s="90">
        <f>IF(OR($M569="",$D569=""),"",ROUND($M569*IFERROR(IF(VLOOKUP($D569,Setup!$A$76:$C$87,3,FALSE)="",Setup!$B$14,VLOOKUP($D569,Setup!$A$76:$C$87,3,FALSE)),Setup!$B$14),2))</f>
        <v/>
      </c>
      <c r="O569" s="90">
        <f>IF(OR($M569="",$E569=""),"",ROUND($M569*IFERROR(IF(VLOOKUP($E569,Setup!$A$76:$C$87,3,FALSE)="",Setup!$B$15,VLOOKUP($E569,Setup!$A$76:$C$87,3,FALSE)),Setup!$B$15),2))</f>
        <v/>
      </c>
      <c r="P569" s="92" t="n"/>
      <c r="Q569" s="92" t="n"/>
      <c r="R569" s="92" t="n"/>
      <c r="S569" s="92" t="n"/>
      <c r="T569" s="92" t="n"/>
      <c r="U569" s="90">
        <f>IF($K569="","",SUM($R569:$T569))</f>
        <v/>
      </c>
      <c r="V569" s="90">
        <f>IF($K569="","",$M569-(N($N569)+N($O569)+IF($P569="",Setup!$B$17,$P569)+N($Q569))-N($U569))</f>
        <v/>
      </c>
      <c r="W569" s="87" t="n"/>
      <c r="X569" s="88" t="n"/>
      <c r="Z569" s="93">
        <f>IF($A569="","",DATE(YEAR($A569),MONTH($A569),1))</f>
        <v/>
      </c>
    </row>
    <row r="570">
      <c r="A570" s="94" t="n"/>
      <c r="B570" s="95" t="n"/>
      <c r="C570" s="95" t="n"/>
      <c r="D570" s="96" t="n"/>
      <c r="E570" s="96" t="n"/>
      <c r="F570" s="96" t="n"/>
      <c r="G570" s="96" t="n"/>
      <c r="H570" s="97" t="n"/>
      <c r="I570" s="90">
        <f>IF($G570="","",IF($F570="",IFERROR(INDEX(Setup!$C$21:$C$60,MATCH("|"&amp;UPPER(TRIM($G570)),Setup!$Q$21:$Q$60,0)),"NO RATE"),IFERROR(INDEX(Setup!$C$21:$C$60,MATCH(UPPER(TRIM($F570))&amp;"|"&amp;UPPER(TRIM($G570)),Setup!$P$21:$P$60,0)),IFERROR(INDEX(Setup!$C$21:$C$60,MATCH(UPPER(TRIM($G570))&amp;"|"&amp;UPPER(TRIM($F570)),Setup!$P$21:$P$60,0)),"NO RATE"))))</f>
        <v/>
      </c>
      <c r="J570" s="98" t="n"/>
      <c r="K570" s="90">
        <f>IF(OR($G570="",$H570="",NOT(ISNUMBER($I570))),"",ROUND($H570*$I570*(1+IF($J570="",Setup!$B$16,$J570)),2))</f>
        <v/>
      </c>
      <c r="L570" s="90">
        <f>IF($K570="","",ROUND($K570*Setup!$B$13,2))</f>
        <v/>
      </c>
      <c r="M570" s="90">
        <f>IF($K570="","",$K570-$L570)</f>
        <v/>
      </c>
      <c r="N570" s="90">
        <f>IF(OR($M570="",$D570=""),"",ROUND($M570*IFERROR(IF(VLOOKUP($D570,Setup!$A$76:$C$87,3,FALSE)="",Setup!$B$14,VLOOKUP($D570,Setup!$A$76:$C$87,3,FALSE)),Setup!$B$14),2))</f>
        <v/>
      </c>
      <c r="O570" s="90">
        <f>IF(OR($M570="",$E570=""),"",ROUND($M570*IFERROR(IF(VLOOKUP($E570,Setup!$A$76:$C$87,3,FALSE)="",Setup!$B$15,VLOOKUP($E570,Setup!$A$76:$C$87,3,FALSE)),Setup!$B$15),2))</f>
        <v/>
      </c>
      <c r="P570" s="99" t="n"/>
      <c r="Q570" s="99" t="n"/>
      <c r="R570" s="99" t="n"/>
      <c r="S570" s="99" t="n"/>
      <c r="T570" s="99" t="n"/>
      <c r="U570" s="90">
        <f>IF($K570="","",SUM($R570:$T570))</f>
        <v/>
      </c>
      <c r="V570" s="90">
        <f>IF($K570="","",$M570-(N($N570)+N($O570)+IF($P570="",Setup!$B$17,$P570)+N($Q570))-N($U570))</f>
        <v/>
      </c>
      <c r="W570" s="95" t="n"/>
      <c r="X570" s="96" t="n"/>
      <c r="Z570" s="93">
        <f>IF($A570="","",DATE(YEAR($A570),MONTH($A570),1))</f>
        <v/>
      </c>
    </row>
    <row r="571">
      <c r="A571" s="86" t="n"/>
      <c r="B571" s="87" t="n"/>
      <c r="C571" s="87" t="n"/>
      <c r="D571" s="88" t="n"/>
      <c r="E571" s="88" t="n"/>
      <c r="F571" s="88" t="n"/>
      <c r="G571" s="88" t="n"/>
      <c r="H571" s="89" t="n"/>
      <c r="I571" s="90">
        <f>IF($G571="","",IF($F571="",IFERROR(INDEX(Setup!$C$21:$C$60,MATCH("|"&amp;UPPER(TRIM($G571)),Setup!$Q$21:$Q$60,0)),"NO RATE"),IFERROR(INDEX(Setup!$C$21:$C$60,MATCH(UPPER(TRIM($F571))&amp;"|"&amp;UPPER(TRIM($G571)),Setup!$P$21:$P$60,0)),IFERROR(INDEX(Setup!$C$21:$C$60,MATCH(UPPER(TRIM($G571))&amp;"|"&amp;UPPER(TRIM($F571)),Setup!$P$21:$P$60,0)),"NO RATE"))))</f>
        <v/>
      </c>
      <c r="J571" s="91" t="n"/>
      <c r="K571" s="90">
        <f>IF(OR($G571="",$H571="",NOT(ISNUMBER($I571))),"",ROUND($H571*$I571*(1+IF($J571="",Setup!$B$16,$J571)),2))</f>
        <v/>
      </c>
      <c r="L571" s="90">
        <f>IF($K571="","",ROUND($K571*Setup!$B$13,2))</f>
        <v/>
      </c>
      <c r="M571" s="90">
        <f>IF($K571="","",$K571-$L571)</f>
        <v/>
      </c>
      <c r="N571" s="90">
        <f>IF(OR($M571="",$D571=""),"",ROUND($M571*IFERROR(IF(VLOOKUP($D571,Setup!$A$76:$C$87,3,FALSE)="",Setup!$B$14,VLOOKUP($D571,Setup!$A$76:$C$87,3,FALSE)),Setup!$B$14),2))</f>
        <v/>
      </c>
      <c r="O571" s="90">
        <f>IF(OR($M571="",$E571=""),"",ROUND($M571*IFERROR(IF(VLOOKUP($E571,Setup!$A$76:$C$87,3,FALSE)="",Setup!$B$15,VLOOKUP($E571,Setup!$A$76:$C$87,3,FALSE)),Setup!$B$15),2))</f>
        <v/>
      </c>
      <c r="P571" s="92" t="n"/>
      <c r="Q571" s="92" t="n"/>
      <c r="R571" s="92" t="n"/>
      <c r="S571" s="92" t="n"/>
      <c r="T571" s="92" t="n"/>
      <c r="U571" s="90">
        <f>IF($K571="","",SUM($R571:$T571))</f>
        <v/>
      </c>
      <c r="V571" s="90">
        <f>IF($K571="","",$M571-(N($N571)+N($O571)+IF($P571="",Setup!$B$17,$P571)+N($Q571))-N($U571))</f>
        <v/>
      </c>
      <c r="W571" s="87" t="n"/>
      <c r="X571" s="88" t="n"/>
      <c r="Z571" s="93">
        <f>IF($A571="","",DATE(YEAR($A571),MONTH($A571),1))</f>
        <v/>
      </c>
    </row>
    <row r="572">
      <c r="A572" s="94" t="n"/>
      <c r="B572" s="95" t="n"/>
      <c r="C572" s="95" t="n"/>
      <c r="D572" s="96" t="n"/>
      <c r="E572" s="96" t="n"/>
      <c r="F572" s="96" t="n"/>
      <c r="G572" s="96" t="n"/>
      <c r="H572" s="97" t="n"/>
      <c r="I572" s="90">
        <f>IF($G572="","",IF($F572="",IFERROR(INDEX(Setup!$C$21:$C$60,MATCH("|"&amp;UPPER(TRIM($G572)),Setup!$Q$21:$Q$60,0)),"NO RATE"),IFERROR(INDEX(Setup!$C$21:$C$60,MATCH(UPPER(TRIM($F572))&amp;"|"&amp;UPPER(TRIM($G572)),Setup!$P$21:$P$60,0)),IFERROR(INDEX(Setup!$C$21:$C$60,MATCH(UPPER(TRIM($G572))&amp;"|"&amp;UPPER(TRIM($F572)),Setup!$P$21:$P$60,0)),"NO RATE"))))</f>
        <v/>
      </c>
      <c r="J572" s="98" t="n"/>
      <c r="K572" s="90">
        <f>IF(OR($G572="",$H572="",NOT(ISNUMBER($I572))),"",ROUND($H572*$I572*(1+IF($J572="",Setup!$B$16,$J572)),2))</f>
        <v/>
      </c>
      <c r="L572" s="90">
        <f>IF($K572="","",ROUND($K572*Setup!$B$13,2))</f>
        <v/>
      </c>
      <c r="M572" s="90">
        <f>IF($K572="","",$K572-$L572)</f>
        <v/>
      </c>
      <c r="N572" s="90">
        <f>IF(OR($M572="",$D572=""),"",ROUND($M572*IFERROR(IF(VLOOKUP($D572,Setup!$A$76:$C$87,3,FALSE)="",Setup!$B$14,VLOOKUP($D572,Setup!$A$76:$C$87,3,FALSE)),Setup!$B$14),2))</f>
        <v/>
      </c>
      <c r="O572" s="90">
        <f>IF(OR($M572="",$E572=""),"",ROUND($M572*IFERROR(IF(VLOOKUP($E572,Setup!$A$76:$C$87,3,FALSE)="",Setup!$B$15,VLOOKUP($E572,Setup!$A$76:$C$87,3,FALSE)),Setup!$B$15),2))</f>
        <v/>
      </c>
      <c r="P572" s="99" t="n"/>
      <c r="Q572" s="99" t="n"/>
      <c r="R572" s="99" t="n"/>
      <c r="S572" s="99" t="n"/>
      <c r="T572" s="99" t="n"/>
      <c r="U572" s="90">
        <f>IF($K572="","",SUM($R572:$T572))</f>
        <v/>
      </c>
      <c r="V572" s="90">
        <f>IF($K572="","",$M572-(N($N572)+N($O572)+IF($P572="",Setup!$B$17,$P572)+N($Q572))-N($U572))</f>
        <v/>
      </c>
      <c r="W572" s="95" t="n"/>
      <c r="X572" s="96" t="n"/>
      <c r="Z572" s="93">
        <f>IF($A572="","",DATE(YEAR($A572),MONTH($A572),1))</f>
        <v/>
      </c>
    </row>
    <row r="573">
      <c r="A573" s="86" t="n"/>
      <c r="B573" s="87" t="n"/>
      <c r="C573" s="87" t="n"/>
      <c r="D573" s="88" t="n"/>
      <c r="E573" s="88" t="n"/>
      <c r="F573" s="88" t="n"/>
      <c r="G573" s="88" t="n"/>
      <c r="H573" s="89" t="n"/>
      <c r="I573" s="90">
        <f>IF($G573="","",IF($F573="",IFERROR(INDEX(Setup!$C$21:$C$60,MATCH("|"&amp;UPPER(TRIM($G573)),Setup!$Q$21:$Q$60,0)),"NO RATE"),IFERROR(INDEX(Setup!$C$21:$C$60,MATCH(UPPER(TRIM($F573))&amp;"|"&amp;UPPER(TRIM($G573)),Setup!$P$21:$P$60,0)),IFERROR(INDEX(Setup!$C$21:$C$60,MATCH(UPPER(TRIM($G573))&amp;"|"&amp;UPPER(TRIM($F573)),Setup!$P$21:$P$60,0)),"NO RATE"))))</f>
        <v/>
      </c>
      <c r="J573" s="91" t="n"/>
      <c r="K573" s="90">
        <f>IF(OR($G573="",$H573="",NOT(ISNUMBER($I573))),"",ROUND($H573*$I573*(1+IF($J573="",Setup!$B$16,$J573)),2))</f>
        <v/>
      </c>
      <c r="L573" s="90">
        <f>IF($K573="","",ROUND($K573*Setup!$B$13,2))</f>
        <v/>
      </c>
      <c r="M573" s="90">
        <f>IF($K573="","",$K573-$L573)</f>
        <v/>
      </c>
      <c r="N573" s="90">
        <f>IF(OR($M573="",$D573=""),"",ROUND($M573*IFERROR(IF(VLOOKUP($D573,Setup!$A$76:$C$87,3,FALSE)="",Setup!$B$14,VLOOKUP($D573,Setup!$A$76:$C$87,3,FALSE)),Setup!$B$14),2))</f>
        <v/>
      </c>
      <c r="O573" s="90">
        <f>IF(OR($M573="",$E573=""),"",ROUND($M573*IFERROR(IF(VLOOKUP($E573,Setup!$A$76:$C$87,3,FALSE)="",Setup!$B$15,VLOOKUP($E573,Setup!$A$76:$C$87,3,FALSE)),Setup!$B$15),2))</f>
        <v/>
      </c>
      <c r="P573" s="92" t="n"/>
      <c r="Q573" s="92" t="n"/>
      <c r="R573" s="92" t="n"/>
      <c r="S573" s="92" t="n"/>
      <c r="T573" s="92" t="n"/>
      <c r="U573" s="90">
        <f>IF($K573="","",SUM($R573:$T573))</f>
        <v/>
      </c>
      <c r="V573" s="90">
        <f>IF($K573="","",$M573-(N($N573)+N($O573)+IF($P573="",Setup!$B$17,$P573)+N($Q573))-N($U573))</f>
        <v/>
      </c>
      <c r="W573" s="87" t="n"/>
      <c r="X573" s="88" t="n"/>
      <c r="Z573" s="93">
        <f>IF($A573="","",DATE(YEAR($A573),MONTH($A573),1))</f>
        <v/>
      </c>
    </row>
    <row r="574">
      <c r="A574" s="94" t="n"/>
      <c r="B574" s="95" t="n"/>
      <c r="C574" s="95" t="n"/>
      <c r="D574" s="96" t="n"/>
      <c r="E574" s="96" t="n"/>
      <c r="F574" s="96" t="n"/>
      <c r="G574" s="96" t="n"/>
      <c r="H574" s="97" t="n"/>
      <c r="I574" s="90">
        <f>IF($G574="","",IF($F574="",IFERROR(INDEX(Setup!$C$21:$C$60,MATCH("|"&amp;UPPER(TRIM($G574)),Setup!$Q$21:$Q$60,0)),"NO RATE"),IFERROR(INDEX(Setup!$C$21:$C$60,MATCH(UPPER(TRIM($F574))&amp;"|"&amp;UPPER(TRIM($G574)),Setup!$P$21:$P$60,0)),IFERROR(INDEX(Setup!$C$21:$C$60,MATCH(UPPER(TRIM($G574))&amp;"|"&amp;UPPER(TRIM($F574)),Setup!$P$21:$P$60,0)),"NO RATE"))))</f>
        <v/>
      </c>
      <c r="J574" s="98" t="n"/>
      <c r="K574" s="90">
        <f>IF(OR($G574="",$H574="",NOT(ISNUMBER($I574))),"",ROUND($H574*$I574*(1+IF($J574="",Setup!$B$16,$J574)),2))</f>
        <v/>
      </c>
      <c r="L574" s="90">
        <f>IF($K574="","",ROUND($K574*Setup!$B$13,2))</f>
        <v/>
      </c>
      <c r="M574" s="90">
        <f>IF($K574="","",$K574-$L574)</f>
        <v/>
      </c>
      <c r="N574" s="90">
        <f>IF(OR($M574="",$D574=""),"",ROUND($M574*IFERROR(IF(VLOOKUP($D574,Setup!$A$76:$C$87,3,FALSE)="",Setup!$B$14,VLOOKUP($D574,Setup!$A$76:$C$87,3,FALSE)),Setup!$B$14),2))</f>
        <v/>
      </c>
      <c r="O574" s="90">
        <f>IF(OR($M574="",$E574=""),"",ROUND($M574*IFERROR(IF(VLOOKUP($E574,Setup!$A$76:$C$87,3,FALSE)="",Setup!$B$15,VLOOKUP($E574,Setup!$A$76:$C$87,3,FALSE)),Setup!$B$15),2))</f>
        <v/>
      </c>
      <c r="P574" s="99" t="n"/>
      <c r="Q574" s="99" t="n"/>
      <c r="R574" s="99" t="n"/>
      <c r="S574" s="99" t="n"/>
      <c r="T574" s="99" t="n"/>
      <c r="U574" s="90">
        <f>IF($K574="","",SUM($R574:$T574))</f>
        <v/>
      </c>
      <c r="V574" s="90">
        <f>IF($K574="","",$M574-(N($N574)+N($O574)+IF($P574="",Setup!$B$17,$P574)+N($Q574))-N($U574))</f>
        <v/>
      </c>
      <c r="W574" s="95" t="n"/>
      <c r="X574" s="96" t="n"/>
      <c r="Z574" s="93">
        <f>IF($A574="","",DATE(YEAR($A574),MONTH($A574),1))</f>
        <v/>
      </c>
    </row>
    <row r="575">
      <c r="A575" s="86" t="n"/>
      <c r="B575" s="87" t="n"/>
      <c r="C575" s="87" t="n"/>
      <c r="D575" s="88" t="n"/>
      <c r="E575" s="88" t="n"/>
      <c r="F575" s="88" t="n"/>
      <c r="G575" s="88" t="n"/>
      <c r="H575" s="89" t="n"/>
      <c r="I575" s="90">
        <f>IF($G575="","",IF($F575="",IFERROR(INDEX(Setup!$C$21:$C$60,MATCH("|"&amp;UPPER(TRIM($G575)),Setup!$Q$21:$Q$60,0)),"NO RATE"),IFERROR(INDEX(Setup!$C$21:$C$60,MATCH(UPPER(TRIM($F575))&amp;"|"&amp;UPPER(TRIM($G575)),Setup!$P$21:$P$60,0)),IFERROR(INDEX(Setup!$C$21:$C$60,MATCH(UPPER(TRIM($G575))&amp;"|"&amp;UPPER(TRIM($F575)),Setup!$P$21:$P$60,0)),"NO RATE"))))</f>
        <v/>
      </c>
      <c r="J575" s="91" t="n"/>
      <c r="K575" s="90">
        <f>IF(OR($G575="",$H575="",NOT(ISNUMBER($I575))),"",ROUND($H575*$I575*(1+IF($J575="",Setup!$B$16,$J575)),2))</f>
        <v/>
      </c>
      <c r="L575" s="90">
        <f>IF($K575="","",ROUND($K575*Setup!$B$13,2))</f>
        <v/>
      </c>
      <c r="M575" s="90">
        <f>IF($K575="","",$K575-$L575)</f>
        <v/>
      </c>
      <c r="N575" s="90">
        <f>IF(OR($M575="",$D575=""),"",ROUND($M575*IFERROR(IF(VLOOKUP($D575,Setup!$A$76:$C$87,3,FALSE)="",Setup!$B$14,VLOOKUP($D575,Setup!$A$76:$C$87,3,FALSE)),Setup!$B$14),2))</f>
        <v/>
      </c>
      <c r="O575" s="90">
        <f>IF(OR($M575="",$E575=""),"",ROUND($M575*IFERROR(IF(VLOOKUP($E575,Setup!$A$76:$C$87,3,FALSE)="",Setup!$B$15,VLOOKUP($E575,Setup!$A$76:$C$87,3,FALSE)),Setup!$B$15),2))</f>
        <v/>
      </c>
      <c r="P575" s="92" t="n"/>
      <c r="Q575" s="92" t="n"/>
      <c r="R575" s="92" t="n"/>
      <c r="S575" s="92" t="n"/>
      <c r="T575" s="92" t="n"/>
      <c r="U575" s="90">
        <f>IF($K575="","",SUM($R575:$T575))</f>
        <v/>
      </c>
      <c r="V575" s="90">
        <f>IF($K575="","",$M575-(N($N575)+N($O575)+IF($P575="",Setup!$B$17,$P575)+N($Q575))-N($U575))</f>
        <v/>
      </c>
      <c r="W575" s="87" t="n"/>
      <c r="X575" s="88" t="n"/>
      <c r="Z575" s="93">
        <f>IF($A575="","",DATE(YEAR($A575),MONTH($A575),1))</f>
        <v/>
      </c>
    </row>
    <row r="576">
      <c r="A576" s="94" t="n"/>
      <c r="B576" s="95" t="n"/>
      <c r="C576" s="95" t="n"/>
      <c r="D576" s="96" t="n"/>
      <c r="E576" s="96" t="n"/>
      <c r="F576" s="96" t="n"/>
      <c r="G576" s="96" t="n"/>
      <c r="H576" s="97" t="n"/>
      <c r="I576" s="90">
        <f>IF($G576="","",IF($F576="",IFERROR(INDEX(Setup!$C$21:$C$60,MATCH("|"&amp;UPPER(TRIM($G576)),Setup!$Q$21:$Q$60,0)),"NO RATE"),IFERROR(INDEX(Setup!$C$21:$C$60,MATCH(UPPER(TRIM($F576))&amp;"|"&amp;UPPER(TRIM($G576)),Setup!$P$21:$P$60,0)),IFERROR(INDEX(Setup!$C$21:$C$60,MATCH(UPPER(TRIM($G576))&amp;"|"&amp;UPPER(TRIM($F576)),Setup!$P$21:$P$60,0)),"NO RATE"))))</f>
        <v/>
      </c>
      <c r="J576" s="98" t="n"/>
      <c r="K576" s="90">
        <f>IF(OR($G576="",$H576="",NOT(ISNUMBER($I576))),"",ROUND($H576*$I576*(1+IF($J576="",Setup!$B$16,$J576)),2))</f>
        <v/>
      </c>
      <c r="L576" s="90">
        <f>IF($K576="","",ROUND($K576*Setup!$B$13,2))</f>
        <v/>
      </c>
      <c r="M576" s="90">
        <f>IF($K576="","",$K576-$L576)</f>
        <v/>
      </c>
      <c r="N576" s="90">
        <f>IF(OR($M576="",$D576=""),"",ROUND($M576*IFERROR(IF(VLOOKUP($D576,Setup!$A$76:$C$87,3,FALSE)="",Setup!$B$14,VLOOKUP($D576,Setup!$A$76:$C$87,3,FALSE)),Setup!$B$14),2))</f>
        <v/>
      </c>
      <c r="O576" s="90">
        <f>IF(OR($M576="",$E576=""),"",ROUND($M576*IFERROR(IF(VLOOKUP($E576,Setup!$A$76:$C$87,3,FALSE)="",Setup!$B$15,VLOOKUP($E576,Setup!$A$76:$C$87,3,FALSE)),Setup!$B$15),2))</f>
        <v/>
      </c>
      <c r="P576" s="99" t="n"/>
      <c r="Q576" s="99" t="n"/>
      <c r="R576" s="99" t="n"/>
      <c r="S576" s="99" t="n"/>
      <c r="T576" s="99" t="n"/>
      <c r="U576" s="90">
        <f>IF($K576="","",SUM($R576:$T576))</f>
        <v/>
      </c>
      <c r="V576" s="90">
        <f>IF($K576="","",$M576-(N($N576)+N($O576)+IF($P576="",Setup!$B$17,$P576)+N($Q576))-N($U576))</f>
        <v/>
      </c>
      <c r="W576" s="95" t="n"/>
      <c r="X576" s="96" t="n"/>
      <c r="Z576" s="93">
        <f>IF($A576="","",DATE(YEAR($A576),MONTH($A576),1))</f>
        <v/>
      </c>
    </row>
    <row r="577">
      <c r="A577" s="86" t="n"/>
      <c r="B577" s="87" t="n"/>
      <c r="C577" s="87" t="n"/>
      <c r="D577" s="88" t="n"/>
      <c r="E577" s="88" t="n"/>
      <c r="F577" s="88" t="n"/>
      <c r="G577" s="88" t="n"/>
      <c r="H577" s="89" t="n"/>
      <c r="I577" s="90">
        <f>IF($G577="","",IF($F577="",IFERROR(INDEX(Setup!$C$21:$C$60,MATCH("|"&amp;UPPER(TRIM($G577)),Setup!$Q$21:$Q$60,0)),"NO RATE"),IFERROR(INDEX(Setup!$C$21:$C$60,MATCH(UPPER(TRIM($F577))&amp;"|"&amp;UPPER(TRIM($G577)),Setup!$P$21:$P$60,0)),IFERROR(INDEX(Setup!$C$21:$C$60,MATCH(UPPER(TRIM($G577))&amp;"|"&amp;UPPER(TRIM($F577)),Setup!$P$21:$P$60,0)),"NO RATE"))))</f>
        <v/>
      </c>
      <c r="J577" s="91" t="n"/>
      <c r="K577" s="90">
        <f>IF(OR($G577="",$H577="",NOT(ISNUMBER($I577))),"",ROUND($H577*$I577*(1+IF($J577="",Setup!$B$16,$J577)),2))</f>
        <v/>
      </c>
      <c r="L577" s="90">
        <f>IF($K577="","",ROUND($K577*Setup!$B$13,2))</f>
        <v/>
      </c>
      <c r="M577" s="90">
        <f>IF($K577="","",$K577-$L577)</f>
        <v/>
      </c>
      <c r="N577" s="90">
        <f>IF(OR($M577="",$D577=""),"",ROUND($M577*IFERROR(IF(VLOOKUP($D577,Setup!$A$76:$C$87,3,FALSE)="",Setup!$B$14,VLOOKUP($D577,Setup!$A$76:$C$87,3,FALSE)),Setup!$B$14),2))</f>
        <v/>
      </c>
      <c r="O577" s="90">
        <f>IF(OR($M577="",$E577=""),"",ROUND($M577*IFERROR(IF(VLOOKUP($E577,Setup!$A$76:$C$87,3,FALSE)="",Setup!$B$15,VLOOKUP($E577,Setup!$A$76:$C$87,3,FALSE)),Setup!$B$15),2))</f>
        <v/>
      </c>
      <c r="P577" s="92" t="n"/>
      <c r="Q577" s="92" t="n"/>
      <c r="R577" s="92" t="n"/>
      <c r="S577" s="92" t="n"/>
      <c r="T577" s="92" t="n"/>
      <c r="U577" s="90">
        <f>IF($K577="","",SUM($R577:$T577))</f>
        <v/>
      </c>
      <c r="V577" s="90">
        <f>IF($K577="","",$M577-(N($N577)+N($O577)+IF($P577="",Setup!$B$17,$P577)+N($Q577))-N($U577))</f>
        <v/>
      </c>
      <c r="W577" s="87" t="n"/>
      <c r="X577" s="88" t="n"/>
      <c r="Z577" s="93">
        <f>IF($A577="","",DATE(YEAR($A577),MONTH($A577),1))</f>
        <v/>
      </c>
    </row>
    <row r="578">
      <c r="A578" s="94" t="n"/>
      <c r="B578" s="95" t="n"/>
      <c r="C578" s="95" t="n"/>
      <c r="D578" s="96" t="n"/>
      <c r="E578" s="96" t="n"/>
      <c r="F578" s="96" t="n"/>
      <c r="G578" s="96" t="n"/>
      <c r="H578" s="97" t="n"/>
      <c r="I578" s="90">
        <f>IF($G578="","",IF($F578="",IFERROR(INDEX(Setup!$C$21:$C$60,MATCH("|"&amp;UPPER(TRIM($G578)),Setup!$Q$21:$Q$60,0)),"NO RATE"),IFERROR(INDEX(Setup!$C$21:$C$60,MATCH(UPPER(TRIM($F578))&amp;"|"&amp;UPPER(TRIM($G578)),Setup!$P$21:$P$60,0)),IFERROR(INDEX(Setup!$C$21:$C$60,MATCH(UPPER(TRIM($G578))&amp;"|"&amp;UPPER(TRIM($F578)),Setup!$P$21:$P$60,0)),"NO RATE"))))</f>
        <v/>
      </c>
      <c r="J578" s="98" t="n"/>
      <c r="K578" s="90">
        <f>IF(OR($G578="",$H578="",NOT(ISNUMBER($I578))),"",ROUND($H578*$I578*(1+IF($J578="",Setup!$B$16,$J578)),2))</f>
        <v/>
      </c>
      <c r="L578" s="90">
        <f>IF($K578="","",ROUND($K578*Setup!$B$13,2))</f>
        <v/>
      </c>
      <c r="M578" s="90">
        <f>IF($K578="","",$K578-$L578)</f>
        <v/>
      </c>
      <c r="N578" s="90">
        <f>IF(OR($M578="",$D578=""),"",ROUND($M578*IFERROR(IF(VLOOKUP($D578,Setup!$A$76:$C$87,3,FALSE)="",Setup!$B$14,VLOOKUP($D578,Setup!$A$76:$C$87,3,FALSE)),Setup!$B$14),2))</f>
        <v/>
      </c>
      <c r="O578" s="90">
        <f>IF(OR($M578="",$E578=""),"",ROUND($M578*IFERROR(IF(VLOOKUP($E578,Setup!$A$76:$C$87,3,FALSE)="",Setup!$B$15,VLOOKUP($E578,Setup!$A$76:$C$87,3,FALSE)),Setup!$B$15),2))</f>
        <v/>
      </c>
      <c r="P578" s="99" t="n"/>
      <c r="Q578" s="99" t="n"/>
      <c r="R578" s="99" t="n"/>
      <c r="S578" s="99" t="n"/>
      <c r="T578" s="99" t="n"/>
      <c r="U578" s="90">
        <f>IF($K578="","",SUM($R578:$T578))</f>
        <v/>
      </c>
      <c r="V578" s="90">
        <f>IF($K578="","",$M578-(N($N578)+N($O578)+IF($P578="",Setup!$B$17,$P578)+N($Q578))-N($U578))</f>
        <v/>
      </c>
      <c r="W578" s="95" t="n"/>
      <c r="X578" s="96" t="n"/>
      <c r="Z578" s="93">
        <f>IF($A578="","",DATE(YEAR($A578),MONTH($A578),1))</f>
        <v/>
      </c>
    </row>
    <row r="579">
      <c r="A579" s="86" t="n"/>
      <c r="B579" s="87" t="n"/>
      <c r="C579" s="87" t="n"/>
      <c r="D579" s="88" t="n"/>
      <c r="E579" s="88" t="n"/>
      <c r="F579" s="88" t="n"/>
      <c r="G579" s="88" t="n"/>
      <c r="H579" s="89" t="n"/>
      <c r="I579" s="90">
        <f>IF($G579="","",IF($F579="",IFERROR(INDEX(Setup!$C$21:$C$60,MATCH("|"&amp;UPPER(TRIM($G579)),Setup!$Q$21:$Q$60,0)),"NO RATE"),IFERROR(INDEX(Setup!$C$21:$C$60,MATCH(UPPER(TRIM($F579))&amp;"|"&amp;UPPER(TRIM($G579)),Setup!$P$21:$P$60,0)),IFERROR(INDEX(Setup!$C$21:$C$60,MATCH(UPPER(TRIM($G579))&amp;"|"&amp;UPPER(TRIM($F579)),Setup!$P$21:$P$60,0)),"NO RATE"))))</f>
        <v/>
      </c>
      <c r="J579" s="91" t="n"/>
      <c r="K579" s="90">
        <f>IF(OR($G579="",$H579="",NOT(ISNUMBER($I579))),"",ROUND($H579*$I579*(1+IF($J579="",Setup!$B$16,$J579)),2))</f>
        <v/>
      </c>
      <c r="L579" s="90">
        <f>IF($K579="","",ROUND($K579*Setup!$B$13,2))</f>
        <v/>
      </c>
      <c r="M579" s="90">
        <f>IF($K579="","",$K579-$L579)</f>
        <v/>
      </c>
      <c r="N579" s="90">
        <f>IF(OR($M579="",$D579=""),"",ROUND($M579*IFERROR(IF(VLOOKUP($D579,Setup!$A$76:$C$87,3,FALSE)="",Setup!$B$14,VLOOKUP($D579,Setup!$A$76:$C$87,3,FALSE)),Setup!$B$14),2))</f>
        <v/>
      </c>
      <c r="O579" s="90">
        <f>IF(OR($M579="",$E579=""),"",ROUND($M579*IFERROR(IF(VLOOKUP($E579,Setup!$A$76:$C$87,3,FALSE)="",Setup!$B$15,VLOOKUP($E579,Setup!$A$76:$C$87,3,FALSE)),Setup!$B$15),2))</f>
        <v/>
      </c>
      <c r="P579" s="92" t="n"/>
      <c r="Q579" s="92" t="n"/>
      <c r="R579" s="92" t="n"/>
      <c r="S579" s="92" t="n"/>
      <c r="T579" s="92" t="n"/>
      <c r="U579" s="90">
        <f>IF($K579="","",SUM($R579:$T579))</f>
        <v/>
      </c>
      <c r="V579" s="90">
        <f>IF($K579="","",$M579-(N($N579)+N($O579)+IF($P579="",Setup!$B$17,$P579)+N($Q579))-N($U579))</f>
        <v/>
      </c>
      <c r="W579" s="87" t="n"/>
      <c r="X579" s="88" t="n"/>
      <c r="Z579" s="93">
        <f>IF($A579="","",DATE(YEAR($A579),MONTH($A579),1))</f>
        <v/>
      </c>
    </row>
    <row r="580">
      <c r="A580" s="94" t="n"/>
      <c r="B580" s="95" t="n"/>
      <c r="C580" s="95" t="n"/>
      <c r="D580" s="96" t="n"/>
      <c r="E580" s="96" t="n"/>
      <c r="F580" s="96" t="n"/>
      <c r="G580" s="96" t="n"/>
      <c r="H580" s="97" t="n"/>
      <c r="I580" s="90">
        <f>IF($G580="","",IF($F580="",IFERROR(INDEX(Setup!$C$21:$C$60,MATCH("|"&amp;UPPER(TRIM($G580)),Setup!$Q$21:$Q$60,0)),"NO RATE"),IFERROR(INDEX(Setup!$C$21:$C$60,MATCH(UPPER(TRIM($F580))&amp;"|"&amp;UPPER(TRIM($G580)),Setup!$P$21:$P$60,0)),IFERROR(INDEX(Setup!$C$21:$C$60,MATCH(UPPER(TRIM($G580))&amp;"|"&amp;UPPER(TRIM($F580)),Setup!$P$21:$P$60,0)),"NO RATE"))))</f>
        <v/>
      </c>
      <c r="J580" s="98" t="n"/>
      <c r="K580" s="90">
        <f>IF(OR($G580="",$H580="",NOT(ISNUMBER($I580))),"",ROUND($H580*$I580*(1+IF($J580="",Setup!$B$16,$J580)),2))</f>
        <v/>
      </c>
      <c r="L580" s="90">
        <f>IF($K580="","",ROUND($K580*Setup!$B$13,2))</f>
        <v/>
      </c>
      <c r="M580" s="90">
        <f>IF($K580="","",$K580-$L580)</f>
        <v/>
      </c>
      <c r="N580" s="90">
        <f>IF(OR($M580="",$D580=""),"",ROUND($M580*IFERROR(IF(VLOOKUP($D580,Setup!$A$76:$C$87,3,FALSE)="",Setup!$B$14,VLOOKUP($D580,Setup!$A$76:$C$87,3,FALSE)),Setup!$B$14),2))</f>
        <v/>
      </c>
      <c r="O580" s="90">
        <f>IF(OR($M580="",$E580=""),"",ROUND($M580*IFERROR(IF(VLOOKUP($E580,Setup!$A$76:$C$87,3,FALSE)="",Setup!$B$15,VLOOKUP($E580,Setup!$A$76:$C$87,3,FALSE)),Setup!$B$15),2))</f>
        <v/>
      </c>
      <c r="P580" s="99" t="n"/>
      <c r="Q580" s="99" t="n"/>
      <c r="R580" s="99" t="n"/>
      <c r="S580" s="99" t="n"/>
      <c r="T580" s="99" t="n"/>
      <c r="U580" s="90">
        <f>IF($K580="","",SUM($R580:$T580))</f>
        <v/>
      </c>
      <c r="V580" s="90">
        <f>IF($K580="","",$M580-(N($N580)+N($O580)+IF($P580="",Setup!$B$17,$P580)+N($Q580))-N($U580))</f>
        <v/>
      </c>
      <c r="W580" s="95" t="n"/>
      <c r="X580" s="96" t="n"/>
      <c r="Z580" s="93">
        <f>IF($A580="","",DATE(YEAR($A580),MONTH($A580),1))</f>
        <v/>
      </c>
    </row>
    <row r="581">
      <c r="A581" s="86" t="n"/>
      <c r="B581" s="87" t="n"/>
      <c r="C581" s="87" t="n"/>
      <c r="D581" s="88" t="n"/>
      <c r="E581" s="88" t="n"/>
      <c r="F581" s="88" t="n"/>
      <c r="G581" s="88" t="n"/>
      <c r="H581" s="89" t="n"/>
      <c r="I581" s="90">
        <f>IF($G581="","",IF($F581="",IFERROR(INDEX(Setup!$C$21:$C$60,MATCH("|"&amp;UPPER(TRIM($G581)),Setup!$Q$21:$Q$60,0)),"NO RATE"),IFERROR(INDEX(Setup!$C$21:$C$60,MATCH(UPPER(TRIM($F581))&amp;"|"&amp;UPPER(TRIM($G581)),Setup!$P$21:$P$60,0)),IFERROR(INDEX(Setup!$C$21:$C$60,MATCH(UPPER(TRIM($G581))&amp;"|"&amp;UPPER(TRIM($F581)),Setup!$P$21:$P$60,0)),"NO RATE"))))</f>
        <v/>
      </c>
      <c r="J581" s="91" t="n"/>
      <c r="K581" s="90">
        <f>IF(OR($G581="",$H581="",NOT(ISNUMBER($I581))),"",ROUND($H581*$I581*(1+IF($J581="",Setup!$B$16,$J581)),2))</f>
        <v/>
      </c>
      <c r="L581" s="90">
        <f>IF($K581="","",ROUND($K581*Setup!$B$13,2))</f>
        <v/>
      </c>
      <c r="M581" s="90">
        <f>IF($K581="","",$K581-$L581)</f>
        <v/>
      </c>
      <c r="N581" s="90">
        <f>IF(OR($M581="",$D581=""),"",ROUND($M581*IFERROR(IF(VLOOKUP($D581,Setup!$A$76:$C$87,3,FALSE)="",Setup!$B$14,VLOOKUP($D581,Setup!$A$76:$C$87,3,FALSE)),Setup!$B$14),2))</f>
        <v/>
      </c>
      <c r="O581" s="90">
        <f>IF(OR($M581="",$E581=""),"",ROUND($M581*IFERROR(IF(VLOOKUP($E581,Setup!$A$76:$C$87,3,FALSE)="",Setup!$B$15,VLOOKUP($E581,Setup!$A$76:$C$87,3,FALSE)),Setup!$B$15),2))</f>
        <v/>
      </c>
      <c r="P581" s="92" t="n"/>
      <c r="Q581" s="92" t="n"/>
      <c r="R581" s="92" t="n"/>
      <c r="S581" s="92" t="n"/>
      <c r="T581" s="92" t="n"/>
      <c r="U581" s="90">
        <f>IF($K581="","",SUM($R581:$T581))</f>
        <v/>
      </c>
      <c r="V581" s="90">
        <f>IF($K581="","",$M581-(N($N581)+N($O581)+IF($P581="",Setup!$B$17,$P581)+N($Q581))-N($U581))</f>
        <v/>
      </c>
      <c r="W581" s="87" t="n"/>
      <c r="X581" s="88" t="n"/>
      <c r="Z581" s="93">
        <f>IF($A581="","",DATE(YEAR($A581),MONTH($A581),1))</f>
        <v/>
      </c>
    </row>
    <row r="582">
      <c r="A582" s="94" t="n"/>
      <c r="B582" s="95" t="n"/>
      <c r="C582" s="95" t="n"/>
      <c r="D582" s="96" t="n"/>
      <c r="E582" s="96" t="n"/>
      <c r="F582" s="96" t="n"/>
      <c r="G582" s="96" t="n"/>
      <c r="H582" s="97" t="n"/>
      <c r="I582" s="90">
        <f>IF($G582="","",IF($F582="",IFERROR(INDEX(Setup!$C$21:$C$60,MATCH("|"&amp;UPPER(TRIM($G582)),Setup!$Q$21:$Q$60,0)),"NO RATE"),IFERROR(INDEX(Setup!$C$21:$C$60,MATCH(UPPER(TRIM($F582))&amp;"|"&amp;UPPER(TRIM($G582)),Setup!$P$21:$P$60,0)),IFERROR(INDEX(Setup!$C$21:$C$60,MATCH(UPPER(TRIM($G582))&amp;"|"&amp;UPPER(TRIM($F582)),Setup!$P$21:$P$60,0)),"NO RATE"))))</f>
        <v/>
      </c>
      <c r="J582" s="98" t="n"/>
      <c r="K582" s="90">
        <f>IF(OR($G582="",$H582="",NOT(ISNUMBER($I582))),"",ROUND($H582*$I582*(1+IF($J582="",Setup!$B$16,$J582)),2))</f>
        <v/>
      </c>
      <c r="L582" s="90">
        <f>IF($K582="","",ROUND($K582*Setup!$B$13,2))</f>
        <v/>
      </c>
      <c r="M582" s="90">
        <f>IF($K582="","",$K582-$L582)</f>
        <v/>
      </c>
      <c r="N582" s="90">
        <f>IF(OR($M582="",$D582=""),"",ROUND($M582*IFERROR(IF(VLOOKUP($D582,Setup!$A$76:$C$87,3,FALSE)="",Setup!$B$14,VLOOKUP($D582,Setup!$A$76:$C$87,3,FALSE)),Setup!$B$14),2))</f>
        <v/>
      </c>
      <c r="O582" s="90">
        <f>IF(OR($M582="",$E582=""),"",ROUND($M582*IFERROR(IF(VLOOKUP($E582,Setup!$A$76:$C$87,3,FALSE)="",Setup!$B$15,VLOOKUP($E582,Setup!$A$76:$C$87,3,FALSE)),Setup!$B$15),2))</f>
        <v/>
      </c>
      <c r="P582" s="99" t="n"/>
      <c r="Q582" s="99" t="n"/>
      <c r="R582" s="99" t="n"/>
      <c r="S582" s="99" t="n"/>
      <c r="T582" s="99" t="n"/>
      <c r="U582" s="90">
        <f>IF($K582="","",SUM($R582:$T582))</f>
        <v/>
      </c>
      <c r="V582" s="90">
        <f>IF($K582="","",$M582-(N($N582)+N($O582)+IF($P582="",Setup!$B$17,$P582)+N($Q582))-N($U582))</f>
        <v/>
      </c>
      <c r="W582" s="95" t="n"/>
      <c r="X582" s="96" t="n"/>
      <c r="Z582" s="93">
        <f>IF($A582="","",DATE(YEAR($A582),MONTH($A582),1))</f>
        <v/>
      </c>
    </row>
    <row r="583">
      <c r="A583" s="86" t="n"/>
      <c r="B583" s="87" t="n"/>
      <c r="C583" s="87" t="n"/>
      <c r="D583" s="88" t="n"/>
      <c r="E583" s="88" t="n"/>
      <c r="F583" s="88" t="n"/>
      <c r="G583" s="88" t="n"/>
      <c r="H583" s="89" t="n"/>
      <c r="I583" s="90">
        <f>IF($G583="","",IF($F583="",IFERROR(INDEX(Setup!$C$21:$C$60,MATCH("|"&amp;UPPER(TRIM($G583)),Setup!$Q$21:$Q$60,0)),"NO RATE"),IFERROR(INDEX(Setup!$C$21:$C$60,MATCH(UPPER(TRIM($F583))&amp;"|"&amp;UPPER(TRIM($G583)),Setup!$P$21:$P$60,0)),IFERROR(INDEX(Setup!$C$21:$C$60,MATCH(UPPER(TRIM($G583))&amp;"|"&amp;UPPER(TRIM($F583)),Setup!$P$21:$P$60,0)),"NO RATE"))))</f>
        <v/>
      </c>
      <c r="J583" s="91" t="n"/>
      <c r="K583" s="90">
        <f>IF(OR($G583="",$H583="",NOT(ISNUMBER($I583))),"",ROUND($H583*$I583*(1+IF($J583="",Setup!$B$16,$J583)),2))</f>
        <v/>
      </c>
      <c r="L583" s="90">
        <f>IF($K583="","",ROUND($K583*Setup!$B$13,2))</f>
        <v/>
      </c>
      <c r="M583" s="90">
        <f>IF($K583="","",$K583-$L583)</f>
        <v/>
      </c>
      <c r="N583" s="90">
        <f>IF(OR($M583="",$D583=""),"",ROUND($M583*IFERROR(IF(VLOOKUP($D583,Setup!$A$76:$C$87,3,FALSE)="",Setup!$B$14,VLOOKUP($D583,Setup!$A$76:$C$87,3,FALSE)),Setup!$B$14),2))</f>
        <v/>
      </c>
      <c r="O583" s="90">
        <f>IF(OR($M583="",$E583=""),"",ROUND($M583*IFERROR(IF(VLOOKUP($E583,Setup!$A$76:$C$87,3,FALSE)="",Setup!$B$15,VLOOKUP($E583,Setup!$A$76:$C$87,3,FALSE)),Setup!$B$15),2))</f>
        <v/>
      </c>
      <c r="P583" s="92" t="n"/>
      <c r="Q583" s="92" t="n"/>
      <c r="R583" s="92" t="n"/>
      <c r="S583" s="92" t="n"/>
      <c r="T583" s="92" t="n"/>
      <c r="U583" s="90">
        <f>IF($K583="","",SUM($R583:$T583))</f>
        <v/>
      </c>
      <c r="V583" s="90">
        <f>IF($K583="","",$M583-(N($N583)+N($O583)+IF($P583="",Setup!$B$17,$P583)+N($Q583))-N($U583))</f>
        <v/>
      </c>
      <c r="W583" s="87" t="n"/>
      <c r="X583" s="88" t="n"/>
      <c r="Z583" s="93">
        <f>IF($A583="","",DATE(YEAR($A583),MONTH($A583),1))</f>
        <v/>
      </c>
    </row>
    <row r="584">
      <c r="A584" s="94" t="n"/>
      <c r="B584" s="95" t="n"/>
      <c r="C584" s="95" t="n"/>
      <c r="D584" s="96" t="n"/>
      <c r="E584" s="96" t="n"/>
      <c r="F584" s="96" t="n"/>
      <c r="G584" s="96" t="n"/>
      <c r="H584" s="97" t="n"/>
      <c r="I584" s="90">
        <f>IF($G584="","",IF($F584="",IFERROR(INDEX(Setup!$C$21:$C$60,MATCH("|"&amp;UPPER(TRIM($G584)),Setup!$Q$21:$Q$60,0)),"NO RATE"),IFERROR(INDEX(Setup!$C$21:$C$60,MATCH(UPPER(TRIM($F584))&amp;"|"&amp;UPPER(TRIM($G584)),Setup!$P$21:$P$60,0)),IFERROR(INDEX(Setup!$C$21:$C$60,MATCH(UPPER(TRIM($G584))&amp;"|"&amp;UPPER(TRIM($F584)),Setup!$P$21:$P$60,0)),"NO RATE"))))</f>
        <v/>
      </c>
      <c r="J584" s="98" t="n"/>
      <c r="K584" s="90">
        <f>IF(OR($G584="",$H584="",NOT(ISNUMBER($I584))),"",ROUND($H584*$I584*(1+IF($J584="",Setup!$B$16,$J584)),2))</f>
        <v/>
      </c>
      <c r="L584" s="90">
        <f>IF($K584="","",ROUND($K584*Setup!$B$13,2))</f>
        <v/>
      </c>
      <c r="M584" s="90">
        <f>IF($K584="","",$K584-$L584)</f>
        <v/>
      </c>
      <c r="N584" s="90">
        <f>IF(OR($M584="",$D584=""),"",ROUND($M584*IFERROR(IF(VLOOKUP($D584,Setup!$A$76:$C$87,3,FALSE)="",Setup!$B$14,VLOOKUP($D584,Setup!$A$76:$C$87,3,FALSE)),Setup!$B$14),2))</f>
        <v/>
      </c>
      <c r="O584" s="90">
        <f>IF(OR($M584="",$E584=""),"",ROUND($M584*IFERROR(IF(VLOOKUP($E584,Setup!$A$76:$C$87,3,FALSE)="",Setup!$B$15,VLOOKUP($E584,Setup!$A$76:$C$87,3,FALSE)),Setup!$B$15),2))</f>
        <v/>
      </c>
      <c r="P584" s="99" t="n"/>
      <c r="Q584" s="99" t="n"/>
      <c r="R584" s="99" t="n"/>
      <c r="S584" s="99" t="n"/>
      <c r="T584" s="99" t="n"/>
      <c r="U584" s="90">
        <f>IF($K584="","",SUM($R584:$T584))</f>
        <v/>
      </c>
      <c r="V584" s="90">
        <f>IF($K584="","",$M584-(N($N584)+N($O584)+IF($P584="",Setup!$B$17,$P584)+N($Q584))-N($U584))</f>
        <v/>
      </c>
      <c r="W584" s="95" t="n"/>
      <c r="X584" s="96" t="n"/>
      <c r="Z584" s="93">
        <f>IF($A584="","",DATE(YEAR($A584),MONTH($A584),1))</f>
        <v/>
      </c>
    </row>
    <row r="585">
      <c r="A585" s="86" t="n"/>
      <c r="B585" s="87" t="n"/>
      <c r="C585" s="87" t="n"/>
      <c r="D585" s="88" t="n"/>
      <c r="E585" s="88" t="n"/>
      <c r="F585" s="88" t="n"/>
      <c r="G585" s="88" t="n"/>
      <c r="H585" s="89" t="n"/>
      <c r="I585" s="90">
        <f>IF($G585="","",IF($F585="",IFERROR(INDEX(Setup!$C$21:$C$60,MATCH("|"&amp;UPPER(TRIM($G585)),Setup!$Q$21:$Q$60,0)),"NO RATE"),IFERROR(INDEX(Setup!$C$21:$C$60,MATCH(UPPER(TRIM($F585))&amp;"|"&amp;UPPER(TRIM($G585)),Setup!$P$21:$P$60,0)),IFERROR(INDEX(Setup!$C$21:$C$60,MATCH(UPPER(TRIM($G585))&amp;"|"&amp;UPPER(TRIM($F585)),Setup!$P$21:$P$60,0)),"NO RATE"))))</f>
        <v/>
      </c>
      <c r="J585" s="91" t="n"/>
      <c r="K585" s="90">
        <f>IF(OR($G585="",$H585="",NOT(ISNUMBER($I585))),"",ROUND($H585*$I585*(1+IF($J585="",Setup!$B$16,$J585)),2))</f>
        <v/>
      </c>
      <c r="L585" s="90">
        <f>IF($K585="","",ROUND($K585*Setup!$B$13,2))</f>
        <v/>
      </c>
      <c r="M585" s="90">
        <f>IF($K585="","",$K585-$L585)</f>
        <v/>
      </c>
      <c r="N585" s="90">
        <f>IF(OR($M585="",$D585=""),"",ROUND($M585*IFERROR(IF(VLOOKUP($D585,Setup!$A$76:$C$87,3,FALSE)="",Setup!$B$14,VLOOKUP($D585,Setup!$A$76:$C$87,3,FALSE)),Setup!$B$14),2))</f>
        <v/>
      </c>
      <c r="O585" s="90">
        <f>IF(OR($M585="",$E585=""),"",ROUND($M585*IFERROR(IF(VLOOKUP($E585,Setup!$A$76:$C$87,3,FALSE)="",Setup!$B$15,VLOOKUP($E585,Setup!$A$76:$C$87,3,FALSE)),Setup!$B$15),2))</f>
        <v/>
      </c>
      <c r="P585" s="92" t="n"/>
      <c r="Q585" s="92" t="n"/>
      <c r="R585" s="92" t="n"/>
      <c r="S585" s="92" t="n"/>
      <c r="T585" s="92" t="n"/>
      <c r="U585" s="90">
        <f>IF($K585="","",SUM($R585:$T585))</f>
        <v/>
      </c>
      <c r="V585" s="90">
        <f>IF($K585="","",$M585-(N($N585)+N($O585)+IF($P585="",Setup!$B$17,$P585)+N($Q585))-N($U585))</f>
        <v/>
      </c>
      <c r="W585" s="87" t="n"/>
      <c r="X585" s="88" t="n"/>
      <c r="Z585" s="93">
        <f>IF($A585="","",DATE(YEAR($A585),MONTH($A585),1))</f>
        <v/>
      </c>
    </row>
    <row r="586">
      <c r="A586" s="94" t="n"/>
      <c r="B586" s="95" t="n"/>
      <c r="C586" s="95" t="n"/>
      <c r="D586" s="96" t="n"/>
      <c r="E586" s="96" t="n"/>
      <c r="F586" s="96" t="n"/>
      <c r="G586" s="96" t="n"/>
      <c r="H586" s="97" t="n"/>
      <c r="I586" s="90">
        <f>IF($G586="","",IF($F586="",IFERROR(INDEX(Setup!$C$21:$C$60,MATCH("|"&amp;UPPER(TRIM($G586)),Setup!$Q$21:$Q$60,0)),"NO RATE"),IFERROR(INDEX(Setup!$C$21:$C$60,MATCH(UPPER(TRIM($F586))&amp;"|"&amp;UPPER(TRIM($G586)),Setup!$P$21:$P$60,0)),IFERROR(INDEX(Setup!$C$21:$C$60,MATCH(UPPER(TRIM($G586))&amp;"|"&amp;UPPER(TRIM($F586)),Setup!$P$21:$P$60,0)),"NO RATE"))))</f>
        <v/>
      </c>
      <c r="J586" s="98" t="n"/>
      <c r="K586" s="90">
        <f>IF(OR($G586="",$H586="",NOT(ISNUMBER($I586))),"",ROUND($H586*$I586*(1+IF($J586="",Setup!$B$16,$J586)),2))</f>
        <v/>
      </c>
      <c r="L586" s="90">
        <f>IF($K586="","",ROUND($K586*Setup!$B$13,2))</f>
        <v/>
      </c>
      <c r="M586" s="90">
        <f>IF($K586="","",$K586-$L586)</f>
        <v/>
      </c>
      <c r="N586" s="90">
        <f>IF(OR($M586="",$D586=""),"",ROUND($M586*IFERROR(IF(VLOOKUP($D586,Setup!$A$76:$C$87,3,FALSE)="",Setup!$B$14,VLOOKUP($D586,Setup!$A$76:$C$87,3,FALSE)),Setup!$B$14),2))</f>
        <v/>
      </c>
      <c r="O586" s="90">
        <f>IF(OR($M586="",$E586=""),"",ROUND($M586*IFERROR(IF(VLOOKUP($E586,Setup!$A$76:$C$87,3,FALSE)="",Setup!$B$15,VLOOKUP($E586,Setup!$A$76:$C$87,3,FALSE)),Setup!$B$15),2))</f>
        <v/>
      </c>
      <c r="P586" s="99" t="n"/>
      <c r="Q586" s="99" t="n"/>
      <c r="R586" s="99" t="n"/>
      <c r="S586" s="99" t="n"/>
      <c r="T586" s="99" t="n"/>
      <c r="U586" s="90">
        <f>IF($K586="","",SUM($R586:$T586))</f>
        <v/>
      </c>
      <c r="V586" s="90">
        <f>IF($K586="","",$M586-(N($N586)+N($O586)+IF($P586="",Setup!$B$17,$P586)+N($Q586))-N($U586))</f>
        <v/>
      </c>
      <c r="W586" s="95" t="n"/>
      <c r="X586" s="96" t="n"/>
      <c r="Z586" s="93">
        <f>IF($A586="","",DATE(YEAR($A586),MONTH($A586),1))</f>
        <v/>
      </c>
    </row>
    <row r="587">
      <c r="A587" s="86" t="n"/>
      <c r="B587" s="87" t="n"/>
      <c r="C587" s="87" t="n"/>
      <c r="D587" s="88" t="n"/>
      <c r="E587" s="88" t="n"/>
      <c r="F587" s="88" t="n"/>
      <c r="G587" s="88" t="n"/>
      <c r="H587" s="89" t="n"/>
      <c r="I587" s="90">
        <f>IF($G587="","",IF($F587="",IFERROR(INDEX(Setup!$C$21:$C$60,MATCH("|"&amp;UPPER(TRIM($G587)),Setup!$Q$21:$Q$60,0)),"NO RATE"),IFERROR(INDEX(Setup!$C$21:$C$60,MATCH(UPPER(TRIM($F587))&amp;"|"&amp;UPPER(TRIM($G587)),Setup!$P$21:$P$60,0)),IFERROR(INDEX(Setup!$C$21:$C$60,MATCH(UPPER(TRIM($G587))&amp;"|"&amp;UPPER(TRIM($F587)),Setup!$P$21:$P$60,0)),"NO RATE"))))</f>
        <v/>
      </c>
      <c r="J587" s="91" t="n"/>
      <c r="K587" s="90">
        <f>IF(OR($G587="",$H587="",NOT(ISNUMBER($I587))),"",ROUND($H587*$I587*(1+IF($J587="",Setup!$B$16,$J587)),2))</f>
        <v/>
      </c>
      <c r="L587" s="90">
        <f>IF($K587="","",ROUND($K587*Setup!$B$13,2))</f>
        <v/>
      </c>
      <c r="M587" s="90">
        <f>IF($K587="","",$K587-$L587)</f>
        <v/>
      </c>
      <c r="N587" s="90">
        <f>IF(OR($M587="",$D587=""),"",ROUND($M587*IFERROR(IF(VLOOKUP($D587,Setup!$A$76:$C$87,3,FALSE)="",Setup!$B$14,VLOOKUP($D587,Setup!$A$76:$C$87,3,FALSE)),Setup!$B$14),2))</f>
        <v/>
      </c>
      <c r="O587" s="90">
        <f>IF(OR($M587="",$E587=""),"",ROUND($M587*IFERROR(IF(VLOOKUP($E587,Setup!$A$76:$C$87,3,FALSE)="",Setup!$B$15,VLOOKUP($E587,Setup!$A$76:$C$87,3,FALSE)),Setup!$B$15),2))</f>
        <v/>
      </c>
      <c r="P587" s="92" t="n"/>
      <c r="Q587" s="92" t="n"/>
      <c r="R587" s="92" t="n"/>
      <c r="S587" s="92" t="n"/>
      <c r="T587" s="92" t="n"/>
      <c r="U587" s="90">
        <f>IF($K587="","",SUM($R587:$T587))</f>
        <v/>
      </c>
      <c r="V587" s="90">
        <f>IF($K587="","",$M587-(N($N587)+N($O587)+IF($P587="",Setup!$B$17,$P587)+N($Q587))-N($U587))</f>
        <v/>
      </c>
      <c r="W587" s="87" t="n"/>
      <c r="X587" s="88" t="n"/>
      <c r="Z587" s="93">
        <f>IF($A587="","",DATE(YEAR($A587),MONTH($A587),1))</f>
        <v/>
      </c>
    </row>
    <row r="588">
      <c r="A588" s="94" t="n"/>
      <c r="B588" s="95" t="n"/>
      <c r="C588" s="95" t="n"/>
      <c r="D588" s="96" t="n"/>
      <c r="E588" s="96" t="n"/>
      <c r="F588" s="96" t="n"/>
      <c r="G588" s="96" t="n"/>
      <c r="H588" s="97" t="n"/>
      <c r="I588" s="90">
        <f>IF($G588="","",IF($F588="",IFERROR(INDEX(Setup!$C$21:$C$60,MATCH("|"&amp;UPPER(TRIM($G588)),Setup!$Q$21:$Q$60,0)),"NO RATE"),IFERROR(INDEX(Setup!$C$21:$C$60,MATCH(UPPER(TRIM($F588))&amp;"|"&amp;UPPER(TRIM($G588)),Setup!$P$21:$P$60,0)),IFERROR(INDEX(Setup!$C$21:$C$60,MATCH(UPPER(TRIM($G588))&amp;"|"&amp;UPPER(TRIM($F588)),Setup!$P$21:$P$60,0)),"NO RATE"))))</f>
        <v/>
      </c>
      <c r="J588" s="98" t="n"/>
      <c r="K588" s="90">
        <f>IF(OR($G588="",$H588="",NOT(ISNUMBER($I588))),"",ROUND($H588*$I588*(1+IF($J588="",Setup!$B$16,$J588)),2))</f>
        <v/>
      </c>
      <c r="L588" s="90">
        <f>IF($K588="","",ROUND($K588*Setup!$B$13,2))</f>
        <v/>
      </c>
      <c r="M588" s="90">
        <f>IF($K588="","",$K588-$L588)</f>
        <v/>
      </c>
      <c r="N588" s="90">
        <f>IF(OR($M588="",$D588=""),"",ROUND($M588*IFERROR(IF(VLOOKUP($D588,Setup!$A$76:$C$87,3,FALSE)="",Setup!$B$14,VLOOKUP($D588,Setup!$A$76:$C$87,3,FALSE)),Setup!$B$14),2))</f>
        <v/>
      </c>
      <c r="O588" s="90">
        <f>IF(OR($M588="",$E588=""),"",ROUND($M588*IFERROR(IF(VLOOKUP($E588,Setup!$A$76:$C$87,3,FALSE)="",Setup!$B$15,VLOOKUP($E588,Setup!$A$76:$C$87,3,FALSE)),Setup!$B$15),2))</f>
        <v/>
      </c>
      <c r="P588" s="99" t="n"/>
      <c r="Q588" s="99" t="n"/>
      <c r="R588" s="99" t="n"/>
      <c r="S588" s="99" t="n"/>
      <c r="T588" s="99" t="n"/>
      <c r="U588" s="90">
        <f>IF($K588="","",SUM($R588:$T588))</f>
        <v/>
      </c>
      <c r="V588" s="90">
        <f>IF($K588="","",$M588-(N($N588)+N($O588)+IF($P588="",Setup!$B$17,$P588)+N($Q588))-N($U588))</f>
        <v/>
      </c>
      <c r="W588" s="95" t="n"/>
      <c r="X588" s="96" t="n"/>
      <c r="Z588" s="93">
        <f>IF($A588="","",DATE(YEAR($A588),MONTH($A588),1))</f>
        <v/>
      </c>
    </row>
    <row r="589">
      <c r="A589" s="86" t="n"/>
      <c r="B589" s="87" t="n"/>
      <c r="C589" s="87" t="n"/>
      <c r="D589" s="88" t="n"/>
      <c r="E589" s="88" t="n"/>
      <c r="F589" s="88" t="n"/>
      <c r="G589" s="88" t="n"/>
      <c r="H589" s="89" t="n"/>
      <c r="I589" s="90">
        <f>IF($G589="","",IF($F589="",IFERROR(INDEX(Setup!$C$21:$C$60,MATCH("|"&amp;UPPER(TRIM($G589)),Setup!$Q$21:$Q$60,0)),"NO RATE"),IFERROR(INDEX(Setup!$C$21:$C$60,MATCH(UPPER(TRIM($F589))&amp;"|"&amp;UPPER(TRIM($G589)),Setup!$P$21:$P$60,0)),IFERROR(INDEX(Setup!$C$21:$C$60,MATCH(UPPER(TRIM($G589))&amp;"|"&amp;UPPER(TRIM($F589)),Setup!$P$21:$P$60,0)),"NO RATE"))))</f>
        <v/>
      </c>
      <c r="J589" s="91" t="n"/>
      <c r="K589" s="90">
        <f>IF(OR($G589="",$H589="",NOT(ISNUMBER($I589))),"",ROUND($H589*$I589*(1+IF($J589="",Setup!$B$16,$J589)),2))</f>
        <v/>
      </c>
      <c r="L589" s="90">
        <f>IF($K589="","",ROUND($K589*Setup!$B$13,2))</f>
        <v/>
      </c>
      <c r="M589" s="90">
        <f>IF($K589="","",$K589-$L589)</f>
        <v/>
      </c>
      <c r="N589" s="90">
        <f>IF(OR($M589="",$D589=""),"",ROUND($M589*IFERROR(IF(VLOOKUP($D589,Setup!$A$76:$C$87,3,FALSE)="",Setup!$B$14,VLOOKUP($D589,Setup!$A$76:$C$87,3,FALSE)),Setup!$B$14),2))</f>
        <v/>
      </c>
      <c r="O589" s="90">
        <f>IF(OR($M589="",$E589=""),"",ROUND($M589*IFERROR(IF(VLOOKUP($E589,Setup!$A$76:$C$87,3,FALSE)="",Setup!$B$15,VLOOKUP($E589,Setup!$A$76:$C$87,3,FALSE)),Setup!$B$15),2))</f>
        <v/>
      </c>
      <c r="P589" s="92" t="n"/>
      <c r="Q589" s="92" t="n"/>
      <c r="R589" s="92" t="n"/>
      <c r="S589" s="92" t="n"/>
      <c r="T589" s="92" t="n"/>
      <c r="U589" s="90">
        <f>IF($K589="","",SUM($R589:$T589))</f>
        <v/>
      </c>
      <c r="V589" s="90">
        <f>IF($K589="","",$M589-(N($N589)+N($O589)+IF($P589="",Setup!$B$17,$P589)+N($Q589))-N($U589))</f>
        <v/>
      </c>
      <c r="W589" s="87" t="n"/>
      <c r="X589" s="88" t="n"/>
      <c r="Z589" s="93">
        <f>IF($A589="","",DATE(YEAR($A589),MONTH($A589),1))</f>
        <v/>
      </c>
    </row>
    <row r="590">
      <c r="A590" s="94" t="n"/>
      <c r="B590" s="95" t="n"/>
      <c r="C590" s="95" t="n"/>
      <c r="D590" s="96" t="n"/>
      <c r="E590" s="96" t="n"/>
      <c r="F590" s="96" t="n"/>
      <c r="G590" s="96" t="n"/>
      <c r="H590" s="97" t="n"/>
      <c r="I590" s="90">
        <f>IF($G590="","",IF($F590="",IFERROR(INDEX(Setup!$C$21:$C$60,MATCH("|"&amp;UPPER(TRIM($G590)),Setup!$Q$21:$Q$60,0)),"NO RATE"),IFERROR(INDEX(Setup!$C$21:$C$60,MATCH(UPPER(TRIM($F590))&amp;"|"&amp;UPPER(TRIM($G590)),Setup!$P$21:$P$60,0)),IFERROR(INDEX(Setup!$C$21:$C$60,MATCH(UPPER(TRIM($G590))&amp;"|"&amp;UPPER(TRIM($F590)),Setup!$P$21:$P$60,0)),"NO RATE"))))</f>
        <v/>
      </c>
      <c r="J590" s="98" t="n"/>
      <c r="K590" s="90">
        <f>IF(OR($G590="",$H590="",NOT(ISNUMBER($I590))),"",ROUND($H590*$I590*(1+IF($J590="",Setup!$B$16,$J590)),2))</f>
        <v/>
      </c>
      <c r="L590" s="90">
        <f>IF($K590="","",ROUND($K590*Setup!$B$13,2))</f>
        <v/>
      </c>
      <c r="M590" s="90">
        <f>IF($K590="","",$K590-$L590)</f>
        <v/>
      </c>
      <c r="N590" s="90">
        <f>IF(OR($M590="",$D590=""),"",ROUND($M590*IFERROR(IF(VLOOKUP($D590,Setup!$A$76:$C$87,3,FALSE)="",Setup!$B$14,VLOOKUP($D590,Setup!$A$76:$C$87,3,FALSE)),Setup!$B$14),2))</f>
        <v/>
      </c>
      <c r="O590" s="90">
        <f>IF(OR($M590="",$E590=""),"",ROUND($M590*IFERROR(IF(VLOOKUP($E590,Setup!$A$76:$C$87,3,FALSE)="",Setup!$B$15,VLOOKUP($E590,Setup!$A$76:$C$87,3,FALSE)),Setup!$B$15),2))</f>
        <v/>
      </c>
      <c r="P590" s="99" t="n"/>
      <c r="Q590" s="99" t="n"/>
      <c r="R590" s="99" t="n"/>
      <c r="S590" s="99" t="n"/>
      <c r="T590" s="99" t="n"/>
      <c r="U590" s="90">
        <f>IF($K590="","",SUM($R590:$T590))</f>
        <v/>
      </c>
      <c r="V590" s="90">
        <f>IF($K590="","",$M590-(N($N590)+N($O590)+IF($P590="",Setup!$B$17,$P590)+N($Q590))-N($U590))</f>
        <v/>
      </c>
      <c r="W590" s="95" t="n"/>
      <c r="X590" s="96" t="n"/>
      <c r="Z590" s="93">
        <f>IF($A590="","",DATE(YEAR($A590),MONTH($A590),1))</f>
        <v/>
      </c>
    </row>
    <row r="591">
      <c r="A591" s="86" t="n"/>
      <c r="B591" s="87" t="n"/>
      <c r="C591" s="87" t="n"/>
      <c r="D591" s="88" t="n"/>
      <c r="E591" s="88" t="n"/>
      <c r="F591" s="88" t="n"/>
      <c r="G591" s="88" t="n"/>
      <c r="H591" s="89" t="n"/>
      <c r="I591" s="90">
        <f>IF($G591="","",IF($F591="",IFERROR(INDEX(Setup!$C$21:$C$60,MATCH("|"&amp;UPPER(TRIM($G591)),Setup!$Q$21:$Q$60,0)),"NO RATE"),IFERROR(INDEX(Setup!$C$21:$C$60,MATCH(UPPER(TRIM($F591))&amp;"|"&amp;UPPER(TRIM($G591)),Setup!$P$21:$P$60,0)),IFERROR(INDEX(Setup!$C$21:$C$60,MATCH(UPPER(TRIM($G591))&amp;"|"&amp;UPPER(TRIM($F591)),Setup!$P$21:$P$60,0)),"NO RATE"))))</f>
        <v/>
      </c>
      <c r="J591" s="91" t="n"/>
      <c r="K591" s="90">
        <f>IF(OR($G591="",$H591="",NOT(ISNUMBER($I591))),"",ROUND($H591*$I591*(1+IF($J591="",Setup!$B$16,$J591)),2))</f>
        <v/>
      </c>
      <c r="L591" s="90">
        <f>IF($K591="","",ROUND($K591*Setup!$B$13,2))</f>
        <v/>
      </c>
      <c r="M591" s="90">
        <f>IF($K591="","",$K591-$L591)</f>
        <v/>
      </c>
      <c r="N591" s="90">
        <f>IF(OR($M591="",$D591=""),"",ROUND($M591*IFERROR(IF(VLOOKUP($D591,Setup!$A$76:$C$87,3,FALSE)="",Setup!$B$14,VLOOKUP($D591,Setup!$A$76:$C$87,3,FALSE)),Setup!$B$14),2))</f>
        <v/>
      </c>
      <c r="O591" s="90">
        <f>IF(OR($M591="",$E591=""),"",ROUND($M591*IFERROR(IF(VLOOKUP($E591,Setup!$A$76:$C$87,3,FALSE)="",Setup!$B$15,VLOOKUP($E591,Setup!$A$76:$C$87,3,FALSE)),Setup!$B$15),2))</f>
        <v/>
      </c>
      <c r="P591" s="92" t="n"/>
      <c r="Q591" s="92" t="n"/>
      <c r="R591" s="92" t="n"/>
      <c r="S591" s="92" t="n"/>
      <c r="T591" s="92" t="n"/>
      <c r="U591" s="90">
        <f>IF($K591="","",SUM($R591:$T591))</f>
        <v/>
      </c>
      <c r="V591" s="90">
        <f>IF($K591="","",$M591-(N($N591)+N($O591)+IF($P591="",Setup!$B$17,$P591)+N($Q591))-N($U591))</f>
        <v/>
      </c>
      <c r="W591" s="87" t="n"/>
      <c r="X591" s="88" t="n"/>
      <c r="Z591" s="93">
        <f>IF($A591="","",DATE(YEAR($A591),MONTH($A591),1))</f>
        <v/>
      </c>
    </row>
    <row r="592">
      <c r="A592" s="94" t="n"/>
      <c r="B592" s="95" t="n"/>
      <c r="C592" s="95" t="n"/>
      <c r="D592" s="96" t="n"/>
      <c r="E592" s="96" t="n"/>
      <c r="F592" s="96" t="n"/>
      <c r="G592" s="96" t="n"/>
      <c r="H592" s="97" t="n"/>
      <c r="I592" s="90">
        <f>IF($G592="","",IF($F592="",IFERROR(INDEX(Setup!$C$21:$C$60,MATCH("|"&amp;UPPER(TRIM($G592)),Setup!$Q$21:$Q$60,0)),"NO RATE"),IFERROR(INDEX(Setup!$C$21:$C$60,MATCH(UPPER(TRIM($F592))&amp;"|"&amp;UPPER(TRIM($G592)),Setup!$P$21:$P$60,0)),IFERROR(INDEX(Setup!$C$21:$C$60,MATCH(UPPER(TRIM($G592))&amp;"|"&amp;UPPER(TRIM($F592)),Setup!$P$21:$P$60,0)),"NO RATE"))))</f>
        <v/>
      </c>
      <c r="J592" s="98" t="n"/>
      <c r="K592" s="90">
        <f>IF(OR($G592="",$H592="",NOT(ISNUMBER($I592))),"",ROUND($H592*$I592*(1+IF($J592="",Setup!$B$16,$J592)),2))</f>
        <v/>
      </c>
      <c r="L592" s="90">
        <f>IF($K592="","",ROUND($K592*Setup!$B$13,2))</f>
        <v/>
      </c>
      <c r="M592" s="90">
        <f>IF($K592="","",$K592-$L592)</f>
        <v/>
      </c>
      <c r="N592" s="90">
        <f>IF(OR($M592="",$D592=""),"",ROUND($M592*IFERROR(IF(VLOOKUP($D592,Setup!$A$76:$C$87,3,FALSE)="",Setup!$B$14,VLOOKUP($D592,Setup!$A$76:$C$87,3,FALSE)),Setup!$B$14),2))</f>
        <v/>
      </c>
      <c r="O592" s="90">
        <f>IF(OR($M592="",$E592=""),"",ROUND($M592*IFERROR(IF(VLOOKUP($E592,Setup!$A$76:$C$87,3,FALSE)="",Setup!$B$15,VLOOKUP($E592,Setup!$A$76:$C$87,3,FALSE)),Setup!$B$15),2))</f>
        <v/>
      </c>
      <c r="P592" s="99" t="n"/>
      <c r="Q592" s="99" t="n"/>
      <c r="R592" s="99" t="n"/>
      <c r="S592" s="99" t="n"/>
      <c r="T592" s="99" t="n"/>
      <c r="U592" s="90">
        <f>IF($K592="","",SUM($R592:$T592))</f>
        <v/>
      </c>
      <c r="V592" s="90">
        <f>IF($K592="","",$M592-(N($N592)+N($O592)+IF($P592="",Setup!$B$17,$P592)+N($Q592))-N($U592))</f>
        <v/>
      </c>
      <c r="W592" s="95" t="n"/>
      <c r="X592" s="96" t="n"/>
      <c r="Z592" s="93">
        <f>IF($A592="","",DATE(YEAR($A592),MONTH($A592),1))</f>
        <v/>
      </c>
    </row>
    <row r="593">
      <c r="A593" s="86" t="n"/>
      <c r="B593" s="87" t="n"/>
      <c r="C593" s="87" t="n"/>
      <c r="D593" s="88" t="n"/>
      <c r="E593" s="88" t="n"/>
      <c r="F593" s="88" t="n"/>
      <c r="G593" s="88" t="n"/>
      <c r="H593" s="89" t="n"/>
      <c r="I593" s="90">
        <f>IF($G593="","",IF($F593="",IFERROR(INDEX(Setup!$C$21:$C$60,MATCH("|"&amp;UPPER(TRIM($G593)),Setup!$Q$21:$Q$60,0)),"NO RATE"),IFERROR(INDEX(Setup!$C$21:$C$60,MATCH(UPPER(TRIM($F593))&amp;"|"&amp;UPPER(TRIM($G593)),Setup!$P$21:$P$60,0)),IFERROR(INDEX(Setup!$C$21:$C$60,MATCH(UPPER(TRIM($G593))&amp;"|"&amp;UPPER(TRIM($F593)),Setup!$P$21:$P$60,0)),"NO RATE"))))</f>
        <v/>
      </c>
      <c r="J593" s="91" t="n"/>
      <c r="K593" s="90">
        <f>IF(OR($G593="",$H593="",NOT(ISNUMBER($I593))),"",ROUND($H593*$I593*(1+IF($J593="",Setup!$B$16,$J593)),2))</f>
        <v/>
      </c>
      <c r="L593" s="90">
        <f>IF($K593="","",ROUND($K593*Setup!$B$13,2))</f>
        <v/>
      </c>
      <c r="M593" s="90">
        <f>IF($K593="","",$K593-$L593)</f>
        <v/>
      </c>
      <c r="N593" s="90">
        <f>IF(OR($M593="",$D593=""),"",ROUND($M593*IFERROR(IF(VLOOKUP($D593,Setup!$A$76:$C$87,3,FALSE)="",Setup!$B$14,VLOOKUP($D593,Setup!$A$76:$C$87,3,FALSE)),Setup!$B$14),2))</f>
        <v/>
      </c>
      <c r="O593" s="90">
        <f>IF(OR($M593="",$E593=""),"",ROUND($M593*IFERROR(IF(VLOOKUP($E593,Setup!$A$76:$C$87,3,FALSE)="",Setup!$B$15,VLOOKUP($E593,Setup!$A$76:$C$87,3,FALSE)),Setup!$B$15),2))</f>
        <v/>
      </c>
      <c r="P593" s="92" t="n"/>
      <c r="Q593" s="92" t="n"/>
      <c r="R593" s="92" t="n"/>
      <c r="S593" s="92" t="n"/>
      <c r="T593" s="92" t="n"/>
      <c r="U593" s="90">
        <f>IF($K593="","",SUM($R593:$T593))</f>
        <v/>
      </c>
      <c r="V593" s="90">
        <f>IF($K593="","",$M593-(N($N593)+N($O593)+IF($P593="",Setup!$B$17,$P593)+N($Q593))-N($U593))</f>
        <v/>
      </c>
      <c r="W593" s="87" t="n"/>
      <c r="X593" s="88" t="n"/>
      <c r="Z593" s="93">
        <f>IF($A593="","",DATE(YEAR($A593),MONTH($A593),1))</f>
        <v/>
      </c>
    </row>
    <row r="594">
      <c r="A594" s="94" t="n"/>
      <c r="B594" s="95" t="n"/>
      <c r="C594" s="95" t="n"/>
      <c r="D594" s="96" t="n"/>
      <c r="E594" s="96" t="n"/>
      <c r="F594" s="96" t="n"/>
      <c r="G594" s="96" t="n"/>
      <c r="H594" s="97" t="n"/>
      <c r="I594" s="90">
        <f>IF($G594="","",IF($F594="",IFERROR(INDEX(Setup!$C$21:$C$60,MATCH("|"&amp;UPPER(TRIM($G594)),Setup!$Q$21:$Q$60,0)),"NO RATE"),IFERROR(INDEX(Setup!$C$21:$C$60,MATCH(UPPER(TRIM($F594))&amp;"|"&amp;UPPER(TRIM($G594)),Setup!$P$21:$P$60,0)),IFERROR(INDEX(Setup!$C$21:$C$60,MATCH(UPPER(TRIM($G594))&amp;"|"&amp;UPPER(TRIM($F594)),Setup!$P$21:$P$60,0)),"NO RATE"))))</f>
        <v/>
      </c>
      <c r="J594" s="98" t="n"/>
      <c r="K594" s="90">
        <f>IF(OR($G594="",$H594="",NOT(ISNUMBER($I594))),"",ROUND($H594*$I594*(1+IF($J594="",Setup!$B$16,$J594)),2))</f>
        <v/>
      </c>
      <c r="L594" s="90">
        <f>IF($K594="","",ROUND($K594*Setup!$B$13,2))</f>
        <v/>
      </c>
      <c r="M594" s="90">
        <f>IF($K594="","",$K594-$L594)</f>
        <v/>
      </c>
      <c r="N594" s="90">
        <f>IF(OR($M594="",$D594=""),"",ROUND($M594*IFERROR(IF(VLOOKUP($D594,Setup!$A$76:$C$87,3,FALSE)="",Setup!$B$14,VLOOKUP($D594,Setup!$A$76:$C$87,3,FALSE)),Setup!$B$14),2))</f>
        <v/>
      </c>
      <c r="O594" s="90">
        <f>IF(OR($M594="",$E594=""),"",ROUND($M594*IFERROR(IF(VLOOKUP($E594,Setup!$A$76:$C$87,3,FALSE)="",Setup!$B$15,VLOOKUP($E594,Setup!$A$76:$C$87,3,FALSE)),Setup!$B$15),2))</f>
        <v/>
      </c>
      <c r="P594" s="99" t="n"/>
      <c r="Q594" s="99" t="n"/>
      <c r="R594" s="99" t="n"/>
      <c r="S594" s="99" t="n"/>
      <c r="T594" s="99" t="n"/>
      <c r="U594" s="90">
        <f>IF($K594="","",SUM($R594:$T594))</f>
        <v/>
      </c>
      <c r="V594" s="90">
        <f>IF($K594="","",$M594-(N($N594)+N($O594)+IF($P594="",Setup!$B$17,$P594)+N($Q594))-N($U594))</f>
        <v/>
      </c>
      <c r="W594" s="95" t="n"/>
      <c r="X594" s="96" t="n"/>
      <c r="Z594" s="93">
        <f>IF($A594="","",DATE(YEAR($A594),MONTH($A594),1))</f>
        <v/>
      </c>
    </row>
    <row r="595">
      <c r="A595" s="86" t="n"/>
      <c r="B595" s="87" t="n"/>
      <c r="C595" s="87" t="n"/>
      <c r="D595" s="88" t="n"/>
      <c r="E595" s="88" t="n"/>
      <c r="F595" s="88" t="n"/>
      <c r="G595" s="88" t="n"/>
      <c r="H595" s="89" t="n"/>
      <c r="I595" s="90">
        <f>IF($G595="","",IF($F595="",IFERROR(INDEX(Setup!$C$21:$C$60,MATCH("|"&amp;UPPER(TRIM($G595)),Setup!$Q$21:$Q$60,0)),"NO RATE"),IFERROR(INDEX(Setup!$C$21:$C$60,MATCH(UPPER(TRIM($F595))&amp;"|"&amp;UPPER(TRIM($G595)),Setup!$P$21:$P$60,0)),IFERROR(INDEX(Setup!$C$21:$C$60,MATCH(UPPER(TRIM($G595))&amp;"|"&amp;UPPER(TRIM($F595)),Setup!$P$21:$P$60,0)),"NO RATE"))))</f>
        <v/>
      </c>
      <c r="J595" s="91" t="n"/>
      <c r="K595" s="90">
        <f>IF(OR($G595="",$H595="",NOT(ISNUMBER($I595))),"",ROUND($H595*$I595*(1+IF($J595="",Setup!$B$16,$J595)),2))</f>
        <v/>
      </c>
      <c r="L595" s="90">
        <f>IF($K595="","",ROUND($K595*Setup!$B$13,2))</f>
        <v/>
      </c>
      <c r="M595" s="90">
        <f>IF($K595="","",$K595-$L595)</f>
        <v/>
      </c>
      <c r="N595" s="90">
        <f>IF(OR($M595="",$D595=""),"",ROUND($M595*IFERROR(IF(VLOOKUP($D595,Setup!$A$76:$C$87,3,FALSE)="",Setup!$B$14,VLOOKUP($D595,Setup!$A$76:$C$87,3,FALSE)),Setup!$B$14),2))</f>
        <v/>
      </c>
      <c r="O595" s="90">
        <f>IF(OR($M595="",$E595=""),"",ROUND($M595*IFERROR(IF(VLOOKUP($E595,Setup!$A$76:$C$87,3,FALSE)="",Setup!$B$15,VLOOKUP($E595,Setup!$A$76:$C$87,3,FALSE)),Setup!$B$15),2))</f>
        <v/>
      </c>
      <c r="P595" s="92" t="n"/>
      <c r="Q595" s="92" t="n"/>
      <c r="R595" s="92" t="n"/>
      <c r="S595" s="92" t="n"/>
      <c r="T595" s="92" t="n"/>
      <c r="U595" s="90">
        <f>IF($K595="","",SUM($R595:$T595))</f>
        <v/>
      </c>
      <c r="V595" s="90">
        <f>IF($K595="","",$M595-(N($N595)+N($O595)+IF($P595="",Setup!$B$17,$P595)+N($Q595))-N($U595))</f>
        <v/>
      </c>
      <c r="W595" s="87" t="n"/>
      <c r="X595" s="88" t="n"/>
      <c r="Z595" s="93">
        <f>IF($A595="","",DATE(YEAR($A595),MONTH($A595),1))</f>
        <v/>
      </c>
    </row>
    <row r="596">
      <c r="A596" s="94" t="n"/>
      <c r="B596" s="95" t="n"/>
      <c r="C596" s="95" t="n"/>
      <c r="D596" s="96" t="n"/>
      <c r="E596" s="96" t="n"/>
      <c r="F596" s="96" t="n"/>
      <c r="G596" s="96" t="n"/>
      <c r="H596" s="97" t="n"/>
      <c r="I596" s="90">
        <f>IF($G596="","",IF($F596="",IFERROR(INDEX(Setup!$C$21:$C$60,MATCH("|"&amp;UPPER(TRIM($G596)),Setup!$Q$21:$Q$60,0)),"NO RATE"),IFERROR(INDEX(Setup!$C$21:$C$60,MATCH(UPPER(TRIM($F596))&amp;"|"&amp;UPPER(TRIM($G596)),Setup!$P$21:$P$60,0)),IFERROR(INDEX(Setup!$C$21:$C$60,MATCH(UPPER(TRIM($G596))&amp;"|"&amp;UPPER(TRIM($F596)),Setup!$P$21:$P$60,0)),"NO RATE"))))</f>
        <v/>
      </c>
      <c r="J596" s="98" t="n"/>
      <c r="K596" s="90">
        <f>IF(OR($G596="",$H596="",NOT(ISNUMBER($I596))),"",ROUND($H596*$I596*(1+IF($J596="",Setup!$B$16,$J596)),2))</f>
        <v/>
      </c>
      <c r="L596" s="90">
        <f>IF($K596="","",ROUND($K596*Setup!$B$13,2))</f>
        <v/>
      </c>
      <c r="M596" s="90">
        <f>IF($K596="","",$K596-$L596)</f>
        <v/>
      </c>
      <c r="N596" s="90">
        <f>IF(OR($M596="",$D596=""),"",ROUND($M596*IFERROR(IF(VLOOKUP($D596,Setup!$A$76:$C$87,3,FALSE)="",Setup!$B$14,VLOOKUP($D596,Setup!$A$76:$C$87,3,FALSE)),Setup!$B$14),2))</f>
        <v/>
      </c>
      <c r="O596" s="90">
        <f>IF(OR($M596="",$E596=""),"",ROUND($M596*IFERROR(IF(VLOOKUP($E596,Setup!$A$76:$C$87,3,FALSE)="",Setup!$B$15,VLOOKUP($E596,Setup!$A$76:$C$87,3,FALSE)),Setup!$B$15),2))</f>
        <v/>
      </c>
      <c r="P596" s="99" t="n"/>
      <c r="Q596" s="99" t="n"/>
      <c r="R596" s="99" t="n"/>
      <c r="S596" s="99" t="n"/>
      <c r="T596" s="99" t="n"/>
      <c r="U596" s="90">
        <f>IF($K596="","",SUM($R596:$T596))</f>
        <v/>
      </c>
      <c r="V596" s="90">
        <f>IF($K596="","",$M596-(N($N596)+N($O596)+IF($P596="",Setup!$B$17,$P596)+N($Q596))-N($U596))</f>
        <v/>
      </c>
      <c r="W596" s="95" t="n"/>
      <c r="X596" s="96" t="n"/>
      <c r="Z596" s="93">
        <f>IF($A596="","",DATE(YEAR($A596),MONTH($A596),1))</f>
        <v/>
      </c>
    </row>
    <row r="597">
      <c r="A597" s="86" t="n"/>
      <c r="B597" s="87" t="n"/>
      <c r="C597" s="87" t="n"/>
      <c r="D597" s="88" t="n"/>
      <c r="E597" s="88" t="n"/>
      <c r="F597" s="88" t="n"/>
      <c r="G597" s="88" t="n"/>
      <c r="H597" s="89" t="n"/>
      <c r="I597" s="90">
        <f>IF($G597="","",IF($F597="",IFERROR(INDEX(Setup!$C$21:$C$60,MATCH("|"&amp;UPPER(TRIM($G597)),Setup!$Q$21:$Q$60,0)),"NO RATE"),IFERROR(INDEX(Setup!$C$21:$C$60,MATCH(UPPER(TRIM($F597))&amp;"|"&amp;UPPER(TRIM($G597)),Setup!$P$21:$P$60,0)),IFERROR(INDEX(Setup!$C$21:$C$60,MATCH(UPPER(TRIM($G597))&amp;"|"&amp;UPPER(TRIM($F597)),Setup!$P$21:$P$60,0)),"NO RATE"))))</f>
        <v/>
      </c>
      <c r="J597" s="91" t="n"/>
      <c r="K597" s="90">
        <f>IF(OR($G597="",$H597="",NOT(ISNUMBER($I597))),"",ROUND($H597*$I597*(1+IF($J597="",Setup!$B$16,$J597)),2))</f>
        <v/>
      </c>
      <c r="L597" s="90">
        <f>IF($K597="","",ROUND($K597*Setup!$B$13,2))</f>
        <v/>
      </c>
      <c r="M597" s="90">
        <f>IF($K597="","",$K597-$L597)</f>
        <v/>
      </c>
      <c r="N597" s="90">
        <f>IF(OR($M597="",$D597=""),"",ROUND($M597*IFERROR(IF(VLOOKUP($D597,Setup!$A$76:$C$87,3,FALSE)="",Setup!$B$14,VLOOKUP($D597,Setup!$A$76:$C$87,3,FALSE)),Setup!$B$14),2))</f>
        <v/>
      </c>
      <c r="O597" s="90">
        <f>IF(OR($M597="",$E597=""),"",ROUND($M597*IFERROR(IF(VLOOKUP($E597,Setup!$A$76:$C$87,3,FALSE)="",Setup!$B$15,VLOOKUP($E597,Setup!$A$76:$C$87,3,FALSE)),Setup!$B$15),2))</f>
        <v/>
      </c>
      <c r="P597" s="92" t="n"/>
      <c r="Q597" s="92" t="n"/>
      <c r="R597" s="92" t="n"/>
      <c r="S597" s="92" t="n"/>
      <c r="T597" s="92" t="n"/>
      <c r="U597" s="90">
        <f>IF($K597="","",SUM($R597:$T597))</f>
        <v/>
      </c>
      <c r="V597" s="90">
        <f>IF($K597="","",$M597-(N($N597)+N($O597)+IF($P597="",Setup!$B$17,$P597)+N($Q597))-N($U597))</f>
        <v/>
      </c>
      <c r="W597" s="87" t="n"/>
      <c r="X597" s="88" t="n"/>
      <c r="Z597" s="93">
        <f>IF($A597="","",DATE(YEAR($A597),MONTH($A597),1))</f>
        <v/>
      </c>
    </row>
    <row r="598">
      <c r="A598" s="94" t="n"/>
      <c r="B598" s="95" t="n"/>
      <c r="C598" s="95" t="n"/>
      <c r="D598" s="96" t="n"/>
      <c r="E598" s="96" t="n"/>
      <c r="F598" s="96" t="n"/>
      <c r="G598" s="96" t="n"/>
      <c r="H598" s="97" t="n"/>
      <c r="I598" s="90">
        <f>IF($G598="","",IF($F598="",IFERROR(INDEX(Setup!$C$21:$C$60,MATCH("|"&amp;UPPER(TRIM($G598)),Setup!$Q$21:$Q$60,0)),"NO RATE"),IFERROR(INDEX(Setup!$C$21:$C$60,MATCH(UPPER(TRIM($F598))&amp;"|"&amp;UPPER(TRIM($G598)),Setup!$P$21:$P$60,0)),IFERROR(INDEX(Setup!$C$21:$C$60,MATCH(UPPER(TRIM($G598))&amp;"|"&amp;UPPER(TRIM($F598)),Setup!$P$21:$P$60,0)),"NO RATE"))))</f>
        <v/>
      </c>
      <c r="J598" s="98" t="n"/>
      <c r="K598" s="90">
        <f>IF(OR($G598="",$H598="",NOT(ISNUMBER($I598))),"",ROUND($H598*$I598*(1+IF($J598="",Setup!$B$16,$J598)),2))</f>
        <v/>
      </c>
      <c r="L598" s="90">
        <f>IF($K598="","",ROUND($K598*Setup!$B$13,2))</f>
        <v/>
      </c>
      <c r="M598" s="90">
        <f>IF($K598="","",$K598-$L598)</f>
        <v/>
      </c>
      <c r="N598" s="90">
        <f>IF(OR($M598="",$D598=""),"",ROUND($M598*IFERROR(IF(VLOOKUP($D598,Setup!$A$76:$C$87,3,FALSE)="",Setup!$B$14,VLOOKUP($D598,Setup!$A$76:$C$87,3,FALSE)),Setup!$B$14),2))</f>
        <v/>
      </c>
      <c r="O598" s="90">
        <f>IF(OR($M598="",$E598=""),"",ROUND($M598*IFERROR(IF(VLOOKUP($E598,Setup!$A$76:$C$87,3,FALSE)="",Setup!$B$15,VLOOKUP($E598,Setup!$A$76:$C$87,3,FALSE)),Setup!$B$15),2))</f>
        <v/>
      </c>
      <c r="P598" s="99" t="n"/>
      <c r="Q598" s="99" t="n"/>
      <c r="R598" s="99" t="n"/>
      <c r="S598" s="99" t="n"/>
      <c r="T598" s="99" t="n"/>
      <c r="U598" s="90">
        <f>IF($K598="","",SUM($R598:$T598))</f>
        <v/>
      </c>
      <c r="V598" s="90">
        <f>IF($K598="","",$M598-(N($N598)+N($O598)+IF($P598="",Setup!$B$17,$P598)+N($Q598))-N($U598))</f>
        <v/>
      </c>
      <c r="W598" s="95" t="n"/>
      <c r="X598" s="96" t="n"/>
      <c r="Z598" s="93">
        <f>IF($A598="","",DATE(YEAR($A598),MONTH($A598),1))</f>
        <v/>
      </c>
    </row>
    <row r="599">
      <c r="A599" s="86" t="n"/>
      <c r="B599" s="87" t="n"/>
      <c r="C599" s="87" t="n"/>
      <c r="D599" s="88" t="n"/>
      <c r="E599" s="88" t="n"/>
      <c r="F599" s="88" t="n"/>
      <c r="G599" s="88" t="n"/>
      <c r="H599" s="89" t="n"/>
      <c r="I599" s="90">
        <f>IF($G599="","",IF($F599="",IFERROR(INDEX(Setup!$C$21:$C$60,MATCH("|"&amp;UPPER(TRIM($G599)),Setup!$Q$21:$Q$60,0)),"NO RATE"),IFERROR(INDEX(Setup!$C$21:$C$60,MATCH(UPPER(TRIM($F599))&amp;"|"&amp;UPPER(TRIM($G599)),Setup!$P$21:$P$60,0)),IFERROR(INDEX(Setup!$C$21:$C$60,MATCH(UPPER(TRIM($G599))&amp;"|"&amp;UPPER(TRIM($F599)),Setup!$P$21:$P$60,0)),"NO RATE"))))</f>
        <v/>
      </c>
      <c r="J599" s="91" t="n"/>
      <c r="K599" s="90">
        <f>IF(OR($G599="",$H599="",NOT(ISNUMBER($I599))),"",ROUND($H599*$I599*(1+IF($J599="",Setup!$B$16,$J599)),2))</f>
        <v/>
      </c>
      <c r="L599" s="90">
        <f>IF($K599="","",ROUND($K599*Setup!$B$13,2))</f>
        <v/>
      </c>
      <c r="M599" s="90">
        <f>IF($K599="","",$K599-$L599)</f>
        <v/>
      </c>
      <c r="N599" s="90">
        <f>IF(OR($M599="",$D599=""),"",ROUND($M599*IFERROR(IF(VLOOKUP($D599,Setup!$A$76:$C$87,3,FALSE)="",Setup!$B$14,VLOOKUP($D599,Setup!$A$76:$C$87,3,FALSE)),Setup!$B$14),2))</f>
        <v/>
      </c>
      <c r="O599" s="90">
        <f>IF(OR($M599="",$E599=""),"",ROUND($M599*IFERROR(IF(VLOOKUP($E599,Setup!$A$76:$C$87,3,FALSE)="",Setup!$B$15,VLOOKUP($E599,Setup!$A$76:$C$87,3,FALSE)),Setup!$B$15),2))</f>
        <v/>
      </c>
      <c r="P599" s="92" t="n"/>
      <c r="Q599" s="92" t="n"/>
      <c r="R599" s="92" t="n"/>
      <c r="S599" s="92" t="n"/>
      <c r="T599" s="92" t="n"/>
      <c r="U599" s="90">
        <f>IF($K599="","",SUM($R599:$T599))</f>
        <v/>
      </c>
      <c r="V599" s="90">
        <f>IF($K599="","",$M599-(N($N599)+N($O599)+IF($P599="",Setup!$B$17,$P599)+N($Q599))-N($U599))</f>
        <v/>
      </c>
      <c r="W599" s="87" t="n"/>
      <c r="X599" s="88" t="n"/>
      <c r="Z599" s="93">
        <f>IF($A599="","",DATE(YEAR($A599),MONTH($A599),1))</f>
        <v/>
      </c>
    </row>
    <row r="600">
      <c r="A600" s="94" t="n"/>
      <c r="B600" s="95" t="n"/>
      <c r="C600" s="95" t="n"/>
      <c r="D600" s="96" t="n"/>
      <c r="E600" s="96" t="n"/>
      <c r="F600" s="96" t="n"/>
      <c r="G600" s="96" t="n"/>
      <c r="H600" s="97" t="n"/>
      <c r="I600" s="90">
        <f>IF($G600="","",IF($F600="",IFERROR(INDEX(Setup!$C$21:$C$60,MATCH("|"&amp;UPPER(TRIM($G600)),Setup!$Q$21:$Q$60,0)),"NO RATE"),IFERROR(INDEX(Setup!$C$21:$C$60,MATCH(UPPER(TRIM($F600))&amp;"|"&amp;UPPER(TRIM($G600)),Setup!$P$21:$P$60,0)),IFERROR(INDEX(Setup!$C$21:$C$60,MATCH(UPPER(TRIM($G600))&amp;"|"&amp;UPPER(TRIM($F600)),Setup!$P$21:$P$60,0)),"NO RATE"))))</f>
        <v/>
      </c>
      <c r="J600" s="98" t="n"/>
      <c r="K600" s="90">
        <f>IF(OR($G600="",$H600="",NOT(ISNUMBER($I600))),"",ROUND($H600*$I600*(1+IF($J600="",Setup!$B$16,$J600)),2))</f>
        <v/>
      </c>
      <c r="L600" s="90">
        <f>IF($K600="","",ROUND($K600*Setup!$B$13,2))</f>
        <v/>
      </c>
      <c r="M600" s="90">
        <f>IF($K600="","",$K600-$L600)</f>
        <v/>
      </c>
      <c r="N600" s="90">
        <f>IF(OR($M600="",$D600=""),"",ROUND($M600*IFERROR(IF(VLOOKUP($D600,Setup!$A$76:$C$87,3,FALSE)="",Setup!$B$14,VLOOKUP($D600,Setup!$A$76:$C$87,3,FALSE)),Setup!$B$14),2))</f>
        <v/>
      </c>
      <c r="O600" s="90">
        <f>IF(OR($M600="",$E600=""),"",ROUND($M600*IFERROR(IF(VLOOKUP($E600,Setup!$A$76:$C$87,3,FALSE)="",Setup!$B$15,VLOOKUP($E600,Setup!$A$76:$C$87,3,FALSE)),Setup!$B$15),2))</f>
        <v/>
      </c>
      <c r="P600" s="99" t="n"/>
      <c r="Q600" s="99" t="n"/>
      <c r="R600" s="99" t="n"/>
      <c r="S600" s="99" t="n"/>
      <c r="T600" s="99" t="n"/>
      <c r="U600" s="90">
        <f>IF($K600="","",SUM($R600:$T600))</f>
        <v/>
      </c>
      <c r="V600" s="90">
        <f>IF($K600="","",$M600-(N($N600)+N($O600)+IF($P600="",Setup!$B$17,$P600)+N($Q600))-N($U600))</f>
        <v/>
      </c>
      <c r="W600" s="95" t="n"/>
      <c r="X600" s="96" t="n"/>
      <c r="Z600" s="93">
        <f>IF($A600="","",DATE(YEAR($A600),MONTH($A600),1))</f>
        <v/>
      </c>
    </row>
    <row r="601">
      <c r="A601" s="86" t="n"/>
      <c r="B601" s="87" t="n"/>
      <c r="C601" s="87" t="n"/>
      <c r="D601" s="88" t="n"/>
      <c r="E601" s="88" t="n"/>
      <c r="F601" s="88" t="n"/>
      <c r="G601" s="88" t="n"/>
      <c r="H601" s="89" t="n"/>
      <c r="I601" s="90">
        <f>IF($G601="","",IF($F601="",IFERROR(INDEX(Setup!$C$21:$C$60,MATCH("|"&amp;UPPER(TRIM($G601)),Setup!$Q$21:$Q$60,0)),"NO RATE"),IFERROR(INDEX(Setup!$C$21:$C$60,MATCH(UPPER(TRIM($F601))&amp;"|"&amp;UPPER(TRIM($G601)),Setup!$P$21:$P$60,0)),IFERROR(INDEX(Setup!$C$21:$C$60,MATCH(UPPER(TRIM($G601))&amp;"|"&amp;UPPER(TRIM($F601)),Setup!$P$21:$P$60,0)),"NO RATE"))))</f>
        <v/>
      </c>
      <c r="J601" s="91" t="n"/>
      <c r="K601" s="90">
        <f>IF(OR($G601="",$H601="",NOT(ISNUMBER($I601))),"",ROUND($H601*$I601*(1+IF($J601="",Setup!$B$16,$J601)),2))</f>
        <v/>
      </c>
      <c r="L601" s="90">
        <f>IF($K601="","",ROUND($K601*Setup!$B$13,2))</f>
        <v/>
      </c>
      <c r="M601" s="90">
        <f>IF($K601="","",$K601-$L601)</f>
        <v/>
      </c>
      <c r="N601" s="90">
        <f>IF(OR($M601="",$D601=""),"",ROUND($M601*IFERROR(IF(VLOOKUP($D601,Setup!$A$76:$C$87,3,FALSE)="",Setup!$B$14,VLOOKUP($D601,Setup!$A$76:$C$87,3,FALSE)),Setup!$B$14),2))</f>
        <v/>
      </c>
      <c r="O601" s="90">
        <f>IF(OR($M601="",$E601=""),"",ROUND($M601*IFERROR(IF(VLOOKUP($E601,Setup!$A$76:$C$87,3,FALSE)="",Setup!$B$15,VLOOKUP($E601,Setup!$A$76:$C$87,3,FALSE)),Setup!$B$15),2))</f>
        <v/>
      </c>
      <c r="P601" s="92" t="n"/>
      <c r="Q601" s="92" t="n"/>
      <c r="R601" s="92" t="n"/>
      <c r="S601" s="92" t="n"/>
      <c r="T601" s="92" t="n"/>
      <c r="U601" s="90">
        <f>IF($K601="","",SUM($R601:$T601))</f>
        <v/>
      </c>
      <c r="V601" s="90">
        <f>IF($K601="","",$M601-(N($N601)+N($O601)+IF($P601="",Setup!$B$17,$P601)+N($Q601))-N($U601))</f>
        <v/>
      </c>
      <c r="W601" s="87" t="n"/>
      <c r="X601" s="88" t="n"/>
      <c r="Z601" s="93">
        <f>IF($A601="","",DATE(YEAR($A601),MONTH($A601),1))</f>
        <v/>
      </c>
    </row>
    <row r="602">
      <c r="A602" s="94" t="n"/>
      <c r="B602" s="95" t="n"/>
      <c r="C602" s="95" t="n"/>
      <c r="D602" s="96" t="n"/>
      <c r="E602" s="96" t="n"/>
      <c r="F602" s="96" t="n"/>
      <c r="G602" s="96" t="n"/>
      <c r="H602" s="97" t="n"/>
      <c r="I602" s="90">
        <f>IF($G602="","",IF($F602="",IFERROR(INDEX(Setup!$C$21:$C$60,MATCH("|"&amp;UPPER(TRIM($G602)),Setup!$Q$21:$Q$60,0)),"NO RATE"),IFERROR(INDEX(Setup!$C$21:$C$60,MATCH(UPPER(TRIM($F602))&amp;"|"&amp;UPPER(TRIM($G602)),Setup!$P$21:$P$60,0)),IFERROR(INDEX(Setup!$C$21:$C$60,MATCH(UPPER(TRIM($G602))&amp;"|"&amp;UPPER(TRIM($F602)),Setup!$P$21:$P$60,0)),"NO RATE"))))</f>
        <v/>
      </c>
      <c r="J602" s="98" t="n"/>
      <c r="K602" s="90">
        <f>IF(OR($G602="",$H602="",NOT(ISNUMBER($I602))),"",ROUND($H602*$I602*(1+IF($J602="",Setup!$B$16,$J602)),2))</f>
        <v/>
      </c>
      <c r="L602" s="90">
        <f>IF($K602="","",ROUND($K602*Setup!$B$13,2))</f>
        <v/>
      </c>
      <c r="M602" s="90">
        <f>IF($K602="","",$K602-$L602)</f>
        <v/>
      </c>
      <c r="N602" s="90">
        <f>IF(OR($M602="",$D602=""),"",ROUND($M602*IFERROR(IF(VLOOKUP($D602,Setup!$A$76:$C$87,3,FALSE)="",Setup!$B$14,VLOOKUP($D602,Setup!$A$76:$C$87,3,FALSE)),Setup!$B$14),2))</f>
        <v/>
      </c>
      <c r="O602" s="90">
        <f>IF(OR($M602="",$E602=""),"",ROUND($M602*IFERROR(IF(VLOOKUP($E602,Setup!$A$76:$C$87,3,FALSE)="",Setup!$B$15,VLOOKUP($E602,Setup!$A$76:$C$87,3,FALSE)),Setup!$B$15),2))</f>
        <v/>
      </c>
      <c r="P602" s="99" t="n"/>
      <c r="Q602" s="99" t="n"/>
      <c r="R602" s="99" t="n"/>
      <c r="S602" s="99" t="n"/>
      <c r="T602" s="99" t="n"/>
      <c r="U602" s="90">
        <f>IF($K602="","",SUM($R602:$T602))</f>
        <v/>
      </c>
      <c r="V602" s="90">
        <f>IF($K602="","",$M602-(N($N602)+N($O602)+IF($P602="",Setup!$B$17,$P602)+N($Q602))-N($U602))</f>
        <v/>
      </c>
      <c r="W602" s="95" t="n"/>
      <c r="X602" s="96" t="n"/>
      <c r="Z602" s="93">
        <f>IF($A602="","",DATE(YEAR($A602),MONTH($A602),1))</f>
        <v/>
      </c>
    </row>
    <row r="603">
      <c r="A603" s="86" t="n"/>
      <c r="B603" s="87" t="n"/>
      <c r="C603" s="87" t="n"/>
      <c r="D603" s="88" t="n"/>
      <c r="E603" s="88" t="n"/>
      <c r="F603" s="88" t="n"/>
      <c r="G603" s="88" t="n"/>
      <c r="H603" s="89" t="n"/>
      <c r="I603" s="90">
        <f>IF($G603="","",IF($F603="",IFERROR(INDEX(Setup!$C$21:$C$60,MATCH("|"&amp;UPPER(TRIM($G603)),Setup!$Q$21:$Q$60,0)),"NO RATE"),IFERROR(INDEX(Setup!$C$21:$C$60,MATCH(UPPER(TRIM($F603))&amp;"|"&amp;UPPER(TRIM($G603)),Setup!$P$21:$P$60,0)),IFERROR(INDEX(Setup!$C$21:$C$60,MATCH(UPPER(TRIM($G603))&amp;"|"&amp;UPPER(TRIM($F603)),Setup!$P$21:$P$60,0)),"NO RATE"))))</f>
        <v/>
      </c>
      <c r="J603" s="91" t="n"/>
      <c r="K603" s="90">
        <f>IF(OR($G603="",$H603="",NOT(ISNUMBER($I603))),"",ROUND($H603*$I603*(1+IF($J603="",Setup!$B$16,$J603)),2))</f>
        <v/>
      </c>
      <c r="L603" s="90">
        <f>IF($K603="","",ROUND($K603*Setup!$B$13,2))</f>
        <v/>
      </c>
      <c r="M603" s="90">
        <f>IF($K603="","",$K603-$L603)</f>
        <v/>
      </c>
      <c r="N603" s="90">
        <f>IF(OR($M603="",$D603=""),"",ROUND($M603*IFERROR(IF(VLOOKUP($D603,Setup!$A$76:$C$87,3,FALSE)="",Setup!$B$14,VLOOKUP($D603,Setup!$A$76:$C$87,3,FALSE)),Setup!$B$14),2))</f>
        <v/>
      </c>
      <c r="O603" s="90">
        <f>IF(OR($M603="",$E603=""),"",ROUND($M603*IFERROR(IF(VLOOKUP($E603,Setup!$A$76:$C$87,3,FALSE)="",Setup!$B$15,VLOOKUP($E603,Setup!$A$76:$C$87,3,FALSE)),Setup!$B$15),2))</f>
        <v/>
      </c>
      <c r="P603" s="92" t="n"/>
      <c r="Q603" s="92" t="n"/>
      <c r="R603" s="92" t="n"/>
      <c r="S603" s="92" t="n"/>
      <c r="T603" s="92" t="n"/>
      <c r="U603" s="90">
        <f>IF($K603="","",SUM($R603:$T603))</f>
        <v/>
      </c>
      <c r="V603" s="90">
        <f>IF($K603="","",$M603-(N($N603)+N($O603)+IF($P603="",Setup!$B$17,$P603)+N($Q603))-N($U603))</f>
        <v/>
      </c>
      <c r="W603" s="87" t="n"/>
      <c r="X603" s="88" t="n"/>
      <c r="Z603" s="93">
        <f>IF($A603="","",DATE(YEAR($A603),MONTH($A603),1))</f>
        <v/>
      </c>
    </row>
    <row r="604">
      <c r="A604" s="94" t="n"/>
      <c r="B604" s="95" t="n"/>
      <c r="C604" s="95" t="n"/>
      <c r="D604" s="96" t="n"/>
      <c r="E604" s="96" t="n"/>
      <c r="F604" s="96" t="n"/>
      <c r="G604" s="96" t="n"/>
      <c r="H604" s="97" t="n"/>
      <c r="I604" s="90">
        <f>IF($G604="","",IF($F604="",IFERROR(INDEX(Setup!$C$21:$C$60,MATCH("|"&amp;UPPER(TRIM($G604)),Setup!$Q$21:$Q$60,0)),"NO RATE"),IFERROR(INDEX(Setup!$C$21:$C$60,MATCH(UPPER(TRIM($F604))&amp;"|"&amp;UPPER(TRIM($G604)),Setup!$P$21:$P$60,0)),IFERROR(INDEX(Setup!$C$21:$C$60,MATCH(UPPER(TRIM($G604))&amp;"|"&amp;UPPER(TRIM($F604)),Setup!$P$21:$P$60,0)),"NO RATE"))))</f>
        <v/>
      </c>
      <c r="J604" s="98" t="n"/>
      <c r="K604" s="90">
        <f>IF(OR($G604="",$H604="",NOT(ISNUMBER($I604))),"",ROUND($H604*$I604*(1+IF($J604="",Setup!$B$16,$J604)),2))</f>
        <v/>
      </c>
      <c r="L604" s="90">
        <f>IF($K604="","",ROUND($K604*Setup!$B$13,2))</f>
        <v/>
      </c>
      <c r="M604" s="90">
        <f>IF($K604="","",$K604-$L604)</f>
        <v/>
      </c>
      <c r="N604" s="90">
        <f>IF(OR($M604="",$D604=""),"",ROUND($M604*IFERROR(IF(VLOOKUP($D604,Setup!$A$76:$C$87,3,FALSE)="",Setup!$B$14,VLOOKUP($D604,Setup!$A$76:$C$87,3,FALSE)),Setup!$B$14),2))</f>
        <v/>
      </c>
      <c r="O604" s="90">
        <f>IF(OR($M604="",$E604=""),"",ROUND($M604*IFERROR(IF(VLOOKUP($E604,Setup!$A$76:$C$87,3,FALSE)="",Setup!$B$15,VLOOKUP($E604,Setup!$A$76:$C$87,3,FALSE)),Setup!$B$15),2))</f>
        <v/>
      </c>
      <c r="P604" s="99" t="n"/>
      <c r="Q604" s="99" t="n"/>
      <c r="R604" s="99" t="n"/>
      <c r="S604" s="99" t="n"/>
      <c r="T604" s="99" t="n"/>
      <c r="U604" s="90">
        <f>IF($K604="","",SUM($R604:$T604))</f>
        <v/>
      </c>
      <c r="V604" s="90">
        <f>IF($K604="","",$M604-(N($N604)+N($O604)+IF($P604="",Setup!$B$17,$P604)+N($Q604))-N($U604))</f>
        <v/>
      </c>
      <c r="W604" s="95" t="n"/>
      <c r="X604" s="96" t="n"/>
      <c r="Z604" s="93">
        <f>IF($A604="","",DATE(YEAR($A604),MONTH($A604),1))</f>
        <v/>
      </c>
    </row>
    <row r="605">
      <c r="A605" s="86" t="n"/>
      <c r="B605" s="87" t="n"/>
      <c r="C605" s="87" t="n"/>
      <c r="D605" s="88" t="n"/>
      <c r="E605" s="88" t="n"/>
      <c r="F605" s="88" t="n"/>
      <c r="G605" s="88" t="n"/>
      <c r="H605" s="89" t="n"/>
      <c r="I605" s="90">
        <f>IF($G605="","",IF($F605="",IFERROR(INDEX(Setup!$C$21:$C$60,MATCH("|"&amp;UPPER(TRIM($G605)),Setup!$Q$21:$Q$60,0)),"NO RATE"),IFERROR(INDEX(Setup!$C$21:$C$60,MATCH(UPPER(TRIM($F605))&amp;"|"&amp;UPPER(TRIM($G605)),Setup!$P$21:$P$60,0)),IFERROR(INDEX(Setup!$C$21:$C$60,MATCH(UPPER(TRIM($G605))&amp;"|"&amp;UPPER(TRIM($F605)),Setup!$P$21:$P$60,0)),"NO RATE"))))</f>
        <v/>
      </c>
      <c r="J605" s="91" t="n"/>
      <c r="K605" s="90">
        <f>IF(OR($G605="",$H605="",NOT(ISNUMBER($I605))),"",ROUND($H605*$I605*(1+IF($J605="",Setup!$B$16,$J605)),2))</f>
        <v/>
      </c>
      <c r="L605" s="90">
        <f>IF($K605="","",ROUND($K605*Setup!$B$13,2))</f>
        <v/>
      </c>
      <c r="M605" s="90">
        <f>IF($K605="","",$K605-$L605)</f>
        <v/>
      </c>
      <c r="N605" s="90">
        <f>IF(OR($M605="",$D605=""),"",ROUND($M605*IFERROR(IF(VLOOKUP($D605,Setup!$A$76:$C$87,3,FALSE)="",Setup!$B$14,VLOOKUP($D605,Setup!$A$76:$C$87,3,FALSE)),Setup!$B$14),2))</f>
        <v/>
      </c>
      <c r="O605" s="90">
        <f>IF(OR($M605="",$E605=""),"",ROUND($M605*IFERROR(IF(VLOOKUP($E605,Setup!$A$76:$C$87,3,FALSE)="",Setup!$B$15,VLOOKUP($E605,Setup!$A$76:$C$87,3,FALSE)),Setup!$B$15),2))</f>
        <v/>
      </c>
      <c r="P605" s="92" t="n"/>
      <c r="Q605" s="92" t="n"/>
      <c r="R605" s="92" t="n"/>
      <c r="S605" s="92" t="n"/>
      <c r="T605" s="92" t="n"/>
      <c r="U605" s="90">
        <f>IF($K605="","",SUM($R605:$T605))</f>
        <v/>
      </c>
      <c r="V605" s="90">
        <f>IF($K605="","",$M605-(N($N605)+N($O605)+IF($P605="",Setup!$B$17,$P605)+N($Q605))-N($U605))</f>
        <v/>
      </c>
      <c r="W605" s="87" t="n"/>
      <c r="X605" s="88" t="n"/>
      <c r="Z605" s="93">
        <f>IF($A605="","",DATE(YEAR($A605),MONTH($A605),1))</f>
        <v/>
      </c>
    </row>
    <row r="606">
      <c r="A606" s="94" t="n"/>
      <c r="B606" s="95" t="n"/>
      <c r="C606" s="95" t="n"/>
      <c r="D606" s="96" t="n"/>
      <c r="E606" s="96" t="n"/>
      <c r="F606" s="96" t="n"/>
      <c r="G606" s="96" t="n"/>
      <c r="H606" s="97" t="n"/>
      <c r="I606" s="90">
        <f>IF($G606="","",IF($F606="",IFERROR(INDEX(Setup!$C$21:$C$60,MATCH("|"&amp;UPPER(TRIM($G606)),Setup!$Q$21:$Q$60,0)),"NO RATE"),IFERROR(INDEX(Setup!$C$21:$C$60,MATCH(UPPER(TRIM($F606))&amp;"|"&amp;UPPER(TRIM($G606)),Setup!$P$21:$P$60,0)),IFERROR(INDEX(Setup!$C$21:$C$60,MATCH(UPPER(TRIM($G606))&amp;"|"&amp;UPPER(TRIM($F606)),Setup!$P$21:$P$60,0)),"NO RATE"))))</f>
        <v/>
      </c>
      <c r="J606" s="98" t="n"/>
      <c r="K606" s="90">
        <f>IF(OR($G606="",$H606="",NOT(ISNUMBER($I606))),"",ROUND($H606*$I606*(1+IF($J606="",Setup!$B$16,$J606)),2))</f>
        <v/>
      </c>
      <c r="L606" s="90">
        <f>IF($K606="","",ROUND($K606*Setup!$B$13,2))</f>
        <v/>
      </c>
      <c r="M606" s="90">
        <f>IF($K606="","",$K606-$L606)</f>
        <v/>
      </c>
      <c r="N606" s="90">
        <f>IF(OR($M606="",$D606=""),"",ROUND($M606*IFERROR(IF(VLOOKUP($D606,Setup!$A$76:$C$87,3,FALSE)="",Setup!$B$14,VLOOKUP($D606,Setup!$A$76:$C$87,3,FALSE)),Setup!$B$14),2))</f>
        <v/>
      </c>
      <c r="O606" s="90">
        <f>IF(OR($M606="",$E606=""),"",ROUND($M606*IFERROR(IF(VLOOKUP($E606,Setup!$A$76:$C$87,3,FALSE)="",Setup!$B$15,VLOOKUP($E606,Setup!$A$76:$C$87,3,FALSE)),Setup!$B$15),2))</f>
        <v/>
      </c>
      <c r="P606" s="99" t="n"/>
      <c r="Q606" s="99" t="n"/>
      <c r="R606" s="99" t="n"/>
      <c r="S606" s="99" t="n"/>
      <c r="T606" s="99" t="n"/>
      <c r="U606" s="90">
        <f>IF($K606="","",SUM($R606:$T606))</f>
        <v/>
      </c>
      <c r="V606" s="90">
        <f>IF($K606="","",$M606-(N($N606)+N($O606)+IF($P606="",Setup!$B$17,$P606)+N($Q606))-N($U606))</f>
        <v/>
      </c>
      <c r="W606" s="95" t="n"/>
      <c r="X606" s="96" t="n"/>
      <c r="Z606" s="93">
        <f>IF($A606="","",DATE(YEAR($A606),MONTH($A606),1))</f>
        <v/>
      </c>
    </row>
    <row r="607">
      <c r="A607" s="86" t="n"/>
      <c r="B607" s="87" t="n"/>
      <c r="C607" s="87" t="n"/>
      <c r="D607" s="88" t="n"/>
      <c r="E607" s="88" t="n"/>
      <c r="F607" s="88" t="n"/>
      <c r="G607" s="88" t="n"/>
      <c r="H607" s="89" t="n"/>
      <c r="I607" s="90">
        <f>IF($G607="","",IF($F607="",IFERROR(INDEX(Setup!$C$21:$C$60,MATCH("|"&amp;UPPER(TRIM($G607)),Setup!$Q$21:$Q$60,0)),"NO RATE"),IFERROR(INDEX(Setup!$C$21:$C$60,MATCH(UPPER(TRIM($F607))&amp;"|"&amp;UPPER(TRIM($G607)),Setup!$P$21:$P$60,0)),IFERROR(INDEX(Setup!$C$21:$C$60,MATCH(UPPER(TRIM($G607))&amp;"|"&amp;UPPER(TRIM($F607)),Setup!$P$21:$P$60,0)),"NO RATE"))))</f>
        <v/>
      </c>
      <c r="J607" s="91" t="n"/>
      <c r="K607" s="90">
        <f>IF(OR($G607="",$H607="",NOT(ISNUMBER($I607))),"",ROUND($H607*$I607*(1+IF($J607="",Setup!$B$16,$J607)),2))</f>
        <v/>
      </c>
      <c r="L607" s="90">
        <f>IF($K607="","",ROUND($K607*Setup!$B$13,2))</f>
        <v/>
      </c>
      <c r="M607" s="90">
        <f>IF($K607="","",$K607-$L607)</f>
        <v/>
      </c>
      <c r="N607" s="90">
        <f>IF(OR($M607="",$D607=""),"",ROUND($M607*IFERROR(IF(VLOOKUP($D607,Setup!$A$76:$C$87,3,FALSE)="",Setup!$B$14,VLOOKUP($D607,Setup!$A$76:$C$87,3,FALSE)),Setup!$B$14),2))</f>
        <v/>
      </c>
      <c r="O607" s="90">
        <f>IF(OR($M607="",$E607=""),"",ROUND($M607*IFERROR(IF(VLOOKUP($E607,Setup!$A$76:$C$87,3,FALSE)="",Setup!$B$15,VLOOKUP($E607,Setup!$A$76:$C$87,3,FALSE)),Setup!$B$15),2))</f>
        <v/>
      </c>
      <c r="P607" s="92" t="n"/>
      <c r="Q607" s="92" t="n"/>
      <c r="R607" s="92" t="n"/>
      <c r="S607" s="92" t="n"/>
      <c r="T607" s="92" t="n"/>
      <c r="U607" s="90">
        <f>IF($K607="","",SUM($R607:$T607))</f>
        <v/>
      </c>
      <c r="V607" s="90">
        <f>IF($K607="","",$M607-(N($N607)+N($O607)+IF($P607="",Setup!$B$17,$P607)+N($Q607))-N($U607))</f>
        <v/>
      </c>
      <c r="W607" s="87" t="n"/>
      <c r="X607" s="88" t="n"/>
      <c r="Z607" s="93">
        <f>IF($A607="","",DATE(YEAR($A607),MONTH($A607),1))</f>
        <v/>
      </c>
    </row>
    <row r="608">
      <c r="A608" s="94" t="n"/>
      <c r="B608" s="95" t="n"/>
      <c r="C608" s="95" t="n"/>
      <c r="D608" s="96" t="n"/>
      <c r="E608" s="96" t="n"/>
      <c r="F608" s="96" t="n"/>
      <c r="G608" s="96" t="n"/>
      <c r="H608" s="97" t="n"/>
      <c r="I608" s="90">
        <f>IF($G608="","",IF($F608="",IFERROR(INDEX(Setup!$C$21:$C$60,MATCH("|"&amp;UPPER(TRIM($G608)),Setup!$Q$21:$Q$60,0)),"NO RATE"),IFERROR(INDEX(Setup!$C$21:$C$60,MATCH(UPPER(TRIM($F608))&amp;"|"&amp;UPPER(TRIM($G608)),Setup!$P$21:$P$60,0)),IFERROR(INDEX(Setup!$C$21:$C$60,MATCH(UPPER(TRIM($G608))&amp;"|"&amp;UPPER(TRIM($F608)),Setup!$P$21:$P$60,0)),"NO RATE"))))</f>
        <v/>
      </c>
      <c r="J608" s="98" t="n"/>
      <c r="K608" s="90">
        <f>IF(OR($G608="",$H608="",NOT(ISNUMBER($I608))),"",ROUND($H608*$I608*(1+IF($J608="",Setup!$B$16,$J608)),2))</f>
        <v/>
      </c>
      <c r="L608" s="90">
        <f>IF($K608="","",ROUND($K608*Setup!$B$13,2))</f>
        <v/>
      </c>
      <c r="M608" s="90">
        <f>IF($K608="","",$K608-$L608)</f>
        <v/>
      </c>
      <c r="N608" s="90">
        <f>IF(OR($M608="",$D608=""),"",ROUND($M608*IFERROR(IF(VLOOKUP($D608,Setup!$A$76:$C$87,3,FALSE)="",Setup!$B$14,VLOOKUP($D608,Setup!$A$76:$C$87,3,FALSE)),Setup!$B$14),2))</f>
        <v/>
      </c>
      <c r="O608" s="90">
        <f>IF(OR($M608="",$E608=""),"",ROUND($M608*IFERROR(IF(VLOOKUP($E608,Setup!$A$76:$C$87,3,FALSE)="",Setup!$B$15,VLOOKUP($E608,Setup!$A$76:$C$87,3,FALSE)),Setup!$B$15),2))</f>
        <v/>
      </c>
      <c r="P608" s="99" t="n"/>
      <c r="Q608" s="99" t="n"/>
      <c r="R608" s="99" t="n"/>
      <c r="S608" s="99" t="n"/>
      <c r="T608" s="99" t="n"/>
      <c r="U608" s="90">
        <f>IF($K608="","",SUM($R608:$T608))</f>
        <v/>
      </c>
      <c r="V608" s="90">
        <f>IF($K608="","",$M608-(N($N608)+N($O608)+IF($P608="",Setup!$B$17,$P608)+N($Q608))-N($U608))</f>
        <v/>
      </c>
      <c r="W608" s="95" t="n"/>
      <c r="X608" s="96" t="n"/>
      <c r="Z608" s="93">
        <f>IF($A608="","",DATE(YEAR($A608),MONTH($A608),1))</f>
        <v/>
      </c>
    </row>
    <row r="609">
      <c r="A609" s="86" t="n"/>
      <c r="B609" s="87" t="n"/>
      <c r="C609" s="87" t="n"/>
      <c r="D609" s="88" t="n"/>
      <c r="E609" s="88" t="n"/>
      <c r="F609" s="88" t="n"/>
      <c r="G609" s="88" t="n"/>
      <c r="H609" s="89" t="n"/>
      <c r="I609" s="90">
        <f>IF($G609="","",IF($F609="",IFERROR(INDEX(Setup!$C$21:$C$60,MATCH("|"&amp;UPPER(TRIM($G609)),Setup!$Q$21:$Q$60,0)),"NO RATE"),IFERROR(INDEX(Setup!$C$21:$C$60,MATCH(UPPER(TRIM($F609))&amp;"|"&amp;UPPER(TRIM($G609)),Setup!$P$21:$P$60,0)),IFERROR(INDEX(Setup!$C$21:$C$60,MATCH(UPPER(TRIM($G609))&amp;"|"&amp;UPPER(TRIM($F609)),Setup!$P$21:$P$60,0)),"NO RATE"))))</f>
        <v/>
      </c>
      <c r="J609" s="91" t="n"/>
      <c r="K609" s="90">
        <f>IF(OR($G609="",$H609="",NOT(ISNUMBER($I609))),"",ROUND($H609*$I609*(1+IF($J609="",Setup!$B$16,$J609)),2))</f>
        <v/>
      </c>
      <c r="L609" s="90">
        <f>IF($K609="","",ROUND($K609*Setup!$B$13,2))</f>
        <v/>
      </c>
      <c r="M609" s="90">
        <f>IF($K609="","",$K609-$L609)</f>
        <v/>
      </c>
      <c r="N609" s="90">
        <f>IF(OR($M609="",$D609=""),"",ROUND($M609*IFERROR(IF(VLOOKUP($D609,Setup!$A$76:$C$87,3,FALSE)="",Setup!$B$14,VLOOKUP($D609,Setup!$A$76:$C$87,3,FALSE)),Setup!$B$14),2))</f>
        <v/>
      </c>
      <c r="O609" s="90">
        <f>IF(OR($M609="",$E609=""),"",ROUND($M609*IFERROR(IF(VLOOKUP($E609,Setup!$A$76:$C$87,3,FALSE)="",Setup!$B$15,VLOOKUP($E609,Setup!$A$76:$C$87,3,FALSE)),Setup!$B$15),2))</f>
        <v/>
      </c>
      <c r="P609" s="92" t="n"/>
      <c r="Q609" s="92" t="n"/>
      <c r="R609" s="92" t="n"/>
      <c r="S609" s="92" t="n"/>
      <c r="T609" s="92" t="n"/>
      <c r="U609" s="90">
        <f>IF($K609="","",SUM($R609:$T609))</f>
        <v/>
      </c>
      <c r="V609" s="90">
        <f>IF($K609="","",$M609-(N($N609)+N($O609)+IF($P609="",Setup!$B$17,$P609)+N($Q609))-N($U609))</f>
        <v/>
      </c>
      <c r="W609" s="87" t="n"/>
      <c r="X609" s="88" t="n"/>
      <c r="Z609" s="93">
        <f>IF($A609="","",DATE(YEAR($A609),MONTH($A609),1))</f>
        <v/>
      </c>
    </row>
    <row r="610">
      <c r="A610" s="94" t="n"/>
      <c r="B610" s="95" t="n"/>
      <c r="C610" s="95" t="n"/>
      <c r="D610" s="96" t="n"/>
      <c r="E610" s="96" t="n"/>
      <c r="F610" s="96" t="n"/>
      <c r="G610" s="96" t="n"/>
      <c r="H610" s="97" t="n"/>
      <c r="I610" s="90">
        <f>IF($G610="","",IF($F610="",IFERROR(INDEX(Setup!$C$21:$C$60,MATCH("|"&amp;UPPER(TRIM($G610)),Setup!$Q$21:$Q$60,0)),"NO RATE"),IFERROR(INDEX(Setup!$C$21:$C$60,MATCH(UPPER(TRIM($F610))&amp;"|"&amp;UPPER(TRIM($G610)),Setup!$P$21:$P$60,0)),IFERROR(INDEX(Setup!$C$21:$C$60,MATCH(UPPER(TRIM($G610))&amp;"|"&amp;UPPER(TRIM($F610)),Setup!$P$21:$P$60,0)),"NO RATE"))))</f>
        <v/>
      </c>
      <c r="J610" s="98" t="n"/>
      <c r="K610" s="90">
        <f>IF(OR($G610="",$H610="",NOT(ISNUMBER($I610))),"",ROUND($H610*$I610*(1+IF($J610="",Setup!$B$16,$J610)),2))</f>
        <v/>
      </c>
      <c r="L610" s="90">
        <f>IF($K610="","",ROUND($K610*Setup!$B$13,2))</f>
        <v/>
      </c>
      <c r="M610" s="90">
        <f>IF($K610="","",$K610-$L610)</f>
        <v/>
      </c>
      <c r="N610" s="90">
        <f>IF(OR($M610="",$D610=""),"",ROUND($M610*IFERROR(IF(VLOOKUP($D610,Setup!$A$76:$C$87,3,FALSE)="",Setup!$B$14,VLOOKUP($D610,Setup!$A$76:$C$87,3,FALSE)),Setup!$B$14),2))</f>
        <v/>
      </c>
      <c r="O610" s="90">
        <f>IF(OR($M610="",$E610=""),"",ROUND($M610*IFERROR(IF(VLOOKUP($E610,Setup!$A$76:$C$87,3,FALSE)="",Setup!$B$15,VLOOKUP($E610,Setup!$A$76:$C$87,3,FALSE)),Setup!$B$15),2))</f>
        <v/>
      </c>
      <c r="P610" s="99" t="n"/>
      <c r="Q610" s="99" t="n"/>
      <c r="R610" s="99" t="n"/>
      <c r="S610" s="99" t="n"/>
      <c r="T610" s="99" t="n"/>
      <c r="U610" s="90">
        <f>IF($K610="","",SUM($R610:$T610))</f>
        <v/>
      </c>
      <c r="V610" s="90">
        <f>IF($K610="","",$M610-(N($N610)+N($O610)+IF($P610="",Setup!$B$17,$P610)+N($Q610))-N($U610))</f>
        <v/>
      </c>
      <c r="W610" s="95" t="n"/>
      <c r="X610" s="96" t="n"/>
      <c r="Z610" s="93">
        <f>IF($A610="","",DATE(YEAR($A610),MONTH($A610),1))</f>
        <v/>
      </c>
    </row>
    <row r="611">
      <c r="A611" s="86" t="n"/>
      <c r="B611" s="87" t="n"/>
      <c r="C611" s="87" t="n"/>
      <c r="D611" s="88" t="n"/>
      <c r="E611" s="88" t="n"/>
      <c r="F611" s="88" t="n"/>
      <c r="G611" s="88" t="n"/>
      <c r="H611" s="89" t="n"/>
      <c r="I611" s="90">
        <f>IF($G611="","",IF($F611="",IFERROR(INDEX(Setup!$C$21:$C$60,MATCH("|"&amp;UPPER(TRIM($G611)),Setup!$Q$21:$Q$60,0)),"NO RATE"),IFERROR(INDEX(Setup!$C$21:$C$60,MATCH(UPPER(TRIM($F611))&amp;"|"&amp;UPPER(TRIM($G611)),Setup!$P$21:$P$60,0)),IFERROR(INDEX(Setup!$C$21:$C$60,MATCH(UPPER(TRIM($G611))&amp;"|"&amp;UPPER(TRIM($F611)),Setup!$P$21:$P$60,0)),"NO RATE"))))</f>
        <v/>
      </c>
      <c r="J611" s="91" t="n"/>
      <c r="K611" s="90">
        <f>IF(OR($G611="",$H611="",NOT(ISNUMBER($I611))),"",ROUND($H611*$I611*(1+IF($J611="",Setup!$B$16,$J611)),2))</f>
        <v/>
      </c>
      <c r="L611" s="90">
        <f>IF($K611="","",ROUND($K611*Setup!$B$13,2))</f>
        <v/>
      </c>
      <c r="M611" s="90">
        <f>IF($K611="","",$K611-$L611)</f>
        <v/>
      </c>
      <c r="N611" s="90">
        <f>IF(OR($M611="",$D611=""),"",ROUND($M611*IFERROR(IF(VLOOKUP($D611,Setup!$A$76:$C$87,3,FALSE)="",Setup!$B$14,VLOOKUP($D611,Setup!$A$76:$C$87,3,FALSE)),Setup!$B$14),2))</f>
        <v/>
      </c>
      <c r="O611" s="90">
        <f>IF(OR($M611="",$E611=""),"",ROUND($M611*IFERROR(IF(VLOOKUP($E611,Setup!$A$76:$C$87,3,FALSE)="",Setup!$B$15,VLOOKUP($E611,Setup!$A$76:$C$87,3,FALSE)),Setup!$B$15),2))</f>
        <v/>
      </c>
      <c r="P611" s="92" t="n"/>
      <c r="Q611" s="92" t="n"/>
      <c r="R611" s="92" t="n"/>
      <c r="S611" s="92" t="n"/>
      <c r="T611" s="92" t="n"/>
      <c r="U611" s="90">
        <f>IF($K611="","",SUM($R611:$T611))</f>
        <v/>
      </c>
      <c r="V611" s="90">
        <f>IF($K611="","",$M611-(N($N611)+N($O611)+IF($P611="",Setup!$B$17,$P611)+N($Q611))-N($U611))</f>
        <v/>
      </c>
      <c r="W611" s="87" t="n"/>
      <c r="X611" s="88" t="n"/>
      <c r="Z611" s="93">
        <f>IF($A611="","",DATE(YEAR($A611),MONTH($A611),1))</f>
        <v/>
      </c>
    </row>
    <row r="612">
      <c r="A612" s="94" t="n"/>
      <c r="B612" s="95" t="n"/>
      <c r="C612" s="95" t="n"/>
      <c r="D612" s="96" t="n"/>
      <c r="E612" s="96" t="n"/>
      <c r="F612" s="96" t="n"/>
      <c r="G612" s="96" t="n"/>
      <c r="H612" s="97" t="n"/>
      <c r="I612" s="90">
        <f>IF($G612="","",IF($F612="",IFERROR(INDEX(Setup!$C$21:$C$60,MATCH("|"&amp;UPPER(TRIM($G612)),Setup!$Q$21:$Q$60,0)),"NO RATE"),IFERROR(INDEX(Setup!$C$21:$C$60,MATCH(UPPER(TRIM($F612))&amp;"|"&amp;UPPER(TRIM($G612)),Setup!$P$21:$P$60,0)),IFERROR(INDEX(Setup!$C$21:$C$60,MATCH(UPPER(TRIM($G612))&amp;"|"&amp;UPPER(TRIM($F612)),Setup!$P$21:$P$60,0)),"NO RATE"))))</f>
        <v/>
      </c>
      <c r="J612" s="98" t="n"/>
      <c r="K612" s="90">
        <f>IF(OR($G612="",$H612="",NOT(ISNUMBER($I612))),"",ROUND($H612*$I612*(1+IF($J612="",Setup!$B$16,$J612)),2))</f>
        <v/>
      </c>
      <c r="L612" s="90">
        <f>IF($K612="","",ROUND($K612*Setup!$B$13,2))</f>
        <v/>
      </c>
      <c r="M612" s="90">
        <f>IF($K612="","",$K612-$L612)</f>
        <v/>
      </c>
      <c r="N612" s="90">
        <f>IF(OR($M612="",$D612=""),"",ROUND($M612*IFERROR(IF(VLOOKUP($D612,Setup!$A$76:$C$87,3,FALSE)="",Setup!$B$14,VLOOKUP($D612,Setup!$A$76:$C$87,3,FALSE)),Setup!$B$14),2))</f>
        <v/>
      </c>
      <c r="O612" s="90">
        <f>IF(OR($M612="",$E612=""),"",ROUND($M612*IFERROR(IF(VLOOKUP($E612,Setup!$A$76:$C$87,3,FALSE)="",Setup!$B$15,VLOOKUP($E612,Setup!$A$76:$C$87,3,FALSE)),Setup!$B$15),2))</f>
        <v/>
      </c>
      <c r="P612" s="99" t="n"/>
      <c r="Q612" s="99" t="n"/>
      <c r="R612" s="99" t="n"/>
      <c r="S612" s="99" t="n"/>
      <c r="T612" s="99" t="n"/>
      <c r="U612" s="90">
        <f>IF($K612="","",SUM($R612:$T612))</f>
        <v/>
      </c>
      <c r="V612" s="90">
        <f>IF($K612="","",$M612-(N($N612)+N($O612)+IF($P612="",Setup!$B$17,$P612)+N($Q612))-N($U612))</f>
        <v/>
      </c>
      <c r="W612" s="95" t="n"/>
      <c r="X612" s="96" t="n"/>
      <c r="Z612" s="93">
        <f>IF($A612="","",DATE(YEAR($A612),MONTH($A612),1))</f>
        <v/>
      </c>
    </row>
    <row r="613">
      <c r="A613" s="86" t="n"/>
      <c r="B613" s="87" t="n"/>
      <c r="C613" s="87" t="n"/>
      <c r="D613" s="88" t="n"/>
      <c r="E613" s="88" t="n"/>
      <c r="F613" s="88" t="n"/>
      <c r="G613" s="88" t="n"/>
      <c r="H613" s="89" t="n"/>
      <c r="I613" s="90">
        <f>IF($G613="","",IF($F613="",IFERROR(INDEX(Setup!$C$21:$C$60,MATCH("|"&amp;UPPER(TRIM($G613)),Setup!$Q$21:$Q$60,0)),"NO RATE"),IFERROR(INDEX(Setup!$C$21:$C$60,MATCH(UPPER(TRIM($F613))&amp;"|"&amp;UPPER(TRIM($G613)),Setup!$P$21:$P$60,0)),IFERROR(INDEX(Setup!$C$21:$C$60,MATCH(UPPER(TRIM($G613))&amp;"|"&amp;UPPER(TRIM($F613)),Setup!$P$21:$P$60,0)),"NO RATE"))))</f>
        <v/>
      </c>
      <c r="J613" s="91" t="n"/>
      <c r="K613" s="90">
        <f>IF(OR($G613="",$H613="",NOT(ISNUMBER($I613))),"",ROUND($H613*$I613*(1+IF($J613="",Setup!$B$16,$J613)),2))</f>
        <v/>
      </c>
      <c r="L613" s="90">
        <f>IF($K613="","",ROUND($K613*Setup!$B$13,2))</f>
        <v/>
      </c>
      <c r="M613" s="90">
        <f>IF($K613="","",$K613-$L613)</f>
        <v/>
      </c>
      <c r="N613" s="90">
        <f>IF(OR($M613="",$D613=""),"",ROUND($M613*IFERROR(IF(VLOOKUP($D613,Setup!$A$76:$C$87,3,FALSE)="",Setup!$B$14,VLOOKUP($D613,Setup!$A$76:$C$87,3,FALSE)),Setup!$B$14),2))</f>
        <v/>
      </c>
      <c r="O613" s="90">
        <f>IF(OR($M613="",$E613=""),"",ROUND($M613*IFERROR(IF(VLOOKUP($E613,Setup!$A$76:$C$87,3,FALSE)="",Setup!$B$15,VLOOKUP($E613,Setup!$A$76:$C$87,3,FALSE)),Setup!$B$15),2))</f>
        <v/>
      </c>
      <c r="P613" s="92" t="n"/>
      <c r="Q613" s="92" t="n"/>
      <c r="R613" s="92" t="n"/>
      <c r="S613" s="92" t="n"/>
      <c r="T613" s="92" t="n"/>
      <c r="U613" s="90">
        <f>IF($K613="","",SUM($R613:$T613))</f>
        <v/>
      </c>
      <c r="V613" s="90">
        <f>IF($K613="","",$M613-(N($N613)+N($O613)+IF($P613="",Setup!$B$17,$P613)+N($Q613))-N($U613))</f>
        <v/>
      </c>
      <c r="W613" s="87" t="n"/>
      <c r="X613" s="88" t="n"/>
      <c r="Z613" s="93">
        <f>IF($A613="","",DATE(YEAR($A613),MONTH($A613),1))</f>
        <v/>
      </c>
    </row>
    <row r="614">
      <c r="A614" s="94" t="n"/>
      <c r="B614" s="95" t="n"/>
      <c r="C614" s="95" t="n"/>
      <c r="D614" s="96" t="n"/>
      <c r="E614" s="96" t="n"/>
      <c r="F614" s="96" t="n"/>
      <c r="G614" s="96" t="n"/>
      <c r="H614" s="97" t="n"/>
      <c r="I614" s="90">
        <f>IF($G614="","",IF($F614="",IFERROR(INDEX(Setup!$C$21:$C$60,MATCH("|"&amp;UPPER(TRIM($G614)),Setup!$Q$21:$Q$60,0)),"NO RATE"),IFERROR(INDEX(Setup!$C$21:$C$60,MATCH(UPPER(TRIM($F614))&amp;"|"&amp;UPPER(TRIM($G614)),Setup!$P$21:$P$60,0)),IFERROR(INDEX(Setup!$C$21:$C$60,MATCH(UPPER(TRIM($G614))&amp;"|"&amp;UPPER(TRIM($F614)),Setup!$P$21:$P$60,0)),"NO RATE"))))</f>
        <v/>
      </c>
      <c r="J614" s="98" t="n"/>
      <c r="K614" s="90">
        <f>IF(OR($G614="",$H614="",NOT(ISNUMBER($I614))),"",ROUND($H614*$I614*(1+IF($J614="",Setup!$B$16,$J614)),2))</f>
        <v/>
      </c>
      <c r="L614" s="90">
        <f>IF($K614="","",ROUND($K614*Setup!$B$13,2))</f>
        <v/>
      </c>
      <c r="M614" s="90">
        <f>IF($K614="","",$K614-$L614)</f>
        <v/>
      </c>
      <c r="N614" s="90">
        <f>IF(OR($M614="",$D614=""),"",ROUND($M614*IFERROR(IF(VLOOKUP($D614,Setup!$A$76:$C$87,3,FALSE)="",Setup!$B$14,VLOOKUP($D614,Setup!$A$76:$C$87,3,FALSE)),Setup!$B$14),2))</f>
        <v/>
      </c>
      <c r="O614" s="90">
        <f>IF(OR($M614="",$E614=""),"",ROUND($M614*IFERROR(IF(VLOOKUP($E614,Setup!$A$76:$C$87,3,FALSE)="",Setup!$B$15,VLOOKUP($E614,Setup!$A$76:$C$87,3,FALSE)),Setup!$B$15),2))</f>
        <v/>
      </c>
      <c r="P614" s="99" t="n"/>
      <c r="Q614" s="99" t="n"/>
      <c r="R614" s="99" t="n"/>
      <c r="S614" s="99" t="n"/>
      <c r="T614" s="99" t="n"/>
      <c r="U614" s="90">
        <f>IF($K614="","",SUM($R614:$T614))</f>
        <v/>
      </c>
      <c r="V614" s="90">
        <f>IF($K614="","",$M614-(N($N614)+N($O614)+IF($P614="",Setup!$B$17,$P614)+N($Q614))-N($U614))</f>
        <v/>
      </c>
      <c r="W614" s="95" t="n"/>
      <c r="X614" s="96" t="n"/>
      <c r="Z614" s="93">
        <f>IF($A614="","",DATE(YEAR($A614),MONTH($A614),1))</f>
        <v/>
      </c>
    </row>
    <row r="615">
      <c r="A615" s="86" t="n"/>
      <c r="B615" s="87" t="n"/>
      <c r="C615" s="87" t="n"/>
      <c r="D615" s="88" t="n"/>
      <c r="E615" s="88" t="n"/>
      <c r="F615" s="88" t="n"/>
      <c r="G615" s="88" t="n"/>
      <c r="H615" s="89" t="n"/>
      <c r="I615" s="90">
        <f>IF($G615="","",IF($F615="",IFERROR(INDEX(Setup!$C$21:$C$60,MATCH("|"&amp;UPPER(TRIM($G615)),Setup!$Q$21:$Q$60,0)),"NO RATE"),IFERROR(INDEX(Setup!$C$21:$C$60,MATCH(UPPER(TRIM($F615))&amp;"|"&amp;UPPER(TRIM($G615)),Setup!$P$21:$P$60,0)),IFERROR(INDEX(Setup!$C$21:$C$60,MATCH(UPPER(TRIM($G615))&amp;"|"&amp;UPPER(TRIM($F615)),Setup!$P$21:$P$60,0)),"NO RATE"))))</f>
        <v/>
      </c>
      <c r="J615" s="91" t="n"/>
      <c r="K615" s="90">
        <f>IF(OR($G615="",$H615="",NOT(ISNUMBER($I615))),"",ROUND($H615*$I615*(1+IF($J615="",Setup!$B$16,$J615)),2))</f>
        <v/>
      </c>
      <c r="L615" s="90">
        <f>IF($K615="","",ROUND($K615*Setup!$B$13,2))</f>
        <v/>
      </c>
      <c r="M615" s="90">
        <f>IF($K615="","",$K615-$L615)</f>
        <v/>
      </c>
      <c r="N615" s="90">
        <f>IF(OR($M615="",$D615=""),"",ROUND($M615*IFERROR(IF(VLOOKUP($D615,Setup!$A$76:$C$87,3,FALSE)="",Setup!$B$14,VLOOKUP($D615,Setup!$A$76:$C$87,3,FALSE)),Setup!$B$14),2))</f>
        <v/>
      </c>
      <c r="O615" s="90">
        <f>IF(OR($M615="",$E615=""),"",ROUND($M615*IFERROR(IF(VLOOKUP($E615,Setup!$A$76:$C$87,3,FALSE)="",Setup!$B$15,VLOOKUP($E615,Setup!$A$76:$C$87,3,FALSE)),Setup!$B$15),2))</f>
        <v/>
      </c>
      <c r="P615" s="92" t="n"/>
      <c r="Q615" s="92" t="n"/>
      <c r="R615" s="92" t="n"/>
      <c r="S615" s="92" t="n"/>
      <c r="T615" s="92" t="n"/>
      <c r="U615" s="90">
        <f>IF($K615="","",SUM($R615:$T615))</f>
        <v/>
      </c>
      <c r="V615" s="90">
        <f>IF($K615="","",$M615-(N($N615)+N($O615)+IF($P615="",Setup!$B$17,$P615)+N($Q615))-N($U615))</f>
        <v/>
      </c>
      <c r="W615" s="87" t="n"/>
      <c r="X615" s="88" t="n"/>
      <c r="Z615" s="93">
        <f>IF($A615="","",DATE(YEAR($A615),MONTH($A615),1))</f>
        <v/>
      </c>
    </row>
    <row r="616">
      <c r="A616" s="94" t="n"/>
      <c r="B616" s="95" t="n"/>
      <c r="C616" s="95" t="n"/>
      <c r="D616" s="96" t="n"/>
      <c r="E616" s="96" t="n"/>
      <c r="F616" s="96" t="n"/>
      <c r="G616" s="96" t="n"/>
      <c r="H616" s="97" t="n"/>
      <c r="I616" s="90">
        <f>IF($G616="","",IF($F616="",IFERROR(INDEX(Setup!$C$21:$C$60,MATCH("|"&amp;UPPER(TRIM($G616)),Setup!$Q$21:$Q$60,0)),"NO RATE"),IFERROR(INDEX(Setup!$C$21:$C$60,MATCH(UPPER(TRIM($F616))&amp;"|"&amp;UPPER(TRIM($G616)),Setup!$P$21:$P$60,0)),IFERROR(INDEX(Setup!$C$21:$C$60,MATCH(UPPER(TRIM($G616))&amp;"|"&amp;UPPER(TRIM($F616)),Setup!$P$21:$P$60,0)),"NO RATE"))))</f>
        <v/>
      </c>
      <c r="J616" s="98" t="n"/>
      <c r="K616" s="90">
        <f>IF(OR($G616="",$H616="",NOT(ISNUMBER($I616))),"",ROUND($H616*$I616*(1+IF($J616="",Setup!$B$16,$J616)),2))</f>
        <v/>
      </c>
      <c r="L616" s="90">
        <f>IF($K616="","",ROUND($K616*Setup!$B$13,2))</f>
        <v/>
      </c>
      <c r="M616" s="90">
        <f>IF($K616="","",$K616-$L616)</f>
        <v/>
      </c>
      <c r="N616" s="90">
        <f>IF(OR($M616="",$D616=""),"",ROUND($M616*IFERROR(IF(VLOOKUP($D616,Setup!$A$76:$C$87,3,FALSE)="",Setup!$B$14,VLOOKUP($D616,Setup!$A$76:$C$87,3,FALSE)),Setup!$B$14),2))</f>
        <v/>
      </c>
      <c r="O616" s="90">
        <f>IF(OR($M616="",$E616=""),"",ROUND($M616*IFERROR(IF(VLOOKUP($E616,Setup!$A$76:$C$87,3,FALSE)="",Setup!$B$15,VLOOKUP($E616,Setup!$A$76:$C$87,3,FALSE)),Setup!$B$15),2))</f>
        <v/>
      </c>
      <c r="P616" s="99" t="n"/>
      <c r="Q616" s="99" t="n"/>
      <c r="R616" s="99" t="n"/>
      <c r="S616" s="99" t="n"/>
      <c r="T616" s="99" t="n"/>
      <c r="U616" s="90">
        <f>IF($K616="","",SUM($R616:$T616))</f>
        <v/>
      </c>
      <c r="V616" s="90">
        <f>IF($K616="","",$M616-(N($N616)+N($O616)+IF($P616="",Setup!$B$17,$P616)+N($Q616))-N($U616))</f>
        <v/>
      </c>
      <c r="W616" s="95" t="n"/>
      <c r="X616" s="96" t="n"/>
      <c r="Z616" s="93">
        <f>IF($A616="","",DATE(YEAR($A616),MONTH($A616),1))</f>
        <v/>
      </c>
    </row>
    <row r="617">
      <c r="A617" s="86" t="n"/>
      <c r="B617" s="87" t="n"/>
      <c r="C617" s="87" t="n"/>
      <c r="D617" s="88" t="n"/>
      <c r="E617" s="88" t="n"/>
      <c r="F617" s="88" t="n"/>
      <c r="G617" s="88" t="n"/>
      <c r="H617" s="89" t="n"/>
      <c r="I617" s="90">
        <f>IF($G617="","",IF($F617="",IFERROR(INDEX(Setup!$C$21:$C$60,MATCH("|"&amp;UPPER(TRIM($G617)),Setup!$Q$21:$Q$60,0)),"NO RATE"),IFERROR(INDEX(Setup!$C$21:$C$60,MATCH(UPPER(TRIM($F617))&amp;"|"&amp;UPPER(TRIM($G617)),Setup!$P$21:$P$60,0)),IFERROR(INDEX(Setup!$C$21:$C$60,MATCH(UPPER(TRIM($G617))&amp;"|"&amp;UPPER(TRIM($F617)),Setup!$P$21:$P$60,0)),"NO RATE"))))</f>
        <v/>
      </c>
      <c r="J617" s="91" t="n"/>
      <c r="K617" s="90">
        <f>IF(OR($G617="",$H617="",NOT(ISNUMBER($I617))),"",ROUND($H617*$I617*(1+IF($J617="",Setup!$B$16,$J617)),2))</f>
        <v/>
      </c>
      <c r="L617" s="90">
        <f>IF($K617="","",ROUND($K617*Setup!$B$13,2))</f>
        <v/>
      </c>
      <c r="M617" s="90">
        <f>IF($K617="","",$K617-$L617)</f>
        <v/>
      </c>
      <c r="N617" s="90">
        <f>IF(OR($M617="",$D617=""),"",ROUND($M617*IFERROR(IF(VLOOKUP($D617,Setup!$A$76:$C$87,3,FALSE)="",Setup!$B$14,VLOOKUP($D617,Setup!$A$76:$C$87,3,FALSE)),Setup!$B$14),2))</f>
        <v/>
      </c>
      <c r="O617" s="90">
        <f>IF(OR($M617="",$E617=""),"",ROUND($M617*IFERROR(IF(VLOOKUP($E617,Setup!$A$76:$C$87,3,FALSE)="",Setup!$B$15,VLOOKUP($E617,Setup!$A$76:$C$87,3,FALSE)),Setup!$B$15),2))</f>
        <v/>
      </c>
      <c r="P617" s="92" t="n"/>
      <c r="Q617" s="92" t="n"/>
      <c r="R617" s="92" t="n"/>
      <c r="S617" s="92" t="n"/>
      <c r="T617" s="92" t="n"/>
      <c r="U617" s="90">
        <f>IF($K617="","",SUM($R617:$T617))</f>
        <v/>
      </c>
      <c r="V617" s="90">
        <f>IF($K617="","",$M617-(N($N617)+N($O617)+IF($P617="",Setup!$B$17,$P617)+N($Q617))-N($U617))</f>
        <v/>
      </c>
      <c r="W617" s="87" t="n"/>
      <c r="X617" s="88" t="n"/>
      <c r="Z617" s="93">
        <f>IF($A617="","",DATE(YEAR($A617),MONTH($A617),1))</f>
        <v/>
      </c>
    </row>
    <row r="618">
      <c r="A618" s="94" t="n"/>
      <c r="B618" s="95" t="n"/>
      <c r="C618" s="95" t="n"/>
      <c r="D618" s="96" t="n"/>
      <c r="E618" s="96" t="n"/>
      <c r="F618" s="96" t="n"/>
      <c r="G618" s="96" t="n"/>
      <c r="H618" s="97" t="n"/>
      <c r="I618" s="90">
        <f>IF($G618="","",IF($F618="",IFERROR(INDEX(Setup!$C$21:$C$60,MATCH("|"&amp;UPPER(TRIM($G618)),Setup!$Q$21:$Q$60,0)),"NO RATE"),IFERROR(INDEX(Setup!$C$21:$C$60,MATCH(UPPER(TRIM($F618))&amp;"|"&amp;UPPER(TRIM($G618)),Setup!$P$21:$P$60,0)),IFERROR(INDEX(Setup!$C$21:$C$60,MATCH(UPPER(TRIM($G618))&amp;"|"&amp;UPPER(TRIM($F618)),Setup!$P$21:$P$60,0)),"NO RATE"))))</f>
        <v/>
      </c>
      <c r="J618" s="98" t="n"/>
      <c r="K618" s="90">
        <f>IF(OR($G618="",$H618="",NOT(ISNUMBER($I618))),"",ROUND($H618*$I618*(1+IF($J618="",Setup!$B$16,$J618)),2))</f>
        <v/>
      </c>
      <c r="L618" s="90">
        <f>IF($K618="","",ROUND($K618*Setup!$B$13,2))</f>
        <v/>
      </c>
      <c r="M618" s="90">
        <f>IF($K618="","",$K618-$L618)</f>
        <v/>
      </c>
      <c r="N618" s="90">
        <f>IF(OR($M618="",$D618=""),"",ROUND($M618*IFERROR(IF(VLOOKUP($D618,Setup!$A$76:$C$87,3,FALSE)="",Setup!$B$14,VLOOKUP($D618,Setup!$A$76:$C$87,3,FALSE)),Setup!$B$14),2))</f>
        <v/>
      </c>
      <c r="O618" s="90">
        <f>IF(OR($M618="",$E618=""),"",ROUND($M618*IFERROR(IF(VLOOKUP($E618,Setup!$A$76:$C$87,3,FALSE)="",Setup!$B$15,VLOOKUP($E618,Setup!$A$76:$C$87,3,FALSE)),Setup!$B$15),2))</f>
        <v/>
      </c>
      <c r="P618" s="99" t="n"/>
      <c r="Q618" s="99" t="n"/>
      <c r="R618" s="99" t="n"/>
      <c r="S618" s="99" t="n"/>
      <c r="T618" s="99" t="n"/>
      <c r="U618" s="90">
        <f>IF($K618="","",SUM($R618:$T618))</f>
        <v/>
      </c>
      <c r="V618" s="90">
        <f>IF($K618="","",$M618-(N($N618)+N($O618)+IF($P618="",Setup!$B$17,$P618)+N($Q618))-N($U618))</f>
        <v/>
      </c>
      <c r="W618" s="95" t="n"/>
      <c r="X618" s="96" t="n"/>
      <c r="Z618" s="93">
        <f>IF($A618="","",DATE(YEAR($A618),MONTH($A618),1))</f>
        <v/>
      </c>
    </row>
    <row r="619">
      <c r="A619" s="86" t="n"/>
      <c r="B619" s="87" t="n"/>
      <c r="C619" s="87" t="n"/>
      <c r="D619" s="88" t="n"/>
      <c r="E619" s="88" t="n"/>
      <c r="F619" s="88" t="n"/>
      <c r="G619" s="88" t="n"/>
      <c r="H619" s="89" t="n"/>
      <c r="I619" s="90">
        <f>IF($G619="","",IF($F619="",IFERROR(INDEX(Setup!$C$21:$C$60,MATCH("|"&amp;UPPER(TRIM($G619)),Setup!$Q$21:$Q$60,0)),"NO RATE"),IFERROR(INDEX(Setup!$C$21:$C$60,MATCH(UPPER(TRIM($F619))&amp;"|"&amp;UPPER(TRIM($G619)),Setup!$P$21:$P$60,0)),IFERROR(INDEX(Setup!$C$21:$C$60,MATCH(UPPER(TRIM($G619))&amp;"|"&amp;UPPER(TRIM($F619)),Setup!$P$21:$P$60,0)),"NO RATE"))))</f>
        <v/>
      </c>
      <c r="J619" s="91" t="n"/>
      <c r="K619" s="90">
        <f>IF(OR($G619="",$H619="",NOT(ISNUMBER($I619))),"",ROUND($H619*$I619*(1+IF($J619="",Setup!$B$16,$J619)),2))</f>
        <v/>
      </c>
      <c r="L619" s="90">
        <f>IF($K619="","",ROUND($K619*Setup!$B$13,2))</f>
        <v/>
      </c>
      <c r="M619" s="90">
        <f>IF($K619="","",$K619-$L619)</f>
        <v/>
      </c>
      <c r="N619" s="90">
        <f>IF(OR($M619="",$D619=""),"",ROUND($M619*IFERROR(IF(VLOOKUP($D619,Setup!$A$76:$C$87,3,FALSE)="",Setup!$B$14,VLOOKUP($D619,Setup!$A$76:$C$87,3,FALSE)),Setup!$B$14),2))</f>
        <v/>
      </c>
      <c r="O619" s="90">
        <f>IF(OR($M619="",$E619=""),"",ROUND($M619*IFERROR(IF(VLOOKUP($E619,Setup!$A$76:$C$87,3,FALSE)="",Setup!$B$15,VLOOKUP($E619,Setup!$A$76:$C$87,3,FALSE)),Setup!$B$15),2))</f>
        <v/>
      </c>
      <c r="P619" s="92" t="n"/>
      <c r="Q619" s="92" t="n"/>
      <c r="R619" s="92" t="n"/>
      <c r="S619" s="92" t="n"/>
      <c r="T619" s="92" t="n"/>
      <c r="U619" s="90">
        <f>IF($K619="","",SUM($R619:$T619))</f>
        <v/>
      </c>
      <c r="V619" s="90">
        <f>IF($K619="","",$M619-(N($N619)+N($O619)+IF($P619="",Setup!$B$17,$P619)+N($Q619))-N($U619))</f>
        <v/>
      </c>
      <c r="W619" s="87" t="n"/>
      <c r="X619" s="88" t="n"/>
      <c r="Z619" s="93">
        <f>IF($A619="","",DATE(YEAR($A619),MONTH($A619),1))</f>
        <v/>
      </c>
    </row>
    <row r="620">
      <c r="A620" s="94" t="n"/>
      <c r="B620" s="95" t="n"/>
      <c r="C620" s="95" t="n"/>
      <c r="D620" s="96" t="n"/>
      <c r="E620" s="96" t="n"/>
      <c r="F620" s="96" t="n"/>
      <c r="G620" s="96" t="n"/>
      <c r="H620" s="97" t="n"/>
      <c r="I620" s="90">
        <f>IF($G620="","",IF($F620="",IFERROR(INDEX(Setup!$C$21:$C$60,MATCH("|"&amp;UPPER(TRIM($G620)),Setup!$Q$21:$Q$60,0)),"NO RATE"),IFERROR(INDEX(Setup!$C$21:$C$60,MATCH(UPPER(TRIM($F620))&amp;"|"&amp;UPPER(TRIM($G620)),Setup!$P$21:$P$60,0)),IFERROR(INDEX(Setup!$C$21:$C$60,MATCH(UPPER(TRIM($G620))&amp;"|"&amp;UPPER(TRIM($F620)),Setup!$P$21:$P$60,0)),"NO RATE"))))</f>
        <v/>
      </c>
      <c r="J620" s="98" t="n"/>
      <c r="K620" s="90">
        <f>IF(OR($G620="",$H620="",NOT(ISNUMBER($I620))),"",ROUND($H620*$I620*(1+IF($J620="",Setup!$B$16,$J620)),2))</f>
        <v/>
      </c>
      <c r="L620" s="90">
        <f>IF($K620="","",ROUND($K620*Setup!$B$13,2))</f>
        <v/>
      </c>
      <c r="M620" s="90">
        <f>IF($K620="","",$K620-$L620)</f>
        <v/>
      </c>
      <c r="N620" s="90">
        <f>IF(OR($M620="",$D620=""),"",ROUND($M620*IFERROR(IF(VLOOKUP($D620,Setup!$A$76:$C$87,3,FALSE)="",Setup!$B$14,VLOOKUP($D620,Setup!$A$76:$C$87,3,FALSE)),Setup!$B$14),2))</f>
        <v/>
      </c>
      <c r="O620" s="90">
        <f>IF(OR($M620="",$E620=""),"",ROUND($M620*IFERROR(IF(VLOOKUP($E620,Setup!$A$76:$C$87,3,FALSE)="",Setup!$B$15,VLOOKUP($E620,Setup!$A$76:$C$87,3,FALSE)),Setup!$B$15),2))</f>
        <v/>
      </c>
      <c r="P620" s="99" t="n"/>
      <c r="Q620" s="99" t="n"/>
      <c r="R620" s="99" t="n"/>
      <c r="S620" s="99" t="n"/>
      <c r="T620" s="99" t="n"/>
      <c r="U620" s="90">
        <f>IF($K620="","",SUM($R620:$T620))</f>
        <v/>
      </c>
      <c r="V620" s="90">
        <f>IF($K620="","",$M620-(N($N620)+N($O620)+IF($P620="",Setup!$B$17,$P620)+N($Q620))-N($U620))</f>
        <v/>
      </c>
      <c r="W620" s="95" t="n"/>
      <c r="X620" s="96" t="n"/>
      <c r="Z620" s="93">
        <f>IF($A620="","",DATE(YEAR($A620),MONTH($A620),1))</f>
        <v/>
      </c>
    </row>
    <row r="621">
      <c r="A621" s="86" t="n"/>
      <c r="B621" s="87" t="n"/>
      <c r="C621" s="87" t="n"/>
      <c r="D621" s="88" t="n"/>
      <c r="E621" s="88" t="n"/>
      <c r="F621" s="88" t="n"/>
      <c r="G621" s="88" t="n"/>
      <c r="H621" s="89" t="n"/>
      <c r="I621" s="90">
        <f>IF($G621="","",IF($F621="",IFERROR(INDEX(Setup!$C$21:$C$60,MATCH("|"&amp;UPPER(TRIM($G621)),Setup!$Q$21:$Q$60,0)),"NO RATE"),IFERROR(INDEX(Setup!$C$21:$C$60,MATCH(UPPER(TRIM($F621))&amp;"|"&amp;UPPER(TRIM($G621)),Setup!$P$21:$P$60,0)),IFERROR(INDEX(Setup!$C$21:$C$60,MATCH(UPPER(TRIM($G621))&amp;"|"&amp;UPPER(TRIM($F621)),Setup!$P$21:$P$60,0)),"NO RATE"))))</f>
        <v/>
      </c>
      <c r="J621" s="91" t="n"/>
      <c r="K621" s="90">
        <f>IF(OR($G621="",$H621="",NOT(ISNUMBER($I621))),"",ROUND($H621*$I621*(1+IF($J621="",Setup!$B$16,$J621)),2))</f>
        <v/>
      </c>
      <c r="L621" s="90">
        <f>IF($K621="","",ROUND($K621*Setup!$B$13,2))</f>
        <v/>
      </c>
      <c r="M621" s="90">
        <f>IF($K621="","",$K621-$L621)</f>
        <v/>
      </c>
      <c r="N621" s="90">
        <f>IF(OR($M621="",$D621=""),"",ROUND($M621*IFERROR(IF(VLOOKUP($D621,Setup!$A$76:$C$87,3,FALSE)="",Setup!$B$14,VLOOKUP($D621,Setup!$A$76:$C$87,3,FALSE)),Setup!$B$14),2))</f>
        <v/>
      </c>
      <c r="O621" s="90">
        <f>IF(OR($M621="",$E621=""),"",ROUND($M621*IFERROR(IF(VLOOKUP($E621,Setup!$A$76:$C$87,3,FALSE)="",Setup!$B$15,VLOOKUP($E621,Setup!$A$76:$C$87,3,FALSE)),Setup!$B$15),2))</f>
        <v/>
      </c>
      <c r="P621" s="92" t="n"/>
      <c r="Q621" s="92" t="n"/>
      <c r="R621" s="92" t="n"/>
      <c r="S621" s="92" t="n"/>
      <c r="T621" s="92" t="n"/>
      <c r="U621" s="90">
        <f>IF($K621="","",SUM($R621:$T621))</f>
        <v/>
      </c>
      <c r="V621" s="90">
        <f>IF($K621="","",$M621-(N($N621)+N($O621)+IF($P621="",Setup!$B$17,$P621)+N($Q621))-N($U621))</f>
        <v/>
      </c>
      <c r="W621" s="87" t="n"/>
      <c r="X621" s="88" t="n"/>
      <c r="Z621" s="93">
        <f>IF($A621="","",DATE(YEAR($A621),MONTH($A621),1))</f>
        <v/>
      </c>
    </row>
    <row r="622">
      <c r="A622" s="94" t="n"/>
      <c r="B622" s="95" t="n"/>
      <c r="C622" s="95" t="n"/>
      <c r="D622" s="96" t="n"/>
      <c r="E622" s="96" t="n"/>
      <c r="F622" s="96" t="n"/>
      <c r="G622" s="96" t="n"/>
      <c r="H622" s="97" t="n"/>
      <c r="I622" s="90">
        <f>IF($G622="","",IF($F622="",IFERROR(INDEX(Setup!$C$21:$C$60,MATCH("|"&amp;UPPER(TRIM($G622)),Setup!$Q$21:$Q$60,0)),"NO RATE"),IFERROR(INDEX(Setup!$C$21:$C$60,MATCH(UPPER(TRIM($F622))&amp;"|"&amp;UPPER(TRIM($G622)),Setup!$P$21:$P$60,0)),IFERROR(INDEX(Setup!$C$21:$C$60,MATCH(UPPER(TRIM($G622))&amp;"|"&amp;UPPER(TRIM($F622)),Setup!$P$21:$P$60,0)),"NO RATE"))))</f>
        <v/>
      </c>
      <c r="J622" s="98" t="n"/>
      <c r="K622" s="90">
        <f>IF(OR($G622="",$H622="",NOT(ISNUMBER($I622))),"",ROUND($H622*$I622*(1+IF($J622="",Setup!$B$16,$J622)),2))</f>
        <v/>
      </c>
      <c r="L622" s="90">
        <f>IF($K622="","",ROUND($K622*Setup!$B$13,2))</f>
        <v/>
      </c>
      <c r="M622" s="90">
        <f>IF($K622="","",$K622-$L622)</f>
        <v/>
      </c>
      <c r="N622" s="90">
        <f>IF(OR($M622="",$D622=""),"",ROUND($M622*IFERROR(IF(VLOOKUP($D622,Setup!$A$76:$C$87,3,FALSE)="",Setup!$B$14,VLOOKUP($D622,Setup!$A$76:$C$87,3,FALSE)),Setup!$B$14),2))</f>
        <v/>
      </c>
      <c r="O622" s="90">
        <f>IF(OR($M622="",$E622=""),"",ROUND($M622*IFERROR(IF(VLOOKUP($E622,Setup!$A$76:$C$87,3,FALSE)="",Setup!$B$15,VLOOKUP($E622,Setup!$A$76:$C$87,3,FALSE)),Setup!$B$15),2))</f>
        <v/>
      </c>
      <c r="P622" s="99" t="n"/>
      <c r="Q622" s="99" t="n"/>
      <c r="R622" s="99" t="n"/>
      <c r="S622" s="99" t="n"/>
      <c r="T622" s="99" t="n"/>
      <c r="U622" s="90">
        <f>IF($K622="","",SUM($R622:$T622))</f>
        <v/>
      </c>
      <c r="V622" s="90">
        <f>IF($K622="","",$M622-(N($N622)+N($O622)+IF($P622="",Setup!$B$17,$P622)+N($Q622))-N($U622))</f>
        <v/>
      </c>
      <c r="W622" s="95" t="n"/>
      <c r="X622" s="96" t="n"/>
      <c r="Z622" s="93">
        <f>IF($A622="","",DATE(YEAR($A622),MONTH($A622),1))</f>
        <v/>
      </c>
    </row>
    <row r="623">
      <c r="A623" s="86" t="n"/>
      <c r="B623" s="87" t="n"/>
      <c r="C623" s="87" t="n"/>
      <c r="D623" s="88" t="n"/>
      <c r="E623" s="88" t="n"/>
      <c r="F623" s="88" t="n"/>
      <c r="G623" s="88" t="n"/>
      <c r="H623" s="89" t="n"/>
      <c r="I623" s="90">
        <f>IF($G623="","",IF($F623="",IFERROR(INDEX(Setup!$C$21:$C$60,MATCH("|"&amp;UPPER(TRIM($G623)),Setup!$Q$21:$Q$60,0)),"NO RATE"),IFERROR(INDEX(Setup!$C$21:$C$60,MATCH(UPPER(TRIM($F623))&amp;"|"&amp;UPPER(TRIM($G623)),Setup!$P$21:$P$60,0)),IFERROR(INDEX(Setup!$C$21:$C$60,MATCH(UPPER(TRIM($G623))&amp;"|"&amp;UPPER(TRIM($F623)),Setup!$P$21:$P$60,0)),"NO RATE"))))</f>
        <v/>
      </c>
      <c r="J623" s="91" t="n"/>
      <c r="K623" s="90">
        <f>IF(OR($G623="",$H623="",NOT(ISNUMBER($I623))),"",ROUND($H623*$I623*(1+IF($J623="",Setup!$B$16,$J623)),2))</f>
        <v/>
      </c>
      <c r="L623" s="90">
        <f>IF($K623="","",ROUND($K623*Setup!$B$13,2))</f>
        <v/>
      </c>
      <c r="M623" s="90">
        <f>IF($K623="","",$K623-$L623)</f>
        <v/>
      </c>
      <c r="N623" s="90">
        <f>IF(OR($M623="",$D623=""),"",ROUND($M623*IFERROR(IF(VLOOKUP($D623,Setup!$A$76:$C$87,3,FALSE)="",Setup!$B$14,VLOOKUP($D623,Setup!$A$76:$C$87,3,FALSE)),Setup!$B$14),2))</f>
        <v/>
      </c>
      <c r="O623" s="90">
        <f>IF(OR($M623="",$E623=""),"",ROUND($M623*IFERROR(IF(VLOOKUP($E623,Setup!$A$76:$C$87,3,FALSE)="",Setup!$B$15,VLOOKUP($E623,Setup!$A$76:$C$87,3,FALSE)),Setup!$B$15),2))</f>
        <v/>
      </c>
      <c r="P623" s="92" t="n"/>
      <c r="Q623" s="92" t="n"/>
      <c r="R623" s="92" t="n"/>
      <c r="S623" s="92" t="n"/>
      <c r="T623" s="92" t="n"/>
      <c r="U623" s="90">
        <f>IF($K623="","",SUM($R623:$T623))</f>
        <v/>
      </c>
      <c r="V623" s="90">
        <f>IF($K623="","",$M623-(N($N623)+N($O623)+IF($P623="",Setup!$B$17,$P623)+N($Q623))-N($U623))</f>
        <v/>
      </c>
      <c r="W623" s="87" t="n"/>
      <c r="X623" s="88" t="n"/>
      <c r="Z623" s="93">
        <f>IF($A623="","",DATE(YEAR($A623),MONTH($A623),1))</f>
        <v/>
      </c>
    </row>
    <row r="624">
      <c r="A624" s="94" t="n"/>
      <c r="B624" s="95" t="n"/>
      <c r="C624" s="95" t="n"/>
      <c r="D624" s="96" t="n"/>
      <c r="E624" s="96" t="n"/>
      <c r="F624" s="96" t="n"/>
      <c r="G624" s="96" t="n"/>
      <c r="H624" s="97" t="n"/>
      <c r="I624" s="90">
        <f>IF($G624="","",IF($F624="",IFERROR(INDEX(Setup!$C$21:$C$60,MATCH("|"&amp;UPPER(TRIM($G624)),Setup!$Q$21:$Q$60,0)),"NO RATE"),IFERROR(INDEX(Setup!$C$21:$C$60,MATCH(UPPER(TRIM($F624))&amp;"|"&amp;UPPER(TRIM($G624)),Setup!$P$21:$P$60,0)),IFERROR(INDEX(Setup!$C$21:$C$60,MATCH(UPPER(TRIM($G624))&amp;"|"&amp;UPPER(TRIM($F624)),Setup!$P$21:$P$60,0)),"NO RATE"))))</f>
        <v/>
      </c>
      <c r="J624" s="98" t="n"/>
      <c r="K624" s="90">
        <f>IF(OR($G624="",$H624="",NOT(ISNUMBER($I624))),"",ROUND($H624*$I624*(1+IF($J624="",Setup!$B$16,$J624)),2))</f>
        <v/>
      </c>
      <c r="L624" s="90">
        <f>IF($K624="","",ROUND($K624*Setup!$B$13,2))</f>
        <v/>
      </c>
      <c r="M624" s="90">
        <f>IF($K624="","",$K624-$L624)</f>
        <v/>
      </c>
      <c r="N624" s="90">
        <f>IF(OR($M624="",$D624=""),"",ROUND($M624*IFERROR(IF(VLOOKUP($D624,Setup!$A$76:$C$87,3,FALSE)="",Setup!$B$14,VLOOKUP($D624,Setup!$A$76:$C$87,3,FALSE)),Setup!$B$14),2))</f>
        <v/>
      </c>
      <c r="O624" s="90">
        <f>IF(OR($M624="",$E624=""),"",ROUND($M624*IFERROR(IF(VLOOKUP($E624,Setup!$A$76:$C$87,3,FALSE)="",Setup!$B$15,VLOOKUP($E624,Setup!$A$76:$C$87,3,FALSE)),Setup!$B$15),2))</f>
        <v/>
      </c>
      <c r="P624" s="99" t="n"/>
      <c r="Q624" s="99" t="n"/>
      <c r="R624" s="99" t="n"/>
      <c r="S624" s="99" t="n"/>
      <c r="T624" s="99" t="n"/>
      <c r="U624" s="90">
        <f>IF($K624="","",SUM($R624:$T624))</f>
        <v/>
      </c>
      <c r="V624" s="90">
        <f>IF($K624="","",$M624-(N($N624)+N($O624)+IF($P624="",Setup!$B$17,$P624)+N($Q624))-N($U624))</f>
        <v/>
      </c>
      <c r="W624" s="95" t="n"/>
      <c r="X624" s="96" t="n"/>
      <c r="Z624" s="93">
        <f>IF($A624="","",DATE(YEAR($A624),MONTH($A624),1))</f>
        <v/>
      </c>
    </row>
    <row r="625">
      <c r="A625" s="86" t="n"/>
      <c r="B625" s="87" t="n"/>
      <c r="C625" s="87" t="n"/>
      <c r="D625" s="88" t="n"/>
      <c r="E625" s="88" t="n"/>
      <c r="F625" s="88" t="n"/>
      <c r="G625" s="88" t="n"/>
      <c r="H625" s="89" t="n"/>
      <c r="I625" s="90">
        <f>IF($G625="","",IF($F625="",IFERROR(INDEX(Setup!$C$21:$C$60,MATCH("|"&amp;UPPER(TRIM($G625)),Setup!$Q$21:$Q$60,0)),"NO RATE"),IFERROR(INDEX(Setup!$C$21:$C$60,MATCH(UPPER(TRIM($F625))&amp;"|"&amp;UPPER(TRIM($G625)),Setup!$P$21:$P$60,0)),IFERROR(INDEX(Setup!$C$21:$C$60,MATCH(UPPER(TRIM($G625))&amp;"|"&amp;UPPER(TRIM($F625)),Setup!$P$21:$P$60,0)),"NO RATE"))))</f>
        <v/>
      </c>
      <c r="J625" s="91" t="n"/>
      <c r="K625" s="90">
        <f>IF(OR($G625="",$H625="",NOT(ISNUMBER($I625))),"",ROUND($H625*$I625*(1+IF($J625="",Setup!$B$16,$J625)),2))</f>
        <v/>
      </c>
      <c r="L625" s="90">
        <f>IF($K625="","",ROUND($K625*Setup!$B$13,2))</f>
        <v/>
      </c>
      <c r="M625" s="90">
        <f>IF($K625="","",$K625-$L625)</f>
        <v/>
      </c>
      <c r="N625" s="90">
        <f>IF(OR($M625="",$D625=""),"",ROUND($M625*IFERROR(IF(VLOOKUP($D625,Setup!$A$76:$C$87,3,FALSE)="",Setup!$B$14,VLOOKUP($D625,Setup!$A$76:$C$87,3,FALSE)),Setup!$B$14),2))</f>
        <v/>
      </c>
      <c r="O625" s="90">
        <f>IF(OR($M625="",$E625=""),"",ROUND($M625*IFERROR(IF(VLOOKUP($E625,Setup!$A$76:$C$87,3,FALSE)="",Setup!$B$15,VLOOKUP($E625,Setup!$A$76:$C$87,3,FALSE)),Setup!$B$15),2))</f>
        <v/>
      </c>
      <c r="P625" s="92" t="n"/>
      <c r="Q625" s="92" t="n"/>
      <c r="R625" s="92" t="n"/>
      <c r="S625" s="92" t="n"/>
      <c r="T625" s="92" t="n"/>
      <c r="U625" s="90">
        <f>IF($K625="","",SUM($R625:$T625))</f>
        <v/>
      </c>
      <c r="V625" s="90">
        <f>IF($K625="","",$M625-(N($N625)+N($O625)+IF($P625="",Setup!$B$17,$P625)+N($Q625))-N($U625))</f>
        <v/>
      </c>
      <c r="W625" s="87" t="n"/>
      <c r="X625" s="88" t="n"/>
      <c r="Z625" s="93">
        <f>IF($A625="","",DATE(YEAR($A625),MONTH($A625),1))</f>
        <v/>
      </c>
    </row>
    <row r="626">
      <c r="A626" s="94" t="n"/>
      <c r="B626" s="95" t="n"/>
      <c r="C626" s="95" t="n"/>
      <c r="D626" s="96" t="n"/>
      <c r="E626" s="96" t="n"/>
      <c r="F626" s="96" t="n"/>
      <c r="G626" s="96" t="n"/>
      <c r="H626" s="97" t="n"/>
      <c r="I626" s="90">
        <f>IF($G626="","",IF($F626="",IFERROR(INDEX(Setup!$C$21:$C$60,MATCH("|"&amp;UPPER(TRIM($G626)),Setup!$Q$21:$Q$60,0)),"NO RATE"),IFERROR(INDEX(Setup!$C$21:$C$60,MATCH(UPPER(TRIM($F626))&amp;"|"&amp;UPPER(TRIM($G626)),Setup!$P$21:$P$60,0)),IFERROR(INDEX(Setup!$C$21:$C$60,MATCH(UPPER(TRIM($G626))&amp;"|"&amp;UPPER(TRIM($F626)),Setup!$P$21:$P$60,0)),"NO RATE"))))</f>
        <v/>
      </c>
      <c r="J626" s="98" t="n"/>
      <c r="K626" s="90">
        <f>IF(OR($G626="",$H626="",NOT(ISNUMBER($I626))),"",ROUND($H626*$I626*(1+IF($J626="",Setup!$B$16,$J626)),2))</f>
        <v/>
      </c>
      <c r="L626" s="90">
        <f>IF($K626="","",ROUND($K626*Setup!$B$13,2))</f>
        <v/>
      </c>
      <c r="M626" s="90">
        <f>IF($K626="","",$K626-$L626)</f>
        <v/>
      </c>
      <c r="N626" s="90">
        <f>IF(OR($M626="",$D626=""),"",ROUND($M626*IFERROR(IF(VLOOKUP($D626,Setup!$A$76:$C$87,3,FALSE)="",Setup!$B$14,VLOOKUP($D626,Setup!$A$76:$C$87,3,FALSE)),Setup!$B$14),2))</f>
        <v/>
      </c>
      <c r="O626" s="90">
        <f>IF(OR($M626="",$E626=""),"",ROUND($M626*IFERROR(IF(VLOOKUP($E626,Setup!$A$76:$C$87,3,FALSE)="",Setup!$B$15,VLOOKUP($E626,Setup!$A$76:$C$87,3,FALSE)),Setup!$B$15),2))</f>
        <v/>
      </c>
      <c r="P626" s="99" t="n"/>
      <c r="Q626" s="99" t="n"/>
      <c r="R626" s="99" t="n"/>
      <c r="S626" s="99" t="n"/>
      <c r="T626" s="99" t="n"/>
      <c r="U626" s="90">
        <f>IF($K626="","",SUM($R626:$T626))</f>
        <v/>
      </c>
      <c r="V626" s="90">
        <f>IF($K626="","",$M626-(N($N626)+N($O626)+IF($P626="",Setup!$B$17,$P626)+N($Q626))-N($U626))</f>
        <v/>
      </c>
      <c r="W626" s="95" t="n"/>
      <c r="X626" s="96" t="n"/>
      <c r="Z626" s="93">
        <f>IF($A626="","",DATE(YEAR($A626),MONTH($A626),1))</f>
        <v/>
      </c>
    </row>
    <row r="627">
      <c r="A627" s="86" t="n"/>
      <c r="B627" s="87" t="n"/>
      <c r="C627" s="87" t="n"/>
      <c r="D627" s="88" t="n"/>
      <c r="E627" s="88" t="n"/>
      <c r="F627" s="88" t="n"/>
      <c r="G627" s="88" t="n"/>
      <c r="H627" s="89" t="n"/>
      <c r="I627" s="90">
        <f>IF($G627="","",IF($F627="",IFERROR(INDEX(Setup!$C$21:$C$60,MATCH("|"&amp;UPPER(TRIM($G627)),Setup!$Q$21:$Q$60,0)),"NO RATE"),IFERROR(INDEX(Setup!$C$21:$C$60,MATCH(UPPER(TRIM($F627))&amp;"|"&amp;UPPER(TRIM($G627)),Setup!$P$21:$P$60,0)),IFERROR(INDEX(Setup!$C$21:$C$60,MATCH(UPPER(TRIM($G627))&amp;"|"&amp;UPPER(TRIM($F627)),Setup!$P$21:$P$60,0)),"NO RATE"))))</f>
        <v/>
      </c>
      <c r="J627" s="91" t="n"/>
      <c r="K627" s="90">
        <f>IF(OR($G627="",$H627="",NOT(ISNUMBER($I627))),"",ROUND($H627*$I627*(1+IF($J627="",Setup!$B$16,$J627)),2))</f>
        <v/>
      </c>
      <c r="L627" s="90">
        <f>IF($K627="","",ROUND($K627*Setup!$B$13,2))</f>
        <v/>
      </c>
      <c r="M627" s="90">
        <f>IF($K627="","",$K627-$L627)</f>
        <v/>
      </c>
      <c r="N627" s="90">
        <f>IF(OR($M627="",$D627=""),"",ROUND($M627*IFERROR(IF(VLOOKUP($D627,Setup!$A$76:$C$87,3,FALSE)="",Setup!$B$14,VLOOKUP($D627,Setup!$A$76:$C$87,3,FALSE)),Setup!$B$14),2))</f>
        <v/>
      </c>
      <c r="O627" s="90">
        <f>IF(OR($M627="",$E627=""),"",ROUND($M627*IFERROR(IF(VLOOKUP($E627,Setup!$A$76:$C$87,3,FALSE)="",Setup!$B$15,VLOOKUP($E627,Setup!$A$76:$C$87,3,FALSE)),Setup!$B$15),2))</f>
        <v/>
      </c>
      <c r="P627" s="92" t="n"/>
      <c r="Q627" s="92" t="n"/>
      <c r="R627" s="92" t="n"/>
      <c r="S627" s="92" t="n"/>
      <c r="T627" s="92" t="n"/>
      <c r="U627" s="90">
        <f>IF($K627="","",SUM($R627:$T627))</f>
        <v/>
      </c>
      <c r="V627" s="90">
        <f>IF($K627="","",$M627-(N($N627)+N($O627)+IF($P627="",Setup!$B$17,$P627)+N($Q627))-N($U627))</f>
        <v/>
      </c>
      <c r="W627" s="87" t="n"/>
      <c r="X627" s="88" t="n"/>
      <c r="Z627" s="93">
        <f>IF($A627="","",DATE(YEAR($A627),MONTH($A627),1))</f>
        <v/>
      </c>
    </row>
    <row r="628">
      <c r="A628" s="94" t="n"/>
      <c r="B628" s="95" t="n"/>
      <c r="C628" s="95" t="n"/>
      <c r="D628" s="96" t="n"/>
      <c r="E628" s="96" t="n"/>
      <c r="F628" s="96" t="n"/>
      <c r="G628" s="96" t="n"/>
      <c r="H628" s="97" t="n"/>
      <c r="I628" s="90">
        <f>IF($G628="","",IF($F628="",IFERROR(INDEX(Setup!$C$21:$C$60,MATCH("|"&amp;UPPER(TRIM($G628)),Setup!$Q$21:$Q$60,0)),"NO RATE"),IFERROR(INDEX(Setup!$C$21:$C$60,MATCH(UPPER(TRIM($F628))&amp;"|"&amp;UPPER(TRIM($G628)),Setup!$P$21:$P$60,0)),IFERROR(INDEX(Setup!$C$21:$C$60,MATCH(UPPER(TRIM($G628))&amp;"|"&amp;UPPER(TRIM($F628)),Setup!$P$21:$P$60,0)),"NO RATE"))))</f>
        <v/>
      </c>
      <c r="J628" s="98" t="n"/>
      <c r="K628" s="90">
        <f>IF(OR($G628="",$H628="",NOT(ISNUMBER($I628))),"",ROUND($H628*$I628*(1+IF($J628="",Setup!$B$16,$J628)),2))</f>
        <v/>
      </c>
      <c r="L628" s="90">
        <f>IF($K628="","",ROUND($K628*Setup!$B$13,2))</f>
        <v/>
      </c>
      <c r="M628" s="90">
        <f>IF($K628="","",$K628-$L628)</f>
        <v/>
      </c>
      <c r="N628" s="90">
        <f>IF(OR($M628="",$D628=""),"",ROUND($M628*IFERROR(IF(VLOOKUP($D628,Setup!$A$76:$C$87,3,FALSE)="",Setup!$B$14,VLOOKUP($D628,Setup!$A$76:$C$87,3,FALSE)),Setup!$B$14),2))</f>
        <v/>
      </c>
      <c r="O628" s="90">
        <f>IF(OR($M628="",$E628=""),"",ROUND($M628*IFERROR(IF(VLOOKUP($E628,Setup!$A$76:$C$87,3,FALSE)="",Setup!$B$15,VLOOKUP($E628,Setup!$A$76:$C$87,3,FALSE)),Setup!$B$15),2))</f>
        <v/>
      </c>
      <c r="P628" s="99" t="n"/>
      <c r="Q628" s="99" t="n"/>
      <c r="R628" s="99" t="n"/>
      <c r="S628" s="99" t="n"/>
      <c r="T628" s="99" t="n"/>
      <c r="U628" s="90">
        <f>IF($K628="","",SUM($R628:$T628))</f>
        <v/>
      </c>
      <c r="V628" s="90">
        <f>IF($K628="","",$M628-(N($N628)+N($O628)+IF($P628="",Setup!$B$17,$P628)+N($Q628))-N($U628))</f>
        <v/>
      </c>
      <c r="W628" s="95" t="n"/>
      <c r="X628" s="96" t="n"/>
      <c r="Z628" s="93">
        <f>IF($A628="","",DATE(YEAR($A628),MONTH($A628),1))</f>
        <v/>
      </c>
    </row>
    <row r="629">
      <c r="A629" s="86" t="n"/>
      <c r="B629" s="87" t="n"/>
      <c r="C629" s="87" t="n"/>
      <c r="D629" s="88" t="n"/>
      <c r="E629" s="88" t="n"/>
      <c r="F629" s="88" t="n"/>
      <c r="G629" s="88" t="n"/>
      <c r="H629" s="89" t="n"/>
      <c r="I629" s="90">
        <f>IF($G629="","",IF($F629="",IFERROR(INDEX(Setup!$C$21:$C$60,MATCH("|"&amp;UPPER(TRIM($G629)),Setup!$Q$21:$Q$60,0)),"NO RATE"),IFERROR(INDEX(Setup!$C$21:$C$60,MATCH(UPPER(TRIM($F629))&amp;"|"&amp;UPPER(TRIM($G629)),Setup!$P$21:$P$60,0)),IFERROR(INDEX(Setup!$C$21:$C$60,MATCH(UPPER(TRIM($G629))&amp;"|"&amp;UPPER(TRIM($F629)),Setup!$P$21:$P$60,0)),"NO RATE"))))</f>
        <v/>
      </c>
      <c r="J629" s="91" t="n"/>
      <c r="K629" s="90">
        <f>IF(OR($G629="",$H629="",NOT(ISNUMBER($I629))),"",ROUND($H629*$I629*(1+IF($J629="",Setup!$B$16,$J629)),2))</f>
        <v/>
      </c>
      <c r="L629" s="90">
        <f>IF($K629="","",ROUND($K629*Setup!$B$13,2))</f>
        <v/>
      </c>
      <c r="M629" s="90">
        <f>IF($K629="","",$K629-$L629)</f>
        <v/>
      </c>
      <c r="N629" s="90">
        <f>IF(OR($M629="",$D629=""),"",ROUND($M629*IFERROR(IF(VLOOKUP($D629,Setup!$A$76:$C$87,3,FALSE)="",Setup!$B$14,VLOOKUP($D629,Setup!$A$76:$C$87,3,FALSE)),Setup!$B$14),2))</f>
        <v/>
      </c>
      <c r="O629" s="90">
        <f>IF(OR($M629="",$E629=""),"",ROUND($M629*IFERROR(IF(VLOOKUP($E629,Setup!$A$76:$C$87,3,FALSE)="",Setup!$B$15,VLOOKUP($E629,Setup!$A$76:$C$87,3,FALSE)),Setup!$B$15),2))</f>
        <v/>
      </c>
      <c r="P629" s="92" t="n"/>
      <c r="Q629" s="92" t="n"/>
      <c r="R629" s="92" t="n"/>
      <c r="S629" s="92" t="n"/>
      <c r="T629" s="92" t="n"/>
      <c r="U629" s="90">
        <f>IF($K629="","",SUM($R629:$T629))</f>
        <v/>
      </c>
      <c r="V629" s="90">
        <f>IF($K629="","",$M629-(N($N629)+N($O629)+IF($P629="",Setup!$B$17,$P629)+N($Q629))-N($U629))</f>
        <v/>
      </c>
      <c r="W629" s="87" t="n"/>
      <c r="X629" s="88" t="n"/>
      <c r="Z629" s="93">
        <f>IF($A629="","",DATE(YEAR($A629),MONTH($A629),1))</f>
        <v/>
      </c>
    </row>
    <row r="630">
      <c r="A630" s="94" t="n"/>
      <c r="B630" s="95" t="n"/>
      <c r="C630" s="95" t="n"/>
      <c r="D630" s="96" t="n"/>
      <c r="E630" s="96" t="n"/>
      <c r="F630" s="96" t="n"/>
      <c r="G630" s="96" t="n"/>
      <c r="H630" s="97" t="n"/>
      <c r="I630" s="90">
        <f>IF($G630="","",IF($F630="",IFERROR(INDEX(Setup!$C$21:$C$60,MATCH("|"&amp;UPPER(TRIM($G630)),Setup!$Q$21:$Q$60,0)),"NO RATE"),IFERROR(INDEX(Setup!$C$21:$C$60,MATCH(UPPER(TRIM($F630))&amp;"|"&amp;UPPER(TRIM($G630)),Setup!$P$21:$P$60,0)),IFERROR(INDEX(Setup!$C$21:$C$60,MATCH(UPPER(TRIM($G630))&amp;"|"&amp;UPPER(TRIM($F630)),Setup!$P$21:$P$60,0)),"NO RATE"))))</f>
        <v/>
      </c>
      <c r="J630" s="98" t="n"/>
      <c r="K630" s="90">
        <f>IF(OR($G630="",$H630="",NOT(ISNUMBER($I630))),"",ROUND($H630*$I630*(1+IF($J630="",Setup!$B$16,$J630)),2))</f>
        <v/>
      </c>
      <c r="L630" s="90">
        <f>IF($K630="","",ROUND($K630*Setup!$B$13,2))</f>
        <v/>
      </c>
      <c r="M630" s="90">
        <f>IF($K630="","",$K630-$L630)</f>
        <v/>
      </c>
      <c r="N630" s="90">
        <f>IF(OR($M630="",$D630=""),"",ROUND($M630*IFERROR(IF(VLOOKUP($D630,Setup!$A$76:$C$87,3,FALSE)="",Setup!$B$14,VLOOKUP($D630,Setup!$A$76:$C$87,3,FALSE)),Setup!$B$14),2))</f>
        <v/>
      </c>
      <c r="O630" s="90">
        <f>IF(OR($M630="",$E630=""),"",ROUND($M630*IFERROR(IF(VLOOKUP($E630,Setup!$A$76:$C$87,3,FALSE)="",Setup!$B$15,VLOOKUP($E630,Setup!$A$76:$C$87,3,FALSE)),Setup!$B$15),2))</f>
        <v/>
      </c>
      <c r="P630" s="99" t="n"/>
      <c r="Q630" s="99" t="n"/>
      <c r="R630" s="99" t="n"/>
      <c r="S630" s="99" t="n"/>
      <c r="T630" s="99" t="n"/>
      <c r="U630" s="90">
        <f>IF($K630="","",SUM($R630:$T630))</f>
        <v/>
      </c>
      <c r="V630" s="90">
        <f>IF($K630="","",$M630-(N($N630)+N($O630)+IF($P630="",Setup!$B$17,$P630)+N($Q630))-N($U630))</f>
        <v/>
      </c>
      <c r="W630" s="95" t="n"/>
      <c r="X630" s="96" t="n"/>
      <c r="Z630" s="93">
        <f>IF($A630="","",DATE(YEAR($A630),MONTH($A630),1))</f>
        <v/>
      </c>
    </row>
    <row r="631">
      <c r="A631" s="86" t="n"/>
      <c r="B631" s="87" t="n"/>
      <c r="C631" s="87" t="n"/>
      <c r="D631" s="88" t="n"/>
      <c r="E631" s="88" t="n"/>
      <c r="F631" s="88" t="n"/>
      <c r="G631" s="88" t="n"/>
      <c r="H631" s="89" t="n"/>
      <c r="I631" s="90">
        <f>IF($G631="","",IF($F631="",IFERROR(INDEX(Setup!$C$21:$C$60,MATCH("|"&amp;UPPER(TRIM($G631)),Setup!$Q$21:$Q$60,0)),"NO RATE"),IFERROR(INDEX(Setup!$C$21:$C$60,MATCH(UPPER(TRIM($F631))&amp;"|"&amp;UPPER(TRIM($G631)),Setup!$P$21:$P$60,0)),IFERROR(INDEX(Setup!$C$21:$C$60,MATCH(UPPER(TRIM($G631))&amp;"|"&amp;UPPER(TRIM($F631)),Setup!$P$21:$P$60,0)),"NO RATE"))))</f>
        <v/>
      </c>
      <c r="J631" s="91" t="n"/>
      <c r="K631" s="90">
        <f>IF(OR($G631="",$H631="",NOT(ISNUMBER($I631))),"",ROUND($H631*$I631*(1+IF($J631="",Setup!$B$16,$J631)),2))</f>
        <v/>
      </c>
      <c r="L631" s="90">
        <f>IF($K631="","",ROUND($K631*Setup!$B$13,2))</f>
        <v/>
      </c>
      <c r="M631" s="90">
        <f>IF($K631="","",$K631-$L631)</f>
        <v/>
      </c>
      <c r="N631" s="90">
        <f>IF(OR($M631="",$D631=""),"",ROUND($M631*IFERROR(IF(VLOOKUP($D631,Setup!$A$76:$C$87,3,FALSE)="",Setup!$B$14,VLOOKUP($D631,Setup!$A$76:$C$87,3,FALSE)),Setup!$B$14),2))</f>
        <v/>
      </c>
      <c r="O631" s="90">
        <f>IF(OR($M631="",$E631=""),"",ROUND($M631*IFERROR(IF(VLOOKUP($E631,Setup!$A$76:$C$87,3,FALSE)="",Setup!$B$15,VLOOKUP($E631,Setup!$A$76:$C$87,3,FALSE)),Setup!$B$15),2))</f>
        <v/>
      </c>
      <c r="P631" s="92" t="n"/>
      <c r="Q631" s="92" t="n"/>
      <c r="R631" s="92" t="n"/>
      <c r="S631" s="92" t="n"/>
      <c r="T631" s="92" t="n"/>
      <c r="U631" s="90">
        <f>IF($K631="","",SUM($R631:$T631))</f>
        <v/>
      </c>
      <c r="V631" s="90">
        <f>IF($K631="","",$M631-(N($N631)+N($O631)+IF($P631="",Setup!$B$17,$P631)+N($Q631))-N($U631))</f>
        <v/>
      </c>
      <c r="W631" s="87" t="n"/>
      <c r="X631" s="88" t="n"/>
      <c r="Z631" s="93">
        <f>IF($A631="","",DATE(YEAR($A631),MONTH($A631),1))</f>
        <v/>
      </c>
    </row>
    <row r="632">
      <c r="A632" s="94" t="n"/>
      <c r="B632" s="95" t="n"/>
      <c r="C632" s="95" t="n"/>
      <c r="D632" s="96" t="n"/>
      <c r="E632" s="96" t="n"/>
      <c r="F632" s="96" t="n"/>
      <c r="G632" s="96" t="n"/>
      <c r="H632" s="97" t="n"/>
      <c r="I632" s="90">
        <f>IF($G632="","",IF($F632="",IFERROR(INDEX(Setup!$C$21:$C$60,MATCH("|"&amp;UPPER(TRIM($G632)),Setup!$Q$21:$Q$60,0)),"NO RATE"),IFERROR(INDEX(Setup!$C$21:$C$60,MATCH(UPPER(TRIM($F632))&amp;"|"&amp;UPPER(TRIM($G632)),Setup!$P$21:$P$60,0)),IFERROR(INDEX(Setup!$C$21:$C$60,MATCH(UPPER(TRIM($G632))&amp;"|"&amp;UPPER(TRIM($F632)),Setup!$P$21:$P$60,0)),"NO RATE"))))</f>
        <v/>
      </c>
      <c r="J632" s="98" t="n"/>
      <c r="K632" s="90">
        <f>IF(OR($G632="",$H632="",NOT(ISNUMBER($I632))),"",ROUND($H632*$I632*(1+IF($J632="",Setup!$B$16,$J632)),2))</f>
        <v/>
      </c>
      <c r="L632" s="90">
        <f>IF($K632="","",ROUND($K632*Setup!$B$13,2))</f>
        <v/>
      </c>
      <c r="M632" s="90">
        <f>IF($K632="","",$K632-$L632)</f>
        <v/>
      </c>
      <c r="N632" s="90">
        <f>IF(OR($M632="",$D632=""),"",ROUND($M632*IFERROR(IF(VLOOKUP($D632,Setup!$A$76:$C$87,3,FALSE)="",Setup!$B$14,VLOOKUP($D632,Setup!$A$76:$C$87,3,FALSE)),Setup!$B$14),2))</f>
        <v/>
      </c>
      <c r="O632" s="90">
        <f>IF(OR($M632="",$E632=""),"",ROUND($M632*IFERROR(IF(VLOOKUP($E632,Setup!$A$76:$C$87,3,FALSE)="",Setup!$B$15,VLOOKUP($E632,Setup!$A$76:$C$87,3,FALSE)),Setup!$B$15),2))</f>
        <v/>
      </c>
      <c r="P632" s="99" t="n"/>
      <c r="Q632" s="99" t="n"/>
      <c r="R632" s="99" t="n"/>
      <c r="S632" s="99" t="n"/>
      <c r="T632" s="99" t="n"/>
      <c r="U632" s="90">
        <f>IF($K632="","",SUM($R632:$T632))</f>
        <v/>
      </c>
      <c r="V632" s="90">
        <f>IF($K632="","",$M632-(N($N632)+N($O632)+IF($P632="",Setup!$B$17,$P632)+N($Q632))-N($U632))</f>
        <v/>
      </c>
      <c r="W632" s="95" t="n"/>
      <c r="X632" s="96" t="n"/>
      <c r="Z632" s="93">
        <f>IF($A632="","",DATE(YEAR($A632),MONTH($A632),1))</f>
        <v/>
      </c>
    </row>
    <row r="633">
      <c r="A633" s="86" t="n"/>
      <c r="B633" s="87" t="n"/>
      <c r="C633" s="87" t="n"/>
      <c r="D633" s="88" t="n"/>
      <c r="E633" s="88" t="n"/>
      <c r="F633" s="88" t="n"/>
      <c r="G633" s="88" t="n"/>
      <c r="H633" s="89" t="n"/>
      <c r="I633" s="90">
        <f>IF($G633="","",IF($F633="",IFERROR(INDEX(Setup!$C$21:$C$60,MATCH("|"&amp;UPPER(TRIM($G633)),Setup!$Q$21:$Q$60,0)),"NO RATE"),IFERROR(INDEX(Setup!$C$21:$C$60,MATCH(UPPER(TRIM($F633))&amp;"|"&amp;UPPER(TRIM($G633)),Setup!$P$21:$P$60,0)),IFERROR(INDEX(Setup!$C$21:$C$60,MATCH(UPPER(TRIM($G633))&amp;"|"&amp;UPPER(TRIM($F633)),Setup!$P$21:$P$60,0)),"NO RATE"))))</f>
        <v/>
      </c>
      <c r="J633" s="91" t="n"/>
      <c r="K633" s="90">
        <f>IF(OR($G633="",$H633="",NOT(ISNUMBER($I633))),"",ROUND($H633*$I633*(1+IF($J633="",Setup!$B$16,$J633)),2))</f>
        <v/>
      </c>
      <c r="L633" s="90">
        <f>IF($K633="","",ROUND($K633*Setup!$B$13,2))</f>
        <v/>
      </c>
      <c r="M633" s="90">
        <f>IF($K633="","",$K633-$L633)</f>
        <v/>
      </c>
      <c r="N633" s="90">
        <f>IF(OR($M633="",$D633=""),"",ROUND($M633*IFERROR(IF(VLOOKUP($D633,Setup!$A$76:$C$87,3,FALSE)="",Setup!$B$14,VLOOKUP($D633,Setup!$A$76:$C$87,3,FALSE)),Setup!$B$14),2))</f>
        <v/>
      </c>
      <c r="O633" s="90">
        <f>IF(OR($M633="",$E633=""),"",ROUND($M633*IFERROR(IF(VLOOKUP($E633,Setup!$A$76:$C$87,3,FALSE)="",Setup!$B$15,VLOOKUP($E633,Setup!$A$76:$C$87,3,FALSE)),Setup!$B$15),2))</f>
        <v/>
      </c>
      <c r="P633" s="92" t="n"/>
      <c r="Q633" s="92" t="n"/>
      <c r="R633" s="92" t="n"/>
      <c r="S633" s="92" t="n"/>
      <c r="T633" s="92" t="n"/>
      <c r="U633" s="90">
        <f>IF($K633="","",SUM($R633:$T633))</f>
        <v/>
      </c>
      <c r="V633" s="90">
        <f>IF($K633="","",$M633-(N($N633)+N($O633)+IF($P633="",Setup!$B$17,$P633)+N($Q633))-N($U633))</f>
        <v/>
      </c>
      <c r="W633" s="87" t="n"/>
      <c r="X633" s="88" t="n"/>
      <c r="Z633" s="93">
        <f>IF($A633="","",DATE(YEAR($A633),MONTH($A633),1))</f>
        <v/>
      </c>
    </row>
    <row r="634">
      <c r="A634" s="94" t="n"/>
      <c r="B634" s="95" t="n"/>
      <c r="C634" s="95" t="n"/>
      <c r="D634" s="96" t="n"/>
      <c r="E634" s="96" t="n"/>
      <c r="F634" s="96" t="n"/>
      <c r="G634" s="96" t="n"/>
      <c r="H634" s="97" t="n"/>
      <c r="I634" s="90">
        <f>IF($G634="","",IF($F634="",IFERROR(INDEX(Setup!$C$21:$C$60,MATCH("|"&amp;UPPER(TRIM($G634)),Setup!$Q$21:$Q$60,0)),"NO RATE"),IFERROR(INDEX(Setup!$C$21:$C$60,MATCH(UPPER(TRIM($F634))&amp;"|"&amp;UPPER(TRIM($G634)),Setup!$P$21:$P$60,0)),IFERROR(INDEX(Setup!$C$21:$C$60,MATCH(UPPER(TRIM($G634))&amp;"|"&amp;UPPER(TRIM($F634)),Setup!$P$21:$P$60,0)),"NO RATE"))))</f>
        <v/>
      </c>
      <c r="J634" s="98" t="n"/>
      <c r="K634" s="90">
        <f>IF(OR($G634="",$H634="",NOT(ISNUMBER($I634))),"",ROUND($H634*$I634*(1+IF($J634="",Setup!$B$16,$J634)),2))</f>
        <v/>
      </c>
      <c r="L634" s="90">
        <f>IF($K634="","",ROUND($K634*Setup!$B$13,2))</f>
        <v/>
      </c>
      <c r="M634" s="90">
        <f>IF($K634="","",$K634-$L634)</f>
        <v/>
      </c>
      <c r="N634" s="90">
        <f>IF(OR($M634="",$D634=""),"",ROUND($M634*IFERROR(IF(VLOOKUP($D634,Setup!$A$76:$C$87,3,FALSE)="",Setup!$B$14,VLOOKUP($D634,Setup!$A$76:$C$87,3,FALSE)),Setup!$B$14),2))</f>
        <v/>
      </c>
      <c r="O634" s="90">
        <f>IF(OR($M634="",$E634=""),"",ROUND($M634*IFERROR(IF(VLOOKUP($E634,Setup!$A$76:$C$87,3,FALSE)="",Setup!$B$15,VLOOKUP($E634,Setup!$A$76:$C$87,3,FALSE)),Setup!$B$15),2))</f>
        <v/>
      </c>
      <c r="P634" s="99" t="n"/>
      <c r="Q634" s="99" t="n"/>
      <c r="R634" s="99" t="n"/>
      <c r="S634" s="99" t="n"/>
      <c r="T634" s="99" t="n"/>
      <c r="U634" s="90">
        <f>IF($K634="","",SUM($R634:$T634))</f>
        <v/>
      </c>
      <c r="V634" s="90">
        <f>IF($K634="","",$M634-(N($N634)+N($O634)+IF($P634="",Setup!$B$17,$P634)+N($Q634))-N($U634))</f>
        <v/>
      </c>
      <c r="W634" s="95" t="n"/>
      <c r="X634" s="96" t="n"/>
      <c r="Z634" s="93">
        <f>IF($A634="","",DATE(YEAR($A634),MONTH($A634),1))</f>
        <v/>
      </c>
    </row>
    <row r="635">
      <c r="A635" s="86" t="n"/>
      <c r="B635" s="87" t="n"/>
      <c r="C635" s="87" t="n"/>
      <c r="D635" s="88" t="n"/>
      <c r="E635" s="88" t="n"/>
      <c r="F635" s="88" t="n"/>
      <c r="G635" s="88" t="n"/>
      <c r="H635" s="89" t="n"/>
      <c r="I635" s="90">
        <f>IF($G635="","",IF($F635="",IFERROR(INDEX(Setup!$C$21:$C$60,MATCH("|"&amp;UPPER(TRIM($G635)),Setup!$Q$21:$Q$60,0)),"NO RATE"),IFERROR(INDEX(Setup!$C$21:$C$60,MATCH(UPPER(TRIM($F635))&amp;"|"&amp;UPPER(TRIM($G635)),Setup!$P$21:$P$60,0)),IFERROR(INDEX(Setup!$C$21:$C$60,MATCH(UPPER(TRIM($G635))&amp;"|"&amp;UPPER(TRIM($F635)),Setup!$P$21:$P$60,0)),"NO RATE"))))</f>
        <v/>
      </c>
      <c r="J635" s="91" t="n"/>
      <c r="K635" s="90">
        <f>IF(OR($G635="",$H635="",NOT(ISNUMBER($I635))),"",ROUND($H635*$I635*(1+IF($J635="",Setup!$B$16,$J635)),2))</f>
        <v/>
      </c>
      <c r="L635" s="90">
        <f>IF($K635="","",ROUND($K635*Setup!$B$13,2))</f>
        <v/>
      </c>
      <c r="M635" s="90">
        <f>IF($K635="","",$K635-$L635)</f>
        <v/>
      </c>
      <c r="N635" s="90">
        <f>IF(OR($M635="",$D635=""),"",ROUND($M635*IFERROR(IF(VLOOKUP($D635,Setup!$A$76:$C$87,3,FALSE)="",Setup!$B$14,VLOOKUP($D635,Setup!$A$76:$C$87,3,FALSE)),Setup!$B$14),2))</f>
        <v/>
      </c>
      <c r="O635" s="90">
        <f>IF(OR($M635="",$E635=""),"",ROUND($M635*IFERROR(IF(VLOOKUP($E635,Setup!$A$76:$C$87,3,FALSE)="",Setup!$B$15,VLOOKUP($E635,Setup!$A$76:$C$87,3,FALSE)),Setup!$B$15),2))</f>
        <v/>
      </c>
      <c r="P635" s="92" t="n"/>
      <c r="Q635" s="92" t="n"/>
      <c r="R635" s="92" t="n"/>
      <c r="S635" s="92" t="n"/>
      <c r="T635" s="92" t="n"/>
      <c r="U635" s="90">
        <f>IF($K635="","",SUM($R635:$T635))</f>
        <v/>
      </c>
      <c r="V635" s="90">
        <f>IF($K635="","",$M635-(N($N635)+N($O635)+IF($P635="",Setup!$B$17,$P635)+N($Q635))-N($U635))</f>
        <v/>
      </c>
      <c r="W635" s="87" t="n"/>
      <c r="X635" s="88" t="n"/>
      <c r="Z635" s="93">
        <f>IF($A635="","",DATE(YEAR($A635),MONTH($A635),1))</f>
        <v/>
      </c>
    </row>
    <row r="636">
      <c r="A636" s="94" t="n"/>
      <c r="B636" s="95" t="n"/>
      <c r="C636" s="95" t="n"/>
      <c r="D636" s="96" t="n"/>
      <c r="E636" s="96" t="n"/>
      <c r="F636" s="96" t="n"/>
      <c r="G636" s="96" t="n"/>
      <c r="H636" s="97" t="n"/>
      <c r="I636" s="90">
        <f>IF($G636="","",IF($F636="",IFERROR(INDEX(Setup!$C$21:$C$60,MATCH("|"&amp;UPPER(TRIM($G636)),Setup!$Q$21:$Q$60,0)),"NO RATE"),IFERROR(INDEX(Setup!$C$21:$C$60,MATCH(UPPER(TRIM($F636))&amp;"|"&amp;UPPER(TRIM($G636)),Setup!$P$21:$P$60,0)),IFERROR(INDEX(Setup!$C$21:$C$60,MATCH(UPPER(TRIM($G636))&amp;"|"&amp;UPPER(TRIM($F636)),Setup!$P$21:$P$60,0)),"NO RATE"))))</f>
        <v/>
      </c>
      <c r="J636" s="98" t="n"/>
      <c r="K636" s="90">
        <f>IF(OR($G636="",$H636="",NOT(ISNUMBER($I636))),"",ROUND($H636*$I636*(1+IF($J636="",Setup!$B$16,$J636)),2))</f>
        <v/>
      </c>
      <c r="L636" s="90">
        <f>IF($K636="","",ROUND($K636*Setup!$B$13,2))</f>
        <v/>
      </c>
      <c r="M636" s="90">
        <f>IF($K636="","",$K636-$L636)</f>
        <v/>
      </c>
      <c r="N636" s="90">
        <f>IF(OR($M636="",$D636=""),"",ROUND($M636*IFERROR(IF(VLOOKUP($D636,Setup!$A$76:$C$87,3,FALSE)="",Setup!$B$14,VLOOKUP($D636,Setup!$A$76:$C$87,3,FALSE)),Setup!$B$14),2))</f>
        <v/>
      </c>
      <c r="O636" s="90">
        <f>IF(OR($M636="",$E636=""),"",ROUND($M636*IFERROR(IF(VLOOKUP($E636,Setup!$A$76:$C$87,3,FALSE)="",Setup!$B$15,VLOOKUP($E636,Setup!$A$76:$C$87,3,FALSE)),Setup!$B$15),2))</f>
        <v/>
      </c>
      <c r="P636" s="99" t="n"/>
      <c r="Q636" s="99" t="n"/>
      <c r="R636" s="99" t="n"/>
      <c r="S636" s="99" t="n"/>
      <c r="T636" s="99" t="n"/>
      <c r="U636" s="90">
        <f>IF($K636="","",SUM($R636:$T636))</f>
        <v/>
      </c>
      <c r="V636" s="90">
        <f>IF($K636="","",$M636-(N($N636)+N($O636)+IF($P636="",Setup!$B$17,$P636)+N($Q636))-N($U636))</f>
        <v/>
      </c>
      <c r="W636" s="95" t="n"/>
      <c r="X636" s="96" t="n"/>
      <c r="Z636" s="93">
        <f>IF($A636="","",DATE(YEAR($A636),MONTH($A636),1))</f>
        <v/>
      </c>
    </row>
    <row r="637">
      <c r="A637" s="86" t="n"/>
      <c r="B637" s="87" t="n"/>
      <c r="C637" s="87" t="n"/>
      <c r="D637" s="88" t="n"/>
      <c r="E637" s="88" t="n"/>
      <c r="F637" s="88" t="n"/>
      <c r="G637" s="88" t="n"/>
      <c r="H637" s="89" t="n"/>
      <c r="I637" s="90">
        <f>IF($G637="","",IF($F637="",IFERROR(INDEX(Setup!$C$21:$C$60,MATCH("|"&amp;UPPER(TRIM($G637)),Setup!$Q$21:$Q$60,0)),"NO RATE"),IFERROR(INDEX(Setup!$C$21:$C$60,MATCH(UPPER(TRIM($F637))&amp;"|"&amp;UPPER(TRIM($G637)),Setup!$P$21:$P$60,0)),IFERROR(INDEX(Setup!$C$21:$C$60,MATCH(UPPER(TRIM($G637))&amp;"|"&amp;UPPER(TRIM($F637)),Setup!$P$21:$P$60,0)),"NO RATE"))))</f>
        <v/>
      </c>
      <c r="J637" s="91" t="n"/>
      <c r="K637" s="90">
        <f>IF(OR($G637="",$H637="",NOT(ISNUMBER($I637))),"",ROUND($H637*$I637*(1+IF($J637="",Setup!$B$16,$J637)),2))</f>
        <v/>
      </c>
      <c r="L637" s="90">
        <f>IF($K637="","",ROUND($K637*Setup!$B$13,2))</f>
        <v/>
      </c>
      <c r="M637" s="90">
        <f>IF($K637="","",$K637-$L637)</f>
        <v/>
      </c>
      <c r="N637" s="90">
        <f>IF(OR($M637="",$D637=""),"",ROUND($M637*IFERROR(IF(VLOOKUP($D637,Setup!$A$76:$C$87,3,FALSE)="",Setup!$B$14,VLOOKUP($D637,Setup!$A$76:$C$87,3,FALSE)),Setup!$B$14),2))</f>
        <v/>
      </c>
      <c r="O637" s="90">
        <f>IF(OR($M637="",$E637=""),"",ROUND($M637*IFERROR(IF(VLOOKUP($E637,Setup!$A$76:$C$87,3,FALSE)="",Setup!$B$15,VLOOKUP($E637,Setup!$A$76:$C$87,3,FALSE)),Setup!$B$15),2))</f>
        <v/>
      </c>
      <c r="P637" s="92" t="n"/>
      <c r="Q637" s="92" t="n"/>
      <c r="R637" s="92" t="n"/>
      <c r="S637" s="92" t="n"/>
      <c r="T637" s="92" t="n"/>
      <c r="U637" s="90">
        <f>IF($K637="","",SUM($R637:$T637))</f>
        <v/>
      </c>
      <c r="V637" s="90">
        <f>IF($K637="","",$M637-(N($N637)+N($O637)+IF($P637="",Setup!$B$17,$P637)+N($Q637))-N($U637))</f>
        <v/>
      </c>
      <c r="W637" s="87" t="n"/>
      <c r="X637" s="88" t="n"/>
      <c r="Z637" s="93">
        <f>IF($A637="","",DATE(YEAR($A637),MONTH($A637),1))</f>
        <v/>
      </c>
    </row>
    <row r="638">
      <c r="A638" s="94" t="n"/>
      <c r="B638" s="95" t="n"/>
      <c r="C638" s="95" t="n"/>
      <c r="D638" s="96" t="n"/>
      <c r="E638" s="96" t="n"/>
      <c r="F638" s="96" t="n"/>
      <c r="G638" s="96" t="n"/>
      <c r="H638" s="97" t="n"/>
      <c r="I638" s="90">
        <f>IF($G638="","",IF($F638="",IFERROR(INDEX(Setup!$C$21:$C$60,MATCH("|"&amp;UPPER(TRIM($G638)),Setup!$Q$21:$Q$60,0)),"NO RATE"),IFERROR(INDEX(Setup!$C$21:$C$60,MATCH(UPPER(TRIM($F638))&amp;"|"&amp;UPPER(TRIM($G638)),Setup!$P$21:$P$60,0)),IFERROR(INDEX(Setup!$C$21:$C$60,MATCH(UPPER(TRIM($G638))&amp;"|"&amp;UPPER(TRIM($F638)),Setup!$P$21:$P$60,0)),"NO RATE"))))</f>
        <v/>
      </c>
      <c r="J638" s="98" t="n"/>
      <c r="K638" s="90">
        <f>IF(OR($G638="",$H638="",NOT(ISNUMBER($I638))),"",ROUND($H638*$I638*(1+IF($J638="",Setup!$B$16,$J638)),2))</f>
        <v/>
      </c>
      <c r="L638" s="90">
        <f>IF($K638="","",ROUND($K638*Setup!$B$13,2))</f>
        <v/>
      </c>
      <c r="M638" s="90">
        <f>IF($K638="","",$K638-$L638)</f>
        <v/>
      </c>
      <c r="N638" s="90">
        <f>IF(OR($M638="",$D638=""),"",ROUND($M638*IFERROR(IF(VLOOKUP($D638,Setup!$A$76:$C$87,3,FALSE)="",Setup!$B$14,VLOOKUP($D638,Setup!$A$76:$C$87,3,FALSE)),Setup!$B$14),2))</f>
        <v/>
      </c>
      <c r="O638" s="90">
        <f>IF(OR($M638="",$E638=""),"",ROUND($M638*IFERROR(IF(VLOOKUP($E638,Setup!$A$76:$C$87,3,FALSE)="",Setup!$B$15,VLOOKUP($E638,Setup!$A$76:$C$87,3,FALSE)),Setup!$B$15),2))</f>
        <v/>
      </c>
      <c r="P638" s="99" t="n"/>
      <c r="Q638" s="99" t="n"/>
      <c r="R638" s="99" t="n"/>
      <c r="S638" s="99" t="n"/>
      <c r="T638" s="99" t="n"/>
      <c r="U638" s="90">
        <f>IF($K638="","",SUM($R638:$T638))</f>
        <v/>
      </c>
      <c r="V638" s="90">
        <f>IF($K638="","",$M638-(N($N638)+N($O638)+IF($P638="",Setup!$B$17,$P638)+N($Q638))-N($U638))</f>
        <v/>
      </c>
      <c r="W638" s="95" t="n"/>
      <c r="X638" s="96" t="n"/>
      <c r="Z638" s="93">
        <f>IF($A638="","",DATE(YEAR($A638),MONTH($A638),1))</f>
        <v/>
      </c>
    </row>
    <row r="639">
      <c r="A639" s="86" t="n"/>
      <c r="B639" s="87" t="n"/>
      <c r="C639" s="87" t="n"/>
      <c r="D639" s="88" t="n"/>
      <c r="E639" s="88" t="n"/>
      <c r="F639" s="88" t="n"/>
      <c r="G639" s="88" t="n"/>
      <c r="H639" s="89" t="n"/>
      <c r="I639" s="90">
        <f>IF($G639="","",IF($F639="",IFERROR(INDEX(Setup!$C$21:$C$60,MATCH("|"&amp;UPPER(TRIM($G639)),Setup!$Q$21:$Q$60,0)),"NO RATE"),IFERROR(INDEX(Setup!$C$21:$C$60,MATCH(UPPER(TRIM($F639))&amp;"|"&amp;UPPER(TRIM($G639)),Setup!$P$21:$P$60,0)),IFERROR(INDEX(Setup!$C$21:$C$60,MATCH(UPPER(TRIM($G639))&amp;"|"&amp;UPPER(TRIM($F639)),Setup!$P$21:$P$60,0)),"NO RATE"))))</f>
        <v/>
      </c>
      <c r="J639" s="91" t="n"/>
      <c r="K639" s="90">
        <f>IF(OR($G639="",$H639="",NOT(ISNUMBER($I639))),"",ROUND($H639*$I639*(1+IF($J639="",Setup!$B$16,$J639)),2))</f>
        <v/>
      </c>
      <c r="L639" s="90">
        <f>IF($K639="","",ROUND($K639*Setup!$B$13,2))</f>
        <v/>
      </c>
      <c r="M639" s="90">
        <f>IF($K639="","",$K639-$L639)</f>
        <v/>
      </c>
      <c r="N639" s="90">
        <f>IF(OR($M639="",$D639=""),"",ROUND($M639*IFERROR(IF(VLOOKUP($D639,Setup!$A$76:$C$87,3,FALSE)="",Setup!$B$14,VLOOKUP($D639,Setup!$A$76:$C$87,3,FALSE)),Setup!$B$14),2))</f>
        <v/>
      </c>
      <c r="O639" s="90">
        <f>IF(OR($M639="",$E639=""),"",ROUND($M639*IFERROR(IF(VLOOKUP($E639,Setup!$A$76:$C$87,3,FALSE)="",Setup!$B$15,VLOOKUP($E639,Setup!$A$76:$C$87,3,FALSE)),Setup!$B$15),2))</f>
        <v/>
      </c>
      <c r="P639" s="92" t="n"/>
      <c r="Q639" s="92" t="n"/>
      <c r="R639" s="92" t="n"/>
      <c r="S639" s="92" t="n"/>
      <c r="T639" s="92" t="n"/>
      <c r="U639" s="90">
        <f>IF($K639="","",SUM($R639:$T639))</f>
        <v/>
      </c>
      <c r="V639" s="90">
        <f>IF($K639="","",$M639-(N($N639)+N($O639)+IF($P639="",Setup!$B$17,$P639)+N($Q639))-N($U639))</f>
        <v/>
      </c>
      <c r="W639" s="87" t="n"/>
      <c r="X639" s="88" t="n"/>
      <c r="Z639" s="93">
        <f>IF($A639="","",DATE(YEAR($A639),MONTH($A639),1))</f>
        <v/>
      </c>
    </row>
    <row r="640">
      <c r="A640" s="94" t="n"/>
      <c r="B640" s="95" t="n"/>
      <c r="C640" s="95" t="n"/>
      <c r="D640" s="96" t="n"/>
      <c r="E640" s="96" t="n"/>
      <c r="F640" s="96" t="n"/>
      <c r="G640" s="96" t="n"/>
      <c r="H640" s="97" t="n"/>
      <c r="I640" s="90">
        <f>IF($G640="","",IF($F640="",IFERROR(INDEX(Setup!$C$21:$C$60,MATCH("|"&amp;UPPER(TRIM($G640)),Setup!$Q$21:$Q$60,0)),"NO RATE"),IFERROR(INDEX(Setup!$C$21:$C$60,MATCH(UPPER(TRIM($F640))&amp;"|"&amp;UPPER(TRIM($G640)),Setup!$P$21:$P$60,0)),IFERROR(INDEX(Setup!$C$21:$C$60,MATCH(UPPER(TRIM($G640))&amp;"|"&amp;UPPER(TRIM($F640)),Setup!$P$21:$P$60,0)),"NO RATE"))))</f>
        <v/>
      </c>
      <c r="J640" s="98" t="n"/>
      <c r="K640" s="90">
        <f>IF(OR($G640="",$H640="",NOT(ISNUMBER($I640))),"",ROUND($H640*$I640*(1+IF($J640="",Setup!$B$16,$J640)),2))</f>
        <v/>
      </c>
      <c r="L640" s="90">
        <f>IF($K640="","",ROUND($K640*Setup!$B$13,2))</f>
        <v/>
      </c>
      <c r="M640" s="90">
        <f>IF($K640="","",$K640-$L640)</f>
        <v/>
      </c>
      <c r="N640" s="90">
        <f>IF(OR($M640="",$D640=""),"",ROUND($M640*IFERROR(IF(VLOOKUP($D640,Setup!$A$76:$C$87,3,FALSE)="",Setup!$B$14,VLOOKUP($D640,Setup!$A$76:$C$87,3,FALSE)),Setup!$B$14),2))</f>
        <v/>
      </c>
      <c r="O640" s="90">
        <f>IF(OR($M640="",$E640=""),"",ROUND($M640*IFERROR(IF(VLOOKUP($E640,Setup!$A$76:$C$87,3,FALSE)="",Setup!$B$15,VLOOKUP($E640,Setup!$A$76:$C$87,3,FALSE)),Setup!$B$15),2))</f>
        <v/>
      </c>
      <c r="P640" s="99" t="n"/>
      <c r="Q640" s="99" t="n"/>
      <c r="R640" s="99" t="n"/>
      <c r="S640" s="99" t="n"/>
      <c r="T640" s="99" t="n"/>
      <c r="U640" s="90">
        <f>IF($K640="","",SUM($R640:$T640))</f>
        <v/>
      </c>
      <c r="V640" s="90">
        <f>IF($K640="","",$M640-(N($N640)+N($O640)+IF($P640="",Setup!$B$17,$P640)+N($Q640))-N($U640))</f>
        <v/>
      </c>
      <c r="W640" s="95" t="n"/>
      <c r="X640" s="96" t="n"/>
      <c r="Z640" s="93">
        <f>IF($A640="","",DATE(YEAR($A640),MONTH($A640),1))</f>
        <v/>
      </c>
    </row>
    <row r="641">
      <c r="A641" s="86" t="n"/>
      <c r="B641" s="87" t="n"/>
      <c r="C641" s="87" t="n"/>
      <c r="D641" s="88" t="n"/>
      <c r="E641" s="88" t="n"/>
      <c r="F641" s="88" t="n"/>
      <c r="G641" s="88" t="n"/>
      <c r="H641" s="89" t="n"/>
      <c r="I641" s="90">
        <f>IF($G641="","",IF($F641="",IFERROR(INDEX(Setup!$C$21:$C$60,MATCH("|"&amp;UPPER(TRIM($G641)),Setup!$Q$21:$Q$60,0)),"NO RATE"),IFERROR(INDEX(Setup!$C$21:$C$60,MATCH(UPPER(TRIM($F641))&amp;"|"&amp;UPPER(TRIM($G641)),Setup!$P$21:$P$60,0)),IFERROR(INDEX(Setup!$C$21:$C$60,MATCH(UPPER(TRIM($G641))&amp;"|"&amp;UPPER(TRIM($F641)),Setup!$P$21:$P$60,0)),"NO RATE"))))</f>
        <v/>
      </c>
      <c r="J641" s="91" t="n"/>
      <c r="K641" s="90">
        <f>IF(OR($G641="",$H641="",NOT(ISNUMBER($I641))),"",ROUND($H641*$I641*(1+IF($J641="",Setup!$B$16,$J641)),2))</f>
        <v/>
      </c>
      <c r="L641" s="90">
        <f>IF($K641="","",ROUND($K641*Setup!$B$13,2))</f>
        <v/>
      </c>
      <c r="M641" s="90">
        <f>IF($K641="","",$K641-$L641)</f>
        <v/>
      </c>
      <c r="N641" s="90">
        <f>IF(OR($M641="",$D641=""),"",ROUND($M641*IFERROR(IF(VLOOKUP($D641,Setup!$A$76:$C$87,3,FALSE)="",Setup!$B$14,VLOOKUP($D641,Setup!$A$76:$C$87,3,FALSE)),Setup!$B$14),2))</f>
        <v/>
      </c>
      <c r="O641" s="90">
        <f>IF(OR($M641="",$E641=""),"",ROUND($M641*IFERROR(IF(VLOOKUP($E641,Setup!$A$76:$C$87,3,FALSE)="",Setup!$B$15,VLOOKUP($E641,Setup!$A$76:$C$87,3,FALSE)),Setup!$B$15),2))</f>
        <v/>
      </c>
      <c r="P641" s="92" t="n"/>
      <c r="Q641" s="92" t="n"/>
      <c r="R641" s="92" t="n"/>
      <c r="S641" s="92" t="n"/>
      <c r="T641" s="92" t="n"/>
      <c r="U641" s="90">
        <f>IF($K641="","",SUM($R641:$T641))</f>
        <v/>
      </c>
      <c r="V641" s="90">
        <f>IF($K641="","",$M641-(N($N641)+N($O641)+IF($P641="",Setup!$B$17,$P641)+N($Q641))-N($U641))</f>
        <v/>
      </c>
      <c r="W641" s="87" t="n"/>
      <c r="X641" s="88" t="n"/>
      <c r="Z641" s="93">
        <f>IF($A641="","",DATE(YEAR($A641),MONTH($A641),1))</f>
        <v/>
      </c>
    </row>
    <row r="642">
      <c r="A642" s="94" t="n"/>
      <c r="B642" s="95" t="n"/>
      <c r="C642" s="95" t="n"/>
      <c r="D642" s="96" t="n"/>
      <c r="E642" s="96" t="n"/>
      <c r="F642" s="96" t="n"/>
      <c r="G642" s="96" t="n"/>
      <c r="H642" s="97" t="n"/>
      <c r="I642" s="90">
        <f>IF($G642="","",IF($F642="",IFERROR(INDEX(Setup!$C$21:$C$60,MATCH("|"&amp;UPPER(TRIM($G642)),Setup!$Q$21:$Q$60,0)),"NO RATE"),IFERROR(INDEX(Setup!$C$21:$C$60,MATCH(UPPER(TRIM($F642))&amp;"|"&amp;UPPER(TRIM($G642)),Setup!$P$21:$P$60,0)),IFERROR(INDEX(Setup!$C$21:$C$60,MATCH(UPPER(TRIM($G642))&amp;"|"&amp;UPPER(TRIM($F642)),Setup!$P$21:$P$60,0)),"NO RATE"))))</f>
        <v/>
      </c>
      <c r="J642" s="98" t="n"/>
      <c r="K642" s="90">
        <f>IF(OR($G642="",$H642="",NOT(ISNUMBER($I642))),"",ROUND($H642*$I642*(1+IF($J642="",Setup!$B$16,$J642)),2))</f>
        <v/>
      </c>
      <c r="L642" s="90">
        <f>IF($K642="","",ROUND($K642*Setup!$B$13,2))</f>
        <v/>
      </c>
      <c r="M642" s="90">
        <f>IF($K642="","",$K642-$L642)</f>
        <v/>
      </c>
      <c r="N642" s="90">
        <f>IF(OR($M642="",$D642=""),"",ROUND($M642*IFERROR(IF(VLOOKUP($D642,Setup!$A$76:$C$87,3,FALSE)="",Setup!$B$14,VLOOKUP($D642,Setup!$A$76:$C$87,3,FALSE)),Setup!$B$14),2))</f>
        <v/>
      </c>
      <c r="O642" s="90">
        <f>IF(OR($M642="",$E642=""),"",ROUND($M642*IFERROR(IF(VLOOKUP($E642,Setup!$A$76:$C$87,3,FALSE)="",Setup!$B$15,VLOOKUP($E642,Setup!$A$76:$C$87,3,FALSE)),Setup!$B$15),2))</f>
        <v/>
      </c>
      <c r="P642" s="99" t="n"/>
      <c r="Q642" s="99" t="n"/>
      <c r="R642" s="99" t="n"/>
      <c r="S642" s="99" t="n"/>
      <c r="T642" s="99" t="n"/>
      <c r="U642" s="90">
        <f>IF($K642="","",SUM($R642:$T642))</f>
        <v/>
      </c>
      <c r="V642" s="90">
        <f>IF($K642="","",$M642-(N($N642)+N($O642)+IF($P642="",Setup!$B$17,$P642)+N($Q642))-N($U642))</f>
        <v/>
      </c>
      <c r="W642" s="95" t="n"/>
      <c r="X642" s="96" t="n"/>
      <c r="Z642" s="93">
        <f>IF($A642="","",DATE(YEAR($A642),MONTH($A642),1))</f>
        <v/>
      </c>
    </row>
    <row r="643">
      <c r="A643" s="86" t="n"/>
      <c r="B643" s="87" t="n"/>
      <c r="C643" s="87" t="n"/>
      <c r="D643" s="88" t="n"/>
      <c r="E643" s="88" t="n"/>
      <c r="F643" s="88" t="n"/>
      <c r="G643" s="88" t="n"/>
      <c r="H643" s="89" t="n"/>
      <c r="I643" s="90">
        <f>IF($G643="","",IF($F643="",IFERROR(INDEX(Setup!$C$21:$C$60,MATCH("|"&amp;UPPER(TRIM($G643)),Setup!$Q$21:$Q$60,0)),"NO RATE"),IFERROR(INDEX(Setup!$C$21:$C$60,MATCH(UPPER(TRIM($F643))&amp;"|"&amp;UPPER(TRIM($G643)),Setup!$P$21:$P$60,0)),IFERROR(INDEX(Setup!$C$21:$C$60,MATCH(UPPER(TRIM($G643))&amp;"|"&amp;UPPER(TRIM($F643)),Setup!$P$21:$P$60,0)),"NO RATE"))))</f>
        <v/>
      </c>
      <c r="J643" s="91" t="n"/>
      <c r="K643" s="90">
        <f>IF(OR($G643="",$H643="",NOT(ISNUMBER($I643))),"",ROUND($H643*$I643*(1+IF($J643="",Setup!$B$16,$J643)),2))</f>
        <v/>
      </c>
      <c r="L643" s="90">
        <f>IF($K643="","",ROUND($K643*Setup!$B$13,2))</f>
        <v/>
      </c>
      <c r="M643" s="90">
        <f>IF($K643="","",$K643-$L643)</f>
        <v/>
      </c>
      <c r="N643" s="90">
        <f>IF(OR($M643="",$D643=""),"",ROUND($M643*IFERROR(IF(VLOOKUP($D643,Setup!$A$76:$C$87,3,FALSE)="",Setup!$B$14,VLOOKUP($D643,Setup!$A$76:$C$87,3,FALSE)),Setup!$B$14),2))</f>
        <v/>
      </c>
      <c r="O643" s="90">
        <f>IF(OR($M643="",$E643=""),"",ROUND($M643*IFERROR(IF(VLOOKUP($E643,Setup!$A$76:$C$87,3,FALSE)="",Setup!$B$15,VLOOKUP($E643,Setup!$A$76:$C$87,3,FALSE)),Setup!$B$15),2))</f>
        <v/>
      </c>
      <c r="P643" s="92" t="n"/>
      <c r="Q643" s="92" t="n"/>
      <c r="R643" s="92" t="n"/>
      <c r="S643" s="92" t="n"/>
      <c r="T643" s="92" t="n"/>
      <c r="U643" s="90">
        <f>IF($K643="","",SUM($R643:$T643))</f>
        <v/>
      </c>
      <c r="V643" s="90">
        <f>IF($K643="","",$M643-(N($N643)+N($O643)+IF($P643="",Setup!$B$17,$P643)+N($Q643))-N($U643))</f>
        <v/>
      </c>
      <c r="W643" s="87" t="n"/>
      <c r="X643" s="88" t="n"/>
      <c r="Z643" s="93">
        <f>IF($A643="","",DATE(YEAR($A643),MONTH($A643),1))</f>
        <v/>
      </c>
    </row>
    <row r="644">
      <c r="A644" s="94" t="n"/>
      <c r="B644" s="95" t="n"/>
      <c r="C644" s="95" t="n"/>
      <c r="D644" s="96" t="n"/>
      <c r="E644" s="96" t="n"/>
      <c r="F644" s="96" t="n"/>
      <c r="G644" s="96" t="n"/>
      <c r="H644" s="97" t="n"/>
      <c r="I644" s="90">
        <f>IF($G644="","",IF($F644="",IFERROR(INDEX(Setup!$C$21:$C$60,MATCH("|"&amp;UPPER(TRIM($G644)),Setup!$Q$21:$Q$60,0)),"NO RATE"),IFERROR(INDEX(Setup!$C$21:$C$60,MATCH(UPPER(TRIM($F644))&amp;"|"&amp;UPPER(TRIM($G644)),Setup!$P$21:$P$60,0)),IFERROR(INDEX(Setup!$C$21:$C$60,MATCH(UPPER(TRIM($G644))&amp;"|"&amp;UPPER(TRIM($F644)),Setup!$P$21:$P$60,0)),"NO RATE"))))</f>
        <v/>
      </c>
      <c r="J644" s="98" t="n"/>
      <c r="K644" s="90">
        <f>IF(OR($G644="",$H644="",NOT(ISNUMBER($I644))),"",ROUND($H644*$I644*(1+IF($J644="",Setup!$B$16,$J644)),2))</f>
        <v/>
      </c>
      <c r="L644" s="90">
        <f>IF($K644="","",ROUND($K644*Setup!$B$13,2))</f>
        <v/>
      </c>
      <c r="M644" s="90">
        <f>IF($K644="","",$K644-$L644)</f>
        <v/>
      </c>
      <c r="N644" s="90">
        <f>IF(OR($M644="",$D644=""),"",ROUND($M644*IFERROR(IF(VLOOKUP($D644,Setup!$A$76:$C$87,3,FALSE)="",Setup!$B$14,VLOOKUP($D644,Setup!$A$76:$C$87,3,FALSE)),Setup!$B$14),2))</f>
        <v/>
      </c>
      <c r="O644" s="90">
        <f>IF(OR($M644="",$E644=""),"",ROUND($M644*IFERROR(IF(VLOOKUP($E644,Setup!$A$76:$C$87,3,FALSE)="",Setup!$B$15,VLOOKUP($E644,Setup!$A$76:$C$87,3,FALSE)),Setup!$B$15),2))</f>
        <v/>
      </c>
      <c r="P644" s="99" t="n"/>
      <c r="Q644" s="99" t="n"/>
      <c r="R644" s="99" t="n"/>
      <c r="S644" s="99" t="n"/>
      <c r="T644" s="99" t="n"/>
      <c r="U644" s="90">
        <f>IF($K644="","",SUM($R644:$T644))</f>
        <v/>
      </c>
      <c r="V644" s="90">
        <f>IF($K644="","",$M644-(N($N644)+N($O644)+IF($P644="",Setup!$B$17,$P644)+N($Q644))-N($U644))</f>
        <v/>
      </c>
      <c r="W644" s="95" t="n"/>
      <c r="X644" s="96" t="n"/>
      <c r="Z644" s="93">
        <f>IF($A644="","",DATE(YEAR($A644),MONTH($A644),1))</f>
        <v/>
      </c>
    </row>
    <row r="645">
      <c r="A645" s="86" t="n"/>
      <c r="B645" s="87" t="n"/>
      <c r="C645" s="87" t="n"/>
      <c r="D645" s="88" t="n"/>
      <c r="E645" s="88" t="n"/>
      <c r="F645" s="88" t="n"/>
      <c r="G645" s="88" t="n"/>
      <c r="H645" s="89" t="n"/>
      <c r="I645" s="90">
        <f>IF($G645="","",IF($F645="",IFERROR(INDEX(Setup!$C$21:$C$60,MATCH("|"&amp;UPPER(TRIM($G645)),Setup!$Q$21:$Q$60,0)),"NO RATE"),IFERROR(INDEX(Setup!$C$21:$C$60,MATCH(UPPER(TRIM($F645))&amp;"|"&amp;UPPER(TRIM($G645)),Setup!$P$21:$P$60,0)),IFERROR(INDEX(Setup!$C$21:$C$60,MATCH(UPPER(TRIM($G645))&amp;"|"&amp;UPPER(TRIM($F645)),Setup!$P$21:$P$60,0)),"NO RATE"))))</f>
        <v/>
      </c>
      <c r="J645" s="91" t="n"/>
      <c r="K645" s="90">
        <f>IF(OR($G645="",$H645="",NOT(ISNUMBER($I645))),"",ROUND($H645*$I645*(1+IF($J645="",Setup!$B$16,$J645)),2))</f>
        <v/>
      </c>
      <c r="L645" s="90">
        <f>IF($K645="","",ROUND($K645*Setup!$B$13,2))</f>
        <v/>
      </c>
      <c r="M645" s="90">
        <f>IF($K645="","",$K645-$L645)</f>
        <v/>
      </c>
      <c r="N645" s="90">
        <f>IF(OR($M645="",$D645=""),"",ROUND($M645*IFERROR(IF(VLOOKUP($D645,Setup!$A$76:$C$87,3,FALSE)="",Setup!$B$14,VLOOKUP($D645,Setup!$A$76:$C$87,3,FALSE)),Setup!$B$14),2))</f>
        <v/>
      </c>
      <c r="O645" s="90">
        <f>IF(OR($M645="",$E645=""),"",ROUND($M645*IFERROR(IF(VLOOKUP($E645,Setup!$A$76:$C$87,3,FALSE)="",Setup!$B$15,VLOOKUP($E645,Setup!$A$76:$C$87,3,FALSE)),Setup!$B$15),2))</f>
        <v/>
      </c>
      <c r="P645" s="92" t="n"/>
      <c r="Q645" s="92" t="n"/>
      <c r="R645" s="92" t="n"/>
      <c r="S645" s="92" t="n"/>
      <c r="T645" s="92" t="n"/>
      <c r="U645" s="90">
        <f>IF($K645="","",SUM($R645:$T645))</f>
        <v/>
      </c>
      <c r="V645" s="90">
        <f>IF($K645="","",$M645-(N($N645)+N($O645)+IF($P645="",Setup!$B$17,$P645)+N($Q645))-N($U645))</f>
        <v/>
      </c>
      <c r="W645" s="87" t="n"/>
      <c r="X645" s="88" t="n"/>
      <c r="Z645" s="93">
        <f>IF($A645="","",DATE(YEAR($A645),MONTH($A645),1))</f>
        <v/>
      </c>
    </row>
    <row r="646">
      <c r="A646" s="94" t="n"/>
      <c r="B646" s="95" t="n"/>
      <c r="C646" s="95" t="n"/>
      <c r="D646" s="96" t="n"/>
      <c r="E646" s="96" t="n"/>
      <c r="F646" s="96" t="n"/>
      <c r="G646" s="96" t="n"/>
      <c r="H646" s="97" t="n"/>
      <c r="I646" s="90">
        <f>IF($G646="","",IF($F646="",IFERROR(INDEX(Setup!$C$21:$C$60,MATCH("|"&amp;UPPER(TRIM($G646)),Setup!$Q$21:$Q$60,0)),"NO RATE"),IFERROR(INDEX(Setup!$C$21:$C$60,MATCH(UPPER(TRIM($F646))&amp;"|"&amp;UPPER(TRIM($G646)),Setup!$P$21:$P$60,0)),IFERROR(INDEX(Setup!$C$21:$C$60,MATCH(UPPER(TRIM($G646))&amp;"|"&amp;UPPER(TRIM($F646)),Setup!$P$21:$P$60,0)),"NO RATE"))))</f>
        <v/>
      </c>
      <c r="J646" s="98" t="n"/>
      <c r="K646" s="90">
        <f>IF(OR($G646="",$H646="",NOT(ISNUMBER($I646))),"",ROUND($H646*$I646*(1+IF($J646="",Setup!$B$16,$J646)),2))</f>
        <v/>
      </c>
      <c r="L646" s="90">
        <f>IF($K646="","",ROUND($K646*Setup!$B$13,2))</f>
        <v/>
      </c>
      <c r="M646" s="90">
        <f>IF($K646="","",$K646-$L646)</f>
        <v/>
      </c>
      <c r="N646" s="90">
        <f>IF(OR($M646="",$D646=""),"",ROUND($M646*IFERROR(IF(VLOOKUP($D646,Setup!$A$76:$C$87,3,FALSE)="",Setup!$B$14,VLOOKUP($D646,Setup!$A$76:$C$87,3,FALSE)),Setup!$B$14),2))</f>
        <v/>
      </c>
      <c r="O646" s="90">
        <f>IF(OR($M646="",$E646=""),"",ROUND($M646*IFERROR(IF(VLOOKUP($E646,Setup!$A$76:$C$87,3,FALSE)="",Setup!$B$15,VLOOKUP($E646,Setup!$A$76:$C$87,3,FALSE)),Setup!$B$15),2))</f>
        <v/>
      </c>
      <c r="P646" s="99" t="n"/>
      <c r="Q646" s="99" t="n"/>
      <c r="R646" s="99" t="n"/>
      <c r="S646" s="99" t="n"/>
      <c r="T646" s="99" t="n"/>
      <c r="U646" s="90">
        <f>IF($K646="","",SUM($R646:$T646))</f>
        <v/>
      </c>
      <c r="V646" s="90">
        <f>IF($K646="","",$M646-(N($N646)+N($O646)+IF($P646="",Setup!$B$17,$P646)+N($Q646))-N($U646))</f>
        <v/>
      </c>
      <c r="W646" s="95" t="n"/>
      <c r="X646" s="96" t="n"/>
      <c r="Z646" s="93">
        <f>IF($A646="","",DATE(YEAR($A646),MONTH($A646),1))</f>
        <v/>
      </c>
    </row>
    <row r="647">
      <c r="A647" s="86" t="n"/>
      <c r="B647" s="87" t="n"/>
      <c r="C647" s="87" t="n"/>
      <c r="D647" s="88" t="n"/>
      <c r="E647" s="88" t="n"/>
      <c r="F647" s="88" t="n"/>
      <c r="G647" s="88" t="n"/>
      <c r="H647" s="89" t="n"/>
      <c r="I647" s="90">
        <f>IF($G647="","",IF($F647="",IFERROR(INDEX(Setup!$C$21:$C$60,MATCH("|"&amp;UPPER(TRIM($G647)),Setup!$Q$21:$Q$60,0)),"NO RATE"),IFERROR(INDEX(Setup!$C$21:$C$60,MATCH(UPPER(TRIM($F647))&amp;"|"&amp;UPPER(TRIM($G647)),Setup!$P$21:$P$60,0)),IFERROR(INDEX(Setup!$C$21:$C$60,MATCH(UPPER(TRIM($G647))&amp;"|"&amp;UPPER(TRIM($F647)),Setup!$P$21:$P$60,0)),"NO RATE"))))</f>
        <v/>
      </c>
      <c r="J647" s="91" t="n"/>
      <c r="K647" s="90">
        <f>IF(OR($G647="",$H647="",NOT(ISNUMBER($I647))),"",ROUND($H647*$I647*(1+IF($J647="",Setup!$B$16,$J647)),2))</f>
        <v/>
      </c>
      <c r="L647" s="90">
        <f>IF($K647="","",ROUND($K647*Setup!$B$13,2))</f>
        <v/>
      </c>
      <c r="M647" s="90">
        <f>IF($K647="","",$K647-$L647)</f>
        <v/>
      </c>
      <c r="N647" s="90">
        <f>IF(OR($M647="",$D647=""),"",ROUND($M647*IFERROR(IF(VLOOKUP($D647,Setup!$A$76:$C$87,3,FALSE)="",Setup!$B$14,VLOOKUP($D647,Setup!$A$76:$C$87,3,FALSE)),Setup!$B$14),2))</f>
        <v/>
      </c>
      <c r="O647" s="90">
        <f>IF(OR($M647="",$E647=""),"",ROUND($M647*IFERROR(IF(VLOOKUP($E647,Setup!$A$76:$C$87,3,FALSE)="",Setup!$B$15,VLOOKUP($E647,Setup!$A$76:$C$87,3,FALSE)),Setup!$B$15),2))</f>
        <v/>
      </c>
      <c r="P647" s="92" t="n"/>
      <c r="Q647" s="92" t="n"/>
      <c r="R647" s="92" t="n"/>
      <c r="S647" s="92" t="n"/>
      <c r="T647" s="92" t="n"/>
      <c r="U647" s="90">
        <f>IF($K647="","",SUM($R647:$T647))</f>
        <v/>
      </c>
      <c r="V647" s="90">
        <f>IF($K647="","",$M647-(N($N647)+N($O647)+IF($P647="",Setup!$B$17,$P647)+N($Q647))-N($U647))</f>
        <v/>
      </c>
      <c r="W647" s="87" t="n"/>
      <c r="X647" s="88" t="n"/>
      <c r="Z647" s="93">
        <f>IF($A647="","",DATE(YEAR($A647),MONTH($A647),1))</f>
        <v/>
      </c>
    </row>
    <row r="648">
      <c r="A648" s="94" t="n"/>
      <c r="B648" s="95" t="n"/>
      <c r="C648" s="95" t="n"/>
      <c r="D648" s="96" t="n"/>
      <c r="E648" s="96" t="n"/>
      <c r="F648" s="96" t="n"/>
      <c r="G648" s="96" t="n"/>
      <c r="H648" s="97" t="n"/>
      <c r="I648" s="90">
        <f>IF($G648="","",IF($F648="",IFERROR(INDEX(Setup!$C$21:$C$60,MATCH("|"&amp;UPPER(TRIM($G648)),Setup!$Q$21:$Q$60,0)),"NO RATE"),IFERROR(INDEX(Setup!$C$21:$C$60,MATCH(UPPER(TRIM($F648))&amp;"|"&amp;UPPER(TRIM($G648)),Setup!$P$21:$P$60,0)),IFERROR(INDEX(Setup!$C$21:$C$60,MATCH(UPPER(TRIM($G648))&amp;"|"&amp;UPPER(TRIM($F648)),Setup!$P$21:$P$60,0)),"NO RATE"))))</f>
        <v/>
      </c>
      <c r="J648" s="98" t="n"/>
      <c r="K648" s="90">
        <f>IF(OR($G648="",$H648="",NOT(ISNUMBER($I648))),"",ROUND($H648*$I648*(1+IF($J648="",Setup!$B$16,$J648)),2))</f>
        <v/>
      </c>
      <c r="L648" s="90">
        <f>IF($K648="","",ROUND($K648*Setup!$B$13,2))</f>
        <v/>
      </c>
      <c r="M648" s="90">
        <f>IF($K648="","",$K648-$L648)</f>
        <v/>
      </c>
      <c r="N648" s="90">
        <f>IF(OR($M648="",$D648=""),"",ROUND($M648*IFERROR(IF(VLOOKUP($D648,Setup!$A$76:$C$87,3,FALSE)="",Setup!$B$14,VLOOKUP($D648,Setup!$A$76:$C$87,3,FALSE)),Setup!$B$14),2))</f>
        <v/>
      </c>
      <c r="O648" s="90">
        <f>IF(OR($M648="",$E648=""),"",ROUND($M648*IFERROR(IF(VLOOKUP($E648,Setup!$A$76:$C$87,3,FALSE)="",Setup!$B$15,VLOOKUP($E648,Setup!$A$76:$C$87,3,FALSE)),Setup!$B$15),2))</f>
        <v/>
      </c>
      <c r="P648" s="99" t="n"/>
      <c r="Q648" s="99" t="n"/>
      <c r="R648" s="99" t="n"/>
      <c r="S648" s="99" t="n"/>
      <c r="T648" s="99" t="n"/>
      <c r="U648" s="90">
        <f>IF($K648="","",SUM($R648:$T648))</f>
        <v/>
      </c>
      <c r="V648" s="90">
        <f>IF($K648="","",$M648-(N($N648)+N($O648)+IF($P648="",Setup!$B$17,$P648)+N($Q648))-N($U648))</f>
        <v/>
      </c>
      <c r="W648" s="95" t="n"/>
      <c r="X648" s="96" t="n"/>
      <c r="Z648" s="93">
        <f>IF($A648="","",DATE(YEAR($A648),MONTH($A648),1))</f>
        <v/>
      </c>
    </row>
    <row r="649">
      <c r="A649" s="86" t="n"/>
      <c r="B649" s="87" t="n"/>
      <c r="C649" s="87" t="n"/>
      <c r="D649" s="88" t="n"/>
      <c r="E649" s="88" t="n"/>
      <c r="F649" s="88" t="n"/>
      <c r="G649" s="88" t="n"/>
      <c r="H649" s="89" t="n"/>
      <c r="I649" s="90">
        <f>IF($G649="","",IF($F649="",IFERROR(INDEX(Setup!$C$21:$C$60,MATCH("|"&amp;UPPER(TRIM($G649)),Setup!$Q$21:$Q$60,0)),"NO RATE"),IFERROR(INDEX(Setup!$C$21:$C$60,MATCH(UPPER(TRIM($F649))&amp;"|"&amp;UPPER(TRIM($G649)),Setup!$P$21:$P$60,0)),IFERROR(INDEX(Setup!$C$21:$C$60,MATCH(UPPER(TRIM($G649))&amp;"|"&amp;UPPER(TRIM($F649)),Setup!$P$21:$P$60,0)),"NO RATE"))))</f>
        <v/>
      </c>
      <c r="J649" s="91" t="n"/>
      <c r="K649" s="90">
        <f>IF(OR($G649="",$H649="",NOT(ISNUMBER($I649))),"",ROUND($H649*$I649*(1+IF($J649="",Setup!$B$16,$J649)),2))</f>
        <v/>
      </c>
      <c r="L649" s="90">
        <f>IF($K649="","",ROUND($K649*Setup!$B$13,2))</f>
        <v/>
      </c>
      <c r="M649" s="90">
        <f>IF($K649="","",$K649-$L649)</f>
        <v/>
      </c>
      <c r="N649" s="90">
        <f>IF(OR($M649="",$D649=""),"",ROUND($M649*IFERROR(IF(VLOOKUP($D649,Setup!$A$76:$C$87,3,FALSE)="",Setup!$B$14,VLOOKUP($D649,Setup!$A$76:$C$87,3,FALSE)),Setup!$B$14),2))</f>
        <v/>
      </c>
      <c r="O649" s="90">
        <f>IF(OR($M649="",$E649=""),"",ROUND($M649*IFERROR(IF(VLOOKUP($E649,Setup!$A$76:$C$87,3,FALSE)="",Setup!$B$15,VLOOKUP($E649,Setup!$A$76:$C$87,3,FALSE)),Setup!$B$15),2))</f>
        <v/>
      </c>
      <c r="P649" s="92" t="n"/>
      <c r="Q649" s="92" t="n"/>
      <c r="R649" s="92" t="n"/>
      <c r="S649" s="92" t="n"/>
      <c r="T649" s="92" t="n"/>
      <c r="U649" s="90">
        <f>IF($K649="","",SUM($R649:$T649))</f>
        <v/>
      </c>
      <c r="V649" s="90">
        <f>IF($K649="","",$M649-(N($N649)+N($O649)+IF($P649="",Setup!$B$17,$P649)+N($Q649))-N($U649))</f>
        <v/>
      </c>
      <c r="W649" s="87" t="n"/>
      <c r="X649" s="88" t="n"/>
      <c r="Z649" s="93">
        <f>IF($A649="","",DATE(YEAR($A649),MONTH($A649),1))</f>
        <v/>
      </c>
    </row>
    <row r="650">
      <c r="A650" s="94" t="n"/>
      <c r="B650" s="95" t="n"/>
      <c r="C650" s="95" t="n"/>
      <c r="D650" s="96" t="n"/>
      <c r="E650" s="96" t="n"/>
      <c r="F650" s="96" t="n"/>
      <c r="G650" s="96" t="n"/>
      <c r="H650" s="97" t="n"/>
      <c r="I650" s="90">
        <f>IF($G650="","",IF($F650="",IFERROR(INDEX(Setup!$C$21:$C$60,MATCH("|"&amp;UPPER(TRIM($G650)),Setup!$Q$21:$Q$60,0)),"NO RATE"),IFERROR(INDEX(Setup!$C$21:$C$60,MATCH(UPPER(TRIM($F650))&amp;"|"&amp;UPPER(TRIM($G650)),Setup!$P$21:$P$60,0)),IFERROR(INDEX(Setup!$C$21:$C$60,MATCH(UPPER(TRIM($G650))&amp;"|"&amp;UPPER(TRIM($F650)),Setup!$P$21:$P$60,0)),"NO RATE"))))</f>
        <v/>
      </c>
      <c r="J650" s="98" t="n"/>
      <c r="K650" s="90">
        <f>IF(OR($G650="",$H650="",NOT(ISNUMBER($I650))),"",ROUND($H650*$I650*(1+IF($J650="",Setup!$B$16,$J650)),2))</f>
        <v/>
      </c>
      <c r="L650" s="90">
        <f>IF($K650="","",ROUND($K650*Setup!$B$13,2))</f>
        <v/>
      </c>
      <c r="M650" s="90">
        <f>IF($K650="","",$K650-$L650)</f>
        <v/>
      </c>
      <c r="N650" s="90">
        <f>IF(OR($M650="",$D650=""),"",ROUND($M650*IFERROR(IF(VLOOKUP($D650,Setup!$A$76:$C$87,3,FALSE)="",Setup!$B$14,VLOOKUP($D650,Setup!$A$76:$C$87,3,FALSE)),Setup!$B$14),2))</f>
        <v/>
      </c>
      <c r="O650" s="90">
        <f>IF(OR($M650="",$E650=""),"",ROUND($M650*IFERROR(IF(VLOOKUP($E650,Setup!$A$76:$C$87,3,FALSE)="",Setup!$B$15,VLOOKUP($E650,Setup!$A$76:$C$87,3,FALSE)),Setup!$B$15),2))</f>
        <v/>
      </c>
      <c r="P650" s="99" t="n"/>
      <c r="Q650" s="99" t="n"/>
      <c r="R650" s="99" t="n"/>
      <c r="S650" s="99" t="n"/>
      <c r="T650" s="99" t="n"/>
      <c r="U650" s="90">
        <f>IF($K650="","",SUM($R650:$T650))</f>
        <v/>
      </c>
      <c r="V650" s="90">
        <f>IF($K650="","",$M650-(N($N650)+N($O650)+IF($P650="",Setup!$B$17,$P650)+N($Q650))-N($U650))</f>
        <v/>
      </c>
      <c r="W650" s="95" t="n"/>
      <c r="X650" s="96" t="n"/>
      <c r="Z650" s="93">
        <f>IF($A650="","",DATE(YEAR($A650),MONTH($A650),1))</f>
        <v/>
      </c>
    </row>
    <row r="651">
      <c r="A651" s="86" t="n"/>
      <c r="B651" s="87" t="n"/>
      <c r="C651" s="87" t="n"/>
      <c r="D651" s="88" t="n"/>
      <c r="E651" s="88" t="n"/>
      <c r="F651" s="88" t="n"/>
      <c r="G651" s="88" t="n"/>
      <c r="H651" s="89" t="n"/>
      <c r="I651" s="90">
        <f>IF($G651="","",IF($F651="",IFERROR(INDEX(Setup!$C$21:$C$60,MATCH("|"&amp;UPPER(TRIM($G651)),Setup!$Q$21:$Q$60,0)),"NO RATE"),IFERROR(INDEX(Setup!$C$21:$C$60,MATCH(UPPER(TRIM($F651))&amp;"|"&amp;UPPER(TRIM($G651)),Setup!$P$21:$P$60,0)),IFERROR(INDEX(Setup!$C$21:$C$60,MATCH(UPPER(TRIM($G651))&amp;"|"&amp;UPPER(TRIM($F651)),Setup!$P$21:$P$60,0)),"NO RATE"))))</f>
        <v/>
      </c>
      <c r="J651" s="91" t="n"/>
      <c r="K651" s="90">
        <f>IF(OR($G651="",$H651="",NOT(ISNUMBER($I651))),"",ROUND($H651*$I651*(1+IF($J651="",Setup!$B$16,$J651)),2))</f>
        <v/>
      </c>
      <c r="L651" s="90">
        <f>IF($K651="","",ROUND($K651*Setup!$B$13,2))</f>
        <v/>
      </c>
      <c r="M651" s="90">
        <f>IF($K651="","",$K651-$L651)</f>
        <v/>
      </c>
      <c r="N651" s="90">
        <f>IF(OR($M651="",$D651=""),"",ROUND($M651*IFERROR(IF(VLOOKUP($D651,Setup!$A$76:$C$87,3,FALSE)="",Setup!$B$14,VLOOKUP($D651,Setup!$A$76:$C$87,3,FALSE)),Setup!$B$14),2))</f>
        <v/>
      </c>
      <c r="O651" s="90">
        <f>IF(OR($M651="",$E651=""),"",ROUND($M651*IFERROR(IF(VLOOKUP($E651,Setup!$A$76:$C$87,3,FALSE)="",Setup!$B$15,VLOOKUP($E651,Setup!$A$76:$C$87,3,FALSE)),Setup!$B$15),2))</f>
        <v/>
      </c>
      <c r="P651" s="92" t="n"/>
      <c r="Q651" s="92" t="n"/>
      <c r="R651" s="92" t="n"/>
      <c r="S651" s="92" t="n"/>
      <c r="T651" s="92" t="n"/>
      <c r="U651" s="90">
        <f>IF($K651="","",SUM($R651:$T651))</f>
        <v/>
      </c>
      <c r="V651" s="90">
        <f>IF($K651="","",$M651-(N($N651)+N($O651)+IF($P651="",Setup!$B$17,$P651)+N($Q651))-N($U651))</f>
        <v/>
      </c>
      <c r="W651" s="87" t="n"/>
      <c r="X651" s="88" t="n"/>
      <c r="Z651" s="93">
        <f>IF($A651="","",DATE(YEAR($A651),MONTH($A651),1))</f>
        <v/>
      </c>
    </row>
    <row r="652">
      <c r="A652" s="94" t="n"/>
      <c r="B652" s="95" t="n"/>
      <c r="C652" s="95" t="n"/>
      <c r="D652" s="96" t="n"/>
      <c r="E652" s="96" t="n"/>
      <c r="F652" s="96" t="n"/>
      <c r="G652" s="96" t="n"/>
      <c r="H652" s="97" t="n"/>
      <c r="I652" s="90">
        <f>IF($G652="","",IF($F652="",IFERROR(INDEX(Setup!$C$21:$C$60,MATCH("|"&amp;UPPER(TRIM($G652)),Setup!$Q$21:$Q$60,0)),"NO RATE"),IFERROR(INDEX(Setup!$C$21:$C$60,MATCH(UPPER(TRIM($F652))&amp;"|"&amp;UPPER(TRIM($G652)),Setup!$P$21:$P$60,0)),IFERROR(INDEX(Setup!$C$21:$C$60,MATCH(UPPER(TRIM($G652))&amp;"|"&amp;UPPER(TRIM($F652)),Setup!$P$21:$P$60,0)),"NO RATE"))))</f>
        <v/>
      </c>
      <c r="J652" s="98" t="n"/>
      <c r="K652" s="90">
        <f>IF(OR($G652="",$H652="",NOT(ISNUMBER($I652))),"",ROUND($H652*$I652*(1+IF($J652="",Setup!$B$16,$J652)),2))</f>
        <v/>
      </c>
      <c r="L652" s="90">
        <f>IF($K652="","",ROUND($K652*Setup!$B$13,2))</f>
        <v/>
      </c>
      <c r="M652" s="90">
        <f>IF($K652="","",$K652-$L652)</f>
        <v/>
      </c>
      <c r="N652" s="90">
        <f>IF(OR($M652="",$D652=""),"",ROUND($M652*IFERROR(IF(VLOOKUP($D652,Setup!$A$76:$C$87,3,FALSE)="",Setup!$B$14,VLOOKUP($D652,Setup!$A$76:$C$87,3,FALSE)),Setup!$B$14),2))</f>
        <v/>
      </c>
      <c r="O652" s="90">
        <f>IF(OR($M652="",$E652=""),"",ROUND($M652*IFERROR(IF(VLOOKUP($E652,Setup!$A$76:$C$87,3,FALSE)="",Setup!$B$15,VLOOKUP($E652,Setup!$A$76:$C$87,3,FALSE)),Setup!$B$15),2))</f>
        <v/>
      </c>
      <c r="P652" s="99" t="n"/>
      <c r="Q652" s="99" t="n"/>
      <c r="R652" s="99" t="n"/>
      <c r="S652" s="99" t="n"/>
      <c r="T652" s="99" t="n"/>
      <c r="U652" s="90">
        <f>IF($K652="","",SUM($R652:$T652))</f>
        <v/>
      </c>
      <c r="V652" s="90">
        <f>IF($K652="","",$M652-(N($N652)+N($O652)+IF($P652="",Setup!$B$17,$P652)+N($Q652))-N($U652))</f>
        <v/>
      </c>
      <c r="W652" s="95" t="n"/>
      <c r="X652" s="96" t="n"/>
      <c r="Z652" s="93">
        <f>IF($A652="","",DATE(YEAR($A652),MONTH($A652),1))</f>
        <v/>
      </c>
    </row>
    <row r="653">
      <c r="A653" s="86" t="n"/>
      <c r="B653" s="87" t="n"/>
      <c r="C653" s="87" t="n"/>
      <c r="D653" s="88" t="n"/>
      <c r="E653" s="88" t="n"/>
      <c r="F653" s="88" t="n"/>
      <c r="G653" s="88" t="n"/>
      <c r="H653" s="89" t="n"/>
      <c r="I653" s="90">
        <f>IF($G653="","",IF($F653="",IFERROR(INDEX(Setup!$C$21:$C$60,MATCH("|"&amp;UPPER(TRIM($G653)),Setup!$Q$21:$Q$60,0)),"NO RATE"),IFERROR(INDEX(Setup!$C$21:$C$60,MATCH(UPPER(TRIM($F653))&amp;"|"&amp;UPPER(TRIM($G653)),Setup!$P$21:$P$60,0)),IFERROR(INDEX(Setup!$C$21:$C$60,MATCH(UPPER(TRIM($G653))&amp;"|"&amp;UPPER(TRIM($F653)),Setup!$P$21:$P$60,0)),"NO RATE"))))</f>
        <v/>
      </c>
      <c r="J653" s="91" t="n"/>
      <c r="K653" s="90">
        <f>IF(OR($G653="",$H653="",NOT(ISNUMBER($I653))),"",ROUND($H653*$I653*(1+IF($J653="",Setup!$B$16,$J653)),2))</f>
        <v/>
      </c>
      <c r="L653" s="90">
        <f>IF($K653="","",ROUND($K653*Setup!$B$13,2))</f>
        <v/>
      </c>
      <c r="M653" s="90">
        <f>IF($K653="","",$K653-$L653)</f>
        <v/>
      </c>
      <c r="N653" s="90">
        <f>IF(OR($M653="",$D653=""),"",ROUND($M653*IFERROR(IF(VLOOKUP($D653,Setup!$A$76:$C$87,3,FALSE)="",Setup!$B$14,VLOOKUP($D653,Setup!$A$76:$C$87,3,FALSE)),Setup!$B$14),2))</f>
        <v/>
      </c>
      <c r="O653" s="90">
        <f>IF(OR($M653="",$E653=""),"",ROUND($M653*IFERROR(IF(VLOOKUP($E653,Setup!$A$76:$C$87,3,FALSE)="",Setup!$B$15,VLOOKUP($E653,Setup!$A$76:$C$87,3,FALSE)),Setup!$B$15),2))</f>
        <v/>
      </c>
      <c r="P653" s="92" t="n"/>
      <c r="Q653" s="92" t="n"/>
      <c r="R653" s="92" t="n"/>
      <c r="S653" s="92" t="n"/>
      <c r="T653" s="92" t="n"/>
      <c r="U653" s="90">
        <f>IF($K653="","",SUM($R653:$T653))</f>
        <v/>
      </c>
      <c r="V653" s="90">
        <f>IF($K653="","",$M653-(N($N653)+N($O653)+IF($P653="",Setup!$B$17,$P653)+N($Q653))-N($U653))</f>
        <v/>
      </c>
      <c r="W653" s="87" t="n"/>
      <c r="X653" s="88" t="n"/>
      <c r="Z653" s="93">
        <f>IF($A653="","",DATE(YEAR($A653),MONTH($A653),1))</f>
        <v/>
      </c>
    </row>
    <row r="654">
      <c r="A654" s="94" t="n"/>
      <c r="B654" s="95" t="n"/>
      <c r="C654" s="95" t="n"/>
      <c r="D654" s="96" t="n"/>
      <c r="E654" s="96" t="n"/>
      <c r="F654" s="96" t="n"/>
      <c r="G654" s="96" t="n"/>
      <c r="H654" s="97" t="n"/>
      <c r="I654" s="90">
        <f>IF($G654="","",IF($F654="",IFERROR(INDEX(Setup!$C$21:$C$60,MATCH("|"&amp;UPPER(TRIM($G654)),Setup!$Q$21:$Q$60,0)),"NO RATE"),IFERROR(INDEX(Setup!$C$21:$C$60,MATCH(UPPER(TRIM($F654))&amp;"|"&amp;UPPER(TRIM($G654)),Setup!$P$21:$P$60,0)),IFERROR(INDEX(Setup!$C$21:$C$60,MATCH(UPPER(TRIM($G654))&amp;"|"&amp;UPPER(TRIM($F654)),Setup!$P$21:$P$60,0)),"NO RATE"))))</f>
        <v/>
      </c>
      <c r="J654" s="98" t="n"/>
      <c r="K654" s="90">
        <f>IF(OR($G654="",$H654="",NOT(ISNUMBER($I654))),"",ROUND($H654*$I654*(1+IF($J654="",Setup!$B$16,$J654)),2))</f>
        <v/>
      </c>
      <c r="L654" s="90">
        <f>IF($K654="","",ROUND($K654*Setup!$B$13,2))</f>
        <v/>
      </c>
      <c r="M654" s="90">
        <f>IF($K654="","",$K654-$L654)</f>
        <v/>
      </c>
      <c r="N654" s="90">
        <f>IF(OR($M654="",$D654=""),"",ROUND($M654*IFERROR(IF(VLOOKUP($D654,Setup!$A$76:$C$87,3,FALSE)="",Setup!$B$14,VLOOKUP($D654,Setup!$A$76:$C$87,3,FALSE)),Setup!$B$14),2))</f>
        <v/>
      </c>
      <c r="O654" s="90">
        <f>IF(OR($M654="",$E654=""),"",ROUND($M654*IFERROR(IF(VLOOKUP($E654,Setup!$A$76:$C$87,3,FALSE)="",Setup!$B$15,VLOOKUP($E654,Setup!$A$76:$C$87,3,FALSE)),Setup!$B$15),2))</f>
        <v/>
      </c>
      <c r="P654" s="99" t="n"/>
      <c r="Q654" s="99" t="n"/>
      <c r="R654" s="99" t="n"/>
      <c r="S654" s="99" t="n"/>
      <c r="T654" s="99" t="n"/>
      <c r="U654" s="90">
        <f>IF($K654="","",SUM($R654:$T654))</f>
        <v/>
      </c>
      <c r="V654" s="90">
        <f>IF($K654="","",$M654-(N($N654)+N($O654)+IF($P654="",Setup!$B$17,$P654)+N($Q654))-N($U654))</f>
        <v/>
      </c>
      <c r="W654" s="95" t="n"/>
      <c r="X654" s="96" t="n"/>
      <c r="Z654" s="93">
        <f>IF($A654="","",DATE(YEAR($A654),MONTH($A654),1))</f>
        <v/>
      </c>
    </row>
    <row r="655">
      <c r="A655" s="86" t="n"/>
      <c r="B655" s="87" t="n"/>
      <c r="C655" s="87" t="n"/>
      <c r="D655" s="88" t="n"/>
      <c r="E655" s="88" t="n"/>
      <c r="F655" s="88" t="n"/>
      <c r="G655" s="88" t="n"/>
      <c r="H655" s="89" t="n"/>
      <c r="I655" s="90">
        <f>IF($G655="","",IF($F655="",IFERROR(INDEX(Setup!$C$21:$C$60,MATCH("|"&amp;UPPER(TRIM($G655)),Setup!$Q$21:$Q$60,0)),"NO RATE"),IFERROR(INDEX(Setup!$C$21:$C$60,MATCH(UPPER(TRIM($F655))&amp;"|"&amp;UPPER(TRIM($G655)),Setup!$P$21:$P$60,0)),IFERROR(INDEX(Setup!$C$21:$C$60,MATCH(UPPER(TRIM($G655))&amp;"|"&amp;UPPER(TRIM($F655)),Setup!$P$21:$P$60,0)),"NO RATE"))))</f>
        <v/>
      </c>
      <c r="J655" s="91" t="n"/>
      <c r="K655" s="90">
        <f>IF(OR($G655="",$H655="",NOT(ISNUMBER($I655))),"",ROUND($H655*$I655*(1+IF($J655="",Setup!$B$16,$J655)),2))</f>
        <v/>
      </c>
      <c r="L655" s="90">
        <f>IF($K655="","",ROUND($K655*Setup!$B$13,2))</f>
        <v/>
      </c>
      <c r="M655" s="90">
        <f>IF($K655="","",$K655-$L655)</f>
        <v/>
      </c>
      <c r="N655" s="90">
        <f>IF(OR($M655="",$D655=""),"",ROUND($M655*IFERROR(IF(VLOOKUP($D655,Setup!$A$76:$C$87,3,FALSE)="",Setup!$B$14,VLOOKUP($D655,Setup!$A$76:$C$87,3,FALSE)),Setup!$B$14),2))</f>
        <v/>
      </c>
      <c r="O655" s="90">
        <f>IF(OR($M655="",$E655=""),"",ROUND($M655*IFERROR(IF(VLOOKUP($E655,Setup!$A$76:$C$87,3,FALSE)="",Setup!$B$15,VLOOKUP($E655,Setup!$A$76:$C$87,3,FALSE)),Setup!$B$15),2))</f>
        <v/>
      </c>
      <c r="P655" s="92" t="n"/>
      <c r="Q655" s="92" t="n"/>
      <c r="R655" s="92" t="n"/>
      <c r="S655" s="92" t="n"/>
      <c r="T655" s="92" t="n"/>
      <c r="U655" s="90">
        <f>IF($K655="","",SUM($R655:$T655))</f>
        <v/>
      </c>
      <c r="V655" s="90">
        <f>IF($K655="","",$M655-(N($N655)+N($O655)+IF($P655="",Setup!$B$17,$P655)+N($Q655))-N($U655))</f>
        <v/>
      </c>
      <c r="W655" s="87" t="n"/>
      <c r="X655" s="88" t="n"/>
      <c r="Z655" s="93">
        <f>IF($A655="","",DATE(YEAR($A655),MONTH($A655),1))</f>
        <v/>
      </c>
    </row>
    <row r="656">
      <c r="A656" s="94" t="n"/>
      <c r="B656" s="95" t="n"/>
      <c r="C656" s="95" t="n"/>
      <c r="D656" s="96" t="n"/>
      <c r="E656" s="96" t="n"/>
      <c r="F656" s="96" t="n"/>
      <c r="G656" s="96" t="n"/>
      <c r="H656" s="97" t="n"/>
      <c r="I656" s="90">
        <f>IF($G656="","",IF($F656="",IFERROR(INDEX(Setup!$C$21:$C$60,MATCH("|"&amp;UPPER(TRIM($G656)),Setup!$Q$21:$Q$60,0)),"NO RATE"),IFERROR(INDEX(Setup!$C$21:$C$60,MATCH(UPPER(TRIM($F656))&amp;"|"&amp;UPPER(TRIM($G656)),Setup!$P$21:$P$60,0)),IFERROR(INDEX(Setup!$C$21:$C$60,MATCH(UPPER(TRIM($G656))&amp;"|"&amp;UPPER(TRIM($F656)),Setup!$P$21:$P$60,0)),"NO RATE"))))</f>
        <v/>
      </c>
      <c r="J656" s="98" t="n"/>
      <c r="K656" s="90">
        <f>IF(OR($G656="",$H656="",NOT(ISNUMBER($I656))),"",ROUND($H656*$I656*(1+IF($J656="",Setup!$B$16,$J656)),2))</f>
        <v/>
      </c>
      <c r="L656" s="90">
        <f>IF($K656="","",ROUND($K656*Setup!$B$13,2))</f>
        <v/>
      </c>
      <c r="M656" s="90">
        <f>IF($K656="","",$K656-$L656)</f>
        <v/>
      </c>
      <c r="N656" s="90">
        <f>IF(OR($M656="",$D656=""),"",ROUND($M656*IFERROR(IF(VLOOKUP($D656,Setup!$A$76:$C$87,3,FALSE)="",Setup!$B$14,VLOOKUP($D656,Setup!$A$76:$C$87,3,FALSE)),Setup!$B$14),2))</f>
        <v/>
      </c>
      <c r="O656" s="90">
        <f>IF(OR($M656="",$E656=""),"",ROUND($M656*IFERROR(IF(VLOOKUP($E656,Setup!$A$76:$C$87,3,FALSE)="",Setup!$B$15,VLOOKUP($E656,Setup!$A$76:$C$87,3,FALSE)),Setup!$B$15),2))</f>
        <v/>
      </c>
      <c r="P656" s="99" t="n"/>
      <c r="Q656" s="99" t="n"/>
      <c r="R656" s="99" t="n"/>
      <c r="S656" s="99" t="n"/>
      <c r="T656" s="99" t="n"/>
      <c r="U656" s="90">
        <f>IF($K656="","",SUM($R656:$T656))</f>
        <v/>
      </c>
      <c r="V656" s="90">
        <f>IF($K656="","",$M656-(N($N656)+N($O656)+IF($P656="",Setup!$B$17,$P656)+N($Q656))-N($U656))</f>
        <v/>
      </c>
      <c r="W656" s="95" t="n"/>
      <c r="X656" s="96" t="n"/>
      <c r="Z656" s="93">
        <f>IF($A656="","",DATE(YEAR($A656),MONTH($A656),1))</f>
        <v/>
      </c>
    </row>
    <row r="657">
      <c r="A657" s="86" t="n"/>
      <c r="B657" s="87" t="n"/>
      <c r="C657" s="87" t="n"/>
      <c r="D657" s="88" t="n"/>
      <c r="E657" s="88" t="n"/>
      <c r="F657" s="88" t="n"/>
      <c r="G657" s="88" t="n"/>
      <c r="H657" s="89" t="n"/>
      <c r="I657" s="90">
        <f>IF($G657="","",IF($F657="",IFERROR(INDEX(Setup!$C$21:$C$60,MATCH("|"&amp;UPPER(TRIM($G657)),Setup!$Q$21:$Q$60,0)),"NO RATE"),IFERROR(INDEX(Setup!$C$21:$C$60,MATCH(UPPER(TRIM($F657))&amp;"|"&amp;UPPER(TRIM($G657)),Setup!$P$21:$P$60,0)),IFERROR(INDEX(Setup!$C$21:$C$60,MATCH(UPPER(TRIM($G657))&amp;"|"&amp;UPPER(TRIM($F657)),Setup!$P$21:$P$60,0)),"NO RATE"))))</f>
        <v/>
      </c>
      <c r="J657" s="91" t="n"/>
      <c r="K657" s="90">
        <f>IF(OR($G657="",$H657="",NOT(ISNUMBER($I657))),"",ROUND($H657*$I657*(1+IF($J657="",Setup!$B$16,$J657)),2))</f>
        <v/>
      </c>
      <c r="L657" s="90">
        <f>IF($K657="","",ROUND($K657*Setup!$B$13,2))</f>
        <v/>
      </c>
      <c r="M657" s="90">
        <f>IF($K657="","",$K657-$L657)</f>
        <v/>
      </c>
      <c r="N657" s="90">
        <f>IF(OR($M657="",$D657=""),"",ROUND($M657*IFERROR(IF(VLOOKUP($D657,Setup!$A$76:$C$87,3,FALSE)="",Setup!$B$14,VLOOKUP($D657,Setup!$A$76:$C$87,3,FALSE)),Setup!$B$14),2))</f>
        <v/>
      </c>
      <c r="O657" s="90">
        <f>IF(OR($M657="",$E657=""),"",ROUND($M657*IFERROR(IF(VLOOKUP($E657,Setup!$A$76:$C$87,3,FALSE)="",Setup!$B$15,VLOOKUP($E657,Setup!$A$76:$C$87,3,FALSE)),Setup!$B$15),2))</f>
        <v/>
      </c>
      <c r="P657" s="92" t="n"/>
      <c r="Q657" s="92" t="n"/>
      <c r="R657" s="92" t="n"/>
      <c r="S657" s="92" t="n"/>
      <c r="T657" s="92" t="n"/>
      <c r="U657" s="90">
        <f>IF($K657="","",SUM($R657:$T657))</f>
        <v/>
      </c>
      <c r="V657" s="90">
        <f>IF($K657="","",$M657-(N($N657)+N($O657)+IF($P657="",Setup!$B$17,$P657)+N($Q657))-N($U657))</f>
        <v/>
      </c>
      <c r="W657" s="87" t="n"/>
      <c r="X657" s="88" t="n"/>
      <c r="Z657" s="93">
        <f>IF($A657="","",DATE(YEAR($A657),MONTH($A657),1))</f>
        <v/>
      </c>
    </row>
    <row r="658">
      <c r="A658" s="94" t="n"/>
      <c r="B658" s="95" t="n"/>
      <c r="C658" s="95" t="n"/>
      <c r="D658" s="96" t="n"/>
      <c r="E658" s="96" t="n"/>
      <c r="F658" s="96" t="n"/>
      <c r="G658" s="96" t="n"/>
      <c r="H658" s="97" t="n"/>
      <c r="I658" s="90">
        <f>IF($G658="","",IF($F658="",IFERROR(INDEX(Setup!$C$21:$C$60,MATCH("|"&amp;UPPER(TRIM($G658)),Setup!$Q$21:$Q$60,0)),"NO RATE"),IFERROR(INDEX(Setup!$C$21:$C$60,MATCH(UPPER(TRIM($F658))&amp;"|"&amp;UPPER(TRIM($G658)),Setup!$P$21:$P$60,0)),IFERROR(INDEX(Setup!$C$21:$C$60,MATCH(UPPER(TRIM($G658))&amp;"|"&amp;UPPER(TRIM($F658)),Setup!$P$21:$P$60,0)),"NO RATE"))))</f>
        <v/>
      </c>
      <c r="J658" s="98" t="n"/>
      <c r="K658" s="90">
        <f>IF(OR($G658="",$H658="",NOT(ISNUMBER($I658))),"",ROUND($H658*$I658*(1+IF($J658="",Setup!$B$16,$J658)),2))</f>
        <v/>
      </c>
      <c r="L658" s="90">
        <f>IF($K658="","",ROUND($K658*Setup!$B$13,2))</f>
        <v/>
      </c>
      <c r="M658" s="90">
        <f>IF($K658="","",$K658-$L658)</f>
        <v/>
      </c>
      <c r="N658" s="90">
        <f>IF(OR($M658="",$D658=""),"",ROUND($M658*IFERROR(IF(VLOOKUP($D658,Setup!$A$76:$C$87,3,FALSE)="",Setup!$B$14,VLOOKUP($D658,Setup!$A$76:$C$87,3,FALSE)),Setup!$B$14),2))</f>
        <v/>
      </c>
      <c r="O658" s="90">
        <f>IF(OR($M658="",$E658=""),"",ROUND($M658*IFERROR(IF(VLOOKUP($E658,Setup!$A$76:$C$87,3,FALSE)="",Setup!$B$15,VLOOKUP($E658,Setup!$A$76:$C$87,3,FALSE)),Setup!$B$15),2))</f>
        <v/>
      </c>
      <c r="P658" s="99" t="n"/>
      <c r="Q658" s="99" t="n"/>
      <c r="R658" s="99" t="n"/>
      <c r="S658" s="99" t="n"/>
      <c r="T658" s="99" t="n"/>
      <c r="U658" s="90">
        <f>IF($K658="","",SUM($R658:$T658))</f>
        <v/>
      </c>
      <c r="V658" s="90">
        <f>IF($K658="","",$M658-(N($N658)+N($O658)+IF($P658="",Setup!$B$17,$P658)+N($Q658))-N($U658))</f>
        <v/>
      </c>
      <c r="W658" s="95" t="n"/>
      <c r="X658" s="96" t="n"/>
      <c r="Z658" s="93">
        <f>IF($A658="","",DATE(YEAR($A658),MONTH($A658),1))</f>
        <v/>
      </c>
    </row>
    <row r="659">
      <c r="A659" s="86" t="n"/>
      <c r="B659" s="87" t="n"/>
      <c r="C659" s="87" t="n"/>
      <c r="D659" s="88" t="n"/>
      <c r="E659" s="88" t="n"/>
      <c r="F659" s="88" t="n"/>
      <c r="G659" s="88" t="n"/>
      <c r="H659" s="89" t="n"/>
      <c r="I659" s="90">
        <f>IF($G659="","",IF($F659="",IFERROR(INDEX(Setup!$C$21:$C$60,MATCH("|"&amp;UPPER(TRIM($G659)),Setup!$Q$21:$Q$60,0)),"NO RATE"),IFERROR(INDEX(Setup!$C$21:$C$60,MATCH(UPPER(TRIM($F659))&amp;"|"&amp;UPPER(TRIM($G659)),Setup!$P$21:$P$60,0)),IFERROR(INDEX(Setup!$C$21:$C$60,MATCH(UPPER(TRIM($G659))&amp;"|"&amp;UPPER(TRIM($F659)),Setup!$P$21:$P$60,0)),"NO RATE"))))</f>
        <v/>
      </c>
      <c r="J659" s="91" t="n"/>
      <c r="K659" s="90">
        <f>IF(OR($G659="",$H659="",NOT(ISNUMBER($I659))),"",ROUND($H659*$I659*(1+IF($J659="",Setup!$B$16,$J659)),2))</f>
        <v/>
      </c>
      <c r="L659" s="90">
        <f>IF($K659="","",ROUND($K659*Setup!$B$13,2))</f>
        <v/>
      </c>
      <c r="M659" s="90">
        <f>IF($K659="","",$K659-$L659)</f>
        <v/>
      </c>
      <c r="N659" s="90">
        <f>IF(OR($M659="",$D659=""),"",ROUND($M659*IFERROR(IF(VLOOKUP($D659,Setup!$A$76:$C$87,3,FALSE)="",Setup!$B$14,VLOOKUP($D659,Setup!$A$76:$C$87,3,FALSE)),Setup!$B$14),2))</f>
        <v/>
      </c>
      <c r="O659" s="90">
        <f>IF(OR($M659="",$E659=""),"",ROUND($M659*IFERROR(IF(VLOOKUP($E659,Setup!$A$76:$C$87,3,FALSE)="",Setup!$B$15,VLOOKUP($E659,Setup!$A$76:$C$87,3,FALSE)),Setup!$B$15),2))</f>
        <v/>
      </c>
      <c r="P659" s="92" t="n"/>
      <c r="Q659" s="92" t="n"/>
      <c r="R659" s="92" t="n"/>
      <c r="S659" s="92" t="n"/>
      <c r="T659" s="92" t="n"/>
      <c r="U659" s="90">
        <f>IF($K659="","",SUM($R659:$T659))</f>
        <v/>
      </c>
      <c r="V659" s="90">
        <f>IF($K659="","",$M659-(N($N659)+N($O659)+IF($P659="",Setup!$B$17,$P659)+N($Q659))-N($U659))</f>
        <v/>
      </c>
      <c r="W659" s="87" t="n"/>
      <c r="X659" s="88" t="n"/>
      <c r="Z659" s="93">
        <f>IF($A659="","",DATE(YEAR($A659),MONTH($A659),1))</f>
        <v/>
      </c>
    </row>
    <row r="660">
      <c r="A660" s="94" t="n"/>
      <c r="B660" s="95" t="n"/>
      <c r="C660" s="95" t="n"/>
      <c r="D660" s="96" t="n"/>
      <c r="E660" s="96" t="n"/>
      <c r="F660" s="96" t="n"/>
      <c r="G660" s="96" t="n"/>
      <c r="H660" s="97" t="n"/>
      <c r="I660" s="90">
        <f>IF($G660="","",IF($F660="",IFERROR(INDEX(Setup!$C$21:$C$60,MATCH("|"&amp;UPPER(TRIM($G660)),Setup!$Q$21:$Q$60,0)),"NO RATE"),IFERROR(INDEX(Setup!$C$21:$C$60,MATCH(UPPER(TRIM($F660))&amp;"|"&amp;UPPER(TRIM($G660)),Setup!$P$21:$P$60,0)),IFERROR(INDEX(Setup!$C$21:$C$60,MATCH(UPPER(TRIM($G660))&amp;"|"&amp;UPPER(TRIM($F660)),Setup!$P$21:$P$60,0)),"NO RATE"))))</f>
        <v/>
      </c>
      <c r="J660" s="98" t="n"/>
      <c r="K660" s="90">
        <f>IF(OR($G660="",$H660="",NOT(ISNUMBER($I660))),"",ROUND($H660*$I660*(1+IF($J660="",Setup!$B$16,$J660)),2))</f>
        <v/>
      </c>
      <c r="L660" s="90">
        <f>IF($K660="","",ROUND($K660*Setup!$B$13,2))</f>
        <v/>
      </c>
      <c r="M660" s="90">
        <f>IF($K660="","",$K660-$L660)</f>
        <v/>
      </c>
      <c r="N660" s="90">
        <f>IF(OR($M660="",$D660=""),"",ROUND($M660*IFERROR(IF(VLOOKUP($D660,Setup!$A$76:$C$87,3,FALSE)="",Setup!$B$14,VLOOKUP($D660,Setup!$A$76:$C$87,3,FALSE)),Setup!$B$14),2))</f>
        <v/>
      </c>
      <c r="O660" s="90">
        <f>IF(OR($M660="",$E660=""),"",ROUND($M660*IFERROR(IF(VLOOKUP($E660,Setup!$A$76:$C$87,3,FALSE)="",Setup!$B$15,VLOOKUP($E660,Setup!$A$76:$C$87,3,FALSE)),Setup!$B$15),2))</f>
        <v/>
      </c>
      <c r="P660" s="99" t="n"/>
      <c r="Q660" s="99" t="n"/>
      <c r="R660" s="99" t="n"/>
      <c r="S660" s="99" t="n"/>
      <c r="T660" s="99" t="n"/>
      <c r="U660" s="90">
        <f>IF($K660="","",SUM($R660:$T660))</f>
        <v/>
      </c>
      <c r="V660" s="90">
        <f>IF($K660="","",$M660-(N($N660)+N($O660)+IF($P660="",Setup!$B$17,$P660)+N($Q660))-N($U660))</f>
        <v/>
      </c>
      <c r="W660" s="95" t="n"/>
      <c r="X660" s="96" t="n"/>
      <c r="Z660" s="93">
        <f>IF($A660="","",DATE(YEAR($A660),MONTH($A660),1))</f>
        <v/>
      </c>
    </row>
    <row r="661">
      <c r="A661" s="86" t="n"/>
      <c r="B661" s="87" t="n"/>
      <c r="C661" s="87" t="n"/>
      <c r="D661" s="88" t="n"/>
      <c r="E661" s="88" t="n"/>
      <c r="F661" s="88" t="n"/>
      <c r="G661" s="88" t="n"/>
      <c r="H661" s="89" t="n"/>
      <c r="I661" s="90">
        <f>IF($G661="","",IF($F661="",IFERROR(INDEX(Setup!$C$21:$C$60,MATCH("|"&amp;UPPER(TRIM($G661)),Setup!$Q$21:$Q$60,0)),"NO RATE"),IFERROR(INDEX(Setup!$C$21:$C$60,MATCH(UPPER(TRIM($F661))&amp;"|"&amp;UPPER(TRIM($G661)),Setup!$P$21:$P$60,0)),IFERROR(INDEX(Setup!$C$21:$C$60,MATCH(UPPER(TRIM($G661))&amp;"|"&amp;UPPER(TRIM($F661)),Setup!$P$21:$P$60,0)),"NO RATE"))))</f>
        <v/>
      </c>
      <c r="J661" s="91" t="n"/>
      <c r="K661" s="90">
        <f>IF(OR($G661="",$H661="",NOT(ISNUMBER($I661))),"",ROUND($H661*$I661*(1+IF($J661="",Setup!$B$16,$J661)),2))</f>
        <v/>
      </c>
      <c r="L661" s="90">
        <f>IF($K661="","",ROUND($K661*Setup!$B$13,2))</f>
        <v/>
      </c>
      <c r="M661" s="90">
        <f>IF($K661="","",$K661-$L661)</f>
        <v/>
      </c>
      <c r="N661" s="90">
        <f>IF(OR($M661="",$D661=""),"",ROUND($M661*IFERROR(IF(VLOOKUP($D661,Setup!$A$76:$C$87,3,FALSE)="",Setup!$B$14,VLOOKUP($D661,Setup!$A$76:$C$87,3,FALSE)),Setup!$B$14),2))</f>
        <v/>
      </c>
      <c r="O661" s="90">
        <f>IF(OR($M661="",$E661=""),"",ROUND($M661*IFERROR(IF(VLOOKUP($E661,Setup!$A$76:$C$87,3,FALSE)="",Setup!$B$15,VLOOKUP($E661,Setup!$A$76:$C$87,3,FALSE)),Setup!$B$15),2))</f>
        <v/>
      </c>
      <c r="P661" s="92" t="n"/>
      <c r="Q661" s="92" t="n"/>
      <c r="R661" s="92" t="n"/>
      <c r="S661" s="92" t="n"/>
      <c r="T661" s="92" t="n"/>
      <c r="U661" s="90">
        <f>IF($K661="","",SUM($R661:$T661))</f>
        <v/>
      </c>
      <c r="V661" s="90">
        <f>IF($K661="","",$M661-(N($N661)+N($O661)+IF($P661="",Setup!$B$17,$P661)+N($Q661))-N($U661))</f>
        <v/>
      </c>
      <c r="W661" s="87" t="n"/>
      <c r="X661" s="88" t="n"/>
      <c r="Z661" s="93">
        <f>IF($A661="","",DATE(YEAR($A661),MONTH($A661),1))</f>
        <v/>
      </c>
    </row>
    <row r="662">
      <c r="A662" s="94" t="n"/>
      <c r="B662" s="95" t="n"/>
      <c r="C662" s="95" t="n"/>
      <c r="D662" s="96" t="n"/>
      <c r="E662" s="96" t="n"/>
      <c r="F662" s="96" t="n"/>
      <c r="G662" s="96" t="n"/>
      <c r="H662" s="97" t="n"/>
      <c r="I662" s="90">
        <f>IF($G662="","",IF($F662="",IFERROR(INDEX(Setup!$C$21:$C$60,MATCH("|"&amp;UPPER(TRIM($G662)),Setup!$Q$21:$Q$60,0)),"NO RATE"),IFERROR(INDEX(Setup!$C$21:$C$60,MATCH(UPPER(TRIM($F662))&amp;"|"&amp;UPPER(TRIM($G662)),Setup!$P$21:$P$60,0)),IFERROR(INDEX(Setup!$C$21:$C$60,MATCH(UPPER(TRIM($G662))&amp;"|"&amp;UPPER(TRIM($F662)),Setup!$P$21:$P$60,0)),"NO RATE"))))</f>
        <v/>
      </c>
      <c r="J662" s="98" t="n"/>
      <c r="K662" s="90">
        <f>IF(OR($G662="",$H662="",NOT(ISNUMBER($I662))),"",ROUND($H662*$I662*(1+IF($J662="",Setup!$B$16,$J662)),2))</f>
        <v/>
      </c>
      <c r="L662" s="90">
        <f>IF($K662="","",ROUND($K662*Setup!$B$13,2))</f>
        <v/>
      </c>
      <c r="M662" s="90">
        <f>IF($K662="","",$K662-$L662)</f>
        <v/>
      </c>
      <c r="N662" s="90">
        <f>IF(OR($M662="",$D662=""),"",ROUND($M662*IFERROR(IF(VLOOKUP($D662,Setup!$A$76:$C$87,3,FALSE)="",Setup!$B$14,VLOOKUP($D662,Setup!$A$76:$C$87,3,FALSE)),Setup!$B$14),2))</f>
        <v/>
      </c>
      <c r="O662" s="90">
        <f>IF(OR($M662="",$E662=""),"",ROUND($M662*IFERROR(IF(VLOOKUP($E662,Setup!$A$76:$C$87,3,FALSE)="",Setup!$B$15,VLOOKUP($E662,Setup!$A$76:$C$87,3,FALSE)),Setup!$B$15),2))</f>
        <v/>
      </c>
      <c r="P662" s="99" t="n"/>
      <c r="Q662" s="99" t="n"/>
      <c r="R662" s="99" t="n"/>
      <c r="S662" s="99" t="n"/>
      <c r="T662" s="99" t="n"/>
      <c r="U662" s="90">
        <f>IF($K662="","",SUM($R662:$T662))</f>
        <v/>
      </c>
      <c r="V662" s="90">
        <f>IF($K662="","",$M662-(N($N662)+N($O662)+IF($P662="",Setup!$B$17,$P662)+N($Q662))-N($U662))</f>
        <v/>
      </c>
      <c r="W662" s="95" t="n"/>
      <c r="X662" s="96" t="n"/>
      <c r="Z662" s="93">
        <f>IF($A662="","",DATE(YEAR($A662),MONTH($A662),1))</f>
        <v/>
      </c>
    </row>
    <row r="663">
      <c r="A663" s="86" t="n"/>
      <c r="B663" s="87" t="n"/>
      <c r="C663" s="87" t="n"/>
      <c r="D663" s="88" t="n"/>
      <c r="E663" s="88" t="n"/>
      <c r="F663" s="88" t="n"/>
      <c r="G663" s="88" t="n"/>
      <c r="H663" s="89" t="n"/>
      <c r="I663" s="90">
        <f>IF($G663="","",IF($F663="",IFERROR(INDEX(Setup!$C$21:$C$60,MATCH("|"&amp;UPPER(TRIM($G663)),Setup!$Q$21:$Q$60,0)),"NO RATE"),IFERROR(INDEX(Setup!$C$21:$C$60,MATCH(UPPER(TRIM($F663))&amp;"|"&amp;UPPER(TRIM($G663)),Setup!$P$21:$P$60,0)),IFERROR(INDEX(Setup!$C$21:$C$60,MATCH(UPPER(TRIM($G663))&amp;"|"&amp;UPPER(TRIM($F663)),Setup!$P$21:$P$60,0)),"NO RATE"))))</f>
        <v/>
      </c>
      <c r="J663" s="91" t="n"/>
      <c r="K663" s="90">
        <f>IF(OR($G663="",$H663="",NOT(ISNUMBER($I663))),"",ROUND($H663*$I663*(1+IF($J663="",Setup!$B$16,$J663)),2))</f>
        <v/>
      </c>
      <c r="L663" s="90">
        <f>IF($K663="","",ROUND($K663*Setup!$B$13,2))</f>
        <v/>
      </c>
      <c r="M663" s="90">
        <f>IF($K663="","",$K663-$L663)</f>
        <v/>
      </c>
      <c r="N663" s="90">
        <f>IF(OR($M663="",$D663=""),"",ROUND($M663*IFERROR(IF(VLOOKUP($D663,Setup!$A$76:$C$87,3,FALSE)="",Setup!$B$14,VLOOKUP($D663,Setup!$A$76:$C$87,3,FALSE)),Setup!$B$14),2))</f>
        <v/>
      </c>
      <c r="O663" s="90">
        <f>IF(OR($M663="",$E663=""),"",ROUND($M663*IFERROR(IF(VLOOKUP($E663,Setup!$A$76:$C$87,3,FALSE)="",Setup!$B$15,VLOOKUP($E663,Setup!$A$76:$C$87,3,FALSE)),Setup!$B$15),2))</f>
        <v/>
      </c>
      <c r="P663" s="92" t="n"/>
      <c r="Q663" s="92" t="n"/>
      <c r="R663" s="92" t="n"/>
      <c r="S663" s="92" t="n"/>
      <c r="T663" s="92" t="n"/>
      <c r="U663" s="90">
        <f>IF($K663="","",SUM($R663:$T663))</f>
        <v/>
      </c>
      <c r="V663" s="90">
        <f>IF($K663="","",$M663-(N($N663)+N($O663)+IF($P663="",Setup!$B$17,$P663)+N($Q663))-N($U663))</f>
        <v/>
      </c>
      <c r="W663" s="87" t="n"/>
      <c r="X663" s="88" t="n"/>
      <c r="Z663" s="93">
        <f>IF($A663="","",DATE(YEAR($A663),MONTH($A663),1))</f>
        <v/>
      </c>
    </row>
    <row r="664">
      <c r="A664" s="94" t="n"/>
      <c r="B664" s="95" t="n"/>
      <c r="C664" s="95" t="n"/>
      <c r="D664" s="96" t="n"/>
      <c r="E664" s="96" t="n"/>
      <c r="F664" s="96" t="n"/>
      <c r="G664" s="96" t="n"/>
      <c r="H664" s="97" t="n"/>
      <c r="I664" s="90">
        <f>IF($G664="","",IF($F664="",IFERROR(INDEX(Setup!$C$21:$C$60,MATCH("|"&amp;UPPER(TRIM($G664)),Setup!$Q$21:$Q$60,0)),"NO RATE"),IFERROR(INDEX(Setup!$C$21:$C$60,MATCH(UPPER(TRIM($F664))&amp;"|"&amp;UPPER(TRIM($G664)),Setup!$P$21:$P$60,0)),IFERROR(INDEX(Setup!$C$21:$C$60,MATCH(UPPER(TRIM($G664))&amp;"|"&amp;UPPER(TRIM($F664)),Setup!$P$21:$P$60,0)),"NO RATE"))))</f>
        <v/>
      </c>
      <c r="J664" s="98" t="n"/>
      <c r="K664" s="90">
        <f>IF(OR($G664="",$H664="",NOT(ISNUMBER($I664))),"",ROUND($H664*$I664*(1+IF($J664="",Setup!$B$16,$J664)),2))</f>
        <v/>
      </c>
      <c r="L664" s="90">
        <f>IF($K664="","",ROUND($K664*Setup!$B$13,2))</f>
        <v/>
      </c>
      <c r="M664" s="90">
        <f>IF($K664="","",$K664-$L664)</f>
        <v/>
      </c>
      <c r="N664" s="90">
        <f>IF(OR($M664="",$D664=""),"",ROUND($M664*IFERROR(IF(VLOOKUP($D664,Setup!$A$76:$C$87,3,FALSE)="",Setup!$B$14,VLOOKUP($D664,Setup!$A$76:$C$87,3,FALSE)),Setup!$B$14),2))</f>
        <v/>
      </c>
      <c r="O664" s="90">
        <f>IF(OR($M664="",$E664=""),"",ROUND($M664*IFERROR(IF(VLOOKUP($E664,Setup!$A$76:$C$87,3,FALSE)="",Setup!$B$15,VLOOKUP($E664,Setup!$A$76:$C$87,3,FALSE)),Setup!$B$15),2))</f>
        <v/>
      </c>
      <c r="P664" s="99" t="n"/>
      <c r="Q664" s="99" t="n"/>
      <c r="R664" s="99" t="n"/>
      <c r="S664" s="99" t="n"/>
      <c r="T664" s="99" t="n"/>
      <c r="U664" s="90">
        <f>IF($K664="","",SUM($R664:$T664))</f>
        <v/>
      </c>
      <c r="V664" s="90">
        <f>IF($K664="","",$M664-(N($N664)+N($O664)+IF($P664="",Setup!$B$17,$P664)+N($Q664))-N($U664))</f>
        <v/>
      </c>
      <c r="W664" s="95" t="n"/>
      <c r="X664" s="96" t="n"/>
      <c r="Z664" s="93">
        <f>IF($A664="","",DATE(YEAR($A664),MONTH($A664),1))</f>
        <v/>
      </c>
    </row>
    <row r="665">
      <c r="A665" s="86" t="n"/>
      <c r="B665" s="87" t="n"/>
      <c r="C665" s="87" t="n"/>
      <c r="D665" s="88" t="n"/>
      <c r="E665" s="88" t="n"/>
      <c r="F665" s="88" t="n"/>
      <c r="G665" s="88" t="n"/>
      <c r="H665" s="89" t="n"/>
      <c r="I665" s="90">
        <f>IF($G665="","",IF($F665="",IFERROR(INDEX(Setup!$C$21:$C$60,MATCH("|"&amp;UPPER(TRIM($G665)),Setup!$Q$21:$Q$60,0)),"NO RATE"),IFERROR(INDEX(Setup!$C$21:$C$60,MATCH(UPPER(TRIM($F665))&amp;"|"&amp;UPPER(TRIM($G665)),Setup!$P$21:$P$60,0)),IFERROR(INDEX(Setup!$C$21:$C$60,MATCH(UPPER(TRIM($G665))&amp;"|"&amp;UPPER(TRIM($F665)),Setup!$P$21:$P$60,0)),"NO RATE"))))</f>
        <v/>
      </c>
      <c r="J665" s="91" t="n"/>
      <c r="K665" s="90">
        <f>IF(OR($G665="",$H665="",NOT(ISNUMBER($I665))),"",ROUND($H665*$I665*(1+IF($J665="",Setup!$B$16,$J665)),2))</f>
        <v/>
      </c>
      <c r="L665" s="90">
        <f>IF($K665="","",ROUND($K665*Setup!$B$13,2))</f>
        <v/>
      </c>
      <c r="M665" s="90">
        <f>IF($K665="","",$K665-$L665)</f>
        <v/>
      </c>
      <c r="N665" s="90">
        <f>IF(OR($M665="",$D665=""),"",ROUND($M665*IFERROR(IF(VLOOKUP($D665,Setup!$A$76:$C$87,3,FALSE)="",Setup!$B$14,VLOOKUP($D665,Setup!$A$76:$C$87,3,FALSE)),Setup!$B$14),2))</f>
        <v/>
      </c>
      <c r="O665" s="90">
        <f>IF(OR($M665="",$E665=""),"",ROUND($M665*IFERROR(IF(VLOOKUP($E665,Setup!$A$76:$C$87,3,FALSE)="",Setup!$B$15,VLOOKUP($E665,Setup!$A$76:$C$87,3,FALSE)),Setup!$B$15),2))</f>
        <v/>
      </c>
      <c r="P665" s="92" t="n"/>
      <c r="Q665" s="92" t="n"/>
      <c r="R665" s="92" t="n"/>
      <c r="S665" s="92" t="n"/>
      <c r="T665" s="92" t="n"/>
      <c r="U665" s="90">
        <f>IF($K665="","",SUM($R665:$T665))</f>
        <v/>
      </c>
      <c r="V665" s="90">
        <f>IF($K665="","",$M665-(N($N665)+N($O665)+IF($P665="",Setup!$B$17,$P665)+N($Q665))-N($U665))</f>
        <v/>
      </c>
      <c r="W665" s="87" t="n"/>
      <c r="X665" s="88" t="n"/>
      <c r="Z665" s="93">
        <f>IF($A665="","",DATE(YEAR($A665),MONTH($A665),1))</f>
        <v/>
      </c>
    </row>
    <row r="666">
      <c r="A666" s="94" t="n"/>
      <c r="B666" s="95" t="n"/>
      <c r="C666" s="95" t="n"/>
      <c r="D666" s="96" t="n"/>
      <c r="E666" s="96" t="n"/>
      <c r="F666" s="96" t="n"/>
      <c r="G666" s="96" t="n"/>
      <c r="H666" s="97" t="n"/>
      <c r="I666" s="90">
        <f>IF($G666="","",IF($F666="",IFERROR(INDEX(Setup!$C$21:$C$60,MATCH("|"&amp;UPPER(TRIM($G666)),Setup!$Q$21:$Q$60,0)),"NO RATE"),IFERROR(INDEX(Setup!$C$21:$C$60,MATCH(UPPER(TRIM($F666))&amp;"|"&amp;UPPER(TRIM($G666)),Setup!$P$21:$P$60,0)),IFERROR(INDEX(Setup!$C$21:$C$60,MATCH(UPPER(TRIM($G666))&amp;"|"&amp;UPPER(TRIM($F666)),Setup!$P$21:$P$60,0)),"NO RATE"))))</f>
        <v/>
      </c>
      <c r="J666" s="98" t="n"/>
      <c r="K666" s="90">
        <f>IF(OR($G666="",$H666="",NOT(ISNUMBER($I666))),"",ROUND($H666*$I666*(1+IF($J666="",Setup!$B$16,$J666)),2))</f>
        <v/>
      </c>
      <c r="L666" s="90">
        <f>IF($K666="","",ROUND($K666*Setup!$B$13,2))</f>
        <v/>
      </c>
      <c r="M666" s="90">
        <f>IF($K666="","",$K666-$L666)</f>
        <v/>
      </c>
      <c r="N666" s="90">
        <f>IF(OR($M666="",$D666=""),"",ROUND($M666*IFERROR(IF(VLOOKUP($D666,Setup!$A$76:$C$87,3,FALSE)="",Setup!$B$14,VLOOKUP($D666,Setup!$A$76:$C$87,3,FALSE)),Setup!$B$14),2))</f>
        <v/>
      </c>
      <c r="O666" s="90">
        <f>IF(OR($M666="",$E666=""),"",ROUND($M666*IFERROR(IF(VLOOKUP($E666,Setup!$A$76:$C$87,3,FALSE)="",Setup!$B$15,VLOOKUP($E666,Setup!$A$76:$C$87,3,FALSE)),Setup!$B$15),2))</f>
        <v/>
      </c>
      <c r="P666" s="99" t="n"/>
      <c r="Q666" s="99" t="n"/>
      <c r="R666" s="99" t="n"/>
      <c r="S666" s="99" t="n"/>
      <c r="T666" s="99" t="n"/>
      <c r="U666" s="90">
        <f>IF($K666="","",SUM($R666:$T666))</f>
        <v/>
      </c>
      <c r="V666" s="90">
        <f>IF($K666="","",$M666-(N($N666)+N($O666)+IF($P666="",Setup!$B$17,$P666)+N($Q666))-N($U666))</f>
        <v/>
      </c>
      <c r="W666" s="95" t="n"/>
      <c r="X666" s="96" t="n"/>
      <c r="Z666" s="93">
        <f>IF($A666="","",DATE(YEAR($A666),MONTH($A666),1))</f>
        <v/>
      </c>
    </row>
    <row r="667">
      <c r="A667" s="86" t="n"/>
      <c r="B667" s="87" t="n"/>
      <c r="C667" s="87" t="n"/>
      <c r="D667" s="88" t="n"/>
      <c r="E667" s="88" t="n"/>
      <c r="F667" s="88" t="n"/>
      <c r="G667" s="88" t="n"/>
      <c r="H667" s="89" t="n"/>
      <c r="I667" s="90">
        <f>IF($G667="","",IF($F667="",IFERROR(INDEX(Setup!$C$21:$C$60,MATCH("|"&amp;UPPER(TRIM($G667)),Setup!$Q$21:$Q$60,0)),"NO RATE"),IFERROR(INDEX(Setup!$C$21:$C$60,MATCH(UPPER(TRIM($F667))&amp;"|"&amp;UPPER(TRIM($G667)),Setup!$P$21:$P$60,0)),IFERROR(INDEX(Setup!$C$21:$C$60,MATCH(UPPER(TRIM($G667))&amp;"|"&amp;UPPER(TRIM($F667)),Setup!$P$21:$P$60,0)),"NO RATE"))))</f>
        <v/>
      </c>
      <c r="J667" s="91" t="n"/>
      <c r="K667" s="90">
        <f>IF(OR($G667="",$H667="",NOT(ISNUMBER($I667))),"",ROUND($H667*$I667*(1+IF($J667="",Setup!$B$16,$J667)),2))</f>
        <v/>
      </c>
      <c r="L667" s="90">
        <f>IF($K667="","",ROUND($K667*Setup!$B$13,2))</f>
        <v/>
      </c>
      <c r="M667" s="90">
        <f>IF($K667="","",$K667-$L667)</f>
        <v/>
      </c>
      <c r="N667" s="90">
        <f>IF(OR($M667="",$D667=""),"",ROUND($M667*IFERROR(IF(VLOOKUP($D667,Setup!$A$76:$C$87,3,FALSE)="",Setup!$B$14,VLOOKUP($D667,Setup!$A$76:$C$87,3,FALSE)),Setup!$B$14),2))</f>
        <v/>
      </c>
      <c r="O667" s="90">
        <f>IF(OR($M667="",$E667=""),"",ROUND($M667*IFERROR(IF(VLOOKUP($E667,Setup!$A$76:$C$87,3,FALSE)="",Setup!$B$15,VLOOKUP($E667,Setup!$A$76:$C$87,3,FALSE)),Setup!$B$15),2))</f>
        <v/>
      </c>
      <c r="P667" s="92" t="n"/>
      <c r="Q667" s="92" t="n"/>
      <c r="R667" s="92" t="n"/>
      <c r="S667" s="92" t="n"/>
      <c r="T667" s="92" t="n"/>
      <c r="U667" s="90">
        <f>IF($K667="","",SUM($R667:$T667))</f>
        <v/>
      </c>
      <c r="V667" s="90">
        <f>IF($K667="","",$M667-(N($N667)+N($O667)+IF($P667="",Setup!$B$17,$P667)+N($Q667))-N($U667))</f>
        <v/>
      </c>
      <c r="W667" s="87" t="n"/>
      <c r="X667" s="88" t="n"/>
      <c r="Z667" s="93">
        <f>IF($A667="","",DATE(YEAR($A667),MONTH($A667),1))</f>
        <v/>
      </c>
    </row>
    <row r="668">
      <c r="A668" s="94" t="n"/>
      <c r="B668" s="95" t="n"/>
      <c r="C668" s="95" t="n"/>
      <c r="D668" s="96" t="n"/>
      <c r="E668" s="96" t="n"/>
      <c r="F668" s="96" t="n"/>
      <c r="G668" s="96" t="n"/>
      <c r="H668" s="97" t="n"/>
      <c r="I668" s="90">
        <f>IF($G668="","",IF($F668="",IFERROR(INDEX(Setup!$C$21:$C$60,MATCH("|"&amp;UPPER(TRIM($G668)),Setup!$Q$21:$Q$60,0)),"NO RATE"),IFERROR(INDEX(Setup!$C$21:$C$60,MATCH(UPPER(TRIM($F668))&amp;"|"&amp;UPPER(TRIM($G668)),Setup!$P$21:$P$60,0)),IFERROR(INDEX(Setup!$C$21:$C$60,MATCH(UPPER(TRIM($G668))&amp;"|"&amp;UPPER(TRIM($F668)),Setup!$P$21:$P$60,0)),"NO RATE"))))</f>
        <v/>
      </c>
      <c r="J668" s="98" t="n"/>
      <c r="K668" s="90">
        <f>IF(OR($G668="",$H668="",NOT(ISNUMBER($I668))),"",ROUND($H668*$I668*(1+IF($J668="",Setup!$B$16,$J668)),2))</f>
        <v/>
      </c>
      <c r="L668" s="90">
        <f>IF($K668="","",ROUND($K668*Setup!$B$13,2))</f>
        <v/>
      </c>
      <c r="M668" s="90">
        <f>IF($K668="","",$K668-$L668)</f>
        <v/>
      </c>
      <c r="N668" s="90">
        <f>IF(OR($M668="",$D668=""),"",ROUND($M668*IFERROR(IF(VLOOKUP($D668,Setup!$A$76:$C$87,3,FALSE)="",Setup!$B$14,VLOOKUP($D668,Setup!$A$76:$C$87,3,FALSE)),Setup!$B$14),2))</f>
        <v/>
      </c>
      <c r="O668" s="90">
        <f>IF(OR($M668="",$E668=""),"",ROUND($M668*IFERROR(IF(VLOOKUP($E668,Setup!$A$76:$C$87,3,FALSE)="",Setup!$B$15,VLOOKUP($E668,Setup!$A$76:$C$87,3,FALSE)),Setup!$B$15),2))</f>
        <v/>
      </c>
      <c r="P668" s="99" t="n"/>
      <c r="Q668" s="99" t="n"/>
      <c r="R668" s="99" t="n"/>
      <c r="S668" s="99" t="n"/>
      <c r="T668" s="99" t="n"/>
      <c r="U668" s="90">
        <f>IF($K668="","",SUM($R668:$T668))</f>
        <v/>
      </c>
      <c r="V668" s="90">
        <f>IF($K668="","",$M668-(N($N668)+N($O668)+IF($P668="",Setup!$B$17,$P668)+N($Q668))-N($U668))</f>
        <v/>
      </c>
      <c r="W668" s="95" t="n"/>
      <c r="X668" s="96" t="n"/>
      <c r="Z668" s="93">
        <f>IF($A668="","",DATE(YEAR($A668),MONTH($A668),1))</f>
        <v/>
      </c>
    </row>
    <row r="669">
      <c r="A669" s="86" t="n"/>
      <c r="B669" s="87" t="n"/>
      <c r="C669" s="87" t="n"/>
      <c r="D669" s="88" t="n"/>
      <c r="E669" s="88" t="n"/>
      <c r="F669" s="88" t="n"/>
      <c r="G669" s="88" t="n"/>
      <c r="H669" s="89" t="n"/>
      <c r="I669" s="90">
        <f>IF($G669="","",IF($F669="",IFERROR(INDEX(Setup!$C$21:$C$60,MATCH("|"&amp;UPPER(TRIM($G669)),Setup!$Q$21:$Q$60,0)),"NO RATE"),IFERROR(INDEX(Setup!$C$21:$C$60,MATCH(UPPER(TRIM($F669))&amp;"|"&amp;UPPER(TRIM($G669)),Setup!$P$21:$P$60,0)),IFERROR(INDEX(Setup!$C$21:$C$60,MATCH(UPPER(TRIM($G669))&amp;"|"&amp;UPPER(TRIM($F669)),Setup!$P$21:$P$60,0)),"NO RATE"))))</f>
        <v/>
      </c>
      <c r="J669" s="91" t="n"/>
      <c r="K669" s="90">
        <f>IF(OR($G669="",$H669="",NOT(ISNUMBER($I669))),"",ROUND($H669*$I669*(1+IF($J669="",Setup!$B$16,$J669)),2))</f>
        <v/>
      </c>
      <c r="L669" s="90">
        <f>IF($K669="","",ROUND($K669*Setup!$B$13,2))</f>
        <v/>
      </c>
      <c r="M669" s="90">
        <f>IF($K669="","",$K669-$L669)</f>
        <v/>
      </c>
      <c r="N669" s="90">
        <f>IF(OR($M669="",$D669=""),"",ROUND($M669*IFERROR(IF(VLOOKUP($D669,Setup!$A$76:$C$87,3,FALSE)="",Setup!$B$14,VLOOKUP($D669,Setup!$A$76:$C$87,3,FALSE)),Setup!$B$14),2))</f>
        <v/>
      </c>
      <c r="O669" s="90">
        <f>IF(OR($M669="",$E669=""),"",ROUND($M669*IFERROR(IF(VLOOKUP($E669,Setup!$A$76:$C$87,3,FALSE)="",Setup!$B$15,VLOOKUP($E669,Setup!$A$76:$C$87,3,FALSE)),Setup!$B$15),2))</f>
        <v/>
      </c>
      <c r="P669" s="92" t="n"/>
      <c r="Q669" s="92" t="n"/>
      <c r="R669" s="92" t="n"/>
      <c r="S669" s="92" t="n"/>
      <c r="T669" s="92" t="n"/>
      <c r="U669" s="90">
        <f>IF($K669="","",SUM($R669:$T669))</f>
        <v/>
      </c>
      <c r="V669" s="90">
        <f>IF($K669="","",$M669-(N($N669)+N($O669)+IF($P669="",Setup!$B$17,$P669)+N($Q669))-N($U669))</f>
        <v/>
      </c>
      <c r="W669" s="87" t="n"/>
      <c r="X669" s="88" t="n"/>
      <c r="Z669" s="93">
        <f>IF($A669="","",DATE(YEAR($A669),MONTH($A669),1))</f>
        <v/>
      </c>
    </row>
    <row r="670">
      <c r="A670" s="94" t="n"/>
      <c r="B670" s="95" t="n"/>
      <c r="C670" s="95" t="n"/>
      <c r="D670" s="96" t="n"/>
      <c r="E670" s="96" t="n"/>
      <c r="F670" s="96" t="n"/>
      <c r="G670" s="96" t="n"/>
      <c r="H670" s="97" t="n"/>
      <c r="I670" s="90">
        <f>IF($G670="","",IF($F670="",IFERROR(INDEX(Setup!$C$21:$C$60,MATCH("|"&amp;UPPER(TRIM($G670)),Setup!$Q$21:$Q$60,0)),"NO RATE"),IFERROR(INDEX(Setup!$C$21:$C$60,MATCH(UPPER(TRIM($F670))&amp;"|"&amp;UPPER(TRIM($G670)),Setup!$P$21:$P$60,0)),IFERROR(INDEX(Setup!$C$21:$C$60,MATCH(UPPER(TRIM($G670))&amp;"|"&amp;UPPER(TRIM($F670)),Setup!$P$21:$P$60,0)),"NO RATE"))))</f>
        <v/>
      </c>
      <c r="J670" s="98" t="n"/>
      <c r="K670" s="90">
        <f>IF(OR($G670="",$H670="",NOT(ISNUMBER($I670))),"",ROUND($H670*$I670*(1+IF($J670="",Setup!$B$16,$J670)),2))</f>
        <v/>
      </c>
      <c r="L670" s="90">
        <f>IF($K670="","",ROUND($K670*Setup!$B$13,2))</f>
        <v/>
      </c>
      <c r="M670" s="90">
        <f>IF($K670="","",$K670-$L670)</f>
        <v/>
      </c>
      <c r="N670" s="90">
        <f>IF(OR($M670="",$D670=""),"",ROUND($M670*IFERROR(IF(VLOOKUP($D670,Setup!$A$76:$C$87,3,FALSE)="",Setup!$B$14,VLOOKUP($D670,Setup!$A$76:$C$87,3,FALSE)),Setup!$B$14),2))</f>
        <v/>
      </c>
      <c r="O670" s="90">
        <f>IF(OR($M670="",$E670=""),"",ROUND($M670*IFERROR(IF(VLOOKUP($E670,Setup!$A$76:$C$87,3,FALSE)="",Setup!$B$15,VLOOKUP($E670,Setup!$A$76:$C$87,3,FALSE)),Setup!$B$15),2))</f>
        <v/>
      </c>
      <c r="P670" s="99" t="n"/>
      <c r="Q670" s="99" t="n"/>
      <c r="R670" s="99" t="n"/>
      <c r="S670" s="99" t="n"/>
      <c r="T670" s="99" t="n"/>
      <c r="U670" s="90">
        <f>IF($K670="","",SUM($R670:$T670))</f>
        <v/>
      </c>
      <c r="V670" s="90">
        <f>IF($K670="","",$M670-(N($N670)+N($O670)+IF($P670="",Setup!$B$17,$P670)+N($Q670))-N($U670))</f>
        <v/>
      </c>
      <c r="W670" s="95" t="n"/>
      <c r="X670" s="96" t="n"/>
      <c r="Z670" s="93">
        <f>IF($A670="","",DATE(YEAR($A670),MONTH($A670),1))</f>
        <v/>
      </c>
    </row>
    <row r="671">
      <c r="A671" s="86" t="n"/>
      <c r="B671" s="87" t="n"/>
      <c r="C671" s="87" t="n"/>
      <c r="D671" s="88" t="n"/>
      <c r="E671" s="88" t="n"/>
      <c r="F671" s="88" t="n"/>
      <c r="G671" s="88" t="n"/>
      <c r="H671" s="89" t="n"/>
      <c r="I671" s="90">
        <f>IF($G671="","",IF($F671="",IFERROR(INDEX(Setup!$C$21:$C$60,MATCH("|"&amp;UPPER(TRIM($G671)),Setup!$Q$21:$Q$60,0)),"NO RATE"),IFERROR(INDEX(Setup!$C$21:$C$60,MATCH(UPPER(TRIM($F671))&amp;"|"&amp;UPPER(TRIM($G671)),Setup!$P$21:$P$60,0)),IFERROR(INDEX(Setup!$C$21:$C$60,MATCH(UPPER(TRIM($G671))&amp;"|"&amp;UPPER(TRIM($F671)),Setup!$P$21:$P$60,0)),"NO RATE"))))</f>
        <v/>
      </c>
      <c r="J671" s="91" t="n"/>
      <c r="K671" s="90">
        <f>IF(OR($G671="",$H671="",NOT(ISNUMBER($I671))),"",ROUND($H671*$I671*(1+IF($J671="",Setup!$B$16,$J671)),2))</f>
        <v/>
      </c>
      <c r="L671" s="90">
        <f>IF($K671="","",ROUND($K671*Setup!$B$13,2))</f>
        <v/>
      </c>
      <c r="M671" s="90">
        <f>IF($K671="","",$K671-$L671)</f>
        <v/>
      </c>
      <c r="N671" s="90">
        <f>IF(OR($M671="",$D671=""),"",ROUND($M671*IFERROR(IF(VLOOKUP($D671,Setup!$A$76:$C$87,3,FALSE)="",Setup!$B$14,VLOOKUP($D671,Setup!$A$76:$C$87,3,FALSE)),Setup!$B$14),2))</f>
        <v/>
      </c>
      <c r="O671" s="90">
        <f>IF(OR($M671="",$E671=""),"",ROUND($M671*IFERROR(IF(VLOOKUP($E671,Setup!$A$76:$C$87,3,FALSE)="",Setup!$B$15,VLOOKUP($E671,Setup!$A$76:$C$87,3,FALSE)),Setup!$B$15),2))</f>
        <v/>
      </c>
      <c r="P671" s="92" t="n"/>
      <c r="Q671" s="92" t="n"/>
      <c r="R671" s="92" t="n"/>
      <c r="S671" s="92" t="n"/>
      <c r="T671" s="92" t="n"/>
      <c r="U671" s="90">
        <f>IF($K671="","",SUM($R671:$T671))</f>
        <v/>
      </c>
      <c r="V671" s="90">
        <f>IF($K671="","",$M671-(N($N671)+N($O671)+IF($P671="",Setup!$B$17,$P671)+N($Q671))-N($U671))</f>
        <v/>
      </c>
      <c r="W671" s="87" t="n"/>
      <c r="X671" s="88" t="n"/>
      <c r="Z671" s="93">
        <f>IF($A671="","",DATE(YEAR($A671),MONTH($A671),1))</f>
        <v/>
      </c>
    </row>
    <row r="672">
      <c r="A672" s="94" t="n"/>
      <c r="B672" s="95" t="n"/>
      <c r="C672" s="95" t="n"/>
      <c r="D672" s="96" t="n"/>
      <c r="E672" s="96" t="n"/>
      <c r="F672" s="96" t="n"/>
      <c r="G672" s="96" t="n"/>
      <c r="H672" s="97" t="n"/>
      <c r="I672" s="90">
        <f>IF($G672="","",IF($F672="",IFERROR(INDEX(Setup!$C$21:$C$60,MATCH("|"&amp;UPPER(TRIM($G672)),Setup!$Q$21:$Q$60,0)),"NO RATE"),IFERROR(INDEX(Setup!$C$21:$C$60,MATCH(UPPER(TRIM($F672))&amp;"|"&amp;UPPER(TRIM($G672)),Setup!$P$21:$P$60,0)),IFERROR(INDEX(Setup!$C$21:$C$60,MATCH(UPPER(TRIM($G672))&amp;"|"&amp;UPPER(TRIM($F672)),Setup!$P$21:$P$60,0)),"NO RATE"))))</f>
        <v/>
      </c>
      <c r="J672" s="98" t="n"/>
      <c r="K672" s="90">
        <f>IF(OR($G672="",$H672="",NOT(ISNUMBER($I672))),"",ROUND($H672*$I672*(1+IF($J672="",Setup!$B$16,$J672)),2))</f>
        <v/>
      </c>
      <c r="L672" s="90">
        <f>IF($K672="","",ROUND($K672*Setup!$B$13,2))</f>
        <v/>
      </c>
      <c r="M672" s="90">
        <f>IF($K672="","",$K672-$L672)</f>
        <v/>
      </c>
      <c r="N672" s="90">
        <f>IF(OR($M672="",$D672=""),"",ROUND($M672*IFERROR(IF(VLOOKUP($D672,Setup!$A$76:$C$87,3,FALSE)="",Setup!$B$14,VLOOKUP($D672,Setup!$A$76:$C$87,3,FALSE)),Setup!$B$14),2))</f>
        <v/>
      </c>
      <c r="O672" s="90">
        <f>IF(OR($M672="",$E672=""),"",ROUND($M672*IFERROR(IF(VLOOKUP($E672,Setup!$A$76:$C$87,3,FALSE)="",Setup!$B$15,VLOOKUP($E672,Setup!$A$76:$C$87,3,FALSE)),Setup!$B$15),2))</f>
        <v/>
      </c>
      <c r="P672" s="99" t="n"/>
      <c r="Q672" s="99" t="n"/>
      <c r="R672" s="99" t="n"/>
      <c r="S672" s="99" t="n"/>
      <c r="T672" s="99" t="n"/>
      <c r="U672" s="90">
        <f>IF($K672="","",SUM($R672:$T672))</f>
        <v/>
      </c>
      <c r="V672" s="90">
        <f>IF($K672="","",$M672-(N($N672)+N($O672)+IF($P672="",Setup!$B$17,$P672)+N($Q672))-N($U672))</f>
        <v/>
      </c>
      <c r="W672" s="95" t="n"/>
      <c r="X672" s="96" t="n"/>
      <c r="Z672" s="93">
        <f>IF($A672="","",DATE(YEAR($A672),MONTH($A672),1))</f>
        <v/>
      </c>
    </row>
    <row r="673">
      <c r="A673" s="86" t="n"/>
      <c r="B673" s="87" t="n"/>
      <c r="C673" s="87" t="n"/>
      <c r="D673" s="88" t="n"/>
      <c r="E673" s="88" t="n"/>
      <c r="F673" s="88" t="n"/>
      <c r="G673" s="88" t="n"/>
      <c r="H673" s="89" t="n"/>
      <c r="I673" s="90">
        <f>IF($G673="","",IF($F673="",IFERROR(INDEX(Setup!$C$21:$C$60,MATCH("|"&amp;UPPER(TRIM($G673)),Setup!$Q$21:$Q$60,0)),"NO RATE"),IFERROR(INDEX(Setup!$C$21:$C$60,MATCH(UPPER(TRIM($F673))&amp;"|"&amp;UPPER(TRIM($G673)),Setup!$P$21:$P$60,0)),IFERROR(INDEX(Setup!$C$21:$C$60,MATCH(UPPER(TRIM($G673))&amp;"|"&amp;UPPER(TRIM($F673)),Setup!$P$21:$P$60,0)),"NO RATE"))))</f>
        <v/>
      </c>
      <c r="J673" s="91" t="n"/>
      <c r="K673" s="90">
        <f>IF(OR($G673="",$H673="",NOT(ISNUMBER($I673))),"",ROUND($H673*$I673*(1+IF($J673="",Setup!$B$16,$J673)),2))</f>
        <v/>
      </c>
      <c r="L673" s="90">
        <f>IF($K673="","",ROUND($K673*Setup!$B$13,2))</f>
        <v/>
      </c>
      <c r="M673" s="90">
        <f>IF($K673="","",$K673-$L673)</f>
        <v/>
      </c>
      <c r="N673" s="90">
        <f>IF(OR($M673="",$D673=""),"",ROUND($M673*IFERROR(IF(VLOOKUP($D673,Setup!$A$76:$C$87,3,FALSE)="",Setup!$B$14,VLOOKUP($D673,Setup!$A$76:$C$87,3,FALSE)),Setup!$B$14),2))</f>
        <v/>
      </c>
      <c r="O673" s="90">
        <f>IF(OR($M673="",$E673=""),"",ROUND($M673*IFERROR(IF(VLOOKUP($E673,Setup!$A$76:$C$87,3,FALSE)="",Setup!$B$15,VLOOKUP($E673,Setup!$A$76:$C$87,3,FALSE)),Setup!$B$15),2))</f>
        <v/>
      </c>
      <c r="P673" s="92" t="n"/>
      <c r="Q673" s="92" t="n"/>
      <c r="R673" s="92" t="n"/>
      <c r="S673" s="92" t="n"/>
      <c r="T673" s="92" t="n"/>
      <c r="U673" s="90">
        <f>IF($K673="","",SUM($R673:$T673))</f>
        <v/>
      </c>
      <c r="V673" s="90">
        <f>IF($K673="","",$M673-(N($N673)+N($O673)+IF($P673="",Setup!$B$17,$P673)+N($Q673))-N($U673))</f>
        <v/>
      </c>
      <c r="W673" s="87" t="n"/>
      <c r="X673" s="88" t="n"/>
      <c r="Z673" s="93">
        <f>IF($A673="","",DATE(YEAR($A673),MONTH($A673),1))</f>
        <v/>
      </c>
    </row>
    <row r="674">
      <c r="A674" s="94" t="n"/>
      <c r="B674" s="95" t="n"/>
      <c r="C674" s="95" t="n"/>
      <c r="D674" s="96" t="n"/>
      <c r="E674" s="96" t="n"/>
      <c r="F674" s="96" t="n"/>
      <c r="G674" s="96" t="n"/>
      <c r="H674" s="97" t="n"/>
      <c r="I674" s="90">
        <f>IF($G674="","",IF($F674="",IFERROR(INDEX(Setup!$C$21:$C$60,MATCH("|"&amp;UPPER(TRIM($G674)),Setup!$Q$21:$Q$60,0)),"NO RATE"),IFERROR(INDEX(Setup!$C$21:$C$60,MATCH(UPPER(TRIM($F674))&amp;"|"&amp;UPPER(TRIM($G674)),Setup!$P$21:$P$60,0)),IFERROR(INDEX(Setup!$C$21:$C$60,MATCH(UPPER(TRIM($G674))&amp;"|"&amp;UPPER(TRIM($F674)),Setup!$P$21:$P$60,0)),"NO RATE"))))</f>
        <v/>
      </c>
      <c r="J674" s="98" t="n"/>
      <c r="K674" s="90">
        <f>IF(OR($G674="",$H674="",NOT(ISNUMBER($I674))),"",ROUND($H674*$I674*(1+IF($J674="",Setup!$B$16,$J674)),2))</f>
        <v/>
      </c>
      <c r="L674" s="90">
        <f>IF($K674="","",ROUND($K674*Setup!$B$13,2))</f>
        <v/>
      </c>
      <c r="M674" s="90">
        <f>IF($K674="","",$K674-$L674)</f>
        <v/>
      </c>
      <c r="N674" s="90">
        <f>IF(OR($M674="",$D674=""),"",ROUND($M674*IFERROR(IF(VLOOKUP($D674,Setup!$A$76:$C$87,3,FALSE)="",Setup!$B$14,VLOOKUP($D674,Setup!$A$76:$C$87,3,FALSE)),Setup!$B$14),2))</f>
        <v/>
      </c>
      <c r="O674" s="90">
        <f>IF(OR($M674="",$E674=""),"",ROUND($M674*IFERROR(IF(VLOOKUP($E674,Setup!$A$76:$C$87,3,FALSE)="",Setup!$B$15,VLOOKUP($E674,Setup!$A$76:$C$87,3,FALSE)),Setup!$B$15),2))</f>
        <v/>
      </c>
      <c r="P674" s="99" t="n"/>
      <c r="Q674" s="99" t="n"/>
      <c r="R674" s="99" t="n"/>
      <c r="S674" s="99" t="n"/>
      <c r="T674" s="99" t="n"/>
      <c r="U674" s="90">
        <f>IF($K674="","",SUM($R674:$T674))</f>
        <v/>
      </c>
      <c r="V674" s="90">
        <f>IF($K674="","",$M674-(N($N674)+N($O674)+IF($P674="",Setup!$B$17,$P674)+N($Q674))-N($U674))</f>
        <v/>
      </c>
      <c r="W674" s="95" t="n"/>
      <c r="X674" s="96" t="n"/>
      <c r="Z674" s="93">
        <f>IF($A674="","",DATE(YEAR($A674),MONTH($A674),1))</f>
        <v/>
      </c>
    </row>
    <row r="675">
      <c r="A675" s="86" t="n"/>
      <c r="B675" s="87" t="n"/>
      <c r="C675" s="87" t="n"/>
      <c r="D675" s="88" t="n"/>
      <c r="E675" s="88" t="n"/>
      <c r="F675" s="88" t="n"/>
      <c r="G675" s="88" t="n"/>
      <c r="H675" s="89" t="n"/>
      <c r="I675" s="90">
        <f>IF($G675="","",IF($F675="",IFERROR(INDEX(Setup!$C$21:$C$60,MATCH("|"&amp;UPPER(TRIM($G675)),Setup!$Q$21:$Q$60,0)),"NO RATE"),IFERROR(INDEX(Setup!$C$21:$C$60,MATCH(UPPER(TRIM($F675))&amp;"|"&amp;UPPER(TRIM($G675)),Setup!$P$21:$P$60,0)),IFERROR(INDEX(Setup!$C$21:$C$60,MATCH(UPPER(TRIM($G675))&amp;"|"&amp;UPPER(TRIM($F675)),Setup!$P$21:$P$60,0)),"NO RATE"))))</f>
        <v/>
      </c>
      <c r="J675" s="91" t="n"/>
      <c r="K675" s="90">
        <f>IF(OR($G675="",$H675="",NOT(ISNUMBER($I675))),"",ROUND($H675*$I675*(1+IF($J675="",Setup!$B$16,$J675)),2))</f>
        <v/>
      </c>
      <c r="L675" s="90">
        <f>IF($K675="","",ROUND($K675*Setup!$B$13,2))</f>
        <v/>
      </c>
      <c r="M675" s="90">
        <f>IF($K675="","",$K675-$L675)</f>
        <v/>
      </c>
      <c r="N675" s="90">
        <f>IF(OR($M675="",$D675=""),"",ROUND($M675*IFERROR(IF(VLOOKUP($D675,Setup!$A$76:$C$87,3,FALSE)="",Setup!$B$14,VLOOKUP($D675,Setup!$A$76:$C$87,3,FALSE)),Setup!$B$14),2))</f>
        <v/>
      </c>
      <c r="O675" s="90">
        <f>IF(OR($M675="",$E675=""),"",ROUND($M675*IFERROR(IF(VLOOKUP($E675,Setup!$A$76:$C$87,3,FALSE)="",Setup!$B$15,VLOOKUP($E675,Setup!$A$76:$C$87,3,FALSE)),Setup!$B$15),2))</f>
        <v/>
      </c>
      <c r="P675" s="92" t="n"/>
      <c r="Q675" s="92" t="n"/>
      <c r="R675" s="92" t="n"/>
      <c r="S675" s="92" t="n"/>
      <c r="T675" s="92" t="n"/>
      <c r="U675" s="90">
        <f>IF($K675="","",SUM($R675:$T675))</f>
        <v/>
      </c>
      <c r="V675" s="90">
        <f>IF($K675="","",$M675-(N($N675)+N($O675)+IF($P675="",Setup!$B$17,$P675)+N($Q675))-N($U675))</f>
        <v/>
      </c>
      <c r="W675" s="87" t="n"/>
      <c r="X675" s="88" t="n"/>
      <c r="Z675" s="93">
        <f>IF($A675="","",DATE(YEAR($A675),MONTH($A675),1))</f>
        <v/>
      </c>
    </row>
    <row r="676">
      <c r="A676" s="94" t="n"/>
      <c r="B676" s="95" t="n"/>
      <c r="C676" s="95" t="n"/>
      <c r="D676" s="96" t="n"/>
      <c r="E676" s="96" t="n"/>
      <c r="F676" s="96" t="n"/>
      <c r="G676" s="96" t="n"/>
      <c r="H676" s="97" t="n"/>
      <c r="I676" s="90">
        <f>IF($G676="","",IF($F676="",IFERROR(INDEX(Setup!$C$21:$C$60,MATCH("|"&amp;UPPER(TRIM($G676)),Setup!$Q$21:$Q$60,0)),"NO RATE"),IFERROR(INDEX(Setup!$C$21:$C$60,MATCH(UPPER(TRIM($F676))&amp;"|"&amp;UPPER(TRIM($G676)),Setup!$P$21:$P$60,0)),IFERROR(INDEX(Setup!$C$21:$C$60,MATCH(UPPER(TRIM($G676))&amp;"|"&amp;UPPER(TRIM($F676)),Setup!$P$21:$P$60,0)),"NO RATE"))))</f>
        <v/>
      </c>
      <c r="J676" s="98" t="n"/>
      <c r="K676" s="90">
        <f>IF(OR($G676="",$H676="",NOT(ISNUMBER($I676))),"",ROUND($H676*$I676*(1+IF($J676="",Setup!$B$16,$J676)),2))</f>
        <v/>
      </c>
      <c r="L676" s="90">
        <f>IF($K676="","",ROUND($K676*Setup!$B$13,2))</f>
        <v/>
      </c>
      <c r="M676" s="90">
        <f>IF($K676="","",$K676-$L676)</f>
        <v/>
      </c>
      <c r="N676" s="90">
        <f>IF(OR($M676="",$D676=""),"",ROUND($M676*IFERROR(IF(VLOOKUP($D676,Setup!$A$76:$C$87,3,FALSE)="",Setup!$B$14,VLOOKUP($D676,Setup!$A$76:$C$87,3,FALSE)),Setup!$B$14),2))</f>
        <v/>
      </c>
      <c r="O676" s="90">
        <f>IF(OR($M676="",$E676=""),"",ROUND($M676*IFERROR(IF(VLOOKUP($E676,Setup!$A$76:$C$87,3,FALSE)="",Setup!$B$15,VLOOKUP($E676,Setup!$A$76:$C$87,3,FALSE)),Setup!$B$15),2))</f>
        <v/>
      </c>
      <c r="P676" s="99" t="n"/>
      <c r="Q676" s="99" t="n"/>
      <c r="R676" s="99" t="n"/>
      <c r="S676" s="99" t="n"/>
      <c r="T676" s="99" t="n"/>
      <c r="U676" s="90">
        <f>IF($K676="","",SUM($R676:$T676))</f>
        <v/>
      </c>
      <c r="V676" s="90">
        <f>IF($K676="","",$M676-(N($N676)+N($O676)+IF($P676="",Setup!$B$17,$P676)+N($Q676))-N($U676))</f>
        <v/>
      </c>
      <c r="W676" s="95" t="n"/>
      <c r="X676" s="96" t="n"/>
      <c r="Z676" s="93">
        <f>IF($A676="","",DATE(YEAR($A676),MONTH($A676),1))</f>
        <v/>
      </c>
    </row>
    <row r="677">
      <c r="A677" s="86" t="n"/>
      <c r="B677" s="87" t="n"/>
      <c r="C677" s="87" t="n"/>
      <c r="D677" s="88" t="n"/>
      <c r="E677" s="88" t="n"/>
      <c r="F677" s="88" t="n"/>
      <c r="G677" s="88" t="n"/>
      <c r="H677" s="89" t="n"/>
      <c r="I677" s="90">
        <f>IF($G677="","",IF($F677="",IFERROR(INDEX(Setup!$C$21:$C$60,MATCH("|"&amp;UPPER(TRIM($G677)),Setup!$Q$21:$Q$60,0)),"NO RATE"),IFERROR(INDEX(Setup!$C$21:$C$60,MATCH(UPPER(TRIM($F677))&amp;"|"&amp;UPPER(TRIM($G677)),Setup!$P$21:$P$60,0)),IFERROR(INDEX(Setup!$C$21:$C$60,MATCH(UPPER(TRIM($G677))&amp;"|"&amp;UPPER(TRIM($F677)),Setup!$P$21:$P$60,0)),"NO RATE"))))</f>
        <v/>
      </c>
      <c r="J677" s="91" t="n"/>
      <c r="K677" s="90">
        <f>IF(OR($G677="",$H677="",NOT(ISNUMBER($I677))),"",ROUND($H677*$I677*(1+IF($J677="",Setup!$B$16,$J677)),2))</f>
        <v/>
      </c>
      <c r="L677" s="90">
        <f>IF($K677="","",ROUND($K677*Setup!$B$13,2))</f>
        <v/>
      </c>
      <c r="M677" s="90">
        <f>IF($K677="","",$K677-$L677)</f>
        <v/>
      </c>
      <c r="N677" s="90">
        <f>IF(OR($M677="",$D677=""),"",ROUND($M677*IFERROR(IF(VLOOKUP($D677,Setup!$A$76:$C$87,3,FALSE)="",Setup!$B$14,VLOOKUP($D677,Setup!$A$76:$C$87,3,FALSE)),Setup!$B$14),2))</f>
        <v/>
      </c>
      <c r="O677" s="90">
        <f>IF(OR($M677="",$E677=""),"",ROUND($M677*IFERROR(IF(VLOOKUP($E677,Setup!$A$76:$C$87,3,FALSE)="",Setup!$B$15,VLOOKUP($E677,Setup!$A$76:$C$87,3,FALSE)),Setup!$B$15),2))</f>
        <v/>
      </c>
      <c r="P677" s="92" t="n"/>
      <c r="Q677" s="92" t="n"/>
      <c r="R677" s="92" t="n"/>
      <c r="S677" s="92" t="n"/>
      <c r="T677" s="92" t="n"/>
      <c r="U677" s="90">
        <f>IF($K677="","",SUM($R677:$T677))</f>
        <v/>
      </c>
      <c r="V677" s="90">
        <f>IF($K677="","",$M677-(N($N677)+N($O677)+IF($P677="",Setup!$B$17,$P677)+N($Q677))-N($U677))</f>
        <v/>
      </c>
      <c r="W677" s="87" t="n"/>
      <c r="X677" s="88" t="n"/>
      <c r="Z677" s="93">
        <f>IF($A677="","",DATE(YEAR($A677),MONTH($A677),1))</f>
        <v/>
      </c>
    </row>
    <row r="678">
      <c r="A678" s="94" t="n"/>
      <c r="B678" s="95" t="n"/>
      <c r="C678" s="95" t="n"/>
      <c r="D678" s="96" t="n"/>
      <c r="E678" s="96" t="n"/>
      <c r="F678" s="96" t="n"/>
      <c r="G678" s="96" t="n"/>
      <c r="H678" s="97" t="n"/>
      <c r="I678" s="90">
        <f>IF($G678="","",IF($F678="",IFERROR(INDEX(Setup!$C$21:$C$60,MATCH("|"&amp;UPPER(TRIM($G678)),Setup!$Q$21:$Q$60,0)),"NO RATE"),IFERROR(INDEX(Setup!$C$21:$C$60,MATCH(UPPER(TRIM($F678))&amp;"|"&amp;UPPER(TRIM($G678)),Setup!$P$21:$P$60,0)),IFERROR(INDEX(Setup!$C$21:$C$60,MATCH(UPPER(TRIM($G678))&amp;"|"&amp;UPPER(TRIM($F678)),Setup!$P$21:$P$60,0)),"NO RATE"))))</f>
        <v/>
      </c>
      <c r="J678" s="98" t="n"/>
      <c r="K678" s="90">
        <f>IF(OR($G678="",$H678="",NOT(ISNUMBER($I678))),"",ROUND($H678*$I678*(1+IF($J678="",Setup!$B$16,$J678)),2))</f>
        <v/>
      </c>
      <c r="L678" s="90">
        <f>IF($K678="","",ROUND($K678*Setup!$B$13,2))</f>
        <v/>
      </c>
      <c r="M678" s="90">
        <f>IF($K678="","",$K678-$L678)</f>
        <v/>
      </c>
      <c r="N678" s="90">
        <f>IF(OR($M678="",$D678=""),"",ROUND($M678*IFERROR(IF(VLOOKUP($D678,Setup!$A$76:$C$87,3,FALSE)="",Setup!$B$14,VLOOKUP($D678,Setup!$A$76:$C$87,3,FALSE)),Setup!$B$14),2))</f>
        <v/>
      </c>
      <c r="O678" s="90">
        <f>IF(OR($M678="",$E678=""),"",ROUND($M678*IFERROR(IF(VLOOKUP($E678,Setup!$A$76:$C$87,3,FALSE)="",Setup!$B$15,VLOOKUP($E678,Setup!$A$76:$C$87,3,FALSE)),Setup!$B$15),2))</f>
        <v/>
      </c>
      <c r="P678" s="99" t="n"/>
      <c r="Q678" s="99" t="n"/>
      <c r="R678" s="99" t="n"/>
      <c r="S678" s="99" t="n"/>
      <c r="T678" s="99" t="n"/>
      <c r="U678" s="90">
        <f>IF($K678="","",SUM($R678:$T678))</f>
        <v/>
      </c>
      <c r="V678" s="90">
        <f>IF($K678="","",$M678-(N($N678)+N($O678)+IF($P678="",Setup!$B$17,$P678)+N($Q678))-N($U678))</f>
        <v/>
      </c>
      <c r="W678" s="95" t="n"/>
      <c r="X678" s="96" t="n"/>
      <c r="Z678" s="93">
        <f>IF($A678="","",DATE(YEAR($A678),MONTH($A678),1))</f>
        <v/>
      </c>
    </row>
    <row r="679">
      <c r="A679" s="86" t="n"/>
      <c r="B679" s="87" t="n"/>
      <c r="C679" s="87" t="n"/>
      <c r="D679" s="88" t="n"/>
      <c r="E679" s="88" t="n"/>
      <c r="F679" s="88" t="n"/>
      <c r="G679" s="88" t="n"/>
      <c r="H679" s="89" t="n"/>
      <c r="I679" s="90">
        <f>IF($G679="","",IF($F679="",IFERROR(INDEX(Setup!$C$21:$C$60,MATCH("|"&amp;UPPER(TRIM($G679)),Setup!$Q$21:$Q$60,0)),"NO RATE"),IFERROR(INDEX(Setup!$C$21:$C$60,MATCH(UPPER(TRIM($F679))&amp;"|"&amp;UPPER(TRIM($G679)),Setup!$P$21:$P$60,0)),IFERROR(INDEX(Setup!$C$21:$C$60,MATCH(UPPER(TRIM($G679))&amp;"|"&amp;UPPER(TRIM($F679)),Setup!$P$21:$P$60,0)),"NO RATE"))))</f>
        <v/>
      </c>
      <c r="J679" s="91" t="n"/>
      <c r="K679" s="90">
        <f>IF(OR($G679="",$H679="",NOT(ISNUMBER($I679))),"",ROUND($H679*$I679*(1+IF($J679="",Setup!$B$16,$J679)),2))</f>
        <v/>
      </c>
      <c r="L679" s="90">
        <f>IF($K679="","",ROUND($K679*Setup!$B$13,2))</f>
        <v/>
      </c>
      <c r="M679" s="90">
        <f>IF($K679="","",$K679-$L679)</f>
        <v/>
      </c>
      <c r="N679" s="90">
        <f>IF(OR($M679="",$D679=""),"",ROUND($M679*IFERROR(IF(VLOOKUP($D679,Setup!$A$76:$C$87,3,FALSE)="",Setup!$B$14,VLOOKUP($D679,Setup!$A$76:$C$87,3,FALSE)),Setup!$B$14),2))</f>
        <v/>
      </c>
      <c r="O679" s="90">
        <f>IF(OR($M679="",$E679=""),"",ROUND($M679*IFERROR(IF(VLOOKUP($E679,Setup!$A$76:$C$87,3,FALSE)="",Setup!$B$15,VLOOKUP($E679,Setup!$A$76:$C$87,3,FALSE)),Setup!$B$15),2))</f>
        <v/>
      </c>
      <c r="P679" s="92" t="n"/>
      <c r="Q679" s="92" t="n"/>
      <c r="R679" s="92" t="n"/>
      <c r="S679" s="92" t="n"/>
      <c r="T679" s="92" t="n"/>
      <c r="U679" s="90">
        <f>IF($K679="","",SUM($R679:$T679))</f>
        <v/>
      </c>
      <c r="V679" s="90">
        <f>IF($K679="","",$M679-(N($N679)+N($O679)+IF($P679="",Setup!$B$17,$P679)+N($Q679))-N($U679))</f>
        <v/>
      </c>
      <c r="W679" s="87" t="n"/>
      <c r="X679" s="88" t="n"/>
      <c r="Z679" s="93">
        <f>IF($A679="","",DATE(YEAR($A679),MONTH($A679),1))</f>
        <v/>
      </c>
    </row>
    <row r="680">
      <c r="A680" s="94" t="n"/>
      <c r="B680" s="95" t="n"/>
      <c r="C680" s="95" t="n"/>
      <c r="D680" s="96" t="n"/>
      <c r="E680" s="96" t="n"/>
      <c r="F680" s="96" t="n"/>
      <c r="G680" s="96" t="n"/>
      <c r="H680" s="97" t="n"/>
      <c r="I680" s="90">
        <f>IF($G680="","",IF($F680="",IFERROR(INDEX(Setup!$C$21:$C$60,MATCH("|"&amp;UPPER(TRIM($G680)),Setup!$Q$21:$Q$60,0)),"NO RATE"),IFERROR(INDEX(Setup!$C$21:$C$60,MATCH(UPPER(TRIM($F680))&amp;"|"&amp;UPPER(TRIM($G680)),Setup!$P$21:$P$60,0)),IFERROR(INDEX(Setup!$C$21:$C$60,MATCH(UPPER(TRIM($G680))&amp;"|"&amp;UPPER(TRIM($F680)),Setup!$P$21:$P$60,0)),"NO RATE"))))</f>
        <v/>
      </c>
      <c r="J680" s="98" t="n"/>
      <c r="K680" s="90">
        <f>IF(OR($G680="",$H680="",NOT(ISNUMBER($I680))),"",ROUND($H680*$I680*(1+IF($J680="",Setup!$B$16,$J680)),2))</f>
        <v/>
      </c>
      <c r="L680" s="90">
        <f>IF($K680="","",ROUND($K680*Setup!$B$13,2))</f>
        <v/>
      </c>
      <c r="M680" s="90">
        <f>IF($K680="","",$K680-$L680)</f>
        <v/>
      </c>
      <c r="N680" s="90">
        <f>IF(OR($M680="",$D680=""),"",ROUND($M680*IFERROR(IF(VLOOKUP($D680,Setup!$A$76:$C$87,3,FALSE)="",Setup!$B$14,VLOOKUP($D680,Setup!$A$76:$C$87,3,FALSE)),Setup!$B$14),2))</f>
        <v/>
      </c>
      <c r="O680" s="90">
        <f>IF(OR($M680="",$E680=""),"",ROUND($M680*IFERROR(IF(VLOOKUP($E680,Setup!$A$76:$C$87,3,FALSE)="",Setup!$B$15,VLOOKUP($E680,Setup!$A$76:$C$87,3,FALSE)),Setup!$B$15),2))</f>
        <v/>
      </c>
      <c r="P680" s="99" t="n"/>
      <c r="Q680" s="99" t="n"/>
      <c r="R680" s="99" t="n"/>
      <c r="S680" s="99" t="n"/>
      <c r="T680" s="99" t="n"/>
      <c r="U680" s="90">
        <f>IF($K680="","",SUM($R680:$T680))</f>
        <v/>
      </c>
      <c r="V680" s="90">
        <f>IF($K680="","",$M680-(N($N680)+N($O680)+IF($P680="",Setup!$B$17,$P680)+N($Q680))-N($U680))</f>
        <v/>
      </c>
      <c r="W680" s="95" t="n"/>
      <c r="X680" s="96" t="n"/>
      <c r="Z680" s="93">
        <f>IF($A680="","",DATE(YEAR($A680),MONTH($A680),1))</f>
        <v/>
      </c>
    </row>
    <row r="681">
      <c r="A681" s="86" t="n"/>
      <c r="B681" s="87" t="n"/>
      <c r="C681" s="87" t="n"/>
      <c r="D681" s="88" t="n"/>
      <c r="E681" s="88" t="n"/>
      <c r="F681" s="88" t="n"/>
      <c r="G681" s="88" t="n"/>
      <c r="H681" s="89" t="n"/>
      <c r="I681" s="90">
        <f>IF($G681="","",IF($F681="",IFERROR(INDEX(Setup!$C$21:$C$60,MATCH("|"&amp;UPPER(TRIM($G681)),Setup!$Q$21:$Q$60,0)),"NO RATE"),IFERROR(INDEX(Setup!$C$21:$C$60,MATCH(UPPER(TRIM($F681))&amp;"|"&amp;UPPER(TRIM($G681)),Setup!$P$21:$P$60,0)),IFERROR(INDEX(Setup!$C$21:$C$60,MATCH(UPPER(TRIM($G681))&amp;"|"&amp;UPPER(TRIM($F681)),Setup!$P$21:$P$60,0)),"NO RATE"))))</f>
        <v/>
      </c>
      <c r="J681" s="91" t="n"/>
      <c r="K681" s="90">
        <f>IF(OR($G681="",$H681="",NOT(ISNUMBER($I681))),"",ROUND($H681*$I681*(1+IF($J681="",Setup!$B$16,$J681)),2))</f>
        <v/>
      </c>
      <c r="L681" s="90">
        <f>IF($K681="","",ROUND($K681*Setup!$B$13,2))</f>
        <v/>
      </c>
      <c r="M681" s="90">
        <f>IF($K681="","",$K681-$L681)</f>
        <v/>
      </c>
      <c r="N681" s="90">
        <f>IF(OR($M681="",$D681=""),"",ROUND($M681*IFERROR(IF(VLOOKUP($D681,Setup!$A$76:$C$87,3,FALSE)="",Setup!$B$14,VLOOKUP($D681,Setup!$A$76:$C$87,3,FALSE)),Setup!$B$14),2))</f>
        <v/>
      </c>
      <c r="O681" s="90">
        <f>IF(OR($M681="",$E681=""),"",ROUND($M681*IFERROR(IF(VLOOKUP($E681,Setup!$A$76:$C$87,3,FALSE)="",Setup!$B$15,VLOOKUP($E681,Setup!$A$76:$C$87,3,FALSE)),Setup!$B$15),2))</f>
        <v/>
      </c>
      <c r="P681" s="92" t="n"/>
      <c r="Q681" s="92" t="n"/>
      <c r="R681" s="92" t="n"/>
      <c r="S681" s="92" t="n"/>
      <c r="T681" s="92" t="n"/>
      <c r="U681" s="90">
        <f>IF($K681="","",SUM($R681:$T681))</f>
        <v/>
      </c>
      <c r="V681" s="90">
        <f>IF($K681="","",$M681-(N($N681)+N($O681)+IF($P681="",Setup!$B$17,$P681)+N($Q681))-N($U681))</f>
        <v/>
      </c>
      <c r="W681" s="87" t="n"/>
      <c r="X681" s="88" t="n"/>
      <c r="Z681" s="93">
        <f>IF($A681="","",DATE(YEAR($A681),MONTH($A681),1))</f>
        <v/>
      </c>
    </row>
    <row r="682">
      <c r="A682" s="94" t="n"/>
      <c r="B682" s="95" t="n"/>
      <c r="C682" s="95" t="n"/>
      <c r="D682" s="96" t="n"/>
      <c r="E682" s="96" t="n"/>
      <c r="F682" s="96" t="n"/>
      <c r="G682" s="96" t="n"/>
      <c r="H682" s="97" t="n"/>
      <c r="I682" s="90">
        <f>IF($G682="","",IF($F682="",IFERROR(INDEX(Setup!$C$21:$C$60,MATCH("|"&amp;UPPER(TRIM($G682)),Setup!$Q$21:$Q$60,0)),"NO RATE"),IFERROR(INDEX(Setup!$C$21:$C$60,MATCH(UPPER(TRIM($F682))&amp;"|"&amp;UPPER(TRIM($G682)),Setup!$P$21:$P$60,0)),IFERROR(INDEX(Setup!$C$21:$C$60,MATCH(UPPER(TRIM($G682))&amp;"|"&amp;UPPER(TRIM($F682)),Setup!$P$21:$P$60,0)),"NO RATE"))))</f>
        <v/>
      </c>
      <c r="J682" s="98" t="n"/>
      <c r="K682" s="90">
        <f>IF(OR($G682="",$H682="",NOT(ISNUMBER($I682))),"",ROUND($H682*$I682*(1+IF($J682="",Setup!$B$16,$J682)),2))</f>
        <v/>
      </c>
      <c r="L682" s="90">
        <f>IF($K682="","",ROUND($K682*Setup!$B$13,2))</f>
        <v/>
      </c>
      <c r="M682" s="90">
        <f>IF($K682="","",$K682-$L682)</f>
        <v/>
      </c>
      <c r="N682" s="90">
        <f>IF(OR($M682="",$D682=""),"",ROUND($M682*IFERROR(IF(VLOOKUP($D682,Setup!$A$76:$C$87,3,FALSE)="",Setup!$B$14,VLOOKUP($D682,Setup!$A$76:$C$87,3,FALSE)),Setup!$B$14),2))</f>
        <v/>
      </c>
      <c r="O682" s="90">
        <f>IF(OR($M682="",$E682=""),"",ROUND($M682*IFERROR(IF(VLOOKUP($E682,Setup!$A$76:$C$87,3,FALSE)="",Setup!$B$15,VLOOKUP($E682,Setup!$A$76:$C$87,3,FALSE)),Setup!$B$15),2))</f>
        <v/>
      </c>
      <c r="P682" s="99" t="n"/>
      <c r="Q682" s="99" t="n"/>
      <c r="R682" s="99" t="n"/>
      <c r="S682" s="99" t="n"/>
      <c r="T682" s="99" t="n"/>
      <c r="U682" s="90">
        <f>IF($K682="","",SUM($R682:$T682))</f>
        <v/>
      </c>
      <c r="V682" s="90">
        <f>IF($K682="","",$M682-(N($N682)+N($O682)+IF($P682="",Setup!$B$17,$P682)+N($Q682))-N($U682))</f>
        <v/>
      </c>
      <c r="W682" s="95" t="n"/>
      <c r="X682" s="96" t="n"/>
      <c r="Z682" s="93">
        <f>IF($A682="","",DATE(YEAR($A682),MONTH($A682),1))</f>
        <v/>
      </c>
    </row>
    <row r="683">
      <c r="A683" s="86" t="n"/>
      <c r="B683" s="87" t="n"/>
      <c r="C683" s="87" t="n"/>
      <c r="D683" s="88" t="n"/>
      <c r="E683" s="88" t="n"/>
      <c r="F683" s="88" t="n"/>
      <c r="G683" s="88" t="n"/>
      <c r="H683" s="89" t="n"/>
      <c r="I683" s="90">
        <f>IF($G683="","",IF($F683="",IFERROR(INDEX(Setup!$C$21:$C$60,MATCH("|"&amp;UPPER(TRIM($G683)),Setup!$Q$21:$Q$60,0)),"NO RATE"),IFERROR(INDEX(Setup!$C$21:$C$60,MATCH(UPPER(TRIM($F683))&amp;"|"&amp;UPPER(TRIM($G683)),Setup!$P$21:$P$60,0)),IFERROR(INDEX(Setup!$C$21:$C$60,MATCH(UPPER(TRIM($G683))&amp;"|"&amp;UPPER(TRIM($F683)),Setup!$P$21:$P$60,0)),"NO RATE"))))</f>
        <v/>
      </c>
      <c r="J683" s="91" t="n"/>
      <c r="K683" s="90">
        <f>IF(OR($G683="",$H683="",NOT(ISNUMBER($I683))),"",ROUND($H683*$I683*(1+IF($J683="",Setup!$B$16,$J683)),2))</f>
        <v/>
      </c>
      <c r="L683" s="90">
        <f>IF($K683="","",ROUND($K683*Setup!$B$13,2))</f>
        <v/>
      </c>
      <c r="M683" s="90">
        <f>IF($K683="","",$K683-$L683)</f>
        <v/>
      </c>
      <c r="N683" s="90">
        <f>IF(OR($M683="",$D683=""),"",ROUND($M683*IFERROR(IF(VLOOKUP($D683,Setup!$A$76:$C$87,3,FALSE)="",Setup!$B$14,VLOOKUP($D683,Setup!$A$76:$C$87,3,FALSE)),Setup!$B$14),2))</f>
        <v/>
      </c>
      <c r="O683" s="90">
        <f>IF(OR($M683="",$E683=""),"",ROUND($M683*IFERROR(IF(VLOOKUP($E683,Setup!$A$76:$C$87,3,FALSE)="",Setup!$B$15,VLOOKUP($E683,Setup!$A$76:$C$87,3,FALSE)),Setup!$B$15),2))</f>
        <v/>
      </c>
      <c r="P683" s="92" t="n"/>
      <c r="Q683" s="92" t="n"/>
      <c r="R683" s="92" t="n"/>
      <c r="S683" s="92" t="n"/>
      <c r="T683" s="92" t="n"/>
      <c r="U683" s="90">
        <f>IF($K683="","",SUM($R683:$T683))</f>
        <v/>
      </c>
      <c r="V683" s="90">
        <f>IF($K683="","",$M683-(N($N683)+N($O683)+IF($P683="",Setup!$B$17,$P683)+N($Q683))-N($U683))</f>
        <v/>
      </c>
      <c r="W683" s="87" t="n"/>
      <c r="X683" s="88" t="n"/>
      <c r="Z683" s="93">
        <f>IF($A683="","",DATE(YEAR($A683),MONTH($A683),1))</f>
        <v/>
      </c>
    </row>
    <row r="684">
      <c r="A684" s="94" t="n"/>
      <c r="B684" s="95" t="n"/>
      <c r="C684" s="95" t="n"/>
      <c r="D684" s="96" t="n"/>
      <c r="E684" s="96" t="n"/>
      <c r="F684" s="96" t="n"/>
      <c r="G684" s="96" t="n"/>
      <c r="H684" s="97" t="n"/>
      <c r="I684" s="90">
        <f>IF($G684="","",IF($F684="",IFERROR(INDEX(Setup!$C$21:$C$60,MATCH("|"&amp;UPPER(TRIM($G684)),Setup!$Q$21:$Q$60,0)),"NO RATE"),IFERROR(INDEX(Setup!$C$21:$C$60,MATCH(UPPER(TRIM($F684))&amp;"|"&amp;UPPER(TRIM($G684)),Setup!$P$21:$P$60,0)),IFERROR(INDEX(Setup!$C$21:$C$60,MATCH(UPPER(TRIM($G684))&amp;"|"&amp;UPPER(TRIM($F684)),Setup!$P$21:$P$60,0)),"NO RATE"))))</f>
        <v/>
      </c>
      <c r="J684" s="98" t="n"/>
      <c r="K684" s="90">
        <f>IF(OR($G684="",$H684="",NOT(ISNUMBER($I684))),"",ROUND($H684*$I684*(1+IF($J684="",Setup!$B$16,$J684)),2))</f>
        <v/>
      </c>
      <c r="L684" s="90">
        <f>IF($K684="","",ROUND($K684*Setup!$B$13,2))</f>
        <v/>
      </c>
      <c r="M684" s="90">
        <f>IF($K684="","",$K684-$L684)</f>
        <v/>
      </c>
      <c r="N684" s="90">
        <f>IF(OR($M684="",$D684=""),"",ROUND($M684*IFERROR(IF(VLOOKUP($D684,Setup!$A$76:$C$87,3,FALSE)="",Setup!$B$14,VLOOKUP($D684,Setup!$A$76:$C$87,3,FALSE)),Setup!$B$14),2))</f>
        <v/>
      </c>
      <c r="O684" s="90">
        <f>IF(OR($M684="",$E684=""),"",ROUND($M684*IFERROR(IF(VLOOKUP($E684,Setup!$A$76:$C$87,3,FALSE)="",Setup!$B$15,VLOOKUP($E684,Setup!$A$76:$C$87,3,FALSE)),Setup!$B$15),2))</f>
        <v/>
      </c>
      <c r="P684" s="99" t="n"/>
      <c r="Q684" s="99" t="n"/>
      <c r="R684" s="99" t="n"/>
      <c r="S684" s="99" t="n"/>
      <c r="T684" s="99" t="n"/>
      <c r="U684" s="90">
        <f>IF($K684="","",SUM($R684:$T684))</f>
        <v/>
      </c>
      <c r="V684" s="90">
        <f>IF($K684="","",$M684-(N($N684)+N($O684)+IF($P684="",Setup!$B$17,$P684)+N($Q684))-N($U684))</f>
        <v/>
      </c>
      <c r="W684" s="95" t="n"/>
      <c r="X684" s="96" t="n"/>
      <c r="Z684" s="93">
        <f>IF($A684="","",DATE(YEAR($A684),MONTH($A684),1))</f>
        <v/>
      </c>
    </row>
    <row r="685">
      <c r="A685" s="86" t="n"/>
      <c r="B685" s="87" t="n"/>
      <c r="C685" s="87" t="n"/>
      <c r="D685" s="88" t="n"/>
      <c r="E685" s="88" t="n"/>
      <c r="F685" s="88" t="n"/>
      <c r="G685" s="88" t="n"/>
      <c r="H685" s="89" t="n"/>
      <c r="I685" s="90">
        <f>IF($G685="","",IF($F685="",IFERROR(INDEX(Setup!$C$21:$C$60,MATCH("|"&amp;UPPER(TRIM($G685)),Setup!$Q$21:$Q$60,0)),"NO RATE"),IFERROR(INDEX(Setup!$C$21:$C$60,MATCH(UPPER(TRIM($F685))&amp;"|"&amp;UPPER(TRIM($G685)),Setup!$P$21:$P$60,0)),IFERROR(INDEX(Setup!$C$21:$C$60,MATCH(UPPER(TRIM($G685))&amp;"|"&amp;UPPER(TRIM($F685)),Setup!$P$21:$P$60,0)),"NO RATE"))))</f>
        <v/>
      </c>
      <c r="J685" s="91" t="n"/>
      <c r="K685" s="90">
        <f>IF(OR($G685="",$H685="",NOT(ISNUMBER($I685))),"",ROUND($H685*$I685*(1+IF($J685="",Setup!$B$16,$J685)),2))</f>
        <v/>
      </c>
      <c r="L685" s="90">
        <f>IF($K685="","",ROUND($K685*Setup!$B$13,2))</f>
        <v/>
      </c>
      <c r="M685" s="90">
        <f>IF($K685="","",$K685-$L685)</f>
        <v/>
      </c>
      <c r="N685" s="90">
        <f>IF(OR($M685="",$D685=""),"",ROUND($M685*IFERROR(IF(VLOOKUP($D685,Setup!$A$76:$C$87,3,FALSE)="",Setup!$B$14,VLOOKUP($D685,Setup!$A$76:$C$87,3,FALSE)),Setup!$B$14),2))</f>
        <v/>
      </c>
      <c r="O685" s="90">
        <f>IF(OR($M685="",$E685=""),"",ROUND($M685*IFERROR(IF(VLOOKUP($E685,Setup!$A$76:$C$87,3,FALSE)="",Setup!$B$15,VLOOKUP($E685,Setup!$A$76:$C$87,3,FALSE)),Setup!$B$15),2))</f>
        <v/>
      </c>
      <c r="P685" s="92" t="n"/>
      <c r="Q685" s="92" t="n"/>
      <c r="R685" s="92" t="n"/>
      <c r="S685" s="92" t="n"/>
      <c r="T685" s="92" t="n"/>
      <c r="U685" s="90">
        <f>IF($K685="","",SUM($R685:$T685))</f>
        <v/>
      </c>
      <c r="V685" s="90">
        <f>IF($K685="","",$M685-(N($N685)+N($O685)+IF($P685="",Setup!$B$17,$P685)+N($Q685))-N($U685))</f>
        <v/>
      </c>
      <c r="W685" s="87" t="n"/>
      <c r="X685" s="88" t="n"/>
      <c r="Z685" s="93">
        <f>IF($A685="","",DATE(YEAR($A685),MONTH($A685),1))</f>
        <v/>
      </c>
    </row>
    <row r="686">
      <c r="A686" s="94" t="n"/>
      <c r="B686" s="95" t="n"/>
      <c r="C686" s="95" t="n"/>
      <c r="D686" s="96" t="n"/>
      <c r="E686" s="96" t="n"/>
      <c r="F686" s="96" t="n"/>
      <c r="G686" s="96" t="n"/>
      <c r="H686" s="97" t="n"/>
      <c r="I686" s="90">
        <f>IF($G686="","",IF($F686="",IFERROR(INDEX(Setup!$C$21:$C$60,MATCH("|"&amp;UPPER(TRIM($G686)),Setup!$Q$21:$Q$60,0)),"NO RATE"),IFERROR(INDEX(Setup!$C$21:$C$60,MATCH(UPPER(TRIM($F686))&amp;"|"&amp;UPPER(TRIM($G686)),Setup!$P$21:$P$60,0)),IFERROR(INDEX(Setup!$C$21:$C$60,MATCH(UPPER(TRIM($G686))&amp;"|"&amp;UPPER(TRIM($F686)),Setup!$P$21:$P$60,0)),"NO RATE"))))</f>
        <v/>
      </c>
      <c r="J686" s="98" t="n"/>
      <c r="K686" s="90">
        <f>IF(OR($G686="",$H686="",NOT(ISNUMBER($I686))),"",ROUND($H686*$I686*(1+IF($J686="",Setup!$B$16,$J686)),2))</f>
        <v/>
      </c>
      <c r="L686" s="90">
        <f>IF($K686="","",ROUND($K686*Setup!$B$13,2))</f>
        <v/>
      </c>
      <c r="M686" s="90">
        <f>IF($K686="","",$K686-$L686)</f>
        <v/>
      </c>
      <c r="N686" s="90">
        <f>IF(OR($M686="",$D686=""),"",ROUND($M686*IFERROR(IF(VLOOKUP($D686,Setup!$A$76:$C$87,3,FALSE)="",Setup!$B$14,VLOOKUP($D686,Setup!$A$76:$C$87,3,FALSE)),Setup!$B$14),2))</f>
        <v/>
      </c>
      <c r="O686" s="90">
        <f>IF(OR($M686="",$E686=""),"",ROUND($M686*IFERROR(IF(VLOOKUP($E686,Setup!$A$76:$C$87,3,FALSE)="",Setup!$B$15,VLOOKUP($E686,Setup!$A$76:$C$87,3,FALSE)),Setup!$B$15),2))</f>
        <v/>
      </c>
      <c r="P686" s="99" t="n"/>
      <c r="Q686" s="99" t="n"/>
      <c r="R686" s="99" t="n"/>
      <c r="S686" s="99" t="n"/>
      <c r="T686" s="99" t="n"/>
      <c r="U686" s="90">
        <f>IF($K686="","",SUM($R686:$T686))</f>
        <v/>
      </c>
      <c r="V686" s="90">
        <f>IF($K686="","",$M686-(N($N686)+N($O686)+IF($P686="",Setup!$B$17,$P686)+N($Q686))-N($U686))</f>
        <v/>
      </c>
      <c r="W686" s="95" t="n"/>
      <c r="X686" s="96" t="n"/>
      <c r="Z686" s="93">
        <f>IF($A686="","",DATE(YEAR($A686),MONTH($A686),1))</f>
        <v/>
      </c>
    </row>
    <row r="687">
      <c r="A687" s="86" t="n"/>
      <c r="B687" s="87" t="n"/>
      <c r="C687" s="87" t="n"/>
      <c r="D687" s="88" t="n"/>
      <c r="E687" s="88" t="n"/>
      <c r="F687" s="88" t="n"/>
      <c r="G687" s="88" t="n"/>
      <c r="H687" s="89" t="n"/>
      <c r="I687" s="90">
        <f>IF($G687="","",IF($F687="",IFERROR(INDEX(Setup!$C$21:$C$60,MATCH("|"&amp;UPPER(TRIM($G687)),Setup!$Q$21:$Q$60,0)),"NO RATE"),IFERROR(INDEX(Setup!$C$21:$C$60,MATCH(UPPER(TRIM($F687))&amp;"|"&amp;UPPER(TRIM($G687)),Setup!$P$21:$P$60,0)),IFERROR(INDEX(Setup!$C$21:$C$60,MATCH(UPPER(TRIM($G687))&amp;"|"&amp;UPPER(TRIM($F687)),Setup!$P$21:$P$60,0)),"NO RATE"))))</f>
        <v/>
      </c>
      <c r="J687" s="91" t="n"/>
      <c r="K687" s="90">
        <f>IF(OR($G687="",$H687="",NOT(ISNUMBER($I687))),"",ROUND($H687*$I687*(1+IF($J687="",Setup!$B$16,$J687)),2))</f>
        <v/>
      </c>
      <c r="L687" s="90">
        <f>IF($K687="","",ROUND($K687*Setup!$B$13,2))</f>
        <v/>
      </c>
      <c r="M687" s="90">
        <f>IF($K687="","",$K687-$L687)</f>
        <v/>
      </c>
      <c r="N687" s="90">
        <f>IF(OR($M687="",$D687=""),"",ROUND($M687*IFERROR(IF(VLOOKUP($D687,Setup!$A$76:$C$87,3,FALSE)="",Setup!$B$14,VLOOKUP($D687,Setup!$A$76:$C$87,3,FALSE)),Setup!$B$14),2))</f>
        <v/>
      </c>
      <c r="O687" s="90">
        <f>IF(OR($M687="",$E687=""),"",ROUND($M687*IFERROR(IF(VLOOKUP($E687,Setup!$A$76:$C$87,3,FALSE)="",Setup!$B$15,VLOOKUP($E687,Setup!$A$76:$C$87,3,FALSE)),Setup!$B$15),2))</f>
        <v/>
      </c>
      <c r="P687" s="92" t="n"/>
      <c r="Q687" s="92" t="n"/>
      <c r="R687" s="92" t="n"/>
      <c r="S687" s="92" t="n"/>
      <c r="T687" s="92" t="n"/>
      <c r="U687" s="90">
        <f>IF($K687="","",SUM($R687:$T687))</f>
        <v/>
      </c>
      <c r="V687" s="90">
        <f>IF($K687="","",$M687-(N($N687)+N($O687)+IF($P687="",Setup!$B$17,$P687)+N($Q687))-N($U687))</f>
        <v/>
      </c>
      <c r="W687" s="87" t="n"/>
      <c r="X687" s="88" t="n"/>
      <c r="Z687" s="93">
        <f>IF($A687="","",DATE(YEAR($A687),MONTH($A687),1))</f>
        <v/>
      </c>
    </row>
    <row r="688">
      <c r="A688" s="94" t="n"/>
      <c r="B688" s="95" t="n"/>
      <c r="C688" s="95" t="n"/>
      <c r="D688" s="96" t="n"/>
      <c r="E688" s="96" t="n"/>
      <c r="F688" s="96" t="n"/>
      <c r="G688" s="96" t="n"/>
      <c r="H688" s="97" t="n"/>
      <c r="I688" s="90">
        <f>IF($G688="","",IF($F688="",IFERROR(INDEX(Setup!$C$21:$C$60,MATCH("|"&amp;UPPER(TRIM($G688)),Setup!$Q$21:$Q$60,0)),"NO RATE"),IFERROR(INDEX(Setup!$C$21:$C$60,MATCH(UPPER(TRIM($F688))&amp;"|"&amp;UPPER(TRIM($G688)),Setup!$P$21:$P$60,0)),IFERROR(INDEX(Setup!$C$21:$C$60,MATCH(UPPER(TRIM($G688))&amp;"|"&amp;UPPER(TRIM($F688)),Setup!$P$21:$P$60,0)),"NO RATE"))))</f>
        <v/>
      </c>
      <c r="J688" s="98" t="n"/>
      <c r="K688" s="90">
        <f>IF(OR($G688="",$H688="",NOT(ISNUMBER($I688))),"",ROUND($H688*$I688*(1+IF($J688="",Setup!$B$16,$J688)),2))</f>
        <v/>
      </c>
      <c r="L688" s="90">
        <f>IF($K688="","",ROUND($K688*Setup!$B$13,2))</f>
        <v/>
      </c>
      <c r="M688" s="90">
        <f>IF($K688="","",$K688-$L688)</f>
        <v/>
      </c>
      <c r="N688" s="90">
        <f>IF(OR($M688="",$D688=""),"",ROUND($M688*IFERROR(IF(VLOOKUP($D688,Setup!$A$76:$C$87,3,FALSE)="",Setup!$B$14,VLOOKUP($D688,Setup!$A$76:$C$87,3,FALSE)),Setup!$B$14),2))</f>
        <v/>
      </c>
      <c r="O688" s="90">
        <f>IF(OR($M688="",$E688=""),"",ROUND($M688*IFERROR(IF(VLOOKUP($E688,Setup!$A$76:$C$87,3,FALSE)="",Setup!$B$15,VLOOKUP($E688,Setup!$A$76:$C$87,3,FALSE)),Setup!$B$15),2))</f>
        <v/>
      </c>
      <c r="P688" s="99" t="n"/>
      <c r="Q688" s="99" t="n"/>
      <c r="R688" s="99" t="n"/>
      <c r="S688" s="99" t="n"/>
      <c r="T688" s="99" t="n"/>
      <c r="U688" s="90">
        <f>IF($K688="","",SUM($R688:$T688))</f>
        <v/>
      </c>
      <c r="V688" s="90">
        <f>IF($K688="","",$M688-(N($N688)+N($O688)+IF($P688="",Setup!$B$17,$P688)+N($Q688))-N($U688))</f>
        <v/>
      </c>
      <c r="W688" s="95" t="n"/>
      <c r="X688" s="96" t="n"/>
      <c r="Z688" s="93">
        <f>IF($A688="","",DATE(YEAR($A688),MONTH($A688),1))</f>
        <v/>
      </c>
    </row>
    <row r="689">
      <c r="A689" s="86" t="n"/>
      <c r="B689" s="87" t="n"/>
      <c r="C689" s="87" t="n"/>
      <c r="D689" s="88" t="n"/>
      <c r="E689" s="88" t="n"/>
      <c r="F689" s="88" t="n"/>
      <c r="G689" s="88" t="n"/>
      <c r="H689" s="89" t="n"/>
      <c r="I689" s="90">
        <f>IF($G689="","",IF($F689="",IFERROR(INDEX(Setup!$C$21:$C$60,MATCH("|"&amp;UPPER(TRIM($G689)),Setup!$Q$21:$Q$60,0)),"NO RATE"),IFERROR(INDEX(Setup!$C$21:$C$60,MATCH(UPPER(TRIM($F689))&amp;"|"&amp;UPPER(TRIM($G689)),Setup!$P$21:$P$60,0)),IFERROR(INDEX(Setup!$C$21:$C$60,MATCH(UPPER(TRIM($G689))&amp;"|"&amp;UPPER(TRIM($F689)),Setup!$P$21:$P$60,0)),"NO RATE"))))</f>
        <v/>
      </c>
      <c r="J689" s="91" t="n"/>
      <c r="K689" s="90">
        <f>IF(OR($G689="",$H689="",NOT(ISNUMBER($I689))),"",ROUND($H689*$I689*(1+IF($J689="",Setup!$B$16,$J689)),2))</f>
        <v/>
      </c>
      <c r="L689" s="90">
        <f>IF($K689="","",ROUND($K689*Setup!$B$13,2))</f>
        <v/>
      </c>
      <c r="M689" s="90">
        <f>IF($K689="","",$K689-$L689)</f>
        <v/>
      </c>
      <c r="N689" s="90">
        <f>IF(OR($M689="",$D689=""),"",ROUND($M689*IFERROR(IF(VLOOKUP($D689,Setup!$A$76:$C$87,3,FALSE)="",Setup!$B$14,VLOOKUP($D689,Setup!$A$76:$C$87,3,FALSE)),Setup!$B$14),2))</f>
        <v/>
      </c>
      <c r="O689" s="90">
        <f>IF(OR($M689="",$E689=""),"",ROUND($M689*IFERROR(IF(VLOOKUP($E689,Setup!$A$76:$C$87,3,FALSE)="",Setup!$B$15,VLOOKUP($E689,Setup!$A$76:$C$87,3,FALSE)),Setup!$B$15),2))</f>
        <v/>
      </c>
      <c r="P689" s="92" t="n"/>
      <c r="Q689" s="92" t="n"/>
      <c r="R689" s="92" t="n"/>
      <c r="S689" s="92" t="n"/>
      <c r="T689" s="92" t="n"/>
      <c r="U689" s="90">
        <f>IF($K689="","",SUM($R689:$T689))</f>
        <v/>
      </c>
      <c r="V689" s="90">
        <f>IF($K689="","",$M689-(N($N689)+N($O689)+IF($P689="",Setup!$B$17,$P689)+N($Q689))-N($U689))</f>
        <v/>
      </c>
      <c r="W689" s="87" t="n"/>
      <c r="X689" s="88" t="n"/>
      <c r="Z689" s="93">
        <f>IF($A689="","",DATE(YEAR($A689),MONTH($A689),1))</f>
        <v/>
      </c>
    </row>
    <row r="690">
      <c r="A690" s="94" t="n"/>
      <c r="B690" s="95" t="n"/>
      <c r="C690" s="95" t="n"/>
      <c r="D690" s="96" t="n"/>
      <c r="E690" s="96" t="n"/>
      <c r="F690" s="96" t="n"/>
      <c r="G690" s="96" t="n"/>
      <c r="H690" s="97" t="n"/>
      <c r="I690" s="90">
        <f>IF($G690="","",IF($F690="",IFERROR(INDEX(Setup!$C$21:$C$60,MATCH("|"&amp;UPPER(TRIM($G690)),Setup!$Q$21:$Q$60,0)),"NO RATE"),IFERROR(INDEX(Setup!$C$21:$C$60,MATCH(UPPER(TRIM($F690))&amp;"|"&amp;UPPER(TRIM($G690)),Setup!$P$21:$P$60,0)),IFERROR(INDEX(Setup!$C$21:$C$60,MATCH(UPPER(TRIM($G690))&amp;"|"&amp;UPPER(TRIM($F690)),Setup!$P$21:$P$60,0)),"NO RATE"))))</f>
        <v/>
      </c>
      <c r="J690" s="98" t="n"/>
      <c r="K690" s="90">
        <f>IF(OR($G690="",$H690="",NOT(ISNUMBER($I690))),"",ROUND($H690*$I690*(1+IF($J690="",Setup!$B$16,$J690)),2))</f>
        <v/>
      </c>
      <c r="L690" s="90">
        <f>IF($K690="","",ROUND($K690*Setup!$B$13,2))</f>
        <v/>
      </c>
      <c r="M690" s="90">
        <f>IF($K690="","",$K690-$L690)</f>
        <v/>
      </c>
      <c r="N690" s="90">
        <f>IF(OR($M690="",$D690=""),"",ROUND($M690*IFERROR(IF(VLOOKUP($D690,Setup!$A$76:$C$87,3,FALSE)="",Setup!$B$14,VLOOKUP($D690,Setup!$A$76:$C$87,3,FALSE)),Setup!$B$14),2))</f>
        <v/>
      </c>
      <c r="O690" s="90">
        <f>IF(OR($M690="",$E690=""),"",ROUND($M690*IFERROR(IF(VLOOKUP($E690,Setup!$A$76:$C$87,3,FALSE)="",Setup!$B$15,VLOOKUP($E690,Setup!$A$76:$C$87,3,FALSE)),Setup!$B$15),2))</f>
        <v/>
      </c>
      <c r="P690" s="99" t="n"/>
      <c r="Q690" s="99" t="n"/>
      <c r="R690" s="99" t="n"/>
      <c r="S690" s="99" t="n"/>
      <c r="T690" s="99" t="n"/>
      <c r="U690" s="90">
        <f>IF($K690="","",SUM($R690:$T690))</f>
        <v/>
      </c>
      <c r="V690" s="90">
        <f>IF($K690="","",$M690-(N($N690)+N($O690)+IF($P690="",Setup!$B$17,$P690)+N($Q690))-N($U690))</f>
        <v/>
      </c>
      <c r="W690" s="95" t="n"/>
      <c r="X690" s="96" t="n"/>
      <c r="Z690" s="93">
        <f>IF($A690="","",DATE(YEAR($A690),MONTH($A690),1))</f>
        <v/>
      </c>
    </row>
    <row r="691">
      <c r="A691" s="86" t="n"/>
      <c r="B691" s="87" t="n"/>
      <c r="C691" s="87" t="n"/>
      <c r="D691" s="88" t="n"/>
      <c r="E691" s="88" t="n"/>
      <c r="F691" s="88" t="n"/>
      <c r="G691" s="88" t="n"/>
      <c r="H691" s="89" t="n"/>
      <c r="I691" s="90">
        <f>IF($G691="","",IF($F691="",IFERROR(INDEX(Setup!$C$21:$C$60,MATCH("|"&amp;UPPER(TRIM($G691)),Setup!$Q$21:$Q$60,0)),"NO RATE"),IFERROR(INDEX(Setup!$C$21:$C$60,MATCH(UPPER(TRIM($F691))&amp;"|"&amp;UPPER(TRIM($G691)),Setup!$P$21:$P$60,0)),IFERROR(INDEX(Setup!$C$21:$C$60,MATCH(UPPER(TRIM($G691))&amp;"|"&amp;UPPER(TRIM($F691)),Setup!$P$21:$P$60,0)),"NO RATE"))))</f>
        <v/>
      </c>
      <c r="J691" s="91" t="n"/>
      <c r="K691" s="90">
        <f>IF(OR($G691="",$H691="",NOT(ISNUMBER($I691))),"",ROUND($H691*$I691*(1+IF($J691="",Setup!$B$16,$J691)),2))</f>
        <v/>
      </c>
      <c r="L691" s="90">
        <f>IF($K691="","",ROUND($K691*Setup!$B$13,2))</f>
        <v/>
      </c>
      <c r="M691" s="90">
        <f>IF($K691="","",$K691-$L691)</f>
        <v/>
      </c>
      <c r="N691" s="90">
        <f>IF(OR($M691="",$D691=""),"",ROUND($M691*IFERROR(IF(VLOOKUP($D691,Setup!$A$76:$C$87,3,FALSE)="",Setup!$B$14,VLOOKUP($D691,Setup!$A$76:$C$87,3,FALSE)),Setup!$B$14),2))</f>
        <v/>
      </c>
      <c r="O691" s="90">
        <f>IF(OR($M691="",$E691=""),"",ROUND($M691*IFERROR(IF(VLOOKUP($E691,Setup!$A$76:$C$87,3,FALSE)="",Setup!$B$15,VLOOKUP($E691,Setup!$A$76:$C$87,3,FALSE)),Setup!$B$15),2))</f>
        <v/>
      </c>
      <c r="P691" s="92" t="n"/>
      <c r="Q691" s="92" t="n"/>
      <c r="R691" s="92" t="n"/>
      <c r="S691" s="92" t="n"/>
      <c r="T691" s="92" t="n"/>
      <c r="U691" s="90">
        <f>IF($K691="","",SUM($R691:$T691))</f>
        <v/>
      </c>
      <c r="V691" s="90">
        <f>IF($K691="","",$M691-(N($N691)+N($O691)+IF($P691="",Setup!$B$17,$P691)+N($Q691))-N($U691))</f>
        <v/>
      </c>
      <c r="W691" s="87" t="n"/>
      <c r="X691" s="88" t="n"/>
      <c r="Z691" s="93">
        <f>IF($A691="","",DATE(YEAR($A691),MONTH($A691),1))</f>
        <v/>
      </c>
    </row>
    <row r="692">
      <c r="A692" s="94" t="n"/>
      <c r="B692" s="95" t="n"/>
      <c r="C692" s="95" t="n"/>
      <c r="D692" s="96" t="n"/>
      <c r="E692" s="96" t="n"/>
      <c r="F692" s="96" t="n"/>
      <c r="G692" s="96" t="n"/>
      <c r="H692" s="97" t="n"/>
      <c r="I692" s="90">
        <f>IF($G692="","",IF($F692="",IFERROR(INDEX(Setup!$C$21:$C$60,MATCH("|"&amp;UPPER(TRIM($G692)),Setup!$Q$21:$Q$60,0)),"NO RATE"),IFERROR(INDEX(Setup!$C$21:$C$60,MATCH(UPPER(TRIM($F692))&amp;"|"&amp;UPPER(TRIM($G692)),Setup!$P$21:$P$60,0)),IFERROR(INDEX(Setup!$C$21:$C$60,MATCH(UPPER(TRIM($G692))&amp;"|"&amp;UPPER(TRIM($F692)),Setup!$P$21:$P$60,0)),"NO RATE"))))</f>
        <v/>
      </c>
      <c r="J692" s="98" t="n"/>
      <c r="K692" s="90">
        <f>IF(OR($G692="",$H692="",NOT(ISNUMBER($I692))),"",ROUND($H692*$I692*(1+IF($J692="",Setup!$B$16,$J692)),2))</f>
        <v/>
      </c>
      <c r="L692" s="90">
        <f>IF($K692="","",ROUND($K692*Setup!$B$13,2))</f>
        <v/>
      </c>
      <c r="M692" s="90">
        <f>IF($K692="","",$K692-$L692)</f>
        <v/>
      </c>
      <c r="N692" s="90">
        <f>IF(OR($M692="",$D692=""),"",ROUND($M692*IFERROR(IF(VLOOKUP($D692,Setup!$A$76:$C$87,3,FALSE)="",Setup!$B$14,VLOOKUP($D692,Setup!$A$76:$C$87,3,FALSE)),Setup!$B$14),2))</f>
        <v/>
      </c>
      <c r="O692" s="90">
        <f>IF(OR($M692="",$E692=""),"",ROUND($M692*IFERROR(IF(VLOOKUP($E692,Setup!$A$76:$C$87,3,FALSE)="",Setup!$B$15,VLOOKUP($E692,Setup!$A$76:$C$87,3,FALSE)),Setup!$B$15),2))</f>
        <v/>
      </c>
      <c r="P692" s="99" t="n"/>
      <c r="Q692" s="99" t="n"/>
      <c r="R692" s="99" t="n"/>
      <c r="S692" s="99" t="n"/>
      <c r="T692" s="99" t="n"/>
      <c r="U692" s="90">
        <f>IF($K692="","",SUM($R692:$T692))</f>
        <v/>
      </c>
      <c r="V692" s="90">
        <f>IF($K692="","",$M692-(N($N692)+N($O692)+IF($P692="",Setup!$B$17,$P692)+N($Q692))-N($U692))</f>
        <v/>
      </c>
      <c r="W692" s="95" t="n"/>
      <c r="X692" s="96" t="n"/>
      <c r="Z692" s="93">
        <f>IF($A692="","",DATE(YEAR($A692),MONTH($A692),1))</f>
        <v/>
      </c>
    </row>
    <row r="693">
      <c r="A693" s="86" t="n"/>
      <c r="B693" s="87" t="n"/>
      <c r="C693" s="87" t="n"/>
      <c r="D693" s="88" t="n"/>
      <c r="E693" s="88" t="n"/>
      <c r="F693" s="88" t="n"/>
      <c r="G693" s="88" t="n"/>
      <c r="H693" s="89" t="n"/>
      <c r="I693" s="90">
        <f>IF($G693="","",IF($F693="",IFERROR(INDEX(Setup!$C$21:$C$60,MATCH("|"&amp;UPPER(TRIM($G693)),Setup!$Q$21:$Q$60,0)),"NO RATE"),IFERROR(INDEX(Setup!$C$21:$C$60,MATCH(UPPER(TRIM($F693))&amp;"|"&amp;UPPER(TRIM($G693)),Setup!$P$21:$P$60,0)),IFERROR(INDEX(Setup!$C$21:$C$60,MATCH(UPPER(TRIM($G693))&amp;"|"&amp;UPPER(TRIM($F693)),Setup!$P$21:$P$60,0)),"NO RATE"))))</f>
        <v/>
      </c>
      <c r="J693" s="91" t="n"/>
      <c r="K693" s="90">
        <f>IF(OR($G693="",$H693="",NOT(ISNUMBER($I693))),"",ROUND($H693*$I693*(1+IF($J693="",Setup!$B$16,$J693)),2))</f>
        <v/>
      </c>
      <c r="L693" s="90">
        <f>IF($K693="","",ROUND($K693*Setup!$B$13,2))</f>
        <v/>
      </c>
      <c r="M693" s="90">
        <f>IF($K693="","",$K693-$L693)</f>
        <v/>
      </c>
      <c r="N693" s="90">
        <f>IF(OR($M693="",$D693=""),"",ROUND($M693*IFERROR(IF(VLOOKUP($D693,Setup!$A$76:$C$87,3,FALSE)="",Setup!$B$14,VLOOKUP($D693,Setup!$A$76:$C$87,3,FALSE)),Setup!$B$14),2))</f>
        <v/>
      </c>
      <c r="O693" s="90">
        <f>IF(OR($M693="",$E693=""),"",ROUND($M693*IFERROR(IF(VLOOKUP($E693,Setup!$A$76:$C$87,3,FALSE)="",Setup!$B$15,VLOOKUP($E693,Setup!$A$76:$C$87,3,FALSE)),Setup!$B$15),2))</f>
        <v/>
      </c>
      <c r="P693" s="92" t="n"/>
      <c r="Q693" s="92" t="n"/>
      <c r="R693" s="92" t="n"/>
      <c r="S693" s="92" t="n"/>
      <c r="T693" s="92" t="n"/>
      <c r="U693" s="90">
        <f>IF($K693="","",SUM($R693:$T693))</f>
        <v/>
      </c>
      <c r="V693" s="90">
        <f>IF($K693="","",$M693-(N($N693)+N($O693)+IF($P693="",Setup!$B$17,$P693)+N($Q693))-N($U693))</f>
        <v/>
      </c>
      <c r="W693" s="87" t="n"/>
      <c r="X693" s="88" t="n"/>
      <c r="Z693" s="93">
        <f>IF($A693="","",DATE(YEAR($A693),MONTH($A693),1))</f>
        <v/>
      </c>
    </row>
    <row r="694">
      <c r="A694" s="94" t="n"/>
      <c r="B694" s="95" t="n"/>
      <c r="C694" s="95" t="n"/>
      <c r="D694" s="96" t="n"/>
      <c r="E694" s="96" t="n"/>
      <c r="F694" s="96" t="n"/>
      <c r="G694" s="96" t="n"/>
      <c r="H694" s="97" t="n"/>
      <c r="I694" s="90">
        <f>IF($G694="","",IF($F694="",IFERROR(INDEX(Setup!$C$21:$C$60,MATCH("|"&amp;UPPER(TRIM($G694)),Setup!$Q$21:$Q$60,0)),"NO RATE"),IFERROR(INDEX(Setup!$C$21:$C$60,MATCH(UPPER(TRIM($F694))&amp;"|"&amp;UPPER(TRIM($G694)),Setup!$P$21:$P$60,0)),IFERROR(INDEX(Setup!$C$21:$C$60,MATCH(UPPER(TRIM($G694))&amp;"|"&amp;UPPER(TRIM($F694)),Setup!$P$21:$P$60,0)),"NO RATE"))))</f>
        <v/>
      </c>
      <c r="J694" s="98" t="n"/>
      <c r="K694" s="90">
        <f>IF(OR($G694="",$H694="",NOT(ISNUMBER($I694))),"",ROUND($H694*$I694*(1+IF($J694="",Setup!$B$16,$J694)),2))</f>
        <v/>
      </c>
      <c r="L694" s="90">
        <f>IF($K694="","",ROUND($K694*Setup!$B$13,2))</f>
        <v/>
      </c>
      <c r="M694" s="90">
        <f>IF($K694="","",$K694-$L694)</f>
        <v/>
      </c>
      <c r="N694" s="90">
        <f>IF(OR($M694="",$D694=""),"",ROUND($M694*IFERROR(IF(VLOOKUP($D694,Setup!$A$76:$C$87,3,FALSE)="",Setup!$B$14,VLOOKUP($D694,Setup!$A$76:$C$87,3,FALSE)),Setup!$B$14),2))</f>
        <v/>
      </c>
      <c r="O694" s="90">
        <f>IF(OR($M694="",$E694=""),"",ROUND($M694*IFERROR(IF(VLOOKUP($E694,Setup!$A$76:$C$87,3,FALSE)="",Setup!$B$15,VLOOKUP($E694,Setup!$A$76:$C$87,3,FALSE)),Setup!$B$15),2))</f>
        <v/>
      </c>
      <c r="P694" s="99" t="n"/>
      <c r="Q694" s="99" t="n"/>
      <c r="R694" s="99" t="n"/>
      <c r="S694" s="99" t="n"/>
      <c r="T694" s="99" t="n"/>
      <c r="U694" s="90">
        <f>IF($K694="","",SUM($R694:$T694))</f>
        <v/>
      </c>
      <c r="V694" s="90">
        <f>IF($K694="","",$M694-(N($N694)+N($O694)+IF($P694="",Setup!$B$17,$P694)+N($Q694))-N($U694))</f>
        <v/>
      </c>
      <c r="W694" s="95" t="n"/>
      <c r="X694" s="96" t="n"/>
      <c r="Z694" s="93">
        <f>IF($A694="","",DATE(YEAR($A694),MONTH($A694),1))</f>
        <v/>
      </c>
    </row>
    <row r="695">
      <c r="A695" s="86" t="n"/>
      <c r="B695" s="87" t="n"/>
      <c r="C695" s="87" t="n"/>
      <c r="D695" s="88" t="n"/>
      <c r="E695" s="88" t="n"/>
      <c r="F695" s="88" t="n"/>
      <c r="G695" s="88" t="n"/>
      <c r="H695" s="89" t="n"/>
      <c r="I695" s="90">
        <f>IF($G695="","",IF($F695="",IFERROR(INDEX(Setup!$C$21:$C$60,MATCH("|"&amp;UPPER(TRIM($G695)),Setup!$Q$21:$Q$60,0)),"NO RATE"),IFERROR(INDEX(Setup!$C$21:$C$60,MATCH(UPPER(TRIM($F695))&amp;"|"&amp;UPPER(TRIM($G695)),Setup!$P$21:$P$60,0)),IFERROR(INDEX(Setup!$C$21:$C$60,MATCH(UPPER(TRIM($G695))&amp;"|"&amp;UPPER(TRIM($F695)),Setup!$P$21:$P$60,0)),"NO RATE"))))</f>
        <v/>
      </c>
      <c r="J695" s="91" t="n"/>
      <c r="K695" s="90">
        <f>IF(OR($G695="",$H695="",NOT(ISNUMBER($I695))),"",ROUND($H695*$I695*(1+IF($J695="",Setup!$B$16,$J695)),2))</f>
        <v/>
      </c>
      <c r="L695" s="90">
        <f>IF($K695="","",ROUND($K695*Setup!$B$13,2))</f>
        <v/>
      </c>
      <c r="M695" s="90">
        <f>IF($K695="","",$K695-$L695)</f>
        <v/>
      </c>
      <c r="N695" s="90">
        <f>IF(OR($M695="",$D695=""),"",ROUND($M695*IFERROR(IF(VLOOKUP($D695,Setup!$A$76:$C$87,3,FALSE)="",Setup!$B$14,VLOOKUP($D695,Setup!$A$76:$C$87,3,FALSE)),Setup!$B$14),2))</f>
        <v/>
      </c>
      <c r="O695" s="90">
        <f>IF(OR($M695="",$E695=""),"",ROUND($M695*IFERROR(IF(VLOOKUP($E695,Setup!$A$76:$C$87,3,FALSE)="",Setup!$B$15,VLOOKUP($E695,Setup!$A$76:$C$87,3,FALSE)),Setup!$B$15),2))</f>
        <v/>
      </c>
      <c r="P695" s="92" t="n"/>
      <c r="Q695" s="92" t="n"/>
      <c r="R695" s="92" t="n"/>
      <c r="S695" s="92" t="n"/>
      <c r="T695" s="92" t="n"/>
      <c r="U695" s="90">
        <f>IF($K695="","",SUM($R695:$T695))</f>
        <v/>
      </c>
      <c r="V695" s="90">
        <f>IF($K695="","",$M695-(N($N695)+N($O695)+IF($P695="",Setup!$B$17,$P695)+N($Q695))-N($U695))</f>
        <v/>
      </c>
      <c r="W695" s="87" t="n"/>
      <c r="X695" s="88" t="n"/>
      <c r="Z695" s="93">
        <f>IF($A695="","",DATE(YEAR($A695),MONTH($A695),1))</f>
        <v/>
      </c>
    </row>
    <row r="696">
      <c r="A696" s="94" t="n"/>
      <c r="B696" s="95" t="n"/>
      <c r="C696" s="95" t="n"/>
      <c r="D696" s="96" t="n"/>
      <c r="E696" s="96" t="n"/>
      <c r="F696" s="96" t="n"/>
      <c r="G696" s="96" t="n"/>
      <c r="H696" s="97" t="n"/>
      <c r="I696" s="90">
        <f>IF($G696="","",IF($F696="",IFERROR(INDEX(Setup!$C$21:$C$60,MATCH("|"&amp;UPPER(TRIM($G696)),Setup!$Q$21:$Q$60,0)),"NO RATE"),IFERROR(INDEX(Setup!$C$21:$C$60,MATCH(UPPER(TRIM($F696))&amp;"|"&amp;UPPER(TRIM($G696)),Setup!$P$21:$P$60,0)),IFERROR(INDEX(Setup!$C$21:$C$60,MATCH(UPPER(TRIM($G696))&amp;"|"&amp;UPPER(TRIM($F696)),Setup!$P$21:$P$60,0)),"NO RATE"))))</f>
        <v/>
      </c>
      <c r="J696" s="98" t="n"/>
      <c r="K696" s="90">
        <f>IF(OR($G696="",$H696="",NOT(ISNUMBER($I696))),"",ROUND($H696*$I696*(1+IF($J696="",Setup!$B$16,$J696)),2))</f>
        <v/>
      </c>
      <c r="L696" s="90">
        <f>IF($K696="","",ROUND($K696*Setup!$B$13,2))</f>
        <v/>
      </c>
      <c r="M696" s="90">
        <f>IF($K696="","",$K696-$L696)</f>
        <v/>
      </c>
      <c r="N696" s="90">
        <f>IF(OR($M696="",$D696=""),"",ROUND($M696*IFERROR(IF(VLOOKUP($D696,Setup!$A$76:$C$87,3,FALSE)="",Setup!$B$14,VLOOKUP($D696,Setup!$A$76:$C$87,3,FALSE)),Setup!$B$14),2))</f>
        <v/>
      </c>
      <c r="O696" s="90">
        <f>IF(OR($M696="",$E696=""),"",ROUND($M696*IFERROR(IF(VLOOKUP($E696,Setup!$A$76:$C$87,3,FALSE)="",Setup!$B$15,VLOOKUP($E696,Setup!$A$76:$C$87,3,FALSE)),Setup!$B$15),2))</f>
        <v/>
      </c>
      <c r="P696" s="99" t="n"/>
      <c r="Q696" s="99" t="n"/>
      <c r="R696" s="99" t="n"/>
      <c r="S696" s="99" t="n"/>
      <c r="T696" s="99" t="n"/>
      <c r="U696" s="90">
        <f>IF($K696="","",SUM($R696:$T696))</f>
        <v/>
      </c>
      <c r="V696" s="90">
        <f>IF($K696="","",$M696-(N($N696)+N($O696)+IF($P696="",Setup!$B$17,$P696)+N($Q696))-N($U696))</f>
        <v/>
      </c>
      <c r="W696" s="95" t="n"/>
      <c r="X696" s="96" t="n"/>
      <c r="Z696" s="93">
        <f>IF($A696="","",DATE(YEAR($A696),MONTH($A696),1))</f>
        <v/>
      </c>
    </row>
    <row r="697">
      <c r="A697" s="86" t="n"/>
      <c r="B697" s="87" t="n"/>
      <c r="C697" s="87" t="n"/>
      <c r="D697" s="88" t="n"/>
      <c r="E697" s="88" t="n"/>
      <c r="F697" s="88" t="n"/>
      <c r="G697" s="88" t="n"/>
      <c r="H697" s="89" t="n"/>
      <c r="I697" s="90">
        <f>IF($G697="","",IF($F697="",IFERROR(INDEX(Setup!$C$21:$C$60,MATCH("|"&amp;UPPER(TRIM($G697)),Setup!$Q$21:$Q$60,0)),"NO RATE"),IFERROR(INDEX(Setup!$C$21:$C$60,MATCH(UPPER(TRIM($F697))&amp;"|"&amp;UPPER(TRIM($G697)),Setup!$P$21:$P$60,0)),IFERROR(INDEX(Setup!$C$21:$C$60,MATCH(UPPER(TRIM($G697))&amp;"|"&amp;UPPER(TRIM($F697)),Setup!$P$21:$P$60,0)),"NO RATE"))))</f>
        <v/>
      </c>
      <c r="J697" s="91" t="n"/>
      <c r="K697" s="90">
        <f>IF(OR($G697="",$H697="",NOT(ISNUMBER($I697))),"",ROUND($H697*$I697*(1+IF($J697="",Setup!$B$16,$J697)),2))</f>
        <v/>
      </c>
      <c r="L697" s="90">
        <f>IF($K697="","",ROUND($K697*Setup!$B$13,2))</f>
        <v/>
      </c>
      <c r="M697" s="90">
        <f>IF($K697="","",$K697-$L697)</f>
        <v/>
      </c>
      <c r="N697" s="90">
        <f>IF(OR($M697="",$D697=""),"",ROUND($M697*IFERROR(IF(VLOOKUP($D697,Setup!$A$76:$C$87,3,FALSE)="",Setup!$B$14,VLOOKUP($D697,Setup!$A$76:$C$87,3,FALSE)),Setup!$B$14),2))</f>
        <v/>
      </c>
      <c r="O697" s="90">
        <f>IF(OR($M697="",$E697=""),"",ROUND($M697*IFERROR(IF(VLOOKUP($E697,Setup!$A$76:$C$87,3,FALSE)="",Setup!$B$15,VLOOKUP($E697,Setup!$A$76:$C$87,3,FALSE)),Setup!$B$15),2))</f>
        <v/>
      </c>
      <c r="P697" s="92" t="n"/>
      <c r="Q697" s="92" t="n"/>
      <c r="R697" s="92" t="n"/>
      <c r="S697" s="92" t="n"/>
      <c r="T697" s="92" t="n"/>
      <c r="U697" s="90">
        <f>IF($K697="","",SUM($R697:$T697))</f>
        <v/>
      </c>
      <c r="V697" s="90">
        <f>IF($K697="","",$M697-(N($N697)+N($O697)+IF($P697="",Setup!$B$17,$P697)+N($Q697))-N($U697))</f>
        <v/>
      </c>
      <c r="W697" s="87" t="n"/>
      <c r="X697" s="88" t="n"/>
      <c r="Z697" s="93">
        <f>IF($A697="","",DATE(YEAR($A697),MONTH($A697),1))</f>
        <v/>
      </c>
    </row>
    <row r="698">
      <c r="A698" s="94" t="n"/>
      <c r="B698" s="95" t="n"/>
      <c r="C698" s="95" t="n"/>
      <c r="D698" s="96" t="n"/>
      <c r="E698" s="96" t="n"/>
      <c r="F698" s="96" t="n"/>
      <c r="G698" s="96" t="n"/>
      <c r="H698" s="97" t="n"/>
      <c r="I698" s="90">
        <f>IF($G698="","",IF($F698="",IFERROR(INDEX(Setup!$C$21:$C$60,MATCH("|"&amp;UPPER(TRIM($G698)),Setup!$Q$21:$Q$60,0)),"NO RATE"),IFERROR(INDEX(Setup!$C$21:$C$60,MATCH(UPPER(TRIM($F698))&amp;"|"&amp;UPPER(TRIM($G698)),Setup!$P$21:$P$60,0)),IFERROR(INDEX(Setup!$C$21:$C$60,MATCH(UPPER(TRIM($G698))&amp;"|"&amp;UPPER(TRIM($F698)),Setup!$P$21:$P$60,0)),"NO RATE"))))</f>
        <v/>
      </c>
      <c r="J698" s="98" t="n"/>
      <c r="K698" s="90">
        <f>IF(OR($G698="",$H698="",NOT(ISNUMBER($I698))),"",ROUND($H698*$I698*(1+IF($J698="",Setup!$B$16,$J698)),2))</f>
        <v/>
      </c>
      <c r="L698" s="90">
        <f>IF($K698="","",ROUND($K698*Setup!$B$13,2))</f>
        <v/>
      </c>
      <c r="M698" s="90">
        <f>IF($K698="","",$K698-$L698)</f>
        <v/>
      </c>
      <c r="N698" s="90">
        <f>IF(OR($M698="",$D698=""),"",ROUND($M698*IFERROR(IF(VLOOKUP($D698,Setup!$A$76:$C$87,3,FALSE)="",Setup!$B$14,VLOOKUP($D698,Setup!$A$76:$C$87,3,FALSE)),Setup!$B$14),2))</f>
        <v/>
      </c>
      <c r="O698" s="90">
        <f>IF(OR($M698="",$E698=""),"",ROUND($M698*IFERROR(IF(VLOOKUP($E698,Setup!$A$76:$C$87,3,FALSE)="",Setup!$B$15,VLOOKUP($E698,Setup!$A$76:$C$87,3,FALSE)),Setup!$B$15),2))</f>
        <v/>
      </c>
      <c r="P698" s="99" t="n"/>
      <c r="Q698" s="99" t="n"/>
      <c r="R698" s="99" t="n"/>
      <c r="S698" s="99" t="n"/>
      <c r="T698" s="99" t="n"/>
      <c r="U698" s="90">
        <f>IF($K698="","",SUM($R698:$T698))</f>
        <v/>
      </c>
      <c r="V698" s="90">
        <f>IF($K698="","",$M698-(N($N698)+N($O698)+IF($P698="",Setup!$B$17,$P698)+N($Q698))-N($U698))</f>
        <v/>
      </c>
      <c r="W698" s="95" t="n"/>
      <c r="X698" s="96" t="n"/>
      <c r="Z698" s="93">
        <f>IF($A698="","",DATE(YEAR($A698),MONTH($A698),1))</f>
        <v/>
      </c>
    </row>
    <row r="699">
      <c r="A699" s="86" t="n"/>
      <c r="B699" s="87" t="n"/>
      <c r="C699" s="87" t="n"/>
      <c r="D699" s="88" t="n"/>
      <c r="E699" s="88" t="n"/>
      <c r="F699" s="88" t="n"/>
      <c r="G699" s="88" t="n"/>
      <c r="H699" s="89" t="n"/>
      <c r="I699" s="90">
        <f>IF($G699="","",IF($F699="",IFERROR(INDEX(Setup!$C$21:$C$60,MATCH("|"&amp;UPPER(TRIM($G699)),Setup!$Q$21:$Q$60,0)),"NO RATE"),IFERROR(INDEX(Setup!$C$21:$C$60,MATCH(UPPER(TRIM($F699))&amp;"|"&amp;UPPER(TRIM($G699)),Setup!$P$21:$P$60,0)),IFERROR(INDEX(Setup!$C$21:$C$60,MATCH(UPPER(TRIM($G699))&amp;"|"&amp;UPPER(TRIM($F699)),Setup!$P$21:$P$60,0)),"NO RATE"))))</f>
        <v/>
      </c>
      <c r="J699" s="91" t="n"/>
      <c r="K699" s="90">
        <f>IF(OR($G699="",$H699="",NOT(ISNUMBER($I699))),"",ROUND($H699*$I699*(1+IF($J699="",Setup!$B$16,$J699)),2))</f>
        <v/>
      </c>
      <c r="L699" s="90">
        <f>IF($K699="","",ROUND($K699*Setup!$B$13,2))</f>
        <v/>
      </c>
      <c r="M699" s="90">
        <f>IF($K699="","",$K699-$L699)</f>
        <v/>
      </c>
      <c r="N699" s="90">
        <f>IF(OR($M699="",$D699=""),"",ROUND($M699*IFERROR(IF(VLOOKUP($D699,Setup!$A$76:$C$87,3,FALSE)="",Setup!$B$14,VLOOKUP($D699,Setup!$A$76:$C$87,3,FALSE)),Setup!$B$14),2))</f>
        <v/>
      </c>
      <c r="O699" s="90">
        <f>IF(OR($M699="",$E699=""),"",ROUND($M699*IFERROR(IF(VLOOKUP($E699,Setup!$A$76:$C$87,3,FALSE)="",Setup!$B$15,VLOOKUP($E699,Setup!$A$76:$C$87,3,FALSE)),Setup!$B$15),2))</f>
        <v/>
      </c>
      <c r="P699" s="92" t="n"/>
      <c r="Q699" s="92" t="n"/>
      <c r="R699" s="92" t="n"/>
      <c r="S699" s="92" t="n"/>
      <c r="T699" s="92" t="n"/>
      <c r="U699" s="90">
        <f>IF($K699="","",SUM($R699:$T699))</f>
        <v/>
      </c>
      <c r="V699" s="90">
        <f>IF($K699="","",$M699-(N($N699)+N($O699)+IF($P699="",Setup!$B$17,$P699)+N($Q699))-N($U699))</f>
        <v/>
      </c>
      <c r="W699" s="87" t="n"/>
      <c r="X699" s="88" t="n"/>
      <c r="Z699" s="93">
        <f>IF($A699="","",DATE(YEAR($A699),MONTH($A699),1))</f>
        <v/>
      </c>
    </row>
    <row r="700">
      <c r="A700" s="94" t="n"/>
      <c r="B700" s="95" t="n"/>
      <c r="C700" s="95" t="n"/>
      <c r="D700" s="96" t="n"/>
      <c r="E700" s="96" t="n"/>
      <c r="F700" s="96" t="n"/>
      <c r="G700" s="96" t="n"/>
      <c r="H700" s="97" t="n"/>
      <c r="I700" s="90">
        <f>IF($G700="","",IF($F700="",IFERROR(INDEX(Setup!$C$21:$C$60,MATCH("|"&amp;UPPER(TRIM($G700)),Setup!$Q$21:$Q$60,0)),"NO RATE"),IFERROR(INDEX(Setup!$C$21:$C$60,MATCH(UPPER(TRIM($F700))&amp;"|"&amp;UPPER(TRIM($G700)),Setup!$P$21:$P$60,0)),IFERROR(INDEX(Setup!$C$21:$C$60,MATCH(UPPER(TRIM($G700))&amp;"|"&amp;UPPER(TRIM($F700)),Setup!$P$21:$P$60,0)),"NO RATE"))))</f>
        <v/>
      </c>
      <c r="J700" s="98" t="n"/>
      <c r="K700" s="90">
        <f>IF(OR($G700="",$H700="",NOT(ISNUMBER($I700))),"",ROUND($H700*$I700*(1+IF($J700="",Setup!$B$16,$J700)),2))</f>
        <v/>
      </c>
      <c r="L700" s="90">
        <f>IF($K700="","",ROUND($K700*Setup!$B$13,2))</f>
        <v/>
      </c>
      <c r="M700" s="90">
        <f>IF($K700="","",$K700-$L700)</f>
        <v/>
      </c>
      <c r="N700" s="90">
        <f>IF(OR($M700="",$D700=""),"",ROUND($M700*IFERROR(IF(VLOOKUP($D700,Setup!$A$76:$C$87,3,FALSE)="",Setup!$B$14,VLOOKUP($D700,Setup!$A$76:$C$87,3,FALSE)),Setup!$B$14),2))</f>
        <v/>
      </c>
      <c r="O700" s="90">
        <f>IF(OR($M700="",$E700=""),"",ROUND($M700*IFERROR(IF(VLOOKUP($E700,Setup!$A$76:$C$87,3,FALSE)="",Setup!$B$15,VLOOKUP($E700,Setup!$A$76:$C$87,3,FALSE)),Setup!$B$15),2))</f>
        <v/>
      </c>
      <c r="P700" s="99" t="n"/>
      <c r="Q700" s="99" t="n"/>
      <c r="R700" s="99" t="n"/>
      <c r="S700" s="99" t="n"/>
      <c r="T700" s="99" t="n"/>
      <c r="U700" s="90">
        <f>IF($K700="","",SUM($R700:$T700))</f>
        <v/>
      </c>
      <c r="V700" s="90">
        <f>IF($K700="","",$M700-(N($N700)+N($O700)+IF($P700="",Setup!$B$17,$P700)+N($Q700))-N($U700))</f>
        <v/>
      </c>
      <c r="W700" s="95" t="n"/>
      <c r="X700" s="96" t="n"/>
      <c r="Z700" s="93">
        <f>IF($A700="","",DATE(YEAR($A700),MONTH($A700),1))</f>
        <v/>
      </c>
    </row>
    <row r="701">
      <c r="A701" s="86" t="n"/>
      <c r="B701" s="87" t="n"/>
      <c r="C701" s="87" t="n"/>
      <c r="D701" s="88" t="n"/>
      <c r="E701" s="88" t="n"/>
      <c r="F701" s="88" t="n"/>
      <c r="G701" s="88" t="n"/>
      <c r="H701" s="89" t="n"/>
      <c r="I701" s="90">
        <f>IF($G701="","",IF($F701="",IFERROR(INDEX(Setup!$C$21:$C$60,MATCH("|"&amp;UPPER(TRIM($G701)),Setup!$Q$21:$Q$60,0)),"NO RATE"),IFERROR(INDEX(Setup!$C$21:$C$60,MATCH(UPPER(TRIM($F701))&amp;"|"&amp;UPPER(TRIM($G701)),Setup!$P$21:$P$60,0)),IFERROR(INDEX(Setup!$C$21:$C$60,MATCH(UPPER(TRIM($G701))&amp;"|"&amp;UPPER(TRIM($F701)),Setup!$P$21:$P$60,0)),"NO RATE"))))</f>
        <v/>
      </c>
      <c r="J701" s="91" t="n"/>
      <c r="K701" s="90">
        <f>IF(OR($G701="",$H701="",NOT(ISNUMBER($I701))),"",ROUND($H701*$I701*(1+IF($J701="",Setup!$B$16,$J701)),2))</f>
        <v/>
      </c>
      <c r="L701" s="90">
        <f>IF($K701="","",ROUND($K701*Setup!$B$13,2))</f>
        <v/>
      </c>
      <c r="M701" s="90">
        <f>IF($K701="","",$K701-$L701)</f>
        <v/>
      </c>
      <c r="N701" s="90">
        <f>IF(OR($M701="",$D701=""),"",ROUND($M701*IFERROR(IF(VLOOKUP($D701,Setup!$A$76:$C$87,3,FALSE)="",Setup!$B$14,VLOOKUP($D701,Setup!$A$76:$C$87,3,FALSE)),Setup!$B$14),2))</f>
        <v/>
      </c>
      <c r="O701" s="90">
        <f>IF(OR($M701="",$E701=""),"",ROUND($M701*IFERROR(IF(VLOOKUP($E701,Setup!$A$76:$C$87,3,FALSE)="",Setup!$B$15,VLOOKUP($E701,Setup!$A$76:$C$87,3,FALSE)),Setup!$B$15),2))</f>
        <v/>
      </c>
      <c r="P701" s="92" t="n"/>
      <c r="Q701" s="92" t="n"/>
      <c r="R701" s="92" t="n"/>
      <c r="S701" s="92" t="n"/>
      <c r="T701" s="92" t="n"/>
      <c r="U701" s="90">
        <f>IF($K701="","",SUM($R701:$T701))</f>
        <v/>
      </c>
      <c r="V701" s="90">
        <f>IF($K701="","",$M701-(N($N701)+N($O701)+IF($P701="",Setup!$B$17,$P701)+N($Q701))-N($U701))</f>
        <v/>
      </c>
      <c r="W701" s="87" t="n"/>
      <c r="X701" s="88" t="n"/>
      <c r="Z701" s="93">
        <f>IF($A701="","",DATE(YEAR($A701),MONTH($A701),1))</f>
        <v/>
      </c>
    </row>
    <row r="702">
      <c r="A702" s="94" t="n"/>
      <c r="B702" s="95" t="n"/>
      <c r="C702" s="95" t="n"/>
      <c r="D702" s="96" t="n"/>
      <c r="E702" s="96" t="n"/>
      <c r="F702" s="96" t="n"/>
      <c r="G702" s="96" t="n"/>
      <c r="H702" s="97" t="n"/>
      <c r="I702" s="90">
        <f>IF($G702="","",IF($F702="",IFERROR(INDEX(Setup!$C$21:$C$60,MATCH("|"&amp;UPPER(TRIM($G702)),Setup!$Q$21:$Q$60,0)),"NO RATE"),IFERROR(INDEX(Setup!$C$21:$C$60,MATCH(UPPER(TRIM($F702))&amp;"|"&amp;UPPER(TRIM($G702)),Setup!$P$21:$P$60,0)),IFERROR(INDEX(Setup!$C$21:$C$60,MATCH(UPPER(TRIM($G702))&amp;"|"&amp;UPPER(TRIM($F702)),Setup!$P$21:$P$60,0)),"NO RATE"))))</f>
        <v/>
      </c>
      <c r="J702" s="98" t="n"/>
      <c r="K702" s="90">
        <f>IF(OR($G702="",$H702="",NOT(ISNUMBER($I702))),"",ROUND($H702*$I702*(1+IF($J702="",Setup!$B$16,$J702)),2))</f>
        <v/>
      </c>
      <c r="L702" s="90">
        <f>IF($K702="","",ROUND($K702*Setup!$B$13,2))</f>
        <v/>
      </c>
      <c r="M702" s="90">
        <f>IF($K702="","",$K702-$L702)</f>
        <v/>
      </c>
      <c r="N702" s="90">
        <f>IF(OR($M702="",$D702=""),"",ROUND($M702*IFERROR(IF(VLOOKUP($D702,Setup!$A$76:$C$87,3,FALSE)="",Setup!$B$14,VLOOKUP($D702,Setup!$A$76:$C$87,3,FALSE)),Setup!$B$14),2))</f>
        <v/>
      </c>
      <c r="O702" s="90">
        <f>IF(OR($M702="",$E702=""),"",ROUND($M702*IFERROR(IF(VLOOKUP($E702,Setup!$A$76:$C$87,3,FALSE)="",Setup!$B$15,VLOOKUP($E702,Setup!$A$76:$C$87,3,FALSE)),Setup!$B$15),2))</f>
        <v/>
      </c>
      <c r="P702" s="99" t="n"/>
      <c r="Q702" s="99" t="n"/>
      <c r="R702" s="99" t="n"/>
      <c r="S702" s="99" t="n"/>
      <c r="T702" s="99" t="n"/>
      <c r="U702" s="90">
        <f>IF($K702="","",SUM($R702:$T702))</f>
        <v/>
      </c>
      <c r="V702" s="90">
        <f>IF($K702="","",$M702-(N($N702)+N($O702)+IF($P702="",Setup!$B$17,$P702)+N($Q702))-N($U702))</f>
        <v/>
      </c>
      <c r="W702" s="95" t="n"/>
      <c r="X702" s="96" t="n"/>
      <c r="Z702" s="93">
        <f>IF($A702="","",DATE(YEAR($A702),MONTH($A702),1))</f>
        <v/>
      </c>
    </row>
    <row r="703">
      <c r="A703" s="86" t="n"/>
      <c r="B703" s="87" t="n"/>
      <c r="C703" s="87" t="n"/>
      <c r="D703" s="88" t="n"/>
      <c r="E703" s="88" t="n"/>
      <c r="F703" s="88" t="n"/>
      <c r="G703" s="88" t="n"/>
      <c r="H703" s="89" t="n"/>
      <c r="I703" s="90">
        <f>IF($G703="","",IF($F703="",IFERROR(INDEX(Setup!$C$21:$C$60,MATCH("|"&amp;UPPER(TRIM($G703)),Setup!$Q$21:$Q$60,0)),"NO RATE"),IFERROR(INDEX(Setup!$C$21:$C$60,MATCH(UPPER(TRIM($F703))&amp;"|"&amp;UPPER(TRIM($G703)),Setup!$P$21:$P$60,0)),IFERROR(INDEX(Setup!$C$21:$C$60,MATCH(UPPER(TRIM($G703))&amp;"|"&amp;UPPER(TRIM($F703)),Setup!$P$21:$P$60,0)),"NO RATE"))))</f>
        <v/>
      </c>
      <c r="J703" s="91" t="n"/>
      <c r="K703" s="90">
        <f>IF(OR($G703="",$H703="",NOT(ISNUMBER($I703))),"",ROUND($H703*$I703*(1+IF($J703="",Setup!$B$16,$J703)),2))</f>
        <v/>
      </c>
      <c r="L703" s="90">
        <f>IF($K703="","",ROUND($K703*Setup!$B$13,2))</f>
        <v/>
      </c>
      <c r="M703" s="90">
        <f>IF($K703="","",$K703-$L703)</f>
        <v/>
      </c>
      <c r="N703" s="90">
        <f>IF(OR($M703="",$D703=""),"",ROUND($M703*IFERROR(IF(VLOOKUP($D703,Setup!$A$76:$C$87,3,FALSE)="",Setup!$B$14,VLOOKUP($D703,Setup!$A$76:$C$87,3,FALSE)),Setup!$B$14),2))</f>
        <v/>
      </c>
      <c r="O703" s="90">
        <f>IF(OR($M703="",$E703=""),"",ROUND($M703*IFERROR(IF(VLOOKUP($E703,Setup!$A$76:$C$87,3,FALSE)="",Setup!$B$15,VLOOKUP($E703,Setup!$A$76:$C$87,3,FALSE)),Setup!$B$15),2))</f>
        <v/>
      </c>
      <c r="P703" s="92" t="n"/>
      <c r="Q703" s="92" t="n"/>
      <c r="R703" s="92" t="n"/>
      <c r="S703" s="92" t="n"/>
      <c r="T703" s="92" t="n"/>
      <c r="U703" s="90">
        <f>IF($K703="","",SUM($R703:$T703))</f>
        <v/>
      </c>
      <c r="V703" s="90">
        <f>IF($K703="","",$M703-(N($N703)+N($O703)+IF($P703="",Setup!$B$17,$P703)+N($Q703))-N($U703))</f>
        <v/>
      </c>
      <c r="W703" s="87" t="n"/>
      <c r="X703" s="88" t="n"/>
      <c r="Z703" s="93">
        <f>IF($A703="","",DATE(YEAR($A703),MONTH($A703),1))</f>
        <v/>
      </c>
    </row>
    <row r="704">
      <c r="A704" s="94" t="n"/>
      <c r="B704" s="95" t="n"/>
      <c r="C704" s="95" t="n"/>
      <c r="D704" s="96" t="n"/>
      <c r="E704" s="96" t="n"/>
      <c r="F704" s="96" t="n"/>
      <c r="G704" s="96" t="n"/>
      <c r="H704" s="97" t="n"/>
      <c r="I704" s="90">
        <f>IF($G704="","",IF($F704="",IFERROR(INDEX(Setup!$C$21:$C$60,MATCH("|"&amp;UPPER(TRIM($G704)),Setup!$Q$21:$Q$60,0)),"NO RATE"),IFERROR(INDEX(Setup!$C$21:$C$60,MATCH(UPPER(TRIM($F704))&amp;"|"&amp;UPPER(TRIM($G704)),Setup!$P$21:$P$60,0)),IFERROR(INDEX(Setup!$C$21:$C$60,MATCH(UPPER(TRIM($G704))&amp;"|"&amp;UPPER(TRIM($F704)),Setup!$P$21:$P$60,0)),"NO RATE"))))</f>
        <v/>
      </c>
      <c r="J704" s="98" t="n"/>
      <c r="K704" s="90">
        <f>IF(OR($G704="",$H704="",NOT(ISNUMBER($I704))),"",ROUND($H704*$I704*(1+IF($J704="",Setup!$B$16,$J704)),2))</f>
        <v/>
      </c>
      <c r="L704" s="90">
        <f>IF($K704="","",ROUND($K704*Setup!$B$13,2))</f>
        <v/>
      </c>
      <c r="M704" s="90">
        <f>IF($K704="","",$K704-$L704)</f>
        <v/>
      </c>
      <c r="N704" s="90">
        <f>IF(OR($M704="",$D704=""),"",ROUND($M704*IFERROR(IF(VLOOKUP($D704,Setup!$A$76:$C$87,3,FALSE)="",Setup!$B$14,VLOOKUP($D704,Setup!$A$76:$C$87,3,FALSE)),Setup!$B$14),2))</f>
        <v/>
      </c>
      <c r="O704" s="90">
        <f>IF(OR($M704="",$E704=""),"",ROUND($M704*IFERROR(IF(VLOOKUP($E704,Setup!$A$76:$C$87,3,FALSE)="",Setup!$B$15,VLOOKUP($E704,Setup!$A$76:$C$87,3,FALSE)),Setup!$B$15),2))</f>
        <v/>
      </c>
      <c r="P704" s="99" t="n"/>
      <c r="Q704" s="99" t="n"/>
      <c r="R704" s="99" t="n"/>
      <c r="S704" s="99" t="n"/>
      <c r="T704" s="99" t="n"/>
      <c r="U704" s="90">
        <f>IF($K704="","",SUM($R704:$T704))</f>
        <v/>
      </c>
      <c r="V704" s="90">
        <f>IF($K704="","",$M704-(N($N704)+N($O704)+IF($P704="",Setup!$B$17,$P704)+N($Q704))-N($U704))</f>
        <v/>
      </c>
      <c r="W704" s="95" t="n"/>
      <c r="X704" s="96" t="n"/>
      <c r="Z704" s="93">
        <f>IF($A704="","",DATE(YEAR($A704),MONTH($A704),1))</f>
        <v/>
      </c>
    </row>
    <row r="705">
      <c r="A705" s="86" t="n"/>
      <c r="B705" s="87" t="n"/>
      <c r="C705" s="87" t="n"/>
      <c r="D705" s="88" t="n"/>
      <c r="E705" s="88" t="n"/>
      <c r="F705" s="88" t="n"/>
      <c r="G705" s="88" t="n"/>
      <c r="H705" s="89" t="n"/>
      <c r="I705" s="90">
        <f>IF($G705="","",IF($F705="",IFERROR(INDEX(Setup!$C$21:$C$60,MATCH("|"&amp;UPPER(TRIM($G705)),Setup!$Q$21:$Q$60,0)),"NO RATE"),IFERROR(INDEX(Setup!$C$21:$C$60,MATCH(UPPER(TRIM($F705))&amp;"|"&amp;UPPER(TRIM($G705)),Setup!$P$21:$P$60,0)),IFERROR(INDEX(Setup!$C$21:$C$60,MATCH(UPPER(TRIM($G705))&amp;"|"&amp;UPPER(TRIM($F705)),Setup!$P$21:$P$60,0)),"NO RATE"))))</f>
        <v/>
      </c>
      <c r="J705" s="91" t="n"/>
      <c r="K705" s="90">
        <f>IF(OR($G705="",$H705="",NOT(ISNUMBER($I705))),"",ROUND($H705*$I705*(1+IF($J705="",Setup!$B$16,$J705)),2))</f>
        <v/>
      </c>
      <c r="L705" s="90">
        <f>IF($K705="","",ROUND($K705*Setup!$B$13,2))</f>
        <v/>
      </c>
      <c r="M705" s="90">
        <f>IF($K705="","",$K705-$L705)</f>
        <v/>
      </c>
      <c r="N705" s="90">
        <f>IF(OR($M705="",$D705=""),"",ROUND($M705*IFERROR(IF(VLOOKUP($D705,Setup!$A$76:$C$87,3,FALSE)="",Setup!$B$14,VLOOKUP($D705,Setup!$A$76:$C$87,3,FALSE)),Setup!$B$14),2))</f>
        <v/>
      </c>
      <c r="O705" s="90">
        <f>IF(OR($M705="",$E705=""),"",ROUND($M705*IFERROR(IF(VLOOKUP($E705,Setup!$A$76:$C$87,3,FALSE)="",Setup!$B$15,VLOOKUP($E705,Setup!$A$76:$C$87,3,FALSE)),Setup!$B$15),2))</f>
        <v/>
      </c>
      <c r="P705" s="92" t="n"/>
      <c r="Q705" s="92" t="n"/>
      <c r="R705" s="92" t="n"/>
      <c r="S705" s="92" t="n"/>
      <c r="T705" s="92" t="n"/>
      <c r="U705" s="90">
        <f>IF($K705="","",SUM($R705:$T705))</f>
        <v/>
      </c>
      <c r="V705" s="90">
        <f>IF($K705="","",$M705-(N($N705)+N($O705)+IF($P705="",Setup!$B$17,$P705)+N($Q705))-N($U705))</f>
        <v/>
      </c>
      <c r="W705" s="87" t="n"/>
      <c r="X705" s="88" t="n"/>
      <c r="Z705" s="93">
        <f>IF($A705="","",DATE(YEAR($A705),MONTH($A705),1))</f>
        <v/>
      </c>
    </row>
    <row r="706">
      <c r="A706" s="94" t="n"/>
      <c r="B706" s="95" t="n"/>
      <c r="C706" s="95" t="n"/>
      <c r="D706" s="96" t="n"/>
      <c r="E706" s="96" t="n"/>
      <c r="F706" s="96" t="n"/>
      <c r="G706" s="96" t="n"/>
      <c r="H706" s="97" t="n"/>
      <c r="I706" s="90">
        <f>IF($G706="","",IF($F706="",IFERROR(INDEX(Setup!$C$21:$C$60,MATCH("|"&amp;UPPER(TRIM($G706)),Setup!$Q$21:$Q$60,0)),"NO RATE"),IFERROR(INDEX(Setup!$C$21:$C$60,MATCH(UPPER(TRIM($F706))&amp;"|"&amp;UPPER(TRIM($G706)),Setup!$P$21:$P$60,0)),IFERROR(INDEX(Setup!$C$21:$C$60,MATCH(UPPER(TRIM($G706))&amp;"|"&amp;UPPER(TRIM($F706)),Setup!$P$21:$P$60,0)),"NO RATE"))))</f>
        <v/>
      </c>
      <c r="J706" s="98" t="n"/>
      <c r="K706" s="90">
        <f>IF(OR($G706="",$H706="",NOT(ISNUMBER($I706))),"",ROUND($H706*$I706*(1+IF($J706="",Setup!$B$16,$J706)),2))</f>
        <v/>
      </c>
      <c r="L706" s="90">
        <f>IF($K706="","",ROUND($K706*Setup!$B$13,2))</f>
        <v/>
      </c>
      <c r="M706" s="90">
        <f>IF($K706="","",$K706-$L706)</f>
        <v/>
      </c>
      <c r="N706" s="90">
        <f>IF(OR($M706="",$D706=""),"",ROUND($M706*IFERROR(IF(VLOOKUP($D706,Setup!$A$76:$C$87,3,FALSE)="",Setup!$B$14,VLOOKUP($D706,Setup!$A$76:$C$87,3,FALSE)),Setup!$B$14),2))</f>
        <v/>
      </c>
      <c r="O706" s="90">
        <f>IF(OR($M706="",$E706=""),"",ROUND($M706*IFERROR(IF(VLOOKUP($E706,Setup!$A$76:$C$87,3,FALSE)="",Setup!$B$15,VLOOKUP($E706,Setup!$A$76:$C$87,3,FALSE)),Setup!$B$15),2))</f>
        <v/>
      </c>
      <c r="P706" s="99" t="n"/>
      <c r="Q706" s="99" t="n"/>
      <c r="R706" s="99" t="n"/>
      <c r="S706" s="99" t="n"/>
      <c r="T706" s="99" t="n"/>
      <c r="U706" s="90">
        <f>IF($K706="","",SUM($R706:$T706))</f>
        <v/>
      </c>
      <c r="V706" s="90">
        <f>IF($K706="","",$M706-(N($N706)+N($O706)+IF($P706="",Setup!$B$17,$P706)+N($Q706))-N($U706))</f>
        <v/>
      </c>
      <c r="W706" s="95" t="n"/>
      <c r="X706" s="96" t="n"/>
      <c r="Z706" s="93">
        <f>IF($A706="","",DATE(YEAR($A706),MONTH($A706),1))</f>
        <v/>
      </c>
    </row>
    <row r="707">
      <c r="A707" s="86" t="n"/>
      <c r="B707" s="87" t="n"/>
      <c r="C707" s="87" t="n"/>
      <c r="D707" s="88" t="n"/>
      <c r="E707" s="88" t="n"/>
      <c r="F707" s="88" t="n"/>
      <c r="G707" s="88" t="n"/>
      <c r="H707" s="89" t="n"/>
      <c r="I707" s="90">
        <f>IF($G707="","",IF($F707="",IFERROR(INDEX(Setup!$C$21:$C$60,MATCH("|"&amp;UPPER(TRIM($G707)),Setup!$Q$21:$Q$60,0)),"NO RATE"),IFERROR(INDEX(Setup!$C$21:$C$60,MATCH(UPPER(TRIM($F707))&amp;"|"&amp;UPPER(TRIM($G707)),Setup!$P$21:$P$60,0)),IFERROR(INDEX(Setup!$C$21:$C$60,MATCH(UPPER(TRIM($G707))&amp;"|"&amp;UPPER(TRIM($F707)),Setup!$P$21:$P$60,0)),"NO RATE"))))</f>
        <v/>
      </c>
      <c r="J707" s="91" t="n"/>
      <c r="K707" s="90">
        <f>IF(OR($G707="",$H707="",NOT(ISNUMBER($I707))),"",ROUND($H707*$I707*(1+IF($J707="",Setup!$B$16,$J707)),2))</f>
        <v/>
      </c>
      <c r="L707" s="90">
        <f>IF($K707="","",ROUND($K707*Setup!$B$13,2))</f>
        <v/>
      </c>
      <c r="M707" s="90">
        <f>IF($K707="","",$K707-$L707)</f>
        <v/>
      </c>
      <c r="N707" s="90">
        <f>IF(OR($M707="",$D707=""),"",ROUND($M707*IFERROR(IF(VLOOKUP($D707,Setup!$A$76:$C$87,3,FALSE)="",Setup!$B$14,VLOOKUP($D707,Setup!$A$76:$C$87,3,FALSE)),Setup!$B$14),2))</f>
        <v/>
      </c>
      <c r="O707" s="90">
        <f>IF(OR($M707="",$E707=""),"",ROUND($M707*IFERROR(IF(VLOOKUP($E707,Setup!$A$76:$C$87,3,FALSE)="",Setup!$B$15,VLOOKUP($E707,Setup!$A$76:$C$87,3,FALSE)),Setup!$B$15),2))</f>
        <v/>
      </c>
      <c r="P707" s="92" t="n"/>
      <c r="Q707" s="92" t="n"/>
      <c r="R707" s="92" t="n"/>
      <c r="S707" s="92" t="n"/>
      <c r="T707" s="92" t="n"/>
      <c r="U707" s="90">
        <f>IF($K707="","",SUM($R707:$T707))</f>
        <v/>
      </c>
      <c r="V707" s="90">
        <f>IF($K707="","",$M707-(N($N707)+N($O707)+IF($P707="",Setup!$B$17,$P707)+N($Q707))-N($U707))</f>
        <v/>
      </c>
      <c r="W707" s="87" t="n"/>
      <c r="X707" s="88" t="n"/>
      <c r="Z707" s="93">
        <f>IF($A707="","",DATE(YEAR($A707),MONTH($A707),1))</f>
        <v/>
      </c>
    </row>
    <row r="708">
      <c r="A708" s="94" t="n"/>
      <c r="B708" s="95" t="n"/>
      <c r="C708" s="95" t="n"/>
      <c r="D708" s="96" t="n"/>
      <c r="E708" s="96" t="n"/>
      <c r="F708" s="96" t="n"/>
      <c r="G708" s="96" t="n"/>
      <c r="H708" s="97" t="n"/>
      <c r="I708" s="90">
        <f>IF($G708="","",IF($F708="",IFERROR(INDEX(Setup!$C$21:$C$60,MATCH("|"&amp;UPPER(TRIM($G708)),Setup!$Q$21:$Q$60,0)),"NO RATE"),IFERROR(INDEX(Setup!$C$21:$C$60,MATCH(UPPER(TRIM($F708))&amp;"|"&amp;UPPER(TRIM($G708)),Setup!$P$21:$P$60,0)),IFERROR(INDEX(Setup!$C$21:$C$60,MATCH(UPPER(TRIM($G708))&amp;"|"&amp;UPPER(TRIM($F708)),Setup!$P$21:$P$60,0)),"NO RATE"))))</f>
        <v/>
      </c>
      <c r="J708" s="98" t="n"/>
      <c r="K708" s="90">
        <f>IF(OR($G708="",$H708="",NOT(ISNUMBER($I708))),"",ROUND($H708*$I708*(1+IF($J708="",Setup!$B$16,$J708)),2))</f>
        <v/>
      </c>
      <c r="L708" s="90">
        <f>IF($K708="","",ROUND($K708*Setup!$B$13,2))</f>
        <v/>
      </c>
      <c r="M708" s="90">
        <f>IF($K708="","",$K708-$L708)</f>
        <v/>
      </c>
      <c r="N708" s="90">
        <f>IF(OR($M708="",$D708=""),"",ROUND($M708*IFERROR(IF(VLOOKUP($D708,Setup!$A$76:$C$87,3,FALSE)="",Setup!$B$14,VLOOKUP($D708,Setup!$A$76:$C$87,3,FALSE)),Setup!$B$14),2))</f>
        <v/>
      </c>
      <c r="O708" s="90">
        <f>IF(OR($M708="",$E708=""),"",ROUND($M708*IFERROR(IF(VLOOKUP($E708,Setup!$A$76:$C$87,3,FALSE)="",Setup!$B$15,VLOOKUP($E708,Setup!$A$76:$C$87,3,FALSE)),Setup!$B$15),2))</f>
        <v/>
      </c>
      <c r="P708" s="99" t="n"/>
      <c r="Q708" s="99" t="n"/>
      <c r="R708" s="99" t="n"/>
      <c r="S708" s="99" t="n"/>
      <c r="T708" s="99" t="n"/>
      <c r="U708" s="90">
        <f>IF($K708="","",SUM($R708:$T708))</f>
        <v/>
      </c>
      <c r="V708" s="90">
        <f>IF($K708="","",$M708-(N($N708)+N($O708)+IF($P708="",Setup!$B$17,$P708)+N($Q708))-N($U708))</f>
        <v/>
      </c>
      <c r="W708" s="95" t="n"/>
      <c r="X708" s="96" t="n"/>
      <c r="Z708" s="93">
        <f>IF($A708="","",DATE(YEAR($A708),MONTH($A708),1))</f>
        <v/>
      </c>
    </row>
    <row r="709">
      <c r="A709" s="86" t="n"/>
      <c r="B709" s="87" t="n"/>
      <c r="C709" s="87" t="n"/>
      <c r="D709" s="88" t="n"/>
      <c r="E709" s="88" t="n"/>
      <c r="F709" s="88" t="n"/>
      <c r="G709" s="88" t="n"/>
      <c r="H709" s="89" t="n"/>
      <c r="I709" s="90">
        <f>IF($G709="","",IF($F709="",IFERROR(INDEX(Setup!$C$21:$C$60,MATCH("|"&amp;UPPER(TRIM($G709)),Setup!$Q$21:$Q$60,0)),"NO RATE"),IFERROR(INDEX(Setup!$C$21:$C$60,MATCH(UPPER(TRIM($F709))&amp;"|"&amp;UPPER(TRIM($G709)),Setup!$P$21:$P$60,0)),IFERROR(INDEX(Setup!$C$21:$C$60,MATCH(UPPER(TRIM($G709))&amp;"|"&amp;UPPER(TRIM($F709)),Setup!$P$21:$P$60,0)),"NO RATE"))))</f>
        <v/>
      </c>
      <c r="J709" s="91" t="n"/>
      <c r="K709" s="90">
        <f>IF(OR($G709="",$H709="",NOT(ISNUMBER($I709))),"",ROUND($H709*$I709*(1+IF($J709="",Setup!$B$16,$J709)),2))</f>
        <v/>
      </c>
      <c r="L709" s="90">
        <f>IF($K709="","",ROUND($K709*Setup!$B$13,2))</f>
        <v/>
      </c>
      <c r="M709" s="90">
        <f>IF($K709="","",$K709-$L709)</f>
        <v/>
      </c>
      <c r="N709" s="90">
        <f>IF(OR($M709="",$D709=""),"",ROUND($M709*IFERROR(IF(VLOOKUP($D709,Setup!$A$76:$C$87,3,FALSE)="",Setup!$B$14,VLOOKUP($D709,Setup!$A$76:$C$87,3,FALSE)),Setup!$B$14),2))</f>
        <v/>
      </c>
      <c r="O709" s="90">
        <f>IF(OR($M709="",$E709=""),"",ROUND($M709*IFERROR(IF(VLOOKUP($E709,Setup!$A$76:$C$87,3,FALSE)="",Setup!$B$15,VLOOKUP($E709,Setup!$A$76:$C$87,3,FALSE)),Setup!$B$15),2))</f>
        <v/>
      </c>
      <c r="P709" s="92" t="n"/>
      <c r="Q709" s="92" t="n"/>
      <c r="R709" s="92" t="n"/>
      <c r="S709" s="92" t="n"/>
      <c r="T709" s="92" t="n"/>
      <c r="U709" s="90">
        <f>IF($K709="","",SUM($R709:$T709))</f>
        <v/>
      </c>
      <c r="V709" s="90">
        <f>IF($K709="","",$M709-(N($N709)+N($O709)+IF($P709="",Setup!$B$17,$P709)+N($Q709))-N($U709))</f>
        <v/>
      </c>
      <c r="W709" s="87" t="n"/>
      <c r="X709" s="88" t="n"/>
      <c r="Z709" s="93">
        <f>IF($A709="","",DATE(YEAR($A709),MONTH($A709),1))</f>
        <v/>
      </c>
    </row>
    <row r="710">
      <c r="A710" s="94" t="n"/>
      <c r="B710" s="95" t="n"/>
      <c r="C710" s="95" t="n"/>
      <c r="D710" s="96" t="n"/>
      <c r="E710" s="96" t="n"/>
      <c r="F710" s="96" t="n"/>
      <c r="G710" s="96" t="n"/>
      <c r="H710" s="97" t="n"/>
      <c r="I710" s="90">
        <f>IF($G710="","",IF($F710="",IFERROR(INDEX(Setup!$C$21:$C$60,MATCH("|"&amp;UPPER(TRIM($G710)),Setup!$Q$21:$Q$60,0)),"NO RATE"),IFERROR(INDEX(Setup!$C$21:$C$60,MATCH(UPPER(TRIM($F710))&amp;"|"&amp;UPPER(TRIM($G710)),Setup!$P$21:$P$60,0)),IFERROR(INDEX(Setup!$C$21:$C$60,MATCH(UPPER(TRIM($G710))&amp;"|"&amp;UPPER(TRIM($F710)),Setup!$P$21:$P$60,0)),"NO RATE"))))</f>
        <v/>
      </c>
      <c r="J710" s="98" t="n"/>
      <c r="K710" s="90">
        <f>IF(OR($G710="",$H710="",NOT(ISNUMBER($I710))),"",ROUND($H710*$I710*(1+IF($J710="",Setup!$B$16,$J710)),2))</f>
        <v/>
      </c>
      <c r="L710" s="90">
        <f>IF($K710="","",ROUND($K710*Setup!$B$13,2))</f>
        <v/>
      </c>
      <c r="M710" s="90">
        <f>IF($K710="","",$K710-$L710)</f>
        <v/>
      </c>
      <c r="N710" s="90">
        <f>IF(OR($M710="",$D710=""),"",ROUND($M710*IFERROR(IF(VLOOKUP($D710,Setup!$A$76:$C$87,3,FALSE)="",Setup!$B$14,VLOOKUP($D710,Setup!$A$76:$C$87,3,FALSE)),Setup!$B$14),2))</f>
        <v/>
      </c>
      <c r="O710" s="90">
        <f>IF(OR($M710="",$E710=""),"",ROUND($M710*IFERROR(IF(VLOOKUP($E710,Setup!$A$76:$C$87,3,FALSE)="",Setup!$B$15,VLOOKUP($E710,Setup!$A$76:$C$87,3,FALSE)),Setup!$B$15),2))</f>
        <v/>
      </c>
      <c r="P710" s="99" t="n"/>
      <c r="Q710" s="99" t="n"/>
      <c r="R710" s="99" t="n"/>
      <c r="S710" s="99" t="n"/>
      <c r="T710" s="99" t="n"/>
      <c r="U710" s="90">
        <f>IF($K710="","",SUM($R710:$T710))</f>
        <v/>
      </c>
      <c r="V710" s="90">
        <f>IF($K710="","",$M710-(N($N710)+N($O710)+IF($P710="",Setup!$B$17,$P710)+N($Q710))-N($U710))</f>
        <v/>
      </c>
      <c r="W710" s="95" t="n"/>
      <c r="X710" s="96" t="n"/>
      <c r="Z710" s="93">
        <f>IF($A710="","",DATE(YEAR($A710),MONTH($A710),1))</f>
        <v/>
      </c>
    </row>
    <row r="711">
      <c r="A711" s="86" t="n"/>
      <c r="B711" s="87" t="n"/>
      <c r="C711" s="87" t="n"/>
      <c r="D711" s="88" t="n"/>
      <c r="E711" s="88" t="n"/>
      <c r="F711" s="88" t="n"/>
      <c r="G711" s="88" t="n"/>
      <c r="H711" s="89" t="n"/>
      <c r="I711" s="90">
        <f>IF($G711="","",IF($F711="",IFERROR(INDEX(Setup!$C$21:$C$60,MATCH("|"&amp;UPPER(TRIM($G711)),Setup!$Q$21:$Q$60,0)),"NO RATE"),IFERROR(INDEX(Setup!$C$21:$C$60,MATCH(UPPER(TRIM($F711))&amp;"|"&amp;UPPER(TRIM($G711)),Setup!$P$21:$P$60,0)),IFERROR(INDEX(Setup!$C$21:$C$60,MATCH(UPPER(TRIM($G711))&amp;"|"&amp;UPPER(TRIM($F711)),Setup!$P$21:$P$60,0)),"NO RATE"))))</f>
        <v/>
      </c>
      <c r="J711" s="91" t="n"/>
      <c r="K711" s="90">
        <f>IF(OR($G711="",$H711="",NOT(ISNUMBER($I711))),"",ROUND($H711*$I711*(1+IF($J711="",Setup!$B$16,$J711)),2))</f>
        <v/>
      </c>
      <c r="L711" s="90">
        <f>IF($K711="","",ROUND($K711*Setup!$B$13,2))</f>
        <v/>
      </c>
      <c r="M711" s="90">
        <f>IF($K711="","",$K711-$L711)</f>
        <v/>
      </c>
      <c r="N711" s="90">
        <f>IF(OR($M711="",$D711=""),"",ROUND($M711*IFERROR(IF(VLOOKUP($D711,Setup!$A$76:$C$87,3,FALSE)="",Setup!$B$14,VLOOKUP($D711,Setup!$A$76:$C$87,3,FALSE)),Setup!$B$14),2))</f>
        <v/>
      </c>
      <c r="O711" s="90">
        <f>IF(OR($M711="",$E711=""),"",ROUND($M711*IFERROR(IF(VLOOKUP($E711,Setup!$A$76:$C$87,3,FALSE)="",Setup!$B$15,VLOOKUP($E711,Setup!$A$76:$C$87,3,FALSE)),Setup!$B$15),2))</f>
        <v/>
      </c>
      <c r="P711" s="92" t="n"/>
      <c r="Q711" s="92" t="n"/>
      <c r="R711" s="92" t="n"/>
      <c r="S711" s="92" t="n"/>
      <c r="T711" s="92" t="n"/>
      <c r="U711" s="90">
        <f>IF($K711="","",SUM($R711:$T711))</f>
        <v/>
      </c>
      <c r="V711" s="90">
        <f>IF($K711="","",$M711-(N($N711)+N($O711)+IF($P711="",Setup!$B$17,$P711)+N($Q711))-N($U711))</f>
        <v/>
      </c>
      <c r="W711" s="87" t="n"/>
      <c r="X711" s="88" t="n"/>
      <c r="Z711" s="93">
        <f>IF($A711="","",DATE(YEAR($A711),MONTH($A711),1))</f>
        <v/>
      </c>
    </row>
    <row r="712">
      <c r="A712" s="94" t="n"/>
      <c r="B712" s="95" t="n"/>
      <c r="C712" s="95" t="n"/>
      <c r="D712" s="96" t="n"/>
      <c r="E712" s="96" t="n"/>
      <c r="F712" s="96" t="n"/>
      <c r="G712" s="96" t="n"/>
      <c r="H712" s="97" t="n"/>
      <c r="I712" s="90">
        <f>IF($G712="","",IF($F712="",IFERROR(INDEX(Setup!$C$21:$C$60,MATCH("|"&amp;UPPER(TRIM($G712)),Setup!$Q$21:$Q$60,0)),"NO RATE"),IFERROR(INDEX(Setup!$C$21:$C$60,MATCH(UPPER(TRIM($F712))&amp;"|"&amp;UPPER(TRIM($G712)),Setup!$P$21:$P$60,0)),IFERROR(INDEX(Setup!$C$21:$C$60,MATCH(UPPER(TRIM($G712))&amp;"|"&amp;UPPER(TRIM($F712)),Setup!$P$21:$P$60,0)),"NO RATE"))))</f>
        <v/>
      </c>
      <c r="J712" s="98" t="n"/>
      <c r="K712" s="90">
        <f>IF(OR($G712="",$H712="",NOT(ISNUMBER($I712))),"",ROUND($H712*$I712*(1+IF($J712="",Setup!$B$16,$J712)),2))</f>
        <v/>
      </c>
      <c r="L712" s="90">
        <f>IF($K712="","",ROUND($K712*Setup!$B$13,2))</f>
        <v/>
      </c>
      <c r="M712" s="90">
        <f>IF($K712="","",$K712-$L712)</f>
        <v/>
      </c>
      <c r="N712" s="90">
        <f>IF(OR($M712="",$D712=""),"",ROUND($M712*IFERROR(IF(VLOOKUP($D712,Setup!$A$76:$C$87,3,FALSE)="",Setup!$B$14,VLOOKUP($D712,Setup!$A$76:$C$87,3,FALSE)),Setup!$B$14),2))</f>
        <v/>
      </c>
      <c r="O712" s="90">
        <f>IF(OR($M712="",$E712=""),"",ROUND($M712*IFERROR(IF(VLOOKUP($E712,Setup!$A$76:$C$87,3,FALSE)="",Setup!$B$15,VLOOKUP($E712,Setup!$A$76:$C$87,3,FALSE)),Setup!$B$15),2))</f>
        <v/>
      </c>
      <c r="P712" s="99" t="n"/>
      <c r="Q712" s="99" t="n"/>
      <c r="R712" s="99" t="n"/>
      <c r="S712" s="99" t="n"/>
      <c r="T712" s="99" t="n"/>
      <c r="U712" s="90">
        <f>IF($K712="","",SUM($R712:$T712))</f>
        <v/>
      </c>
      <c r="V712" s="90">
        <f>IF($K712="","",$M712-(N($N712)+N($O712)+IF($P712="",Setup!$B$17,$P712)+N($Q712))-N($U712))</f>
        <v/>
      </c>
      <c r="W712" s="95" t="n"/>
      <c r="X712" s="96" t="n"/>
      <c r="Z712" s="93">
        <f>IF($A712="","",DATE(YEAR($A712),MONTH($A712),1))</f>
        <v/>
      </c>
    </row>
    <row r="713">
      <c r="A713" s="86" t="n"/>
      <c r="B713" s="87" t="n"/>
      <c r="C713" s="87" t="n"/>
      <c r="D713" s="88" t="n"/>
      <c r="E713" s="88" t="n"/>
      <c r="F713" s="88" t="n"/>
      <c r="G713" s="88" t="n"/>
      <c r="H713" s="89" t="n"/>
      <c r="I713" s="90">
        <f>IF($G713="","",IF($F713="",IFERROR(INDEX(Setup!$C$21:$C$60,MATCH("|"&amp;UPPER(TRIM($G713)),Setup!$Q$21:$Q$60,0)),"NO RATE"),IFERROR(INDEX(Setup!$C$21:$C$60,MATCH(UPPER(TRIM($F713))&amp;"|"&amp;UPPER(TRIM($G713)),Setup!$P$21:$P$60,0)),IFERROR(INDEX(Setup!$C$21:$C$60,MATCH(UPPER(TRIM($G713))&amp;"|"&amp;UPPER(TRIM($F713)),Setup!$P$21:$P$60,0)),"NO RATE"))))</f>
        <v/>
      </c>
      <c r="J713" s="91" t="n"/>
      <c r="K713" s="90">
        <f>IF(OR($G713="",$H713="",NOT(ISNUMBER($I713))),"",ROUND($H713*$I713*(1+IF($J713="",Setup!$B$16,$J713)),2))</f>
        <v/>
      </c>
      <c r="L713" s="90">
        <f>IF($K713="","",ROUND($K713*Setup!$B$13,2))</f>
        <v/>
      </c>
      <c r="M713" s="90">
        <f>IF($K713="","",$K713-$L713)</f>
        <v/>
      </c>
      <c r="N713" s="90">
        <f>IF(OR($M713="",$D713=""),"",ROUND($M713*IFERROR(IF(VLOOKUP($D713,Setup!$A$76:$C$87,3,FALSE)="",Setup!$B$14,VLOOKUP($D713,Setup!$A$76:$C$87,3,FALSE)),Setup!$B$14),2))</f>
        <v/>
      </c>
      <c r="O713" s="90">
        <f>IF(OR($M713="",$E713=""),"",ROUND($M713*IFERROR(IF(VLOOKUP($E713,Setup!$A$76:$C$87,3,FALSE)="",Setup!$B$15,VLOOKUP($E713,Setup!$A$76:$C$87,3,FALSE)),Setup!$B$15),2))</f>
        <v/>
      </c>
      <c r="P713" s="92" t="n"/>
      <c r="Q713" s="92" t="n"/>
      <c r="R713" s="92" t="n"/>
      <c r="S713" s="92" t="n"/>
      <c r="T713" s="92" t="n"/>
      <c r="U713" s="90">
        <f>IF($K713="","",SUM($R713:$T713))</f>
        <v/>
      </c>
      <c r="V713" s="90">
        <f>IF($K713="","",$M713-(N($N713)+N($O713)+IF($P713="",Setup!$B$17,$P713)+N($Q713))-N($U713))</f>
        <v/>
      </c>
      <c r="W713" s="87" t="n"/>
      <c r="X713" s="88" t="n"/>
      <c r="Z713" s="93">
        <f>IF($A713="","",DATE(YEAR($A713),MONTH($A713),1))</f>
        <v/>
      </c>
    </row>
    <row r="714">
      <c r="A714" s="94" t="n"/>
      <c r="B714" s="95" t="n"/>
      <c r="C714" s="95" t="n"/>
      <c r="D714" s="96" t="n"/>
      <c r="E714" s="96" t="n"/>
      <c r="F714" s="96" t="n"/>
      <c r="G714" s="96" t="n"/>
      <c r="H714" s="97" t="n"/>
      <c r="I714" s="90">
        <f>IF($G714="","",IF($F714="",IFERROR(INDEX(Setup!$C$21:$C$60,MATCH("|"&amp;UPPER(TRIM($G714)),Setup!$Q$21:$Q$60,0)),"NO RATE"),IFERROR(INDEX(Setup!$C$21:$C$60,MATCH(UPPER(TRIM($F714))&amp;"|"&amp;UPPER(TRIM($G714)),Setup!$P$21:$P$60,0)),IFERROR(INDEX(Setup!$C$21:$C$60,MATCH(UPPER(TRIM($G714))&amp;"|"&amp;UPPER(TRIM($F714)),Setup!$P$21:$P$60,0)),"NO RATE"))))</f>
        <v/>
      </c>
      <c r="J714" s="98" t="n"/>
      <c r="K714" s="90">
        <f>IF(OR($G714="",$H714="",NOT(ISNUMBER($I714))),"",ROUND($H714*$I714*(1+IF($J714="",Setup!$B$16,$J714)),2))</f>
        <v/>
      </c>
      <c r="L714" s="90">
        <f>IF($K714="","",ROUND($K714*Setup!$B$13,2))</f>
        <v/>
      </c>
      <c r="M714" s="90">
        <f>IF($K714="","",$K714-$L714)</f>
        <v/>
      </c>
      <c r="N714" s="90">
        <f>IF(OR($M714="",$D714=""),"",ROUND($M714*IFERROR(IF(VLOOKUP($D714,Setup!$A$76:$C$87,3,FALSE)="",Setup!$B$14,VLOOKUP($D714,Setup!$A$76:$C$87,3,FALSE)),Setup!$B$14),2))</f>
        <v/>
      </c>
      <c r="O714" s="90">
        <f>IF(OR($M714="",$E714=""),"",ROUND($M714*IFERROR(IF(VLOOKUP($E714,Setup!$A$76:$C$87,3,FALSE)="",Setup!$B$15,VLOOKUP($E714,Setup!$A$76:$C$87,3,FALSE)),Setup!$B$15),2))</f>
        <v/>
      </c>
      <c r="P714" s="99" t="n"/>
      <c r="Q714" s="99" t="n"/>
      <c r="R714" s="99" t="n"/>
      <c r="S714" s="99" t="n"/>
      <c r="T714" s="99" t="n"/>
      <c r="U714" s="90">
        <f>IF($K714="","",SUM($R714:$T714))</f>
        <v/>
      </c>
      <c r="V714" s="90">
        <f>IF($K714="","",$M714-(N($N714)+N($O714)+IF($P714="",Setup!$B$17,$P714)+N($Q714))-N($U714))</f>
        <v/>
      </c>
      <c r="W714" s="95" t="n"/>
      <c r="X714" s="96" t="n"/>
      <c r="Z714" s="93">
        <f>IF($A714="","",DATE(YEAR($A714),MONTH($A714),1))</f>
        <v/>
      </c>
    </row>
    <row r="715">
      <c r="A715" s="86" t="n"/>
      <c r="B715" s="87" t="n"/>
      <c r="C715" s="87" t="n"/>
      <c r="D715" s="88" t="n"/>
      <c r="E715" s="88" t="n"/>
      <c r="F715" s="88" t="n"/>
      <c r="G715" s="88" t="n"/>
      <c r="H715" s="89" t="n"/>
      <c r="I715" s="90">
        <f>IF($G715="","",IF($F715="",IFERROR(INDEX(Setup!$C$21:$C$60,MATCH("|"&amp;UPPER(TRIM($G715)),Setup!$Q$21:$Q$60,0)),"NO RATE"),IFERROR(INDEX(Setup!$C$21:$C$60,MATCH(UPPER(TRIM($F715))&amp;"|"&amp;UPPER(TRIM($G715)),Setup!$P$21:$P$60,0)),IFERROR(INDEX(Setup!$C$21:$C$60,MATCH(UPPER(TRIM($G715))&amp;"|"&amp;UPPER(TRIM($F715)),Setup!$P$21:$P$60,0)),"NO RATE"))))</f>
        <v/>
      </c>
      <c r="J715" s="91" t="n"/>
      <c r="K715" s="90">
        <f>IF(OR($G715="",$H715="",NOT(ISNUMBER($I715))),"",ROUND($H715*$I715*(1+IF($J715="",Setup!$B$16,$J715)),2))</f>
        <v/>
      </c>
      <c r="L715" s="90">
        <f>IF($K715="","",ROUND($K715*Setup!$B$13,2))</f>
        <v/>
      </c>
      <c r="M715" s="90">
        <f>IF($K715="","",$K715-$L715)</f>
        <v/>
      </c>
      <c r="N715" s="90">
        <f>IF(OR($M715="",$D715=""),"",ROUND($M715*IFERROR(IF(VLOOKUP($D715,Setup!$A$76:$C$87,3,FALSE)="",Setup!$B$14,VLOOKUP($D715,Setup!$A$76:$C$87,3,FALSE)),Setup!$B$14),2))</f>
        <v/>
      </c>
      <c r="O715" s="90">
        <f>IF(OR($M715="",$E715=""),"",ROUND($M715*IFERROR(IF(VLOOKUP($E715,Setup!$A$76:$C$87,3,FALSE)="",Setup!$B$15,VLOOKUP($E715,Setup!$A$76:$C$87,3,FALSE)),Setup!$B$15),2))</f>
        <v/>
      </c>
      <c r="P715" s="92" t="n"/>
      <c r="Q715" s="92" t="n"/>
      <c r="R715" s="92" t="n"/>
      <c r="S715" s="92" t="n"/>
      <c r="T715" s="92" t="n"/>
      <c r="U715" s="90">
        <f>IF($K715="","",SUM($R715:$T715))</f>
        <v/>
      </c>
      <c r="V715" s="90">
        <f>IF($K715="","",$M715-(N($N715)+N($O715)+IF($P715="",Setup!$B$17,$P715)+N($Q715))-N($U715))</f>
        <v/>
      </c>
      <c r="W715" s="87" t="n"/>
      <c r="X715" s="88" t="n"/>
      <c r="Z715" s="93">
        <f>IF($A715="","",DATE(YEAR($A715),MONTH($A715),1))</f>
        <v/>
      </c>
    </row>
    <row r="716">
      <c r="A716" s="94" t="n"/>
      <c r="B716" s="95" t="n"/>
      <c r="C716" s="95" t="n"/>
      <c r="D716" s="96" t="n"/>
      <c r="E716" s="96" t="n"/>
      <c r="F716" s="96" t="n"/>
      <c r="G716" s="96" t="n"/>
      <c r="H716" s="97" t="n"/>
      <c r="I716" s="90">
        <f>IF($G716="","",IF($F716="",IFERROR(INDEX(Setup!$C$21:$C$60,MATCH("|"&amp;UPPER(TRIM($G716)),Setup!$Q$21:$Q$60,0)),"NO RATE"),IFERROR(INDEX(Setup!$C$21:$C$60,MATCH(UPPER(TRIM($F716))&amp;"|"&amp;UPPER(TRIM($G716)),Setup!$P$21:$P$60,0)),IFERROR(INDEX(Setup!$C$21:$C$60,MATCH(UPPER(TRIM($G716))&amp;"|"&amp;UPPER(TRIM($F716)),Setup!$P$21:$P$60,0)),"NO RATE"))))</f>
        <v/>
      </c>
      <c r="J716" s="98" t="n"/>
      <c r="K716" s="90">
        <f>IF(OR($G716="",$H716="",NOT(ISNUMBER($I716))),"",ROUND($H716*$I716*(1+IF($J716="",Setup!$B$16,$J716)),2))</f>
        <v/>
      </c>
      <c r="L716" s="90">
        <f>IF($K716="","",ROUND($K716*Setup!$B$13,2))</f>
        <v/>
      </c>
      <c r="M716" s="90">
        <f>IF($K716="","",$K716-$L716)</f>
        <v/>
      </c>
      <c r="N716" s="90">
        <f>IF(OR($M716="",$D716=""),"",ROUND($M716*IFERROR(IF(VLOOKUP($D716,Setup!$A$76:$C$87,3,FALSE)="",Setup!$B$14,VLOOKUP($D716,Setup!$A$76:$C$87,3,FALSE)),Setup!$B$14),2))</f>
        <v/>
      </c>
      <c r="O716" s="90">
        <f>IF(OR($M716="",$E716=""),"",ROUND($M716*IFERROR(IF(VLOOKUP($E716,Setup!$A$76:$C$87,3,FALSE)="",Setup!$B$15,VLOOKUP($E716,Setup!$A$76:$C$87,3,FALSE)),Setup!$B$15),2))</f>
        <v/>
      </c>
      <c r="P716" s="99" t="n"/>
      <c r="Q716" s="99" t="n"/>
      <c r="R716" s="99" t="n"/>
      <c r="S716" s="99" t="n"/>
      <c r="T716" s="99" t="n"/>
      <c r="U716" s="90">
        <f>IF($K716="","",SUM($R716:$T716))</f>
        <v/>
      </c>
      <c r="V716" s="90">
        <f>IF($K716="","",$M716-(N($N716)+N($O716)+IF($P716="",Setup!$B$17,$P716)+N($Q716))-N($U716))</f>
        <v/>
      </c>
      <c r="W716" s="95" t="n"/>
      <c r="X716" s="96" t="n"/>
      <c r="Z716" s="93">
        <f>IF($A716="","",DATE(YEAR($A716),MONTH($A716),1))</f>
        <v/>
      </c>
    </row>
    <row r="717">
      <c r="A717" s="86" t="n"/>
      <c r="B717" s="87" t="n"/>
      <c r="C717" s="87" t="n"/>
      <c r="D717" s="88" t="n"/>
      <c r="E717" s="88" t="n"/>
      <c r="F717" s="88" t="n"/>
      <c r="G717" s="88" t="n"/>
      <c r="H717" s="89" t="n"/>
      <c r="I717" s="90">
        <f>IF($G717="","",IF($F717="",IFERROR(INDEX(Setup!$C$21:$C$60,MATCH("|"&amp;UPPER(TRIM($G717)),Setup!$Q$21:$Q$60,0)),"NO RATE"),IFERROR(INDEX(Setup!$C$21:$C$60,MATCH(UPPER(TRIM($F717))&amp;"|"&amp;UPPER(TRIM($G717)),Setup!$P$21:$P$60,0)),IFERROR(INDEX(Setup!$C$21:$C$60,MATCH(UPPER(TRIM($G717))&amp;"|"&amp;UPPER(TRIM($F717)),Setup!$P$21:$P$60,0)),"NO RATE"))))</f>
        <v/>
      </c>
      <c r="J717" s="91" t="n"/>
      <c r="K717" s="90">
        <f>IF(OR($G717="",$H717="",NOT(ISNUMBER($I717))),"",ROUND($H717*$I717*(1+IF($J717="",Setup!$B$16,$J717)),2))</f>
        <v/>
      </c>
      <c r="L717" s="90">
        <f>IF($K717="","",ROUND($K717*Setup!$B$13,2))</f>
        <v/>
      </c>
      <c r="M717" s="90">
        <f>IF($K717="","",$K717-$L717)</f>
        <v/>
      </c>
      <c r="N717" s="90">
        <f>IF(OR($M717="",$D717=""),"",ROUND($M717*IFERROR(IF(VLOOKUP($D717,Setup!$A$76:$C$87,3,FALSE)="",Setup!$B$14,VLOOKUP($D717,Setup!$A$76:$C$87,3,FALSE)),Setup!$B$14),2))</f>
        <v/>
      </c>
      <c r="O717" s="90">
        <f>IF(OR($M717="",$E717=""),"",ROUND($M717*IFERROR(IF(VLOOKUP($E717,Setup!$A$76:$C$87,3,FALSE)="",Setup!$B$15,VLOOKUP($E717,Setup!$A$76:$C$87,3,FALSE)),Setup!$B$15),2))</f>
        <v/>
      </c>
      <c r="P717" s="92" t="n"/>
      <c r="Q717" s="92" t="n"/>
      <c r="R717" s="92" t="n"/>
      <c r="S717" s="92" t="n"/>
      <c r="T717" s="92" t="n"/>
      <c r="U717" s="90">
        <f>IF($K717="","",SUM($R717:$T717))</f>
        <v/>
      </c>
      <c r="V717" s="90">
        <f>IF($K717="","",$M717-(N($N717)+N($O717)+IF($P717="",Setup!$B$17,$P717)+N($Q717))-N($U717))</f>
        <v/>
      </c>
      <c r="W717" s="87" t="n"/>
      <c r="X717" s="88" t="n"/>
      <c r="Z717" s="93">
        <f>IF($A717="","",DATE(YEAR($A717),MONTH($A717),1))</f>
        <v/>
      </c>
    </row>
    <row r="718">
      <c r="A718" s="94" t="n"/>
      <c r="B718" s="95" t="n"/>
      <c r="C718" s="95" t="n"/>
      <c r="D718" s="96" t="n"/>
      <c r="E718" s="96" t="n"/>
      <c r="F718" s="96" t="n"/>
      <c r="G718" s="96" t="n"/>
      <c r="H718" s="97" t="n"/>
      <c r="I718" s="90">
        <f>IF($G718="","",IF($F718="",IFERROR(INDEX(Setup!$C$21:$C$60,MATCH("|"&amp;UPPER(TRIM($G718)),Setup!$Q$21:$Q$60,0)),"NO RATE"),IFERROR(INDEX(Setup!$C$21:$C$60,MATCH(UPPER(TRIM($F718))&amp;"|"&amp;UPPER(TRIM($G718)),Setup!$P$21:$P$60,0)),IFERROR(INDEX(Setup!$C$21:$C$60,MATCH(UPPER(TRIM($G718))&amp;"|"&amp;UPPER(TRIM($F718)),Setup!$P$21:$P$60,0)),"NO RATE"))))</f>
        <v/>
      </c>
      <c r="J718" s="98" t="n"/>
      <c r="K718" s="90">
        <f>IF(OR($G718="",$H718="",NOT(ISNUMBER($I718))),"",ROUND($H718*$I718*(1+IF($J718="",Setup!$B$16,$J718)),2))</f>
        <v/>
      </c>
      <c r="L718" s="90">
        <f>IF($K718="","",ROUND($K718*Setup!$B$13,2))</f>
        <v/>
      </c>
      <c r="M718" s="90">
        <f>IF($K718="","",$K718-$L718)</f>
        <v/>
      </c>
      <c r="N718" s="90">
        <f>IF(OR($M718="",$D718=""),"",ROUND($M718*IFERROR(IF(VLOOKUP($D718,Setup!$A$76:$C$87,3,FALSE)="",Setup!$B$14,VLOOKUP($D718,Setup!$A$76:$C$87,3,FALSE)),Setup!$B$14),2))</f>
        <v/>
      </c>
      <c r="O718" s="90">
        <f>IF(OR($M718="",$E718=""),"",ROUND($M718*IFERROR(IF(VLOOKUP($E718,Setup!$A$76:$C$87,3,FALSE)="",Setup!$B$15,VLOOKUP($E718,Setup!$A$76:$C$87,3,FALSE)),Setup!$B$15),2))</f>
        <v/>
      </c>
      <c r="P718" s="99" t="n"/>
      <c r="Q718" s="99" t="n"/>
      <c r="R718" s="99" t="n"/>
      <c r="S718" s="99" t="n"/>
      <c r="T718" s="99" t="n"/>
      <c r="U718" s="90">
        <f>IF($K718="","",SUM($R718:$T718))</f>
        <v/>
      </c>
      <c r="V718" s="90">
        <f>IF($K718="","",$M718-(N($N718)+N($O718)+IF($P718="",Setup!$B$17,$P718)+N($Q718))-N($U718))</f>
        <v/>
      </c>
      <c r="W718" s="95" t="n"/>
      <c r="X718" s="96" t="n"/>
      <c r="Z718" s="93">
        <f>IF($A718="","",DATE(YEAR($A718),MONTH($A718),1))</f>
        <v/>
      </c>
    </row>
    <row r="719">
      <c r="A719" s="86" t="n"/>
      <c r="B719" s="87" t="n"/>
      <c r="C719" s="87" t="n"/>
      <c r="D719" s="88" t="n"/>
      <c r="E719" s="88" t="n"/>
      <c r="F719" s="88" t="n"/>
      <c r="G719" s="88" t="n"/>
      <c r="H719" s="89" t="n"/>
      <c r="I719" s="90">
        <f>IF($G719="","",IF($F719="",IFERROR(INDEX(Setup!$C$21:$C$60,MATCH("|"&amp;UPPER(TRIM($G719)),Setup!$Q$21:$Q$60,0)),"NO RATE"),IFERROR(INDEX(Setup!$C$21:$C$60,MATCH(UPPER(TRIM($F719))&amp;"|"&amp;UPPER(TRIM($G719)),Setup!$P$21:$P$60,0)),IFERROR(INDEX(Setup!$C$21:$C$60,MATCH(UPPER(TRIM($G719))&amp;"|"&amp;UPPER(TRIM($F719)),Setup!$P$21:$P$60,0)),"NO RATE"))))</f>
        <v/>
      </c>
      <c r="J719" s="91" t="n"/>
      <c r="K719" s="90">
        <f>IF(OR($G719="",$H719="",NOT(ISNUMBER($I719))),"",ROUND($H719*$I719*(1+IF($J719="",Setup!$B$16,$J719)),2))</f>
        <v/>
      </c>
      <c r="L719" s="90">
        <f>IF($K719="","",ROUND($K719*Setup!$B$13,2))</f>
        <v/>
      </c>
      <c r="M719" s="90">
        <f>IF($K719="","",$K719-$L719)</f>
        <v/>
      </c>
      <c r="N719" s="90">
        <f>IF(OR($M719="",$D719=""),"",ROUND($M719*IFERROR(IF(VLOOKUP($D719,Setup!$A$76:$C$87,3,FALSE)="",Setup!$B$14,VLOOKUP($D719,Setup!$A$76:$C$87,3,FALSE)),Setup!$B$14),2))</f>
        <v/>
      </c>
      <c r="O719" s="90">
        <f>IF(OR($M719="",$E719=""),"",ROUND($M719*IFERROR(IF(VLOOKUP($E719,Setup!$A$76:$C$87,3,FALSE)="",Setup!$B$15,VLOOKUP($E719,Setup!$A$76:$C$87,3,FALSE)),Setup!$B$15),2))</f>
        <v/>
      </c>
      <c r="P719" s="92" t="n"/>
      <c r="Q719" s="92" t="n"/>
      <c r="R719" s="92" t="n"/>
      <c r="S719" s="92" t="n"/>
      <c r="T719" s="92" t="n"/>
      <c r="U719" s="90">
        <f>IF($K719="","",SUM($R719:$T719))</f>
        <v/>
      </c>
      <c r="V719" s="90">
        <f>IF($K719="","",$M719-(N($N719)+N($O719)+IF($P719="",Setup!$B$17,$P719)+N($Q719))-N($U719))</f>
        <v/>
      </c>
      <c r="W719" s="87" t="n"/>
      <c r="X719" s="88" t="n"/>
      <c r="Z719" s="93">
        <f>IF($A719="","",DATE(YEAR($A719),MONTH($A719),1))</f>
        <v/>
      </c>
    </row>
    <row r="720">
      <c r="A720" s="94" t="n"/>
      <c r="B720" s="95" t="n"/>
      <c r="C720" s="95" t="n"/>
      <c r="D720" s="96" t="n"/>
      <c r="E720" s="96" t="n"/>
      <c r="F720" s="96" t="n"/>
      <c r="G720" s="96" t="n"/>
      <c r="H720" s="97" t="n"/>
      <c r="I720" s="90">
        <f>IF($G720="","",IF($F720="",IFERROR(INDEX(Setup!$C$21:$C$60,MATCH("|"&amp;UPPER(TRIM($G720)),Setup!$Q$21:$Q$60,0)),"NO RATE"),IFERROR(INDEX(Setup!$C$21:$C$60,MATCH(UPPER(TRIM($F720))&amp;"|"&amp;UPPER(TRIM($G720)),Setup!$P$21:$P$60,0)),IFERROR(INDEX(Setup!$C$21:$C$60,MATCH(UPPER(TRIM($G720))&amp;"|"&amp;UPPER(TRIM($F720)),Setup!$P$21:$P$60,0)),"NO RATE"))))</f>
        <v/>
      </c>
      <c r="J720" s="98" t="n"/>
      <c r="K720" s="90">
        <f>IF(OR($G720="",$H720="",NOT(ISNUMBER($I720))),"",ROUND($H720*$I720*(1+IF($J720="",Setup!$B$16,$J720)),2))</f>
        <v/>
      </c>
      <c r="L720" s="90">
        <f>IF($K720="","",ROUND($K720*Setup!$B$13,2))</f>
        <v/>
      </c>
      <c r="M720" s="90">
        <f>IF($K720="","",$K720-$L720)</f>
        <v/>
      </c>
      <c r="N720" s="90">
        <f>IF(OR($M720="",$D720=""),"",ROUND($M720*IFERROR(IF(VLOOKUP($D720,Setup!$A$76:$C$87,3,FALSE)="",Setup!$B$14,VLOOKUP($D720,Setup!$A$76:$C$87,3,FALSE)),Setup!$B$14),2))</f>
        <v/>
      </c>
      <c r="O720" s="90">
        <f>IF(OR($M720="",$E720=""),"",ROUND($M720*IFERROR(IF(VLOOKUP($E720,Setup!$A$76:$C$87,3,FALSE)="",Setup!$B$15,VLOOKUP($E720,Setup!$A$76:$C$87,3,FALSE)),Setup!$B$15),2))</f>
        <v/>
      </c>
      <c r="P720" s="99" t="n"/>
      <c r="Q720" s="99" t="n"/>
      <c r="R720" s="99" t="n"/>
      <c r="S720" s="99" t="n"/>
      <c r="T720" s="99" t="n"/>
      <c r="U720" s="90">
        <f>IF($K720="","",SUM($R720:$T720))</f>
        <v/>
      </c>
      <c r="V720" s="90">
        <f>IF($K720="","",$M720-(N($N720)+N($O720)+IF($P720="",Setup!$B$17,$P720)+N($Q720))-N($U720))</f>
        <v/>
      </c>
      <c r="W720" s="95" t="n"/>
      <c r="X720" s="96" t="n"/>
      <c r="Z720" s="93">
        <f>IF($A720="","",DATE(YEAR($A720),MONTH($A720),1))</f>
        <v/>
      </c>
    </row>
    <row r="721">
      <c r="A721" s="86" t="n"/>
      <c r="B721" s="87" t="n"/>
      <c r="C721" s="87" t="n"/>
      <c r="D721" s="88" t="n"/>
      <c r="E721" s="88" t="n"/>
      <c r="F721" s="88" t="n"/>
      <c r="G721" s="88" t="n"/>
      <c r="H721" s="89" t="n"/>
      <c r="I721" s="90">
        <f>IF($G721="","",IF($F721="",IFERROR(INDEX(Setup!$C$21:$C$60,MATCH("|"&amp;UPPER(TRIM($G721)),Setup!$Q$21:$Q$60,0)),"NO RATE"),IFERROR(INDEX(Setup!$C$21:$C$60,MATCH(UPPER(TRIM($F721))&amp;"|"&amp;UPPER(TRIM($G721)),Setup!$P$21:$P$60,0)),IFERROR(INDEX(Setup!$C$21:$C$60,MATCH(UPPER(TRIM($G721))&amp;"|"&amp;UPPER(TRIM($F721)),Setup!$P$21:$P$60,0)),"NO RATE"))))</f>
        <v/>
      </c>
      <c r="J721" s="91" t="n"/>
      <c r="K721" s="90">
        <f>IF(OR($G721="",$H721="",NOT(ISNUMBER($I721))),"",ROUND($H721*$I721*(1+IF($J721="",Setup!$B$16,$J721)),2))</f>
        <v/>
      </c>
      <c r="L721" s="90">
        <f>IF($K721="","",ROUND($K721*Setup!$B$13,2))</f>
        <v/>
      </c>
      <c r="M721" s="90">
        <f>IF($K721="","",$K721-$L721)</f>
        <v/>
      </c>
      <c r="N721" s="90">
        <f>IF(OR($M721="",$D721=""),"",ROUND($M721*IFERROR(IF(VLOOKUP($D721,Setup!$A$76:$C$87,3,FALSE)="",Setup!$B$14,VLOOKUP($D721,Setup!$A$76:$C$87,3,FALSE)),Setup!$B$14),2))</f>
        <v/>
      </c>
      <c r="O721" s="90">
        <f>IF(OR($M721="",$E721=""),"",ROUND($M721*IFERROR(IF(VLOOKUP($E721,Setup!$A$76:$C$87,3,FALSE)="",Setup!$B$15,VLOOKUP($E721,Setup!$A$76:$C$87,3,FALSE)),Setup!$B$15),2))</f>
        <v/>
      </c>
      <c r="P721" s="92" t="n"/>
      <c r="Q721" s="92" t="n"/>
      <c r="R721" s="92" t="n"/>
      <c r="S721" s="92" t="n"/>
      <c r="T721" s="92" t="n"/>
      <c r="U721" s="90">
        <f>IF($K721="","",SUM($R721:$T721))</f>
        <v/>
      </c>
      <c r="V721" s="90">
        <f>IF($K721="","",$M721-(N($N721)+N($O721)+IF($P721="",Setup!$B$17,$P721)+N($Q721))-N($U721))</f>
        <v/>
      </c>
      <c r="W721" s="87" t="n"/>
      <c r="X721" s="88" t="n"/>
      <c r="Z721" s="93">
        <f>IF($A721="","",DATE(YEAR($A721),MONTH($A721),1))</f>
        <v/>
      </c>
    </row>
    <row r="722">
      <c r="A722" s="94" t="n"/>
      <c r="B722" s="95" t="n"/>
      <c r="C722" s="95" t="n"/>
      <c r="D722" s="96" t="n"/>
      <c r="E722" s="96" t="n"/>
      <c r="F722" s="96" t="n"/>
      <c r="G722" s="96" t="n"/>
      <c r="H722" s="97" t="n"/>
      <c r="I722" s="90">
        <f>IF($G722="","",IF($F722="",IFERROR(INDEX(Setup!$C$21:$C$60,MATCH("|"&amp;UPPER(TRIM($G722)),Setup!$Q$21:$Q$60,0)),"NO RATE"),IFERROR(INDEX(Setup!$C$21:$C$60,MATCH(UPPER(TRIM($F722))&amp;"|"&amp;UPPER(TRIM($G722)),Setup!$P$21:$P$60,0)),IFERROR(INDEX(Setup!$C$21:$C$60,MATCH(UPPER(TRIM($G722))&amp;"|"&amp;UPPER(TRIM($F722)),Setup!$P$21:$P$60,0)),"NO RATE"))))</f>
        <v/>
      </c>
      <c r="J722" s="98" t="n"/>
      <c r="K722" s="90">
        <f>IF(OR($G722="",$H722="",NOT(ISNUMBER($I722))),"",ROUND($H722*$I722*(1+IF($J722="",Setup!$B$16,$J722)),2))</f>
        <v/>
      </c>
      <c r="L722" s="90">
        <f>IF($K722="","",ROUND($K722*Setup!$B$13,2))</f>
        <v/>
      </c>
      <c r="M722" s="90">
        <f>IF($K722="","",$K722-$L722)</f>
        <v/>
      </c>
      <c r="N722" s="90">
        <f>IF(OR($M722="",$D722=""),"",ROUND($M722*IFERROR(IF(VLOOKUP($D722,Setup!$A$76:$C$87,3,FALSE)="",Setup!$B$14,VLOOKUP($D722,Setup!$A$76:$C$87,3,FALSE)),Setup!$B$14),2))</f>
        <v/>
      </c>
      <c r="O722" s="90">
        <f>IF(OR($M722="",$E722=""),"",ROUND($M722*IFERROR(IF(VLOOKUP($E722,Setup!$A$76:$C$87,3,FALSE)="",Setup!$B$15,VLOOKUP($E722,Setup!$A$76:$C$87,3,FALSE)),Setup!$B$15),2))</f>
        <v/>
      </c>
      <c r="P722" s="99" t="n"/>
      <c r="Q722" s="99" t="n"/>
      <c r="R722" s="99" t="n"/>
      <c r="S722" s="99" t="n"/>
      <c r="T722" s="99" t="n"/>
      <c r="U722" s="90">
        <f>IF($K722="","",SUM($R722:$T722))</f>
        <v/>
      </c>
      <c r="V722" s="90">
        <f>IF($K722="","",$M722-(N($N722)+N($O722)+IF($P722="",Setup!$B$17,$P722)+N($Q722))-N($U722))</f>
        <v/>
      </c>
      <c r="W722" s="95" t="n"/>
      <c r="X722" s="96" t="n"/>
      <c r="Z722" s="93">
        <f>IF($A722="","",DATE(YEAR($A722),MONTH($A722),1))</f>
        <v/>
      </c>
    </row>
    <row r="723">
      <c r="A723" s="86" t="n"/>
      <c r="B723" s="87" t="n"/>
      <c r="C723" s="87" t="n"/>
      <c r="D723" s="88" t="n"/>
      <c r="E723" s="88" t="n"/>
      <c r="F723" s="88" t="n"/>
      <c r="G723" s="88" t="n"/>
      <c r="H723" s="89" t="n"/>
      <c r="I723" s="90">
        <f>IF($G723="","",IF($F723="",IFERROR(INDEX(Setup!$C$21:$C$60,MATCH("|"&amp;UPPER(TRIM($G723)),Setup!$Q$21:$Q$60,0)),"NO RATE"),IFERROR(INDEX(Setup!$C$21:$C$60,MATCH(UPPER(TRIM($F723))&amp;"|"&amp;UPPER(TRIM($G723)),Setup!$P$21:$P$60,0)),IFERROR(INDEX(Setup!$C$21:$C$60,MATCH(UPPER(TRIM($G723))&amp;"|"&amp;UPPER(TRIM($F723)),Setup!$P$21:$P$60,0)),"NO RATE"))))</f>
        <v/>
      </c>
      <c r="J723" s="91" t="n"/>
      <c r="K723" s="90">
        <f>IF(OR($G723="",$H723="",NOT(ISNUMBER($I723))),"",ROUND($H723*$I723*(1+IF($J723="",Setup!$B$16,$J723)),2))</f>
        <v/>
      </c>
      <c r="L723" s="90">
        <f>IF($K723="","",ROUND($K723*Setup!$B$13,2))</f>
        <v/>
      </c>
      <c r="M723" s="90">
        <f>IF($K723="","",$K723-$L723)</f>
        <v/>
      </c>
      <c r="N723" s="90">
        <f>IF(OR($M723="",$D723=""),"",ROUND($M723*IFERROR(IF(VLOOKUP($D723,Setup!$A$76:$C$87,3,FALSE)="",Setup!$B$14,VLOOKUP($D723,Setup!$A$76:$C$87,3,FALSE)),Setup!$B$14),2))</f>
        <v/>
      </c>
      <c r="O723" s="90">
        <f>IF(OR($M723="",$E723=""),"",ROUND($M723*IFERROR(IF(VLOOKUP($E723,Setup!$A$76:$C$87,3,FALSE)="",Setup!$B$15,VLOOKUP($E723,Setup!$A$76:$C$87,3,FALSE)),Setup!$B$15),2))</f>
        <v/>
      </c>
      <c r="P723" s="92" t="n"/>
      <c r="Q723" s="92" t="n"/>
      <c r="R723" s="92" t="n"/>
      <c r="S723" s="92" t="n"/>
      <c r="T723" s="92" t="n"/>
      <c r="U723" s="90">
        <f>IF($K723="","",SUM($R723:$T723))</f>
        <v/>
      </c>
      <c r="V723" s="90">
        <f>IF($K723="","",$M723-(N($N723)+N($O723)+IF($P723="",Setup!$B$17,$P723)+N($Q723))-N($U723))</f>
        <v/>
      </c>
      <c r="W723" s="87" t="n"/>
      <c r="X723" s="88" t="n"/>
      <c r="Z723" s="93">
        <f>IF($A723="","",DATE(YEAR($A723),MONTH($A723),1))</f>
        <v/>
      </c>
    </row>
    <row r="724">
      <c r="A724" s="94" t="n"/>
      <c r="B724" s="95" t="n"/>
      <c r="C724" s="95" t="n"/>
      <c r="D724" s="96" t="n"/>
      <c r="E724" s="96" t="n"/>
      <c r="F724" s="96" t="n"/>
      <c r="G724" s="96" t="n"/>
      <c r="H724" s="97" t="n"/>
      <c r="I724" s="90">
        <f>IF($G724="","",IF($F724="",IFERROR(INDEX(Setup!$C$21:$C$60,MATCH("|"&amp;UPPER(TRIM($G724)),Setup!$Q$21:$Q$60,0)),"NO RATE"),IFERROR(INDEX(Setup!$C$21:$C$60,MATCH(UPPER(TRIM($F724))&amp;"|"&amp;UPPER(TRIM($G724)),Setup!$P$21:$P$60,0)),IFERROR(INDEX(Setup!$C$21:$C$60,MATCH(UPPER(TRIM($G724))&amp;"|"&amp;UPPER(TRIM($F724)),Setup!$P$21:$P$60,0)),"NO RATE"))))</f>
        <v/>
      </c>
      <c r="J724" s="98" t="n"/>
      <c r="K724" s="90">
        <f>IF(OR($G724="",$H724="",NOT(ISNUMBER($I724))),"",ROUND($H724*$I724*(1+IF($J724="",Setup!$B$16,$J724)),2))</f>
        <v/>
      </c>
      <c r="L724" s="90">
        <f>IF($K724="","",ROUND($K724*Setup!$B$13,2))</f>
        <v/>
      </c>
      <c r="M724" s="90">
        <f>IF($K724="","",$K724-$L724)</f>
        <v/>
      </c>
      <c r="N724" s="90">
        <f>IF(OR($M724="",$D724=""),"",ROUND($M724*IFERROR(IF(VLOOKUP($D724,Setup!$A$76:$C$87,3,FALSE)="",Setup!$B$14,VLOOKUP($D724,Setup!$A$76:$C$87,3,FALSE)),Setup!$B$14),2))</f>
        <v/>
      </c>
      <c r="O724" s="90">
        <f>IF(OR($M724="",$E724=""),"",ROUND($M724*IFERROR(IF(VLOOKUP($E724,Setup!$A$76:$C$87,3,FALSE)="",Setup!$B$15,VLOOKUP($E724,Setup!$A$76:$C$87,3,FALSE)),Setup!$B$15),2))</f>
        <v/>
      </c>
      <c r="P724" s="99" t="n"/>
      <c r="Q724" s="99" t="n"/>
      <c r="R724" s="99" t="n"/>
      <c r="S724" s="99" t="n"/>
      <c r="T724" s="99" t="n"/>
      <c r="U724" s="90">
        <f>IF($K724="","",SUM($R724:$T724))</f>
        <v/>
      </c>
      <c r="V724" s="90">
        <f>IF($K724="","",$M724-(N($N724)+N($O724)+IF($P724="",Setup!$B$17,$P724)+N($Q724))-N($U724))</f>
        <v/>
      </c>
      <c r="W724" s="95" t="n"/>
      <c r="X724" s="96" t="n"/>
      <c r="Z724" s="93">
        <f>IF($A724="","",DATE(YEAR($A724),MONTH($A724),1))</f>
        <v/>
      </c>
    </row>
    <row r="725">
      <c r="A725" s="86" t="n"/>
      <c r="B725" s="87" t="n"/>
      <c r="C725" s="87" t="n"/>
      <c r="D725" s="88" t="n"/>
      <c r="E725" s="88" t="n"/>
      <c r="F725" s="88" t="n"/>
      <c r="G725" s="88" t="n"/>
      <c r="H725" s="89" t="n"/>
      <c r="I725" s="90">
        <f>IF($G725="","",IF($F725="",IFERROR(INDEX(Setup!$C$21:$C$60,MATCH("|"&amp;UPPER(TRIM($G725)),Setup!$Q$21:$Q$60,0)),"NO RATE"),IFERROR(INDEX(Setup!$C$21:$C$60,MATCH(UPPER(TRIM($F725))&amp;"|"&amp;UPPER(TRIM($G725)),Setup!$P$21:$P$60,0)),IFERROR(INDEX(Setup!$C$21:$C$60,MATCH(UPPER(TRIM($G725))&amp;"|"&amp;UPPER(TRIM($F725)),Setup!$P$21:$P$60,0)),"NO RATE"))))</f>
        <v/>
      </c>
      <c r="J725" s="91" t="n"/>
      <c r="K725" s="90">
        <f>IF(OR($G725="",$H725="",NOT(ISNUMBER($I725))),"",ROUND($H725*$I725*(1+IF($J725="",Setup!$B$16,$J725)),2))</f>
        <v/>
      </c>
      <c r="L725" s="90">
        <f>IF($K725="","",ROUND($K725*Setup!$B$13,2))</f>
        <v/>
      </c>
      <c r="M725" s="90">
        <f>IF($K725="","",$K725-$L725)</f>
        <v/>
      </c>
      <c r="N725" s="90">
        <f>IF(OR($M725="",$D725=""),"",ROUND($M725*IFERROR(IF(VLOOKUP($D725,Setup!$A$76:$C$87,3,FALSE)="",Setup!$B$14,VLOOKUP($D725,Setup!$A$76:$C$87,3,FALSE)),Setup!$B$14),2))</f>
        <v/>
      </c>
      <c r="O725" s="90">
        <f>IF(OR($M725="",$E725=""),"",ROUND($M725*IFERROR(IF(VLOOKUP($E725,Setup!$A$76:$C$87,3,FALSE)="",Setup!$B$15,VLOOKUP($E725,Setup!$A$76:$C$87,3,FALSE)),Setup!$B$15),2))</f>
        <v/>
      </c>
      <c r="P725" s="92" t="n"/>
      <c r="Q725" s="92" t="n"/>
      <c r="R725" s="92" t="n"/>
      <c r="S725" s="92" t="n"/>
      <c r="T725" s="92" t="n"/>
      <c r="U725" s="90">
        <f>IF($K725="","",SUM($R725:$T725))</f>
        <v/>
      </c>
      <c r="V725" s="90">
        <f>IF($K725="","",$M725-(N($N725)+N($O725)+IF($P725="",Setup!$B$17,$P725)+N($Q725))-N($U725))</f>
        <v/>
      </c>
      <c r="W725" s="87" t="n"/>
      <c r="X725" s="88" t="n"/>
      <c r="Z725" s="93">
        <f>IF($A725="","",DATE(YEAR($A725),MONTH($A725),1))</f>
        <v/>
      </c>
    </row>
    <row r="726">
      <c r="A726" s="94" t="n"/>
      <c r="B726" s="95" t="n"/>
      <c r="C726" s="95" t="n"/>
      <c r="D726" s="96" t="n"/>
      <c r="E726" s="96" t="n"/>
      <c r="F726" s="96" t="n"/>
      <c r="G726" s="96" t="n"/>
      <c r="H726" s="97" t="n"/>
      <c r="I726" s="90">
        <f>IF($G726="","",IF($F726="",IFERROR(INDEX(Setup!$C$21:$C$60,MATCH("|"&amp;UPPER(TRIM($G726)),Setup!$Q$21:$Q$60,0)),"NO RATE"),IFERROR(INDEX(Setup!$C$21:$C$60,MATCH(UPPER(TRIM($F726))&amp;"|"&amp;UPPER(TRIM($G726)),Setup!$P$21:$P$60,0)),IFERROR(INDEX(Setup!$C$21:$C$60,MATCH(UPPER(TRIM($G726))&amp;"|"&amp;UPPER(TRIM($F726)),Setup!$P$21:$P$60,0)),"NO RATE"))))</f>
        <v/>
      </c>
      <c r="J726" s="98" t="n"/>
      <c r="K726" s="90">
        <f>IF(OR($G726="",$H726="",NOT(ISNUMBER($I726))),"",ROUND($H726*$I726*(1+IF($J726="",Setup!$B$16,$J726)),2))</f>
        <v/>
      </c>
      <c r="L726" s="90">
        <f>IF($K726="","",ROUND($K726*Setup!$B$13,2))</f>
        <v/>
      </c>
      <c r="M726" s="90">
        <f>IF($K726="","",$K726-$L726)</f>
        <v/>
      </c>
      <c r="N726" s="90">
        <f>IF(OR($M726="",$D726=""),"",ROUND($M726*IFERROR(IF(VLOOKUP($D726,Setup!$A$76:$C$87,3,FALSE)="",Setup!$B$14,VLOOKUP($D726,Setup!$A$76:$C$87,3,FALSE)),Setup!$B$14),2))</f>
        <v/>
      </c>
      <c r="O726" s="90">
        <f>IF(OR($M726="",$E726=""),"",ROUND($M726*IFERROR(IF(VLOOKUP($E726,Setup!$A$76:$C$87,3,FALSE)="",Setup!$B$15,VLOOKUP($E726,Setup!$A$76:$C$87,3,FALSE)),Setup!$B$15),2))</f>
        <v/>
      </c>
      <c r="P726" s="99" t="n"/>
      <c r="Q726" s="99" t="n"/>
      <c r="R726" s="99" t="n"/>
      <c r="S726" s="99" t="n"/>
      <c r="T726" s="99" t="n"/>
      <c r="U726" s="90">
        <f>IF($K726="","",SUM($R726:$T726))</f>
        <v/>
      </c>
      <c r="V726" s="90">
        <f>IF($K726="","",$M726-(N($N726)+N($O726)+IF($P726="",Setup!$B$17,$P726)+N($Q726))-N($U726))</f>
        <v/>
      </c>
      <c r="W726" s="95" t="n"/>
      <c r="X726" s="96" t="n"/>
      <c r="Z726" s="93">
        <f>IF($A726="","",DATE(YEAR($A726),MONTH($A726),1))</f>
        <v/>
      </c>
    </row>
    <row r="727">
      <c r="A727" s="86" t="n"/>
      <c r="B727" s="87" t="n"/>
      <c r="C727" s="87" t="n"/>
      <c r="D727" s="88" t="n"/>
      <c r="E727" s="88" t="n"/>
      <c r="F727" s="88" t="n"/>
      <c r="G727" s="88" t="n"/>
      <c r="H727" s="89" t="n"/>
      <c r="I727" s="90">
        <f>IF($G727="","",IF($F727="",IFERROR(INDEX(Setup!$C$21:$C$60,MATCH("|"&amp;UPPER(TRIM($G727)),Setup!$Q$21:$Q$60,0)),"NO RATE"),IFERROR(INDEX(Setup!$C$21:$C$60,MATCH(UPPER(TRIM($F727))&amp;"|"&amp;UPPER(TRIM($G727)),Setup!$P$21:$P$60,0)),IFERROR(INDEX(Setup!$C$21:$C$60,MATCH(UPPER(TRIM($G727))&amp;"|"&amp;UPPER(TRIM($F727)),Setup!$P$21:$P$60,0)),"NO RATE"))))</f>
        <v/>
      </c>
      <c r="J727" s="91" t="n"/>
      <c r="K727" s="90">
        <f>IF(OR($G727="",$H727="",NOT(ISNUMBER($I727))),"",ROUND($H727*$I727*(1+IF($J727="",Setup!$B$16,$J727)),2))</f>
        <v/>
      </c>
      <c r="L727" s="90">
        <f>IF($K727="","",ROUND($K727*Setup!$B$13,2))</f>
        <v/>
      </c>
      <c r="M727" s="90">
        <f>IF($K727="","",$K727-$L727)</f>
        <v/>
      </c>
      <c r="N727" s="90">
        <f>IF(OR($M727="",$D727=""),"",ROUND($M727*IFERROR(IF(VLOOKUP($D727,Setup!$A$76:$C$87,3,FALSE)="",Setup!$B$14,VLOOKUP($D727,Setup!$A$76:$C$87,3,FALSE)),Setup!$B$14),2))</f>
        <v/>
      </c>
      <c r="O727" s="90">
        <f>IF(OR($M727="",$E727=""),"",ROUND($M727*IFERROR(IF(VLOOKUP($E727,Setup!$A$76:$C$87,3,FALSE)="",Setup!$B$15,VLOOKUP($E727,Setup!$A$76:$C$87,3,FALSE)),Setup!$B$15),2))</f>
        <v/>
      </c>
      <c r="P727" s="92" t="n"/>
      <c r="Q727" s="92" t="n"/>
      <c r="R727" s="92" t="n"/>
      <c r="S727" s="92" t="n"/>
      <c r="T727" s="92" t="n"/>
      <c r="U727" s="90">
        <f>IF($K727="","",SUM($R727:$T727))</f>
        <v/>
      </c>
      <c r="V727" s="90">
        <f>IF($K727="","",$M727-(N($N727)+N($O727)+IF($P727="",Setup!$B$17,$P727)+N($Q727))-N($U727))</f>
        <v/>
      </c>
      <c r="W727" s="87" t="n"/>
      <c r="X727" s="88" t="n"/>
      <c r="Z727" s="93">
        <f>IF($A727="","",DATE(YEAR($A727),MONTH($A727),1))</f>
        <v/>
      </c>
    </row>
    <row r="728">
      <c r="A728" s="94" t="n"/>
      <c r="B728" s="95" t="n"/>
      <c r="C728" s="95" t="n"/>
      <c r="D728" s="96" t="n"/>
      <c r="E728" s="96" t="n"/>
      <c r="F728" s="96" t="n"/>
      <c r="G728" s="96" t="n"/>
      <c r="H728" s="97" t="n"/>
      <c r="I728" s="90">
        <f>IF($G728="","",IF($F728="",IFERROR(INDEX(Setup!$C$21:$C$60,MATCH("|"&amp;UPPER(TRIM($G728)),Setup!$Q$21:$Q$60,0)),"NO RATE"),IFERROR(INDEX(Setup!$C$21:$C$60,MATCH(UPPER(TRIM($F728))&amp;"|"&amp;UPPER(TRIM($G728)),Setup!$P$21:$P$60,0)),IFERROR(INDEX(Setup!$C$21:$C$60,MATCH(UPPER(TRIM($G728))&amp;"|"&amp;UPPER(TRIM($F728)),Setup!$P$21:$P$60,0)),"NO RATE"))))</f>
        <v/>
      </c>
      <c r="J728" s="98" t="n"/>
      <c r="K728" s="90">
        <f>IF(OR($G728="",$H728="",NOT(ISNUMBER($I728))),"",ROUND($H728*$I728*(1+IF($J728="",Setup!$B$16,$J728)),2))</f>
        <v/>
      </c>
      <c r="L728" s="90">
        <f>IF($K728="","",ROUND($K728*Setup!$B$13,2))</f>
        <v/>
      </c>
      <c r="M728" s="90">
        <f>IF($K728="","",$K728-$L728)</f>
        <v/>
      </c>
      <c r="N728" s="90">
        <f>IF(OR($M728="",$D728=""),"",ROUND($M728*IFERROR(IF(VLOOKUP($D728,Setup!$A$76:$C$87,3,FALSE)="",Setup!$B$14,VLOOKUP($D728,Setup!$A$76:$C$87,3,FALSE)),Setup!$B$14),2))</f>
        <v/>
      </c>
      <c r="O728" s="90">
        <f>IF(OR($M728="",$E728=""),"",ROUND($M728*IFERROR(IF(VLOOKUP($E728,Setup!$A$76:$C$87,3,FALSE)="",Setup!$B$15,VLOOKUP($E728,Setup!$A$76:$C$87,3,FALSE)),Setup!$B$15),2))</f>
        <v/>
      </c>
      <c r="P728" s="99" t="n"/>
      <c r="Q728" s="99" t="n"/>
      <c r="R728" s="99" t="n"/>
      <c r="S728" s="99" t="n"/>
      <c r="T728" s="99" t="n"/>
      <c r="U728" s="90">
        <f>IF($K728="","",SUM($R728:$T728))</f>
        <v/>
      </c>
      <c r="V728" s="90">
        <f>IF($K728="","",$M728-(N($N728)+N($O728)+IF($P728="",Setup!$B$17,$P728)+N($Q728))-N($U728))</f>
        <v/>
      </c>
      <c r="W728" s="95" t="n"/>
      <c r="X728" s="96" t="n"/>
      <c r="Z728" s="93">
        <f>IF($A728="","",DATE(YEAR($A728),MONTH($A728),1))</f>
        <v/>
      </c>
    </row>
    <row r="729">
      <c r="A729" s="86" t="n"/>
      <c r="B729" s="87" t="n"/>
      <c r="C729" s="87" t="n"/>
      <c r="D729" s="88" t="n"/>
      <c r="E729" s="88" t="n"/>
      <c r="F729" s="88" t="n"/>
      <c r="G729" s="88" t="n"/>
      <c r="H729" s="89" t="n"/>
      <c r="I729" s="90">
        <f>IF($G729="","",IF($F729="",IFERROR(INDEX(Setup!$C$21:$C$60,MATCH("|"&amp;UPPER(TRIM($G729)),Setup!$Q$21:$Q$60,0)),"NO RATE"),IFERROR(INDEX(Setup!$C$21:$C$60,MATCH(UPPER(TRIM($F729))&amp;"|"&amp;UPPER(TRIM($G729)),Setup!$P$21:$P$60,0)),IFERROR(INDEX(Setup!$C$21:$C$60,MATCH(UPPER(TRIM($G729))&amp;"|"&amp;UPPER(TRIM($F729)),Setup!$P$21:$P$60,0)),"NO RATE"))))</f>
        <v/>
      </c>
      <c r="J729" s="91" t="n"/>
      <c r="K729" s="90">
        <f>IF(OR($G729="",$H729="",NOT(ISNUMBER($I729))),"",ROUND($H729*$I729*(1+IF($J729="",Setup!$B$16,$J729)),2))</f>
        <v/>
      </c>
      <c r="L729" s="90">
        <f>IF($K729="","",ROUND($K729*Setup!$B$13,2))</f>
        <v/>
      </c>
      <c r="M729" s="90">
        <f>IF($K729="","",$K729-$L729)</f>
        <v/>
      </c>
      <c r="N729" s="90">
        <f>IF(OR($M729="",$D729=""),"",ROUND($M729*IFERROR(IF(VLOOKUP($D729,Setup!$A$76:$C$87,3,FALSE)="",Setup!$B$14,VLOOKUP($D729,Setup!$A$76:$C$87,3,FALSE)),Setup!$B$14),2))</f>
        <v/>
      </c>
      <c r="O729" s="90">
        <f>IF(OR($M729="",$E729=""),"",ROUND($M729*IFERROR(IF(VLOOKUP($E729,Setup!$A$76:$C$87,3,FALSE)="",Setup!$B$15,VLOOKUP($E729,Setup!$A$76:$C$87,3,FALSE)),Setup!$B$15),2))</f>
        <v/>
      </c>
      <c r="P729" s="92" t="n"/>
      <c r="Q729" s="92" t="n"/>
      <c r="R729" s="92" t="n"/>
      <c r="S729" s="92" t="n"/>
      <c r="T729" s="92" t="n"/>
      <c r="U729" s="90">
        <f>IF($K729="","",SUM($R729:$T729))</f>
        <v/>
      </c>
      <c r="V729" s="90">
        <f>IF($K729="","",$M729-(N($N729)+N($O729)+IF($P729="",Setup!$B$17,$P729)+N($Q729))-N($U729))</f>
        <v/>
      </c>
      <c r="W729" s="87" t="n"/>
      <c r="X729" s="88" t="n"/>
      <c r="Z729" s="93">
        <f>IF($A729="","",DATE(YEAR($A729),MONTH($A729),1))</f>
        <v/>
      </c>
    </row>
    <row r="730">
      <c r="A730" s="94" t="n"/>
      <c r="B730" s="95" t="n"/>
      <c r="C730" s="95" t="n"/>
      <c r="D730" s="96" t="n"/>
      <c r="E730" s="96" t="n"/>
      <c r="F730" s="96" t="n"/>
      <c r="G730" s="96" t="n"/>
      <c r="H730" s="97" t="n"/>
      <c r="I730" s="90">
        <f>IF($G730="","",IF($F730="",IFERROR(INDEX(Setup!$C$21:$C$60,MATCH("|"&amp;UPPER(TRIM($G730)),Setup!$Q$21:$Q$60,0)),"NO RATE"),IFERROR(INDEX(Setup!$C$21:$C$60,MATCH(UPPER(TRIM($F730))&amp;"|"&amp;UPPER(TRIM($G730)),Setup!$P$21:$P$60,0)),IFERROR(INDEX(Setup!$C$21:$C$60,MATCH(UPPER(TRIM($G730))&amp;"|"&amp;UPPER(TRIM($F730)),Setup!$P$21:$P$60,0)),"NO RATE"))))</f>
        <v/>
      </c>
      <c r="J730" s="98" t="n"/>
      <c r="K730" s="90">
        <f>IF(OR($G730="",$H730="",NOT(ISNUMBER($I730))),"",ROUND($H730*$I730*(1+IF($J730="",Setup!$B$16,$J730)),2))</f>
        <v/>
      </c>
      <c r="L730" s="90">
        <f>IF($K730="","",ROUND($K730*Setup!$B$13,2))</f>
        <v/>
      </c>
      <c r="M730" s="90">
        <f>IF($K730="","",$K730-$L730)</f>
        <v/>
      </c>
      <c r="N730" s="90">
        <f>IF(OR($M730="",$D730=""),"",ROUND($M730*IFERROR(IF(VLOOKUP($D730,Setup!$A$76:$C$87,3,FALSE)="",Setup!$B$14,VLOOKUP($D730,Setup!$A$76:$C$87,3,FALSE)),Setup!$B$14),2))</f>
        <v/>
      </c>
      <c r="O730" s="90">
        <f>IF(OR($M730="",$E730=""),"",ROUND($M730*IFERROR(IF(VLOOKUP($E730,Setup!$A$76:$C$87,3,FALSE)="",Setup!$B$15,VLOOKUP($E730,Setup!$A$76:$C$87,3,FALSE)),Setup!$B$15),2))</f>
        <v/>
      </c>
      <c r="P730" s="99" t="n"/>
      <c r="Q730" s="99" t="n"/>
      <c r="R730" s="99" t="n"/>
      <c r="S730" s="99" t="n"/>
      <c r="T730" s="99" t="n"/>
      <c r="U730" s="90">
        <f>IF($K730="","",SUM($R730:$T730))</f>
        <v/>
      </c>
      <c r="V730" s="90">
        <f>IF($K730="","",$M730-(N($N730)+N($O730)+IF($P730="",Setup!$B$17,$P730)+N($Q730))-N($U730))</f>
        <v/>
      </c>
      <c r="W730" s="95" t="n"/>
      <c r="X730" s="96" t="n"/>
      <c r="Z730" s="93">
        <f>IF($A730="","",DATE(YEAR($A730),MONTH($A730),1))</f>
        <v/>
      </c>
    </row>
    <row r="731">
      <c r="A731" s="86" t="n"/>
      <c r="B731" s="87" t="n"/>
      <c r="C731" s="87" t="n"/>
      <c r="D731" s="88" t="n"/>
      <c r="E731" s="88" t="n"/>
      <c r="F731" s="88" t="n"/>
      <c r="G731" s="88" t="n"/>
      <c r="H731" s="89" t="n"/>
      <c r="I731" s="90">
        <f>IF($G731="","",IF($F731="",IFERROR(INDEX(Setup!$C$21:$C$60,MATCH("|"&amp;UPPER(TRIM($G731)),Setup!$Q$21:$Q$60,0)),"NO RATE"),IFERROR(INDEX(Setup!$C$21:$C$60,MATCH(UPPER(TRIM($F731))&amp;"|"&amp;UPPER(TRIM($G731)),Setup!$P$21:$P$60,0)),IFERROR(INDEX(Setup!$C$21:$C$60,MATCH(UPPER(TRIM($G731))&amp;"|"&amp;UPPER(TRIM($F731)),Setup!$P$21:$P$60,0)),"NO RATE"))))</f>
        <v/>
      </c>
      <c r="J731" s="91" t="n"/>
      <c r="K731" s="90">
        <f>IF(OR($G731="",$H731="",NOT(ISNUMBER($I731))),"",ROUND($H731*$I731*(1+IF($J731="",Setup!$B$16,$J731)),2))</f>
        <v/>
      </c>
      <c r="L731" s="90">
        <f>IF($K731="","",ROUND($K731*Setup!$B$13,2))</f>
        <v/>
      </c>
      <c r="M731" s="90">
        <f>IF($K731="","",$K731-$L731)</f>
        <v/>
      </c>
      <c r="N731" s="90">
        <f>IF(OR($M731="",$D731=""),"",ROUND($M731*IFERROR(IF(VLOOKUP($D731,Setup!$A$76:$C$87,3,FALSE)="",Setup!$B$14,VLOOKUP($D731,Setup!$A$76:$C$87,3,FALSE)),Setup!$B$14),2))</f>
        <v/>
      </c>
      <c r="O731" s="90">
        <f>IF(OR($M731="",$E731=""),"",ROUND($M731*IFERROR(IF(VLOOKUP($E731,Setup!$A$76:$C$87,3,FALSE)="",Setup!$B$15,VLOOKUP($E731,Setup!$A$76:$C$87,3,FALSE)),Setup!$B$15),2))</f>
        <v/>
      </c>
      <c r="P731" s="92" t="n"/>
      <c r="Q731" s="92" t="n"/>
      <c r="R731" s="92" t="n"/>
      <c r="S731" s="92" t="n"/>
      <c r="T731" s="92" t="n"/>
      <c r="U731" s="90">
        <f>IF($K731="","",SUM($R731:$T731))</f>
        <v/>
      </c>
      <c r="V731" s="90">
        <f>IF($K731="","",$M731-(N($N731)+N($O731)+IF($P731="",Setup!$B$17,$P731)+N($Q731))-N($U731))</f>
        <v/>
      </c>
      <c r="W731" s="87" t="n"/>
      <c r="X731" s="88" t="n"/>
      <c r="Z731" s="93">
        <f>IF($A731="","",DATE(YEAR($A731),MONTH($A731),1))</f>
        <v/>
      </c>
    </row>
    <row r="732">
      <c r="A732" s="94" t="n"/>
      <c r="B732" s="95" t="n"/>
      <c r="C732" s="95" t="n"/>
      <c r="D732" s="96" t="n"/>
      <c r="E732" s="96" t="n"/>
      <c r="F732" s="96" t="n"/>
      <c r="G732" s="96" t="n"/>
      <c r="H732" s="97" t="n"/>
      <c r="I732" s="90">
        <f>IF($G732="","",IF($F732="",IFERROR(INDEX(Setup!$C$21:$C$60,MATCH("|"&amp;UPPER(TRIM($G732)),Setup!$Q$21:$Q$60,0)),"NO RATE"),IFERROR(INDEX(Setup!$C$21:$C$60,MATCH(UPPER(TRIM($F732))&amp;"|"&amp;UPPER(TRIM($G732)),Setup!$P$21:$P$60,0)),IFERROR(INDEX(Setup!$C$21:$C$60,MATCH(UPPER(TRIM($G732))&amp;"|"&amp;UPPER(TRIM($F732)),Setup!$P$21:$P$60,0)),"NO RATE"))))</f>
        <v/>
      </c>
      <c r="J732" s="98" t="n"/>
      <c r="K732" s="90">
        <f>IF(OR($G732="",$H732="",NOT(ISNUMBER($I732))),"",ROUND($H732*$I732*(1+IF($J732="",Setup!$B$16,$J732)),2))</f>
        <v/>
      </c>
      <c r="L732" s="90">
        <f>IF($K732="","",ROUND($K732*Setup!$B$13,2))</f>
        <v/>
      </c>
      <c r="M732" s="90">
        <f>IF($K732="","",$K732-$L732)</f>
        <v/>
      </c>
      <c r="N732" s="90">
        <f>IF(OR($M732="",$D732=""),"",ROUND($M732*IFERROR(IF(VLOOKUP($D732,Setup!$A$76:$C$87,3,FALSE)="",Setup!$B$14,VLOOKUP($D732,Setup!$A$76:$C$87,3,FALSE)),Setup!$B$14),2))</f>
        <v/>
      </c>
      <c r="O732" s="90">
        <f>IF(OR($M732="",$E732=""),"",ROUND($M732*IFERROR(IF(VLOOKUP($E732,Setup!$A$76:$C$87,3,FALSE)="",Setup!$B$15,VLOOKUP($E732,Setup!$A$76:$C$87,3,FALSE)),Setup!$B$15),2))</f>
        <v/>
      </c>
      <c r="P732" s="99" t="n"/>
      <c r="Q732" s="99" t="n"/>
      <c r="R732" s="99" t="n"/>
      <c r="S732" s="99" t="n"/>
      <c r="T732" s="99" t="n"/>
      <c r="U732" s="90">
        <f>IF($K732="","",SUM($R732:$T732))</f>
        <v/>
      </c>
      <c r="V732" s="90">
        <f>IF($K732="","",$M732-(N($N732)+N($O732)+IF($P732="",Setup!$B$17,$P732)+N($Q732))-N($U732))</f>
        <v/>
      </c>
      <c r="W732" s="95" t="n"/>
      <c r="X732" s="96" t="n"/>
      <c r="Z732" s="93">
        <f>IF($A732="","",DATE(YEAR($A732),MONTH($A732),1))</f>
        <v/>
      </c>
    </row>
    <row r="733">
      <c r="A733" s="86" t="n"/>
      <c r="B733" s="87" t="n"/>
      <c r="C733" s="87" t="n"/>
      <c r="D733" s="88" t="n"/>
      <c r="E733" s="88" t="n"/>
      <c r="F733" s="88" t="n"/>
      <c r="G733" s="88" t="n"/>
      <c r="H733" s="89" t="n"/>
      <c r="I733" s="90">
        <f>IF($G733="","",IF($F733="",IFERROR(INDEX(Setup!$C$21:$C$60,MATCH("|"&amp;UPPER(TRIM($G733)),Setup!$Q$21:$Q$60,0)),"NO RATE"),IFERROR(INDEX(Setup!$C$21:$C$60,MATCH(UPPER(TRIM($F733))&amp;"|"&amp;UPPER(TRIM($G733)),Setup!$P$21:$P$60,0)),IFERROR(INDEX(Setup!$C$21:$C$60,MATCH(UPPER(TRIM($G733))&amp;"|"&amp;UPPER(TRIM($F733)),Setup!$P$21:$P$60,0)),"NO RATE"))))</f>
        <v/>
      </c>
      <c r="J733" s="91" t="n"/>
      <c r="K733" s="90">
        <f>IF(OR($G733="",$H733="",NOT(ISNUMBER($I733))),"",ROUND($H733*$I733*(1+IF($J733="",Setup!$B$16,$J733)),2))</f>
        <v/>
      </c>
      <c r="L733" s="90">
        <f>IF($K733="","",ROUND($K733*Setup!$B$13,2))</f>
        <v/>
      </c>
      <c r="M733" s="90">
        <f>IF($K733="","",$K733-$L733)</f>
        <v/>
      </c>
      <c r="N733" s="90">
        <f>IF(OR($M733="",$D733=""),"",ROUND($M733*IFERROR(IF(VLOOKUP($D733,Setup!$A$76:$C$87,3,FALSE)="",Setup!$B$14,VLOOKUP($D733,Setup!$A$76:$C$87,3,FALSE)),Setup!$B$14),2))</f>
        <v/>
      </c>
      <c r="O733" s="90">
        <f>IF(OR($M733="",$E733=""),"",ROUND($M733*IFERROR(IF(VLOOKUP($E733,Setup!$A$76:$C$87,3,FALSE)="",Setup!$B$15,VLOOKUP($E733,Setup!$A$76:$C$87,3,FALSE)),Setup!$B$15),2))</f>
        <v/>
      </c>
      <c r="P733" s="92" t="n"/>
      <c r="Q733" s="92" t="n"/>
      <c r="R733" s="92" t="n"/>
      <c r="S733" s="92" t="n"/>
      <c r="T733" s="92" t="n"/>
      <c r="U733" s="90">
        <f>IF($K733="","",SUM($R733:$T733))</f>
        <v/>
      </c>
      <c r="V733" s="90">
        <f>IF($K733="","",$M733-(N($N733)+N($O733)+IF($P733="",Setup!$B$17,$P733)+N($Q733))-N($U733))</f>
        <v/>
      </c>
      <c r="W733" s="87" t="n"/>
      <c r="X733" s="88" t="n"/>
      <c r="Z733" s="93">
        <f>IF($A733="","",DATE(YEAR($A733),MONTH($A733),1))</f>
        <v/>
      </c>
    </row>
    <row r="734">
      <c r="A734" s="94" t="n"/>
      <c r="B734" s="95" t="n"/>
      <c r="C734" s="95" t="n"/>
      <c r="D734" s="96" t="n"/>
      <c r="E734" s="96" t="n"/>
      <c r="F734" s="96" t="n"/>
      <c r="G734" s="96" t="n"/>
      <c r="H734" s="97" t="n"/>
      <c r="I734" s="90">
        <f>IF($G734="","",IF($F734="",IFERROR(INDEX(Setup!$C$21:$C$60,MATCH("|"&amp;UPPER(TRIM($G734)),Setup!$Q$21:$Q$60,0)),"NO RATE"),IFERROR(INDEX(Setup!$C$21:$C$60,MATCH(UPPER(TRIM($F734))&amp;"|"&amp;UPPER(TRIM($G734)),Setup!$P$21:$P$60,0)),IFERROR(INDEX(Setup!$C$21:$C$60,MATCH(UPPER(TRIM($G734))&amp;"|"&amp;UPPER(TRIM($F734)),Setup!$P$21:$P$60,0)),"NO RATE"))))</f>
        <v/>
      </c>
      <c r="J734" s="98" t="n"/>
      <c r="K734" s="90">
        <f>IF(OR($G734="",$H734="",NOT(ISNUMBER($I734))),"",ROUND($H734*$I734*(1+IF($J734="",Setup!$B$16,$J734)),2))</f>
        <v/>
      </c>
      <c r="L734" s="90">
        <f>IF($K734="","",ROUND($K734*Setup!$B$13,2))</f>
        <v/>
      </c>
      <c r="M734" s="90">
        <f>IF($K734="","",$K734-$L734)</f>
        <v/>
      </c>
      <c r="N734" s="90">
        <f>IF(OR($M734="",$D734=""),"",ROUND($M734*IFERROR(IF(VLOOKUP($D734,Setup!$A$76:$C$87,3,FALSE)="",Setup!$B$14,VLOOKUP($D734,Setup!$A$76:$C$87,3,FALSE)),Setup!$B$14),2))</f>
        <v/>
      </c>
      <c r="O734" s="90">
        <f>IF(OR($M734="",$E734=""),"",ROUND($M734*IFERROR(IF(VLOOKUP($E734,Setup!$A$76:$C$87,3,FALSE)="",Setup!$B$15,VLOOKUP($E734,Setup!$A$76:$C$87,3,FALSE)),Setup!$B$15),2))</f>
        <v/>
      </c>
      <c r="P734" s="99" t="n"/>
      <c r="Q734" s="99" t="n"/>
      <c r="R734" s="99" t="n"/>
      <c r="S734" s="99" t="n"/>
      <c r="T734" s="99" t="n"/>
      <c r="U734" s="90">
        <f>IF($K734="","",SUM($R734:$T734))</f>
        <v/>
      </c>
      <c r="V734" s="90">
        <f>IF($K734="","",$M734-(N($N734)+N($O734)+IF($P734="",Setup!$B$17,$P734)+N($Q734))-N($U734))</f>
        <v/>
      </c>
      <c r="W734" s="95" t="n"/>
      <c r="X734" s="96" t="n"/>
      <c r="Z734" s="93">
        <f>IF($A734="","",DATE(YEAR($A734),MONTH($A734),1))</f>
        <v/>
      </c>
    </row>
    <row r="735">
      <c r="A735" s="86" t="n"/>
      <c r="B735" s="87" t="n"/>
      <c r="C735" s="87" t="n"/>
      <c r="D735" s="88" t="n"/>
      <c r="E735" s="88" t="n"/>
      <c r="F735" s="88" t="n"/>
      <c r="G735" s="88" t="n"/>
      <c r="H735" s="89" t="n"/>
      <c r="I735" s="90">
        <f>IF($G735="","",IF($F735="",IFERROR(INDEX(Setup!$C$21:$C$60,MATCH("|"&amp;UPPER(TRIM($G735)),Setup!$Q$21:$Q$60,0)),"NO RATE"),IFERROR(INDEX(Setup!$C$21:$C$60,MATCH(UPPER(TRIM($F735))&amp;"|"&amp;UPPER(TRIM($G735)),Setup!$P$21:$P$60,0)),IFERROR(INDEX(Setup!$C$21:$C$60,MATCH(UPPER(TRIM($G735))&amp;"|"&amp;UPPER(TRIM($F735)),Setup!$P$21:$P$60,0)),"NO RATE"))))</f>
        <v/>
      </c>
      <c r="J735" s="91" t="n"/>
      <c r="K735" s="90">
        <f>IF(OR($G735="",$H735="",NOT(ISNUMBER($I735))),"",ROUND($H735*$I735*(1+IF($J735="",Setup!$B$16,$J735)),2))</f>
        <v/>
      </c>
      <c r="L735" s="90">
        <f>IF($K735="","",ROUND($K735*Setup!$B$13,2))</f>
        <v/>
      </c>
      <c r="M735" s="90">
        <f>IF($K735="","",$K735-$L735)</f>
        <v/>
      </c>
      <c r="N735" s="90">
        <f>IF(OR($M735="",$D735=""),"",ROUND($M735*IFERROR(IF(VLOOKUP($D735,Setup!$A$76:$C$87,3,FALSE)="",Setup!$B$14,VLOOKUP($D735,Setup!$A$76:$C$87,3,FALSE)),Setup!$B$14),2))</f>
        <v/>
      </c>
      <c r="O735" s="90">
        <f>IF(OR($M735="",$E735=""),"",ROUND($M735*IFERROR(IF(VLOOKUP($E735,Setup!$A$76:$C$87,3,FALSE)="",Setup!$B$15,VLOOKUP($E735,Setup!$A$76:$C$87,3,FALSE)),Setup!$B$15),2))</f>
        <v/>
      </c>
      <c r="P735" s="92" t="n"/>
      <c r="Q735" s="92" t="n"/>
      <c r="R735" s="92" t="n"/>
      <c r="S735" s="92" t="n"/>
      <c r="T735" s="92" t="n"/>
      <c r="U735" s="90">
        <f>IF($K735="","",SUM($R735:$T735))</f>
        <v/>
      </c>
      <c r="V735" s="90">
        <f>IF($K735="","",$M735-(N($N735)+N($O735)+IF($P735="",Setup!$B$17,$P735)+N($Q735))-N($U735))</f>
        <v/>
      </c>
      <c r="W735" s="87" t="n"/>
      <c r="X735" s="88" t="n"/>
      <c r="Z735" s="93">
        <f>IF($A735="","",DATE(YEAR($A735),MONTH($A735),1))</f>
        <v/>
      </c>
    </row>
    <row r="736">
      <c r="A736" s="94" t="n"/>
      <c r="B736" s="95" t="n"/>
      <c r="C736" s="95" t="n"/>
      <c r="D736" s="96" t="n"/>
      <c r="E736" s="96" t="n"/>
      <c r="F736" s="96" t="n"/>
      <c r="G736" s="96" t="n"/>
      <c r="H736" s="97" t="n"/>
      <c r="I736" s="90">
        <f>IF($G736="","",IF($F736="",IFERROR(INDEX(Setup!$C$21:$C$60,MATCH("|"&amp;UPPER(TRIM($G736)),Setup!$Q$21:$Q$60,0)),"NO RATE"),IFERROR(INDEX(Setup!$C$21:$C$60,MATCH(UPPER(TRIM($F736))&amp;"|"&amp;UPPER(TRIM($G736)),Setup!$P$21:$P$60,0)),IFERROR(INDEX(Setup!$C$21:$C$60,MATCH(UPPER(TRIM($G736))&amp;"|"&amp;UPPER(TRIM($F736)),Setup!$P$21:$P$60,0)),"NO RATE"))))</f>
        <v/>
      </c>
      <c r="J736" s="98" t="n"/>
      <c r="K736" s="90">
        <f>IF(OR($G736="",$H736="",NOT(ISNUMBER($I736))),"",ROUND($H736*$I736*(1+IF($J736="",Setup!$B$16,$J736)),2))</f>
        <v/>
      </c>
      <c r="L736" s="90">
        <f>IF($K736="","",ROUND($K736*Setup!$B$13,2))</f>
        <v/>
      </c>
      <c r="M736" s="90">
        <f>IF($K736="","",$K736-$L736)</f>
        <v/>
      </c>
      <c r="N736" s="90">
        <f>IF(OR($M736="",$D736=""),"",ROUND($M736*IFERROR(IF(VLOOKUP($D736,Setup!$A$76:$C$87,3,FALSE)="",Setup!$B$14,VLOOKUP($D736,Setup!$A$76:$C$87,3,FALSE)),Setup!$B$14),2))</f>
        <v/>
      </c>
      <c r="O736" s="90">
        <f>IF(OR($M736="",$E736=""),"",ROUND($M736*IFERROR(IF(VLOOKUP($E736,Setup!$A$76:$C$87,3,FALSE)="",Setup!$B$15,VLOOKUP($E736,Setup!$A$76:$C$87,3,FALSE)),Setup!$B$15),2))</f>
        <v/>
      </c>
      <c r="P736" s="99" t="n"/>
      <c r="Q736" s="99" t="n"/>
      <c r="R736" s="99" t="n"/>
      <c r="S736" s="99" t="n"/>
      <c r="T736" s="99" t="n"/>
      <c r="U736" s="90">
        <f>IF($K736="","",SUM($R736:$T736))</f>
        <v/>
      </c>
      <c r="V736" s="90">
        <f>IF($K736="","",$M736-(N($N736)+N($O736)+IF($P736="",Setup!$B$17,$P736)+N($Q736))-N($U736))</f>
        <v/>
      </c>
      <c r="W736" s="95" t="n"/>
      <c r="X736" s="96" t="n"/>
      <c r="Z736" s="93">
        <f>IF($A736="","",DATE(YEAR($A736),MONTH($A736),1))</f>
        <v/>
      </c>
    </row>
    <row r="737">
      <c r="A737" s="86" t="n"/>
      <c r="B737" s="87" t="n"/>
      <c r="C737" s="87" t="n"/>
      <c r="D737" s="88" t="n"/>
      <c r="E737" s="88" t="n"/>
      <c r="F737" s="88" t="n"/>
      <c r="G737" s="88" t="n"/>
      <c r="H737" s="89" t="n"/>
      <c r="I737" s="90">
        <f>IF($G737="","",IF($F737="",IFERROR(INDEX(Setup!$C$21:$C$60,MATCH("|"&amp;UPPER(TRIM($G737)),Setup!$Q$21:$Q$60,0)),"NO RATE"),IFERROR(INDEX(Setup!$C$21:$C$60,MATCH(UPPER(TRIM($F737))&amp;"|"&amp;UPPER(TRIM($G737)),Setup!$P$21:$P$60,0)),IFERROR(INDEX(Setup!$C$21:$C$60,MATCH(UPPER(TRIM($G737))&amp;"|"&amp;UPPER(TRIM($F737)),Setup!$P$21:$P$60,0)),"NO RATE"))))</f>
        <v/>
      </c>
      <c r="J737" s="91" t="n"/>
      <c r="K737" s="90">
        <f>IF(OR($G737="",$H737="",NOT(ISNUMBER($I737))),"",ROUND($H737*$I737*(1+IF($J737="",Setup!$B$16,$J737)),2))</f>
        <v/>
      </c>
      <c r="L737" s="90">
        <f>IF($K737="","",ROUND($K737*Setup!$B$13,2))</f>
        <v/>
      </c>
      <c r="M737" s="90">
        <f>IF($K737="","",$K737-$L737)</f>
        <v/>
      </c>
      <c r="N737" s="90">
        <f>IF(OR($M737="",$D737=""),"",ROUND($M737*IFERROR(IF(VLOOKUP($D737,Setup!$A$76:$C$87,3,FALSE)="",Setup!$B$14,VLOOKUP($D737,Setup!$A$76:$C$87,3,FALSE)),Setup!$B$14),2))</f>
        <v/>
      </c>
      <c r="O737" s="90">
        <f>IF(OR($M737="",$E737=""),"",ROUND($M737*IFERROR(IF(VLOOKUP($E737,Setup!$A$76:$C$87,3,FALSE)="",Setup!$B$15,VLOOKUP($E737,Setup!$A$76:$C$87,3,FALSE)),Setup!$B$15),2))</f>
        <v/>
      </c>
      <c r="P737" s="92" t="n"/>
      <c r="Q737" s="92" t="n"/>
      <c r="R737" s="92" t="n"/>
      <c r="S737" s="92" t="n"/>
      <c r="T737" s="92" t="n"/>
      <c r="U737" s="90">
        <f>IF($K737="","",SUM($R737:$T737))</f>
        <v/>
      </c>
      <c r="V737" s="90">
        <f>IF($K737="","",$M737-(N($N737)+N($O737)+IF($P737="",Setup!$B$17,$P737)+N($Q737))-N($U737))</f>
        <v/>
      </c>
      <c r="W737" s="87" t="n"/>
      <c r="X737" s="88" t="n"/>
      <c r="Z737" s="93">
        <f>IF($A737="","",DATE(YEAR($A737),MONTH($A737),1))</f>
        <v/>
      </c>
    </row>
    <row r="738">
      <c r="A738" s="94" t="n"/>
      <c r="B738" s="95" t="n"/>
      <c r="C738" s="95" t="n"/>
      <c r="D738" s="96" t="n"/>
      <c r="E738" s="96" t="n"/>
      <c r="F738" s="96" t="n"/>
      <c r="G738" s="96" t="n"/>
      <c r="H738" s="97" t="n"/>
      <c r="I738" s="90">
        <f>IF($G738="","",IF($F738="",IFERROR(INDEX(Setup!$C$21:$C$60,MATCH("|"&amp;UPPER(TRIM($G738)),Setup!$Q$21:$Q$60,0)),"NO RATE"),IFERROR(INDEX(Setup!$C$21:$C$60,MATCH(UPPER(TRIM($F738))&amp;"|"&amp;UPPER(TRIM($G738)),Setup!$P$21:$P$60,0)),IFERROR(INDEX(Setup!$C$21:$C$60,MATCH(UPPER(TRIM($G738))&amp;"|"&amp;UPPER(TRIM($F738)),Setup!$P$21:$P$60,0)),"NO RATE"))))</f>
        <v/>
      </c>
      <c r="J738" s="98" t="n"/>
      <c r="K738" s="90">
        <f>IF(OR($G738="",$H738="",NOT(ISNUMBER($I738))),"",ROUND($H738*$I738*(1+IF($J738="",Setup!$B$16,$J738)),2))</f>
        <v/>
      </c>
      <c r="L738" s="90">
        <f>IF($K738="","",ROUND($K738*Setup!$B$13,2))</f>
        <v/>
      </c>
      <c r="M738" s="90">
        <f>IF($K738="","",$K738-$L738)</f>
        <v/>
      </c>
      <c r="N738" s="90">
        <f>IF(OR($M738="",$D738=""),"",ROUND($M738*IFERROR(IF(VLOOKUP($D738,Setup!$A$76:$C$87,3,FALSE)="",Setup!$B$14,VLOOKUP($D738,Setup!$A$76:$C$87,3,FALSE)),Setup!$B$14),2))</f>
        <v/>
      </c>
      <c r="O738" s="90">
        <f>IF(OR($M738="",$E738=""),"",ROUND($M738*IFERROR(IF(VLOOKUP($E738,Setup!$A$76:$C$87,3,FALSE)="",Setup!$B$15,VLOOKUP($E738,Setup!$A$76:$C$87,3,FALSE)),Setup!$B$15),2))</f>
        <v/>
      </c>
      <c r="P738" s="99" t="n"/>
      <c r="Q738" s="99" t="n"/>
      <c r="R738" s="99" t="n"/>
      <c r="S738" s="99" t="n"/>
      <c r="T738" s="99" t="n"/>
      <c r="U738" s="90">
        <f>IF($K738="","",SUM($R738:$T738))</f>
        <v/>
      </c>
      <c r="V738" s="90">
        <f>IF($K738="","",$M738-(N($N738)+N($O738)+IF($P738="",Setup!$B$17,$P738)+N($Q738))-N($U738))</f>
        <v/>
      </c>
      <c r="W738" s="95" t="n"/>
      <c r="X738" s="96" t="n"/>
      <c r="Z738" s="93">
        <f>IF($A738="","",DATE(YEAR($A738),MONTH($A738),1))</f>
        <v/>
      </c>
    </row>
    <row r="739">
      <c r="A739" s="86" t="n"/>
      <c r="B739" s="87" t="n"/>
      <c r="C739" s="87" t="n"/>
      <c r="D739" s="88" t="n"/>
      <c r="E739" s="88" t="n"/>
      <c r="F739" s="88" t="n"/>
      <c r="G739" s="88" t="n"/>
      <c r="H739" s="89" t="n"/>
      <c r="I739" s="90">
        <f>IF($G739="","",IF($F739="",IFERROR(INDEX(Setup!$C$21:$C$60,MATCH("|"&amp;UPPER(TRIM($G739)),Setup!$Q$21:$Q$60,0)),"NO RATE"),IFERROR(INDEX(Setup!$C$21:$C$60,MATCH(UPPER(TRIM($F739))&amp;"|"&amp;UPPER(TRIM($G739)),Setup!$P$21:$P$60,0)),IFERROR(INDEX(Setup!$C$21:$C$60,MATCH(UPPER(TRIM($G739))&amp;"|"&amp;UPPER(TRIM($F739)),Setup!$P$21:$P$60,0)),"NO RATE"))))</f>
        <v/>
      </c>
      <c r="J739" s="91" t="n"/>
      <c r="K739" s="90">
        <f>IF(OR($G739="",$H739="",NOT(ISNUMBER($I739))),"",ROUND($H739*$I739*(1+IF($J739="",Setup!$B$16,$J739)),2))</f>
        <v/>
      </c>
      <c r="L739" s="90">
        <f>IF($K739="","",ROUND($K739*Setup!$B$13,2))</f>
        <v/>
      </c>
      <c r="M739" s="90">
        <f>IF($K739="","",$K739-$L739)</f>
        <v/>
      </c>
      <c r="N739" s="90">
        <f>IF(OR($M739="",$D739=""),"",ROUND($M739*IFERROR(IF(VLOOKUP($D739,Setup!$A$76:$C$87,3,FALSE)="",Setup!$B$14,VLOOKUP($D739,Setup!$A$76:$C$87,3,FALSE)),Setup!$B$14),2))</f>
        <v/>
      </c>
      <c r="O739" s="90">
        <f>IF(OR($M739="",$E739=""),"",ROUND($M739*IFERROR(IF(VLOOKUP($E739,Setup!$A$76:$C$87,3,FALSE)="",Setup!$B$15,VLOOKUP($E739,Setup!$A$76:$C$87,3,FALSE)),Setup!$B$15),2))</f>
        <v/>
      </c>
      <c r="P739" s="92" t="n"/>
      <c r="Q739" s="92" t="n"/>
      <c r="R739" s="92" t="n"/>
      <c r="S739" s="92" t="n"/>
      <c r="T739" s="92" t="n"/>
      <c r="U739" s="90">
        <f>IF($K739="","",SUM($R739:$T739))</f>
        <v/>
      </c>
      <c r="V739" s="90">
        <f>IF($K739="","",$M739-(N($N739)+N($O739)+IF($P739="",Setup!$B$17,$P739)+N($Q739))-N($U739))</f>
        <v/>
      </c>
      <c r="W739" s="87" t="n"/>
      <c r="X739" s="88" t="n"/>
      <c r="Z739" s="93">
        <f>IF($A739="","",DATE(YEAR($A739),MONTH($A739),1))</f>
        <v/>
      </c>
    </row>
    <row r="740">
      <c r="A740" s="94" t="n"/>
      <c r="B740" s="95" t="n"/>
      <c r="C740" s="95" t="n"/>
      <c r="D740" s="96" t="n"/>
      <c r="E740" s="96" t="n"/>
      <c r="F740" s="96" t="n"/>
      <c r="G740" s="96" t="n"/>
      <c r="H740" s="97" t="n"/>
      <c r="I740" s="90">
        <f>IF($G740="","",IF($F740="",IFERROR(INDEX(Setup!$C$21:$C$60,MATCH("|"&amp;UPPER(TRIM($G740)),Setup!$Q$21:$Q$60,0)),"NO RATE"),IFERROR(INDEX(Setup!$C$21:$C$60,MATCH(UPPER(TRIM($F740))&amp;"|"&amp;UPPER(TRIM($G740)),Setup!$P$21:$P$60,0)),IFERROR(INDEX(Setup!$C$21:$C$60,MATCH(UPPER(TRIM($G740))&amp;"|"&amp;UPPER(TRIM($F740)),Setup!$P$21:$P$60,0)),"NO RATE"))))</f>
        <v/>
      </c>
      <c r="J740" s="98" t="n"/>
      <c r="K740" s="90">
        <f>IF(OR($G740="",$H740="",NOT(ISNUMBER($I740))),"",ROUND($H740*$I740*(1+IF($J740="",Setup!$B$16,$J740)),2))</f>
        <v/>
      </c>
      <c r="L740" s="90">
        <f>IF($K740="","",ROUND($K740*Setup!$B$13,2))</f>
        <v/>
      </c>
      <c r="M740" s="90">
        <f>IF($K740="","",$K740-$L740)</f>
        <v/>
      </c>
      <c r="N740" s="90">
        <f>IF(OR($M740="",$D740=""),"",ROUND($M740*IFERROR(IF(VLOOKUP($D740,Setup!$A$76:$C$87,3,FALSE)="",Setup!$B$14,VLOOKUP($D740,Setup!$A$76:$C$87,3,FALSE)),Setup!$B$14),2))</f>
        <v/>
      </c>
      <c r="O740" s="90">
        <f>IF(OR($M740="",$E740=""),"",ROUND($M740*IFERROR(IF(VLOOKUP($E740,Setup!$A$76:$C$87,3,FALSE)="",Setup!$B$15,VLOOKUP($E740,Setup!$A$76:$C$87,3,FALSE)),Setup!$B$15),2))</f>
        <v/>
      </c>
      <c r="P740" s="99" t="n"/>
      <c r="Q740" s="99" t="n"/>
      <c r="R740" s="99" t="n"/>
      <c r="S740" s="99" t="n"/>
      <c r="T740" s="99" t="n"/>
      <c r="U740" s="90">
        <f>IF($K740="","",SUM($R740:$T740))</f>
        <v/>
      </c>
      <c r="V740" s="90">
        <f>IF($K740="","",$M740-(N($N740)+N($O740)+IF($P740="",Setup!$B$17,$P740)+N($Q740))-N($U740))</f>
        <v/>
      </c>
      <c r="W740" s="95" t="n"/>
      <c r="X740" s="96" t="n"/>
      <c r="Z740" s="93">
        <f>IF($A740="","",DATE(YEAR($A740),MONTH($A740),1))</f>
        <v/>
      </c>
    </row>
    <row r="741">
      <c r="A741" s="86" t="n"/>
      <c r="B741" s="87" t="n"/>
      <c r="C741" s="87" t="n"/>
      <c r="D741" s="88" t="n"/>
      <c r="E741" s="88" t="n"/>
      <c r="F741" s="88" t="n"/>
      <c r="G741" s="88" t="n"/>
      <c r="H741" s="89" t="n"/>
      <c r="I741" s="90">
        <f>IF($G741="","",IF($F741="",IFERROR(INDEX(Setup!$C$21:$C$60,MATCH("|"&amp;UPPER(TRIM($G741)),Setup!$Q$21:$Q$60,0)),"NO RATE"),IFERROR(INDEX(Setup!$C$21:$C$60,MATCH(UPPER(TRIM($F741))&amp;"|"&amp;UPPER(TRIM($G741)),Setup!$P$21:$P$60,0)),IFERROR(INDEX(Setup!$C$21:$C$60,MATCH(UPPER(TRIM($G741))&amp;"|"&amp;UPPER(TRIM($F741)),Setup!$P$21:$P$60,0)),"NO RATE"))))</f>
        <v/>
      </c>
      <c r="J741" s="91" t="n"/>
      <c r="K741" s="90">
        <f>IF(OR($G741="",$H741="",NOT(ISNUMBER($I741))),"",ROUND($H741*$I741*(1+IF($J741="",Setup!$B$16,$J741)),2))</f>
        <v/>
      </c>
      <c r="L741" s="90">
        <f>IF($K741="","",ROUND($K741*Setup!$B$13,2))</f>
        <v/>
      </c>
      <c r="M741" s="90">
        <f>IF($K741="","",$K741-$L741)</f>
        <v/>
      </c>
      <c r="N741" s="90">
        <f>IF(OR($M741="",$D741=""),"",ROUND($M741*IFERROR(IF(VLOOKUP($D741,Setup!$A$76:$C$87,3,FALSE)="",Setup!$B$14,VLOOKUP($D741,Setup!$A$76:$C$87,3,FALSE)),Setup!$B$14),2))</f>
        <v/>
      </c>
      <c r="O741" s="90">
        <f>IF(OR($M741="",$E741=""),"",ROUND($M741*IFERROR(IF(VLOOKUP($E741,Setup!$A$76:$C$87,3,FALSE)="",Setup!$B$15,VLOOKUP($E741,Setup!$A$76:$C$87,3,FALSE)),Setup!$B$15),2))</f>
        <v/>
      </c>
      <c r="P741" s="92" t="n"/>
      <c r="Q741" s="92" t="n"/>
      <c r="R741" s="92" t="n"/>
      <c r="S741" s="92" t="n"/>
      <c r="T741" s="92" t="n"/>
      <c r="U741" s="90">
        <f>IF($K741="","",SUM($R741:$T741))</f>
        <v/>
      </c>
      <c r="V741" s="90">
        <f>IF($K741="","",$M741-(N($N741)+N($O741)+IF($P741="",Setup!$B$17,$P741)+N($Q741))-N($U741))</f>
        <v/>
      </c>
      <c r="W741" s="87" t="n"/>
      <c r="X741" s="88" t="n"/>
      <c r="Z741" s="93">
        <f>IF($A741="","",DATE(YEAR($A741),MONTH($A741),1))</f>
        <v/>
      </c>
    </row>
    <row r="742">
      <c r="A742" s="94" t="n"/>
      <c r="B742" s="95" t="n"/>
      <c r="C742" s="95" t="n"/>
      <c r="D742" s="96" t="n"/>
      <c r="E742" s="96" t="n"/>
      <c r="F742" s="96" t="n"/>
      <c r="G742" s="96" t="n"/>
      <c r="H742" s="97" t="n"/>
      <c r="I742" s="90">
        <f>IF($G742="","",IF($F742="",IFERROR(INDEX(Setup!$C$21:$C$60,MATCH("|"&amp;UPPER(TRIM($G742)),Setup!$Q$21:$Q$60,0)),"NO RATE"),IFERROR(INDEX(Setup!$C$21:$C$60,MATCH(UPPER(TRIM($F742))&amp;"|"&amp;UPPER(TRIM($G742)),Setup!$P$21:$P$60,0)),IFERROR(INDEX(Setup!$C$21:$C$60,MATCH(UPPER(TRIM($G742))&amp;"|"&amp;UPPER(TRIM($F742)),Setup!$P$21:$P$60,0)),"NO RATE"))))</f>
        <v/>
      </c>
      <c r="J742" s="98" t="n"/>
      <c r="K742" s="90">
        <f>IF(OR($G742="",$H742="",NOT(ISNUMBER($I742))),"",ROUND($H742*$I742*(1+IF($J742="",Setup!$B$16,$J742)),2))</f>
        <v/>
      </c>
      <c r="L742" s="90">
        <f>IF($K742="","",ROUND($K742*Setup!$B$13,2))</f>
        <v/>
      </c>
      <c r="M742" s="90">
        <f>IF($K742="","",$K742-$L742)</f>
        <v/>
      </c>
      <c r="N742" s="90">
        <f>IF(OR($M742="",$D742=""),"",ROUND($M742*IFERROR(IF(VLOOKUP($D742,Setup!$A$76:$C$87,3,FALSE)="",Setup!$B$14,VLOOKUP($D742,Setup!$A$76:$C$87,3,FALSE)),Setup!$B$14),2))</f>
        <v/>
      </c>
      <c r="O742" s="90">
        <f>IF(OR($M742="",$E742=""),"",ROUND($M742*IFERROR(IF(VLOOKUP($E742,Setup!$A$76:$C$87,3,FALSE)="",Setup!$B$15,VLOOKUP($E742,Setup!$A$76:$C$87,3,FALSE)),Setup!$B$15),2))</f>
        <v/>
      </c>
      <c r="P742" s="99" t="n"/>
      <c r="Q742" s="99" t="n"/>
      <c r="R742" s="99" t="n"/>
      <c r="S742" s="99" t="n"/>
      <c r="T742" s="99" t="n"/>
      <c r="U742" s="90">
        <f>IF($K742="","",SUM($R742:$T742))</f>
        <v/>
      </c>
      <c r="V742" s="90">
        <f>IF($K742="","",$M742-(N($N742)+N($O742)+IF($P742="",Setup!$B$17,$P742)+N($Q742))-N($U742))</f>
        <v/>
      </c>
      <c r="W742" s="95" t="n"/>
      <c r="X742" s="96" t="n"/>
      <c r="Z742" s="93">
        <f>IF($A742="","",DATE(YEAR($A742),MONTH($A742),1))</f>
        <v/>
      </c>
    </row>
    <row r="743">
      <c r="A743" s="86" t="n"/>
      <c r="B743" s="87" t="n"/>
      <c r="C743" s="87" t="n"/>
      <c r="D743" s="88" t="n"/>
      <c r="E743" s="88" t="n"/>
      <c r="F743" s="88" t="n"/>
      <c r="G743" s="88" t="n"/>
      <c r="H743" s="89" t="n"/>
      <c r="I743" s="90">
        <f>IF($G743="","",IF($F743="",IFERROR(INDEX(Setup!$C$21:$C$60,MATCH("|"&amp;UPPER(TRIM($G743)),Setup!$Q$21:$Q$60,0)),"NO RATE"),IFERROR(INDEX(Setup!$C$21:$C$60,MATCH(UPPER(TRIM($F743))&amp;"|"&amp;UPPER(TRIM($G743)),Setup!$P$21:$P$60,0)),IFERROR(INDEX(Setup!$C$21:$C$60,MATCH(UPPER(TRIM($G743))&amp;"|"&amp;UPPER(TRIM($F743)),Setup!$P$21:$P$60,0)),"NO RATE"))))</f>
        <v/>
      </c>
      <c r="J743" s="91" t="n"/>
      <c r="K743" s="90">
        <f>IF(OR($G743="",$H743="",NOT(ISNUMBER($I743))),"",ROUND($H743*$I743*(1+IF($J743="",Setup!$B$16,$J743)),2))</f>
        <v/>
      </c>
      <c r="L743" s="90">
        <f>IF($K743="","",ROUND($K743*Setup!$B$13,2))</f>
        <v/>
      </c>
      <c r="M743" s="90">
        <f>IF($K743="","",$K743-$L743)</f>
        <v/>
      </c>
      <c r="N743" s="90">
        <f>IF(OR($M743="",$D743=""),"",ROUND($M743*IFERROR(IF(VLOOKUP($D743,Setup!$A$76:$C$87,3,FALSE)="",Setup!$B$14,VLOOKUP($D743,Setup!$A$76:$C$87,3,FALSE)),Setup!$B$14),2))</f>
        <v/>
      </c>
      <c r="O743" s="90">
        <f>IF(OR($M743="",$E743=""),"",ROUND($M743*IFERROR(IF(VLOOKUP($E743,Setup!$A$76:$C$87,3,FALSE)="",Setup!$B$15,VLOOKUP($E743,Setup!$A$76:$C$87,3,FALSE)),Setup!$B$15),2))</f>
        <v/>
      </c>
      <c r="P743" s="92" t="n"/>
      <c r="Q743" s="92" t="n"/>
      <c r="R743" s="92" t="n"/>
      <c r="S743" s="92" t="n"/>
      <c r="T743" s="92" t="n"/>
      <c r="U743" s="90">
        <f>IF($K743="","",SUM($R743:$T743))</f>
        <v/>
      </c>
      <c r="V743" s="90">
        <f>IF($K743="","",$M743-(N($N743)+N($O743)+IF($P743="",Setup!$B$17,$P743)+N($Q743))-N($U743))</f>
        <v/>
      </c>
      <c r="W743" s="87" t="n"/>
      <c r="X743" s="88" t="n"/>
      <c r="Z743" s="93">
        <f>IF($A743="","",DATE(YEAR($A743),MONTH($A743),1))</f>
        <v/>
      </c>
    </row>
    <row r="744">
      <c r="A744" s="94" t="n"/>
      <c r="B744" s="95" t="n"/>
      <c r="C744" s="95" t="n"/>
      <c r="D744" s="96" t="n"/>
      <c r="E744" s="96" t="n"/>
      <c r="F744" s="96" t="n"/>
      <c r="G744" s="96" t="n"/>
      <c r="H744" s="97" t="n"/>
      <c r="I744" s="90">
        <f>IF($G744="","",IF($F744="",IFERROR(INDEX(Setup!$C$21:$C$60,MATCH("|"&amp;UPPER(TRIM($G744)),Setup!$Q$21:$Q$60,0)),"NO RATE"),IFERROR(INDEX(Setup!$C$21:$C$60,MATCH(UPPER(TRIM($F744))&amp;"|"&amp;UPPER(TRIM($G744)),Setup!$P$21:$P$60,0)),IFERROR(INDEX(Setup!$C$21:$C$60,MATCH(UPPER(TRIM($G744))&amp;"|"&amp;UPPER(TRIM($F744)),Setup!$P$21:$P$60,0)),"NO RATE"))))</f>
        <v/>
      </c>
      <c r="J744" s="98" t="n"/>
      <c r="K744" s="90">
        <f>IF(OR($G744="",$H744="",NOT(ISNUMBER($I744))),"",ROUND($H744*$I744*(1+IF($J744="",Setup!$B$16,$J744)),2))</f>
        <v/>
      </c>
      <c r="L744" s="90">
        <f>IF($K744="","",ROUND($K744*Setup!$B$13,2))</f>
        <v/>
      </c>
      <c r="M744" s="90">
        <f>IF($K744="","",$K744-$L744)</f>
        <v/>
      </c>
      <c r="N744" s="90">
        <f>IF(OR($M744="",$D744=""),"",ROUND($M744*IFERROR(IF(VLOOKUP($D744,Setup!$A$76:$C$87,3,FALSE)="",Setup!$B$14,VLOOKUP($D744,Setup!$A$76:$C$87,3,FALSE)),Setup!$B$14),2))</f>
        <v/>
      </c>
      <c r="O744" s="90">
        <f>IF(OR($M744="",$E744=""),"",ROUND($M744*IFERROR(IF(VLOOKUP($E744,Setup!$A$76:$C$87,3,FALSE)="",Setup!$B$15,VLOOKUP($E744,Setup!$A$76:$C$87,3,FALSE)),Setup!$B$15),2))</f>
        <v/>
      </c>
      <c r="P744" s="99" t="n"/>
      <c r="Q744" s="99" t="n"/>
      <c r="R744" s="99" t="n"/>
      <c r="S744" s="99" t="n"/>
      <c r="T744" s="99" t="n"/>
      <c r="U744" s="90">
        <f>IF($K744="","",SUM($R744:$T744))</f>
        <v/>
      </c>
      <c r="V744" s="90">
        <f>IF($K744="","",$M744-(N($N744)+N($O744)+IF($P744="",Setup!$B$17,$P744)+N($Q744))-N($U744))</f>
        <v/>
      </c>
      <c r="W744" s="95" t="n"/>
      <c r="X744" s="96" t="n"/>
      <c r="Z744" s="93">
        <f>IF($A744="","",DATE(YEAR($A744),MONTH($A744),1))</f>
        <v/>
      </c>
    </row>
    <row r="745">
      <c r="A745" s="86" t="n"/>
      <c r="B745" s="87" t="n"/>
      <c r="C745" s="87" t="n"/>
      <c r="D745" s="88" t="n"/>
      <c r="E745" s="88" t="n"/>
      <c r="F745" s="88" t="n"/>
      <c r="G745" s="88" t="n"/>
      <c r="H745" s="89" t="n"/>
      <c r="I745" s="90">
        <f>IF($G745="","",IF($F745="",IFERROR(INDEX(Setup!$C$21:$C$60,MATCH("|"&amp;UPPER(TRIM($G745)),Setup!$Q$21:$Q$60,0)),"NO RATE"),IFERROR(INDEX(Setup!$C$21:$C$60,MATCH(UPPER(TRIM($F745))&amp;"|"&amp;UPPER(TRIM($G745)),Setup!$P$21:$P$60,0)),IFERROR(INDEX(Setup!$C$21:$C$60,MATCH(UPPER(TRIM($G745))&amp;"|"&amp;UPPER(TRIM($F745)),Setup!$P$21:$P$60,0)),"NO RATE"))))</f>
        <v/>
      </c>
      <c r="J745" s="91" t="n"/>
      <c r="K745" s="90">
        <f>IF(OR($G745="",$H745="",NOT(ISNUMBER($I745))),"",ROUND($H745*$I745*(1+IF($J745="",Setup!$B$16,$J745)),2))</f>
        <v/>
      </c>
      <c r="L745" s="90">
        <f>IF($K745="","",ROUND($K745*Setup!$B$13,2))</f>
        <v/>
      </c>
      <c r="M745" s="90">
        <f>IF($K745="","",$K745-$L745)</f>
        <v/>
      </c>
      <c r="N745" s="90">
        <f>IF(OR($M745="",$D745=""),"",ROUND($M745*IFERROR(IF(VLOOKUP($D745,Setup!$A$76:$C$87,3,FALSE)="",Setup!$B$14,VLOOKUP($D745,Setup!$A$76:$C$87,3,FALSE)),Setup!$B$14),2))</f>
        <v/>
      </c>
      <c r="O745" s="90">
        <f>IF(OR($M745="",$E745=""),"",ROUND($M745*IFERROR(IF(VLOOKUP($E745,Setup!$A$76:$C$87,3,FALSE)="",Setup!$B$15,VLOOKUP($E745,Setup!$A$76:$C$87,3,FALSE)),Setup!$B$15),2))</f>
        <v/>
      </c>
      <c r="P745" s="92" t="n"/>
      <c r="Q745" s="92" t="n"/>
      <c r="R745" s="92" t="n"/>
      <c r="S745" s="92" t="n"/>
      <c r="T745" s="92" t="n"/>
      <c r="U745" s="90">
        <f>IF($K745="","",SUM($R745:$T745))</f>
        <v/>
      </c>
      <c r="V745" s="90">
        <f>IF($K745="","",$M745-(N($N745)+N($O745)+IF($P745="",Setup!$B$17,$P745)+N($Q745))-N($U745))</f>
        <v/>
      </c>
      <c r="W745" s="87" t="n"/>
      <c r="X745" s="88" t="n"/>
      <c r="Z745" s="93">
        <f>IF($A745="","",DATE(YEAR($A745),MONTH($A745),1))</f>
        <v/>
      </c>
    </row>
    <row r="746">
      <c r="A746" s="94" t="n"/>
      <c r="B746" s="95" t="n"/>
      <c r="C746" s="95" t="n"/>
      <c r="D746" s="96" t="n"/>
      <c r="E746" s="96" t="n"/>
      <c r="F746" s="96" t="n"/>
      <c r="G746" s="96" t="n"/>
      <c r="H746" s="97" t="n"/>
      <c r="I746" s="90">
        <f>IF($G746="","",IF($F746="",IFERROR(INDEX(Setup!$C$21:$C$60,MATCH("|"&amp;UPPER(TRIM($G746)),Setup!$Q$21:$Q$60,0)),"NO RATE"),IFERROR(INDEX(Setup!$C$21:$C$60,MATCH(UPPER(TRIM($F746))&amp;"|"&amp;UPPER(TRIM($G746)),Setup!$P$21:$P$60,0)),IFERROR(INDEX(Setup!$C$21:$C$60,MATCH(UPPER(TRIM($G746))&amp;"|"&amp;UPPER(TRIM($F746)),Setup!$P$21:$P$60,0)),"NO RATE"))))</f>
        <v/>
      </c>
      <c r="J746" s="98" t="n"/>
      <c r="K746" s="90">
        <f>IF(OR($G746="",$H746="",NOT(ISNUMBER($I746))),"",ROUND($H746*$I746*(1+IF($J746="",Setup!$B$16,$J746)),2))</f>
        <v/>
      </c>
      <c r="L746" s="90">
        <f>IF($K746="","",ROUND($K746*Setup!$B$13,2))</f>
        <v/>
      </c>
      <c r="M746" s="90">
        <f>IF($K746="","",$K746-$L746)</f>
        <v/>
      </c>
      <c r="N746" s="90">
        <f>IF(OR($M746="",$D746=""),"",ROUND($M746*IFERROR(IF(VLOOKUP($D746,Setup!$A$76:$C$87,3,FALSE)="",Setup!$B$14,VLOOKUP($D746,Setup!$A$76:$C$87,3,FALSE)),Setup!$B$14),2))</f>
        <v/>
      </c>
      <c r="O746" s="90">
        <f>IF(OR($M746="",$E746=""),"",ROUND($M746*IFERROR(IF(VLOOKUP($E746,Setup!$A$76:$C$87,3,FALSE)="",Setup!$B$15,VLOOKUP($E746,Setup!$A$76:$C$87,3,FALSE)),Setup!$B$15),2))</f>
        <v/>
      </c>
      <c r="P746" s="99" t="n"/>
      <c r="Q746" s="99" t="n"/>
      <c r="R746" s="99" t="n"/>
      <c r="S746" s="99" t="n"/>
      <c r="T746" s="99" t="n"/>
      <c r="U746" s="90">
        <f>IF($K746="","",SUM($R746:$T746))</f>
        <v/>
      </c>
      <c r="V746" s="90">
        <f>IF($K746="","",$M746-(N($N746)+N($O746)+IF($P746="",Setup!$B$17,$P746)+N($Q746))-N($U746))</f>
        <v/>
      </c>
      <c r="W746" s="95" t="n"/>
      <c r="X746" s="96" t="n"/>
      <c r="Z746" s="93">
        <f>IF($A746="","",DATE(YEAR($A746),MONTH($A746),1))</f>
        <v/>
      </c>
    </row>
    <row r="747">
      <c r="A747" s="86" t="n"/>
      <c r="B747" s="87" t="n"/>
      <c r="C747" s="87" t="n"/>
      <c r="D747" s="88" t="n"/>
      <c r="E747" s="88" t="n"/>
      <c r="F747" s="88" t="n"/>
      <c r="G747" s="88" t="n"/>
      <c r="H747" s="89" t="n"/>
      <c r="I747" s="90">
        <f>IF($G747="","",IF($F747="",IFERROR(INDEX(Setup!$C$21:$C$60,MATCH("|"&amp;UPPER(TRIM($G747)),Setup!$Q$21:$Q$60,0)),"NO RATE"),IFERROR(INDEX(Setup!$C$21:$C$60,MATCH(UPPER(TRIM($F747))&amp;"|"&amp;UPPER(TRIM($G747)),Setup!$P$21:$P$60,0)),IFERROR(INDEX(Setup!$C$21:$C$60,MATCH(UPPER(TRIM($G747))&amp;"|"&amp;UPPER(TRIM($F747)),Setup!$P$21:$P$60,0)),"NO RATE"))))</f>
        <v/>
      </c>
      <c r="J747" s="91" t="n"/>
      <c r="K747" s="90">
        <f>IF(OR($G747="",$H747="",NOT(ISNUMBER($I747))),"",ROUND($H747*$I747*(1+IF($J747="",Setup!$B$16,$J747)),2))</f>
        <v/>
      </c>
      <c r="L747" s="90">
        <f>IF($K747="","",ROUND($K747*Setup!$B$13,2))</f>
        <v/>
      </c>
      <c r="M747" s="90">
        <f>IF($K747="","",$K747-$L747)</f>
        <v/>
      </c>
      <c r="N747" s="90">
        <f>IF(OR($M747="",$D747=""),"",ROUND($M747*IFERROR(IF(VLOOKUP($D747,Setup!$A$76:$C$87,3,FALSE)="",Setup!$B$14,VLOOKUP($D747,Setup!$A$76:$C$87,3,FALSE)),Setup!$B$14),2))</f>
        <v/>
      </c>
      <c r="O747" s="90">
        <f>IF(OR($M747="",$E747=""),"",ROUND($M747*IFERROR(IF(VLOOKUP($E747,Setup!$A$76:$C$87,3,FALSE)="",Setup!$B$15,VLOOKUP($E747,Setup!$A$76:$C$87,3,FALSE)),Setup!$B$15),2))</f>
        <v/>
      </c>
      <c r="P747" s="92" t="n"/>
      <c r="Q747" s="92" t="n"/>
      <c r="R747" s="92" t="n"/>
      <c r="S747" s="92" t="n"/>
      <c r="T747" s="92" t="n"/>
      <c r="U747" s="90">
        <f>IF($K747="","",SUM($R747:$T747))</f>
        <v/>
      </c>
      <c r="V747" s="90">
        <f>IF($K747="","",$M747-(N($N747)+N($O747)+IF($P747="",Setup!$B$17,$P747)+N($Q747))-N($U747))</f>
        <v/>
      </c>
      <c r="W747" s="87" t="n"/>
      <c r="X747" s="88" t="n"/>
      <c r="Z747" s="93">
        <f>IF($A747="","",DATE(YEAR($A747),MONTH($A747),1))</f>
        <v/>
      </c>
    </row>
    <row r="748">
      <c r="A748" s="94" t="n"/>
      <c r="B748" s="95" t="n"/>
      <c r="C748" s="95" t="n"/>
      <c r="D748" s="96" t="n"/>
      <c r="E748" s="96" t="n"/>
      <c r="F748" s="96" t="n"/>
      <c r="G748" s="96" t="n"/>
      <c r="H748" s="97" t="n"/>
      <c r="I748" s="90">
        <f>IF($G748="","",IF($F748="",IFERROR(INDEX(Setup!$C$21:$C$60,MATCH("|"&amp;UPPER(TRIM($G748)),Setup!$Q$21:$Q$60,0)),"NO RATE"),IFERROR(INDEX(Setup!$C$21:$C$60,MATCH(UPPER(TRIM($F748))&amp;"|"&amp;UPPER(TRIM($G748)),Setup!$P$21:$P$60,0)),IFERROR(INDEX(Setup!$C$21:$C$60,MATCH(UPPER(TRIM($G748))&amp;"|"&amp;UPPER(TRIM($F748)),Setup!$P$21:$P$60,0)),"NO RATE"))))</f>
        <v/>
      </c>
      <c r="J748" s="98" t="n"/>
      <c r="K748" s="90">
        <f>IF(OR($G748="",$H748="",NOT(ISNUMBER($I748))),"",ROUND($H748*$I748*(1+IF($J748="",Setup!$B$16,$J748)),2))</f>
        <v/>
      </c>
      <c r="L748" s="90">
        <f>IF($K748="","",ROUND($K748*Setup!$B$13,2))</f>
        <v/>
      </c>
      <c r="M748" s="90">
        <f>IF($K748="","",$K748-$L748)</f>
        <v/>
      </c>
      <c r="N748" s="90">
        <f>IF(OR($M748="",$D748=""),"",ROUND($M748*IFERROR(IF(VLOOKUP($D748,Setup!$A$76:$C$87,3,FALSE)="",Setup!$B$14,VLOOKUP($D748,Setup!$A$76:$C$87,3,FALSE)),Setup!$B$14),2))</f>
        <v/>
      </c>
      <c r="O748" s="90">
        <f>IF(OR($M748="",$E748=""),"",ROUND($M748*IFERROR(IF(VLOOKUP($E748,Setup!$A$76:$C$87,3,FALSE)="",Setup!$B$15,VLOOKUP($E748,Setup!$A$76:$C$87,3,FALSE)),Setup!$B$15),2))</f>
        <v/>
      </c>
      <c r="P748" s="99" t="n"/>
      <c r="Q748" s="99" t="n"/>
      <c r="R748" s="99" t="n"/>
      <c r="S748" s="99" t="n"/>
      <c r="T748" s="99" t="n"/>
      <c r="U748" s="90">
        <f>IF($K748="","",SUM($R748:$T748))</f>
        <v/>
      </c>
      <c r="V748" s="90">
        <f>IF($K748="","",$M748-(N($N748)+N($O748)+IF($P748="",Setup!$B$17,$P748)+N($Q748))-N($U748))</f>
        <v/>
      </c>
      <c r="W748" s="95" t="n"/>
      <c r="X748" s="96" t="n"/>
      <c r="Z748" s="93">
        <f>IF($A748="","",DATE(YEAR($A748),MONTH($A748),1))</f>
        <v/>
      </c>
    </row>
    <row r="749">
      <c r="A749" s="86" t="n"/>
      <c r="B749" s="87" t="n"/>
      <c r="C749" s="87" t="n"/>
      <c r="D749" s="88" t="n"/>
      <c r="E749" s="88" t="n"/>
      <c r="F749" s="88" t="n"/>
      <c r="G749" s="88" t="n"/>
      <c r="H749" s="89" t="n"/>
      <c r="I749" s="90">
        <f>IF($G749="","",IF($F749="",IFERROR(INDEX(Setup!$C$21:$C$60,MATCH("|"&amp;UPPER(TRIM($G749)),Setup!$Q$21:$Q$60,0)),"NO RATE"),IFERROR(INDEX(Setup!$C$21:$C$60,MATCH(UPPER(TRIM($F749))&amp;"|"&amp;UPPER(TRIM($G749)),Setup!$P$21:$P$60,0)),IFERROR(INDEX(Setup!$C$21:$C$60,MATCH(UPPER(TRIM($G749))&amp;"|"&amp;UPPER(TRIM($F749)),Setup!$P$21:$P$60,0)),"NO RATE"))))</f>
        <v/>
      </c>
      <c r="J749" s="91" t="n"/>
      <c r="K749" s="90">
        <f>IF(OR($G749="",$H749="",NOT(ISNUMBER($I749))),"",ROUND($H749*$I749*(1+IF($J749="",Setup!$B$16,$J749)),2))</f>
        <v/>
      </c>
      <c r="L749" s="90">
        <f>IF($K749="","",ROUND($K749*Setup!$B$13,2))</f>
        <v/>
      </c>
      <c r="M749" s="90">
        <f>IF($K749="","",$K749-$L749)</f>
        <v/>
      </c>
      <c r="N749" s="90">
        <f>IF(OR($M749="",$D749=""),"",ROUND($M749*IFERROR(IF(VLOOKUP($D749,Setup!$A$76:$C$87,3,FALSE)="",Setup!$B$14,VLOOKUP($D749,Setup!$A$76:$C$87,3,FALSE)),Setup!$B$14),2))</f>
        <v/>
      </c>
      <c r="O749" s="90">
        <f>IF(OR($M749="",$E749=""),"",ROUND($M749*IFERROR(IF(VLOOKUP($E749,Setup!$A$76:$C$87,3,FALSE)="",Setup!$B$15,VLOOKUP($E749,Setup!$A$76:$C$87,3,FALSE)),Setup!$B$15),2))</f>
        <v/>
      </c>
      <c r="P749" s="92" t="n"/>
      <c r="Q749" s="92" t="n"/>
      <c r="R749" s="92" t="n"/>
      <c r="S749" s="92" t="n"/>
      <c r="T749" s="92" t="n"/>
      <c r="U749" s="90">
        <f>IF($K749="","",SUM($R749:$T749))</f>
        <v/>
      </c>
      <c r="V749" s="90">
        <f>IF($K749="","",$M749-(N($N749)+N($O749)+IF($P749="",Setup!$B$17,$P749)+N($Q749))-N($U749))</f>
        <v/>
      </c>
      <c r="W749" s="87" t="n"/>
      <c r="X749" s="88" t="n"/>
      <c r="Z749" s="93">
        <f>IF($A749="","",DATE(YEAR($A749),MONTH($A749),1))</f>
        <v/>
      </c>
    </row>
    <row r="750">
      <c r="A750" s="94" t="n"/>
      <c r="B750" s="95" t="n"/>
      <c r="C750" s="95" t="n"/>
      <c r="D750" s="96" t="n"/>
      <c r="E750" s="96" t="n"/>
      <c r="F750" s="96" t="n"/>
      <c r="G750" s="96" t="n"/>
      <c r="H750" s="97" t="n"/>
      <c r="I750" s="90">
        <f>IF($G750="","",IF($F750="",IFERROR(INDEX(Setup!$C$21:$C$60,MATCH("|"&amp;UPPER(TRIM($G750)),Setup!$Q$21:$Q$60,0)),"NO RATE"),IFERROR(INDEX(Setup!$C$21:$C$60,MATCH(UPPER(TRIM($F750))&amp;"|"&amp;UPPER(TRIM($G750)),Setup!$P$21:$P$60,0)),IFERROR(INDEX(Setup!$C$21:$C$60,MATCH(UPPER(TRIM($G750))&amp;"|"&amp;UPPER(TRIM($F750)),Setup!$P$21:$P$60,0)),"NO RATE"))))</f>
        <v/>
      </c>
      <c r="J750" s="98" t="n"/>
      <c r="K750" s="90">
        <f>IF(OR($G750="",$H750="",NOT(ISNUMBER($I750))),"",ROUND($H750*$I750*(1+IF($J750="",Setup!$B$16,$J750)),2))</f>
        <v/>
      </c>
      <c r="L750" s="90">
        <f>IF($K750="","",ROUND($K750*Setup!$B$13,2))</f>
        <v/>
      </c>
      <c r="M750" s="90">
        <f>IF($K750="","",$K750-$L750)</f>
        <v/>
      </c>
      <c r="N750" s="90">
        <f>IF(OR($M750="",$D750=""),"",ROUND($M750*IFERROR(IF(VLOOKUP($D750,Setup!$A$76:$C$87,3,FALSE)="",Setup!$B$14,VLOOKUP($D750,Setup!$A$76:$C$87,3,FALSE)),Setup!$B$14),2))</f>
        <v/>
      </c>
      <c r="O750" s="90">
        <f>IF(OR($M750="",$E750=""),"",ROUND($M750*IFERROR(IF(VLOOKUP($E750,Setup!$A$76:$C$87,3,FALSE)="",Setup!$B$15,VLOOKUP($E750,Setup!$A$76:$C$87,3,FALSE)),Setup!$B$15),2))</f>
        <v/>
      </c>
      <c r="P750" s="99" t="n"/>
      <c r="Q750" s="99" t="n"/>
      <c r="R750" s="99" t="n"/>
      <c r="S750" s="99" t="n"/>
      <c r="T750" s="99" t="n"/>
      <c r="U750" s="90">
        <f>IF($K750="","",SUM($R750:$T750))</f>
        <v/>
      </c>
      <c r="V750" s="90">
        <f>IF($K750="","",$M750-(N($N750)+N($O750)+IF($P750="",Setup!$B$17,$P750)+N($Q750))-N($U750))</f>
        <v/>
      </c>
      <c r="W750" s="95" t="n"/>
      <c r="X750" s="96" t="n"/>
      <c r="Z750" s="93">
        <f>IF($A750="","",DATE(YEAR($A750),MONTH($A750),1))</f>
        <v/>
      </c>
    </row>
    <row r="751">
      <c r="A751" s="86" t="n"/>
      <c r="B751" s="87" t="n"/>
      <c r="C751" s="87" t="n"/>
      <c r="D751" s="88" t="n"/>
      <c r="E751" s="88" t="n"/>
      <c r="F751" s="88" t="n"/>
      <c r="G751" s="88" t="n"/>
      <c r="H751" s="89" t="n"/>
      <c r="I751" s="90">
        <f>IF($G751="","",IF($F751="",IFERROR(INDEX(Setup!$C$21:$C$60,MATCH("|"&amp;UPPER(TRIM($G751)),Setup!$Q$21:$Q$60,0)),"NO RATE"),IFERROR(INDEX(Setup!$C$21:$C$60,MATCH(UPPER(TRIM($F751))&amp;"|"&amp;UPPER(TRIM($G751)),Setup!$P$21:$P$60,0)),IFERROR(INDEX(Setup!$C$21:$C$60,MATCH(UPPER(TRIM($G751))&amp;"|"&amp;UPPER(TRIM($F751)),Setup!$P$21:$P$60,0)),"NO RATE"))))</f>
        <v/>
      </c>
      <c r="J751" s="91" t="n"/>
      <c r="K751" s="90">
        <f>IF(OR($G751="",$H751="",NOT(ISNUMBER($I751))),"",ROUND($H751*$I751*(1+IF($J751="",Setup!$B$16,$J751)),2))</f>
        <v/>
      </c>
      <c r="L751" s="90">
        <f>IF($K751="","",ROUND($K751*Setup!$B$13,2))</f>
        <v/>
      </c>
      <c r="M751" s="90">
        <f>IF($K751="","",$K751-$L751)</f>
        <v/>
      </c>
      <c r="N751" s="90">
        <f>IF(OR($M751="",$D751=""),"",ROUND($M751*IFERROR(IF(VLOOKUP($D751,Setup!$A$76:$C$87,3,FALSE)="",Setup!$B$14,VLOOKUP($D751,Setup!$A$76:$C$87,3,FALSE)),Setup!$B$14),2))</f>
        <v/>
      </c>
      <c r="O751" s="90">
        <f>IF(OR($M751="",$E751=""),"",ROUND($M751*IFERROR(IF(VLOOKUP($E751,Setup!$A$76:$C$87,3,FALSE)="",Setup!$B$15,VLOOKUP($E751,Setup!$A$76:$C$87,3,FALSE)),Setup!$B$15),2))</f>
        <v/>
      </c>
      <c r="P751" s="92" t="n"/>
      <c r="Q751" s="92" t="n"/>
      <c r="R751" s="92" t="n"/>
      <c r="S751" s="92" t="n"/>
      <c r="T751" s="92" t="n"/>
      <c r="U751" s="90">
        <f>IF($K751="","",SUM($R751:$T751))</f>
        <v/>
      </c>
      <c r="V751" s="90">
        <f>IF($K751="","",$M751-(N($N751)+N($O751)+IF($P751="",Setup!$B$17,$P751)+N($Q751))-N($U751))</f>
        <v/>
      </c>
      <c r="W751" s="87" t="n"/>
      <c r="X751" s="88" t="n"/>
      <c r="Z751" s="93">
        <f>IF($A751="","",DATE(YEAR($A751),MONTH($A751),1))</f>
        <v/>
      </c>
    </row>
    <row r="752">
      <c r="A752" s="94" t="n"/>
      <c r="B752" s="95" t="n"/>
      <c r="C752" s="95" t="n"/>
      <c r="D752" s="96" t="n"/>
      <c r="E752" s="96" t="n"/>
      <c r="F752" s="96" t="n"/>
      <c r="G752" s="96" t="n"/>
      <c r="H752" s="97" t="n"/>
      <c r="I752" s="90">
        <f>IF($G752="","",IF($F752="",IFERROR(INDEX(Setup!$C$21:$C$60,MATCH("|"&amp;UPPER(TRIM($G752)),Setup!$Q$21:$Q$60,0)),"NO RATE"),IFERROR(INDEX(Setup!$C$21:$C$60,MATCH(UPPER(TRIM($F752))&amp;"|"&amp;UPPER(TRIM($G752)),Setup!$P$21:$P$60,0)),IFERROR(INDEX(Setup!$C$21:$C$60,MATCH(UPPER(TRIM($G752))&amp;"|"&amp;UPPER(TRIM($F752)),Setup!$P$21:$P$60,0)),"NO RATE"))))</f>
        <v/>
      </c>
      <c r="J752" s="98" t="n"/>
      <c r="K752" s="90">
        <f>IF(OR($G752="",$H752="",NOT(ISNUMBER($I752))),"",ROUND($H752*$I752*(1+IF($J752="",Setup!$B$16,$J752)),2))</f>
        <v/>
      </c>
      <c r="L752" s="90">
        <f>IF($K752="","",ROUND($K752*Setup!$B$13,2))</f>
        <v/>
      </c>
      <c r="M752" s="90">
        <f>IF($K752="","",$K752-$L752)</f>
        <v/>
      </c>
      <c r="N752" s="90">
        <f>IF(OR($M752="",$D752=""),"",ROUND($M752*IFERROR(IF(VLOOKUP($D752,Setup!$A$76:$C$87,3,FALSE)="",Setup!$B$14,VLOOKUP($D752,Setup!$A$76:$C$87,3,FALSE)),Setup!$B$14),2))</f>
        <v/>
      </c>
      <c r="O752" s="90">
        <f>IF(OR($M752="",$E752=""),"",ROUND($M752*IFERROR(IF(VLOOKUP($E752,Setup!$A$76:$C$87,3,FALSE)="",Setup!$B$15,VLOOKUP($E752,Setup!$A$76:$C$87,3,FALSE)),Setup!$B$15),2))</f>
        <v/>
      </c>
      <c r="P752" s="99" t="n"/>
      <c r="Q752" s="99" t="n"/>
      <c r="R752" s="99" t="n"/>
      <c r="S752" s="99" t="n"/>
      <c r="T752" s="99" t="n"/>
      <c r="U752" s="90">
        <f>IF($K752="","",SUM($R752:$T752))</f>
        <v/>
      </c>
      <c r="V752" s="90">
        <f>IF($K752="","",$M752-(N($N752)+N($O752)+IF($P752="",Setup!$B$17,$P752)+N($Q752))-N($U752))</f>
        <v/>
      </c>
      <c r="W752" s="95" t="n"/>
      <c r="X752" s="96" t="n"/>
      <c r="Z752" s="93">
        <f>IF($A752="","",DATE(YEAR($A752),MONTH($A752),1))</f>
        <v/>
      </c>
    </row>
    <row r="753">
      <c r="A753" s="86" t="n"/>
      <c r="B753" s="87" t="n"/>
      <c r="C753" s="87" t="n"/>
      <c r="D753" s="88" t="n"/>
      <c r="E753" s="88" t="n"/>
      <c r="F753" s="88" t="n"/>
      <c r="G753" s="88" t="n"/>
      <c r="H753" s="89" t="n"/>
      <c r="I753" s="90">
        <f>IF($G753="","",IF($F753="",IFERROR(INDEX(Setup!$C$21:$C$60,MATCH("|"&amp;UPPER(TRIM($G753)),Setup!$Q$21:$Q$60,0)),"NO RATE"),IFERROR(INDEX(Setup!$C$21:$C$60,MATCH(UPPER(TRIM($F753))&amp;"|"&amp;UPPER(TRIM($G753)),Setup!$P$21:$P$60,0)),IFERROR(INDEX(Setup!$C$21:$C$60,MATCH(UPPER(TRIM($G753))&amp;"|"&amp;UPPER(TRIM($F753)),Setup!$P$21:$P$60,0)),"NO RATE"))))</f>
        <v/>
      </c>
      <c r="J753" s="91" t="n"/>
      <c r="K753" s="90">
        <f>IF(OR($G753="",$H753="",NOT(ISNUMBER($I753))),"",ROUND($H753*$I753*(1+IF($J753="",Setup!$B$16,$J753)),2))</f>
        <v/>
      </c>
      <c r="L753" s="90">
        <f>IF($K753="","",ROUND($K753*Setup!$B$13,2))</f>
        <v/>
      </c>
      <c r="M753" s="90">
        <f>IF($K753="","",$K753-$L753)</f>
        <v/>
      </c>
      <c r="N753" s="90">
        <f>IF(OR($M753="",$D753=""),"",ROUND($M753*IFERROR(IF(VLOOKUP($D753,Setup!$A$76:$C$87,3,FALSE)="",Setup!$B$14,VLOOKUP($D753,Setup!$A$76:$C$87,3,FALSE)),Setup!$B$14),2))</f>
        <v/>
      </c>
      <c r="O753" s="90">
        <f>IF(OR($M753="",$E753=""),"",ROUND($M753*IFERROR(IF(VLOOKUP($E753,Setup!$A$76:$C$87,3,FALSE)="",Setup!$B$15,VLOOKUP($E753,Setup!$A$76:$C$87,3,FALSE)),Setup!$B$15),2))</f>
        <v/>
      </c>
      <c r="P753" s="92" t="n"/>
      <c r="Q753" s="92" t="n"/>
      <c r="R753" s="92" t="n"/>
      <c r="S753" s="92" t="n"/>
      <c r="T753" s="92" t="n"/>
      <c r="U753" s="90">
        <f>IF($K753="","",SUM($R753:$T753))</f>
        <v/>
      </c>
      <c r="V753" s="90">
        <f>IF($K753="","",$M753-(N($N753)+N($O753)+IF($P753="",Setup!$B$17,$P753)+N($Q753))-N($U753))</f>
        <v/>
      </c>
      <c r="W753" s="87" t="n"/>
      <c r="X753" s="88" t="n"/>
      <c r="Z753" s="93">
        <f>IF($A753="","",DATE(YEAR($A753),MONTH($A753),1))</f>
        <v/>
      </c>
    </row>
    <row r="754">
      <c r="A754" s="94" t="n"/>
      <c r="B754" s="95" t="n"/>
      <c r="C754" s="95" t="n"/>
      <c r="D754" s="96" t="n"/>
      <c r="E754" s="96" t="n"/>
      <c r="F754" s="96" t="n"/>
      <c r="G754" s="96" t="n"/>
      <c r="H754" s="97" t="n"/>
      <c r="I754" s="90">
        <f>IF($G754="","",IF($F754="",IFERROR(INDEX(Setup!$C$21:$C$60,MATCH("|"&amp;UPPER(TRIM($G754)),Setup!$Q$21:$Q$60,0)),"NO RATE"),IFERROR(INDEX(Setup!$C$21:$C$60,MATCH(UPPER(TRIM($F754))&amp;"|"&amp;UPPER(TRIM($G754)),Setup!$P$21:$P$60,0)),IFERROR(INDEX(Setup!$C$21:$C$60,MATCH(UPPER(TRIM($G754))&amp;"|"&amp;UPPER(TRIM($F754)),Setup!$P$21:$P$60,0)),"NO RATE"))))</f>
        <v/>
      </c>
      <c r="J754" s="98" t="n"/>
      <c r="K754" s="90">
        <f>IF(OR($G754="",$H754="",NOT(ISNUMBER($I754))),"",ROUND($H754*$I754*(1+IF($J754="",Setup!$B$16,$J754)),2))</f>
        <v/>
      </c>
      <c r="L754" s="90">
        <f>IF($K754="","",ROUND($K754*Setup!$B$13,2))</f>
        <v/>
      </c>
      <c r="M754" s="90">
        <f>IF($K754="","",$K754-$L754)</f>
        <v/>
      </c>
      <c r="N754" s="90">
        <f>IF(OR($M754="",$D754=""),"",ROUND($M754*IFERROR(IF(VLOOKUP($D754,Setup!$A$76:$C$87,3,FALSE)="",Setup!$B$14,VLOOKUP($D754,Setup!$A$76:$C$87,3,FALSE)),Setup!$B$14),2))</f>
        <v/>
      </c>
      <c r="O754" s="90">
        <f>IF(OR($M754="",$E754=""),"",ROUND($M754*IFERROR(IF(VLOOKUP($E754,Setup!$A$76:$C$87,3,FALSE)="",Setup!$B$15,VLOOKUP($E754,Setup!$A$76:$C$87,3,FALSE)),Setup!$B$15),2))</f>
        <v/>
      </c>
      <c r="P754" s="99" t="n"/>
      <c r="Q754" s="99" t="n"/>
      <c r="R754" s="99" t="n"/>
      <c r="S754" s="99" t="n"/>
      <c r="T754" s="99" t="n"/>
      <c r="U754" s="90">
        <f>IF($K754="","",SUM($R754:$T754))</f>
        <v/>
      </c>
      <c r="V754" s="90">
        <f>IF($K754="","",$M754-(N($N754)+N($O754)+IF($P754="",Setup!$B$17,$P754)+N($Q754))-N($U754))</f>
        <v/>
      </c>
      <c r="W754" s="95" t="n"/>
      <c r="X754" s="96" t="n"/>
      <c r="Z754" s="93">
        <f>IF($A754="","",DATE(YEAR($A754),MONTH($A754),1))</f>
        <v/>
      </c>
    </row>
    <row r="755">
      <c r="A755" s="86" t="n"/>
      <c r="B755" s="87" t="n"/>
      <c r="C755" s="87" t="n"/>
      <c r="D755" s="88" t="n"/>
      <c r="E755" s="88" t="n"/>
      <c r="F755" s="88" t="n"/>
      <c r="G755" s="88" t="n"/>
      <c r="H755" s="89" t="n"/>
      <c r="I755" s="90">
        <f>IF($G755="","",IF($F755="",IFERROR(INDEX(Setup!$C$21:$C$60,MATCH("|"&amp;UPPER(TRIM($G755)),Setup!$Q$21:$Q$60,0)),"NO RATE"),IFERROR(INDEX(Setup!$C$21:$C$60,MATCH(UPPER(TRIM($F755))&amp;"|"&amp;UPPER(TRIM($G755)),Setup!$P$21:$P$60,0)),IFERROR(INDEX(Setup!$C$21:$C$60,MATCH(UPPER(TRIM($G755))&amp;"|"&amp;UPPER(TRIM($F755)),Setup!$P$21:$P$60,0)),"NO RATE"))))</f>
        <v/>
      </c>
      <c r="J755" s="91" t="n"/>
      <c r="K755" s="90">
        <f>IF(OR($G755="",$H755="",NOT(ISNUMBER($I755))),"",ROUND($H755*$I755*(1+IF($J755="",Setup!$B$16,$J755)),2))</f>
        <v/>
      </c>
      <c r="L755" s="90">
        <f>IF($K755="","",ROUND($K755*Setup!$B$13,2))</f>
        <v/>
      </c>
      <c r="M755" s="90">
        <f>IF($K755="","",$K755-$L755)</f>
        <v/>
      </c>
      <c r="N755" s="90">
        <f>IF(OR($M755="",$D755=""),"",ROUND($M755*IFERROR(IF(VLOOKUP($D755,Setup!$A$76:$C$87,3,FALSE)="",Setup!$B$14,VLOOKUP($D755,Setup!$A$76:$C$87,3,FALSE)),Setup!$B$14),2))</f>
        <v/>
      </c>
      <c r="O755" s="90">
        <f>IF(OR($M755="",$E755=""),"",ROUND($M755*IFERROR(IF(VLOOKUP($E755,Setup!$A$76:$C$87,3,FALSE)="",Setup!$B$15,VLOOKUP($E755,Setup!$A$76:$C$87,3,FALSE)),Setup!$B$15),2))</f>
        <v/>
      </c>
      <c r="P755" s="92" t="n"/>
      <c r="Q755" s="92" t="n"/>
      <c r="R755" s="92" t="n"/>
      <c r="S755" s="92" t="n"/>
      <c r="T755" s="92" t="n"/>
      <c r="U755" s="90">
        <f>IF($K755="","",SUM($R755:$T755))</f>
        <v/>
      </c>
      <c r="V755" s="90">
        <f>IF($K755="","",$M755-(N($N755)+N($O755)+IF($P755="",Setup!$B$17,$P755)+N($Q755))-N($U755))</f>
        <v/>
      </c>
      <c r="W755" s="87" t="n"/>
      <c r="X755" s="88" t="n"/>
      <c r="Z755" s="93">
        <f>IF($A755="","",DATE(YEAR($A755),MONTH($A755),1))</f>
        <v/>
      </c>
    </row>
    <row r="756">
      <c r="A756" s="94" t="n"/>
      <c r="B756" s="95" t="n"/>
      <c r="C756" s="95" t="n"/>
      <c r="D756" s="96" t="n"/>
      <c r="E756" s="96" t="n"/>
      <c r="F756" s="96" t="n"/>
      <c r="G756" s="96" t="n"/>
      <c r="H756" s="97" t="n"/>
      <c r="I756" s="90">
        <f>IF($G756="","",IF($F756="",IFERROR(INDEX(Setup!$C$21:$C$60,MATCH("|"&amp;UPPER(TRIM($G756)),Setup!$Q$21:$Q$60,0)),"NO RATE"),IFERROR(INDEX(Setup!$C$21:$C$60,MATCH(UPPER(TRIM($F756))&amp;"|"&amp;UPPER(TRIM($G756)),Setup!$P$21:$P$60,0)),IFERROR(INDEX(Setup!$C$21:$C$60,MATCH(UPPER(TRIM($G756))&amp;"|"&amp;UPPER(TRIM($F756)),Setup!$P$21:$P$60,0)),"NO RATE"))))</f>
        <v/>
      </c>
      <c r="J756" s="98" t="n"/>
      <c r="K756" s="90">
        <f>IF(OR($G756="",$H756="",NOT(ISNUMBER($I756))),"",ROUND($H756*$I756*(1+IF($J756="",Setup!$B$16,$J756)),2))</f>
        <v/>
      </c>
      <c r="L756" s="90">
        <f>IF($K756="","",ROUND($K756*Setup!$B$13,2))</f>
        <v/>
      </c>
      <c r="M756" s="90">
        <f>IF($K756="","",$K756-$L756)</f>
        <v/>
      </c>
      <c r="N756" s="90">
        <f>IF(OR($M756="",$D756=""),"",ROUND($M756*IFERROR(IF(VLOOKUP($D756,Setup!$A$76:$C$87,3,FALSE)="",Setup!$B$14,VLOOKUP($D756,Setup!$A$76:$C$87,3,FALSE)),Setup!$B$14),2))</f>
        <v/>
      </c>
      <c r="O756" s="90">
        <f>IF(OR($M756="",$E756=""),"",ROUND($M756*IFERROR(IF(VLOOKUP($E756,Setup!$A$76:$C$87,3,FALSE)="",Setup!$B$15,VLOOKUP($E756,Setup!$A$76:$C$87,3,FALSE)),Setup!$B$15),2))</f>
        <v/>
      </c>
      <c r="P756" s="99" t="n"/>
      <c r="Q756" s="99" t="n"/>
      <c r="R756" s="99" t="n"/>
      <c r="S756" s="99" t="n"/>
      <c r="T756" s="99" t="n"/>
      <c r="U756" s="90">
        <f>IF($K756="","",SUM($R756:$T756))</f>
        <v/>
      </c>
      <c r="V756" s="90">
        <f>IF($K756="","",$M756-(N($N756)+N($O756)+IF($P756="",Setup!$B$17,$P756)+N($Q756))-N($U756))</f>
        <v/>
      </c>
      <c r="W756" s="95" t="n"/>
      <c r="X756" s="96" t="n"/>
      <c r="Z756" s="93">
        <f>IF($A756="","",DATE(YEAR($A756),MONTH($A756),1))</f>
        <v/>
      </c>
    </row>
    <row r="757">
      <c r="A757" s="86" t="n"/>
      <c r="B757" s="87" t="n"/>
      <c r="C757" s="87" t="n"/>
      <c r="D757" s="88" t="n"/>
      <c r="E757" s="88" t="n"/>
      <c r="F757" s="88" t="n"/>
      <c r="G757" s="88" t="n"/>
      <c r="H757" s="89" t="n"/>
      <c r="I757" s="90">
        <f>IF($G757="","",IF($F757="",IFERROR(INDEX(Setup!$C$21:$C$60,MATCH("|"&amp;UPPER(TRIM($G757)),Setup!$Q$21:$Q$60,0)),"NO RATE"),IFERROR(INDEX(Setup!$C$21:$C$60,MATCH(UPPER(TRIM($F757))&amp;"|"&amp;UPPER(TRIM($G757)),Setup!$P$21:$P$60,0)),IFERROR(INDEX(Setup!$C$21:$C$60,MATCH(UPPER(TRIM($G757))&amp;"|"&amp;UPPER(TRIM($F757)),Setup!$P$21:$P$60,0)),"NO RATE"))))</f>
        <v/>
      </c>
      <c r="J757" s="91" t="n"/>
      <c r="K757" s="90">
        <f>IF(OR($G757="",$H757="",NOT(ISNUMBER($I757))),"",ROUND($H757*$I757*(1+IF($J757="",Setup!$B$16,$J757)),2))</f>
        <v/>
      </c>
      <c r="L757" s="90">
        <f>IF($K757="","",ROUND($K757*Setup!$B$13,2))</f>
        <v/>
      </c>
      <c r="M757" s="90">
        <f>IF($K757="","",$K757-$L757)</f>
        <v/>
      </c>
      <c r="N757" s="90">
        <f>IF(OR($M757="",$D757=""),"",ROUND($M757*IFERROR(IF(VLOOKUP($D757,Setup!$A$76:$C$87,3,FALSE)="",Setup!$B$14,VLOOKUP($D757,Setup!$A$76:$C$87,3,FALSE)),Setup!$B$14),2))</f>
        <v/>
      </c>
      <c r="O757" s="90">
        <f>IF(OR($M757="",$E757=""),"",ROUND($M757*IFERROR(IF(VLOOKUP($E757,Setup!$A$76:$C$87,3,FALSE)="",Setup!$B$15,VLOOKUP($E757,Setup!$A$76:$C$87,3,FALSE)),Setup!$B$15),2))</f>
        <v/>
      </c>
      <c r="P757" s="92" t="n"/>
      <c r="Q757" s="92" t="n"/>
      <c r="R757" s="92" t="n"/>
      <c r="S757" s="92" t="n"/>
      <c r="T757" s="92" t="n"/>
      <c r="U757" s="90">
        <f>IF($K757="","",SUM($R757:$T757))</f>
        <v/>
      </c>
      <c r="V757" s="90">
        <f>IF($K757="","",$M757-(N($N757)+N($O757)+IF($P757="",Setup!$B$17,$P757)+N($Q757))-N($U757))</f>
        <v/>
      </c>
      <c r="W757" s="87" t="n"/>
      <c r="X757" s="88" t="n"/>
      <c r="Z757" s="93">
        <f>IF($A757="","",DATE(YEAR($A757),MONTH($A757),1))</f>
        <v/>
      </c>
    </row>
    <row r="758">
      <c r="A758" s="94" t="n"/>
      <c r="B758" s="95" t="n"/>
      <c r="C758" s="95" t="n"/>
      <c r="D758" s="96" t="n"/>
      <c r="E758" s="96" t="n"/>
      <c r="F758" s="96" t="n"/>
      <c r="G758" s="96" t="n"/>
      <c r="H758" s="97" t="n"/>
      <c r="I758" s="90">
        <f>IF($G758="","",IF($F758="",IFERROR(INDEX(Setup!$C$21:$C$60,MATCH("|"&amp;UPPER(TRIM($G758)),Setup!$Q$21:$Q$60,0)),"NO RATE"),IFERROR(INDEX(Setup!$C$21:$C$60,MATCH(UPPER(TRIM($F758))&amp;"|"&amp;UPPER(TRIM($G758)),Setup!$P$21:$P$60,0)),IFERROR(INDEX(Setup!$C$21:$C$60,MATCH(UPPER(TRIM($G758))&amp;"|"&amp;UPPER(TRIM($F758)),Setup!$P$21:$P$60,0)),"NO RATE"))))</f>
        <v/>
      </c>
      <c r="J758" s="98" t="n"/>
      <c r="K758" s="90">
        <f>IF(OR($G758="",$H758="",NOT(ISNUMBER($I758))),"",ROUND($H758*$I758*(1+IF($J758="",Setup!$B$16,$J758)),2))</f>
        <v/>
      </c>
      <c r="L758" s="90">
        <f>IF($K758="","",ROUND($K758*Setup!$B$13,2))</f>
        <v/>
      </c>
      <c r="M758" s="90">
        <f>IF($K758="","",$K758-$L758)</f>
        <v/>
      </c>
      <c r="N758" s="90">
        <f>IF(OR($M758="",$D758=""),"",ROUND($M758*IFERROR(IF(VLOOKUP($D758,Setup!$A$76:$C$87,3,FALSE)="",Setup!$B$14,VLOOKUP($D758,Setup!$A$76:$C$87,3,FALSE)),Setup!$B$14),2))</f>
        <v/>
      </c>
      <c r="O758" s="90">
        <f>IF(OR($M758="",$E758=""),"",ROUND($M758*IFERROR(IF(VLOOKUP($E758,Setup!$A$76:$C$87,3,FALSE)="",Setup!$B$15,VLOOKUP($E758,Setup!$A$76:$C$87,3,FALSE)),Setup!$B$15),2))</f>
        <v/>
      </c>
      <c r="P758" s="99" t="n"/>
      <c r="Q758" s="99" t="n"/>
      <c r="R758" s="99" t="n"/>
      <c r="S758" s="99" t="n"/>
      <c r="T758" s="99" t="n"/>
      <c r="U758" s="90">
        <f>IF($K758="","",SUM($R758:$T758))</f>
        <v/>
      </c>
      <c r="V758" s="90">
        <f>IF($K758="","",$M758-(N($N758)+N($O758)+IF($P758="",Setup!$B$17,$P758)+N($Q758))-N($U758))</f>
        <v/>
      </c>
      <c r="W758" s="95" t="n"/>
      <c r="X758" s="96" t="n"/>
      <c r="Z758" s="93">
        <f>IF($A758="","",DATE(YEAR($A758),MONTH($A758),1))</f>
        <v/>
      </c>
    </row>
    <row r="759">
      <c r="A759" s="86" t="n"/>
      <c r="B759" s="87" t="n"/>
      <c r="C759" s="87" t="n"/>
      <c r="D759" s="88" t="n"/>
      <c r="E759" s="88" t="n"/>
      <c r="F759" s="88" t="n"/>
      <c r="G759" s="88" t="n"/>
      <c r="H759" s="89" t="n"/>
      <c r="I759" s="90">
        <f>IF($G759="","",IF($F759="",IFERROR(INDEX(Setup!$C$21:$C$60,MATCH("|"&amp;UPPER(TRIM($G759)),Setup!$Q$21:$Q$60,0)),"NO RATE"),IFERROR(INDEX(Setup!$C$21:$C$60,MATCH(UPPER(TRIM($F759))&amp;"|"&amp;UPPER(TRIM($G759)),Setup!$P$21:$P$60,0)),IFERROR(INDEX(Setup!$C$21:$C$60,MATCH(UPPER(TRIM($G759))&amp;"|"&amp;UPPER(TRIM($F759)),Setup!$P$21:$P$60,0)),"NO RATE"))))</f>
        <v/>
      </c>
      <c r="J759" s="91" t="n"/>
      <c r="K759" s="90">
        <f>IF(OR($G759="",$H759="",NOT(ISNUMBER($I759))),"",ROUND($H759*$I759*(1+IF($J759="",Setup!$B$16,$J759)),2))</f>
        <v/>
      </c>
      <c r="L759" s="90">
        <f>IF($K759="","",ROUND($K759*Setup!$B$13,2))</f>
        <v/>
      </c>
      <c r="M759" s="90">
        <f>IF($K759="","",$K759-$L759)</f>
        <v/>
      </c>
      <c r="N759" s="90">
        <f>IF(OR($M759="",$D759=""),"",ROUND($M759*IFERROR(IF(VLOOKUP($D759,Setup!$A$76:$C$87,3,FALSE)="",Setup!$B$14,VLOOKUP($D759,Setup!$A$76:$C$87,3,FALSE)),Setup!$B$14),2))</f>
        <v/>
      </c>
      <c r="O759" s="90">
        <f>IF(OR($M759="",$E759=""),"",ROUND($M759*IFERROR(IF(VLOOKUP($E759,Setup!$A$76:$C$87,3,FALSE)="",Setup!$B$15,VLOOKUP($E759,Setup!$A$76:$C$87,3,FALSE)),Setup!$B$15),2))</f>
        <v/>
      </c>
      <c r="P759" s="92" t="n"/>
      <c r="Q759" s="92" t="n"/>
      <c r="R759" s="92" t="n"/>
      <c r="S759" s="92" t="n"/>
      <c r="T759" s="92" t="n"/>
      <c r="U759" s="90">
        <f>IF($K759="","",SUM($R759:$T759))</f>
        <v/>
      </c>
      <c r="V759" s="90">
        <f>IF($K759="","",$M759-(N($N759)+N($O759)+IF($P759="",Setup!$B$17,$P759)+N($Q759))-N($U759))</f>
        <v/>
      </c>
      <c r="W759" s="87" t="n"/>
      <c r="X759" s="88" t="n"/>
      <c r="Z759" s="93">
        <f>IF($A759="","",DATE(YEAR($A759),MONTH($A759),1))</f>
        <v/>
      </c>
    </row>
    <row r="760">
      <c r="A760" s="94" t="n"/>
      <c r="B760" s="95" t="n"/>
      <c r="C760" s="95" t="n"/>
      <c r="D760" s="96" t="n"/>
      <c r="E760" s="96" t="n"/>
      <c r="F760" s="96" t="n"/>
      <c r="G760" s="96" t="n"/>
      <c r="H760" s="97" t="n"/>
      <c r="I760" s="90">
        <f>IF($G760="","",IF($F760="",IFERROR(INDEX(Setup!$C$21:$C$60,MATCH("|"&amp;UPPER(TRIM($G760)),Setup!$Q$21:$Q$60,0)),"NO RATE"),IFERROR(INDEX(Setup!$C$21:$C$60,MATCH(UPPER(TRIM($F760))&amp;"|"&amp;UPPER(TRIM($G760)),Setup!$P$21:$P$60,0)),IFERROR(INDEX(Setup!$C$21:$C$60,MATCH(UPPER(TRIM($G760))&amp;"|"&amp;UPPER(TRIM($F760)),Setup!$P$21:$P$60,0)),"NO RATE"))))</f>
        <v/>
      </c>
      <c r="J760" s="98" t="n"/>
      <c r="K760" s="90">
        <f>IF(OR($G760="",$H760="",NOT(ISNUMBER($I760))),"",ROUND($H760*$I760*(1+IF($J760="",Setup!$B$16,$J760)),2))</f>
        <v/>
      </c>
      <c r="L760" s="90">
        <f>IF($K760="","",ROUND($K760*Setup!$B$13,2))</f>
        <v/>
      </c>
      <c r="M760" s="90">
        <f>IF($K760="","",$K760-$L760)</f>
        <v/>
      </c>
      <c r="N760" s="90">
        <f>IF(OR($M760="",$D760=""),"",ROUND($M760*IFERROR(IF(VLOOKUP($D760,Setup!$A$76:$C$87,3,FALSE)="",Setup!$B$14,VLOOKUP($D760,Setup!$A$76:$C$87,3,FALSE)),Setup!$B$14),2))</f>
        <v/>
      </c>
      <c r="O760" s="90">
        <f>IF(OR($M760="",$E760=""),"",ROUND($M760*IFERROR(IF(VLOOKUP($E760,Setup!$A$76:$C$87,3,FALSE)="",Setup!$B$15,VLOOKUP($E760,Setup!$A$76:$C$87,3,FALSE)),Setup!$B$15),2))</f>
        <v/>
      </c>
      <c r="P760" s="99" t="n"/>
      <c r="Q760" s="99" t="n"/>
      <c r="R760" s="99" t="n"/>
      <c r="S760" s="99" t="n"/>
      <c r="T760" s="99" t="n"/>
      <c r="U760" s="90">
        <f>IF($K760="","",SUM($R760:$T760))</f>
        <v/>
      </c>
      <c r="V760" s="90">
        <f>IF($K760="","",$M760-(N($N760)+N($O760)+IF($P760="",Setup!$B$17,$P760)+N($Q760))-N($U760))</f>
        <v/>
      </c>
      <c r="W760" s="95" t="n"/>
      <c r="X760" s="96" t="n"/>
      <c r="Z760" s="93">
        <f>IF($A760="","",DATE(YEAR($A760),MONTH($A760),1))</f>
        <v/>
      </c>
    </row>
    <row r="761">
      <c r="A761" s="86" t="n"/>
      <c r="B761" s="87" t="n"/>
      <c r="C761" s="87" t="n"/>
      <c r="D761" s="88" t="n"/>
      <c r="E761" s="88" t="n"/>
      <c r="F761" s="88" t="n"/>
      <c r="G761" s="88" t="n"/>
      <c r="H761" s="89" t="n"/>
      <c r="I761" s="90">
        <f>IF($G761="","",IF($F761="",IFERROR(INDEX(Setup!$C$21:$C$60,MATCH("|"&amp;UPPER(TRIM($G761)),Setup!$Q$21:$Q$60,0)),"NO RATE"),IFERROR(INDEX(Setup!$C$21:$C$60,MATCH(UPPER(TRIM($F761))&amp;"|"&amp;UPPER(TRIM($G761)),Setup!$P$21:$P$60,0)),IFERROR(INDEX(Setup!$C$21:$C$60,MATCH(UPPER(TRIM($G761))&amp;"|"&amp;UPPER(TRIM($F761)),Setup!$P$21:$P$60,0)),"NO RATE"))))</f>
        <v/>
      </c>
      <c r="J761" s="91" t="n"/>
      <c r="K761" s="90">
        <f>IF(OR($G761="",$H761="",NOT(ISNUMBER($I761))),"",ROUND($H761*$I761*(1+IF($J761="",Setup!$B$16,$J761)),2))</f>
        <v/>
      </c>
      <c r="L761" s="90">
        <f>IF($K761="","",ROUND($K761*Setup!$B$13,2))</f>
        <v/>
      </c>
      <c r="M761" s="90">
        <f>IF($K761="","",$K761-$L761)</f>
        <v/>
      </c>
      <c r="N761" s="90">
        <f>IF(OR($M761="",$D761=""),"",ROUND($M761*IFERROR(IF(VLOOKUP($D761,Setup!$A$76:$C$87,3,FALSE)="",Setup!$B$14,VLOOKUP($D761,Setup!$A$76:$C$87,3,FALSE)),Setup!$B$14),2))</f>
        <v/>
      </c>
      <c r="O761" s="90">
        <f>IF(OR($M761="",$E761=""),"",ROUND($M761*IFERROR(IF(VLOOKUP($E761,Setup!$A$76:$C$87,3,FALSE)="",Setup!$B$15,VLOOKUP($E761,Setup!$A$76:$C$87,3,FALSE)),Setup!$B$15),2))</f>
        <v/>
      </c>
      <c r="P761" s="92" t="n"/>
      <c r="Q761" s="92" t="n"/>
      <c r="R761" s="92" t="n"/>
      <c r="S761" s="92" t="n"/>
      <c r="T761" s="92" t="n"/>
      <c r="U761" s="90">
        <f>IF($K761="","",SUM($R761:$T761))</f>
        <v/>
      </c>
      <c r="V761" s="90">
        <f>IF($K761="","",$M761-(N($N761)+N($O761)+IF($P761="",Setup!$B$17,$P761)+N($Q761))-N($U761))</f>
        <v/>
      </c>
      <c r="W761" s="87" t="n"/>
      <c r="X761" s="88" t="n"/>
      <c r="Z761" s="93">
        <f>IF($A761="","",DATE(YEAR($A761),MONTH($A761),1))</f>
        <v/>
      </c>
    </row>
    <row r="762">
      <c r="A762" s="94" t="n"/>
      <c r="B762" s="95" t="n"/>
      <c r="C762" s="95" t="n"/>
      <c r="D762" s="96" t="n"/>
      <c r="E762" s="96" t="n"/>
      <c r="F762" s="96" t="n"/>
      <c r="G762" s="96" t="n"/>
      <c r="H762" s="97" t="n"/>
      <c r="I762" s="90">
        <f>IF($G762="","",IF($F762="",IFERROR(INDEX(Setup!$C$21:$C$60,MATCH("|"&amp;UPPER(TRIM($G762)),Setup!$Q$21:$Q$60,0)),"NO RATE"),IFERROR(INDEX(Setup!$C$21:$C$60,MATCH(UPPER(TRIM($F762))&amp;"|"&amp;UPPER(TRIM($G762)),Setup!$P$21:$P$60,0)),IFERROR(INDEX(Setup!$C$21:$C$60,MATCH(UPPER(TRIM($G762))&amp;"|"&amp;UPPER(TRIM($F762)),Setup!$P$21:$P$60,0)),"NO RATE"))))</f>
        <v/>
      </c>
      <c r="J762" s="98" t="n"/>
      <c r="K762" s="90">
        <f>IF(OR($G762="",$H762="",NOT(ISNUMBER($I762))),"",ROUND($H762*$I762*(1+IF($J762="",Setup!$B$16,$J762)),2))</f>
        <v/>
      </c>
      <c r="L762" s="90">
        <f>IF($K762="","",ROUND($K762*Setup!$B$13,2))</f>
        <v/>
      </c>
      <c r="M762" s="90">
        <f>IF($K762="","",$K762-$L762)</f>
        <v/>
      </c>
      <c r="N762" s="90">
        <f>IF(OR($M762="",$D762=""),"",ROUND($M762*IFERROR(IF(VLOOKUP($D762,Setup!$A$76:$C$87,3,FALSE)="",Setup!$B$14,VLOOKUP($D762,Setup!$A$76:$C$87,3,FALSE)),Setup!$B$14),2))</f>
        <v/>
      </c>
      <c r="O762" s="90">
        <f>IF(OR($M762="",$E762=""),"",ROUND($M762*IFERROR(IF(VLOOKUP($E762,Setup!$A$76:$C$87,3,FALSE)="",Setup!$B$15,VLOOKUP($E762,Setup!$A$76:$C$87,3,FALSE)),Setup!$B$15),2))</f>
        <v/>
      </c>
      <c r="P762" s="99" t="n"/>
      <c r="Q762" s="99" t="n"/>
      <c r="R762" s="99" t="n"/>
      <c r="S762" s="99" t="n"/>
      <c r="T762" s="99" t="n"/>
      <c r="U762" s="90">
        <f>IF($K762="","",SUM($R762:$T762))</f>
        <v/>
      </c>
      <c r="V762" s="90">
        <f>IF($K762="","",$M762-(N($N762)+N($O762)+IF($P762="",Setup!$B$17,$P762)+N($Q762))-N($U762))</f>
        <v/>
      </c>
      <c r="W762" s="95" t="n"/>
      <c r="X762" s="96" t="n"/>
      <c r="Z762" s="93">
        <f>IF($A762="","",DATE(YEAR($A762),MONTH($A762),1))</f>
        <v/>
      </c>
    </row>
    <row r="763">
      <c r="A763" s="86" t="n"/>
      <c r="B763" s="87" t="n"/>
      <c r="C763" s="87" t="n"/>
      <c r="D763" s="88" t="n"/>
      <c r="E763" s="88" t="n"/>
      <c r="F763" s="88" t="n"/>
      <c r="G763" s="88" t="n"/>
      <c r="H763" s="89" t="n"/>
      <c r="I763" s="90">
        <f>IF($G763="","",IF($F763="",IFERROR(INDEX(Setup!$C$21:$C$60,MATCH("|"&amp;UPPER(TRIM($G763)),Setup!$Q$21:$Q$60,0)),"NO RATE"),IFERROR(INDEX(Setup!$C$21:$C$60,MATCH(UPPER(TRIM($F763))&amp;"|"&amp;UPPER(TRIM($G763)),Setup!$P$21:$P$60,0)),IFERROR(INDEX(Setup!$C$21:$C$60,MATCH(UPPER(TRIM($G763))&amp;"|"&amp;UPPER(TRIM($F763)),Setup!$P$21:$P$60,0)),"NO RATE"))))</f>
        <v/>
      </c>
      <c r="J763" s="91" t="n"/>
      <c r="K763" s="90">
        <f>IF(OR($G763="",$H763="",NOT(ISNUMBER($I763))),"",ROUND($H763*$I763*(1+IF($J763="",Setup!$B$16,$J763)),2))</f>
        <v/>
      </c>
      <c r="L763" s="90">
        <f>IF($K763="","",ROUND($K763*Setup!$B$13,2))</f>
        <v/>
      </c>
      <c r="M763" s="90">
        <f>IF($K763="","",$K763-$L763)</f>
        <v/>
      </c>
      <c r="N763" s="90">
        <f>IF(OR($M763="",$D763=""),"",ROUND($M763*IFERROR(IF(VLOOKUP($D763,Setup!$A$76:$C$87,3,FALSE)="",Setup!$B$14,VLOOKUP($D763,Setup!$A$76:$C$87,3,FALSE)),Setup!$B$14),2))</f>
        <v/>
      </c>
      <c r="O763" s="90">
        <f>IF(OR($M763="",$E763=""),"",ROUND($M763*IFERROR(IF(VLOOKUP($E763,Setup!$A$76:$C$87,3,FALSE)="",Setup!$B$15,VLOOKUP($E763,Setup!$A$76:$C$87,3,FALSE)),Setup!$B$15),2))</f>
        <v/>
      </c>
      <c r="P763" s="92" t="n"/>
      <c r="Q763" s="92" t="n"/>
      <c r="R763" s="92" t="n"/>
      <c r="S763" s="92" t="n"/>
      <c r="T763" s="92" t="n"/>
      <c r="U763" s="90">
        <f>IF($K763="","",SUM($R763:$T763))</f>
        <v/>
      </c>
      <c r="V763" s="90">
        <f>IF($K763="","",$M763-(N($N763)+N($O763)+IF($P763="",Setup!$B$17,$P763)+N($Q763))-N($U763))</f>
        <v/>
      </c>
      <c r="W763" s="87" t="n"/>
      <c r="X763" s="88" t="n"/>
      <c r="Z763" s="93">
        <f>IF($A763="","",DATE(YEAR($A763),MONTH($A763),1))</f>
        <v/>
      </c>
    </row>
    <row r="764">
      <c r="A764" s="94" t="n"/>
      <c r="B764" s="95" t="n"/>
      <c r="C764" s="95" t="n"/>
      <c r="D764" s="96" t="n"/>
      <c r="E764" s="96" t="n"/>
      <c r="F764" s="96" t="n"/>
      <c r="G764" s="96" t="n"/>
      <c r="H764" s="97" t="n"/>
      <c r="I764" s="90">
        <f>IF($G764="","",IF($F764="",IFERROR(INDEX(Setup!$C$21:$C$60,MATCH("|"&amp;UPPER(TRIM($G764)),Setup!$Q$21:$Q$60,0)),"NO RATE"),IFERROR(INDEX(Setup!$C$21:$C$60,MATCH(UPPER(TRIM($F764))&amp;"|"&amp;UPPER(TRIM($G764)),Setup!$P$21:$P$60,0)),IFERROR(INDEX(Setup!$C$21:$C$60,MATCH(UPPER(TRIM($G764))&amp;"|"&amp;UPPER(TRIM($F764)),Setup!$P$21:$P$60,0)),"NO RATE"))))</f>
        <v/>
      </c>
      <c r="J764" s="98" t="n"/>
      <c r="K764" s="90">
        <f>IF(OR($G764="",$H764="",NOT(ISNUMBER($I764))),"",ROUND($H764*$I764*(1+IF($J764="",Setup!$B$16,$J764)),2))</f>
        <v/>
      </c>
      <c r="L764" s="90">
        <f>IF($K764="","",ROUND($K764*Setup!$B$13,2))</f>
        <v/>
      </c>
      <c r="M764" s="90">
        <f>IF($K764="","",$K764-$L764)</f>
        <v/>
      </c>
      <c r="N764" s="90">
        <f>IF(OR($M764="",$D764=""),"",ROUND($M764*IFERROR(IF(VLOOKUP($D764,Setup!$A$76:$C$87,3,FALSE)="",Setup!$B$14,VLOOKUP($D764,Setup!$A$76:$C$87,3,FALSE)),Setup!$B$14),2))</f>
        <v/>
      </c>
      <c r="O764" s="90">
        <f>IF(OR($M764="",$E764=""),"",ROUND($M764*IFERROR(IF(VLOOKUP($E764,Setup!$A$76:$C$87,3,FALSE)="",Setup!$B$15,VLOOKUP($E764,Setup!$A$76:$C$87,3,FALSE)),Setup!$B$15),2))</f>
        <v/>
      </c>
      <c r="P764" s="99" t="n"/>
      <c r="Q764" s="99" t="n"/>
      <c r="R764" s="99" t="n"/>
      <c r="S764" s="99" t="n"/>
      <c r="T764" s="99" t="n"/>
      <c r="U764" s="90">
        <f>IF($K764="","",SUM($R764:$T764))</f>
        <v/>
      </c>
      <c r="V764" s="90">
        <f>IF($K764="","",$M764-(N($N764)+N($O764)+IF($P764="",Setup!$B$17,$P764)+N($Q764))-N($U764))</f>
        <v/>
      </c>
      <c r="W764" s="95" t="n"/>
      <c r="X764" s="96" t="n"/>
      <c r="Z764" s="93">
        <f>IF($A764="","",DATE(YEAR($A764),MONTH($A764),1))</f>
        <v/>
      </c>
    </row>
    <row r="765">
      <c r="A765" s="86" t="n"/>
      <c r="B765" s="87" t="n"/>
      <c r="C765" s="87" t="n"/>
      <c r="D765" s="88" t="n"/>
      <c r="E765" s="88" t="n"/>
      <c r="F765" s="88" t="n"/>
      <c r="G765" s="88" t="n"/>
      <c r="H765" s="89" t="n"/>
      <c r="I765" s="90">
        <f>IF($G765="","",IF($F765="",IFERROR(INDEX(Setup!$C$21:$C$60,MATCH("|"&amp;UPPER(TRIM($G765)),Setup!$Q$21:$Q$60,0)),"NO RATE"),IFERROR(INDEX(Setup!$C$21:$C$60,MATCH(UPPER(TRIM($F765))&amp;"|"&amp;UPPER(TRIM($G765)),Setup!$P$21:$P$60,0)),IFERROR(INDEX(Setup!$C$21:$C$60,MATCH(UPPER(TRIM($G765))&amp;"|"&amp;UPPER(TRIM($F765)),Setup!$P$21:$P$60,0)),"NO RATE"))))</f>
        <v/>
      </c>
      <c r="J765" s="91" t="n"/>
      <c r="K765" s="90">
        <f>IF(OR($G765="",$H765="",NOT(ISNUMBER($I765))),"",ROUND($H765*$I765*(1+IF($J765="",Setup!$B$16,$J765)),2))</f>
        <v/>
      </c>
      <c r="L765" s="90">
        <f>IF($K765="","",ROUND($K765*Setup!$B$13,2))</f>
        <v/>
      </c>
      <c r="M765" s="90">
        <f>IF($K765="","",$K765-$L765)</f>
        <v/>
      </c>
      <c r="N765" s="90">
        <f>IF(OR($M765="",$D765=""),"",ROUND($M765*IFERROR(IF(VLOOKUP($D765,Setup!$A$76:$C$87,3,FALSE)="",Setup!$B$14,VLOOKUP($D765,Setup!$A$76:$C$87,3,FALSE)),Setup!$B$14),2))</f>
        <v/>
      </c>
      <c r="O765" s="90">
        <f>IF(OR($M765="",$E765=""),"",ROUND($M765*IFERROR(IF(VLOOKUP($E765,Setup!$A$76:$C$87,3,FALSE)="",Setup!$B$15,VLOOKUP($E765,Setup!$A$76:$C$87,3,FALSE)),Setup!$B$15),2))</f>
        <v/>
      </c>
      <c r="P765" s="92" t="n"/>
      <c r="Q765" s="92" t="n"/>
      <c r="R765" s="92" t="n"/>
      <c r="S765" s="92" t="n"/>
      <c r="T765" s="92" t="n"/>
      <c r="U765" s="90">
        <f>IF($K765="","",SUM($R765:$T765))</f>
        <v/>
      </c>
      <c r="V765" s="90">
        <f>IF($K765="","",$M765-(N($N765)+N($O765)+IF($P765="",Setup!$B$17,$P765)+N($Q765))-N($U765))</f>
        <v/>
      </c>
      <c r="W765" s="87" t="n"/>
      <c r="X765" s="88" t="n"/>
      <c r="Z765" s="93">
        <f>IF($A765="","",DATE(YEAR($A765),MONTH($A765),1))</f>
        <v/>
      </c>
    </row>
    <row r="766">
      <c r="A766" s="94" t="n"/>
      <c r="B766" s="95" t="n"/>
      <c r="C766" s="95" t="n"/>
      <c r="D766" s="96" t="n"/>
      <c r="E766" s="96" t="n"/>
      <c r="F766" s="96" t="n"/>
      <c r="G766" s="96" t="n"/>
      <c r="H766" s="97" t="n"/>
      <c r="I766" s="90">
        <f>IF($G766="","",IF($F766="",IFERROR(INDEX(Setup!$C$21:$C$60,MATCH("|"&amp;UPPER(TRIM($G766)),Setup!$Q$21:$Q$60,0)),"NO RATE"),IFERROR(INDEX(Setup!$C$21:$C$60,MATCH(UPPER(TRIM($F766))&amp;"|"&amp;UPPER(TRIM($G766)),Setup!$P$21:$P$60,0)),IFERROR(INDEX(Setup!$C$21:$C$60,MATCH(UPPER(TRIM($G766))&amp;"|"&amp;UPPER(TRIM($F766)),Setup!$P$21:$P$60,0)),"NO RATE"))))</f>
        <v/>
      </c>
      <c r="J766" s="98" t="n"/>
      <c r="K766" s="90">
        <f>IF(OR($G766="",$H766="",NOT(ISNUMBER($I766))),"",ROUND($H766*$I766*(1+IF($J766="",Setup!$B$16,$J766)),2))</f>
        <v/>
      </c>
      <c r="L766" s="90">
        <f>IF($K766="","",ROUND($K766*Setup!$B$13,2))</f>
        <v/>
      </c>
      <c r="M766" s="90">
        <f>IF($K766="","",$K766-$L766)</f>
        <v/>
      </c>
      <c r="N766" s="90">
        <f>IF(OR($M766="",$D766=""),"",ROUND($M766*IFERROR(IF(VLOOKUP($D766,Setup!$A$76:$C$87,3,FALSE)="",Setup!$B$14,VLOOKUP($D766,Setup!$A$76:$C$87,3,FALSE)),Setup!$B$14),2))</f>
        <v/>
      </c>
      <c r="O766" s="90">
        <f>IF(OR($M766="",$E766=""),"",ROUND($M766*IFERROR(IF(VLOOKUP($E766,Setup!$A$76:$C$87,3,FALSE)="",Setup!$B$15,VLOOKUP($E766,Setup!$A$76:$C$87,3,FALSE)),Setup!$B$15),2))</f>
        <v/>
      </c>
      <c r="P766" s="99" t="n"/>
      <c r="Q766" s="99" t="n"/>
      <c r="R766" s="99" t="n"/>
      <c r="S766" s="99" t="n"/>
      <c r="T766" s="99" t="n"/>
      <c r="U766" s="90">
        <f>IF($K766="","",SUM($R766:$T766))</f>
        <v/>
      </c>
      <c r="V766" s="90">
        <f>IF($K766="","",$M766-(N($N766)+N($O766)+IF($P766="",Setup!$B$17,$P766)+N($Q766))-N($U766))</f>
        <v/>
      </c>
      <c r="W766" s="95" t="n"/>
      <c r="X766" s="96" t="n"/>
      <c r="Z766" s="93">
        <f>IF($A766="","",DATE(YEAR($A766),MONTH($A766),1))</f>
        <v/>
      </c>
    </row>
    <row r="767">
      <c r="A767" s="86" t="n"/>
      <c r="B767" s="87" t="n"/>
      <c r="C767" s="87" t="n"/>
      <c r="D767" s="88" t="n"/>
      <c r="E767" s="88" t="n"/>
      <c r="F767" s="88" t="n"/>
      <c r="G767" s="88" t="n"/>
      <c r="H767" s="89" t="n"/>
      <c r="I767" s="90">
        <f>IF($G767="","",IF($F767="",IFERROR(INDEX(Setup!$C$21:$C$60,MATCH("|"&amp;UPPER(TRIM($G767)),Setup!$Q$21:$Q$60,0)),"NO RATE"),IFERROR(INDEX(Setup!$C$21:$C$60,MATCH(UPPER(TRIM($F767))&amp;"|"&amp;UPPER(TRIM($G767)),Setup!$P$21:$P$60,0)),IFERROR(INDEX(Setup!$C$21:$C$60,MATCH(UPPER(TRIM($G767))&amp;"|"&amp;UPPER(TRIM($F767)),Setup!$P$21:$P$60,0)),"NO RATE"))))</f>
        <v/>
      </c>
      <c r="J767" s="91" t="n"/>
      <c r="K767" s="90">
        <f>IF(OR($G767="",$H767="",NOT(ISNUMBER($I767))),"",ROUND($H767*$I767*(1+IF($J767="",Setup!$B$16,$J767)),2))</f>
        <v/>
      </c>
      <c r="L767" s="90">
        <f>IF($K767="","",ROUND($K767*Setup!$B$13,2))</f>
        <v/>
      </c>
      <c r="M767" s="90">
        <f>IF($K767="","",$K767-$L767)</f>
        <v/>
      </c>
      <c r="N767" s="90">
        <f>IF(OR($M767="",$D767=""),"",ROUND($M767*IFERROR(IF(VLOOKUP($D767,Setup!$A$76:$C$87,3,FALSE)="",Setup!$B$14,VLOOKUP($D767,Setup!$A$76:$C$87,3,FALSE)),Setup!$B$14),2))</f>
        <v/>
      </c>
      <c r="O767" s="90">
        <f>IF(OR($M767="",$E767=""),"",ROUND($M767*IFERROR(IF(VLOOKUP($E767,Setup!$A$76:$C$87,3,FALSE)="",Setup!$B$15,VLOOKUP($E767,Setup!$A$76:$C$87,3,FALSE)),Setup!$B$15),2))</f>
        <v/>
      </c>
      <c r="P767" s="92" t="n"/>
      <c r="Q767" s="92" t="n"/>
      <c r="R767" s="92" t="n"/>
      <c r="S767" s="92" t="n"/>
      <c r="T767" s="92" t="n"/>
      <c r="U767" s="90">
        <f>IF($K767="","",SUM($R767:$T767))</f>
        <v/>
      </c>
      <c r="V767" s="90">
        <f>IF($K767="","",$M767-(N($N767)+N($O767)+IF($P767="",Setup!$B$17,$P767)+N($Q767))-N($U767))</f>
        <v/>
      </c>
      <c r="W767" s="87" t="n"/>
      <c r="X767" s="88" t="n"/>
      <c r="Z767" s="93">
        <f>IF($A767="","",DATE(YEAR($A767),MONTH($A767),1))</f>
        <v/>
      </c>
    </row>
    <row r="768">
      <c r="A768" s="94" t="n"/>
      <c r="B768" s="95" t="n"/>
      <c r="C768" s="95" t="n"/>
      <c r="D768" s="96" t="n"/>
      <c r="E768" s="96" t="n"/>
      <c r="F768" s="96" t="n"/>
      <c r="G768" s="96" t="n"/>
      <c r="H768" s="97" t="n"/>
      <c r="I768" s="90">
        <f>IF($G768="","",IF($F768="",IFERROR(INDEX(Setup!$C$21:$C$60,MATCH("|"&amp;UPPER(TRIM($G768)),Setup!$Q$21:$Q$60,0)),"NO RATE"),IFERROR(INDEX(Setup!$C$21:$C$60,MATCH(UPPER(TRIM($F768))&amp;"|"&amp;UPPER(TRIM($G768)),Setup!$P$21:$P$60,0)),IFERROR(INDEX(Setup!$C$21:$C$60,MATCH(UPPER(TRIM($G768))&amp;"|"&amp;UPPER(TRIM($F768)),Setup!$P$21:$P$60,0)),"NO RATE"))))</f>
        <v/>
      </c>
      <c r="J768" s="98" t="n"/>
      <c r="K768" s="90">
        <f>IF(OR($G768="",$H768="",NOT(ISNUMBER($I768))),"",ROUND($H768*$I768*(1+IF($J768="",Setup!$B$16,$J768)),2))</f>
        <v/>
      </c>
      <c r="L768" s="90">
        <f>IF($K768="","",ROUND($K768*Setup!$B$13,2))</f>
        <v/>
      </c>
      <c r="M768" s="90">
        <f>IF($K768="","",$K768-$L768)</f>
        <v/>
      </c>
      <c r="N768" s="90">
        <f>IF(OR($M768="",$D768=""),"",ROUND($M768*IFERROR(IF(VLOOKUP($D768,Setup!$A$76:$C$87,3,FALSE)="",Setup!$B$14,VLOOKUP($D768,Setup!$A$76:$C$87,3,FALSE)),Setup!$B$14),2))</f>
        <v/>
      </c>
      <c r="O768" s="90">
        <f>IF(OR($M768="",$E768=""),"",ROUND($M768*IFERROR(IF(VLOOKUP($E768,Setup!$A$76:$C$87,3,FALSE)="",Setup!$B$15,VLOOKUP($E768,Setup!$A$76:$C$87,3,FALSE)),Setup!$B$15),2))</f>
        <v/>
      </c>
      <c r="P768" s="99" t="n"/>
      <c r="Q768" s="99" t="n"/>
      <c r="R768" s="99" t="n"/>
      <c r="S768" s="99" t="n"/>
      <c r="T768" s="99" t="n"/>
      <c r="U768" s="90">
        <f>IF($K768="","",SUM($R768:$T768))</f>
        <v/>
      </c>
      <c r="V768" s="90">
        <f>IF($K768="","",$M768-(N($N768)+N($O768)+IF($P768="",Setup!$B$17,$P768)+N($Q768))-N($U768))</f>
        <v/>
      </c>
      <c r="W768" s="95" t="n"/>
      <c r="X768" s="96" t="n"/>
      <c r="Z768" s="93">
        <f>IF($A768="","",DATE(YEAR($A768),MONTH($A768),1))</f>
        <v/>
      </c>
    </row>
    <row r="769">
      <c r="A769" s="86" t="n"/>
      <c r="B769" s="87" t="n"/>
      <c r="C769" s="87" t="n"/>
      <c r="D769" s="88" t="n"/>
      <c r="E769" s="88" t="n"/>
      <c r="F769" s="88" t="n"/>
      <c r="G769" s="88" t="n"/>
      <c r="H769" s="89" t="n"/>
      <c r="I769" s="90">
        <f>IF($G769="","",IF($F769="",IFERROR(INDEX(Setup!$C$21:$C$60,MATCH("|"&amp;UPPER(TRIM($G769)),Setup!$Q$21:$Q$60,0)),"NO RATE"),IFERROR(INDEX(Setup!$C$21:$C$60,MATCH(UPPER(TRIM($F769))&amp;"|"&amp;UPPER(TRIM($G769)),Setup!$P$21:$P$60,0)),IFERROR(INDEX(Setup!$C$21:$C$60,MATCH(UPPER(TRIM($G769))&amp;"|"&amp;UPPER(TRIM($F769)),Setup!$P$21:$P$60,0)),"NO RATE"))))</f>
        <v/>
      </c>
      <c r="J769" s="91" t="n"/>
      <c r="K769" s="90">
        <f>IF(OR($G769="",$H769="",NOT(ISNUMBER($I769))),"",ROUND($H769*$I769*(1+IF($J769="",Setup!$B$16,$J769)),2))</f>
        <v/>
      </c>
      <c r="L769" s="90">
        <f>IF($K769="","",ROUND($K769*Setup!$B$13,2))</f>
        <v/>
      </c>
      <c r="M769" s="90">
        <f>IF($K769="","",$K769-$L769)</f>
        <v/>
      </c>
      <c r="N769" s="90">
        <f>IF(OR($M769="",$D769=""),"",ROUND($M769*IFERROR(IF(VLOOKUP($D769,Setup!$A$76:$C$87,3,FALSE)="",Setup!$B$14,VLOOKUP($D769,Setup!$A$76:$C$87,3,FALSE)),Setup!$B$14),2))</f>
        <v/>
      </c>
      <c r="O769" s="90">
        <f>IF(OR($M769="",$E769=""),"",ROUND($M769*IFERROR(IF(VLOOKUP($E769,Setup!$A$76:$C$87,3,FALSE)="",Setup!$B$15,VLOOKUP($E769,Setup!$A$76:$C$87,3,FALSE)),Setup!$B$15),2))</f>
        <v/>
      </c>
      <c r="P769" s="92" t="n"/>
      <c r="Q769" s="92" t="n"/>
      <c r="R769" s="92" t="n"/>
      <c r="S769" s="92" t="n"/>
      <c r="T769" s="92" t="n"/>
      <c r="U769" s="90">
        <f>IF($K769="","",SUM($R769:$T769))</f>
        <v/>
      </c>
      <c r="V769" s="90">
        <f>IF($K769="","",$M769-(N($N769)+N($O769)+IF($P769="",Setup!$B$17,$P769)+N($Q769))-N($U769))</f>
        <v/>
      </c>
      <c r="W769" s="87" t="n"/>
      <c r="X769" s="88" t="n"/>
      <c r="Z769" s="93">
        <f>IF($A769="","",DATE(YEAR($A769),MONTH($A769),1))</f>
        <v/>
      </c>
    </row>
    <row r="770">
      <c r="A770" s="94" t="n"/>
      <c r="B770" s="95" t="n"/>
      <c r="C770" s="95" t="n"/>
      <c r="D770" s="96" t="n"/>
      <c r="E770" s="96" t="n"/>
      <c r="F770" s="96" t="n"/>
      <c r="G770" s="96" t="n"/>
      <c r="H770" s="97" t="n"/>
      <c r="I770" s="90">
        <f>IF($G770="","",IF($F770="",IFERROR(INDEX(Setup!$C$21:$C$60,MATCH("|"&amp;UPPER(TRIM($G770)),Setup!$Q$21:$Q$60,0)),"NO RATE"),IFERROR(INDEX(Setup!$C$21:$C$60,MATCH(UPPER(TRIM($F770))&amp;"|"&amp;UPPER(TRIM($G770)),Setup!$P$21:$P$60,0)),IFERROR(INDEX(Setup!$C$21:$C$60,MATCH(UPPER(TRIM($G770))&amp;"|"&amp;UPPER(TRIM($F770)),Setup!$P$21:$P$60,0)),"NO RATE"))))</f>
        <v/>
      </c>
      <c r="J770" s="98" t="n"/>
      <c r="K770" s="90">
        <f>IF(OR($G770="",$H770="",NOT(ISNUMBER($I770))),"",ROUND($H770*$I770*(1+IF($J770="",Setup!$B$16,$J770)),2))</f>
        <v/>
      </c>
      <c r="L770" s="90">
        <f>IF($K770="","",ROUND($K770*Setup!$B$13,2))</f>
        <v/>
      </c>
      <c r="M770" s="90">
        <f>IF($K770="","",$K770-$L770)</f>
        <v/>
      </c>
      <c r="N770" s="90">
        <f>IF(OR($M770="",$D770=""),"",ROUND($M770*IFERROR(IF(VLOOKUP($D770,Setup!$A$76:$C$87,3,FALSE)="",Setup!$B$14,VLOOKUP($D770,Setup!$A$76:$C$87,3,FALSE)),Setup!$B$14),2))</f>
        <v/>
      </c>
      <c r="O770" s="90">
        <f>IF(OR($M770="",$E770=""),"",ROUND($M770*IFERROR(IF(VLOOKUP($E770,Setup!$A$76:$C$87,3,FALSE)="",Setup!$B$15,VLOOKUP($E770,Setup!$A$76:$C$87,3,FALSE)),Setup!$B$15),2))</f>
        <v/>
      </c>
      <c r="P770" s="99" t="n"/>
      <c r="Q770" s="99" t="n"/>
      <c r="R770" s="99" t="n"/>
      <c r="S770" s="99" t="n"/>
      <c r="T770" s="99" t="n"/>
      <c r="U770" s="90">
        <f>IF($K770="","",SUM($R770:$T770))</f>
        <v/>
      </c>
      <c r="V770" s="90">
        <f>IF($K770="","",$M770-(N($N770)+N($O770)+IF($P770="",Setup!$B$17,$P770)+N($Q770))-N($U770))</f>
        <v/>
      </c>
      <c r="W770" s="95" t="n"/>
      <c r="X770" s="96" t="n"/>
      <c r="Z770" s="93">
        <f>IF($A770="","",DATE(YEAR($A770),MONTH($A770),1))</f>
        <v/>
      </c>
    </row>
    <row r="771">
      <c r="A771" s="86" t="n"/>
      <c r="B771" s="87" t="n"/>
      <c r="C771" s="87" t="n"/>
      <c r="D771" s="88" t="n"/>
      <c r="E771" s="88" t="n"/>
      <c r="F771" s="88" t="n"/>
      <c r="G771" s="88" t="n"/>
      <c r="H771" s="89" t="n"/>
      <c r="I771" s="90">
        <f>IF($G771="","",IF($F771="",IFERROR(INDEX(Setup!$C$21:$C$60,MATCH("|"&amp;UPPER(TRIM($G771)),Setup!$Q$21:$Q$60,0)),"NO RATE"),IFERROR(INDEX(Setup!$C$21:$C$60,MATCH(UPPER(TRIM($F771))&amp;"|"&amp;UPPER(TRIM($G771)),Setup!$P$21:$P$60,0)),IFERROR(INDEX(Setup!$C$21:$C$60,MATCH(UPPER(TRIM($G771))&amp;"|"&amp;UPPER(TRIM($F771)),Setup!$P$21:$P$60,0)),"NO RATE"))))</f>
        <v/>
      </c>
      <c r="J771" s="91" t="n"/>
      <c r="K771" s="90">
        <f>IF(OR($G771="",$H771="",NOT(ISNUMBER($I771))),"",ROUND($H771*$I771*(1+IF($J771="",Setup!$B$16,$J771)),2))</f>
        <v/>
      </c>
      <c r="L771" s="90">
        <f>IF($K771="","",ROUND($K771*Setup!$B$13,2))</f>
        <v/>
      </c>
      <c r="M771" s="90">
        <f>IF($K771="","",$K771-$L771)</f>
        <v/>
      </c>
      <c r="N771" s="90">
        <f>IF(OR($M771="",$D771=""),"",ROUND($M771*IFERROR(IF(VLOOKUP($D771,Setup!$A$76:$C$87,3,FALSE)="",Setup!$B$14,VLOOKUP($D771,Setup!$A$76:$C$87,3,FALSE)),Setup!$B$14),2))</f>
        <v/>
      </c>
      <c r="O771" s="90">
        <f>IF(OR($M771="",$E771=""),"",ROUND($M771*IFERROR(IF(VLOOKUP($E771,Setup!$A$76:$C$87,3,FALSE)="",Setup!$B$15,VLOOKUP($E771,Setup!$A$76:$C$87,3,FALSE)),Setup!$B$15),2))</f>
        <v/>
      </c>
      <c r="P771" s="92" t="n"/>
      <c r="Q771" s="92" t="n"/>
      <c r="R771" s="92" t="n"/>
      <c r="S771" s="92" t="n"/>
      <c r="T771" s="92" t="n"/>
      <c r="U771" s="90">
        <f>IF($K771="","",SUM($R771:$T771))</f>
        <v/>
      </c>
      <c r="V771" s="90">
        <f>IF($K771="","",$M771-(N($N771)+N($O771)+IF($P771="",Setup!$B$17,$P771)+N($Q771))-N($U771))</f>
        <v/>
      </c>
      <c r="W771" s="87" t="n"/>
      <c r="X771" s="88" t="n"/>
      <c r="Z771" s="93">
        <f>IF($A771="","",DATE(YEAR($A771),MONTH($A771),1))</f>
        <v/>
      </c>
    </row>
    <row r="772">
      <c r="A772" s="94" t="n"/>
      <c r="B772" s="95" t="n"/>
      <c r="C772" s="95" t="n"/>
      <c r="D772" s="96" t="n"/>
      <c r="E772" s="96" t="n"/>
      <c r="F772" s="96" t="n"/>
      <c r="G772" s="96" t="n"/>
      <c r="H772" s="97" t="n"/>
      <c r="I772" s="90">
        <f>IF($G772="","",IF($F772="",IFERROR(INDEX(Setup!$C$21:$C$60,MATCH("|"&amp;UPPER(TRIM($G772)),Setup!$Q$21:$Q$60,0)),"NO RATE"),IFERROR(INDEX(Setup!$C$21:$C$60,MATCH(UPPER(TRIM($F772))&amp;"|"&amp;UPPER(TRIM($G772)),Setup!$P$21:$P$60,0)),IFERROR(INDEX(Setup!$C$21:$C$60,MATCH(UPPER(TRIM($G772))&amp;"|"&amp;UPPER(TRIM($F772)),Setup!$P$21:$P$60,0)),"NO RATE"))))</f>
        <v/>
      </c>
      <c r="J772" s="98" t="n"/>
      <c r="K772" s="90">
        <f>IF(OR($G772="",$H772="",NOT(ISNUMBER($I772))),"",ROUND($H772*$I772*(1+IF($J772="",Setup!$B$16,$J772)),2))</f>
        <v/>
      </c>
      <c r="L772" s="90">
        <f>IF($K772="","",ROUND($K772*Setup!$B$13,2))</f>
        <v/>
      </c>
      <c r="M772" s="90">
        <f>IF($K772="","",$K772-$L772)</f>
        <v/>
      </c>
      <c r="N772" s="90">
        <f>IF(OR($M772="",$D772=""),"",ROUND($M772*IFERROR(IF(VLOOKUP($D772,Setup!$A$76:$C$87,3,FALSE)="",Setup!$B$14,VLOOKUP($D772,Setup!$A$76:$C$87,3,FALSE)),Setup!$B$14),2))</f>
        <v/>
      </c>
      <c r="O772" s="90">
        <f>IF(OR($M772="",$E772=""),"",ROUND($M772*IFERROR(IF(VLOOKUP($E772,Setup!$A$76:$C$87,3,FALSE)="",Setup!$B$15,VLOOKUP($E772,Setup!$A$76:$C$87,3,FALSE)),Setup!$B$15),2))</f>
        <v/>
      </c>
      <c r="P772" s="99" t="n"/>
      <c r="Q772" s="99" t="n"/>
      <c r="R772" s="99" t="n"/>
      <c r="S772" s="99" t="n"/>
      <c r="T772" s="99" t="n"/>
      <c r="U772" s="90">
        <f>IF($K772="","",SUM($R772:$T772))</f>
        <v/>
      </c>
      <c r="V772" s="90">
        <f>IF($K772="","",$M772-(N($N772)+N($O772)+IF($P772="",Setup!$B$17,$P772)+N($Q772))-N($U772))</f>
        <v/>
      </c>
      <c r="W772" s="95" t="n"/>
      <c r="X772" s="96" t="n"/>
      <c r="Z772" s="93">
        <f>IF($A772="","",DATE(YEAR($A772),MONTH($A772),1))</f>
        <v/>
      </c>
    </row>
    <row r="773">
      <c r="A773" s="86" t="n"/>
      <c r="B773" s="87" t="n"/>
      <c r="C773" s="87" t="n"/>
      <c r="D773" s="88" t="n"/>
      <c r="E773" s="88" t="n"/>
      <c r="F773" s="88" t="n"/>
      <c r="G773" s="88" t="n"/>
      <c r="H773" s="89" t="n"/>
      <c r="I773" s="90">
        <f>IF($G773="","",IF($F773="",IFERROR(INDEX(Setup!$C$21:$C$60,MATCH("|"&amp;UPPER(TRIM($G773)),Setup!$Q$21:$Q$60,0)),"NO RATE"),IFERROR(INDEX(Setup!$C$21:$C$60,MATCH(UPPER(TRIM($F773))&amp;"|"&amp;UPPER(TRIM($G773)),Setup!$P$21:$P$60,0)),IFERROR(INDEX(Setup!$C$21:$C$60,MATCH(UPPER(TRIM($G773))&amp;"|"&amp;UPPER(TRIM($F773)),Setup!$P$21:$P$60,0)),"NO RATE"))))</f>
        <v/>
      </c>
      <c r="J773" s="91" t="n"/>
      <c r="K773" s="90">
        <f>IF(OR($G773="",$H773="",NOT(ISNUMBER($I773))),"",ROUND($H773*$I773*(1+IF($J773="",Setup!$B$16,$J773)),2))</f>
        <v/>
      </c>
      <c r="L773" s="90">
        <f>IF($K773="","",ROUND($K773*Setup!$B$13,2))</f>
        <v/>
      </c>
      <c r="M773" s="90">
        <f>IF($K773="","",$K773-$L773)</f>
        <v/>
      </c>
      <c r="N773" s="90">
        <f>IF(OR($M773="",$D773=""),"",ROUND($M773*IFERROR(IF(VLOOKUP($D773,Setup!$A$76:$C$87,3,FALSE)="",Setup!$B$14,VLOOKUP($D773,Setup!$A$76:$C$87,3,FALSE)),Setup!$B$14),2))</f>
        <v/>
      </c>
      <c r="O773" s="90">
        <f>IF(OR($M773="",$E773=""),"",ROUND($M773*IFERROR(IF(VLOOKUP($E773,Setup!$A$76:$C$87,3,FALSE)="",Setup!$B$15,VLOOKUP($E773,Setup!$A$76:$C$87,3,FALSE)),Setup!$B$15),2))</f>
        <v/>
      </c>
      <c r="P773" s="92" t="n"/>
      <c r="Q773" s="92" t="n"/>
      <c r="R773" s="92" t="n"/>
      <c r="S773" s="92" t="n"/>
      <c r="T773" s="92" t="n"/>
      <c r="U773" s="90">
        <f>IF($K773="","",SUM($R773:$T773))</f>
        <v/>
      </c>
      <c r="V773" s="90">
        <f>IF($K773="","",$M773-(N($N773)+N($O773)+IF($P773="",Setup!$B$17,$P773)+N($Q773))-N($U773))</f>
        <v/>
      </c>
      <c r="W773" s="87" t="n"/>
      <c r="X773" s="88" t="n"/>
      <c r="Z773" s="93">
        <f>IF($A773="","",DATE(YEAR($A773),MONTH($A773),1))</f>
        <v/>
      </c>
    </row>
    <row r="774">
      <c r="A774" s="94" t="n"/>
      <c r="B774" s="95" t="n"/>
      <c r="C774" s="95" t="n"/>
      <c r="D774" s="96" t="n"/>
      <c r="E774" s="96" t="n"/>
      <c r="F774" s="96" t="n"/>
      <c r="G774" s="96" t="n"/>
      <c r="H774" s="97" t="n"/>
      <c r="I774" s="90">
        <f>IF($G774="","",IF($F774="",IFERROR(INDEX(Setup!$C$21:$C$60,MATCH("|"&amp;UPPER(TRIM($G774)),Setup!$Q$21:$Q$60,0)),"NO RATE"),IFERROR(INDEX(Setup!$C$21:$C$60,MATCH(UPPER(TRIM($F774))&amp;"|"&amp;UPPER(TRIM($G774)),Setup!$P$21:$P$60,0)),IFERROR(INDEX(Setup!$C$21:$C$60,MATCH(UPPER(TRIM($G774))&amp;"|"&amp;UPPER(TRIM($F774)),Setup!$P$21:$P$60,0)),"NO RATE"))))</f>
        <v/>
      </c>
      <c r="J774" s="98" t="n"/>
      <c r="K774" s="90">
        <f>IF(OR($G774="",$H774="",NOT(ISNUMBER($I774))),"",ROUND($H774*$I774*(1+IF($J774="",Setup!$B$16,$J774)),2))</f>
        <v/>
      </c>
      <c r="L774" s="90">
        <f>IF($K774="","",ROUND($K774*Setup!$B$13,2))</f>
        <v/>
      </c>
      <c r="M774" s="90">
        <f>IF($K774="","",$K774-$L774)</f>
        <v/>
      </c>
      <c r="N774" s="90">
        <f>IF(OR($M774="",$D774=""),"",ROUND($M774*IFERROR(IF(VLOOKUP($D774,Setup!$A$76:$C$87,3,FALSE)="",Setup!$B$14,VLOOKUP($D774,Setup!$A$76:$C$87,3,FALSE)),Setup!$B$14),2))</f>
        <v/>
      </c>
      <c r="O774" s="90">
        <f>IF(OR($M774="",$E774=""),"",ROUND($M774*IFERROR(IF(VLOOKUP($E774,Setup!$A$76:$C$87,3,FALSE)="",Setup!$B$15,VLOOKUP($E774,Setup!$A$76:$C$87,3,FALSE)),Setup!$B$15),2))</f>
        <v/>
      </c>
      <c r="P774" s="99" t="n"/>
      <c r="Q774" s="99" t="n"/>
      <c r="R774" s="99" t="n"/>
      <c r="S774" s="99" t="n"/>
      <c r="T774" s="99" t="n"/>
      <c r="U774" s="90">
        <f>IF($K774="","",SUM($R774:$T774))</f>
        <v/>
      </c>
      <c r="V774" s="90">
        <f>IF($K774="","",$M774-(N($N774)+N($O774)+IF($P774="",Setup!$B$17,$P774)+N($Q774))-N($U774))</f>
        <v/>
      </c>
      <c r="W774" s="95" t="n"/>
      <c r="X774" s="96" t="n"/>
      <c r="Z774" s="93">
        <f>IF($A774="","",DATE(YEAR($A774),MONTH($A774),1))</f>
        <v/>
      </c>
    </row>
    <row r="775">
      <c r="A775" s="86" t="n"/>
      <c r="B775" s="87" t="n"/>
      <c r="C775" s="87" t="n"/>
      <c r="D775" s="88" t="n"/>
      <c r="E775" s="88" t="n"/>
      <c r="F775" s="88" t="n"/>
      <c r="G775" s="88" t="n"/>
      <c r="H775" s="89" t="n"/>
      <c r="I775" s="90">
        <f>IF($G775="","",IF($F775="",IFERROR(INDEX(Setup!$C$21:$C$60,MATCH("|"&amp;UPPER(TRIM($G775)),Setup!$Q$21:$Q$60,0)),"NO RATE"),IFERROR(INDEX(Setup!$C$21:$C$60,MATCH(UPPER(TRIM($F775))&amp;"|"&amp;UPPER(TRIM($G775)),Setup!$P$21:$P$60,0)),IFERROR(INDEX(Setup!$C$21:$C$60,MATCH(UPPER(TRIM($G775))&amp;"|"&amp;UPPER(TRIM($F775)),Setup!$P$21:$P$60,0)),"NO RATE"))))</f>
        <v/>
      </c>
      <c r="J775" s="91" t="n"/>
      <c r="K775" s="90">
        <f>IF(OR($G775="",$H775="",NOT(ISNUMBER($I775))),"",ROUND($H775*$I775*(1+IF($J775="",Setup!$B$16,$J775)),2))</f>
        <v/>
      </c>
      <c r="L775" s="90">
        <f>IF($K775="","",ROUND($K775*Setup!$B$13,2))</f>
        <v/>
      </c>
      <c r="M775" s="90">
        <f>IF($K775="","",$K775-$L775)</f>
        <v/>
      </c>
      <c r="N775" s="90">
        <f>IF(OR($M775="",$D775=""),"",ROUND($M775*IFERROR(IF(VLOOKUP($D775,Setup!$A$76:$C$87,3,FALSE)="",Setup!$B$14,VLOOKUP($D775,Setup!$A$76:$C$87,3,FALSE)),Setup!$B$14),2))</f>
        <v/>
      </c>
      <c r="O775" s="90">
        <f>IF(OR($M775="",$E775=""),"",ROUND($M775*IFERROR(IF(VLOOKUP($E775,Setup!$A$76:$C$87,3,FALSE)="",Setup!$B$15,VLOOKUP($E775,Setup!$A$76:$C$87,3,FALSE)),Setup!$B$15),2))</f>
        <v/>
      </c>
      <c r="P775" s="92" t="n"/>
      <c r="Q775" s="92" t="n"/>
      <c r="R775" s="92" t="n"/>
      <c r="S775" s="92" t="n"/>
      <c r="T775" s="92" t="n"/>
      <c r="U775" s="90">
        <f>IF($K775="","",SUM($R775:$T775))</f>
        <v/>
      </c>
      <c r="V775" s="90">
        <f>IF($K775="","",$M775-(N($N775)+N($O775)+IF($P775="",Setup!$B$17,$P775)+N($Q775))-N($U775))</f>
        <v/>
      </c>
      <c r="W775" s="87" t="n"/>
      <c r="X775" s="88" t="n"/>
      <c r="Z775" s="93">
        <f>IF($A775="","",DATE(YEAR($A775),MONTH($A775),1))</f>
        <v/>
      </c>
    </row>
    <row r="776">
      <c r="A776" s="94" t="n"/>
      <c r="B776" s="95" t="n"/>
      <c r="C776" s="95" t="n"/>
      <c r="D776" s="96" t="n"/>
      <c r="E776" s="96" t="n"/>
      <c r="F776" s="96" t="n"/>
      <c r="G776" s="96" t="n"/>
      <c r="H776" s="97" t="n"/>
      <c r="I776" s="90">
        <f>IF($G776="","",IF($F776="",IFERROR(INDEX(Setup!$C$21:$C$60,MATCH("|"&amp;UPPER(TRIM($G776)),Setup!$Q$21:$Q$60,0)),"NO RATE"),IFERROR(INDEX(Setup!$C$21:$C$60,MATCH(UPPER(TRIM($F776))&amp;"|"&amp;UPPER(TRIM($G776)),Setup!$P$21:$P$60,0)),IFERROR(INDEX(Setup!$C$21:$C$60,MATCH(UPPER(TRIM($G776))&amp;"|"&amp;UPPER(TRIM($F776)),Setup!$P$21:$P$60,0)),"NO RATE"))))</f>
        <v/>
      </c>
      <c r="J776" s="98" t="n"/>
      <c r="K776" s="90">
        <f>IF(OR($G776="",$H776="",NOT(ISNUMBER($I776))),"",ROUND($H776*$I776*(1+IF($J776="",Setup!$B$16,$J776)),2))</f>
        <v/>
      </c>
      <c r="L776" s="90">
        <f>IF($K776="","",ROUND($K776*Setup!$B$13,2))</f>
        <v/>
      </c>
      <c r="M776" s="90">
        <f>IF($K776="","",$K776-$L776)</f>
        <v/>
      </c>
      <c r="N776" s="90">
        <f>IF(OR($M776="",$D776=""),"",ROUND($M776*IFERROR(IF(VLOOKUP($D776,Setup!$A$76:$C$87,3,FALSE)="",Setup!$B$14,VLOOKUP($D776,Setup!$A$76:$C$87,3,FALSE)),Setup!$B$14),2))</f>
        <v/>
      </c>
      <c r="O776" s="90">
        <f>IF(OR($M776="",$E776=""),"",ROUND($M776*IFERROR(IF(VLOOKUP($E776,Setup!$A$76:$C$87,3,FALSE)="",Setup!$B$15,VLOOKUP($E776,Setup!$A$76:$C$87,3,FALSE)),Setup!$B$15),2))</f>
        <v/>
      </c>
      <c r="P776" s="99" t="n"/>
      <c r="Q776" s="99" t="n"/>
      <c r="R776" s="99" t="n"/>
      <c r="S776" s="99" t="n"/>
      <c r="T776" s="99" t="n"/>
      <c r="U776" s="90">
        <f>IF($K776="","",SUM($R776:$T776))</f>
        <v/>
      </c>
      <c r="V776" s="90">
        <f>IF($K776="","",$M776-(N($N776)+N($O776)+IF($P776="",Setup!$B$17,$P776)+N($Q776))-N($U776))</f>
        <v/>
      </c>
      <c r="W776" s="95" t="n"/>
      <c r="X776" s="96" t="n"/>
      <c r="Z776" s="93">
        <f>IF($A776="","",DATE(YEAR($A776),MONTH($A776),1))</f>
        <v/>
      </c>
    </row>
    <row r="777">
      <c r="A777" s="86" t="n"/>
      <c r="B777" s="87" t="n"/>
      <c r="C777" s="87" t="n"/>
      <c r="D777" s="88" t="n"/>
      <c r="E777" s="88" t="n"/>
      <c r="F777" s="88" t="n"/>
      <c r="G777" s="88" t="n"/>
      <c r="H777" s="89" t="n"/>
      <c r="I777" s="90">
        <f>IF($G777="","",IF($F777="",IFERROR(INDEX(Setup!$C$21:$C$60,MATCH("|"&amp;UPPER(TRIM($G777)),Setup!$Q$21:$Q$60,0)),"NO RATE"),IFERROR(INDEX(Setup!$C$21:$C$60,MATCH(UPPER(TRIM($F777))&amp;"|"&amp;UPPER(TRIM($G777)),Setup!$P$21:$P$60,0)),IFERROR(INDEX(Setup!$C$21:$C$60,MATCH(UPPER(TRIM($G777))&amp;"|"&amp;UPPER(TRIM($F777)),Setup!$P$21:$P$60,0)),"NO RATE"))))</f>
        <v/>
      </c>
      <c r="J777" s="91" t="n"/>
      <c r="K777" s="90">
        <f>IF(OR($G777="",$H777="",NOT(ISNUMBER($I777))),"",ROUND($H777*$I777*(1+IF($J777="",Setup!$B$16,$J777)),2))</f>
        <v/>
      </c>
      <c r="L777" s="90">
        <f>IF($K777="","",ROUND($K777*Setup!$B$13,2))</f>
        <v/>
      </c>
      <c r="M777" s="90">
        <f>IF($K777="","",$K777-$L777)</f>
        <v/>
      </c>
      <c r="N777" s="90">
        <f>IF(OR($M777="",$D777=""),"",ROUND($M777*IFERROR(IF(VLOOKUP($D777,Setup!$A$76:$C$87,3,FALSE)="",Setup!$B$14,VLOOKUP($D777,Setup!$A$76:$C$87,3,FALSE)),Setup!$B$14),2))</f>
        <v/>
      </c>
      <c r="O777" s="90">
        <f>IF(OR($M777="",$E777=""),"",ROUND($M777*IFERROR(IF(VLOOKUP($E777,Setup!$A$76:$C$87,3,FALSE)="",Setup!$B$15,VLOOKUP($E777,Setup!$A$76:$C$87,3,FALSE)),Setup!$B$15),2))</f>
        <v/>
      </c>
      <c r="P777" s="92" t="n"/>
      <c r="Q777" s="92" t="n"/>
      <c r="R777" s="92" t="n"/>
      <c r="S777" s="92" t="n"/>
      <c r="T777" s="92" t="n"/>
      <c r="U777" s="90">
        <f>IF($K777="","",SUM($R777:$T777))</f>
        <v/>
      </c>
      <c r="V777" s="90">
        <f>IF($K777="","",$M777-(N($N777)+N($O777)+IF($P777="",Setup!$B$17,$P777)+N($Q777))-N($U777))</f>
        <v/>
      </c>
      <c r="W777" s="87" t="n"/>
      <c r="X777" s="88" t="n"/>
      <c r="Z777" s="93">
        <f>IF($A777="","",DATE(YEAR($A777),MONTH($A777),1))</f>
        <v/>
      </c>
    </row>
    <row r="778">
      <c r="A778" s="94" t="n"/>
      <c r="B778" s="95" t="n"/>
      <c r="C778" s="95" t="n"/>
      <c r="D778" s="96" t="n"/>
      <c r="E778" s="96" t="n"/>
      <c r="F778" s="96" t="n"/>
      <c r="G778" s="96" t="n"/>
      <c r="H778" s="97" t="n"/>
      <c r="I778" s="90">
        <f>IF($G778="","",IF($F778="",IFERROR(INDEX(Setup!$C$21:$C$60,MATCH("|"&amp;UPPER(TRIM($G778)),Setup!$Q$21:$Q$60,0)),"NO RATE"),IFERROR(INDEX(Setup!$C$21:$C$60,MATCH(UPPER(TRIM($F778))&amp;"|"&amp;UPPER(TRIM($G778)),Setup!$P$21:$P$60,0)),IFERROR(INDEX(Setup!$C$21:$C$60,MATCH(UPPER(TRIM($G778))&amp;"|"&amp;UPPER(TRIM($F778)),Setup!$P$21:$P$60,0)),"NO RATE"))))</f>
        <v/>
      </c>
      <c r="J778" s="98" t="n"/>
      <c r="K778" s="90">
        <f>IF(OR($G778="",$H778="",NOT(ISNUMBER($I778))),"",ROUND($H778*$I778*(1+IF($J778="",Setup!$B$16,$J778)),2))</f>
        <v/>
      </c>
      <c r="L778" s="90">
        <f>IF($K778="","",ROUND($K778*Setup!$B$13,2))</f>
        <v/>
      </c>
      <c r="M778" s="90">
        <f>IF($K778="","",$K778-$L778)</f>
        <v/>
      </c>
      <c r="N778" s="90">
        <f>IF(OR($M778="",$D778=""),"",ROUND($M778*IFERROR(IF(VLOOKUP($D778,Setup!$A$76:$C$87,3,FALSE)="",Setup!$B$14,VLOOKUP($D778,Setup!$A$76:$C$87,3,FALSE)),Setup!$B$14),2))</f>
        <v/>
      </c>
      <c r="O778" s="90">
        <f>IF(OR($M778="",$E778=""),"",ROUND($M778*IFERROR(IF(VLOOKUP($E778,Setup!$A$76:$C$87,3,FALSE)="",Setup!$B$15,VLOOKUP($E778,Setup!$A$76:$C$87,3,FALSE)),Setup!$B$15),2))</f>
        <v/>
      </c>
      <c r="P778" s="99" t="n"/>
      <c r="Q778" s="99" t="n"/>
      <c r="R778" s="99" t="n"/>
      <c r="S778" s="99" t="n"/>
      <c r="T778" s="99" t="n"/>
      <c r="U778" s="90">
        <f>IF($K778="","",SUM($R778:$T778))</f>
        <v/>
      </c>
      <c r="V778" s="90">
        <f>IF($K778="","",$M778-(N($N778)+N($O778)+IF($P778="",Setup!$B$17,$P778)+N($Q778))-N($U778))</f>
        <v/>
      </c>
      <c r="W778" s="95" t="n"/>
      <c r="X778" s="96" t="n"/>
      <c r="Z778" s="93">
        <f>IF($A778="","",DATE(YEAR($A778),MONTH($A778),1))</f>
        <v/>
      </c>
    </row>
    <row r="779">
      <c r="A779" s="86" t="n"/>
      <c r="B779" s="87" t="n"/>
      <c r="C779" s="87" t="n"/>
      <c r="D779" s="88" t="n"/>
      <c r="E779" s="88" t="n"/>
      <c r="F779" s="88" t="n"/>
      <c r="G779" s="88" t="n"/>
      <c r="H779" s="89" t="n"/>
      <c r="I779" s="90">
        <f>IF($G779="","",IF($F779="",IFERROR(INDEX(Setup!$C$21:$C$60,MATCH("|"&amp;UPPER(TRIM($G779)),Setup!$Q$21:$Q$60,0)),"NO RATE"),IFERROR(INDEX(Setup!$C$21:$C$60,MATCH(UPPER(TRIM($F779))&amp;"|"&amp;UPPER(TRIM($G779)),Setup!$P$21:$P$60,0)),IFERROR(INDEX(Setup!$C$21:$C$60,MATCH(UPPER(TRIM($G779))&amp;"|"&amp;UPPER(TRIM($F779)),Setup!$P$21:$P$60,0)),"NO RATE"))))</f>
        <v/>
      </c>
      <c r="J779" s="91" t="n"/>
      <c r="K779" s="90">
        <f>IF(OR($G779="",$H779="",NOT(ISNUMBER($I779))),"",ROUND($H779*$I779*(1+IF($J779="",Setup!$B$16,$J779)),2))</f>
        <v/>
      </c>
      <c r="L779" s="90">
        <f>IF($K779="","",ROUND($K779*Setup!$B$13,2))</f>
        <v/>
      </c>
      <c r="M779" s="90">
        <f>IF($K779="","",$K779-$L779)</f>
        <v/>
      </c>
      <c r="N779" s="90">
        <f>IF(OR($M779="",$D779=""),"",ROUND($M779*IFERROR(IF(VLOOKUP($D779,Setup!$A$76:$C$87,3,FALSE)="",Setup!$B$14,VLOOKUP($D779,Setup!$A$76:$C$87,3,FALSE)),Setup!$B$14),2))</f>
        <v/>
      </c>
      <c r="O779" s="90">
        <f>IF(OR($M779="",$E779=""),"",ROUND($M779*IFERROR(IF(VLOOKUP($E779,Setup!$A$76:$C$87,3,FALSE)="",Setup!$B$15,VLOOKUP($E779,Setup!$A$76:$C$87,3,FALSE)),Setup!$B$15),2))</f>
        <v/>
      </c>
      <c r="P779" s="92" t="n"/>
      <c r="Q779" s="92" t="n"/>
      <c r="R779" s="92" t="n"/>
      <c r="S779" s="92" t="n"/>
      <c r="T779" s="92" t="n"/>
      <c r="U779" s="90">
        <f>IF($K779="","",SUM($R779:$T779))</f>
        <v/>
      </c>
      <c r="V779" s="90">
        <f>IF($K779="","",$M779-(N($N779)+N($O779)+IF($P779="",Setup!$B$17,$P779)+N($Q779))-N($U779))</f>
        <v/>
      </c>
      <c r="W779" s="87" t="n"/>
      <c r="X779" s="88" t="n"/>
      <c r="Z779" s="93">
        <f>IF($A779="","",DATE(YEAR($A779),MONTH($A779),1))</f>
        <v/>
      </c>
    </row>
    <row r="780">
      <c r="A780" s="94" t="n"/>
      <c r="B780" s="95" t="n"/>
      <c r="C780" s="95" t="n"/>
      <c r="D780" s="96" t="n"/>
      <c r="E780" s="96" t="n"/>
      <c r="F780" s="96" t="n"/>
      <c r="G780" s="96" t="n"/>
      <c r="H780" s="97" t="n"/>
      <c r="I780" s="90">
        <f>IF($G780="","",IF($F780="",IFERROR(INDEX(Setup!$C$21:$C$60,MATCH("|"&amp;UPPER(TRIM($G780)),Setup!$Q$21:$Q$60,0)),"NO RATE"),IFERROR(INDEX(Setup!$C$21:$C$60,MATCH(UPPER(TRIM($F780))&amp;"|"&amp;UPPER(TRIM($G780)),Setup!$P$21:$P$60,0)),IFERROR(INDEX(Setup!$C$21:$C$60,MATCH(UPPER(TRIM($G780))&amp;"|"&amp;UPPER(TRIM($F780)),Setup!$P$21:$P$60,0)),"NO RATE"))))</f>
        <v/>
      </c>
      <c r="J780" s="98" t="n"/>
      <c r="K780" s="90">
        <f>IF(OR($G780="",$H780="",NOT(ISNUMBER($I780))),"",ROUND($H780*$I780*(1+IF($J780="",Setup!$B$16,$J780)),2))</f>
        <v/>
      </c>
      <c r="L780" s="90">
        <f>IF($K780="","",ROUND($K780*Setup!$B$13,2))</f>
        <v/>
      </c>
      <c r="M780" s="90">
        <f>IF($K780="","",$K780-$L780)</f>
        <v/>
      </c>
      <c r="N780" s="90">
        <f>IF(OR($M780="",$D780=""),"",ROUND($M780*IFERROR(IF(VLOOKUP($D780,Setup!$A$76:$C$87,3,FALSE)="",Setup!$B$14,VLOOKUP($D780,Setup!$A$76:$C$87,3,FALSE)),Setup!$B$14),2))</f>
        <v/>
      </c>
      <c r="O780" s="90">
        <f>IF(OR($M780="",$E780=""),"",ROUND($M780*IFERROR(IF(VLOOKUP($E780,Setup!$A$76:$C$87,3,FALSE)="",Setup!$B$15,VLOOKUP($E780,Setup!$A$76:$C$87,3,FALSE)),Setup!$B$15),2))</f>
        <v/>
      </c>
      <c r="P780" s="99" t="n"/>
      <c r="Q780" s="99" t="n"/>
      <c r="R780" s="99" t="n"/>
      <c r="S780" s="99" t="n"/>
      <c r="T780" s="99" t="n"/>
      <c r="U780" s="90">
        <f>IF($K780="","",SUM($R780:$T780))</f>
        <v/>
      </c>
      <c r="V780" s="90">
        <f>IF($K780="","",$M780-(N($N780)+N($O780)+IF($P780="",Setup!$B$17,$P780)+N($Q780))-N($U780))</f>
        <v/>
      </c>
      <c r="W780" s="95" t="n"/>
      <c r="X780" s="96" t="n"/>
      <c r="Z780" s="93">
        <f>IF($A780="","",DATE(YEAR($A780),MONTH($A780),1))</f>
        <v/>
      </c>
    </row>
    <row r="781">
      <c r="A781" s="86" t="n"/>
      <c r="B781" s="87" t="n"/>
      <c r="C781" s="87" t="n"/>
      <c r="D781" s="88" t="n"/>
      <c r="E781" s="88" t="n"/>
      <c r="F781" s="88" t="n"/>
      <c r="G781" s="88" t="n"/>
      <c r="H781" s="89" t="n"/>
      <c r="I781" s="90">
        <f>IF($G781="","",IF($F781="",IFERROR(INDEX(Setup!$C$21:$C$60,MATCH("|"&amp;UPPER(TRIM($G781)),Setup!$Q$21:$Q$60,0)),"NO RATE"),IFERROR(INDEX(Setup!$C$21:$C$60,MATCH(UPPER(TRIM($F781))&amp;"|"&amp;UPPER(TRIM($G781)),Setup!$P$21:$P$60,0)),IFERROR(INDEX(Setup!$C$21:$C$60,MATCH(UPPER(TRIM($G781))&amp;"|"&amp;UPPER(TRIM($F781)),Setup!$P$21:$P$60,0)),"NO RATE"))))</f>
        <v/>
      </c>
      <c r="J781" s="91" t="n"/>
      <c r="K781" s="90">
        <f>IF(OR($G781="",$H781="",NOT(ISNUMBER($I781))),"",ROUND($H781*$I781*(1+IF($J781="",Setup!$B$16,$J781)),2))</f>
        <v/>
      </c>
      <c r="L781" s="90">
        <f>IF($K781="","",ROUND($K781*Setup!$B$13,2))</f>
        <v/>
      </c>
      <c r="M781" s="90">
        <f>IF($K781="","",$K781-$L781)</f>
        <v/>
      </c>
      <c r="N781" s="90">
        <f>IF(OR($M781="",$D781=""),"",ROUND($M781*IFERROR(IF(VLOOKUP($D781,Setup!$A$76:$C$87,3,FALSE)="",Setup!$B$14,VLOOKUP($D781,Setup!$A$76:$C$87,3,FALSE)),Setup!$B$14),2))</f>
        <v/>
      </c>
      <c r="O781" s="90">
        <f>IF(OR($M781="",$E781=""),"",ROUND($M781*IFERROR(IF(VLOOKUP($E781,Setup!$A$76:$C$87,3,FALSE)="",Setup!$B$15,VLOOKUP($E781,Setup!$A$76:$C$87,3,FALSE)),Setup!$B$15),2))</f>
        <v/>
      </c>
      <c r="P781" s="92" t="n"/>
      <c r="Q781" s="92" t="n"/>
      <c r="R781" s="92" t="n"/>
      <c r="S781" s="92" t="n"/>
      <c r="T781" s="92" t="n"/>
      <c r="U781" s="90">
        <f>IF($K781="","",SUM($R781:$T781))</f>
        <v/>
      </c>
      <c r="V781" s="90">
        <f>IF($K781="","",$M781-(N($N781)+N($O781)+IF($P781="",Setup!$B$17,$P781)+N($Q781))-N($U781))</f>
        <v/>
      </c>
      <c r="W781" s="87" t="n"/>
      <c r="X781" s="88" t="n"/>
      <c r="Z781" s="93">
        <f>IF($A781="","",DATE(YEAR($A781),MONTH($A781),1))</f>
        <v/>
      </c>
    </row>
    <row r="782">
      <c r="A782" s="94" t="n"/>
      <c r="B782" s="95" t="n"/>
      <c r="C782" s="95" t="n"/>
      <c r="D782" s="96" t="n"/>
      <c r="E782" s="96" t="n"/>
      <c r="F782" s="96" t="n"/>
      <c r="G782" s="96" t="n"/>
      <c r="H782" s="97" t="n"/>
      <c r="I782" s="90">
        <f>IF($G782="","",IF($F782="",IFERROR(INDEX(Setup!$C$21:$C$60,MATCH("|"&amp;UPPER(TRIM($G782)),Setup!$Q$21:$Q$60,0)),"NO RATE"),IFERROR(INDEX(Setup!$C$21:$C$60,MATCH(UPPER(TRIM($F782))&amp;"|"&amp;UPPER(TRIM($G782)),Setup!$P$21:$P$60,0)),IFERROR(INDEX(Setup!$C$21:$C$60,MATCH(UPPER(TRIM($G782))&amp;"|"&amp;UPPER(TRIM($F782)),Setup!$P$21:$P$60,0)),"NO RATE"))))</f>
        <v/>
      </c>
      <c r="J782" s="98" t="n"/>
      <c r="K782" s="90">
        <f>IF(OR($G782="",$H782="",NOT(ISNUMBER($I782))),"",ROUND($H782*$I782*(1+IF($J782="",Setup!$B$16,$J782)),2))</f>
        <v/>
      </c>
      <c r="L782" s="90">
        <f>IF($K782="","",ROUND($K782*Setup!$B$13,2))</f>
        <v/>
      </c>
      <c r="M782" s="90">
        <f>IF($K782="","",$K782-$L782)</f>
        <v/>
      </c>
      <c r="N782" s="90">
        <f>IF(OR($M782="",$D782=""),"",ROUND($M782*IFERROR(IF(VLOOKUP($D782,Setup!$A$76:$C$87,3,FALSE)="",Setup!$B$14,VLOOKUP($D782,Setup!$A$76:$C$87,3,FALSE)),Setup!$B$14),2))</f>
        <v/>
      </c>
      <c r="O782" s="90">
        <f>IF(OR($M782="",$E782=""),"",ROUND($M782*IFERROR(IF(VLOOKUP($E782,Setup!$A$76:$C$87,3,FALSE)="",Setup!$B$15,VLOOKUP($E782,Setup!$A$76:$C$87,3,FALSE)),Setup!$B$15),2))</f>
        <v/>
      </c>
      <c r="P782" s="99" t="n"/>
      <c r="Q782" s="99" t="n"/>
      <c r="R782" s="99" t="n"/>
      <c r="S782" s="99" t="n"/>
      <c r="T782" s="99" t="n"/>
      <c r="U782" s="90">
        <f>IF($K782="","",SUM($R782:$T782))</f>
        <v/>
      </c>
      <c r="V782" s="90">
        <f>IF($K782="","",$M782-(N($N782)+N($O782)+IF($P782="",Setup!$B$17,$P782)+N($Q782))-N($U782))</f>
        <v/>
      </c>
      <c r="W782" s="95" t="n"/>
      <c r="X782" s="96" t="n"/>
      <c r="Z782" s="93">
        <f>IF($A782="","",DATE(YEAR($A782),MONTH($A782),1))</f>
        <v/>
      </c>
    </row>
    <row r="783">
      <c r="A783" s="86" t="n"/>
      <c r="B783" s="87" t="n"/>
      <c r="C783" s="87" t="n"/>
      <c r="D783" s="88" t="n"/>
      <c r="E783" s="88" t="n"/>
      <c r="F783" s="88" t="n"/>
      <c r="G783" s="88" t="n"/>
      <c r="H783" s="89" t="n"/>
      <c r="I783" s="90">
        <f>IF($G783="","",IF($F783="",IFERROR(INDEX(Setup!$C$21:$C$60,MATCH("|"&amp;UPPER(TRIM($G783)),Setup!$Q$21:$Q$60,0)),"NO RATE"),IFERROR(INDEX(Setup!$C$21:$C$60,MATCH(UPPER(TRIM($F783))&amp;"|"&amp;UPPER(TRIM($G783)),Setup!$P$21:$P$60,0)),IFERROR(INDEX(Setup!$C$21:$C$60,MATCH(UPPER(TRIM($G783))&amp;"|"&amp;UPPER(TRIM($F783)),Setup!$P$21:$P$60,0)),"NO RATE"))))</f>
        <v/>
      </c>
      <c r="J783" s="91" t="n"/>
      <c r="K783" s="90">
        <f>IF(OR($G783="",$H783="",NOT(ISNUMBER($I783))),"",ROUND($H783*$I783*(1+IF($J783="",Setup!$B$16,$J783)),2))</f>
        <v/>
      </c>
      <c r="L783" s="90">
        <f>IF($K783="","",ROUND($K783*Setup!$B$13,2))</f>
        <v/>
      </c>
      <c r="M783" s="90">
        <f>IF($K783="","",$K783-$L783)</f>
        <v/>
      </c>
      <c r="N783" s="90">
        <f>IF(OR($M783="",$D783=""),"",ROUND($M783*IFERROR(IF(VLOOKUP($D783,Setup!$A$76:$C$87,3,FALSE)="",Setup!$B$14,VLOOKUP($D783,Setup!$A$76:$C$87,3,FALSE)),Setup!$B$14),2))</f>
        <v/>
      </c>
      <c r="O783" s="90">
        <f>IF(OR($M783="",$E783=""),"",ROUND($M783*IFERROR(IF(VLOOKUP($E783,Setup!$A$76:$C$87,3,FALSE)="",Setup!$B$15,VLOOKUP($E783,Setup!$A$76:$C$87,3,FALSE)),Setup!$B$15),2))</f>
        <v/>
      </c>
      <c r="P783" s="92" t="n"/>
      <c r="Q783" s="92" t="n"/>
      <c r="R783" s="92" t="n"/>
      <c r="S783" s="92" t="n"/>
      <c r="T783" s="92" t="n"/>
      <c r="U783" s="90">
        <f>IF($K783="","",SUM($R783:$T783))</f>
        <v/>
      </c>
      <c r="V783" s="90">
        <f>IF($K783="","",$M783-(N($N783)+N($O783)+IF($P783="",Setup!$B$17,$P783)+N($Q783))-N($U783))</f>
        <v/>
      </c>
      <c r="W783" s="87" t="n"/>
      <c r="X783" s="88" t="n"/>
      <c r="Z783" s="93">
        <f>IF($A783="","",DATE(YEAR($A783),MONTH($A783),1))</f>
        <v/>
      </c>
    </row>
    <row r="784">
      <c r="A784" s="94" t="n"/>
      <c r="B784" s="95" t="n"/>
      <c r="C784" s="95" t="n"/>
      <c r="D784" s="96" t="n"/>
      <c r="E784" s="96" t="n"/>
      <c r="F784" s="96" t="n"/>
      <c r="G784" s="96" t="n"/>
      <c r="H784" s="97" t="n"/>
      <c r="I784" s="90">
        <f>IF($G784="","",IF($F784="",IFERROR(INDEX(Setup!$C$21:$C$60,MATCH("|"&amp;UPPER(TRIM($G784)),Setup!$Q$21:$Q$60,0)),"NO RATE"),IFERROR(INDEX(Setup!$C$21:$C$60,MATCH(UPPER(TRIM($F784))&amp;"|"&amp;UPPER(TRIM($G784)),Setup!$P$21:$P$60,0)),IFERROR(INDEX(Setup!$C$21:$C$60,MATCH(UPPER(TRIM($G784))&amp;"|"&amp;UPPER(TRIM($F784)),Setup!$P$21:$P$60,0)),"NO RATE"))))</f>
        <v/>
      </c>
      <c r="J784" s="98" t="n"/>
      <c r="K784" s="90">
        <f>IF(OR($G784="",$H784="",NOT(ISNUMBER($I784))),"",ROUND($H784*$I784*(1+IF($J784="",Setup!$B$16,$J784)),2))</f>
        <v/>
      </c>
      <c r="L784" s="90">
        <f>IF($K784="","",ROUND($K784*Setup!$B$13,2))</f>
        <v/>
      </c>
      <c r="M784" s="90">
        <f>IF($K784="","",$K784-$L784)</f>
        <v/>
      </c>
      <c r="N784" s="90">
        <f>IF(OR($M784="",$D784=""),"",ROUND($M784*IFERROR(IF(VLOOKUP($D784,Setup!$A$76:$C$87,3,FALSE)="",Setup!$B$14,VLOOKUP($D784,Setup!$A$76:$C$87,3,FALSE)),Setup!$B$14),2))</f>
        <v/>
      </c>
      <c r="O784" s="90">
        <f>IF(OR($M784="",$E784=""),"",ROUND($M784*IFERROR(IF(VLOOKUP($E784,Setup!$A$76:$C$87,3,FALSE)="",Setup!$B$15,VLOOKUP($E784,Setup!$A$76:$C$87,3,FALSE)),Setup!$B$15),2))</f>
        <v/>
      </c>
      <c r="P784" s="99" t="n"/>
      <c r="Q784" s="99" t="n"/>
      <c r="R784" s="99" t="n"/>
      <c r="S784" s="99" t="n"/>
      <c r="T784" s="99" t="n"/>
      <c r="U784" s="90">
        <f>IF($K784="","",SUM($R784:$T784))</f>
        <v/>
      </c>
      <c r="V784" s="90">
        <f>IF($K784="","",$M784-(N($N784)+N($O784)+IF($P784="",Setup!$B$17,$P784)+N($Q784))-N($U784))</f>
        <v/>
      </c>
      <c r="W784" s="95" t="n"/>
      <c r="X784" s="96" t="n"/>
      <c r="Z784" s="93">
        <f>IF($A784="","",DATE(YEAR($A784),MONTH($A784),1))</f>
        <v/>
      </c>
    </row>
    <row r="785">
      <c r="A785" s="86" t="n"/>
      <c r="B785" s="87" t="n"/>
      <c r="C785" s="87" t="n"/>
      <c r="D785" s="88" t="n"/>
      <c r="E785" s="88" t="n"/>
      <c r="F785" s="88" t="n"/>
      <c r="G785" s="88" t="n"/>
      <c r="H785" s="89" t="n"/>
      <c r="I785" s="90">
        <f>IF($G785="","",IF($F785="",IFERROR(INDEX(Setup!$C$21:$C$60,MATCH("|"&amp;UPPER(TRIM($G785)),Setup!$Q$21:$Q$60,0)),"NO RATE"),IFERROR(INDEX(Setup!$C$21:$C$60,MATCH(UPPER(TRIM($F785))&amp;"|"&amp;UPPER(TRIM($G785)),Setup!$P$21:$P$60,0)),IFERROR(INDEX(Setup!$C$21:$C$60,MATCH(UPPER(TRIM($G785))&amp;"|"&amp;UPPER(TRIM($F785)),Setup!$P$21:$P$60,0)),"NO RATE"))))</f>
        <v/>
      </c>
      <c r="J785" s="91" t="n"/>
      <c r="K785" s="90">
        <f>IF(OR($G785="",$H785="",NOT(ISNUMBER($I785))),"",ROUND($H785*$I785*(1+IF($J785="",Setup!$B$16,$J785)),2))</f>
        <v/>
      </c>
      <c r="L785" s="90">
        <f>IF($K785="","",ROUND($K785*Setup!$B$13,2))</f>
        <v/>
      </c>
      <c r="M785" s="90">
        <f>IF($K785="","",$K785-$L785)</f>
        <v/>
      </c>
      <c r="N785" s="90">
        <f>IF(OR($M785="",$D785=""),"",ROUND($M785*IFERROR(IF(VLOOKUP($D785,Setup!$A$76:$C$87,3,FALSE)="",Setup!$B$14,VLOOKUP($D785,Setup!$A$76:$C$87,3,FALSE)),Setup!$B$14),2))</f>
        <v/>
      </c>
      <c r="O785" s="90">
        <f>IF(OR($M785="",$E785=""),"",ROUND($M785*IFERROR(IF(VLOOKUP($E785,Setup!$A$76:$C$87,3,FALSE)="",Setup!$B$15,VLOOKUP($E785,Setup!$A$76:$C$87,3,FALSE)),Setup!$B$15),2))</f>
        <v/>
      </c>
      <c r="P785" s="92" t="n"/>
      <c r="Q785" s="92" t="n"/>
      <c r="R785" s="92" t="n"/>
      <c r="S785" s="92" t="n"/>
      <c r="T785" s="92" t="n"/>
      <c r="U785" s="90">
        <f>IF($K785="","",SUM($R785:$T785))</f>
        <v/>
      </c>
      <c r="V785" s="90">
        <f>IF($K785="","",$M785-(N($N785)+N($O785)+IF($P785="",Setup!$B$17,$P785)+N($Q785))-N($U785))</f>
        <v/>
      </c>
      <c r="W785" s="87" t="n"/>
      <c r="X785" s="88" t="n"/>
      <c r="Z785" s="93">
        <f>IF($A785="","",DATE(YEAR($A785),MONTH($A785),1))</f>
        <v/>
      </c>
    </row>
    <row r="786">
      <c r="A786" s="94" t="n"/>
      <c r="B786" s="95" t="n"/>
      <c r="C786" s="95" t="n"/>
      <c r="D786" s="96" t="n"/>
      <c r="E786" s="96" t="n"/>
      <c r="F786" s="96" t="n"/>
      <c r="G786" s="96" t="n"/>
      <c r="H786" s="97" t="n"/>
      <c r="I786" s="90">
        <f>IF($G786="","",IF($F786="",IFERROR(INDEX(Setup!$C$21:$C$60,MATCH("|"&amp;UPPER(TRIM($G786)),Setup!$Q$21:$Q$60,0)),"NO RATE"),IFERROR(INDEX(Setup!$C$21:$C$60,MATCH(UPPER(TRIM($F786))&amp;"|"&amp;UPPER(TRIM($G786)),Setup!$P$21:$P$60,0)),IFERROR(INDEX(Setup!$C$21:$C$60,MATCH(UPPER(TRIM($G786))&amp;"|"&amp;UPPER(TRIM($F786)),Setup!$P$21:$P$60,0)),"NO RATE"))))</f>
        <v/>
      </c>
      <c r="J786" s="98" t="n"/>
      <c r="K786" s="90">
        <f>IF(OR($G786="",$H786="",NOT(ISNUMBER($I786))),"",ROUND($H786*$I786*(1+IF($J786="",Setup!$B$16,$J786)),2))</f>
        <v/>
      </c>
      <c r="L786" s="90">
        <f>IF($K786="","",ROUND($K786*Setup!$B$13,2))</f>
        <v/>
      </c>
      <c r="M786" s="90">
        <f>IF($K786="","",$K786-$L786)</f>
        <v/>
      </c>
      <c r="N786" s="90">
        <f>IF(OR($M786="",$D786=""),"",ROUND($M786*IFERROR(IF(VLOOKUP($D786,Setup!$A$76:$C$87,3,FALSE)="",Setup!$B$14,VLOOKUP($D786,Setup!$A$76:$C$87,3,FALSE)),Setup!$B$14),2))</f>
        <v/>
      </c>
      <c r="O786" s="90">
        <f>IF(OR($M786="",$E786=""),"",ROUND($M786*IFERROR(IF(VLOOKUP($E786,Setup!$A$76:$C$87,3,FALSE)="",Setup!$B$15,VLOOKUP($E786,Setup!$A$76:$C$87,3,FALSE)),Setup!$B$15),2))</f>
        <v/>
      </c>
      <c r="P786" s="99" t="n"/>
      <c r="Q786" s="99" t="n"/>
      <c r="R786" s="99" t="n"/>
      <c r="S786" s="99" t="n"/>
      <c r="T786" s="99" t="n"/>
      <c r="U786" s="90">
        <f>IF($K786="","",SUM($R786:$T786))</f>
        <v/>
      </c>
      <c r="V786" s="90">
        <f>IF($K786="","",$M786-(N($N786)+N($O786)+IF($P786="",Setup!$B$17,$P786)+N($Q786))-N($U786))</f>
        <v/>
      </c>
      <c r="W786" s="95" t="n"/>
      <c r="X786" s="96" t="n"/>
      <c r="Z786" s="93">
        <f>IF($A786="","",DATE(YEAR($A786),MONTH($A786),1))</f>
        <v/>
      </c>
    </row>
    <row r="787">
      <c r="A787" s="86" t="n"/>
      <c r="B787" s="87" t="n"/>
      <c r="C787" s="87" t="n"/>
      <c r="D787" s="88" t="n"/>
      <c r="E787" s="88" t="n"/>
      <c r="F787" s="88" t="n"/>
      <c r="G787" s="88" t="n"/>
      <c r="H787" s="89" t="n"/>
      <c r="I787" s="90">
        <f>IF($G787="","",IF($F787="",IFERROR(INDEX(Setup!$C$21:$C$60,MATCH("|"&amp;UPPER(TRIM($G787)),Setup!$Q$21:$Q$60,0)),"NO RATE"),IFERROR(INDEX(Setup!$C$21:$C$60,MATCH(UPPER(TRIM($F787))&amp;"|"&amp;UPPER(TRIM($G787)),Setup!$P$21:$P$60,0)),IFERROR(INDEX(Setup!$C$21:$C$60,MATCH(UPPER(TRIM($G787))&amp;"|"&amp;UPPER(TRIM($F787)),Setup!$P$21:$P$60,0)),"NO RATE"))))</f>
        <v/>
      </c>
      <c r="J787" s="91" t="n"/>
      <c r="K787" s="90">
        <f>IF(OR($G787="",$H787="",NOT(ISNUMBER($I787))),"",ROUND($H787*$I787*(1+IF($J787="",Setup!$B$16,$J787)),2))</f>
        <v/>
      </c>
      <c r="L787" s="90">
        <f>IF($K787="","",ROUND($K787*Setup!$B$13,2))</f>
        <v/>
      </c>
      <c r="M787" s="90">
        <f>IF($K787="","",$K787-$L787)</f>
        <v/>
      </c>
      <c r="N787" s="90">
        <f>IF(OR($M787="",$D787=""),"",ROUND($M787*IFERROR(IF(VLOOKUP($D787,Setup!$A$76:$C$87,3,FALSE)="",Setup!$B$14,VLOOKUP($D787,Setup!$A$76:$C$87,3,FALSE)),Setup!$B$14),2))</f>
        <v/>
      </c>
      <c r="O787" s="90">
        <f>IF(OR($M787="",$E787=""),"",ROUND($M787*IFERROR(IF(VLOOKUP($E787,Setup!$A$76:$C$87,3,FALSE)="",Setup!$B$15,VLOOKUP($E787,Setup!$A$76:$C$87,3,FALSE)),Setup!$B$15),2))</f>
        <v/>
      </c>
      <c r="P787" s="92" t="n"/>
      <c r="Q787" s="92" t="n"/>
      <c r="R787" s="92" t="n"/>
      <c r="S787" s="92" t="n"/>
      <c r="T787" s="92" t="n"/>
      <c r="U787" s="90">
        <f>IF($K787="","",SUM($R787:$T787))</f>
        <v/>
      </c>
      <c r="V787" s="90">
        <f>IF($K787="","",$M787-(N($N787)+N($O787)+IF($P787="",Setup!$B$17,$P787)+N($Q787))-N($U787))</f>
        <v/>
      </c>
      <c r="W787" s="87" t="n"/>
      <c r="X787" s="88" t="n"/>
      <c r="Z787" s="93">
        <f>IF($A787="","",DATE(YEAR($A787),MONTH($A787),1))</f>
        <v/>
      </c>
    </row>
    <row r="788">
      <c r="A788" s="94" t="n"/>
      <c r="B788" s="95" t="n"/>
      <c r="C788" s="95" t="n"/>
      <c r="D788" s="96" t="n"/>
      <c r="E788" s="96" t="n"/>
      <c r="F788" s="96" t="n"/>
      <c r="G788" s="96" t="n"/>
      <c r="H788" s="97" t="n"/>
      <c r="I788" s="90">
        <f>IF($G788="","",IF($F788="",IFERROR(INDEX(Setup!$C$21:$C$60,MATCH("|"&amp;UPPER(TRIM($G788)),Setup!$Q$21:$Q$60,0)),"NO RATE"),IFERROR(INDEX(Setup!$C$21:$C$60,MATCH(UPPER(TRIM($F788))&amp;"|"&amp;UPPER(TRIM($G788)),Setup!$P$21:$P$60,0)),IFERROR(INDEX(Setup!$C$21:$C$60,MATCH(UPPER(TRIM($G788))&amp;"|"&amp;UPPER(TRIM($F788)),Setup!$P$21:$P$60,0)),"NO RATE"))))</f>
        <v/>
      </c>
      <c r="J788" s="98" t="n"/>
      <c r="K788" s="90">
        <f>IF(OR($G788="",$H788="",NOT(ISNUMBER($I788))),"",ROUND($H788*$I788*(1+IF($J788="",Setup!$B$16,$J788)),2))</f>
        <v/>
      </c>
      <c r="L788" s="90">
        <f>IF($K788="","",ROUND($K788*Setup!$B$13,2))</f>
        <v/>
      </c>
      <c r="M788" s="90">
        <f>IF($K788="","",$K788-$L788)</f>
        <v/>
      </c>
      <c r="N788" s="90">
        <f>IF(OR($M788="",$D788=""),"",ROUND($M788*IFERROR(IF(VLOOKUP($D788,Setup!$A$76:$C$87,3,FALSE)="",Setup!$B$14,VLOOKUP($D788,Setup!$A$76:$C$87,3,FALSE)),Setup!$B$14),2))</f>
        <v/>
      </c>
      <c r="O788" s="90">
        <f>IF(OR($M788="",$E788=""),"",ROUND($M788*IFERROR(IF(VLOOKUP($E788,Setup!$A$76:$C$87,3,FALSE)="",Setup!$B$15,VLOOKUP($E788,Setup!$A$76:$C$87,3,FALSE)),Setup!$B$15),2))</f>
        <v/>
      </c>
      <c r="P788" s="99" t="n"/>
      <c r="Q788" s="99" t="n"/>
      <c r="R788" s="99" t="n"/>
      <c r="S788" s="99" t="n"/>
      <c r="T788" s="99" t="n"/>
      <c r="U788" s="90">
        <f>IF($K788="","",SUM($R788:$T788))</f>
        <v/>
      </c>
      <c r="V788" s="90">
        <f>IF($K788="","",$M788-(N($N788)+N($O788)+IF($P788="",Setup!$B$17,$P788)+N($Q788))-N($U788))</f>
        <v/>
      </c>
      <c r="W788" s="95" t="n"/>
      <c r="X788" s="96" t="n"/>
      <c r="Z788" s="93">
        <f>IF($A788="","",DATE(YEAR($A788),MONTH($A788),1))</f>
        <v/>
      </c>
    </row>
    <row r="789">
      <c r="A789" s="86" t="n"/>
      <c r="B789" s="87" t="n"/>
      <c r="C789" s="87" t="n"/>
      <c r="D789" s="88" t="n"/>
      <c r="E789" s="88" t="n"/>
      <c r="F789" s="88" t="n"/>
      <c r="G789" s="88" t="n"/>
      <c r="H789" s="89" t="n"/>
      <c r="I789" s="90">
        <f>IF($G789="","",IF($F789="",IFERROR(INDEX(Setup!$C$21:$C$60,MATCH("|"&amp;UPPER(TRIM($G789)),Setup!$Q$21:$Q$60,0)),"NO RATE"),IFERROR(INDEX(Setup!$C$21:$C$60,MATCH(UPPER(TRIM($F789))&amp;"|"&amp;UPPER(TRIM($G789)),Setup!$P$21:$P$60,0)),IFERROR(INDEX(Setup!$C$21:$C$60,MATCH(UPPER(TRIM($G789))&amp;"|"&amp;UPPER(TRIM($F789)),Setup!$P$21:$P$60,0)),"NO RATE"))))</f>
        <v/>
      </c>
      <c r="J789" s="91" t="n"/>
      <c r="K789" s="90">
        <f>IF(OR($G789="",$H789="",NOT(ISNUMBER($I789))),"",ROUND($H789*$I789*(1+IF($J789="",Setup!$B$16,$J789)),2))</f>
        <v/>
      </c>
      <c r="L789" s="90">
        <f>IF($K789="","",ROUND($K789*Setup!$B$13,2))</f>
        <v/>
      </c>
      <c r="M789" s="90">
        <f>IF($K789="","",$K789-$L789)</f>
        <v/>
      </c>
      <c r="N789" s="90">
        <f>IF(OR($M789="",$D789=""),"",ROUND($M789*IFERROR(IF(VLOOKUP($D789,Setup!$A$76:$C$87,3,FALSE)="",Setup!$B$14,VLOOKUP($D789,Setup!$A$76:$C$87,3,FALSE)),Setup!$B$14),2))</f>
        <v/>
      </c>
      <c r="O789" s="90">
        <f>IF(OR($M789="",$E789=""),"",ROUND($M789*IFERROR(IF(VLOOKUP($E789,Setup!$A$76:$C$87,3,FALSE)="",Setup!$B$15,VLOOKUP($E789,Setup!$A$76:$C$87,3,FALSE)),Setup!$B$15),2))</f>
        <v/>
      </c>
      <c r="P789" s="92" t="n"/>
      <c r="Q789" s="92" t="n"/>
      <c r="R789" s="92" t="n"/>
      <c r="S789" s="92" t="n"/>
      <c r="T789" s="92" t="n"/>
      <c r="U789" s="90">
        <f>IF($K789="","",SUM($R789:$T789))</f>
        <v/>
      </c>
      <c r="V789" s="90">
        <f>IF($K789="","",$M789-(N($N789)+N($O789)+IF($P789="",Setup!$B$17,$P789)+N($Q789))-N($U789))</f>
        <v/>
      </c>
      <c r="W789" s="87" t="n"/>
      <c r="X789" s="88" t="n"/>
      <c r="Z789" s="93">
        <f>IF($A789="","",DATE(YEAR($A789),MONTH($A789),1))</f>
        <v/>
      </c>
    </row>
    <row r="790">
      <c r="A790" s="94" t="n"/>
      <c r="B790" s="95" t="n"/>
      <c r="C790" s="95" t="n"/>
      <c r="D790" s="96" t="n"/>
      <c r="E790" s="96" t="n"/>
      <c r="F790" s="96" t="n"/>
      <c r="G790" s="96" t="n"/>
      <c r="H790" s="97" t="n"/>
      <c r="I790" s="90">
        <f>IF($G790="","",IF($F790="",IFERROR(INDEX(Setup!$C$21:$C$60,MATCH("|"&amp;UPPER(TRIM($G790)),Setup!$Q$21:$Q$60,0)),"NO RATE"),IFERROR(INDEX(Setup!$C$21:$C$60,MATCH(UPPER(TRIM($F790))&amp;"|"&amp;UPPER(TRIM($G790)),Setup!$P$21:$P$60,0)),IFERROR(INDEX(Setup!$C$21:$C$60,MATCH(UPPER(TRIM($G790))&amp;"|"&amp;UPPER(TRIM($F790)),Setup!$P$21:$P$60,0)),"NO RATE"))))</f>
        <v/>
      </c>
      <c r="J790" s="98" t="n"/>
      <c r="K790" s="90">
        <f>IF(OR($G790="",$H790="",NOT(ISNUMBER($I790))),"",ROUND($H790*$I790*(1+IF($J790="",Setup!$B$16,$J790)),2))</f>
        <v/>
      </c>
      <c r="L790" s="90">
        <f>IF($K790="","",ROUND($K790*Setup!$B$13,2))</f>
        <v/>
      </c>
      <c r="M790" s="90">
        <f>IF($K790="","",$K790-$L790)</f>
        <v/>
      </c>
      <c r="N790" s="90">
        <f>IF(OR($M790="",$D790=""),"",ROUND($M790*IFERROR(IF(VLOOKUP($D790,Setup!$A$76:$C$87,3,FALSE)="",Setup!$B$14,VLOOKUP($D790,Setup!$A$76:$C$87,3,FALSE)),Setup!$B$14),2))</f>
        <v/>
      </c>
      <c r="O790" s="90">
        <f>IF(OR($M790="",$E790=""),"",ROUND($M790*IFERROR(IF(VLOOKUP($E790,Setup!$A$76:$C$87,3,FALSE)="",Setup!$B$15,VLOOKUP($E790,Setup!$A$76:$C$87,3,FALSE)),Setup!$B$15),2))</f>
        <v/>
      </c>
      <c r="P790" s="99" t="n"/>
      <c r="Q790" s="99" t="n"/>
      <c r="R790" s="99" t="n"/>
      <c r="S790" s="99" t="n"/>
      <c r="T790" s="99" t="n"/>
      <c r="U790" s="90">
        <f>IF($K790="","",SUM($R790:$T790))</f>
        <v/>
      </c>
      <c r="V790" s="90">
        <f>IF($K790="","",$M790-(N($N790)+N($O790)+IF($P790="",Setup!$B$17,$P790)+N($Q790))-N($U790))</f>
        <v/>
      </c>
      <c r="W790" s="95" t="n"/>
      <c r="X790" s="96" t="n"/>
      <c r="Z790" s="93">
        <f>IF($A790="","",DATE(YEAR($A790),MONTH($A790),1))</f>
        <v/>
      </c>
    </row>
    <row r="791">
      <c r="A791" s="86" t="n"/>
      <c r="B791" s="87" t="n"/>
      <c r="C791" s="87" t="n"/>
      <c r="D791" s="88" t="n"/>
      <c r="E791" s="88" t="n"/>
      <c r="F791" s="88" t="n"/>
      <c r="G791" s="88" t="n"/>
      <c r="H791" s="89" t="n"/>
      <c r="I791" s="90">
        <f>IF($G791="","",IF($F791="",IFERROR(INDEX(Setup!$C$21:$C$60,MATCH("|"&amp;UPPER(TRIM($G791)),Setup!$Q$21:$Q$60,0)),"NO RATE"),IFERROR(INDEX(Setup!$C$21:$C$60,MATCH(UPPER(TRIM($F791))&amp;"|"&amp;UPPER(TRIM($G791)),Setup!$P$21:$P$60,0)),IFERROR(INDEX(Setup!$C$21:$C$60,MATCH(UPPER(TRIM($G791))&amp;"|"&amp;UPPER(TRIM($F791)),Setup!$P$21:$P$60,0)),"NO RATE"))))</f>
        <v/>
      </c>
      <c r="J791" s="91" t="n"/>
      <c r="K791" s="90">
        <f>IF(OR($G791="",$H791="",NOT(ISNUMBER($I791))),"",ROUND($H791*$I791*(1+IF($J791="",Setup!$B$16,$J791)),2))</f>
        <v/>
      </c>
      <c r="L791" s="90">
        <f>IF($K791="","",ROUND($K791*Setup!$B$13,2))</f>
        <v/>
      </c>
      <c r="M791" s="90">
        <f>IF($K791="","",$K791-$L791)</f>
        <v/>
      </c>
      <c r="N791" s="90">
        <f>IF(OR($M791="",$D791=""),"",ROUND($M791*IFERROR(IF(VLOOKUP($D791,Setup!$A$76:$C$87,3,FALSE)="",Setup!$B$14,VLOOKUP($D791,Setup!$A$76:$C$87,3,FALSE)),Setup!$B$14),2))</f>
        <v/>
      </c>
      <c r="O791" s="90">
        <f>IF(OR($M791="",$E791=""),"",ROUND($M791*IFERROR(IF(VLOOKUP($E791,Setup!$A$76:$C$87,3,FALSE)="",Setup!$B$15,VLOOKUP($E791,Setup!$A$76:$C$87,3,FALSE)),Setup!$B$15),2))</f>
        <v/>
      </c>
      <c r="P791" s="92" t="n"/>
      <c r="Q791" s="92" t="n"/>
      <c r="R791" s="92" t="n"/>
      <c r="S791" s="92" t="n"/>
      <c r="T791" s="92" t="n"/>
      <c r="U791" s="90">
        <f>IF($K791="","",SUM($R791:$T791))</f>
        <v/>
      </c>
      <c r="V791" s="90">
        <f>IF($K791="","",$M791-(N($N791)+N($O791)+IF($P791="",Setup!$B$17,$P791)+N($Q791))-N($U791))</f>
        <v/>
      </c>
      <c r="W791" s="87" t="n"/>
      <c r="X791" s="88" t="n"/>
      <c r="Z791" s="93">
        <f>IF($A791="","",DATE(YEAR($A791),MONTH($A791),1))</f>
        <v/>
      </c>
    </row>
    <row r="792">
      <c r="A792" s="94" t="n"/>
      <c r="B792" s="95" t="n"/>
      <c r="C792" s="95" t="n"/>
      <c r="D792" s="96" t="n"/>
      <c r="E792" s="96" t="n"/>
      <c r="F792" s="96" t="n"/>
      <c r="G792" s="96" t="n"/>
      <c r="H792" s="97" t="n"/>
      <c r="I792" s="90">
        <f>IF($G792="","",IF($F792="",IFERROR(INDEX(Setup!$C$21:$C$60,MATCH("|"&amp;UPPER(TRIM($G792)),Setup!$Q$21:$Q$60,0)),"NO RATE"),IFERROR(INDEX(Setup!$C$21:$C$60,MATCH(UPPER(TRIM($F792))&amp;"|"&amp;UPPER(TRIM($G792)),Setup!$P$21:$P$60,0)),IFERROR(INDEX(Setup!$C$21:$C$60,MATCH(UPPER(TRIM($G792))&amp;"|"&amp;UPPER(TRIM($F792)),Setup!$P$21:$P$60,0)),"NO RATE"))))</f>
        <v/>
      </c>
      <c r="J792" s="98" t="n"/>
      <c r="K792" s="90">
        <f>IF(OR($G792="",$H792="",NOT(ISNUMBER($I792))),"",ROUND($H792*$I792*(1+IF($J792="",Setup!$B$16,$J792)),2))</f>
        <v/>
      </c>
      <c r="L792" s="90">
        <f>IF($K792="","",ROUND($K792*Setup!$B$13,2))</f>
        <v/>
      </c>
      <c r="M792" s="90">
        <f>IF($K792="","",$K792-$L792)</f>
        <v/>
      </c>
      <c r="N792" s="90">
        <f>IF(OR($M792="",$D792=""),"",ROUND($M792*IFERROR(IF(VLOOKUP($D792,Setup!$A$76:$C$87,3,FALSE)="",Setup!$B$14,VLOOKUP($D792,Setup!$A$76:$C$87,3,FALSE)),Setup!$B$14),2))</f>
        <v/>
      </c>
      <c r="O792" s="90">
        <f>IF(OR($M792="",$E792=""),"",ROUND($M792*IFERROR(IF(VLOOKUP($E792,Setup!$A$76:$C$87,3,FALSE)="",Setup!$B$15,VLOOKUP($E792,Setup!$A$76:$C$87,3,FALSE)),Setup!$B$15),2))</f>
        <v/>
      </c>
      <c r="P792" s="99" t="n"/>
      <c r="Q792" s="99" t="n"/>
      <c r="R792" s="99" t="n"/>
      <c r="S792" s="99" t="n"/>
      <c r="T792" s="99" t="n"/>
      <c r="U792" s="90">
        <f>IF($K792="","",SUM($R792:$T792))</f>
        <v/>
      </c>
      <c r="V792" s="90">
        <f>IF($K792="","",$M792-(N($N792)+N($O792)+IF($P792="",Setup!$B$17,$P792)+N($Q792))-N($U792))</f>
        <v/>
      </c>
      <c r="W792" s="95" t="n"/>
      <c r="X792" s="96" t="n"/>
      <c r="Z792" s="93">
        <f>IF($A792="","",DATE(YEAR($A792),MONTH($A792),1))</f>
        <v/>
      </c>
    </row>
    <row r="793">
      <c r="A793" s="86" t="n"/>
      <c r="B793" s="87" t="n"/>
      <c r="C793" s="87" t="n"/>
      <c r="D793" s="88" t="n"/>
      <c r="E793" s="88" t="n"/>
      <c r="F793" s="88" t="n"/>
      <c r="G793" s="88" t="n"/>
      <c r="H793" s="89" t="n"/>
      <c r="I793" s="90">
        <f>IF($G793="","",IF($F793="",IFERROR(INDEX(Setup!$C$21:$C$60,MATCH("|"&amp;UPPER(TRIM($G793)),Setup!$Q$21:$Q$60,0)),"NO RATE"),IFERROR(INDEX(Setup!$C$21:$C$60,MATCH(UPPER(TRIM($F793))&amp;"|"&amp;UPPER(TRIM($G793)),Setup!$P$21:$P$60,0)),IFERROR(INDEX(Setup!$C$21:$C$60,MATCH(UPPER(TRIM($G793))&amp;"|"&amp;UPPER(TRIM($F793)),Setup!$P$21:$P$60,0)),"NO RATE"))))</f>
        <v/>
      </c>
      <c r="J793" s="91" t="n"/>
      <c r="K793" s="90">
        <f>IF(OR($G793="",$H793="",NOT(ISNUMBER($I793))),"",ROUND($H793*$I793*(1+IF($J793="",Setup!$B$16,$J793)),2))</f>
        <v/>
      </c>
      <c r="L793" s="90">
        <f>IF($K793="","",ROUND($K793*Setup!$B$13,2))</f>
        <v/>
      </c>
      <c r="M793" s="90">
        <f>IF($K793="","",$K793-$L793)</f>
        <v/>
      </c>
      <c r="N793" s="90">
        <f>IF(OR($M793="",$D793=""),"",ROUND($M793*IFERROR(IF(VLOOKUP($D793,Setup!$A$76:$C$87,3,FALSE)="",Setup!$B$14,VLOOKUP($D793,Setup!$A$76:$C$87,3,FALSE)),Setup!$B$14),2))</f>
        <v/>
      </c>
      <c r="O793" s="90">
        <f>IF(OR($M793="",$E793=""),"",ROUND($M793*IFERROR(IF(VLOOKUP($E793,Setup!$A$76:$C$87,3,FALSE)="",Setup!$B$15,VLOOKUP($E793,Setup!$A$76:$C$87,3,FALSE)),Setup!$B$15),2))</f>
        <v/>
      </c>
      <c r="P793" s="92" t="n"/>
      <c r="Q793" s="92" t="n"/>
      <c r="R793" s="92" t="n"/>
      <c r="S793" s="92" t="n"/>
      <c r="T793" s="92" t="n"/>
      <c r="U793" s="90">
        <f>IF($K793="","",SUM($R793:$T793))</f>
        <v/>
      </c>
      <c r="V793" s="90">
        <f>IF($K793="","",$M793-(N($N793)+N($O793)+IF($P793="",Setup!$B$17,$P793)+N($Q793))-N($U793))</f>
        <v/>
      </c>
      <c r="W793" s="87" t="n"/>
      <c r="X793" s="88" t="n"/>
      <c r="Z793" s="93">
        <f>IF($A793="","",DATE(YEAR($A793),MONTH($A793),1))</f>
        <v/>
      </c>
    </row>
    <row r="794">
      <c r="A794" s="94" t="n"/>
      <c r="B794" s="95" t="n"/>
      <c r="C794" s="95" t="n"/>
      <c r="D794" s="96" t="n"/>
      <c r="E794" s="96" t="n"/>
      <c r="F794" s="96" t="n"/>
      <c r="G794" s="96" t="n"/>
      <c r="H794" s="97" t="n"/>
      <c r="I794" s="90">
        <f>IF($G794="","",IF($F794="",IFERROR(INDEX(Setup!$C$21:$C$60,MATCH("|"&amp;UPPER(TRIM($G794)),Setup!$Q$21:$Q$60,0)),"NO RATE"),IFERROR(INDEX(Setup!$C$21:$C$60,MATCH(UPPER(TRIM($F794))&amp;"|"&amp;UPPER(TRIM($G794)),Setup!$P$21:$P$60,0)),IFERROR(INDEX(Setup!$C$21:$C$60,MATCH(UPPER(TRIM($G794))&amp;"|"&amp;UPPER(TRIM($F794)),Setup!$P$21:$P$60,0)),"NO RATE"))))</f>
        <v/>
      </c>
      <c r="J794" s="98" t="n"/>
      <c r="K794" s="90">
        <f>IF(OR($G794="",$H794="",NOT(ISNUMBER($I794))),"",ROUND($H794*$I794*(1+IF($J794="",Setup!$B$16,$J794)),2))</f>
        <v/>
      </c>
      <c r="L794" s="90">
        <f>IF($K794="","",ROUND($K794*Setup!$B$13,2))</f>
        <v/>
      </c>
      <c r="M794" s="90">
        <f>IF($K794="","",$K794-$L794)</f>
        <v/>
      </c>
      <c r="N794" s="90">
        <f>IF(OR($M794="",$D794=""),"",ROUND($M794*IFERROR(IF(VLOOKUP($D794,Setup!$A$76:$C$87,3,FALSE)="",Setup!$B$14,VLOOKUP($D794,Setup!$A$76:$C$87,3,FALSE)),Setup!$B$14),2))</f>
        <v/>
      </c>
      <c r="O794" s="90">
        <f>IF(OR($M794="",$E794=""),"",ROUND($M794*IFERROR(IF(VLOOKUP($E794,Setup!$A$76:$C$87,3,FALSE)="",Setup!$B$15,VLOOKUP($E794,Setup!$A$76:$C$87,3,FALSE)),Setup!$B$15),2))</f>
        <v/>
      </c>
      <c r="P794" s="99" t="n"/>
      <c r="Q794" s="99" t="n"/>
      <c r="R794" s="99" t="n"/>
      <c r="S794" s="99" t="n"/>
      <c r="T794" s="99" t="n"/>
      <c r="U794" s="90">
        <f>IF($K794="","",SUM($R794:$T794))</f>
        <v/>
      </c>
      <c r="V794" s="90">
        <f>IF($K794="","",$M794-(N($N794)+N($O794)+IF($P794="",Setup!$B$17,$P794)+N($Q794))-N($U794))</f>
        <v/>
      </c>
      <c r="W794" s="95" t="n"/>
      <c r="X794" s="96" t="n"/>
      <c r="Z794" s="93">
        <f>IF($A794="","",DATE(YEAR($A794),MONTH($A794),1))</f>
        <v/>
      </c>
    </row>
    <row r="795">
      <c r="A795" s="86" t="n"/>
      <c r="B795" s="87" t="n"/>
      <c r="C795" s="87" t="n"/>
      <c r="D795" s="88" t="n"/>
      <c r="E795" s="88" t="n"/>
      <c r="F795" s="88" t="n"/>
      <c r="G795" s="88" t="n"/>
      <c r="H795" s="89" t="n"/>
      <c r="I795" s="90">
        <f>IF($G795="","",IF($F795="",IFERROR(INDEX(Setup!$C$21:$C$60,MATCH("|"&amp;UPPER(TRIM($G795)),Setup!$Q$21:$Q$60,0)),"NO RATE"),IFERROR(INDEX(Setup!$C$21:$C$60,MATCH(UPPER(TRIM($F795))&amp;"|"&amp;UPPER(TRIM($G795)),Setup!$P$21:$P$60,0)),IFERROR(INDEX(Setup!$C$21:$C$60,MATCH(UPPER(TRIM($G795))&amp;"|"&amp;UPPER(TRIM($F795)),Setup!$P$21:$P$60,0)),"NO RATE"))))</f>
        <v/>
      </c>
      <c r="J795" s="91" t="n"/>
      <c r="K795" s="90">
        <f>IF(OR($G795="",$H795="",NOT(ISNUMBER($I795))),"",ROUND($H795*$I795*(1+IF($J795="",Setup!$B$16,$J795)),2))</f>
        <v/>
      </c>
      <c r="L795" s="90">
        <f>IF($K795="","",ROUND($K795*Setup!$B$13,2))</f>
        <v/>
      </c>
      <c r="M795" s="90">
        <f>IF($K795="","",$K795-$L795)</f>
        <v/>
      </c>
      <c r="N795" s="90">
        <f>IF(OR($M795="",$D795=""),"",ROUND($M795*IFERROR(IF(VLOOKUP($D795,Setup!$A$76:$C$87,3,FALSE)="",Setup!$B$14,VLOOKUP($D795,Setup!$A$76:$C$87,3,FALSE)),Setup!$B$14),2))</f>
        <v/>
      </c>
      <c r="O795" s="90">
        <f>IF(OR($M795="",$E795=""),"",ROUND($M795*IFERROR(IF(VLOOKUP($E795,Setup!$A$76:$C$87,3,FALSE)="",Setup!$B$15,VLOOKUP($E795,Setup!$A$76:$C$87,3,FALSE)),Setup!$B$15),2))</f>
        <v/>
      </c>
      <c r="P795" s="92" t="n"/>
      <c r="Q795" s="92" t="n"/>
      <c r="R795" s="92" t="n"/>
      <c r="S795" s="92" t="n"/>
      <c r="T795" s="92" t="n"/>
      <c r="U795" s="90">
        <f>IF($K795="","",SUM($R795:$T795))</f>
        <v/>
      </c>
      <c r="V795" s="90">
        <f>IF($K795="","",$M795-(N($N795)+N($O795)+IF($P795="",Setup!$B$17,$P795)+N($Q795))-N($U795))</f>
        <v/>
      </c>
      <c r="W795" s="87" t="n"/>
      <c r="X795" s="88" t="n"/>
      <c r="Z795" s="93">
        <f>IF($A795="","",DATE(YEAR($A795),MONTH($A795),1))</f>
        <v/>
      </c>
    </row>
    <row r="796">
      <c r="A796" s="94" t="n"/>
      <c r="B796" s="95" t="n"/>
      <c r="C796" s="95" t="n"/>
      <c r="D796" s="96" t="n"/>
      <c r="E796" s="96" t="n"/>
      <c r="F796" s="96" t="n"/>
      <c r="G796" s="96" t="n"/>
      <c r="H796" s="97" t="n"/>
      <c r="I796" s="90">
        <f>IF($G796="","",IF($F796="",IFERROR(INDEX(Setup!$C$21:$C$60,MATCH("|"&amp;UPPER(TRIM($G796)),Setup!$Q$21:$Q$60,0)),"NO RATE"),IFERROR(INDEX(Setup!$C$21:$C$60,MATCH(UPPER(TRIM($F796))&amp;"|"&amp;UPPER(TRIM($G796)),Setup!$P$21:$P$60,0)),IFERROR(INDEX(Setup!$C$21:$C$60,MATCH(UPPER(TRIM($G796))&amp;"|"&amp;UPPER(TRIM($F796)),Setup!$P$21:$P$60,0)),"NO RATE"))))</f>
        <v/>
      </c>
      <c r="J796" s="98" t="n"/>
      <c r="K796" s="90">
        <f>IF(OR($G796="",$H796="",NOT(ISNUMBER($I796))),"",ROUND($H796*$I796*(1+IF($J796="",Setup!$B$16,$J796)),2))</f>
        <v/>
      </c>
      <c r="L796" s="90">
        <f>IF($K796="","",ROUND($K796*Setup!$B$13,2))</f>
        <v/>
      </c>
      <c r="M796" s="90">
        <f>IF($K796="","",$K796-$L796)</f>
        <v/>
      </c>
      <c r="N796" s="90">
        <f>IF(OR($M796="",$D796=""),"",ROUND($M796*IFERROR(IF(VLOOKUP($D796,Setup!$A$76:$C$87,3,FALSE)="",Setup!$B$14,VLOOKUP($D796,Setup!$A$76:$C$87,3,FALSE)),Setup!$B$14),2))</f>
        <v/>
      </c>
      <c r="O796" s="90">
        <f>IF(OR($M796="",$E796=""),"",ROUND($M796*IFERROR(IF(VLOOKUP($E796,Setup!$A$76:$C$87,3,FALSE)="",Setup!$B$15,VLOOKUP($E796,Setup!$A$76:$C$87,3,FALSE)),Setup!$B$15),2))</f>
        <v/>
      </c>
      <c r="P796" s="99" t="n"/>
      <c r="Q796" s="99" t="n"/>
      <c r="R796" s="99" t="n"/>
      <c r="S796" s="99" t="n"/>
      <c r="T796" s="99" t="n"/>
      <c r="U796" s="90">
        <f>IF($K796="","",SUM($R796:$T796))</f>
        <v/>
      </c>
      <c r="V796" s="90">
        <f>IF($K796="","",$M796-(N($N796)+N($O796)+IF($P796="",Setup!$B$17,$P796)+N($Q796))-N($U796))</f>
        <v/>
      </c>
      <c r="W796" s="95" t="n"/>
      <c r="X796" s="96" t="n"/>
      <c r="Z796" s="93">
        <f>IF($A796="","",DATE(YEAR($A796),MONTH($A796),1))</f>
        <v/>
      </c>
    </row>
    <row r="797">
      <c r="A797" s="86" t="n"/>
      <c r="B797" s="87" t="n"/>
      <c r="C797" s="87" t="n"/>
      <c r="D797" s="88" t="n"/>
      <c r="E797" s="88" t="n"/>
      <c r="F797" s="88" t="n"/>
      <c r="G797" s="88" t="n"/>
      <c r="H797" s="89" t="n"/>
      <c r="I797" s="90">
        <f>IF($G797="","",IF($F797="",IFERROR(INDEX(Setup!$C$21:$C$60,MATCH("|"&amp;UPPER(TRIM($G797)),Setup!$Q$21:$Q$60,0)),"NO RATE"),IFERROR(INDEX(Setup!$C$21:$C$60,MATCH(UPPER(TRIM($F797))&amp;"|"&amp;UPPER(TRIM($G797)),Setup!$P$21:$P$60,0)),IFERROR(INDEX(Setup!$C$21:$C$60,MATCH(UPPER(TRIM($G797))&amp;"|"&amp;UPPER(TRIM($F797)),Setup!$P$21:$P$60,0)),"NO RATE"))))</f>
        <v/>
      </c>
      <c r="J797" s="91" t="n"/>
      <c r="K797" s="90">
        <f>IF(OR($G797="",$H797="",NOT(ISNUMBER($I797))),"",ROUND($H797*$I797*(1+IF($J797="",Setup!$B$16,$J797)),2))</f>
        <v/>
      </c>
      <c r="L797" s="90">
        <f>IF($K797="","",ROUND($K797*Setup!$B$13,2))</f>
        <v/>
      </c>
      <c r="M797" s="90">
        <f>IF($K797="","",$K797-$L797)</f>
        <v/>
      </c>
      <c r="N797" s="90">
        <f>IF(OR($M797="",$D797=""),"",ROUND($M797*IFERROR(IF(VLOOKUP($D797,Setup!$A$76:$C$87,3,FALSE)="",Setup!$B$14,VLOOKUP($D797,Setup!$A$76:$C$87,3,FALSE)),Setup!$B$14),2))</f>
        <v/>
      </c>
      <c r="O797" s="90">
        <f>IF(OR($M797="",$E797=""),"",ROUND($M797*IFERROR(IF(VLOOKUP($E797,Setup!$A$76:$C$87,3,FALSE)="",Setup!$B$15,VLOOKUP($E797,Setup!$A$76:$C$87,3,FALSE)),Setup!$B$15),2))</f>
        <v/>
      </c>
      <c r="P797" s="92" t="n"/>
      <c r="Q797" s="92" t="n"/>
      <c r="R797" s="92" t="n"/>
      <c r="S797" s="92" t="n"/>
      <c r="T797" s="92" t="n"/>
      <c r="U797" s="90">
        <f>IF($K797="","",SUM($R797:$T797))</f>
        <v/>
      </c>
      <c r="V797" s="90">
        <f>IF($K797="","",$M797-(N($N797)+N($O797)+IF($P797="",Setup!$B$17,$P797)+N($Q797))-N($U797))</f>
        <v/>
      </c>
      <c r="W797" s="87" t="n"/>
      <c r="X797" s="88" t="n"/>
      <c r="Z797" s="93">
        <f>IF($A797="","",DATE(YEAR($A797),MONTH($A797),1))</f>
        <v/>
      </c>
    </row>
    <row r="798">
      <c r="A798" s="94" t="n"/>
      <c r="B798" s="95" t="n"/>
      <c r="C798" s="95" t="n"/>
      <c r="D798" s="96" t="n"/>
      <c r="E798" s="96" t="n"/>
      <c r="F798" s="96" t="n"/>
      <c r="G798" s="96" t="n"/>
      <c r="H798" s="97" t="n"/>
      <c r="I798" s="90">
        <f>IF($G798="","",IF($F798="",IFERROR(INDEX(Setup!$C$21:$C$60,MATCH("|"&amp;UPPER(TRIM($G798)),Setup!$Q$21:$Q$60,0)),"NO RATE"),IFERROR(INDEX(Setup!$C$21:$C$60,MATCH(UPPER(TRIM($F798))&amp;"|"&amp;UPPER(TRIM($G798)),Setup!$P$21:$P$60,0)),IFERROR(INDEX(Setup!$C$21:$C$60,MATCH(UPPER(TRIM($G798))&amp;"|"&amp;UPPER(TRIM($F798)),Setup!$P$21:$P$60,0)),"NO RATE"))))</f>
        <v/>
      </c>
      <c r="J798" s="98" t="n"/>
      <c r="K798" s="90">
        <f>IF(OR($G798="",$H798="",NOT(ISNUMBER($I798))),"",ROUND($H798*$I798*(1+IF($J798="",Setup!$B$16,$J798)),2))</f>
        <v/>
      </c>
      <c r="L798" s="90">
        <f>IF($K798="","",ROUND($K798*Setup!$B$13,2))</f>
        <v/>
      </c>
      <c r="M798" s="90">
        <f>IF($K798="","",$K798-$L798)</f>
        <v/>
      </c>
      <c r="N798" s="90">
        <f>IF(OR($M798="",$D798=""),"",ROUND($M798*IFERROR(IF(VLOOKUP($D798,Setup!$A$76:$C$87,3,FALSE)="",Setup!$B$14,VLOOKUP($D798,Setup!$A$76:$C$87,3,FALSE)),Setup!$B$14),2))</f>
        <v/>
      </c>
      <c r="O798" s="90">
        <f>IF(OR($M798="",$E798=""),"",ROUND($M798*IFERROR(IF(VLOOKUP($E798,Setup!$A$76:$C$87,3,FALSE)="",Setup!$B$15,VLOOKUP($E798,Setup!$A$76:$C$87,3,FALSE)),Setup!$B$15),2))</f>
        <v/>
      </c>
      <c r="P798" s="99" t="n"/>
      <c r="Q798" s="99" t="n"/>
      <c r="R798" s="99" t="n"/>
      <c r="S798" s="99" t="n"/>
      <c r="T798" s="99" t="n"/>
      <c r="U798" s="90">
        <f>IF($K798="","",SUM($R798:$T798))</f>
        <v/>
      </c>
      <c r="V798" s="90">
        <f>IF($K798="","",$M798-(N($N798)+N($O798)+IF($P798="",Setup!$B$17,$P798)+N($Q798))-N($U798))</f>
        <v/>
      </c>
      <c r="W798" s="95" t="n"/>
      <c r="X798" s="96" t="n"/>
      <c r="Z798" s="93">
        <f>IF($A798="","",DATE(YEAR($A798),MONTH($A798),1))</f>
        <v/>
      </c>
    </row>
    <row r="799">
      <c r="A799" s="86" t="n"/>
      <c r="B799" s="87" t="n"/>
      <c r="C799" s="87" t="n"/>
      <c r="D799" s="88" t="n"/>
      <c r="E799" s="88" t="n"/>
      <c r="F799" s="88" t="n"/>
      <c r="G799" s="88" t="n"/>
      <c r="H799" s="89" t="n"/>
      <c r="I799" s="90">
        <f>IF($G799="","",IF($F799="",IFERROR(INDEX(Setup!$C$21:$C$60,MATCH("|"&amp;UPPER(TRIM($G799)),Setup!$Q$21:$Q$60,0)),"NO RATE"),IFERROR(INDEX(Setup!$C$21:$C$60,MATCH(UPPER(TRIM($F799))&amp;"|"&amp;UPPER(TRIM($G799)),Setup!$P$21:$P$60,0)),IFERROR(INDEX(Setup!$C$21:$C$60,MATCH(UPPER(TRIM($G799))&amp;"|"&amp;UPPER(TRIM($F799)),Setup!$P$21:$P$60,0)),"NO RATE"))))</f>
        <v/>
      </c>
      <c r="J799" s="91" t="n"/>
      <c r="K799" s="90">
        <f>IF(OR($G799="",$H799="",NOT(ISNUMBER($I799))),"",ROUND($H799*$I799*(1+IF($J799="",Setup!$B$16,$J799)),2))</f>
        <v/>
      </c>
      <c r="L799" s="90">
        <f>IF($K799="","",ROUND($K799*Setup!$B$13,2))</f>
        <v/>
      </c>
      <c r="M799" s="90">
        <f>IF($K799="","",$K799-$L799)</f>
        <v/>
      </c>
      <c r="N799" s="90">
        <f>IF(OR($M799="",$D799=""),"",ROUND($M799*IFERROR(IF(VLOOKUP($D799,Setup!$A$76:$C$87,3,FALSE)="",Setup!$B$14,VLOOKUP($D799,Setup!$A$76:$C$87,3,FALSE)),Setup!$B$14),2))</f>
        <v/>
      </c>
      <c r="O799" s="90">
        <f>IF(OR($M799="",$E799=""),"",ROUND($M799*IFERROR(IF(VLOOKUP($E799,Setup!$A$76:$C$87,3,FALSE)="",Setup!$B$15,VLOOKUP($E799,Setup!$A$76:$C$87,3,FALSE)),Setup!$B$15),2))</f>
        <v/>
      </c>
      <c r="P799" s="92" t="n"/>
      <c r="Q799" s="92" t="n"/>
      <c r="R799" s="92" t="n"/>
      <c r="S799" s="92" t="n"/>
      <c r="T799" s="92" t="n"/>
      <c r="U799" s="90">
        <f>IF($K799="","",SUM($R799:$T799))</f>
        <v/>
      </c>
      <c r="V799" s="90">
        <f>IF($K799="","",$M799-(N($N799)+N($O799)+IF($P799="",Setup!$B$17,$P799)+N($Q799))-N($U799))</f>
        <v/>
      </c>
      <c r="W799" s="87" t="n"/>
      <c r="X799" s="88" t="n"/>
      <c r="Z799" s="93">
        <f>IF($A799="","",DATE(YEAR($A799),MONTH($A799),1))</f>
        <v/>
      </c>
    </row>
    <row r="800">
      <c r="A800" s="94" t="n"/>
      <c r="B800" s="95" t="n"/>
      <c r="C800" s="95" t="n"/>
      <c r="D800" s="96" t="n"/>
      <c r="E800" s="96" t="n"/>
      <c r="F800" s="96" t="n"/>
      <c r="G800" s="96" t="n"/>
      <c r="H800" s="97" t="n"/>
      <c r="I800" s="90">
        <f>IF($G800="","",IF($F800="",IFERROR(INDEX(Setup!$C$21:$C$60,MATCH("|"&amp;UPPER(TRIM($G800)),Setup!$Q$21:$Q$60,0)),"NO RATE"),IFERROR(INDEX(Setup!$C$21:$C$60,MATCH(UPPER(TRIM($F800))&amp;"|"&amp;UPPER(TRIM($G800)),Setup!$P$21:$P$60,0)),IFERROR(INDEX(Setup!$C$21:$C$60,MATCH(UPPER(TRIM($G800))&amp;"|"&amp;UPPER(TRIM($F800)),Setup!$P$21:$P$60,0)),"NO RATE"))))</f>
        <v/>
      </c>
      <c r="J800" s="98" t="n"/>
      <c r="K800" s="90">
        <f>IF(OR($G800="",$H800="",NOT(ISNUMBER($I800))),"",ROUND($H800*$I800*(1+IF($J800="",Setup!$B$16,$J800)),2))</f>
        <v/>
      </c>
      <c r="L800" s="90">
        <f>IF($K800="","",ROUND($K800*Setup!$B$13,2))</f>
        <v/>
      </c>
      <c r="M800" s="90">
        <f>IF($K800="","",$K800-$L800)</f>
        <v/>
      </c>
      <c r="N800" s="90">
        <f>IF(OR($M800="",$D800=""),"",ROUND($M800*IFERROR(IF(VLOOKUP($D800,Setup!$A$76:$C$87,3,FALSE)="",Setup!$B$14,VLOOKUP($D800,Setup!$A$76:$C$87,3,FALSE)),Setup!$B$14),2))</f>
        <v/>
      </c>
      <c r="O800" s="90">
        <f>IF(OR($M800="",$E800=""),"",ROUND($M800*IFERROR(IF(VLOOKUP($E800,Setup!$A$76:$C$87,3,FALSE)="",Setup!$B$15,VLOOKUP($E800,Setup!$A$76:$C$87,3,FALSE)),Setup!$B$15),2))</f>
        <v/>
      </c>
      <c r="P800" s="99" t="n"/>
      <c r="Q800" s="99" t="n"/>
      <c r="R800" s="99" t="n"/>
      <c r="S800" s="99" t="n"/>
      <c r="T800" s="99" t="n"/>
      <c r="U800" s="90">
        <f>IF($K800="","",SUM($R800:$T800))</f>
        <v/>
      </c>
      <c r="V800" s="90">
        <f>IF($K800="","",$M800-(N($N800)+N($O800)+IF($P800="",Setup!$B$17,$P800)+N($Q800))-N($U800))</f>
        <v/>
      </c>
      <c r="W800" s="95" t="n"/>
      <c r="X800" s="96" t="n"/>
      <c r="Z800" s="93">
        <f>IF($A800="","",DATE(YEAR($A800),MONTH($A800),1))</f>
        <v/>
      </c>
    </row>
    <row r="801">
      <c r="A801" s="86" t="n"/>
      <c r="B801" s="87" t="n"/>
      <c r="C801" s="87" t="n"/>
      <c r="D801" s="88" t="n"/>
      <c r="E801" s="88" t="n"/>
      <c r="F801" s="88" t="n"/>
      <c r="G801" s="88" t="n"/>
      <c r="H801" s="89" t="n"/>
      <c r="I801" s="90">
        <f>IF($G801="","",IF($F801="",IFERROR(INDEX(Setup!$C$21:$C$60,MATCH("|"&amp;UPPER(TRIM($G801)),Setup!$Q$21:$Q$60,0)),"NO RATE"),IFERROR(INDEX(Setup!$C$21:$C$60,MATCH(UPPER(TRIM($F801))&amp;"|"&amp;UPPER(TRIM($G801)),Setup!$P$21:$P$60,0)),IFERROR(INDEX(Setup!$C$21:$C$60,MATCH(UPPER(TRIM($G801))&amp;"|"&amp;UPPER(TRIM($F801)),Setup!$P$21:$P$60,0)),"NO RATE"))))</f>
        <v/>
      </c>
      <c r="J801" s="91" t="n"/>
      <c r="K801" s="90">
        <f>IF(OR($G801="",$H801="",NOT(ISNUMBER($I801))),"",ROUND($H801*$I801*(1+IF($J801="",Setup!$B$16,$J801)),2))</f>
        <v/>
      </c>
      <c r="L801" s="90">
        <f>IF($K801="","",ROUND($K801*Setup!$B$13,2))</f>
        <v/>
      </c>
      <c r="M801" s="90">
        <f>IF($K801="","",$K801-$L801)</f>
        <v/>
      </c>
      <c r="N801" s="90">
        <f>IF(OR($M801="",$D801=""),"",ROUND($M801*IFERROR(IF(VLOOKUP($D801,Setup!$A$76:$C$87,3,FALSE)="",Setup!$B$14,VLOOKUP($D801,Setup!$A$76:$C$87,3,FALSE)),Setup!$B$14),2))</f>
        <v/>
      </c>
      <c r="O801" s="90">
        <f>IF(OR($M801="",$E801=""),"",ROUND($M801*IFERROR(IF(VLOOKUP($E801,Setup!$A$76:$C$87,3,FALSE)="",Setup!$B$15,VLOOKUP($E801,Setup!$A$76:$C$87,3,FALSE)),Setup!$B$15),2))</f>
        <v/>
      </c>
      <c r="P801" s="92" t="n"/>
      <c r="Q801" s="92" t="n"/>
      <c r="R801" s="92" t="n"/>
      <c r="S801" s="92" t="n"/>
      <c r="T801" s="92" t="n"/>
      <c r="U801" s="90">
        <f>IF($K801="","",SUM($R801:$T801))</f>
        <v/>
      </c>
      <c r="V801" s="90">
        <f>IF($K801="","",$M801-(N($N801)+N($O801)+IF($P801="",Setup!$B$17,$P801)+N($Q801))-N($U801))</f>
        <v/>
      </c>
      <c r="W801" s="87" t="n"/>
      <c r="X801" s="88" t="n"/>
      <c r="Z801" s="93">
        <f>IF($A801="","",DATE(YEAR($A801),MONTH($A801),1))</f>
        <v/>
      </c>
    </row>
    <row r="802">
      <c r="A802" s="94" t="n"/>
      <c r="B802" s="95" t="n"/>
      <c r="C802" s="95" t="n"/>
      <c r="D802" s="96" t="n"/>
      <c r="E802" s="96" t="n"/>
      <c r="F802" s="96" t="n"/>
      <c r="G802" s="96" t="n"/>
      <c r="H802" s="97" t="n"/>
      <c r="I802" s="90">
        <f>IF($G802="","",IF($F802="",IFERROR(INDEX(Setup!$C$21:$C$60,MATCH("|"&amp;UPPER(TRIM($G802)),Setup!$Q$21:$Q$60,0)),"NO RATE"),IFERROR(INDEX(Setup!$C$21:$C$60,MATCH(UPPER(TRIM($F802))&amp;"|"&amp;UPPER(TRIM($G802)),Setup!$P$21:$P$60,0)),IFERROR(INDEX(Setup!$C$21:$C$60,MATCH(UPPER(TRIM($G802))&amp;"|"&amp;UPPER(TRIM($F802)),Setup!$P$21:$P$60,0)),"NO RATE"))))</f>
        <v/>
      </c>
      <c r="J802" s="98" t="n"/>
      <c r="K802" s="90">
        <f>IF(OR($G802="",$H802="",NOT(ISNUMBER($I802))),"",ROUND($H802*$I802*(1+IF($J802="",Setup!$B$16,$J802)),2))</f>
        <v/>
      </c>
      <c r="L802" s="90">
        <f>IF($K802="","",ROUND($K802*Setup!$B$13,2))</f>
        <v/>
      </c>
      <c r="M802" s="90">
        <f>IF($K802="","",$K802-$L802)</f>
        <v/>
      </c>
      <c r="N802" s="90">
        <f>IF(OR($M802="",$D802=""),"",ROUND($M802*IFERROR(IF(VLOOKUP($D802,Setup!$A$76:$C$87,3,FALSE)="",Setup!$B$14,VLOOKUP($D802,Setup!$A$76:$C$87,3,FALSE)),Setup!$B$14),2))</f>
        <v/>
      </c>
      <c r="O802" s="90">
        <f>IF(OR($M802="",$E802=""),"",ROUND($M802*IFERROR(IF(VLOOKUP($E802,Setup!$A$76:$C$87,3,FALSE)="",Setup!$B$15,VLOOKUP($E802,Setup!$A$76:$C$87,3,FALSE)),Setup!$B$15),2))</f>
        <v/>
      </c>
      <c r="P802" s="99" t="n"/>
      <c r="Q802" s="99" t="n"/>
      <c r="R802" s="99" t="n"/>
      <c r="S802" s="99" t="n"/>
      <c r="T802" s="99" t="n"/>
      <c r="U802" s="90">
        <f>IF($K802="","",SUM($R802:$T802))</f>
        <v/>
      </c>
      <c r="V802" s="90">
        <f>IF($K802="","",$M802-(N($N802)+N($O802)+IF($P802="",Setup!$B$17,$P802)+N($Q802))-N($U802))</f>
        <v/>
      </c>
      <c r="W802" s="95" t="n"/>
      <c r="X802" s="96" t="n"/>
      <c r="Z802" s="93">
        <f>IF($A802="","",DATE(YEAR($A802),MONTH($A802),1))</f>
        <v/>
      </c>
    </row>
    <row r="803">
      <c r="A803" s="86" t="n"/>
      <c r="B803" s="87" t="n"/>
      <c r="C803" s="87" t="n"/>
      <c r="D803" s="88" t="n"/>
      <c r="E803" s="88" t="n"/>
      <c r="F803" s="88" t="n"/>
      <c r="G803" s="88" t="n"/>
      <c r="H803" s="89" t="n"/>
      <c r="I803" s="90">
        <f>IF($G803="","",IF($F803="",IFERROR(INDEX(Setup!$C$21:$C$60,MATCH("|"&amp;UPPER(TRIM($G803)),Setup!$Q$21:$Q$60,0)),"NO RATE"),IFERROR(INDEX(Setup!$C$21:$C$60,MATCH(UPPER(TRIM($F803))&amp;"|"&amp;UPPER(TRIM($G803)),Setup!$P$21:$P$60,0)),IFERROR(INDEX(Setup!$C$21:$C$60,MATCH(UPPER(TRIM($G803))&amp;"|"&amp;UPPER(TRIM($F803)),Setup!$P$21:$P$60,0)),"NO RATE"))))</f>
        <v/>
      </c>
      <c r="J803" s="91" t="n"/>
      <c r="K803" s="90">
        <f>IF(OR($G803="",$H803="",NOT(ISNUMBER($I803))),"",ROUND($H803*$I803*(1+IF($J803="",Setup!$B$16,$J803)),2))</f>
        <v/>
      </c>
      <c r="L803" s="90">
        <f>IF($K803="","",ROUND($K803*Setup!$B$13,2))</f>
        <v/>
      </c>
      <c r="M803" s="90">
        <f>IF($K803="","",$K803-$L803)</f>
        <v/>
      </c>
      <c r="N803" s="90">
        <f>IF(OR($M803="",$D803=""),"",ROUND($M803*IFERROR(IF(VLOOKUP($D803,Setup!$A$76:$C$87,3,FALSE)="",Setup!$B$14,VLOOKUP($D803,Setup!$A$76:$C$87,3,FALSE)),Setup!$B$14),2))</f>
        <v/>
      </c>
      <c r="O803" s="90">
        <f>IF(OR($M803="",$E803=""),"",ROUND($M803*IFERROR(IF(VLOOKUP($E803,Setup!$A$76:$C$87,3,FALSE)="",Setup!$B$15,VLOOKUP($E803,Setup!$A$76:$C$87,3,FALSE)),Setup!$B$15),2))</f>
        <v/>
      </c>
      <c r="P803" s="92" t="n"/>
      <c r="Q803" s="92" t="n"/>
      <c r="R803" s="92" t="n"/>
      <c r="S803" s="92" t="n"/>
      <c r="T803" s="92" t="n"/>
      <c r="U803" s="90">
        <f>IF($K803="","",SUM($R803:$T803))</f>
        <v/>
      </c>
      <c r="V803" s="90">
        <f>IF($K803="","",$M803-(N($N803)+N($O803)+IF($P803="",Setup!$B$17,$P803)+N($Q803))-N($U803))</f>
        <v/>
      </c>
      <c r="W803" s="87" t="n"/>
      <c r="X803" s="88" t="n"/>
      <c r="Z803" s="93">
        <f>IF($A803="","",DATE(YEAR($A803),MONTH($A803),1))</f>
        <v/>
      </c>
    </row>
    <row r="804">
      <c r="A804" s="94" t="n"/>
      <c r="B804" s="95" t="n"/>
      <c r="C804" s="95" t="n"/>
      <c r="D804" s="96" t="n"/>
      <c r="E804" s="96" t="n"/>
      <c r="F804" s="96" t="n"/>
      <c r="G804" s="96" t="n"/>
      <c r="H804" s="97" t="n"/>
      <c r="I804" s="90">
        <f>IF($G804="","",IF($F804="",IFERROR(INDEX(Setup!$C$21:$C$60,MATCH("|"&amp;UPPER(TRIM($G804)),Setup!$Q$21:$Q$60,0)),"NO RATE"),IFERROR(INDEX(Setup!$C$21:$C$60,MATCH(UPPER(TRIM($F804))&amp;"|"&amp;UPPER(TRIM($G804)),Setup!$P$21:$P$60,0)),IFERROR(INDEX(Setup!$C$21:$C$60,MATCH(UPPER(TRIM($G804))&amp;"|"&amp;UPPER(TRIM($F804)),Setup!$P$21:$P$60,0)),"NO RATE"))))</f>
        <v/>
      </c>
      <c r="J804" s="98" t="n"/>
      <c r="K804" s="90">
        <f>IF(OR($G804="",$H804="",NOT(ISNUMBER($I804))),"",ROUND($H804*$I804*(1+IF($J804="",Setup!$B$16,$J804)),2))</f>
        <v/>
      </c>
      <c r="L804" s="90">
        <f>IF($K804="","",ROUND($K804*Setup!$B$13,2))</f>
        <v/>
      </c>
      <c r="M804" s="90">
        <f>IF($K804="","",$K804-$L804)</f>
        <v/>
      </c>
      <c r="N804" s="90">
        <f>IF(OR($M804="",$D804=""),"",ROUND($M804*IFERROR(IF(VLOOKUP($D804,Setup!$A$76:$C$87,3,FALSE)="",Setup!$B$14,VLOOKUP($D804,Setup!$A$76:$C$87,3,FALSE)),Setup!$B$14),2))</f>
        <v/>
      </c>
      <c r="O804" s="90">
        <f>IF(OR($M804="",$E804=""),"",ROUND($M804*IFERROR(IF(VLOOKUP($E804,Setup!$A$76:$C$87,3,FALSE)="",Setup!$B$15,VLOOKUP($E804,Setup!$A$76:$C$87,3,FALSE)),Setup!$B$15),2))</f>
        <v/>
      </c>
      <c r="P804" s="99" t="n"/>
      <c r="Q804" s="99" t="n"/>
      <c r="R804" s="99" t="n"/>
      <c r="S804" s="99" t="n"/>
      <c r="T804" s="99" t="n"/>
      <c r="U804" s="90">
        <f>IF($K804="","",SUM($R804:$T804))</f>
        <v/>
      </c>
      <c r="V804" s="90">
        <f>IF($K804="","",$M804-(N($N804)+N($O804)+IF($P804="",Setup!$B$17,$P804)+N($Q804))-N($U804))</f>
        <v/>
      </c>
      <c r="W804" s="95" t="n"/>
      <c r="X804" s="96" t="n"/>
      <c r="Z804" s="93">
        <f>IF($A804="","",DATE(YEAR($A804),MONTH($A804),1))</f>
        <v/>
      </c>
    </row>
    <row r="805">
      <c r="A805" s="86" t="n"/>
      <c r="B805" s="87" t="n"/>
      <c r="C805" s="87" t="n"/>
      <c r="D805" s="88" t="n"/>
      <c r="E805" s="88" t="n"/>
      <c r="F805" s="88" t="n"/>
      <c r="G805" s="88" t="n"/>
      <c r="H805" s="89" t="n"/>
      <c r="I805" s="90">
        <f>IF($G805="","",IF($F805="",IFERROR(INDEX(Setup!$C$21:$C$60,MATCH("|"&amp;UPPER(TRIM($G805)),Setup!$Q$21:$Q$60,0)),"NO RATE"),IFERROR(INDEX(Setup!$C$21:$C$60,MATCH(UPPER(TRIM($F805))&amp;"|"&amp;UPPER(TRIM($G805)),Setup!$P$21:$P$60,0)),IFERROR(INDEX(Setup!$C$21:$C$60,MATCH(UPPER(TRIM($G805))&amp;"|"&amp;UPPER(TRIM($F805)),Setup!$P$21:$P$60,0)),"NO RATE"))))</f>
        <v/>
      </c>
      <c r="J805" s="91" t="n"/>
      <c r="K805" s="90">
        <f>IF(OR($G805="",$H805="",NOT(ISNUMBER($I805))),"",ROUND($H805*$I805*(1+IF($J805="",Setup!$B$16,$J805)),2))</f>
        <v/>
      </c>
      <c r="L805" s="90">
        <f>IF($K805="","",ROUND($K805*Setup!$B$13,2))</f>
        <v/>
      </c>
      <c r="M805" s="90">
        <f>IF($K805="","",$K805-$L805)</f>
        <v/>
      </c>
      <c r="N805" s="90">
        <f>IF(OR($M805="",$D805=""),"",ROUND($M805*IFERROR(IF(VLOOKUP($D805,Setup!$A$76:$C$87,3,FALSE)="",Setup!$B$14,VLOOKUP($D805,Setup!$A$76:$C$87,3,FALSE)),Setup!$B$14),2))</f>
        <v/>
      </c>
      <c r="O805" s="90">
        <f>IF(OR($M805="",$E805=""),"",ROUND($M805*IFERROR(IF(VLOOKUP($E805,Setup!$A$76:$C$87,3,FALSE)="",Setup!$B$15,VLOOKUP($E805,Setup!$A$76:$C$87,3,FALSE)),Setup!$B$15),2))</f>
        <v/>
      </c>
      <c r="P805" s="92" t="n"/>
      <c r="Q805" s="92" t="n"/>
      <c r="R805" s="92" t="n"/>
      <c r="S805" s="92" t="n"/>
      <c r="T805" s="92" t="n"/>
      <c r="U805" s="90">
        <f>IF($K805="","",SUM($R805:$T805))</f>
        <v/>
      </c>
      <c r="V805" s="90">
        <f>IF($K805="","",$M805-(N($N805)+N($O805)+IF($P805="",Setup!$B$17,$P805)+N($Q805))-N($U805))</f>
        <v/>
      </c>
      <c r="W805" s="87" t="n"/>
      <c r="X805" s="88" t="n"/>
      <c r="Z805" s="93">
        <f>IF($A805="","",DATE(YEAR($A805),MONTH($A805),1))</f>
        <v/>
      </c>
    </row>
    <row r="806">
      <c r="A806" s="94" t="n"/>
      <c r="B806" s="95" t="n"/>
      <c r="C806" s="95" t="n"/>
      <c r="D806" s="96" t="n"/>
      <c r="E806" s="96" t="n"/>
      <c r="F806" s="96" t="n"/>
      <c r="G806" s="96" t="n"/>
      <c r="H806" s="97" t="n"/>
      <c r="I806" s="90">
        <f>IF($G806="","",IF($F806="",IFERROR(INDEX(Setup!$C$21:$C$60,MATCH("|"&amp;UPPER(TRIM($G806)),Setup!$Q$21:$Q$60,0)),"NO RATE"),IFERROR(INDEX(Setup!$C$21:$C$60,MATCH(UPPER(TRIM($F806))&amp;"|"&amp;UPPER(TRIM($G806)),Setup!$P$21:$P$60,0)),IFERROR(INDEX(Setup!$C$21:$C$60,MATCH(UPPER(TRIM($G806))&amp;"|"&amp;UPPER(TRIM($F806)),Setup!$P$21:$P$60,0)),"NO RATE"))))</f>
        <v/>
      </c>
      <c r="J806" s="98" t="n"/>
      <c r="K806" s="90">
        <f>IF(OR($G806="",$H806="",NOT(ISNUMBER($I806))),"",ROUND($H806*$I806*(1+IF($J806="",Setup!$B$16,$J806)),2))</f>
        <v/>
      </c>
      <c r="L806" s="90">
        <f>IF($K806="","",ROUND($K806*Setup!$B$13,2))</f>
        <v/>
      </c>
      <c r="M806" s="90">
        <f>IF($K806="","",$K806-$L806)</f>
        <v/>
      </c>
      <c r="N806" s="90">
        <f>IF(OR($M806="",$D806=""),"",ROUND($M806*IFERROR(IF(VLOOKUP($D806,Setup!$A$76:$C$87,3,FALSE)="",Setup!$B$14,VLOOKUP($D806,Setup!$A$76:$C$87,3,FALSE)),Setup!$B$14),2))</f>
        <v/>
      </c>
      <c r="O806" s="90">
        <f>IF(OR($M806="",$E806=""),"",ROUND($M806*IFERROR(IF(VLOOKUP($E806,Setup!$A$76:$C$87,3,FALSE)="",Setup!$B$15,VLOOKUP($E806,Setup!$A$76:$C$87,3,FALSE)),Setup!$B$15),2))</f>
        <v/>
      </c>
      <c r="P806" s="99" t="n"/>
      <c r="Q806" s="99" t="n"/>
      <c r="R806" s="99" t="n"/>
      <c r="S806" s="99" t="n"/>
      <c r="T806" s="99" t="n"/>
      <c r="U806" s="90">
        <f>IF($K806="","",SUM($R806:$T806))</f>
        <v/>
      </c>
      <c r="V806" s="90">
        <f>IF($K806="","",$M806-(N($N806)+N($O806)+IF($P806="",Setup!$B$17,$P806)+N($Q806))-N($U806))</f>
        <v/>
      </c>
      <c r="W806" s="95" t="n"/>
      <c r="X806" s="96" t="n"/>
      <c r="Z806" s="93">
        <f>IF($A806="","",DATE(YEAR($A806),MONTH($A806),1))</f>
        <v/>
      </c>
    </row>
    <row r="807">
      <c r="A807" s="86" t="n"/>
      <c r="B807" s="87" t="n"/>
      <c r="C807" s="87" t="n"/>
      <c r="D807" s="88" t="n"/>
      <c r="E807" s="88" t="n"/>
      <c r="F807" s="88" t="n"/>
      <c r="G807" s="88" t="n"/>
      <c r="H807" s="89" t="n"/>
      <c r="I807" s="90">
        <f>IF($G807="","",IF($F807="",IFERROR(INDEX(Setup!$C$21:$C$60,MATCH("|"&amp;UPPER(TRIM($G807)),Setup!$Q$21:$Q$60,0)),"NO RATE"),IFERROR(INDEX(Setup!$C$21:$C$60,MATCH(UPPER(TRIM($F807))&amp;"|"&amp;UPPER(TRIM($G807)),Setup!$P$21:$P$60,0)),IFERROR(INDEX(Setup!$C$21:$C$60,MATCH(UPPER(TRIM($G807))&amp;"|"&amp;UPPER(TRIM($F807)),Setup!$P$21:$P$60,0)),"NO RATE"))))</f>
        <v/>
      </c>
      <c r="J807" s="91" t="n"/>
      <c r="K807" s="90">
        <f>IF(OR($G807="",$H807="",NOT(ISNUMBER($I807))),"",ROUND($H807*$I807*(1+IF($J807="",Setup!$B$16,$J807)),2))</f>
        <v/>
      </c>
      <c r="L807" s="90">
        <f>IF($K807="","",ROUND($K807*Setup!$B$13,2))</f>
        <v/>
      </c>
      <c r="M807" s="90">
        <f>IF($K807="","",$K807-$L807)</f>
        <v/>
      </c>
      <c r="N807" s="90">
        <f>IF(OR($M807="",$D807=""),"",ROUND($M807*IFERROR(IF(VLOOKUP($D807,Setup!$A$76:$C$87,3,FALSE)="",Setup!$B$14,VLOOKUP($D807,Setup!$A$76:$C$87,3,FALSE)),Setup!$B$14),2))</f>
        <v/>
      </c>
      <c r="O807" s="90">
        <f>IF(OR($M807="",$E807=""),"",ROUND($M807*IFERROR(IF(VLOOKUP($E807,Setup!$A$76:$C$87,3,FALSE)="",Setup!$B$15,VLOOKUP($E807,Setup!$A$76:$C$87,3,FALSE)),Setup!$B$15),2))</f>
        <v/>
      </c>
      <c r="P807" s="92" t="n"/>
      <c r="Q807" s="92" t="n"/>
      <c r="R807" s="92" t="n"/>
      <c r="S807" s="92" t="n"/>
      <c r="T807" s="92" t="n"/>
      <c r="U807" s="90">
        <f>IF($K807="","",SUM($R807:$T807))</f>
        <v/>
      </c>
      <c r="V807" s="90">
        <f>IF($K807="","",$M807-(N($N807)+N($O807)+IF($P807="",Setup!$B$17,$P807)+N($Q807))-N($U807))</f>
        <v/>
      </c>
      <c r="W807" s="87" t="n"/>
      <c r="X807" s="88" t="n"/>
      <c r="Z807" s="93">
        <f>IF($A807="","",DATE(YEAR($A807),MONTH($A807),1))</f>
        <v/>
      </c>
    </row>
    <row r="808">
      <c r="A808" s="94" t="n"/>
      <c r="B808" s="95" t="n"/>
      <c r="C808" s="95" t="n"/>
      <c r="D808" s="96" t="n"/>
      <c r="E808" s="96" t="n"/>
      <c r="F808" s="96" t="n"/>
      <c r="G808" s="96" t="n"/>
      <c r="H808" s="97" t="n"/>
      <c r="I808" s="90">
        <f>IF($G808="","",IF($F808="",IFERROR(INDEX(Setup!$C$21:$C$60,MATCH("|"&amp;UPPER(TRIM($G808)),Setup!$Q$21:$Q$60,0)),"NO RATE"),IFERROR(INDEX(Setup!$C$21:$C$60,MATCH(UPPER(TRIM($F808))&amp;"|"&amp;UPPER(TRIM($G808)),Setup!$P$21:$P$60,0)),IFERROR(INDEX(Setup!$C$21:$C$60,MATCH(UPPER(TRIM($G808))&amp;"|"&amp;UPPER(TRIM($F808)),Setup!$P$21:$P$60,0)),"NO RATE"))))</f>
        <v/>
      </c>
      <c r="J808" s="98" t="n"/>
      <c r="K808" s="90">
        <f>IF(OR($G808="",$H808="",NOT(ISNUMBER($I808))),"",ROUND($H808*$I808*(1+IF($J808="",Setup!$B$16,$J808)),2))</f>
        <v/>
      </c>
      <c r="L808" s="90">
        <f>IF($K808="","",ROUND($K808*Setup!$B$13,2))</f>
        <v/>
      </c>
      <c r="M808" s="90">
        <f>IF($K808="","",$K808-$L808)</f>
        <v/>
      </c>
      <c r="N808" s="90">
        <f>IF(OR($M808="",$D808=""),"",ROUND($M808*IFERROR(IF(VLOOKUP($D808,Setup!$A$76:$C$87,3,FALSE)="",Setup!$B$14,VLOOKUP($D808,Setup!$A$76:$C$87,3,FALSE)),Setup!$B$14),2))</f>
        <v/>
      </c>
      <c r="O808" s="90">
        <f>IF(OR($M808="",$E808=""),"",ROUND($M808*IFERROR(IF(VLOOKUP($E808,Setup!$A$76:$C$87,3,FALSE)="",Setup!$B$15,VLOOKUP($E808,Setup!$A$76:$C$87,3,FALSE)),Setup!$B$15),2))</f>
        <v/>
      </c>
      <c r="P808" s="99" t="n"/>
      <c r="Q808" s="99" t="n"/>
      <c r="R808" s="99" t="n"/>
      <c r="S808" s="99" t="n"/>
      <c r="T808" s="99" t="n"/>
      <c r="U808" s="90">
        <f>IF($K808="","",SUM($R808:$T808))</f>
        <v/>
      </c>
      <c r="V808" s="90">
        <f>IF($K808="","",$M808-(N($N808)+N($O808)+IF($P808="",Setup!$B$17,$P808)+N($Q808))-N($U808))</f>
        <v/>
      </c>
      <c r="W808" s="95" t="n"/>
      <c r="X808" s="96" t="n"/>
      <c r="Z808" s="93">
        <f>IF($A808="","",DATE(YEAR($A808),MONTH($A808),1))</f>
        <v/>
      </c>
    </row>
    <row r="809">
      <c r="A809" s="86" t="n"/>
      <c r="B809" s="87" t="n"/>
      <c r="C809" s="87" t="n"/>
      <c r="D809" s="88" t="n"/>
      <c r="E809" s="88" t="n"/>
      <c r="F809" s="88" t="n"/>
      <c r="G809" s="88" t="n"/>
      <c r="H809" s="89" t="n"/>
      <c r="I809" s="90">
        <f>IF($G809="","",IF($F809="",IFERROR(INDEX(Setup!$C$21:$C$60,MATCH("|"&amp;UPPER(TRIM($G809)),Setup!$Q$21:$Q$60,0)),"NO RATE"),IFERROR(INDEX(Setup!$C$21:$C$60,MATCH(UPPER(TRIM($F809))&amp;"|"&amp;UPPER(TRIM($G809)),Setup!$P$21:$P$60,0)),IFERROR(INDEX(Setup!$C$21:$C$60,MATCH(UPPER(TRIM($G809))&amp;"|"&amp;UPPER(TRIM($F809)),Setup!$P$21:$P$60,0)),"NO RATE"))))</f>
        <v/>
      </c>
      <c r="J809" s="91" t="n"/>
      <c r="K809" s="90">
        <f>IF(OR($G809="",$H809="",NOT(ISNUMBER($I809))),"",ROUND($H809*$I809*(1+IF($J809="",Setup!$B$16,$J809)),2))</f>
        <v/>
      </c>
      <c r="L809" s="90">
        <f>IF($K809="","",ROUND($K809*Setup!$B$13,2))</f>
        <v/>
      </c>
      <c r="M809" s="90">
        <f>IF($K809="","",$K809-$L809)</f>
        <v/>
      </c>
      <c r="N809" s="90">
        <f>IF(OR($M809="",$D809=""),"",ROUND($M809*IFERROR(IF(VLOOKUP($D809,Setup!$A$76:$C$87,3,FALSE)="",Setup!$B$14,VLOOKUP($D809,Setup!$A$76:$C$87,3,FALSE)),Setup!$B$14),2))</f>
        <v/>
      </c>
      <c r="O809" s="90">
        <f>IF(OR($M809="",$E809=""),"",ROUND($M809*IFERROR(IF(VLOOKUP($E809,Setup!$A$76:$C$87,3,FALSE)="",Setup!$B$15,VLOOKUP($E809,Setup!$A$76:$C$87,3,FALSE)),Setup!$B$15),2))</f>
        <v/>
      </c>
      <c r="P809" s="92" t="n"/>
      <c r="Q809" s="92" t="n"/>
      <c r="R809" s="92" t="n"/>
      <c r="S809" s="92" t="n"/>
      <c r="T809" s="92" t="n"/>
      <c r="U809" s="90">
        <f>IF($K809="","",SUM($R809:$T809))</f>
        <v/>
      </c>
      <c r="V809" s="90">
        <f>IF($K809="","",$M809-(N($N809)+N($O809)+IF($P809="",Setup!$B$17,$P809)+N($Q809))-N($U809))</f>
        <v/>
      </c>
      <c r="W809" s="87" t="n"/>
      <c r="X809" s="88" t="n"/>
      <c r="Z809" s="93">
        <f>IF($A809="","",DATE(YEAR($A809),MONTH($A809),1))</f>
        <v/>
      </c>
    </row>
    <row r="810">
      <c r="A810" s="94" t="n"/>
      <c r="B810" s="95" t="n"/>
      <c r="C810" s="95" t="n"/>
      <c r="D810" s="96" t="n"/>
      <c r="E810" s="96" t="n"/>
      <c r="F810" s="96" t="n"/>
      <c r="G810" s="96" t="n"/>
      <c r="H810" s="97" t="n"/>
      <c r="I810" s="90">
        <f>IF($G810="","",IF($F810="",IFERROR(INDEX(Setup!$C$21:$C$60,MATCH("|"&amp;UPPER(TRIM($G810)),Setup!$Q$21:$Q$60,0)),"NO RATE"),IFERROR(INDEX(Setup!$C$21:$C$60,MATCH(UPPER(TRIM($F810))&amp;"|"&amp;UPPER(TRIM($G810)),Setup!$P$21:$P$60,0)),IFERROR(INDEX(Setup!$C$21:$C$60,MATCH(UPPER(TRIM($G810))&amp;"|"&amp;UPPER(TRIM($F810)),Setup!$P$21:$P$60,0)),"NO RATE"))))</f>
        <v/>
      </c>
      <c r="J810" s="98" t="n"/>
      <c r="K810" s="90">
        <f>IF(OR($G810="",$H810="",NOT(ISNUMBER($I810))),"",ROUND($H810*$I810*(1+IF($J810="",Setup!$B$16,$J810)),2))</f>
        <v/>
      </c>
      <c r="L810" s="90">
        <f>IF($K810="","",ROUND($K810*Setup!$B$13,2))</f>
        <v/>
      </c>
      <c r="M810" s="90">
        <f>IF($K810="","",$K810-$L810)</f>
        <v/>
      </c>
      <c r="N810" s="90">
        <f>IF(OR($M810="",$D810=""),"",ROUND($M810*IFERROR(IF(VLOOKUP($D810,Setup!$A$76:$C$87,3,FALSE)="",Setup!$B$14,VLOOKUP($D810,Setup!$A$76:$C$87,3,FALSE)),Setup!$B$14),2))</f>
        <v/>
      </c>
      <c r="O810" s="90">
        <f>IF(OR($M810="",$E810=""),"",ROUND($M810*IFERROR(IF(VLOOKUP($E810,Setup!$A$76:$C$87,3,FALSE)="",Setup!$B$15,VLOOKUP($E810,Setup!$A$76:$C$87,3,FALSE)),Setup!$B$15),2))</f>
        <v/>
      </c>
      <c r="P810" s="99" t="n"/>
      <c r="Q810" s="99" t="n"/>
      <c r="R810" s="99" t="n"/>
      <c r="S810" s="99" t="n"/>
      <c r="T810" s="99" t="n"/>
      <c r="U810" s="90">
        <f>IF($K810="","",SUM($R810:$T810))</f>
        <v/>
      </c>
      <c r="V810" s="90">
        <f>IF($K810="","",$M810-(N($N810)+N($O810)+IF($P810="",Setup!$B$17,$P810)+N($Q810))-N($U810))</f>
        <v/>
      </c>
      <c r="W810" s="95" t="n"/>
      <c r="X810" s="96" t="n"/>
      <c r="Z810" s="93">
        <f>IF($A810="","",DATE(YEAR($A810),MONTH($A810),1))</f>
        <v/>
      </c>
    </row>
    <row r="811">
      <c r="A811" s="86" t="n"/>
      <c r="B811" s="87" t="n"/>
      <c r="C811" s="87" t="n"/>
      <c r="D811" s="88" t="n"/>
      <c r="E811" s="88" t="n"/>
      <c r="F811" s="88" t="n"/>
      <c r="G811" s="88" t="n"/>
      <c r="H811" s="89" t="n"/>
      <c r="I811" s="90">
        <f>IF($G811="","",IF($F811="",IFERROR(INDEX(Setup!$C$21:$C$60,MATCH("|"&amp;UPPER(TRIM($G811)),Setup!$Q$21:$Q$60,0)),"NO RATE"),IFERROR(INDEX(Setup!$C$21:$C$60,MATCH(UPPER(TRIM($F811))&amp;"|"&amp;UPPER(TRIM($G811)),Setup!$P$21:$P$60,0)),IFERROR(INDEX(Setup!$C$21:$C$60,MATCH(UPPER(TRIM($G811))&amp;"|"&amp;UPPER(TRIM($F811)),Setup!$P$21:$P$60,0)),"NO RATE"))))</f>
        <v/>
      </c>
      <c r="J811" s="91" t="n"/>
      <c r="K811" s="90">
        <f>IF(OR($G811="",$H811="",NOT(ISNUMBER($I811))),"",ROUND($H811*$I811*(1+IF($J811="",Setup!$B$16,$J811)),2))</f>
        <v/>
      </c>
      <c r="L811" s="90">
        <f>IF($K811="","",ROUND($K811*Setup!$B$13,2))</f>
        <v/>
      </c>
      <c r="M811" s="90">
        <f>IF($K811="","",$K811-$L811)</f>
        <v/>
      </c>
      <c r="N811" s="90">
        <f>IF(OR($M811="",$D811=""),"",ROUND($M811*IFERROR(IF(VLOOKUP($D811,Setup!$A$76:$C$87,3,FALSE)="",Setup!$B$14,VLOOKUP($D811,Setup!$A$76:$C$87,3,FALSE)),Setup!$B$14),2))</f>
        <v/>
      </c>
      <c r="O811" s="90">
        <f>IF(OR($M811="",$E811=""),"",ROUND($M811*IFERROR(IF(VLOOKUP($E811,Setup!$A$76:$C$87,3,FALSE)="",Setup!$B$15,VLOOKUP($E811,Setup!$A$76:$C$87,3,FALSE)),Setup!$B$15),2))</f>
        <v/>
      </c>
      <c r="P811" s="92" t="n"/>
      <c r="Q811" s="92" t="n"/>
      <c r="R811" s="92" t="n"/>
      <c r="S811" s="92" t="n"/>
      <c r="T811" s="92" t="n"/>
      <c r="U811" s="90">
        <f>IF($K811="","",SUM($R811:$T811))</f>
        <v/>
      </c>
      <c r="V811" s="90">
        <f>IF($K811="","",$M811-(N($N811)+N($O811)+IF($P811="",Setup!$B$17,$P811)+N($Q811))-N($U811))</f>
        <v/>
      </c>
      <c r="W811" s="87" t="n"/>
      <c r="X811" s="88" t="n"/>
      <c r="Z811" s="93">
        <f>IF($A811="","",DATE(YEAR($A811),MONTH($A811),1))</f>
        <v/>
      </c>
    </row>
    <row r="812">
      <c r="A812" s="94" t="n"/>
      <c r="B812" s="95" t="n"/>
      <c r="C812" s="95" t="n"/>
      <c r="D812" s="96" t="n"/>
      <c r="E812" s="96" t="n"/>
      <c r="F812" s="96" t="n"/>
      <c r="G812" s="96" t="n"/>
      <c r="H812" s="97" t="n"/>
      <c r="I812" s="90">
        <f>IF($G812="","",IF($F812="",IFERROR(INDEX(Setup!$C$21:$C$60,MATCH("|"&amp;UPPER(TRIM($G812)),Setup!$Q$21:$Q$60,0)),"NO RATE"),IFERROR(INDEX(Setup!$C$21:$C$60,MATCH(UPPER(TRIM($F812))&amp;"|"&amp;UPPER(TRIM($G812)),Setup!$P$21:$P$60,0)),IFERROR(INDEX(Setup!$C$21:$C$60,MATCH(UPPER(TRIM($G812))&amp;"|"&amp;UPPER(TRIM($F812)),Setup!$P$21:$P$60,0)),"NO RATE"))))</f>
        <v/>
      </c>
      <c r="J812" s="98" t="n"/>
      <c r="K812" s="90">
        <f>IF(OR($G812="",$H812="",NOT(ISNUMBER($I812))),"",ROUND($H812*$I812*(1+IF($J812="",Setup!$B$16,$J812)),2))</f>
        <v/>
      </c>
      <c r="L812" s="90">
        <f>IF($K812="","",ROUND($K812*Setup!$B$13,2))</f>
        <v/>
      </c>
      <c r="M812" s="90">
        <f>IF($K812="","",$K812-$L812)</f>
        <v/>
      </c>
      <c r="N812" s="90">
        <f>IF(OR($M812="",$D812=""),"",ROUND($M812*IFERROR(IF(VLOOKUP($D812,Setup!$A$76:$C$87,3,FALSE)="",Setup!$B$14,VLOOKUP($D812,Setup!$A$76:$C$87,3,FALSE)),Setup!$B$14),2))</f>
        <v/>
      </c>
      <c r="O812" s="90">
        <f>IF(OR($M812="",$E812=""),"",ROUND($M812*IFERROR(IF(VLOOKUP($E812,Setup!$A$76:$C$87,3,FALSE)="",Setup!$B$15,VLOOKUP($E812,Setup!$A$76:$C$87,3,FALSE)),Setup!$B$15),2))</f>
        <v/>
      </c>
      <c r="P812" s="99" t="n"/>
      <c r="Q812" s="99" t="n"/>
      <c r="R812" s="99" t="n"/>
      <c r="S812" s="99" t="n"/>
      <c r="T812" s="99" t="n"/>
      <c r="U812" s="90">
        <f>IF($K812="","",SUM($R812:$T812))</f>
        <v/>
      </c>
      <c r="V812" s="90">
        <f>IF($K812="","",$M812-(N($N812)+N($O812)+IF($P812="",Setup!$B$17,$P812)+N($Q812))-N($U812))</f>
        <v/>
      </c>
      <c r="W812" s="95" t="n"/>
      <c r="X812" s="96" t="n"/>
      <c r="Z812" s="93">
        <f>IF($A812="","",DATE(YEAR($A812),MONTH($A812),1))</f>
        <v/>
      </c>
    </row>
    <row r="813">
      <c r="A813" s="86" t="n"/>
      <c r="B813" s="87" t="n"/>
      <c r="C813" s="87" t="n"/>
      <c r="D813" s="88" t="n"/>
      <c r="E813" s="88" t="n"/>
      <c r="F813" s="88" t="n"/>
      <c r="G813" s="88" t="n"/>
      <c r="H813" s="89" t="n"/>
      <c r="I813" s="90">
        <f>IF($G813="","",IF($F813="",IFERROR(INDEX(Setup!$C$21:$C$60,MATCH("|"&amp;UPPER(TRIM($G813)),Setup!$Q$21:$Q$60,0)),"NO RATE"),IFERROR(INDEX(Setup!$C$21:$C$60,MATCH(UPPER(TRIM($F813))&amp;"|"&amp;UPPER(TRIM($G813)),Setup!$P$21:$P$60,0)),IFERROR(INDEX(Setup!$C$21:$C$60,MATCH(UPPER(TRIM($G813))&amp;"|"&amp;UPPER(TRIM($F813)),Setup!$P$21:$P$60,0)),"NO RATE"))))</f>
        <v/>
      </c>
      <c r="J813" s="91" t="n"/>
      <c r="K813" s="90">
        <f>IF(OR($G813="",$H813="",NOT(ISNUMBER($I813))),"",ROUND($H813*$I813*(1+IF($J813="",Setup!$B$16,$J813)),2))</f>
        <v/>
      </c>
      <c r="L813" s="90">
        <f>IF($K813="","",ROUND($K813*Setup!$B$13,2))</f>
        <v/>
      </c>
      <c r="M813" s="90">
        <f>IF($K813="","",$K813-$L813)</f>
        <v/>
      </c>
      <c r="N813" s="90">
        <f>IF(OR($M813="",$D813=""),"",ROUND($M813*IFERROR(IF(VLOOKUP($D813,Setup!$A$76:$C$87,3,FALSE)="",Setup!$B$14,VLOOKUP($D813,Setup!$A$76:$C$87,3,FALSE)),Setup!$B$14),2))</f>
        <v/>
      </c>
      <c r="O813" s="90">
        <f>IF(OR($M813="",$E813=""),"",ROUND($M813*IFERROR(IF(VLOOKUP($E813,Setup!$A$76:$C$87,3,FALSE)="",Setup!$B$15,VLOOKUP($E813,Setup!$A$76:$C$87,3,FALSE)),Setup!$B$15),2))</f>
        <v/>
      </c>
      <c r="P813" s="92" t="n"/>
      <c r="Q813" s="92" t="n"/>
      <c r="R813" s="92" t="n"/>
      <c r="S813" s="92" t="n"/>
      <c r="T813" s="92" t="n"/>
      <c r="U813" s="90">
        <f>IF($K813="","",SUM($R813:$T813))</f>
        <v/>
      </c>
      <c r="V813" s="90">
        <f>IF($K813="","",$M813-(N($N813)+N($O813)+IF($P813="",Setup!$B$17,$P813)+N($Q813))-N($U813))</f>
        <v/>
      </c>
      <c r="W813" s="87" t="n"/>
      <c r="X813" s="88" t="n"/>
      <c r="Z813" s="93">
        <f>IF($A813="","",DATE(YEAR($A813),MONTH($A813),1))</f>
        <v/>
      </c>
    </row>
    <row r="814">
      <c r="A814" s="94" t="n"/>
      <c r="B814" s="95" t="n"/>
      <c r="C814" s="95" t="n"/>
      <c r="D814" s="96" t="n"/>
      <c r="E814" s="96" t="n"/>
      <c r="F814" s="96" t="n"/>
      <c r="G814" s="96" t="n"/>
      <c r="H814" s="97" t="n"/>
      <c r="I814" s="90">
        <f>IF($G814="","",IF($F814="",IFERROR(INDEX(Setup!$C$21:$C$60,MATCH("|"&amp;UPPER(TRIM($G814)),Setup!$Q$21:$Q$60,0)),"NO RATE"),IFERROR(INDEX(Setup!$C$21:$C$60,MATCH(UPPER(TRIM($F814))&amp;"|"&amp;UPPER(TRIM($G814)),Setup!$P$21:$P$60,0)),IFERROR(INDEX(Setup!$C$21:$C$60,MATCH(UPPER(TRIM($G814))&amp;"|"&amp;UPPER(TRIM($F814)),Setup!$P$21:$P$60,0)),"NO RATE"))))</f>
        <v/>
      </c>
      <c r="J814" s="98" t="n"/>
      <c r="K814" s="90">
        <f>IF(OR($G814="",$H814="",NOT(ISNUMBER($I814))),"",ROUND($H814*$I814*(1+IF($J814="",Setup!$B$16,$J814)),2))</f>
        <v/>
      </c>
      <c r="L814" s="90">
        <f>IF($K814="","",ROUND($K814*Setup!$B$13,2))</f>
        <v/>
      </c>
      <c r="M814" s="90">
        <f>IF($K814="","",$K814-$L814)</f>
        <v/>
      </c>
      <c r="N814" s="90">
        <f>IF(OR($M814="",$D814=""),"",ROUND($M814*IFERROR(IF(VLOOKUP($D814,Setup!$A$76:$C$87,3,FALSE)="",Setup!$B$14,VLOOKUP($D814,Setup!$A$76:$C$87,3,FALSE)),Setup!$B$14),2))</f>
        <v/>
      </c>
      <c r="O814" s="90">
        <f>IF(OR($M814="",$E814=""),"",ROUND($M814*IFERROR(IF(VLOOKUP($E814,Setup!$A$76:$C$87,3,FALSE)="",Setup!$B$15,VLOOKUP($E814,Setup!$A$76:$C$87,3,FALSE)),Setup!$B$15),2))</f>
        <v/>
      </c>
      <c r="P814" s="99" t="n"/>
      <c r="Q814" s="99" t="n"/>
      <c r="R814" s="99" t="n"/>
      <c r="S814" s="99" t="n"/>
      <c r="T814" s="99" t="n"/>
      <c r="U814" s="90">
        <f>IF($K814="","",SUM($R814:$T814))</f>
        <v/>
      </c>
      <c r="V814" s="90">
        <f>IF($K814="","",$M814-(N($N814)+N($O814)+IF($P814="",Setup!$B$17,$P814)+N($Q814))-N($U814))</f>
        <v/>
      </c>
      <c r="W814" s="95" t="n"/>
      <c r="X814" s="96" t="n"/>
      <c r="Z814" s="93">
        <f>IF($A814="","",DATE(YEAR($A814),MONTH($A814),1))</f>
        <v/>
      </c>
    </row>
    <row r="815">
      <c r="A815" s="86" t="n"/>
      <c r="B815" s="87" t="n"/>
      <c r="C815" s="87" t="n"/>
      <c r="D815" s="88" t="n"/>
      <c r="E815" s="88" t="n"/>
      <c r="F815" s="88" t="n"/>
      <c r="G815" s="88" t="n"/>
      <c r="H815" s="89" t="n"/>
      <c r="I815" s="90">
        <f>IF($G815="","",IF($F815="",IFERROR(INDEX(Setup!$C$21:$C$60,MATCH("|"&amp;UPPER(TRIM($G815)),Setup!$Q$21:$Q$60,0)),"NO RATE"),IFERROR(INDEX(Setup!$C$21:$C$60,MATCH(UPPER(TRIM($F815))&amp;"|"&amp;UPPER(TRIM($G815)),Setup!$P$21:$P$60,0)),IFERROR(INDEX(Setup!$C$21:$C$60,MATCH(UPPER(TRIM($G815))&amp;"|"&amp;UPPER(TRIM($F815)),Setup!$P$21:$P$60,0)),"NO RATE"))))</f>
        <v/>
      </c>
      <c r="J815" s="91" t="n"/>
      <c r="K815" s="90">
        <f>IF(OR($G815="",$H815="",NOT(ISNUMBER($I815))),"",ROUND($H815*$I815*(1+IF($J815="",Setup!$B$16,$J815)),2))</f>
        <v/>
      </c>
      <c r="L815" s="90">
        <f>IF($K815="","",ROUND($K815*Setup!$B$13,2))</f>
        <v/>
      </c>
      <c r="M815" s="90">
        <f>IF($K815="","",$K815-$L815)</f>
        <v/>
      </c>
      <c r="N815" s="90">
        <f>IF(OR($M815="",$D815=""),"",ROUND($M815*IFERROR(IF(VLOOKUP($D815,Setup!$A$76:$C$87,3,FALSE)="",Setup!$B$14,VLOOKUP($D815,Setup!$A$76:$C$87,3,FALSE)),Setup!$B$14),2))</f>
        <v/>
      </c>
      <c r="O815" s="90">
        <f>IF(OR($M815="",$E815=""),"",ROUND($M815*IFERROR(IF(VLOOKUP($E815,Setup!$A$76:$C$87,3,FALSE)="",Setup!$B$15,VLOOKUP($E815,Setup!$A$76:$C$87,3,FALSE)),Setup!$B$15),2))</f>
        <v/>
      </c>
      <c r="P815" s="92" t="n"/>
      <c r="Q815" s="92" t="n"/>
      <c r="R815" s="92" t="n"/>
      <c r="S815" s="92" t="n"/>
      <c r="T815" s="92" t="n"/>
      <c r="U815" s="90">
        <f>IF($K815="","",SUM($R815:$T815))</f>
        <v/>
      </c>
      <c r="V815" s="90">
        <f>IF($K815="","",$M815-(N($N815)+N($O815)+IF($P815="",Setup!$B$17,$P815)+N($Q815))-N($U815))</f>
        <v/>
      </c>
      <c r="W815" s="87" t="n"/>
      <c r="X815" s="88" t="n"/>
      <c r="Z815" s="93">
        <f>IF($A815="","",DATE(YEAR($A815),MONTH($A815),1))</f>
        <v/>
      </c>
    </row>
    <row r="816">
      <c r="A816" s="94" t="n"/>
      <c r="B816" s="95" t="n"/>
      <c r="C816" s="95" t="n"/>
      <c r="D816" s="96" t="n"/>
      <c r="E816" s="96" t="n"/>
      <c r="F816" s="96" t="n"/>
      <c r="G816" s="96" t="n"/>
      <c r="H816" s="97" t="n"/>
      <c r="I816" s="90">
        <f>IF($G816="","",IF($F816="",IFERROR(INDEX(Setup!$C$21:$C$60,MATCH("|"&amp;UPPER(TRIM($G816)),Setup!$Q$21:$Q$60,0)),"NO RATE"),IFERROR(INDEX(Setup!$C$21:$C$60,MATCH(UPPER(TRIM($F816))&amp;"|"&amp;UPPER(TRIM($G816)),Setup!$P$21:$P$60,0)),IFERROR(INDEX(Setup!$C$21:$C$60,MATCH(UPPER(TRIM($G816))&amp;"|"&amp;UPPER(TRIM($F816)),Setup!$P$21:$P$60,0)),"NO RATE"))))</f>
        <v/>
      </c>
      <c r="J816" s="98" t="n"/>
      <c r="K816" s="90">
        <f>IF(OR($G816="",$H816="",NOT(ISNUMBER($I816))),"",ROUND($H816*$I816*(1+IF($J816="",Setup!$B$16,$J816)),2))</f>
        <v/>
      </c>
      <c r="L816" s="90">
        <f>IF($K816="","",ROUND($K816*Setup!$B$13,2))</f>
        <v/>
      </c>
      <c r="M816" s="90">
        <f>IF($K816="","",$K816-$L816)</f>
        <v/>
      </c>
      <c r="N816" s="90">
        <f>IF(OR($M816="",$D816=""),"",ROUND($M816*IFERROR(IF(VLOOKUP($D816,Setup!$A$76:$C$87,3,FALSE)="",Setup!$B$14,VLOOKUP($D816,Setup!$A$76:$C$87,3,FALSE)),Setup!$B$14),2))</f>
        <v/>
      </c>
      <c r="O816" s="90">
        <f>IF(OR($M816="",$E816=""),"",ROUND($M816*IFERROR(IF(VLOOKUP($E816,Setup!$A$76:$C$87,3,FALSE)="",Setup!$B$15,VLOOKUP($E816,Setup!$A$76:$C$87,3,FALSE)),Setup!$B$15),2))</f>
        <v/>
      </c>
      <c r="P816" s="99" t="n"/>
      <c r="Q816" s="99" t="n"/>
      <c r="R816" s="99" t="n"/>
      <c r="S816" s="99" t="n"/>
      <c r="T816" s="99" t="n"/>
      <c r="U816" s="90">
        <f>IF($K816="","",SUM($R816:$T816))</f>
        <v/>
      </c>
      <c r="V816" s="90">
        <f>IF($K816="","",$M816-(N($N816)+N($O816)+IF($P816="",Setup!$B$17,$P816)+N($Q816))-N($U816))</f>
        <v/>
      </c>
      <c r="W816" s="95" t="n"/>
      <c r="X816" s="96" t="n"/>
      <c r="Z816" s="93">
        <f>IF($A816="","",DATE(YEAR($A816),MONTH($A816),1))</f>
        <v/>
      </c>
    </row>
    <row r="817">
      <c r="A817" s="86" t="n"/>
      <c r="B817" s="87" t="n"/>
      <c r="C817" s="87" t="n"/>
      <c r="D817" s="88" t="n"/>
      <c r="E817" s="88" t="n"/>
      <c r="F817" s="88" t="n"/>
      <c r="G817" s="88" t="n"/>
      <c r="H817" s="89" t="n"/>
      <c r="I817" s="90">
        <f>IF($G817="","",IF($F817="",IFERROR(INDEX(Setup!$C$21:$C$60,MATCH("|"&amp;UPPER(TRIM($G817)),Setup!$Q$21:$Q$60,0)),"NO RATE"),IFERROR(INDEX(Setup!$C$21:$C$60,MATCH(UPPER(TRIM($F817))&amp;"|"&amp;UPPER(TRIM($G817)),Setup!$P$21:$P$60,0)),IFERROR(INDEX(Setup!$C$21:$C$60,MATCH(UPPER(TRIM($G817))&amp;"|"&amp;UPPER(TRIM($F817)),Setup!$P$21:$P$60,0)),"NO RATE"))))</f>
        <v/>
      </c>
      <c r="J817" s="91" t="n"/>
      <c r="K817" s="90">
        <f>IF(OR($G817="",$H817="",NOT(ISNUMBER($I817))),"",ROUND($H817*$I817*(1+IF($J817="",Setup!$B$16,$J817)),2))</f>
        <v/>
      </c>
      <c r="L817" s="90">
        <f>IF($K817="","",ROUND($K817*Setup!$B$13,2))</f>
        <v/>
      </c>
      <c r="M817" s="90">
        <f>IF($K817="","",$K817-$L817)</f>
        <v/>
      </c>
      <c r="N817" s="90">
        <f>IF(OR($M817="",$D817=""),"",ROUND($M817*IFERROR(IF(VLOOKUP($D817,Setup!$A$76:$C$87,3,FALSE)="",Setup!$B$14,VLOOKUP($D817,Setup!$A$76:$C$87,3,FALSE)),Setup!$B$14),2))</f>
        <v/>
      </c>
      <c r="O817" s="90">
        <f>IF(OR($M817="",$E817=""),"",ROUND($M817*IFERROR(IF(VLOOKUP($E817,Setup!$A$76:$C$87,3,FALSE)="",Setup!$B$15,VLOOKUP($E817,Setup!$A$76:$C$87,3,FALSE)),Setup!$B$15),2))</f>
        <v/>
      </c>
      <c r="P817" s="92" t="n"/>
      <c r="Q817" s="92" t="n"/>
      <c r="R817" s="92" t="n"/>
      <c r="S817" s="92" t="n"/>
      <c r="T817" s="92" t="n"/>
      <c r="U817" s="90">
        <f>IF($K817="","",SUM($R817:$T817))</f>
        <v/>
      </c>
      <c r="V817" s="90">
        <f>IF($K817="","",$M817-(N($N817)+N($O817)+IF($P817="",Setup!$B$17,$P817)+N($Q817))-N($U817))</f>
        <v/>
      </c>
      <c r="W817" s="87" t="n"/>
      <c r="X817" s="88" t="n"/>
      <c r="Z817" s="93">
        <f>IF($A817="","",DATE(YEAR($A817),MONTH($A817),1))</f>
        <v/>
      </c>
    </row>
    <row r="818">
      <c r="A818" s="94" t="n"/>
      <c r="B818" s="95" t="n"/>
      <c r="C818" s="95" t="n"/>
      <c r="D818" s="96" t="n"/>
      <c r="E818" s="96" t="n"/>
      <c r="F818" s="96" t="n"/>
      <c r="G818" s="96" t="n"/>
      <c r="H818" s="97" t="n"/>
      <c r="I818" s="90">
        <f>IF($G818="","",IF($F818="",IFERROR(INDEX(Setup!$C$21:$C$60,MATCH("|"&amp;UPPER(TRIM($G818)),Setup!$Q$21:$Q$60,0)),"NO RATE"),IFERROR(INDEX(Setup!$C$21:$C$60,MATCH(UPPER(TRIM($F818))&amp;"|"&amp;UPPER(TRIM($G818)),Setup!$P$21:$P$60,0)),IFERROR(INDEX(Setup!$C$21:$C$60,MATCH(UPPER(TRIM($G818))&amp;"|"&amp;UPPER(TRIM($F818)),Setup!$P$21:$P$60,0)),"NO RATE"))))</f>
        <v/>
      </c>
      <c r="J818" s="98" t="n"/>
      <c r="K818" s="90">
        <f>IF(OR($G818="",$H818="",NOT(ISNUMBER($I818))),"",ROUND($H818*$I818*(1+IF($J818="",Setup!$B$16,$J818)),2))</f>
        <v/>
      </c>
      <c r="L818" s="90">
        <f>IF($K818="","",ROUND($K818*Setup!$B$13,2))</f>
        <v/>
      </c>
      <c r="M818" s="90">
        <f>IF($K818="","",$K818-$L818)</f>
        <v/>
      </c>
      <c r="N818" s="90">
        <f>IF(OR($M818="",$D818=""),"",ROUND($M818*IFERROR(IF(VLOOKUP($D818,Setup!$A$76:$C$87,3,FALSE)="",Setup!$B$14,VLOOKUP($D818,Setup!$A$76:$C$87,3,FALSE)),Setup!$B$14),2))</f>
        <v/>
      </c>
      <c r="O818" s="90">
        <f>IF(OR($M818="",$E818=""),"",ROUND($M818*IFERROR(IF(VLOOKUP($E818,Setup!$A$76:$C$87,3,FALSE)="",Setup!$B$15,VLOOKUP($E818,Setup!$A$76:$C$87,3,FALSE)),Setup!$B$15),2))</f>
        <v/>
      </c>
      <c r="P818" s="99" t="n"/>
      <c r="Q818" s="99" t="n"/>
      <c r="R818" s="99" t="n"/>
      <c r="S818" s="99" t="n"/>
      <c r="T818" s="99" t="n"/>
      <c r="U818" s="90">
        <f>IF($K818="","",SUM($R818:$T818))</f>
        <v/>
      </c>
      <c r="V818" s="90">
        <f>IF($K818="","",$M818-(N($N818)+N($O818)+IF($P818="",Setup!$B$17,$P818)+N($Q818))-N($U818))</f>
        <v/>
      </c>
      <c r="W818" s="95" t="n"/>
      <c r="X818" s="96" t="n"/>
      <c r="Z818" s="93">
        <f>IF($A818="","",DATE(YEAR($A818),MONTH($A818),1))</f>
        <v/>
      </c>
    </row>
    <row r="819">
      <c r="A819" s="86" t="n"/>
      <c r="B819" s="87" t="n"/>
      <c r="C819" s="87" t="n"/>
      <c r="D819" s="88" t="n"/>
      <c r="E819" s="88" t="n"/>
      <c r="F819" s="88" t="n"/>
      <c r="G819" s="88" t="n"/>
      <c r="H819" s="89" t="n"/>
      <c r="I819" s="90">
        <f>IF($G819="","",IF($F819="",IFERROR(INDEX(Setup!$C$21:$C$60,MATCH("|"&amp;UPPER(TRIM($G819)),Setup!$Q$21:$Q$60,0)),"NO RATE"),IFERROR(INDEX(Setup!$C$21:$C$60,MATCH(UPPER(TRIM($F819))&amp;"|"&amp;UPPER(TRIM($G819)),Setup!$P$21:$P$60,0)),IFERROR(INDEX(Setup!$C$21:$C$60,MATCH(UPPER(TRIM($G819))&amp;"|"&amp;UPPER(TRIM($F819)),Setup!$P$21:$P$60,0)),"NO RATE"))))</f>
        <v/>
      </c>
      <c r="J819" s="91" t="n"/>
      <c r="K819" s="90">
        <f>IF(OR($G819="",$H819="",NOT(ISNUMBER($I819))),"",ROUND($H819*$I819*(1+IF($J819="",Setup!$B$16,$J819)),2))</f>
        <v/>
      </c>
      <c r="L819" s="90">
        <f>IF($K819="","",ROUND($K819*Setup!$B$13,2))</f>
        <v/>
      </c>
      <c r="M819" s="90">
        <f>IF($K819="","",$K819-$L819)</f>
        <v/>
      </c>
      <c r="N819" s="90">
        <f>IF(OR($M819="",$D819=""),"",ROUND($M819*IFERROR(IF(VLOOKUP($D819,Setup!$A$76:$C$87,3,FALSE)="",Setup!$B$14,VLOOKUP($D819,Setup!$A$76:$C$87,3,FALSE)),Setup!$B$14),2))</f>
        <v/>
      </c>
      <c r="O819" s="90">
        <f>IF(OR($M819="",$E819=""),"",ROUND($M819*IFERROR(IF(VLOOKUP($E819,Setup!$A$76:$C$87,3,FALSE)="",Setup!$B$15,VLOOKUP($E819,Setup!$A$76:$C$87,3,FALSE)),Setup!$B$15),2))</f>
        <v/>
      </c>
      <c r="P819" s="92" t="n"/>
      <c r="Q819" s="92" t="n"/>
      <c r="R819" s="92" t="n"/>
      <c r="S819" s="92" t="n"/>
      <c r="T819" s="92" t="n"/>
      <c r="U819" s="90">
        <f>IF($K819="","",SUM($R819:$T819))</f>
        <v/>
      </c>
      <c r="V819" s="90">
        <f>IF($K819="","",$M819-(N($N819)+N($O819)+IF($P819="",Setup!$B$17,$P819)+N($Q819))-N($U819))</f>
        <v/>
      </c>
      <c r="W819" s="87" t="n"/>
      <c r="X819" s="88" t="n"/>
      <c r="Z819" s="93">
        <f>IF($A819="","",DATE(YEAR($A819),MONTH($A819),1))</f>
        <v/>
      </c>
    </row>
    <row r="820">
      <c r="A820" s="94" t="n"/>
      <c r="B820" s="95" t="n"/>
      <c r="C820" s="95" t="n"/>
      <c r="D820" s="96" t="n"/>
      <c r="E820" s="96" t="n"/>
      <c r="F820" s="96" t="n"/>
      <c r="G820" s="96" t="n"/>
      <c r="H820" s="97" t="n"/>
      <c r="I820" s="90">
        <f>IF($G820="","",IF($F820="",IFERROR(INDEX(Setup!$C$21:$C$60,MATCH("|"&amp;UPPER(TRIM($G820)),Setup!$Q$21:$Q$60,0)),"NO RATE"),IFERROR(INDEX(Setup!$C$21:$C$60,MATCH(UPPER(TRIM($F820))&amp;"|"&amp;UPPER(TRIM($G820)),Setup!$P$21:$P$60,0)),IFERROR(INDEX(Setup!$C$21:$C$60,MATCH(UPPER(TRIM($G820))&amp;"|"&amp;UPPER(TRIM($F820)),Setup!$P$21:$P$60,0)),"NO RATE"))))</f>
        <v/>
      </c>
      <c r="J820" s="98" t="n"/>
      <c r="K820" s="90">
        <f>IF(OR($G820="",$H820="",NOT(ISNUMBER($I820))),"",ROUND($H820*$I820*(1+IF($J820="",Setup!$B$16,$J820)),2))</f>
        <v/>
      </c>
      <c r="L820" s="90">
        <f>IF($K820="","",ROUND($K820*Setup!$B$13,2))</f>
        <v/>
      </c>
      <c r="M820" s="90">
        <f>IF($K820="","",$K820-$L820)</f>
        <v/>
      </c>
      <c r="N820" s="90">
        <f>IF(OR($M820="",$D820=""),"",ROUND($M820*IFERROR(IF(VLOOKUP($D820,Setup!$A$76:$C$87,3,FALSE)="",Setup!$B$14,VLOOKUP($D820,Setup!$A$76:$C$87,3,FALSE)),Setup!$B$14),2))</f>
        <v/>
      </c>
      <c r="O820" s="90">
        <f>IF(OR($M820="",$E820=""),"",ROUND($M820*IFERROR(IF(VLOOKUP($E820,Setup!$A$76:$C$87,3,FALSE)="",Setup!$B$15,VLOOKUP($E820,Setup!$A$76:$C$87,3,FALSE)),Setup!$B$15),2))</f>
        <v/>
      </c>
      <c r="P820" s="99" t="n"/>
      <c r="Q820" s="99" t="n"/>
      <c r="R820" s="99" t="n"/>
      <c r="S820" s="99" t="n"/>
      <c r="T820" s="99" t="n"/>
      <c r="U820" s="90">
        <f>IF($K820="","",SUM($R820:$T820))</f>
        <v/>
      </c>
      <c r="V820" s="90">
        <f>IF($K820="","",$M820-(N($N820)+N($O820)+IF($P820="",Setup!$B$17,$P820)+N($Q820))-N($U820))</f>
        <v/>
      </c>
      <c r="W820" s="95" t="n"/>
      <c r="X820" s="96" t="n"/>
      <c r="Z820" s="93">
        <f>IF($A820="","",DATE(YEAR($A820),MONTH($A820),1))</f>
        <v/>
      </c>
    </row>
    <row r="821">
      <c r="A821" s="86" t="n"/>
      <c r="B821" s="87" t="n"/>
      <c r="C821" s="87" t="n"/>
      <c r="D821" s="88" t="n"/>
      <c r="E821" s="88" t="n"/>
      <c r="F821" s="88" t="n"/>
      <c r="G821" s="88" t="n"/>
      <c r="H821" s="89" t="n"/>
      <c r="I821" s="90">
        <f>IF($G821="","",IF($F821="",IFERROR(INDEX(Setup!$C$21:$C$60,MATCH("|"&amp;UPPER(TRIM($G821)),Setup!$Q$21:$Q$60,0)),"NO RATE"),IFERROR(INDEX(Setup!$C$21:$C$60,MATCH(UPPER(TRIM($F821))&amp;"|"&amp;UPPER(TRIM($G821)),Setup!$P$21:$P$60,0)),IFERROR(INDEX(Setup!$C$21:$C$60,MATCH(UPPER(TRIM($G821))&amp;"|"&amp;UPPER(TRIM($F821)),Setup!$P$21:$P$60,0)),"NO RATE"))))</f>
        <v/>
      </c>
      <c r="J821" s="91" t="n"/>
      <c r="K821" s="90">
        <f>IF(OR($G821="",$H821="",NOT(ISNUMBER($I821))),"",ROUND($H821*$I821*(1+IF($J821="",Setup!$B$16,$J821)),2))</f>
        <v/>
      </c>
      <c r="L821" s="90">
        <f>IF($K821="","",ROUND($K821*Setup!$B$13,2))</f>
        <v/>
      </c>
      <c r="M821" s="90">
        <f>IF($K821="","",$K821-$L821)</f>
        <v/>
      </c>
      <c r="N821" s="90">
        <f>IF(OR($M821="",$D821=""),"",ROUND($M821*IFERROR(IF(VLOOKUP($D821,Setup!$A$76:$C$87,3,FALSE)="",Setup!$B$14,VLOOKUP($D821,Setup!$A$76:$C$87,3,FALSE)),Setup!$B$14),2))</f>
        <v/>
      </c>
      <c r="O821" s="90">
        <f>IF(OR($M821="",$E821=""),"",ROUND($M821*IFERROR(IF(VLOOKUP($E821,Setup!$A$76:$C$87,3,FALSE)="",Setup!$B$15,VLOOKUP($E821,Setup!$A$76:$C$87,3,FALSE)),Setup!$B$15),2))</f>
        <v/>
      </c>
      <c r="P821" s="92" t="n"/>
      <c r="Q821" s="92" t="n"/>
      <c r="R821" s="92" t="n"/>
      <c r="S821" s="92" t="n"/>
      <c r="T821" s="92" t="n"/>
      <c r="U821" s="90">
        <f>IF($K821="","",SUM($R821:$T821))</f>
        <v/>
      </c>
      <c r="V821" s="90">
        <f>IF($K821="","",$M821-(N($N821)+N($O821)+IF($P821="",Setup!$B$17,$P821)+N($Q821))-N($U821))</f>
        <v/>
      </c>
      <c r="W821" s="87" t="n"/>
      <c r="X821" s="88" t="n"/>
      <c r="Z821" s="93">
        <f>IF($A821="","",DATE(YEAR($A821),MONTH($A821),1))</f>
        <v/>
      </c>
    </row>
    <row r="822">
      <c r="A822" s="94" t="n"/>
      <c r="B822" s="95" t="n"/>
      <c r="C822" s="95" t="n"/>
      <c r="D822" s="96" t="n"/>
      <c r="E822" s="96" t="n"/>
      <c r="F822" s="96" t="n"/>
      <c r="G822" s="96" t="n"/>
      <c r="H822" s="97" t="n"/>
      <c r="I822" s="90">
        <f>IF($G822="","",IF($F822="",IFERROR(INDEX(Setup!$C$21:$C$60,MATCH("|"&amp;UPPER(TRIM($G822)),Setup!$Q$21:$Q$60,0)),"NO RATE"),IFERROR(INDEX(Setup!$C$21:$C$60,MATCH(UPPER(TRIM($F822))&amp;"|"&amp;UPPER(TRIM($G822)),Setup!$P$21:$P$60,0)),IFERROR(INDEX(Setup!$C$21:$C$60,MATCH(UPPER(TRIM($G822))&amp;"|"&amp;UPPER(TRIM($F822)),Setup!$P$21:$P$60,0)),"NO RATE"))))</f>
        <v/>
      </c>
      <c r="J822" s="98" t="n"/>
      <c r="K822" s="90">
        <f>IF(OR($G822="",$H822="",NOT(ISNUMBER($I822))),"",ROUND($H822*$I822*(1+IF($J822="",Setup!$B$16,$J822)),2))</f>
        <v/>
      </c>
      <c r="L822" s="90">
        <f>IF($K822="","",ROUND($K822*Setup!$B$13,2))</f>
        <v/>
      </c>
      <c r="M822" s="90">
        <f>IF($K822="","",$K822-$L822)</f>
        <v/>
      </c>
      <c r="N822" s="90">
        <f>IF(OR($M822="",$D822=""),"",ROUND($M822*IFERROR(IF(VLOOKUP($D822,Setup!$A$76:$C$87,3,FALSE)="",Setup!$B$14,VLOOKUP($D822,Setup!$A$76:$C$87,3,FALSE)),Setup!$B$14),2))</f>
        <v/>
      </c>
      <c r="O822" s="90">
        <f>IF(OR($M822="",$E822=""),"",ROUND($M822*IFERROR(IF(VLOOKUP($E822,Setup!$A$76:$C$87,3,FALSE)="",Setup!$B$15,VLOOKUP($E822,Setup!$A$76:$C$87,3,FALSE)),Setup!$B$15),2))</f>
        <v/>
      </c>
      <c r="P822" s="99" t="n"/>
      <c r="Q822" s="99" t="n"/>
      <c r="R822" s="99" t="n"/>
      <c r="S822" s="99" t="n"/>
      <c r="T822" s="99" t="n"/>
      <c r="U822" s="90">
        <f>IF($K822="","",SUM($R822:$T822))</f>
        <v/>
      </c>
      <c r="V822" s="90">
        <f>IF($K822="","",$M822-(N($N822)+N($O822)+IF($P822="",Setup!$B$17,$P822)+N($Q822))-N($U822))</f>
        <v/>
      </c>
      <c r="W822" s="95" t="n"/>
      <c r="X822" s="96" t="n"/>
      <c r="Z822" s="93">
        <f>IF($A822="","",DATE(YEAR($A822),MONTH($A822),1))</f>
        <v/>
      </c>
    </row>
    <row r="823">
      <c r="A823" s="86" t="n"/>
      <c r="B823" s="87" t="n"/>
      <c r="C823" s="87" t="n"/>
      <c r="D823" s="88" t="n"/>
      <c r="E823" s="88" t="n"/>
      <c r="F823" s="88" t="n"/>
      <c r="G823" s="88" t="n"/>
      <c r="H823" s="89" t="n"/>
      <c r="I823" s="90">
        <f>IF($G823="","",IF($F823="",IFERROR(INDEX(Setup!$C$21:$C$60,MATCH("|"&amp;UPPER(TRIM($G823)),Setup!$Q$21:$Q$60,0)),"NO RATE"),IFERROR(INDEX(Setup!$C$21:$C$60,MATCH(UPPER(TRIM($F823))&amp;"|"&amp;UPPER(TRIM($G823)),Setup!$P$21:$P$60,0)),IFERROR(INDEX(Setup!$C$21:$C$60,MATCH(UPPER(TRIM($G823))&amp;"|"&amp;UPPER(TRIM($F823)),Setup!$P$21:$P$60,0)),"NO RATE"))))</f>
        <v/>
      </c>
      <c r="J823" s="91" t="n"/>
      <c r="K823" s="90">
        <f>IF(OR($G823="",$H823="",NOT(ISNUMBER($I823))),"",ROUND($H823*$I823*(1+IF($J823="",Setup!$B$16,$J823)),2))</f>
        <v/>
      </c>
      <c r="L823" s="90">
        <f>IF($K823="","",ROUND($K823*Setup!$B$13,2))</f>
        <v/>
      </c>
      <c r="M823" s="90">
        <f>IF($K823="","",$K823-$L823)</f>
        <v/>
      </c>
      <c r="N823" s="90">
        <f>IF(OR($M823="",$D823=""),"",ROUND($M823*IFERROR(IF(VLOOKUP($D823,Setup!$A$76:$C$87,3,FALSE)="",Setup!$B$14,VLOOKUP($D823,Setup!$A$76:$C$87,3,FALSE)),Setup!$B$14),2))</f>
        <v/>
      </c>
      <c r="O823" s="90">
        <f>IF(OR($M823="",$E823=""),"",ROUND($M823*IFERROR(IF(VLOOKUP($E823,Setup!$A$76:$C$87,3,FALSE)="",Setup!$B$15,VLOOKUP($E823,Setup!$A$76:$C$87,3,FALSE)),Setup!$B$15),2))</f>
        <v/>
      </c>
      <c r="P823" s="92" t="n"/>
      <c r="Q823" s="92" t="n"/>
      <c r="R823" s="92" t="n"/>
      <c r="S823" s="92" t="n"/>
      <c r="T823" s="92" t="n"/>
      <c r="U823" s="90">
        <f>IF($K823="","",SUM($R823:$T823))</f>
        <v/>
      </c>
      <c r="V823" s="90">
        <f>IF($K823="","",$M823-(N($N823)+N($O823)+IF($P823="",Setup!$B$17,$P823)+N($Q823))-N($U823))</f>
        <v/>
      </c>
      <c r="W823" s="87" t="n"/>
      <c r="X823" s="88" t="n"/>
      <c r="Z823" s="93">
        <f>IF($A823="","",DATE(YEAR($A823),MONTH($A823),1))</f>
        <v/>
      </c>
    </row>
    <row r="824">
      <c r="A824" s="94" t="n"/>
      <c r="B824" s="95" t="n"/>
      <c r="C824" s="95" t="n"/>
      <c r="D824" s="96" t="n"/>
      <c r="E824" s="96" t="n"/>
      <c r="F824" s="96" t="n"/>
      <c r="G824" s="96" t="n"/>
      <c r="H824" s="97" t="n"/>
      <c r="I824" s="90">
        <f>IF($G824="","",IF($F824="",IFERROR(INDEX(Setup!$C$21:$C$60,MATCH("|"&amp;UPPER(TRIM($G824)),Setup!$Q$21:$Q$60,0)),"NO RATE"),IFERROR(INDEX(Setup!$C$21:$C$60,MATCH(UPPER(TRIM($F824))&amp;"|"&amp;UPPER(TRIM($G824)),Setup!$P$21:$P$60,0)),IFERROR(INDEX(Setup!$C$21:$C$60,MATCH(UPPER(TRIM($G824))&amp;"|"&amp;UPPER(TRIM($F824)),Setup!$P$21:$P$60,0)),"NO RATE"))))</f>
        <v/>
      </c>
      <c r="J824" s="98" t="n"/>
      <c r="K824" s="90">
        <f>IF(OR($G824="",$H824="",NOT(ISNUMBER($I824))),"",ROUND($H824*$I824*(1+IF($J824="",Setup!$B$16,$J824)),2))</f>
        <v/>
      </c>
      <c r="L824" s="90">
        <f>IF($K824="","",ROUND($K824*Setup!$B$13,2))</f>
        <v/>
      </c>
      <c r="M824" s="90">
        <f>IF($K824="","",$K824-$L824)</f>
        <v/>
      </c>
      <c r="N824" s="90">
        <f>IF(OR($M824="",$D824=""),"",ROUND($M824*IFERROR(IF(VLOOKUP($D824,Setup!$A$76:$C$87,3,FALSE)="",Setup!$B$14,VLOOKUP($D824,Setup!$A$76:$C$87,3,FALSE)),Setup!$B$14),2))</f>
        <v/>
      </c>
      <c r="O824" s="90">
        <f>IF(OR($M824="",$E824=""),"",ROUND($M824*IFERROR(IF(VLOOKUP($E824,Setup!$A$76:$C$87,3,FALSE)="",Setup!$B$15,VLOOKUP($E824,Setup!$A$76:$C$87,3,FALSE)),Setup!$B$15),2))</f>
        <v/>
      </c>
      <c r="P824" s="99" t="n"/>
      <c r="Q824" s="99" t="n"/>
      <c r="R824" s="99" t="n"/>
      <c r="S824" s="99" t="n"/>
      <c r="T824" s="99" t="n"/>
      <c r="U824" s="90">
        <f>IF($K824="","",SUM($R824:$T824))</f>
        <v/>
      </c>
      <c r="V824" s="90">
        <f>IF($K824="","",$M824-(N($N824)+N($O824)+IF($P824="",Setup!$B$17,$P824)+N($Q824))-N($U824))</f>
        <v/>
      </c>
      <c r="W824" s="95" t="n"/>
      <c r="X824" s="96" t="n"/>
      <c r="Z824" s="93">
        <f>IF($A824="","",DATE(YEAR($A824),MONTH($A824),1))</f>
        <v/>
      </c>
    </row>
    <row r="825">
      <c r="A825" s="86" t="n"/>
      <c r="B825" s="87" t="n"/>
      <c r="C825" s="87" t="n"/>
      <c r="D825" s="88" t="n"/>
      <c r="E825" s="88" t="n"/>
      <c r="F825" s="88" t="n"/>
      <c r="G825" s="88" t="n"/>
      <c r="H825" s="89" t="n"/>
      <c r="I825" s="90">
        <f>IF($G825="","",IF($F825="",IFERROR(INDEX(Setup!$C$21:$C$60,MATCH("|"&amp;UPPER(TRIM($G825)),Setup!$Q$21:$Q$60,0)),"NO RATE"),IFERROR(INDEX(Setup!$C$21:$C$60,MATCH(UPPER(TRIM($F825))&amp;"|"&amp;UPPER(TRIM($G825)),Setup!$P$21:$P$60,0)),IFERROR(INDEX(Setup!$C$21:$C$60,MATCH(UPPER(TRIM($G825))&amp;"|"&amp;UPPER(TRIM($F825)),Setup!$P$21:$P$60,0)),"NO RATE"))))</f>
        <v/>
      </c>
      <c r="J825" s="91" t="n"/>
      <c r="K825" s="90">
        <f>IF(OR($G825="",$H825="",NOT(ISNUMBER($I825))),"",ROUND($H825*$I825*(1+IF($J825="",Setup!$B$16,$J825)),2))</f>
        <v/>
      </c>
      <c r="L825" s="90">
        <f>IF($K825="","",ROUND($K825*Setup!$B$13,2))</f>
        <v/>
      </c>
      <c r="M825" s="90">
        <f>IF($K825="","",$K825-$L825)</f>
        <v/>
      </c>
      <c r="N825" s="90">
        <f>IF(OR($M825="",$D825=""),"",ROUND($M825*IFERROR(IF(VLOOKUP($D825,Setup!$A$76:$C$87,3,FALSE)="",Setup!$B$14,VLOOKUP($D825,Setup!$A$76:$C$87,3,FALSE)),Setup!$B$14),2))</f>
        <v/>
      </c>
      <c r="O825" s="90">
        <f>IF(OR($M825="",$E825=""),"",ROUND($M825*IFERROR(IF(VLOOKUP($E825,Setup!$A$76:$C$87,3,FALSE)="",Setup!$B$15,VLOOKUP($E825,Setup!$A$76:$C$87,3,FALSE)),Setup!$B$15),2))</f>
        <v/>
      </c>
      <c r="P825" s="92" t="n"/>
      <c r="Q825" s="92" t="n"/>
      <c r="R825" s="92" t="n"/>
      <c r="S825" s="92" t="n"/>
      <c r="T825" s="92" t="n"/>
      <c r="U825" s="90">
        <f>IF($K825="","",SUM($R825:$T825))</f>
        <v/>
      </c>
      <c r="V825" s="90">
        <f>IF($K825="","",$M825-(N($N825)+N($O825)+IF($P825="",Setup!$B$17,$P825)+N($Q825))-N($U825))</f>
        <v/>
      </c>
      <c r="W825" s="87" t="n"/>
      <c r="X825" s="88" t="n"/>
      <c r="Z825" s="93">
        <f>IF($A825="","",DATE(YEAR($A825),MONTH($A825),1))</f>
        <v/>
      </c>
    </row>
    <row r="826">
      <c r="A826" s="94" t="n"/>
      <c r="B826" s="95" t="n"/>
      <c r="C826" s="95" t="n"/>
      <c r="D826" s="96" t="n"/>
      <c r="E826" s="96" t="n"/>
      <c r="F826" s="96" t="n"/>
      <c r="G826" s="96" t="n"/>
      <c r="H826" s="97" t="n"/>
      <c r="I826" s="90">
        <f>IF($G826="","",IF($F826="",IFERROR(INDEX(Setup!$C$21:$C$60,MATCH("|"&amp;UPPER(TRIM($G826)),Setup!$Q$21:$Q$60,0)),"NO RATE"),IFERROR(INDEX(Setup!$C$21:$C$60,MATCH(UPPER(TRIM($F826))&amp;"|"&amp;UPPER(TRIM($G826)),Setup!$P$21:$P$60,0)),IFERROR(INDEX(Setup!$C$21:$C$60,MATCH(UPPER(TRIM($G826))&amp;"|"&amp;UPPER(TRIM($F826)),Setup!$P$21:$P$60,0)),"NO RATE"))))</f>
        <v/>
      </c>
      <c r="J826" s="98" t="n"/>
      <c r="K826" s="90">
        <f>IF(OR($G826="",$H826="",NOT(ISNUMBER($I826))),"",ROUND($H826*$I826*(1+IF($J826="",Setup!$B$16,$J826)),2))</f>
        <v/>
      </c>
      <c r="L826" s="90">
        <f>IF($K826="","",ROUND($K826*Setup!$B$13,2))</f>
        <v/>
      </c>
      <c r="M826" s="90">
        <f>IF($K826="","",$K826-$L826)</f>
        <v/>
      </c>
      <c r="N826" s="90">
        <f>IF(OR($M826="",$D826=""),"",ROUND($M826*IFERROR(IF(VLOOKUP($D826,Setup!$A$76:$C$87,3,FALSE)="",Setup!$B$14,VLOOKUP($D826,Setup!$A$76:$C$87,3,FALSE)),Setup!$B$14),2))</f>
        <v/>
      </c>
      <c r="O826" s="90">
        <f>IF(OR($M826="",$E826=""),"",ROUND($M826*IFERROR(IF(VLOOKUP($E826,Setup!$A$76:$C$87,3,FALSE)="",Setup!$B$15,VLOOKUP($E826,Setup!$A$76:$C$87,3,FALSE)),Setup!$B$15),2))</f>
        <v/>
      </c>
      <c r="P826" s="99" t="n"/>
      <c r="Q826" s="99" t="n"/>
      <c r="R826" s="99" t="n"/>
      <c r="S826" s="99" t="n"/>
      <c r="T826" s="99" t="n"/>
      <c r="U826" s="90">
        <f>IF($K826="","",SUM($R826:$T826))</f>
        <v/>
      </c>
      <c r="V826" s="90">
        <f>IF($K826="","",$M826-(N($N826)+N($O826)+IF($P826="",Setup!$B$17,$P826)+N($Q826))-N($U826))</f>
        <v/>
      </c>
      <c r="W826" s="95" t="n"/>
      <c r="X826" s="96" t="n"/>
      <c r="Z826" s="93">
        <f>IF($A826="","",DATE(YEAR($A826),MONTH($A826),1))</f>
        <v/>
      </c>
    </row>
    <row r="827">
      <c r="A827" s="86" t="n"/>
      <c r="B827" s="87" t="n"/>
      <c r="C827" s="87" t="n"/>
      <c r="D827" s="88" t="n"/>
      <c r="E827" s="88" t="n"/>
      <c r="F827" s="88" t="n"/>
      <c r="G827" s="88" t="n"/>
      <c r="H827" s="89" t="n"/>
      <c r="I827" s="90">
        <f>IF($G827="","",IF($F827="",IFERROR(INDEX(Setup!$C$21:$C$60,MATCH("|"&amp;UPPER(TRIM($G827)),Setup!$Q$21:$Q$60,0)),"NO RATE"),IFERROR(INDEX(Setup!$C$21:$C$60,MATCH(UPPER(TRIM($F827))&amp;"|"&amp;UPPER(TRIM($G827)),Setup!$P$21:$P$60,0)),IFERROR(INDEX(Setup!$C$21:$C$60,MATCH(UPPER(TRIM($G827))&amp;"|"&amp;UPPER(TRIM($F827)),Setup!$P$21:$P$60,0)),"NO RATE"))))</f>
        <v/>
      </c>
      <c r="J827" s="91" t="n"/>
      <c r="K827" s="90">
        <f>IF(OR($G827="",$H827="",NOT(ISNUMBER($I827))),"",ROUND($H827*$I827*(1+IF($J827="",Setup!$B$16,$J827)),2))</f>
        <v/>
      </c>
      <c r="L827" s="90">
        <f>IF($K827="","",ROUND($K827*Setup!$B$13,2))</f>
        <v/>
      </c>
      <c r="M827" s="90">
        <f>IF($K827="","",$K827-$L827)</f>
        <v/>
      </c>
      <c r="N827" s="90">
        <f>IF(OR($M827="",$D827=""),"",ROUND($M827*IFERROR(IF(VLOOKUP($D827,Setup!$A$76:$C$87,3,FALSE)="",Setup!$B$14,VLOOKUP($D827,Setup!$A$76:$C$87,3,FALSE)),Setup!$B$14),2))</f>
        <v/>
      </c>
      <c r="O827" s="90">
        <f>IF(OR($M827="",$E827=""),"",ROUND($M827*IFERROR(IF(VLOOKUP($E827,Setup!$A$76:$C$87,3,FALSE)="",Setup!$B$15,VLOOKUP($E827,Setup!$A$76:$C$87,3,FALSE)),Setup!$B$15),2))</f>
        <v/>
      </c>
      <c r="P827" s="92" t="n"/>
      <c r="Q827" s="92" t="n"/>
      <c r="R827" s="92" t="n"/>
      <c r="S827" s="92" t="n"/>
      <c r="T827" s="92" t="n"/>
      <c r="U827" s="90">
        <f>IF($K827="","",SUM($R827:$T827))</f>
        <v/>
      </c>
      <c r="V827" s="90">
        <f>IF($K827="","",$M827-(N($N827)+N($O827)+IF($P827="",Setup!$B$17,$P827)+N($Q827))-N($U827))</f>
        <v/>
      </c>
      <c r="W827" s="87" t="n"/>
      <c r="X827" s="88" t="n"/>
      <c r="Z827" s="93">
        <f>IF($A827="","",DATE(YEAR($A827),MONTH($A827),1))</f>
        <v/>
      </c>
    </row>
    <row r="828">
      <c r="A828" s="94" t="n"/>
      <c r="B828" s="95" t="n"/>
      <c r="C828" s="95" t="n"/>
      <c r="D828" s="96" t="n"/>
      <c r="E828" s="96" t="n"/>
      <c r="F828" s="96" t="n"/>
      <c r="G828" s="96" t="n"/>
      <c r="H828" s="97" t="n"/>
      <c r="I828" s="90">
        <f>IF($G828="","",IF($F828="",IFERROR(INDEX(Setup!$C$21:$C$60,MATCH("|"&amp;UPPER(TRIM($G828)),Setup!$Q$21:$Q$60,0)),"NO RATE"),IFERROR(INDEX(Setup!$C$21:$C$60,MATCH(UPPER(TRIM($F828))&amp;"|"&amp;UPPER(TRIM($G828)),Setup!$P$21:$P$60,0)),IFERROR(INDEX(Setup!$C$21:$C$60,MATCH(UPPER(TRIM($G828))&amp;"|"&amp;UPPER(TRIM($F828)),Setup!$P$21:$P$60,0)),"NO RATE"))))</f>
        <v/>
      </c>
      <c r="J828" s="98" t="n"/>
      <c r="K828" s="90">
        <f>IF(OR($G828="",$H828="",NOT(ISNUMBER($I828))),"",ROUND($H828*$I828*(1+IF($J828="",Setup!$B$16,$J828)),2))</f>
        <v/>
      </c>
      <c r="L828" s="90">
        <f>IF($K828="","",ROUND($K828*Setup!$B$13,2))</f>
        <v/>
      </c>
      <c r="M828" s="90">
        <f>IF($K828="","",$K828-$L828)</f>
        <v/>
      </c>
      <c r="N828" s="90">
        <f>IF(OR($M828="",$D828=""),"",ROUND($M828*IFERROR(IF(VLOOKUP($D828,Setup!$A$76:$C$87,3,FALSE)="",Setup!$B$14,VLOOKUP($D828,Setup!$A$76:$C$87,3,FALSE)),Setup!$B$14),2))</f>
        <v/>
      </c>
      <c r="O828" s="90">
        <f>IF(OR($M828="",$E828=""),"",ROUND($M828*IFERROR(IF(VLOOKUP($E828,Setup!$A$76:$C$87,3,FALSE)="",Setup!$B$15,VLOOKUP($E828,Setup!$A$76:$C$87,3,FALSE)),Setup!$B$15),2))</f>
        <v/>
      </c>
      <c r="P828" s="99" t="n"/>
      <c r="Q828" s="99" t="n"/>
      <c r="R828" s="99" t="n"/>
      <c r="S828" s="99" t="n"/>
      <c r="T828" s="99" t="n"/>
      <c r="U828" s="90">
        <f>IF($K828="","",SUM($R828:$T828))</f>
        <v/>
      </c>
      <c r="V828" s="90">
        <f>IF($K828="","",$M828-(N($N828)+N($O828)+IF($P828="",Setup!$B$17,$P828)+N($Q828))-N($U828))</f>
        <v/>
      </c>
      <c r="W828" s="95" t="n"/>
      <c r="X828" s="96" t="n"/>
      <c r="Z828" s="93">
        <f>IF($A828="","",DATE(YEAR($A828),MONTH($A828),1))</f>
        <v/>
      </c>
    </row>
    <row r="829">
      <c r="A829" s="86" t="n"/>
      <c r="B829" s="87" t="n"/>
      <c r="C829" s="87" t="n"/>
      <c r="D829" s="88" t="n"/>
      <c r="E829" s="88" t="n"/>
      <c r="F829" s="88" t="n"/>
      <c r="G829" s="88" t="n"/>
      <c r="H829" s="89" t="n"/>
      <c r="I829" s="90">
        <f>IF($G829="","",IF($F829="",IFERROR(INDEX(Setup!$C$21:$C$60,MATCH("|"&amp;UPPER(TRIM($G829)),Setup!$Q$21:$Q$60,0)),"NO RATE"),IFERROR(INDEX(Setup!$C$21:$C$60,MATCH(UPPER(TRIM($F829))&amp;"|"&amp;UPPER(TRIM($G829)),Setup!$P$21:$P$60,0)),IFERROR(INDEX(Setup!$C$21:$C$60,MATCH(UPPER(TRIM($G829))&amp;"|"&amp;UPPER(TRIM($F829)),Setup!$P$21:$P$60,0)),"NO RATE"))))</f>
        <v/>
      </c>
      <c r="J829" s="91" t="n"/>
      <c r="K829" s="90">
        <f>IF(OR($G829="",$H829="",NOT(ISNUMBER($I829))),"",ROUND($H829*$I829*(1+IF($J829="",Setup!$B$16,$J829)),2))</f>
        <v/>
      </c>
      <c r="L829" s="90">
        <f>IF($K829="","",ROUND($K829*Setup!$B$13,2))</f>
        <v/>
      </c>
      <c r="M829" s="90">
        <f>IF($K829="","",$K829-$L829)</f>
        <v/>
      </c>
      <c r="N829" s="90">
        <f>IF(OR($M829="",$D829=""),"",ROUND($M829*IFERROR(IF(VLOOKUP($D829,Setup!$A$76:$C$87,3,FALSE)="",Setup!$B$14,VLOOKUP($D829,Setup!$A$76:$C$87,3,FALSE)),Setup!$B$14),2))</f>
        <v/>
      </c>
      <c r="O829" s="90">
        <f>IF(OR($M829="",$E829=""),"",ROUND($M829*IFERROR(IF(VLOOKUP($E829,Setup!$A$76:$C$87,3,FALSE)="",Setup!$B$15,VLOOKUP($E829,Setup!$A$76:$C$87,3,FALSE)),Setup!$B$15),2))</f>
        <v/>
      </c>
      <c r="P829" s="92" t="n"/>
      <c r="Q829" s="92" t="n"/>
      <c r="R829" s="92" t="n"/>
      <c r="S829" s="92" t="n"/>
      <c r="T829" s="92" t="n"/>
      <c r="U829" s="90">
        <f>IF($K829="","",SUM($R829:$T829))</f>
        <v/>
      </c>
      <c r="V829" s="90">
        <f>IF($K829="","",$M829-(N($N829)+N($O829)+IF($P829="",Setup!$B$17,$P829)+N($Q829))-N($U829))</f>
        <v/>
      </c>
      <c r="W829" s="87" t="n"/>
      <c r="X829" s="88" t="n"/>
      <c r="Z829" s="93">
        <f>IF($A829="","",DATE(YEAR($A829),MONTH($A829),1))</f>
        <v/>
      </c>
    </row>
    <row r="830">
      <c r="A830" s="94" t="n"/>
      <c r="B830" s="95" t="n"/>
      <c r="C830" s="95" t="n"/>
      <c r="D830" s="96" t="n"/>
      <c r="E830" s="96" t="n"/>
      <c r="F830" s="96" t="n"/>
      <c r="G830" s="96" t="n"/>
      <c r="H830" s="97" t="n"/>
      <c r="I830" s="90">
        <f>IF($G830="","",IF($F830="",IFERROR(INDEX(Setup!$C$21:$C$60,MATCH("|"&amp;UPPER(TRIM($G830)),Setup!$Q$21:$Q$60,0)),"NO RATE"),IFERROR(INDEX(Setup!$C$21:$C$60,MATCH(UPPER(TRIM($F830))&amp;"|"&amp;UPPER(TRIM($G830)),Setup!$P$21:$P$60,0)),IFERROR(INDEX(Setup!$C$21:$C$60,MATCH(UPPER(TRIM($G830))&amp;"|"&amp;UPPER(TRIM($F830)),Setup!$P$21:$P$60,0)),"NO RATE"))))</f>
        <v/>
      </c>
      <c r="J830" s="98" t="n"/>
      <c r="K830" s="90">
        <f>IF(OR($G830="",$H830="",NOT(ISNUMBER($I830))),"",ROUND($H830*$I830*(1+IF($J830="",Setup!$B$16,$J830)),2))</f>
        <v/>
      </c>
      <c r="L830" s="90">
        <f>IF($K830="","",ROUND($K830*Setup!$B$13,2))</f>
        <v/>
      </c>
      <c r="M830" s="90">
        <f>IF($K830="","",$K830-$L830)</f>
        <v/>
      </c>
      <c r="N830" s="90">
        <f>IF(OR($M830="",$D830=""),"",ROUND($M830*IFERROR(IF(VLOOKUP($D830,Setup!$A$76:$C$87,3,FALSE)="",Setup!$B$14,VLOOKUP($D830,Setup!$A$76:$C$87,3,FALSE)),Setup!$B$14),2))</f>
        <v/>
      </c>
      <c r="O830" s="90">
        <f>IF(OR($M830="",$E830=""),"",ROUND($M830*IFERROR(IF(VLOOKUP($E830,Setup!$A$76:$C$87,3,FALSE)="",Setup!$B$15,VLOOKUP($E830,Setup!$A$76:$C$87,3,FALSE)),Setup!$B$15),2))</f>
        <v/>
      </c>
      <c r="P830" s="99" t="n"/>
      <c r="Q830" s="99" t="n"/>
      <c r="R830" s="99" t="n"/>
      <c r="S830" s="99" t="n"/>
      <c r="T830" s="99" t="n"/>
      <c r="U830" s="90">
        <f>IF($K830="","",SUM($R830:$T830))</f>
        <v/>
      </c>
      <c r="V830" s="90">
        <f>IF($K830="","",$M830-(N($N830)+N($O830)+IF($P830="",Setup!$B$17,$P830)+N($Q830))-N($U830))</f>
        <v/>
      </c>
      <c r="W830" s="95" t="n"/>
      <c r="X830" s="96" t="n"/>
      <c r="Z830" s="93">
        <f>IF($A830="","",DATE(YEAR($A830),MONTH($A830),1))</f>
        <v/>
      </c>
    </row>
    <row r="831">
      <c r="A831" s="86" t="n"/>
      <c r="B831" s="87" t="n"/>
      <c r="C831" s="87" t="n"/>
      <c r="D831" s="88" t="n"/>
      <c r="E831" s="88" t="n"/>
      <c r="F831" s="88" t="n"/>
      <c r="G831" s="88" t="n"/>
      <c r="H831" s="89" t="n"/>
      <c r="I831" s="90">
        <f>IF($G831="","",IF($F831="",IFERROR(INDEX(Setup!$C$21:$C$60,MATCH("|"&amp;UPPER(TRIM($G831)),Setup!$Q$21:$Q$60,0)),"NO RATE"),IFERROR(INDEX(Setup!$C$21:$C$60,MATCH(UPPER(TRIM($F831))&amp;"|"&amp;UPPER(TRIM($G831)),Setup!$P$21:$P$60,0)),IFERROR(INDEX(Setup!$C$21:$C$60,MATCH(UPPER(TRIM($G831))&amp;"|"&amp;UPPER(TRIM($F831)),Setup!$P$21:$P$60,0)),"NO RATE"))))</f>
        <v/>
      </c>
      <c r="J831" s="91" t="n"/>
      <c r="K831" s="90">
        <f>IF(OR($G831="",$H831="",NOT(ISNUMBER($I831))),"",ROUND($H831*$I831*(1+IF($J831="",Setup!$B$16,$J831)),2))</f>
        <v/>
      </c>
      <c r="L831" s="90">
        <f>IF($K831="","",ROUND($K831*Setup!$B$13,2))</f>
        <v/>
      </c>
      <c r="M831" s="90">
        <f>IF($K831="","",$K831-$L831)</f>
        <v/>
      </c>
      <c r="N831" s="90">
        <f>IF(OR($M831="",$D831=""),"",ROUND($M831*IFERROR(IF(VLOOKUP($D831,Setup!$A$76:$C$87,3,FALSE)="",Setup!$B$14,VLOOKUP($D831,Setup!$A$76:$C$87,3,FALSE)),Setup!$B$14),2))</f>
        <v/>
      </c>
      <c r="O831" s="90">
        <f>IF(OR($M831="",$E831=""),"",ROUND($M831*IFERROR(IF(VLOOKUP($E831,Setup!$A$76:$C$87,3,FALSE)="",Setup!$B$15,VLOOKUP($E831,Setup!$A$76:$C$87,3,FALSE)),Setup!$B$15),2))</f>
        <v/>
      </c>
      <c r="P831" s="92" t="n"/>
      <c r="Q831" s="92" t="n"/>
      <c r="R831" s="92" t="n"/>
      <c r="S831" s="92" t="n"/>
      <c r="T831" s="92" t="n"/>
      <c r="U831" s="90">
        <f>IF($K831="","",SUM($R831:$T831))</f>
        <v/>
      </c>
      <c r="V831" s="90">
        <f>IF($K831="","",$M831-(N($N831)+N($O831)+IF($P831="",Setup!$B$17,$P831)+N($Q831))-N($U831))</f>
        <v/>
      </c>
      <c r="W831" s="87" t="n"/>
      <c r="X831" s="88" t="n"/>
      <c r="Z831" s="93">
        <f>IF($A831="","",DATE(YEAR($A831),MONTH($A831),1))</f>
        <v/>
      </c>
    </row>
    <row r="832">
      <c r="A832" s="94" t="n"/>
      <c r="B832" s="95" t="n"/>
      <c r="C832" s="95" t="n"/>
      <c r="D832" s="96" t="n"/>
      <c r="E832" s="96" t="n"/>
      <c r="F832" s="96" t="n"/>
      <c r="G832" s="96" t="n"/>
      <c r="H832" s="97" t="n"/>
      <c r="I832" s="90">
        <f>IF($G832="","",IF($F832="",IFERROR(INDEX(Setup!$C$21:$C$60,MATCH("|"&amp;UPPER(TRIM($G832)),Setup!$Q$21:$Q$60,0)),"NO RATE"),IFERROR(INDEX(Setup!$C$21:$C$60,MATCH(UPPER(TRIM($F832))&amp;"|"&amp;UPPER(TRIM($G832)),Setup!$P$21:$P$60,0)),IFERROR(INDEX(Setup!$C$21:$C$60,MATCH(UPPER(TRIM($G832))&amp;"|"&amp;UPPER(TRIM($F832)),Setup!$P$21:$P$60,0)),"NO RATE"))))</f>
        <v/>
      </c>
      <c r="J832" s="98" t="n"/>
      <c r="K832" s="90">
        <f>IF(OR($G832="",$H832="",NOT(ISNUMBER($I832))),"",ROUND($H832*$I832*(1+IF($J832="",Setup!$B$16,$J832)),2))</f>
        <v/>
      </c>
      <c r="L832" s="90">
        <f>IF($K832="","",ROUND($K832*Setup!$B$13,2))</f>
        <v/>
      </c>
      <c r="M832" s="90">
        <f>IF($K832="","",$K832-$L832)</f>
        <v/>
      </c>
      <c r="N832" s="90">
        <f>IF(OR($M832="",$D832=""),"",ROUND($M832*IFERROR(IF(VLOOKUP($D832,Setup!$A$76:$C$87,3,FALSE)="",Setup!$B$14,VLOOKUP($D832,Setup!$A$76:$C$87,3,FALSE)),Setup!$B$14),2))</f>
        <v/>
      </c>
      <c r="O832" s="90">
        <f>IF(OR($M832="",$E832=""),"",ROUND($M832*IFERROR(IF(VLOOKUP($E832,Setup!$A$76:$C$87,3,FALSE)="",Setup!$B$15,VLOOKUP($E832,Setup!$A$76:$C$87,3,FALSE)),Setup!$B$15),2))</f>
        <v/>
      </c>
      <c r="P832" s="99" t="n"/>
      <c r="Q832" s="99" t="n"/>
      <c r="R832" s="99" t="n"/>
      <c r="S832" s="99" t="n"/>
      <c r="T832" s="99" t="n"/>
      <c r="U832" s="90">
        <f>IF($K832="","",SUM($R832:$T832))</f>
        <v/>
      </c>
      <c r="V832" s="90">
        <f>IF($K832="","",$M832-(N($N832)+N($O832)+IF($P832="",Setup!$B$17,$P832)+N($Q832))-N($U832))</f>
        <v/>
      </c>
      <c r="W832" s="95" t="n"/>
      <c r="X832" s="96" t="n"/>
      <c r="Z832" s="93">
        <f>IF($A832="","",DATE(YEAR($A832),MONTH($A832),1))</f>
        <v/>
      </c>
    </row>
    <row r="833">
      <c r="A833" s="86" t="n"/>
      <c r="B833" s="87" t="n"/>
      <c r="C833" s="87" t="n"/>
      <c r="D833" s="88" t="n"/>
      <c r="E833" s="88" t="n"/>
      <c r="F833" s="88" t="n"/>
      <c r="G833" s="88" t="n"/>
      <c r="H833" s="89" t="n"/>
      <c r="I833" s="90">
        <f>IF($G833="","",IF($F833="",IFERROR(INDEX(Setup!$C$21:$C$60,MATCH("|"&amp;UPPER(TRIM($G833)),Setup!$Q$21:$Q$60,0)),"NO RATE"),IFERROR(INDEX(Setup!$C$21:$C$60,MATCH(UPPER(TRIM($F833))&amp;"|"&amp;UPPER(TRIM($G833)),Setup!$P$21:$P$60,0)),IFERROR(INDEX(Setup!$C$21:$C$60,MATCH(UPPER(TRIM($G833))&amp;"|"&amp;UPPER(TRIM($F833)),Setup!$P$21:$P$60,0)),"NO RATE"))))</f>
        <v/>
      </c>
      <c r="J833" s="91" t="n"/>
      <c r="K833" s="90">
        <f>IF(OR($G833="",$H833="",NOT(ISNUMBER($I833))),"",ROUND($H833*$I833*(1+IF($J833="",Setup!$B$16,$J833)),2))</f>
        <v/>
      </c>
      <c r="L833" s="90">
        <f>IF($K833="","",ROUND($K833*Setup!$B$13,2))</f>
        <v/>
      </c>
      <c r="M833" s="90">
        <f>IF($K833="","",$K833-$L833)</f>
        <v/>
      </c>
      <c r="N833" s="90">
        <f>IF(OR($M833="",$D833=""),"",ROUND($M833*IFERROR(IF(VLOOKUP($D833,Setup!$A$76:$C$87,3,FALSE)="",Setup!$B$14,VLOOKUP($D833,Setup!$A$76:$C$87,3,FALSE)),Setup!$B$14),2))</f>
        <v/>
      </c>
      <c r="O833" s="90">
        <f>IF(OR($M833="",$E833=""),"",ROUND($M833*IFERROR(IF(VLOOKUP($E833,Setup!$A$76:$C$87,3,FALSE)="",Setup!$B$15,VLOOKUP($E833,Setup!$A$76:$C$87,3,FALSE)),Setup!$B$15),2))</f>
        <v/>
      </c>
      <c r="P833" s="92" t="n"/>
      <c r="Q833" s="92" t="n"/>
      <c r="R833" s="92" t="n"/>
      <c r="S833" s="92" t="n"/>
      <c r="T833" s="92" t="n"/>
      <c r="U833" s="90">
        <f>IF($K833="","",SUM($R833:$T833))</f>
        <v/>
      </c>
      <c r="V833" s="90">
        <f>IF($K833="","",$M833-(N($N833)+N($O833)+IF($P833="",Setup!$B$17,$P833)+N($Q833))-N($U833))</f>
        <v/>
      </c>
      <c r="W833" s="87" t="n"/>
      <c r="X833" s="88" t="n"/>
      <c r="Z833" s="93">
        <f>IF($A833="","",DATE(YEAR($A833),MONTH($A833),1))</f>
        <v/>
      </c>
    </row>
    <row r="834">
      <c r="A834" s="94" t="n"/>
      <c r="B834" s="95" t="n"/>
      <c r="C834" s="95" t="n"/>
      <c r="D834" s="96" t="n"/>
      <c r="E834" s="96" t="n"/>
      <c r="F834" s="96" t="n"/>
      <c r="G834" s="96" t="n"/>
      <c r="H834" s="97" t="n"/>
      <c r="I834" s="90">
        <f>IF($G834="","",IF($F834="",IFERROR(INDEX(Setup!$C$21:$C$60,MATCH("|"&amp;UPPER(TRIM($G834)),Setup!$Q$21:$Q$60,0)),"NO RATE"),IFERROR(INDEX(Setup!$C$21:$C$60,MATCH(UPPER(TRIM($F834))&amp;"|"&amp;UPPER(TRIM($G834)),Setup!$P$21:$P$60,0)),IFERROR(INDEX(Setup!$C$21:$C$60,MATCH(UPPER(TRIM($G834))&amp;"|"&amp;UPPER(TRIM($F834)),Setup!$P$21:$P$60,0)),"NO RATE"))))</f>
        <v/>
      </c>
      <c r="J834" s="98" t="n"/>
      <c r="K834" s="90">
        <f>IF(OR($G834="",$H834="",NOT(ISNUMBER($I834))),"",ROUND($H834*$I834*(1+IF($J834="",Setup!$B$16,$J834)),2))</f>
        <v/>
      </c>
      <c r="L834" s="90">
        <f>IF($K834="","",ROUND($K834*Setup!$B$13,2))</f>
        <v/>
      </c>
      <c r="M834" s="90">
        <f>IF($K834="","",$K834-$L834)</f>
        <v/>
      </c>
      <c r="N834" s="90">
        <f>IF(OR($M834="",$D834=""),"",ROUND($M834*IFERROR(IF(VLOOKUP($D834,Setup!$A$76:$C$87,3,FALSE)="",Setup!$B$14,VLOOKUP($D834,Setup!$A$76:$C$87,3,FALSE)),Setup!$B$14),2))</f>
        <v/>
      </c>
      <c r="O834" s="90">
        <f>IF(OR($M834="",$E834=""),"",ROUND($M834*IFERROR(IF(VLOOKUP($E834,Setup!$A$76:$C$87,3,FALSE)="",Setup!$B$15,VLOOKUP($E834,Setup!$A$76:$C$87,3,FALSE)),Setup!$B$15),2))</f>
        <v/>
      </c>
      <c r="P834" s="99" t="n"/>
      <c r="Q834" s="99" t="n"/>
      <c r="R834" s="99" t="n"/>
      <c r="S834" s="99" t="n"/>
      <c r="T834" s="99" t="n"/>
      <c r="U834" s="90">
        <f>IF($K834="","",SUM($R834:$T834))</f>
        <v/>
      </c>
      <c r="V834" s="90">
        <f>IF($K834="","",$M834-(N($N834)+N($O834)+IF($P834="",Setup!$B$17,$P834)+N($Q834))-N($U834))</f>
        <v/>
      </c>
      <c r="W834" s="95" t="n"/>
      <c r="X834" s="96" t="n"/>
      <c r="Z834" s="93">
        <f>IF($A834="","",DATE(YEAR($A834),MONTH($A834),1))</f>
        <v/>
      </c>
    </row>
    <row r="835">
      <c r="A835" s="86" t="n"/>
      <c r="B835" s="87" t="n"/>
      <c r="C835" s="87" t="n"/>
      <c r="D835" s="88" t="n"/>
      <c r="E835" s="88" t="n"/>
      <c r="F835" s="88" t="n"/>
      <c r="G835" s="88" t="n"/>
      <c r="H835" s="89" t="n"/>
      <c r="I835" s="90">
        <f>IF($G835="","",IF($F835="",IFERROR(INDEX(Setup!$C$21:$C$60,MATCH("|"&amp;UPPER(TRIM($G835)),Setup!$Q$21:$Q$60,0)),"NO RATE"),IFERROR(INDEX(Setup!$C$21:$C$60,MATCH(UPPER(TRIM($F835))&amp;"|"&amp;UPPER(TRIM($G835)),Setup!$P$21:$P$60,0)),IFERROR(INDEX(Setup!$C$21:$C$60,MATCH(UPPER(TRIM($G835))&amp;"|"&amp;UPPER(TRIM($F835)),Setup!$P$21:$P$60,0)),"NO RATE"))))</f>
        <v/>
      </c>
      <c r="J835" s="91" t="n"/>
      <c r="K835" s="90">
        <f>IF(OR($G835="",$H835="",NOT(ISNUMBER($I835))),"",ROUND($H835*$I835*(1+IF($J835="",Setup!$B$16,$J835)),2))</f>
        <v/>
      </c>
      <c r="L835" s="90">
        <f>IF($K835="","",ROUND($K835*Setup!$B$13,2))</f>
        <v/>
      </c>
      <c r="M835" s="90">
        <f>IF($K835="","",$K835-$L835)</f>
        <v/>
      </c>
      <c r="N835" s="90">
        <f>IF(OR($M835="",$D835=""),"",ROUND($M835*IFERROR(IF(VLOOKUP($D835,Setup!$A$76:$C$87,3,FALSE)="",Setup!$B$14,VLOOKUP($D835,Setup!$A$76:$C$87,3,FALSE)),Setup!$B$14),2))</f>
        <v/>
      </c>
      <c r="O835" s="90">
        <f>IF(OR($M835="",$E835=""),"",ROUND($M835*IFERROR(IF(VLOOKUP($E835,Setup!$A$76:$C$87,3,FALSE)="",Setup!$B$15,VLOOKUP($E835,Setup!$A$76:$C$87,3,FALSE)),Setup!$B$15),2))</f>
        <v/>
      </c>
      <c r="P835" s="92" t="n"/>
      <c r="Q835" s="92" t="n"/>
      <c r="R835" s="92" t="n"/>
      <c r="S835" s="92" t="n"/>
      <c r="T835" s="92" t="n"/>
      <c r="U835" s="90">
        <f>IF($K835="","",SUM($R835:$T835))</f>
        <v/>
      </c>
      <c r="V835" s="90">
        <f>IF($K835="","",$M835-(N($N835)+N($O835)+IF($P835="",Setup!$B$17,$P835)+N($Q835))-N($U835))</f>
        <v/>
      </c>
      <c r="W835" s="87" t="n"/>
      <c r="X835" s="88" t="n"/>
      <c r="Z835" s="93">
        <f>IF($A835="","",DATE(YEAR($A835),MONTH($A835),1))</f>
        <v/>
      </c>
    </row>
    <row r="836">
      <c r="A836" s="94" t="n"/>
      <c r="B836" s="95" t="n"/>
      <c r="C836" s="95" t="n"/>
      <c r="D836" s="96" t="n"/>
      <c r="E836" s="96" t="n"/>
      <c r="F836" s="96" t="n"/>
      <c r="G836" s="96" t="n"/>
      <c r="H836" s="97" t="n"/>
      <c r="I836" s="90">
        <f>IF($G836="","",IF($F836="",IFERROR(INDEX(Setup!$C$21:$C$60,MATCH("|"&amp;UPPER(TRIM($G836)),Setup!$Q$21:$Q$60,0)),"NO RATE"),IFERROR(INDEX(Setup!$C$21:$C$60,MATCH(UPPER(TRIM($F836))&amp;"|"&amp;UPPER(TRIM($G836)),Setup!$P$21:$P$60,0)),IFERROR(INDEX(Setup!$C$21:$C$60,MATCH(UPPER(TRIM($G836))&amp;"|"&amp;UPPER(TRIM($F836)),Setup!$P$21:$P$60,0)),"NO RATE"))))</f>
        <v/>
      </c>
      <c r="J836" s="98" t="n"/>
      <c r="K836" s="90">
        <f>IF(OR($G836="",$H836="",NOT(ISNUMBER($I836))),"",ROUND($H836*$I836*(1+IF($J836="",Setup!$B$16,$J836)),2))</f>
        <v/>
      </c>
      <c r="L836" s="90">
        <f>IF($K836="","",ROUND($K836*Setup!$B$13,2))</f>
        <v/>
      </c>
      <c r="M836" s="90">
        <f>IF($K836="","",$K836-$L836)</f>
        <v/>
      </c>
      <c r="N836" s="90">
        <f>IF(OR($M836="",$D836=""),"",ROUND($M836*IFERROR(IF(VLOOKUP($D836,Setup!$A$76:$C$87,3,FALSE)="",Setup!$B$14,VLOOKUP($D836,Setup!$A$76:$C$87,3,FALSE)),Setup!$B$14),2))</f>
        <v/>
      </c>
      <c r="O836" s="90">
        <f>IF(OR($M836="",$E836=""),"",ROUND($M836*IFERROR(IF(VLOOKUP($E836,Setup!$A$76:$C$87,3,FALSE)="",Setup!$B$15,VLOOKUP($E836,Setup!$A$76:$C$87,3,FALSE)),Setup!$B$15),2))</f>
        <v/>
      </c>
      <c r="P836" s="99" t="n"/>
      <c r="Q836" s="99" t="n"/>
      <c r="R836" s="99" t="n"/>
      <c r="S836" s="99" t="n"/>
      <c r="T836" s="99" t="n"/>
      <c r="U836" s="90">
        <f>IF($K836="","",SUM($R836:$T836))</f>
        <v/>
      </c>
      <c r="V836" s="90">
        <f>IF($K836="","",$M836-(N($N836)+N($O836)+IF($P836="",Setup!$B$17,$P836)+N($Q836))-N($U836))</f>
        <v/>
      </c>
      <c r="W836" s="95" t="n"/>
      <c r="X836" s="96" t="n"/>
      <c r="Z836" s="93">
        <f>IF($A836="","",DATE(YEAR($A836),MONTH($A836),1))</f>
        <v/>
      </c>
    </row>
    <row r="837">
      <c r="A837" s="86" t="n"/>
      <c r="B837" s="87" t="n"/>
      <c r="C837" s="87" t="n"/>
      <c r="D837" s="88" t="n"/>
      <c r="E837" s="88" t="n"/>
      <c r="F837" s="88" t="n"/>
      <c r="G837" s="88" t="n"/>
      <c r="H837" s="89" t="n"/>
      <c r="I837" s="90">
        <f>IF($G837="","",IF($F837="",IFERROR(INDEX(Setup!$C$21:$C$60,MATCH("|"&amp;UPPER(TRIM($G837)),Setup!$Q$21:$Q$60,0)),"NO RATE"),IFERROR(INDEX(Setup!$C$21:$C$60,MATCH(UPPER(TRIM($F837))&amp;"|"&amp;UPPER(TRIM($G837)),Setup!$P$21:$P$60,0)),IFERROR(INDEX(Setup!$C$21:$C$60,MATCH(UPPER(TRIM($G837))&amp;"|"&amp;UPPER(TRIM($F837)),Setup!$P$21:$P$60,0)),"NO RATE"))))</f>
        <v/>
      </c>
      <c r="J837" s="91" t="n"/>
      <c r="K837" s="90">
        <f>IF(OR($G837="",$H837="",NOT(ISNUMBER($I837))),"",ROUND($H837*$I837*(1+IF($J837="",Setup!$B$16,$J837)),2))</f>
        <v/>
      </c>
      <c r="L837" s="90">
        <f>IF($K837="","",ROUND($K837*Setup!$B$13,2))</f>
        <v/>
      </c>
      <c r="M837" s="90">
        <f>IF($K837="","",$K837-$L837)</f>
        <v/>
      </c>
      <c r="N837" s="90">
        <f>IF(OR($M837="",$D837=""),"",ROUND($M837*IFERROR(IF(VLOOKUP($D837,Setup!$A$76:$C$87,3,FALSE)="",Setup!$B$14,VLOOKUP($D837,Setup!$A$76:$C$87,3,FALSE)),Setup!$B$14),2))</f>
        <v/>
      </c>
      <c r="O837" s="90">
        <f>IF(OR($M837="",$E837=""),"",ROUND($M837*IFERROR(IF(VLOOKUP($E837,Setup!$A$76:$C$87,3,FALSE)="",Setup!$B$15,VLOOKUP($E837,Setup!$A$76:$C$87,3,FALSE)),Setup!$B$15),2))</f>
        <v/>
      </c>
      <c r="P837" s="92" t="n"/>
      <c r="Q837" s="92" t="n"/>
      <c r="R837" s="92" t="n"/>
      <c r="S837" s="92" t="n"/>
      <c r="T837" s="92" t="n"/>
      <c r="U837" s="90">
        <f>IF($K837="","",SUM($R837:$T837))</f>
        <v/>
      </c>
      <c r="V837" s="90">
        <f>IF($K837="","",$M837-(N($N837)+N($O837)+IF($P837="",Setup!$B$17,$P837)+N($Q837))-N($U837))</f>
        <v/>
      </c>
      <c r="W837" s="87" t="n"/>
      <c r="X837" s="88" t="n"/>
      <c r="Z837" s="93">
        <f>IF($A837="","",DATE(YEAR($A837),MONTH($A837),1))</f>
        <v/>
      </c>
    </row>
    <row r="838">
      <c r="A838" s="94" t="n"/>
      <c r="B838" s="95" t="n"/>
      <c r="C838" s="95" t="n"/>
      <c r="D838" s="96" t="n"/>
      <c r="E838" s="96" t="n"/>
      <c r="F838" s="96" t="n"/>
      <c r="G838" s="96" t="n"/>
      <c r="H838" s="97" t="n"/>
      <c r="I838" s="90">
        <f>IF($G838="","",IF($F838="",IFERROR(INDEX(Setup!$C$21:$C$60,MATCH("|"&amp;UPPER(TRIM($G838)),Setup!$Q$21:$Q$60,0)),"NO RATE"),IFERROR(INDEX(Setup!$C$21:$C$60,MATCH(UPPER(TRIM($F838))&amp;"|"&amp;UPPER(TRIM($G838)),Setup!$P$21:$P$60,0)),IFERROR(INDEX(Setup!$C$21:$C$60,MATCH(UPPER(TRIM($G838))&amp;"|"&amp;UPPER(TRIM($F838)),Setup!$P$21:$P$60,0)),"NO RATE"))))</f>
        <v/>
      </c>
      <c r="J838" s="98" t="n"/>
      <c r="K838" s="90">
        <f>IF(OR($G838="",$H838="",NOT(ISNUMBER($I838))),"",ROUND($H838*$I838*(1+IF($J838="",Setup!$B$16,$J838)),2))</f>
        <v/>
      </c>
      <c r="L838" s="90">
        <f>IF($K838="","",ROUND($K838*Setup!$B$13,2))</f>
        <v/>
      </c>
      <c r="M838" s="90">
        <f>IF($K838="","",$K838-$L838)</f>
        <v/>
      </c>
      <c r="N838" s="90">
        <f>IF(OR($M838="",$D838=""),"",ROUND($M838*IFERROR(IF(VLOOKUP($D838,Setup!$A$76:$C$87,3,FALSE)="",Setup!$B$14,VLOOKUP($D838,Setup!$A$76:$C$87,3,FALSE)),Setup!$B$14),2))</f>
        <v/>
      </c>
      <c r="O838" s="90">
        <f>IF(OR($M838="",$E838=""),"",ROUND($M838*IFERROR(IF(VLOOKUP($E838,Setup!$A$76:$C$87,3,FALSE)="",Setup!$B$15,VLOOKUP($E838,Setup!$A$76:$C$87,3,FALSE)),Setup!$B$15),2))</f>
        <v/>
      </c>
      <c r="P838" s="99" t="n"/>
      <c r="Q838" s="99" t="n"/>
      <c r="R838" s="99" t="n"/>
      <c r="S838" s="99" t="n"/>
      <c r="T838" s="99" t="n"/>
      <c r="U838" s="90">
        <f>IF($K838="","",SUM($R838:$T838))</f>
        <v/>
      </c>
      <c r="V838" s="90">
        <f>IF($K838="","",$M838-(N($N838)+N($O838)+IF($P838="",Setup!$B$17,$P838)+N($Q838))-N($U838))</f>
        <v/>
      </c>
      <c r="W838" s="95" t="n"/>
      <c r="X838" s="96" t="n"/>
      <c r="Z838" s="93">
        <f>IF($A838="","",DATE(YEAR($A838),MONTH($A838),1))</f>
        <v/>
      </c>
    </row>
    <row r="839">
      <c r="A839" s="86" t="n"/>
      <c r="B839" s="87" t="n"/>
      <c r="C839" s="87" t="n"/>
      <c r="D839" s="88" t="n"/>
      <c r="E839" s="88" t="n"/>
      <c r="F839" s="88" t="n"/>
      <c r="G839" s="88" t="n"/>
      <c r="H839" s="89" t="n"/>
      <c r="I839" s="90">
        <f>IF($G839="","",IF($F839="",IFERROR(INDEX(Setup!$C$21:$C$60,MATCH("|"&amp;UPPER(TRIM($G839)),Setup!$Q$21:$Q$60,0)),"NO RATE"),IFERROR(INDEX(Setup!$C$21:$C$60,MATCH(UPPER(TRIM($F839))&amp;"|"&amp;UPPER(TRIM($G839)),Setup!$P$21:$P$60,0)),IFERROR(INDEX(Setup!$C$21:$C$60,MATCH(UPPER(TRIM($G839))&amp;"|"&amp;UPPER(TRIM($F839)),Setup!$P$21:$P$60,0)),"NO RATE"))))</f>
        <v/>
      </c>
      <c r="J839" s="91" t="n"/>
      <c r="K839" s="90">
        <f>IF(OR($G839="",$H839="",NOT(ISNUMBER($I839))),"",ROUND($H839*$I839*(1+IF($J839="",Setup!$B$16,$J839)),2))</f>
        <v/>
      </c>
      <c r="L839" s="90">
        <f>IF($K839="","",ROUND($K839*Setup!$B$13,2))</f>
        <v/>
      </c>
      <c r="M839" s="90">
        <f>IF($K839="","",$K839-$L839)</f>
        <v/>
      </c>
      <c r="N839" s="90">
        <f>IF(OR($M839="",$D839=""),"",ROUND($M839*IFERROR(IF(VLOOKUP($D839,Setup!$A$76:$C$87,3,FALSE)="",Setup!$B$14,VLOOKUP($D839,Setup!$A$76:$C$87,3,FALSE)),Setup!$B$14),2))</f>
        <v/>
      </c>
      <c r="O839" s="90">
        <f>IF(OR($M839="",$E839=""),"",ROUND($M839*IFERROR(IF(VLOOKUP($E839,Setup!$A$76:$C$87,3,FALSE)="",Setup!$B$15,VLOOKUP($E839,Setup!$A$76:$C$87,3,FALSE)),Setup!$B$15),2))</f>
        <v/>
      </c>
      <c r="P839" s="92" t="n"/>
      <c r="Q839" s="92" t="n"/>
      <c r="R839" s="92" t="n"/>
      <c r="S839" s="92" t="n"/>
      <c r="T839" s="92" t="n"/>
      <c r="U839" s="90">
        <f>IF($K839="","",SUM($R839:$T839))</f>
        <v/>
      </c>
      <c r="V839" s="90">
        <f>IF($K839="","",$M839-(N($N839)+N($O839)+IF($P839="",Setup!$B$17,$P839)+N($Q839))-N($U839))</f>
        <v/>
      </c>
      <c r="W839" s="87" t="n"/>
      <c r="X839" s="88" t="n"/>
      <c r="Z839" s="93">
        <f>IF($A839="","",DATE(YEAR($A839),MONTH($A839),1))</f>
        <v/>
      </c>
    </row>
    <row r="840">
      <c r="A840" s="94" t="n"/>
      <c r="B840" s="95" t="n"/>
      <c r="C840" s="95" t="n"/>
      <c r="D840" s="96" t="n"/>
      <c r="E840" s="96" t="n"/>
      <c r="F840" s="96" t="n"/>
      <c r="G840" s="96" t="n"/>
      <c r="H840" s="97" t="n"/>
      <c r="I840" s="90">
        <f>IF($G840="","",IF($F840="",IFERROR(INDEX(Setup!$C$21:$C$60,MATCH("|"&amp;UPPER(TRIM($G840)),Setup!$Q$21:$Q$60,0)),"NO RATE"),IFERROR(INDEX(Setup!$C$21:$C$60,MATCH(UPPER(TRIM($F840))&amp;"|"&amp;UPPER(TRIM($G840)),Setup!$P$21:$P$60,0)),IFERROR(INDEX(Setup!$C$21:$C$60,MATCH(UPPER(TRIM($G840))&amp;"|"&amp;UPPER(TRIM($F840)),Setup!$P$21:$P$60,0)),"NO RATE"))))</f>
        <v/>
      </c>
      <c r="J840" s="98" t="n"/>
      <c r="K840" s="90">
        <f>IF(OR($G840="",$H840="",NOT(ISNUMBER($I840))),"",ROUND($H840*$I840*(1+IF($J840="",Setup!$B$16,$J840)),2))</f>
        <v/>
      </c>
      <c r="L840" s="90">
        <f>IF($K840="","",ROUND($K840*Setup!$B$13,2))</f>
        <v/>
      </c>
      <c r="M840" s="90">
        <f>IF($K840="","",$K840-$L840)</f>
        <v/>
      </c>
      <c r="N840" s="90">
        <f>IF(OR($M840="",$D840=""),"",ROUND($M840*IFERROR(IF(VLOOKUP($D840,Setup!$A$76:$C$87,3,FALSE)="",Setup!$B$14,VLOOKUP($D840,Setup!$A$76:$C$87,3,FALSE)),Setup!$B$14),2))</f>
        <v/>
      </c>
      <c r="O840" s="90">
        <f>IF(OR($M840="",$E840=""),"",ROUND($M840*IFERROR(IF(VLOOKUP($E840,Setup!$A$76:$C$87,3,FALSE)="",Setup!$B$15,VLOOKUP($E840,Setup!$A$76:$C$87,3,FALSE)),Setup!$B$15),2))</f>
        <v/>
      </c>
      <c r="P840" s="99" t="n"/>
      <c r="Q840" s="99" t="n"/>
      <c r="R840" s="99" t="n"/>
      <c r="S840" s="99" t="n"/>
      <c r="T840" s="99" t="n"/>
      <c r="U840" s="90">
        <f>IF($K840="","",SUM($R840:$T840))</f>
        <v/>
      </c>
      <c r="V840" s="90">
        <f>IF($K840="","",$M840-(N($N840)+N($O840)+IF($P840="",Setup!$B$17,$P840)+N($Q840))-N($U840))</f>
        <v/>
      </c>
      <c r="W840" s="95" t="n"/>
      <c r="X840" s="96" t="n"/>
      <c r="Z840" s="93">
        <f>IF($A840="","",DATE(YEAR($A840),MONTH($A840),1))</f>
        <v/>
      </c>
    </row>
    <row r="841">
      <c r="A841" s="86" t="n"/>
      <c r="B841" s="87" t="n"/>
      <c r="C841" s="87" t="n"/>
      <c r="D841" s="88" t="n"/>
      <c r="E841" s="88" t="n"/>
      <c r="F841" s="88" t="n"/>
      <c r="G841" s="88" t="n"/>
      <c r="H841" s="89" t="n"/>
      <c r="I841" s="90">
        <f>IF($G841="","",IF($F841="",IFERROR(INDEX(Setup!$C$21:$C$60,MATCH("|"&amp;UPPER(TRIM($G841)),Setup!$Q$21:$Q$60,0)),"NO RATE"),IFERROR(INDEX(Setup!$C$21:$C$60,MATCH(UPPER(TRIM($F841))&amp;"|"&amp;UPPER(TRIM($G841)),Setup!$P$21:$P$60,0)),IFERROR(INDEX(Setup!$C$21:$C$60,MATCH(UPPER(TRIM($G841))&amp;"|"&amp;UPPER(TRIM($F841)),Setup!$P$21:$P$60,0)),"NO RATE"))))</f>
        <v/>
      </c>
      <c r="J841" s="91" t="n"/>
      <c r="K841" s="90">
        <f>IF(OR($G841="",$H841="",NOT(ISNUMBER($I841))),"",ROUND($H841*$I841*(1+IF($J841="",Setup!$B$16,$J841)),2))</f>
        <v/>
      </c>
      <c r="L841" s="90">
        <f>IF($K841="","",ROUND($K841*Setup!$B$13,2))</f>
        <v/>
      </c>
      <c r="M841" s="90">
        <f>IF($K841="","",$K841-$L841)</f>
        <v/>
      </c>
      <c r="N841" s="90">
        <f>IF(OR($M841="",$D841=""),"",ROUND($M841*IFERROR(IF(VLOOKUP($D841,Setup!$A$76:$C$87,3,FALSE)="",Setup!$B$14,VLOOKUP($D841,Setup!$A$76:$C$87,3,FALSE)),Setup!$B$14),2))</f>
        <v/>
      </c>
      <c r="O841" s="90">
        <f>IF(OR($M841="",$E841=""),"",ROUND($M841*IFERROR(IF(VLOOKUP($E841,Setup!$A$76:$C$87,3,FALSE)="",Setup!$B$15,VLOOKUP($E841,Setup!$A$76:$C$87,3,FALSE)),Setup!$B$15),2))</f>
        <v/>
      </c>
      <c r="P841" s="92" t="n"/>
      <c r="Q841" s="92" t="n"/>
      <c r="R841" s="92" t="n"/>
      <c r="S841" s="92" t="n"/>
      <c r="T841" s="92" t="n"/>
      <c r="U841" s="90">
        <f>IF($K841="","",SUM($R841:$T841))</f>
        <v/>
      </c>
      <c r="V841" s="90">
        <f>IF($K841="","",$M841-(N($N841)+N($O841)+IF($P841="",Setup!$B$17,$P841)+N($Q841))-N($U841))</f>
        <v/>
      </c>
      <c r="W841" s="87" t="n"/>
      <c r="X841" s="88" t="n"/>
      <c r="Z841" s="93">
        <f>IF($A841="","",DATE(YEAR($A841),MONTH($A841),1))</f>
        <v/>
      </c>
    </row>
    <row r="842">
      <c r="A842" s="94" t="n"/>
      <c r="B842" s="95" t="n"/>
      <c r="C842" s="95" t="n"/>
      <c r="D842" s="96" t="n"/>
      <c r="E842" s="96" t="n"/>
      <c r="F842" s="96" t="n"/>
      <c r="G842" s="96" t="n"/>
      <c r="H842" s="97" t="n"/>
      <c r="I842" s="90">
        <f>IF($G842="","",IF($F842="",IFERROR(INDEX(Setup!$C$21:$C$60,MATCH("|"&amp;UPPER(TRIM($G842)),Setup!$Q$21:$Q$60,0)),"NO RATE"),IFERROR(INDEX(Setup!$C$21:$C$60,MATCH(UPPER(TRIM($F842))&amp;"|"&amp;UPPER(TRIM($G842)),Setup!$P$21:$P$60,0)),IFERROR(INDEX(Setup!$C$21:$C$60,MATCH(UPPER(TRIM($G842))&amp;"|"&amp;UPPER(TRIM($F842)),Setup!$P$21:$P$60,0)),"NO RATE"))))</f>
        <v/>
      </c>
      <c r="J842" s="98" t="n"/>
      <c r="K842" s="90">
        <f>IF(OR($G842="",$H842="",NOT(ISNUMBER($I842))),"",ROUND($H842*$I842*(1+IF($J842="",Setup!$B$16,$J842)),2))</f>
        <v/>
      </c>
      <c r="L842" s="90">
        <f>IF($K842="","",ROUND($K842*Setup!$B$13,2))</f>
        <v/>
      </c>
      <c r="M842" s="90">
        <f>IF($K842="","",$K842-$L842)</f>
        <v/>
      </c>
      <c r="N842" s="90">
        <f>IF(OR($M842="",$D842=""),"",ROUND($M842*IFERROR(IF(VLOOKUP($D842,Setup!$A$76:$C$87,3,FALSE)="",Setup!$B$14,VLOOKUP($D842,Setup!$A$76:$C$87,3,FALSE)),Setup!$B$14),2))</f>
        <v/>
      </c>
      <c r="O842" s="90">
        <f>IF(OR($M842="",$E842=""),"",ROUND($M842*IFERROR(IF(VLOOKUP($E842,Setup!$A$76:$C$87,3,FALSE)="",Setup!$B$15,VLOOKUP($E842,Setup!$A$76:$C$87,3,FALSE)),Setup!$B$15),2))</f>
        <v/>
      </c>
      <c r="P842" s="99" t="n"/>
      <c r="Q842" s="99" t="n"/>
      <c r="R842" s="99" t="n"/>
      <c r="S842" s="99" t="n"/>
      <c r="T842" s="99" t="n"/>
      <c r="U842" s="90">
        <f>IF($K842="","",SUM($R842:$T842))</f>
        <v/>
      </c>
      <c r="V842" s="90">
        <f>IF($K842="","",$M842-(N($N842)+N($O842)+IF($P842="",Setup!$B$17,$P842)+N($Q842))-N($U842))</f>
        <v/>
      </c>
      <c r="W842" s="95" t="n"/>
      <c r="X842" s="96" t="n"/>
      <c r="Z842" s="93">
        <f>IF($A842="","",DATE(YEAR($A842),MONTH($A842),1))</f>
        <v/>
      </c>
    </row>
    <row r="843">
      <c r="A843" s="86" t="n"/>
      <c r="B843" s="87" t="n"/>
      <c r="C843" s="87" t="n"/>
      <c r="D843" s="88" t="n"/>
      <c r="E843" s="88" t="n"/>
      <c r="F843" s="88" t="n"/>
      <c r="G843" s="88" t="n"/>
      <c r="H843" s="89" t="n"/>
      <c r="I843" s="90">
        <f>IF($G843="","",IF($F843="",IFERROR(INDEX(Setup!$C$21:$C$60,MATCH("|"&amp;UPPER(TRIM($G843)),Setup!$Q$21:$Q$60,0)),"NO RATE"),IFERROR(INDEX(Setup!$C$21:$C$60,MATCH(UPPER(TRIM($F843))&amp;"|"&amp;UPPER(TRIM($G843)),Setup!$P$21:$P$60,0)),IFERROR(INDEX(Setup!$C$21:$C$60,MATCH(UPPER(TRIM($G843))&amp;"|"&amp;UPPER(TRIM($F843)),Setup!$P$21:$P$60,0)),"NO RATE"))))</f>
        <v/>
      </c>
      <c r="J843" s="91" t="n"/>
      <c r="K843" s="90">
        <f>IF(OR($G843="",$H843="",NOT(ISNUMBER($I843))),"",ROUND($H843*$I843*(1+IF($J843="",Setup!$B$16,$J843)),2))</f>
        <v/>
      </c>
      <c r="L843" s="90">
        <f>IF($K843="","",ROUND($K843*Setup!$B$13,2))</f>
        <v/>
      </c>
      <c r="M843" s="90">
        <f>IF($K843="","",$K843-$L843)</f>
        <v/>
      </c>
      <c r="N843" s="90">
        <f>IF(OR($M843="",$D843=""),"",ROUND($M843*IFERROR(IF(VLOOKUP($D843,Setup!$A$76:$C$87,3,FALSE)="",Setup!$B$14,VLOOKUP($D843,Setup!$A$76:$C$87,3,FALSE)),Setup!$B$14),2))</f>
        <v/>
      </c>
      <c r="O843" s="90">
        <f>IF(OR($M843="",$E843=""),"",ROUND($M843*IFERROR(IF(VLOOKUP($E843,Setup!$A$76:$C$87,3,FALSE)="",Setup!$B$15,VLOOKUP($E843,Setup!$A$76:$C$87,3,FALSE)),Setup!$B$15),2))</f>
        <v/>
      </c>
      <c r="P843" s="92" t="n"/>
      <c r="Q843" s="92" t="n"/>
      <c r="R843" s="92" t="n"/>
      <c r="S843" s="92" t="n"/>
      <c r="T843" s="92" t="n"/>
      <c r="U843" s="90">
        <f>IF($K843="","",SUM($R843:$T843))</f>
        <v/>
      </c>
      <c r="V843" s="90">
        <f>IF($K843="","",$M843-(N($N843)+N($O843)+IF($P843="",Setup!$B$17,$P843)+N($Q843))-N($U843))</f>
        <v/>
      </c>
      <c r="W843" s="87" t="n"/>
      <c r="X843" s="88" t="n"/>
      <c r="Z843" s="93">
        <f>IF($A843="","",DATE(YEAR($A843),MONTH($A843),1))</f>
        <v/>
      </c>
    </row>
    <row r="844">
      <c r="A844" s="94" t="n"/>
      <c r="B844" s="95" t="n"/>
      <c r="C844" s="95" t="n"/>
      <c r="D844" s="96" t="n"/>
      <c r="E844" s="96" t="n"/>
      <c r="F844" s="96" t="n"/>
      <c r="G844" s="96" t="n"/>
      <c r="H844" s="97" t="n"/>
      <c r="I844" s="90">
        <f>IF($G844="","",IF($F844="",IFERROR(INDEX(Setup!$C$21:$C$60,MATCH("|"&amp;UPPER(TRIM($G844)),Setup!$Q$21:$Q$60,0)),"NO RATE"),IFERROR(INDEX(Setup!$C$21:$C$60,MATCH(UPPER(TRIM($F844))&amp;"|"&amp;UPPER(TRIM($G844)),Setup!$P$21:$P$60,0)),IFERROR(INDEX(Setup!$C$21:$C$60,MATCH(UPPER(TRIM($G844))&amp;"|"&amp;UPPER(TRIM($F844)),Setup!$P$21:$P$60,0)),"NO RATE"))))</f>
        <v/>
      </c>
      <c r="J844" s="98" t="n"/>
      <c r="K844" s="90">
        <f>IF(OR($G844="",$H844="",NOT(ISNUMBER($I844))),"",ROUND($H844*$I844*(1+IF($J844="",Setup!$B$16,$J844)),2))</f>
        <v/>
      </c>
      <c r="L844" s="90">
        <f>IF($K844="","",ROUND($K844*Setup!$B$13,2))</f>
        <v/>
      </c>
      <c r="M844" s="90">
        <f>IF($K844="","",$K844-$L844)</f>
        <v/>
      </c>
      <c r="N844" s="90">
        <f>IF(OR($M844="",$D844=""),"",ROUND($M844*IFERROR(IF(VLOOKUP($D844,Setup!$A$76:$C$87,3,FALSE)="",Setup!$B$14,VLOOKUP($D844,Setup!$A$76:$C$87,3,FALSE)),Setup!$B$14),2))</f>
        <v/>
      </c>
      <c r="O844" s="90">
        <f>IF(OR($M844="",$E844=""),"",ROUND($M844*IFERROR(IF(VLOOKUP($E844,Setup!$A$76:$C$87,3,FALSE)="",Setup!$B$15,VLOOKUP($E844,Setup!$A$76:$C$87,3,FALSE)),Setup!$B$15),2))</f>
        <v/>
      </c>
      <c r="P844" s="99" t="n"/>
      <c r="Q844" s="99" t="n"/>
      <c r="R844" s="99" t="n"/>
      <c r="S844" s="99" t="n"/>
      <c r="T844" s="99" t="n"/>
      <c r="U844" s="90">
        <f>IF($K844="","",SUM($R844:$T844))</f>
        <v/>
      </c>
      <c r="V844" s="90">
        <f>IF($K844="","",$M844-(N($N844)+N($O844)+IF($P844="",Setup!$B$17,$P844)+N($Q844))-N($U844))</f>
        <v/>
      </c>
      <c r="W844" s="95" t="n"/>
      <c r="X844" s="96" t="n"/>
      <c r="Z844" s="93">
        <f>IF($A844="","",DATE(YEAR($A844),MONTH($A844),1))</f>
        <v/>
      </c>
    </row>
    <row r="845">
      <c r="A845" s="86" t="n"/>
      <c r="B845" s="87" t="n"/>
      <c r="C845" s="87" t="n"/>
      <c r="D845" s="88" t="n"/>
      <c r="E845" s="88" t="n"/>
      <c r="F845" s="88" t="n"/>
      <c r="G845" s="88" t="n"/>
      <c r="H845" s="89" t="n"/>
      <c r="I845" s="90">
        <f>IF($G845="","",IF($F845="",IFERROR(INDEX(Setup!$C$21:$C$60,MATCH("|"&amp;UPPER(TRIM($G845)),Setup!$Q$21:$Q$60,0)),"NO RATE"),IFERROR(INDEX(Setup!$C$21:$C$60,MATCH(UPPER(TRIM($F845))&amp;"|"&amp;UPPER(TRIM($G845)),Setup!$P$21:$P$60,0)),IFERROR(INDEX(Setup!$C$21:$C$60,MATCH(UPPER(TRIM($G845))&amp;"|"&amp;UPPER(TRIM($F845)),Setup!$P$21:$P$60,0)),"NO RATE"))))</f>
        <v/>
      </c>
      <c r="J845" s="91" t="n"/>
      <c r="K845" s="90">
        <f>IF(OR($G845="",$H845="",NOT(ISNUMBER($I845))),"",ROUND($H845*$I845*(1+IF($J845="",Setup!$B$16,$J845)),2))</f>
        <v/>
      </c>
      <c r="L845" s="90">
        <f>IF($K845="","",ROUND($K845*Setup!$B$13,2))</f>
        <v/>
      </c>
      <c r="M845" s="90">
        <f>IF($K845="","",$K845-$L845)</f>
        <v/>
      </c>
      <c r="N845" s="90">
        <f>IF(OR($M845="",$D845=""),"",ROUND($M845*IFERROR(IF(VLOOKUP($D845,Setup!$A$76:$C$87,3,FALSE)="",Setup!$B$14,VLOOKUP($D845,Setup!$A$76:$C$87,3,FALSE)),Setup!$B$14),2))</f>
        <v/>
      </c>
      <c r="O845" s="90">
        <f>IF(OR($M845="",$E845=""),"",ROUND($M845*IFERROR(IF(VLOOKUP($E845,Setup!$A$76:$C$87,3,FALSE)="",Setup!$B$15,VLOOKUP($E845,Setup!$A$76:$C$87,3,FALSE)),Setup!$B$15),2))</f>
        <v/>
      </c>
      <c r="P845" s="92" t="n"/>
      <c r="Q845" s="92" t="n"/>
      <c r="R845" s="92" t="n"/>
      <c r="S845" s="92" t="n"/>
      <c r="T845" s="92" t="n"/>
      <c r="U845" s="90">
        <f>IF($K845="","",SUM($R845:$T845))</f>
        <v/>
      </c>
      <c r="V845" s="90">
        <f>IF($K845="","",$M845-(N($N845)+N($O845)+IF($P845="",Setup!$B$17,$P845)+N($Q845))-N($U845))</f>
        <v/>
      </c>
      <c r="W845" s="87" t="n"/>
      <c r="X845" s="88" t="n"/>
      <c r="Z845" s="93">
        <f>IF($A845="","",DATE(YEAR($A845),MONTH($A845),1))</f>
        <v/>
      </c>
    </row>
    <row r="846">
      <c r="A846" s="94" t="n"/>
      <c r="B846" s="95" t="n"/>
      <c r="C846" s="95" t="n"/>
      <c r="D846" s="96" t="n"/>
      <c r="E846" s="96" t="n"/>
      <c r="F846" s="96" t="n"/>
      <c r="G846" s="96" t="n"/>
      <c r="H846" s="97" t="n"/>
      <c r="I846" s="90">
        <f>IF($G846="","",IF($F846="",IFERROR(INDEX(Setup!$C$21:$C$60,MATCH("|"&amp;UPPER(TRIM($G846)),Setup!$Q$21:$Q$60,0)),"NO RATE"),IFERROR(INDEX(Setup!$C$21:$C$60,MATCH(UPPER(TRIM($F846))&amp;"|"&amp;UPPER(TRIM($G846)),Setup!$P$21:$P$60,0)),IFERROR(INDEX(Setup!$C$21:$C$60,MATCH(UPPER(TRIM($G846))&amp;"|"&amp;UPPER(TRIM($F846)),Setup!$P$21:$P$60,0)),"NO RATE"))))</f>
        <v/>
      </c>
      <c r="J846" s="98" t="n"/>
      <c r="K846" s="90">
        <f>IF(OR($G846="",$H846="",NOT(ISNUMBER($I846))),"",ROUND($H846*$I846*(1+IF($J846="",Setup!$B$16,$J846)),2))</f>
        <v/>
      </c>
      <c r="L846" s="90">
        <f>IF($K846="","",ROUND($K846*Setup!$B$13,2))</f>
        <v/>
      </c>
      <c r="M846" s="90">
        <f>IF($K846="","",$K846-$L846)</f>
        <v/>
      </c>
      <c r="N846" s="90">
        <f>IF(OR($M846="",$D846=""),"",ROUND($M846*IFERROR(IF(VLOOKUP($D846,Setup!$A$76:$C$87,3,FALSE)="",Setup!$B$14,VLOOKUP($D846,Setup!$A$76:$C$87,3,FALSE)),Setup!$B$14),2))</f>
        <v/>
      </c>
      <c r="O846" s="90">
        <f>IF(OR($M846="",$E846=""),"",ROUND($M846*IFERROR(IF(VLOOKUP($E846,Setup!$A$76:$C$87,3,FALSE)="",Setup!$B$15,VLOOKUP($E846,Setup!$A$76:$C$87,3,FALSE)),Setup!$B$15),2))</f>
        <v/>
      </c>
      <c r="P846" s="99" t="n"/>
      <c r="Q846" s="99" t="n"/>
      <c r="R846" s="99" t="n"/>
      <c r="S846" s="99" t="n"/>
      <c r="T846" s="99" t="n"/>
      <c r="U846" s="90">
        <f>IF($K846="","",SUM($R846:$T846))</f>
        <v/>
      </c>
      <c r="V846" s="90">
        <f>IF($K846="","",$M846-(N($N846)+N($O846)+IF($P846="",Setup!$B$17,$P846)+N($Q846))-N($U846))</f>
        <v/>
      </c>
      <c r="W846" s="95" t="n"/>
      <c r="X846" s="96" t="n"/>
      <c r="Z846" s="93">
        <f>IF($A846="","",DATE(YEAR($A846),MONTH($A846),1))</f>
        <v/>
      </c>
    </row>
    <row r="847">
      <c r="A847" s="86" t="n"/>
      <c r="B847" s="87" t="n"/>
      <c r="C847" s="87" t="n"/>
      <c r="D847" s="88" t="n"/>
      <c r="E847" s="88" t="n"/>
      <c r="F847" s="88" t="n"/>
      <c r="G847" s="88" t="n"/>
      <c r="H847" s="89" t="n"/>
      <c r="I847" s="90">
        <f>IF($G847="","",IF($F847="",IFERROR(INDEX(Setup!$C$21:$C$60,MATCH("|"&amp;UPPER(TRIM($G847)),Setup!$Q$21:$Q$60,0)),"NO RATE"),IFERROR(INDEX(Setup!$C$21:$C$60,MATCH(UPPER(TRIM($F847))&amp;"|"&amp;UPPER(TRIM($G847)),Setup!$P$21:$P$60,0)),IFERROR(INDEX(Setup!$C$21:$C$60,MATCH(UPPER(TRIM($G847))&amp;"|"&amp;UPPER(TRIM($F847)),Setup!$P$21:$P$60,0)),"NO RATE"))))</f>
        <v/>
      </c>
      <c r="J847" s="91" t="n"/>
      <c r="K847" s="90">
        <f>IF(OR($G847="",$H847="",NOT(ISNUMBER($I847))),"",ROUND($H847*$I847*(1+IF($J847="",Setup!$B$16,$J847)),2))</f>
        <v/>
      </c>
      <c r="L847" s="90">
        <f>IF($K847="","",ROUND($K847*Setup!$B$13,2))</f>
        <v/>
      </c>
      <c r="M847" s="90">
        <f>IF($K847="","",$K847-$L847)</f>
        <v/>
      </c>
      <c r="N847" s="90">
        <f>IF(OR($M847="",$D847=""),"",ROUND($M847*IFERROR(IF(VLOOKUP($D847,Setup!$A$76:$C$87,3,FALSE)="",Setup!$B$14,VLOOKUP($D847,Setup!$A$76:$C$87,3,FALSE)),Setup!$B$14),2))</f>
        <v/>
      </c>
      <c r="O847" s="90">
        <f>IF(OR($M847="",$E847=""),"",ROUND($M847*IFERROR(IF(VLOOKUP($E847,Setup!$A$76:$C$87,3,FALSE)="",Setup!$B$15,VLOOKUP($E847,Setup!$A$76:$C$87,3,FALSE)),Setup!$B$15),2))</f>
        <v/>
      </c>
      <c r="P847" s="92" t="n"/>
      <c r="Q847" s="92" t="n"/>
      <c r="R847" s="92" t="n"/>
      <c r="S847" s="92" t="n"/>
      <c r="T847" s="92" t="n"/>
      <c r="U847" s="90">
        <f>IF($K847="","",SUM($R847:$T847))</f>
        <v/>
      </c>
      <c r="V847" s="90">
        <f>IF($K847="","",$M847-(N($N847)+N($O847)+IF($P847="",Setup!$B$17,$P847)+N($Q847))-N($U847))</f>
        <v/>
      </c>
      <c r="W847" s="87" t="n"/>
      <c r="X847" s="88" t="n"/>
      <c r="Z847" s="93">
        <f>IF($A847="","",DATE(YEAR($A847),MONTH($A847),1))</f>
        <v/>
      </c>
    </row>
    <row r="848">
      <c r="A848" s="94" t="n"/>
      <c r="B848" s="95" t="n"/>
      <c r="C848" s="95" t="n"/>
      <c r="D848" s="96" t="n"/>
      <c r="E848" s="96" t="n"/>
      <c r="F848" s="96" t="n"/>
      <c r="G848" s="96" t="n"/>
      <c r="H848" s="97" t="n"/>
      <c r="I848" s="90">
        <f>IF($G848="","",IF($F848="",IFERROR(INDEX(Setup!$C$21:$C$60,MATCH("|"&amp;UPPER(TRIM($G848)),Setup!$Q$21:$Q$60,0)),"NO RATE"),IFERROR(INDEX(Setup!$C$21:$C$60,MATCH(UPPER(TRIM($F848))&amp;"|"&amp;UPPER(TRIM($G848)),Setup!$P$21:$P$60,0)),IFERROR(INDEX(Setup!$C$21:$C$60,MATCH(UPPER(TRIM($G848))&amp;"|"&amp;UPPER(TRIM($F848)),Setup!$P$21:$P$60,0)),"NO RATE"))))</f>
        <v/>
      </c>
      <c r="J848" s="98" t="n"/>
      <c r="K848" s="90">
        <f>IF(OR($G848="",$H848="",NOT(ISNUMBER($I848))),"",ROUND($H848*$I848*(1+IF($J848="",Setup!$B$16,$J848)),2))</f>
        <v/>
      </c>
      <c r="L848" s="90">
        <f>IF($K848="","",ROUND($K848*Setup!$B$13,2))</f>
        <v/>
      </c>
      <c r="M848" s="90">
        <f>IF($K848="","",$K848-$L848)</f>
        <v/>
      </c>
      <c r="N848" s="90">
        <f>IF(OR($M848="",$D848=""),"",ROUND($M848*IFERROR(IF(VLOOKUP($D848,Setup!$A$76:$C$87,3,FALSE)="",Setup!$B$14,VLOOKUP($D848,Setup!$A$76:$C$87,3,FALSE)),Setup!$B$14),2))</f>
        <v/>
      </c>
      <c r="O848" s="90">
        <f>IF(OR($M848="",$E848=""),"",ROUND($M848*IFERROR(IF(VLOOKUP($E848,Setup!$A$76:$C$87,3,FALSE)="",Setup!$B$15,VLOOKUP($E848,Setup!$A$76:$C$87,3,FALSE)),Setup!$B$15),2))</f>
        <v/>
      </c>
      <c r="P848" s="99" t="n"/>
      <c r="Q848" s="99" t="n"/>
      <c r="R848" s="99" t="n"/>
      <c r="S848" s="99" t="n"/>
      <c r="T848" s="99" t="n"/>
      <c r="U848" s="90">
        <f>IF($K848="","",SUM($R848:$T848))</f>
        <v/>
      </c>
      <c r="V848" s="90">
        <f>IF($K848="","",$M848-(N($N848)+N($O848)+IF($P848="",Setup!$B$17,$P848)+N($Q848))-N($U848))</f>
        <v/>
      </c>
      <c r="W848" s="95" t="n"/>
      <c r="X848" s="96" t="n"/>
      <c r="Z848" s="93">
        <f>IF($A848="","",DATE(YEAR($A848),MONTH($A848),1))</f>
        <v/>
      </c>
    </row>
    <row r="849">
      <c r="A849" s="86" t="n"/>
      <c r="B849" s="87" t="n"/>
      <c r="C849" s="87" t="n"/>
      <c r="D849" s="88" t="n"/>
      <c r="E849" s="88" t="n"/>
      <c r="F849" s="88" t="n"/>
      <c r="G849" s="88" t="n"/>
      <c r="H849" s="89" t="n"/>
      <c r="I849" s="90">
        <f>IF($G849="","",IF($F849="",IFERROR(INDEX(Setup!$C$21:$C$60,MATCH("|"&amp;UPPER(TRIM($G849)),Setup!$Q$21:$Q$60,0)),"NO RATE"),IFERROR(INDEX(Setup!$C$21:$C$60,MATCH(UPPER(TRIM($F849))&amp;"|"&amp;UPPER(TRIM($G849)),Setup!$P$21:$P$60,0)),IFERROR(INDEX(Setup!$C$21:$C$60,MATCH(UPPER(TRIM($G849))&amp;"|"&amp;UPPER(TRIM($F849)),Setup!$P$21:$P$60,0)),"NO RATE"))))</f>
        <v/>
      </c>
      <c r="J849" s="91" t="n"/>
      <c r="K849" s="90">
        <f>IF(OR($G849="",$H849="",NOT(ISNUMBER($I849))),"",ROUND($H849*$I849*(1+IF($J849="",Setup!$B$16,$J849)),2))</f>
        <v/>
      </c>
      <c r="L849" s="90">
        <f>IF($K849="","",ROUND($K849*Setup!$B$13,2))</f>
        <v/>
      </c>
      <c r="M849" s="90">
        <f>IF($K849="","",$K849-$L849)</f>
        <v/>
      </c>
      <c r="N849" s="90">
        <f>IF(OR($M849="",$D849=""),"",ROUND($M849*IFERROR(IF(VLOOKUP($D849,Setup!$A$76:$C$87,3,FALSE)="",Setup!$B$14,VLOOKUP($D849,Setup!$A$76:$C$87,3,FALSE)),Setup!$B$14),2))</f>
        <v/>
      </c>
      <c r="O849" s="90">
        <f>IF(OR($M849="",$E849=""),"",ROUND($M849*IFERROR(IF(VLOOKUP($E849,Setup!$A$76:$C$87,3,FALSE)="",Setup!$B$15,VLOOKUP($E849,Setup!$A$76:$C$87,3,FALSE)),Setup!$B$15),2))</f>
        <v/>
      </c>
      <c r="P849" s="92" t="n"/>
      <c r="Q849" s="92" t="n"/>
      <c r="R849" s="92" t="n"/>
      <c r="S849" s="92" t="n"/>
      <c r="T849" s="92" t="n"/>
      <c r="U849" s="90">
        <f>IF($K849="","",SUM($R849:$T849))</f>
        <v/>
      </c>
      <c r="V849" s="90">
        <f>IF($K849="","",$M849-(N($N849)+N($O849)+IF($P849="",Setup!$B$17,$P849)+N($Q849))-N($U849))</f>
        <v/>
      </c>
      <c r="W849" s="87" t="n"/>
      <c r="X849" s="88" t="n"/>
      <c r="Z849" s="93">
        <f>IF($A849="","",DATE(YEAR($A849),MONTH($A849),1))</f>
        <v/>
      </c>
    </row>
    <row r="850">
      <c r="A850" s="94" t="n"/>
      <c r="B850" s="95" t="n"/>
      <c r="C850" s="95" t="n"/>
      <c r="D850" s="96" t="n"/>
      <c r="E850" s="96" t="n"/>
      <c r="F850" s="96" t="n"/>
      <c r="G850" s="96" t="n"/>
      <c r="H850" s="97" t="n"/>
      <c r="I850" s="90">
        <f>IF($G850="","",IF($F850="",IFERROR(INDEX(Setup!$C$21:$C$60,MATCH("|"&amp;UPPER(TRIM($G850)),Setup!$Q$21:$Q$60,0)),"NO RATE"),IFERROR(INDEX(Setup!$C$21:$C$60,MATCH(UPPER(TRIM($F850))&amp;"|"&amp;UPPER(TRIM($G850)),Setup!$P$21:$P$60,0)),IFERROR(INDEX(Setup!$C$21:$C$60,MATCH(UPPER(TRIM($G850))&amp;"|"&amp;UPPER(TRIM($F850)),Setup!$P$21:$P$60,0)),"NO RATE"))))</f>
        <v/>
      </c>
      <c r="J850" s="98" t="n"/>
      <c r="K850" s="90">
        <f>IF(OR($G850="",$H850="",NOT(ISNUMBER($I850))),"",ROUND($H850*$I850*(1+IF($J850="",Setup!$B$16,$J850)),2))</f>
        <v/>
      </c>
      <c r="L850" s="90">
        <f>IF($K850="","",ROUND($K850*Setup!$B$13,2))</f>
        <v/>
      </c>
      <c r="M850" s="90">
        <f>IF($K850="","",$K850-$L850)</f>
        <v/>
      </c>
      <c r="N850" s="90">
        <f>IF(OR($M850="",$D850=""),"",ROUND($M850*IFERROR(IF(VLOOKUP($D850,Setup!$A$76:$C$87,3,FALSE)="",Setup!$B$14,VLOOKUP($D850,Setup!$A$76:$C$87,3,FALSE)),Setup!$B$14),2))</f>
        <v/>
      </c>
      <c r="O850" s="90">
        <f>IF(OR($M850="",$E850=""),"",ROUND($M850*IFERROR(IF(VLOOKUP($E850,Setup!$A$76:$C$87,3,FALSE)="",Setup!$B$15,VLOOKUP($E850,Setup!$A$76:$C$87,3,FALSE)),Setup!$B$15),2))</f>
        <v/>
      </c>
      <c r="P850" s="99" t="n"/>
      <c r="Q850" s="99" t="n"/>
      <c r="R850" s="99" t="n"/>
      <c r="S850" s="99" t="n"/>
      <c r="T850" s="99" t="n"/>
      <c r="U850" s="90">
        <f>IF($K850="","",SUM($R850:$T850))</f>
        <v/>
      </c>
      <c r="V850" s="90">
        <f>IF($K850="","",$M850-(N($N850)+N($O850)+IF($P850="",Setup!$B$17,$P850)+N($Q850))-N($U850))</f>
        <v/>
      </c>
      <c r="W850" s="95" t="n"/>
      <c r="X850" s="96" t="n"/>
      <c r="Z850" s="93">
        <f>IF($A850="","",DATE(YEAR($A850),MONTH($A850),1))</f>
        <v/>
      </c>
    </row>
    <row r="851">
      <c r="A851" s="86" t="n"/>
      <c r="B851" s="87" t="n"/>
      <c r="C851" s="87" t="n"/>
      <c r="D851" s="88" t="n"/>
      <c r="E851" s="88" t="n"/>
      <c r="F851" s="88" t="n"/>
      <c r="G851" s="88" t="n"/>
      <c r="H851" s="89" t="n"/>
      <c r="I851" s="90">
        <f>IF($G851="","",IF($F851="",IFERROR(INDEX(Setup!$C$21:$C$60,MATCH("|"&amp;UPPER(TRIM($G851)),Setup!$Q$21:$Q$60,0)),"NO RATE"),IFERROR(INDEX(Setup!$C$21:$C$60,MATCH(UPPER(TRIM($F851))&amp;"|"&amp;UPPER(TRIM($G851)),Setup!$P$21:$P$60,0)),IFERROR(INDEX(Setup!$C$21:$C$60,MATCH(UPPER(TRIM($G851))&amp;"|"&amp;UPPER(TRIM($F851)),Setup!$P$21:$P$60,0)),"NO RATE"))))</f>
        <v/>
      </c>
      <c r="J851" s="91" t="n"/>
      <c r="K851" s="90">
        <f>IF(OR($G851="",$H851="",NOT(ISNUMBER($I851))),"",ROUND($H851*$I851*(1+IF($J851="",Setup!$B$16,$J851)),2))</f>
        <v/>
      </c>
      <c r="L851" s="90">
        <f>IF($K851="","",ROUND($K851*Setup!$B$13,2))</f>
        <v/>
      </c>
      <c r="M851" s="90">
        <f>IF($K851="","",$K851-$L851)</f>
        <v/>
      </c>
      <c r="N851" s="90">
        <f>IF(OR($M851="",$D851=""),"",ROUND($M851*IFERROR(IF(VLOOKUP($D851,Setup!$A$76:$C$87,3,FALSE)="",Setup!$B$14,VLOOKUP($D851,Setup!$A$76:$C$87,3,FALSE)),Setup!$B$14),2))</f>
        <v/>
      </c>
      <c r="O851" s="90">
        <f>IF(OR($M851="",$E851=""),"",ROUND($M851*IFERROR(IF(VLOOKUP($E851,Setup!$A$76:$C$87,3,FALSE)="",Setup!$B$15,VLOOKUP($E851,Setup!$A$76:$C$87,3,FALSE)),Setup!$B$15),2))</f>
        <v/>
      </c>
      <c r="P851" s="92" t="n"/>
      <c r="Q851" s="92" t="n"/>
      <c r="R851" s="92" t="n"/>
      <c r="S851" s="92" t="n"/>
      <c r="T851" s="92" t="n"/>
      <c r="U851" s="90">
        <f>IF($K851="","",SUM($R851:$T851))</f>
        <v/>
      </c>
      <c r="V851" s="90">
        <f>IF($K851="","",$M851-(N($N851)+N($O851)+IF($P851="",Setup!$B$17,$P851)+N($Q851))-N($U851))</f>
        <v/>
      </c>
      <c r="W851" s="87" t="n"/>
      <c r="X851" s="88" t="n"/>
      <c r="Z851" s="93">
        <f>IF($A851="","",DATE(YEAR($A851),MONTH($A851),1))</f>
        <v/>
      </c>
    </row>
    <row r="852">
      <c r="A852" s="94" t="n"/>
      <c r="B852" s="95" t="n"/>
      <c r="C852" s="95" t="n"/>
      <c r="D852" s="96" t="n"/>
      <c r="E852" s="96" t="n"/>
      <c r="F852" s="96" t="n"/>
      <c r="G852" s="96" t="n"/>
      <c r="H852" s="97" t="n"/>
      <c r="I852" s="90">
        <f>IF($G852="","",IF($F852="",IFERROR(INDEX(Setup!$C$21:$C$60,MATCH("|"&amp;UPPER(TRIM($G852)),Setup!$Q$21:$Q$60,0)),"NO RATE"),IFERROR(INDEX(Setup!$C$21:$C$60,MATCH(UPPER(TRIM($F852))&amp;"|"&amp;UPPER(TRIM($G852)),Setup!$P$21:$P$60,0)),IFERROR(INDEX(Setup!$C$21:$C$60,MATCH(UPPER(TRIM($G852))&amp;"|"&amp;UPPER(TRIM($F852)),Setup!$P$21:$P$60,0)),"NO RATE"))))</f>
        <v/>
      </c>
      <c r="J852" s="98" t="n"/>
      <c r="K852" s="90">
        <f>IF(OR($G852="",$H852="",NOT(ISNUMBER($I852))),"",ROUND($H852*$I852*(1+IF($J852="",Setup!$B$16,$J852)),2))</f>
        <v/>
      </c>
      <c r="L852" s="90">
        <f>IF($K852="","",ROUND($K852*Setup!$B$13,2))</f>
        <v/>
      </c>
      <c r="M852" s="90">
        <f>IF($K852="","",$K852-$L852)</f>
        <v/>
      </c>
      <c r="N852" s="90">
        <f>IF(OR($M852="",$D852=""),"",ROUND($M852*IFERROR(IF(VLOOKUP($D852,Setup!$A$76:$C$87,3,FALSE)="",Setup!$B$14,VLOOKUP($D852,Setup!$A$76:$C$87,3,FALSE)),Setup!$B$14),2))</f>
        <v/>
      </c>
      <c r="O852" s="90">
        <f>IF(OR($M852="",$E852=""),"",ROUND($M852*IFERROR(IF(VLOOKUP($E852,Setup!$A$76:$C$87,3,FALSE)="",Setup!$B$15,VLOOKUP($E852,Setup!$A$76:$C$87,3,FALSE)),Setup!$B$15),2))</f>
        <v/>
      </c>
      <c r="P852" s="99" t="n"/>
      <c r="Q852" s="99" t="n"/>
      <c r="R852" s="99" t="n"/>
      <c r="S852" s="99" t="n"/>
      <c r="T852" s="99" t="n"/>
      <c r="U852" s="90">
        <f>IF($K852="","",SUM($R852:$T852))</f>
        <v/>
      </c>
      <c r="V852" s="90">
        <f>IF($K852="","",$M852-(N($N852)+N($O852)+IF($P852="",Setup!$B$17,$P852)+N($Q852))-N($U852))</f>
        <v/>
      </c>
      <c r="W852" s="95" t="n"/>
      <c r="X852" s="96" t="n"/>
      <c r="Z852" s="93">
        <f>IF($A852="","",DATE(YEAR($A852),MONTH($A852),1))</f>
        <v/>
      </c>
    </row>
    <row r="853">
      <c r="A853" s="86" t="n"/>
      <c r="B853" s="87" t="n"/>
      <c r="C853" s="87" t="n"/>
      <c r="D853" s="88" t="n"/>
      <c r="E853" s="88" t="n"/>
      <c r="F853" s="88" t="n"/>
      <c r="G853" s="88" t="n"/>
      <c r="H853" s="89" t="n"/>
      <c r="I853" s="90">
        <f>IF($G853="","",IF($F853="",IFERROR(INDEX(Setup!$C$21:$C$60,MATCH("|"&amp;UPPER(TRIM($G853)),Setup!$Q$21:$Q$60,0)),"NO RATE"),IFERROR(INDEX(Setup!$C$21:$C$60,MATCH(UPPER(TRIM($F853))&amp;"|"&amp;UPPER(TRIM($G853)),Setup!$P$21:$P$60,0)),IFERROR(INDEX(Setup!$C$21:$C$60,MATCH(UPPER(TRIM($G853))&amp;"|"&amp;UPPER(TRIM($F853)),Setup!$P$21:$P$60,0)),"NO RATE"))))</f>
        <v/>
      </c>
      <c r="J853" s="91" t="n"/>
      <c r="K853" s="90">
        <f>IF(OR($G853="",$H853="",NOT(ISNUMBER($I853))),"",ROUND($H853*$I853*(1+IF($J853="",Setup!$B$16,$J853)),2))</f>
        <v/>
      </c>
      <c r="L853" s="90">
        <f>IF($K853="","",ROUND($K853*Setup!$B$13,2))</f>
        <v/>
      </c>
      <c r="M853" s="90">
        <f>IF($K853="","",$K853-$L853)</f>
        <v/>
      </c>
      <c r="N853" s="90">
        <f>IF(OR($M853="",$D853=""),"",ROUND($M853*IFERROR(IF(VLOOKUP($D853,Setup!$A$76:$C$87,3,FALSE)="",Setup!$B$14,VLOOKUP($D853,Setup!$A$76:$C$87,3,FALSE)),Setup!$B$14),2))</f>
        <v/>
      </c>
      <c r="O853" s="90">
        <f>IF(OR($M853="",$E853=""),"",ROUND($M853*IFERROR(IF(VLOOKUP($E853,Setup!$A$76:$C$87,3,FALSE)="",Setup!$B$15,VLOOKUP($E853,Setup!$A$76:$C$87,3,FALSE)),Setup!$B$15),2))</f>
        <v/>
      </c>
      <c r="P853" s="92" t="n"/>
      <c r="Q853" s="92" t="n"/>
      <c r="R853" s="92" t="n"/>
      <c r="S853" s="92" t="n"/>
      <c r="T853" s="92" t="n"/>
      <c r="U853" s="90">
        <f>IF($K853="","",SUM($R853:$T853))</f>
        <v/>
      </c>
      <c r="V853" s="90">
        <f>IF($K853="","",$M853-(N($N853)+N($O853)+IF($P853="",Setup!$B$17,$P853)+N($Q853))-N($U853))</f>
        <v/>
      </c>
      <c r="W853" s="87" t="n"/>
      <c r="X853" s="88" t="n"/>
      <c r="Z853" s="93">
        <f>IF($A853="","",DATE(YEAR($A853),MONTH($A853),1))</f>
        <v/>
      </c>
    </row>
    <row r="854">
      <c r="A854" s="94" t="n"/>
      <c r="B854" s="95" t="n"/>
      <c r="C854" s="95" t="n"/>
      <c r="D854" s="96" t="n"/>
      <c r="E854" s="96" t="n"/>
      <c r="F854" s="96" t="n"/>
      <c r="G854" s="96" t="n"/>
      <c r="H854" s="97" t="n"/>
      <c r="I854" s="90">
        <f>IF($G854="","",IF($F854="",IFERROR(INDEX(Setup!$C$21:$C$60,MATCH("|"&amp;UPPER(TRIM($G854)),Setup!$Q$21:$Q$60,0)),"NO RATE"),IFERROR(INDEX(Setup!$C$21:$C$60,MATCH(UPPER(TRIM($F854))&amp;"|"&amp;UPPER(TRIM($G854)),Setup!$P$21:$P$60,0)),IFERROR(INDEX(Setup!$C$21:$C$60,MATCH(UPPER(TRIM($G854))&amp;"|"&amp;UPPER(TRIM($F854)),Setup!$P$21:$P$60,0)),"NO RATE"))))</f>
        <v/>
      </c>
      <c r="J854" s="98" t="n"/>
      <c r="K854" s="90">
        <f>IF(OR($G854="",$H854="",NOT(ISNUMBER($I854))),"",ROUND($H854*$I854*(1+IF($J854="",Setup!$B$16,$J854)),2))</f>
        <v/>
      </c>
      <c r="L854" s="90">
        <f>IF($K854="","",ROUND($K854*Setup!$B$13,2))</f>
        <v/>
      </c>
      <c r="M854" s="90">
        <f>IF($K854="","",$K854-$L854)</f>
        <v/>
      </c>
      <c r="N854" s="90">
        <f>IF(OR($M854="",$D854=""),"",ROUND($M854*IFERROR(IF(VLOOKUP($D854,Setup!$A$76:$C$87,3,FALSE)="",Setup!$B$14,VLOOKUP($D854,Setup!$A$76:$C$87,3,FALSE)),Setup!$B$14),2))</f>
        <v/>
      </c>
      <c r="O854" s="90">
        <f>IF(OR($M854="",$E854=""),"",ROUND($M854*IFERROR(IF(VLOOKUP($E854,Setup!$A$76:$C$87,3,FALSE)="",Setup!$B$15,VLOOKUP($E854,Setup!$A$76:$C$87,3,FALSE)),Setup!$B$15),2))</f>
        <v/>
      </c>
      <c r="P854" s="99" t="n"/>
      <c r="Q854" s="99" t="n"/>
      <c r="R854" s="99" t="n"/>
      <c r="S854" s="99" t="n"/>
      <c r="T854" s="99" t="n"/>
      <c r="U854" s="90">
        <f>IF($K854="","",SUM($R854:$T854))</f>
        <v/>
      </c>
      <c r="V854" s="90">
        <f>IF($K854="","",$M854-(N($N854)+N($O854)+IF($P854="",Setup!$B$17,$P854)+N($Q854))-N($U854))</f>
        <v/>
      </c>
      <c r="W854" s="95" t="n"/>
      <c r="X854" s="96" t="n"/>
      <c r="Z854" s="93">
        <f>IF($A854="","",DATE(YEAR($A854),MONTH($A854),1))</f>
        <v/>
      </c>
    </row>
    <row r="855">
      <c r="A855" s="86" t="n"/>
      <c r="B855" s="87" t="n"/>
      <c r="C855" s="87" t="n"/>
      <c r="D855" s="88" t="n"/>
      <c r="E855" s="88" t="n"/>
      <c r="F855" s="88" t="n"/>
      <c r="G855" s="88" t="n"/>
      <c r="H855" s="89" t="n"/>
      <c r="I855" s="90">
        <f>IF($G855="","",IF($F855="",IFERROR(INDEX(Setup!$C$21:$C$60,MATCH("|"&amp;UPPER(TRIM($G855)),Setup!$Q$21:$Q$60,0)),"NO RATE"),IFERROR(INDEX(Setup!$C$21:$C$60,MATCH(UPPER(TRIM($F855))&amp;"|"&amp;UPPER(TRIM($G855)),Setup!$P$21:$P$60,0)),IFERROR(INDEX(Setup!$C$21:$C$60,MATCH(UPPER(TRIM($G855))&amp;"|"&amp;UPPER(TRIM($F855)),Setup!$P$21:$P$60,0)),"NO RATE"))))</f>
        <v/>
      </c>
      <c r="J855" s="91" t="n"/>
      <c r="K855" s="90">
        <f>IF(OR($G855="",$H855="",NOT(ISNUMBER($I855))),"",ROUND($H855*$I855*(1+IF($J855="",Setup!$B$16,$J855)),2))</f>
        <v/>
      </c>
      <c r="L855" s="90">
        <f>IF($K855="","",ROUND($K855*Setup!$B$13,2))</f>
        <v/>
      </c>
      <c r="M855" s="90">
        <f>IF($K855="","",$K855-$L855)</f>
        <v/>
      </c>
      <c r="N855" s="90">
        <f>IF(OR($M855="",$D855=""),"",ROUND($M855*IFERROR(IF(VLOOKUP($D855,Setup!$A$76:$C$87,3,FALSE)="",Setup!$B$14,VLOOKUP($D855,Setup!$A$76:$C$87,3,FALSE)),Setup!$B$14),2))</f>
        <v/>
      </c>
      <c r="O855" s="90">
        <f>IF(OR($M855="",$E855=""),"",ROUND($M855*IFERROR(IF(VLOOKUP($E855,Setup!$A$76:$C$87,3,FALSE)="",Setup!$B$15,VLOOKUP($E855,Setup!$A$76:$C$87,3,FALSE)),Setup!$B$15),2))</f>
        <v/>
      </c>
      <c r="P855" s="92" t="n"/>
      <c r="Q855" s="92" t="n"/>
      <c r="R855" s="92" t="n"/>
      <c r="S855" s="92" t="n"/>
      <c r="T855" s="92" t="n"/>
      <c r="U855" s="90">
        <f>IF($K855="","",SUM($R855:$T855))</f>
        <v/>
      </c>
      <c r="V855" s="90">
        <f>IF($K855="","",$M855-(N($N855)+N($O855)+IF($P855="",Setup!$B$17,$P855)+N($Q855))-N($U855))</f>
        <v/>
      </c>
      <c r="W855" s="87" t="n"/>
      <c r="X855" s="88" t="n"/>
      <c r="Z855" s="93">
        <f>IF($A855="","",DATE(YEAR($A855),MONTH($A855),1))</f>
        <v/>
      </c>
    </row>
    <row r="856">
      <c r="A856" s="94" t="n"/>
      <c r="B856" s="95" t="n"/>
      <c r="C856" s="95" t="n"/>
      <c r="D856" s="96" t="n"/>
      <c r="E856" s="96" t="n"/>
      <c r="F856" s="96" t="n"/>
      <c r="G856" s="96" t="n"/>
      <c r="H856" s="97" t="n"/>
      <c r="I856" s="90">
        <f>IF($G856="","",IF($F856="",IFERROR(INDEX(Setup!$C$21:$C$60,MATCH("|"&amp;UPPER(TRIM($G856)),Setup!$Q$21:$Q$60,0)),"NO RATE"),IFERROR(INDEX(Setup!$C$21:$C$60,MATCH(UPPER(TRIM($F856))&amp;"|"&amp;UPPER(TRIM($G856)),Setup!$P$21:$P$60,0)),IFERROR(INDEX(Setup!$C$21:$C$60,MATCH(UPPER(TRIM($G856))&amp;"|"&amp;UPPER(TRIM($F856)),Setup!$P$21:$P$60,0)),"NO RATE"))))</f>
        <v/>
      </c>
      <c r="J856" s="98" t="n"/>
      <c r="K856" s="90">
        <f>IF(OR($G856="",$H856="",NOT(ISNUMBER($I856))),"",ROUND($H856*$I856*(1+IF($J856="",Setup!$B$16,$J856)),2))</f>
        <v/>
      </c>
      <c r="L856" s="90">
        <f>IF($K856="","",ROUND($K856*Setup!$B$13,2))</f>
        <v/>
      </c>
      <c r="M856" s="90">
        <f>IF($K856="","",$K856-$L856)</f>
        <v/>
      </c>
      <c r="N856" s="90">
        <f>IF(OR($M856="",$D856=""),"",ROUND($M856*IFERROR(IF(VLOOKUP($D856,Setup!$A$76:$C$87,3,FALSE)="",Setup!$B$14,VLOOKUP($D856,Setup!$A$76:$C$87,3,FALSE)),Setup!$B$14),2))</f>
        <v/>
      </c>
      <c r="O856" s="90">
        <f>IF(OR($M856="",$E856=""),"",ROUND($M856*IFERROR(IF(VLOOKUP($E856,Setup!$A$76:$C$87,3,FALSE)="",Setup!$B$15,VLOOKUP($E856,Setup!$A$76:$C$87,3,FALSE)),Setup!$B$15),2))</f>
        <v/>
      </c>
      <c r="P856" s="99" t="n"/>
      <c r="Q856" s="99" t="n"/>
      <c r="R856" s="99" t="n"/>
      <c r="S856" s="99" t="n"/>
      <c r="T856" s="99" t="n"/>
      <c r="U856" s="90">
        <f>IF($K856="","",SUM($R856:$T856))</f>
        <v/>
      </c>
      <c r="V856" s="90">
        <f>IF($K856="","",$M856-(N($N856)+N($O856)+IF($P856="",Setup!$B$17,$P856)+N($Q856))-N($U856))</f>
        <v/>
      </c>
      <c r="W856" s="95" t="n"/>
      <c r="X856" s="96" t="n"/>
      <c r="Z856" s="93">
        <f>IF($A856="","",DATE(YEAR($A856),MONTH($A856),1))</f>
        <v/>
      </c>
    </row>
    <row r="857">
      <c r="A857" s="86" t="n"/>
      <c r="B857" s="87" t="n"/>
      <c r="C857" s="87" t="n"/>
      <c r="D857" s="88" t="n"/>
      <c r="E857" s="88" t="n"/>
      <c r="F857" s="88" t="n"/>
      <c r="G857" s="88" t="n"/>
      <c r="H857" s="89" t="n"/>
      <c r="I857" s="90">
        <f>IF($G857="","",IF($F857="",IFERROR(INDEX(Setup!$C$21:$C$60,MATCH("|"&amp;UPPER(TRIM($G857)),Setup!$Q$21:$Q$60,0)),"NO RATE"),IFERROR(INDEX(Setup!$C$21:$C$60,MATCH(UPPER(TRIM($F857))&amp;"|"&amp;UPPER(TRIM($G857)),Setup!$P$21:$P$60,0)),IFERROR(INDEX(Setup!$C$21:$C$60,MATCH(UPPER(TRIM($G857))&amp;"|"&amp;UPPER(TRIM($F857)),Setup!$P$21:$P$60,0)),"NO RATE"))))</f>
        <v/>
      </c>
      <c r="J857" s="91" t="n"/>
      <c r="K857" s="90">
        <f>IF(OR($G857="",$H857="",NOT(ISNUMBER($I857))),"",ROUND($H857*$I857*(1+IF($J857="",Setup!$B$16,$J857)),2))</f>
        <v/>
      </c>
      <c r="L857" s="90">
        <f>IF($K857="","",ROUND($K857*Setup!$B$13,2))</f>
        <v/>
      </c>
      <c r="M857" s="90">
        <f>IF($K857="","",$K857-$L857)</f>
        <v/>
      </c>
      <c r="N857" s="90">
        <f>IF(OR($M857="",$D857=""),"",ROUND($M857*IFERROR(IF(VLOOKUP($D857,Setup!$A$76:$C$87,3,FALSE)="",Setup!$B$14,VLOOKUP($D857,Setup!$A$76:$C$87,3,FALSE)),Setup!$B$14),2))</f>
        <v/>
      </c>
      <c r="O857" s="90">
        <f>IF(OR($M857="",$E857=""),"",ROUND($M857*IFERROR(IF(VLOOKUP($E857,Setup!$A$76:$C$87,3,FALSE)="",Setup!$B$15,VLOOKUP($E857,Setup!$A$76:$C$87,3,FALSE)),Setup!$B$15),2))</f>
        <v/>
      </c>
      <c r="P857" s="92" t="n"/>
      <c r="Q857" s="92" t="n"/>
      <c r="R857" s="92" t="n"/>
      <c r="S857" s="92" t="n"/>
      <c r="T857" s="92" t="n"/>
      <c r="U857" s="90">
        <f>IF($K857="","",SUM($R857:$T857))</f>
        <v/>
      </c>
      <c r="V857" s="90">
        <f>IF($K857="","",$M857-(N($N857)+N($O857)+IF($P857="",Setup!$B$17,$P857)+N($Q857))-N($U857))</f>
        <v/>
      </c>
      <c r="W857" s="87" t="n"/>
      <c r="X857" s="88" t="n"/>
      <c r="Z857" s="93">
        <f>IF($A857="","",DATE(YEAR($A857),MONTH($A857),1))</f>
        <v/>
      </c>
    </row>
    <row r="858">
      <c r="A858" s="94" t="n"/>
      <c r="B858" s="95" t="n"/>
      <c r="C858" s="95" t="n"/>
      <c r="D858" s="96" t="n"/>
      <c r="E858" s="96" t="n"/>
      <c r="F858" s="96" t="n"/>
      <c r="G858" s="96" t="n"/>
      <c r="H858" s="97" t="n"/>
      <c r="I858" s="90">
        <f>IF($G858="","",IF($F858="",IFERROR(INDEX(Setup!$C$21:$C$60,MATCH("|"&amp;UPPER(TRIM($G858)),Setup!$Q$21:$Q$60,0)),"NO RATE"),IFERROR(INDEX(Setup!$C$21:$C$60,MATCH(UPPER(TRIM($F858))&amp;"|"&amp;UPPER(TRIM($G858)),Setup!$P$21:$P$60,0)),IFERROR(INDEX(Setup!$C$21:$C$60,MATCH(UPPER(TRIM($G858))&amp;"|"&amp;UPPER(TRIM($F858)),Setup!$P$21:$P$60,0)),"NO RATE"))))</f>
        <v/>
      </c>
      <c r="J858" s="98" t="n"/>
      <c r="K858" s="90">
        <f>IF(OR($G858="",$H858="",NOT(ISNUMBER($I858))),"",ROUND($H858*$I858*(1+IF($J858="",Setup!$B$16,$J858)),2))</f>
        <v/>
      </c>
      <c r="L858" s="90">
        <f>IF($K858="","",ROUND($K858*Setup!$B$13,2))</f>
        <v/>
      </c>
      <c r="M858" s="90">
        <f>IF($K858="","",$K858-$L858)</f>
        <v/>
      </c>
      <c r="N858" s="90">
        <f>IF(OR($M858="",$D858=""),"",ROUND($M858*IFERROR(IF(VLOOKUP($D858,Setup!$A$76:$C$87,3,FALSE)="",Setup!$B$14,VLOOKUP($D858,Setup!$A$76:$C$87,3,FALSE)),Setup!$B$14),2))</f>
        <v/>
      </c>
      <c r="O858" s="90">
        <f>IF(OR($M858="",$E858=""),"",ROUND($M858*IFERROR(IF(VLOOKUP($E858,Setup!$A$76:$C$87,3,FALSE)="",Setup!$B$15,VLOOKUP($E858,Setup!$A$76:$C$87,3,FALSE)),Setup!$B$15),2))</f>
        <v/>
      </c>
      <c r="P858" s="99" t="n"/>
      <c r="Q858" s="99" t="n"/>
      <c r="R858" s="99" t="n"/>
      <c r="S858" s="99" t="n"/>
      <c r="T858" s="99" t="n"/>
      <c r="U858" s="90">
        <f>IF($K858="","",SUM($R858:$T858))</f>
        <v/>
      </c>
      <c r="V858" s="90">
        <f>IF($K858="","",$M858-(N($N858)+N($O858)+IF($P858="",Setup!$B$17,$P858)+N($Q858))-N($U858))</f>
        <v/>
      </c>
      <c r="W858" s="95" t="n"/>
      <c r="X858" s="96" t="n"/>
      <c r="Z858" s="93">
        <f>IF($A858="","",DATE(YEAR($A858),MONTH($A858),1))</f>
        <v/>
      </c>
    </row>
    <row r="859">
      <c r="A859" s="86" t="n"/>
      <c r="B859" s="87" t="n"/>
      <c r="C859" s="87" t="n"/>
      <c r="D859" s="88" t="n"/>
      <c r="E859" s="88" t="n"/>
      <c r="F859" s="88" t="n"/>
      <c r="G859" s="88" t="n"/>
      <c r="H859" s="89" t="n"/>
      <c r="I859" s="90">
        <f>IF($G859="","",IF($F859="",IFERROR(INDEX(Setup!$C$21:$C$60,MATCH("|"&amp;UPPER(TRIM($G859)),Setup!$Q$21:$Q$60,0)),"NO RATE"),IFERROR(INDEX(Setup!$C$21:$C$60,MATCH(UPPER(TRIM($F859))&amp;"|"&amp;UPPER(TRIM($G859)),Setup!$P$21:$P$60,0)),IFERROR(INDEX(Setup!$C$21:$C$60,MATCH(UPPER(TRIM($G859))&amp;"|"&amp;UPPER(TRIM($F859)),Setup!$P$21:$P$60,0)),"NO RATE"))))</f>
        <v/>
      </c>
      <c r="J859" s="91" t="n"/>
      <c r="K859" s="90">
        <f>IF(OR($G859="",$H859="",NOT(ISNUMBER($I859))),"",ROUND($H859*$I859*(1+IF($J859="",Setup!$B$16,$J859)),2))</f>
        <v/>
      </c>
      <c r="L859" s="90">
        <f>IF($K859="","",ROUND($K859*Setup!$B$13,2))</f>
        <v/>
      </c>
      <c r="M859" s="90">
        <f>IF($K859="","",$K859-$L859)</f>
        <v/>
      </c>
      <c r="N859" s="90">
        <f>IF(OR($M859="",$D859=""),"",ROUND($M859*IFERROR(IF(VLOOKUP($D859,Setup!$A$76:$C$87,3,FALSE)="",Setup!$B$14,VLOOKUP($D859,Setup!$A$76:$C$87,3,FALSE)),Setup!$B$14),2))</f>
        <v/>
      </c>
      <c r="O859" s="90">
        <f>IF(OR($M859="",$E859=""),"",ROUND($M859*IFERROR(IF(VLOOKUP($E859,Setup!$A$76:$C$87,3,FALSE)="",Setup!$B$15,VLOOKUP($E859,Setup!$A$76:$C$87,3,FALSE)),Setup!$B$15),2))</f>
        <v/>
      </c>
      <c r="P859" s="92" t="n"/>
      <c r="Q859" s="92" t="n"/>
      <c r="R859" s="92" t="n"/>
      <c r="S859" s="92" t="n"/>
      <c r="T859" s="92" t="n"/>
      <c r="U859" s="90">
        <f>IF($K859="","",SUM($R859:$T859))</f>
        <v/>
      </c>
      <c r="V859" s="90">
        <f>IF($K859="","",$M859-(N($N859)+N($O859)+IF($P859="",Setup!$B$17,$P859)+N($Q859))-N($U859))</f>
        <v/>
      </c>
      <c r="W859" s="87" t="n"/>
      <c r="X859" s="88" t="n"/>
      <c r="Z859" s="93">
        <f>IF($A859="","",DATE(YEAR($A859),MONTH($A859),1))</f>
        <v/>
      </c>
    </row>
    <row r="860">
      <c r="A860" s="94" t="n"/>
      <c r="B860" s="95" t="n"/>
      <c r="C860" s="95" t="n"/>
      <c r="D860" s="96" t="n"/>
      <c r="E860" s="96" t="n"/>
      <c r="F860" s="96" t="n"/>
      <c r="G860" s="96" t="n"/>
      <c r="H860" s="97" t="n"/>
      <c r="I860" s="90">
        <f>IF($G860="","",IF($F860="",IFERROR(INDEX(Setup!$C$21:$C$60,MATCH("|"&amp;UPPER(TRIM($G860)),Setup!$Q$21:$Q$60,0)),"NO RATE"),IFERROR(INDEX(Setup!$C$21:$C$60,MATCH(UPPER(TRIM($F860))&amp;"|"&amp;UPPER(TRIM($G860)),Setup!$P$21:$P$60,0)),IFERROR(INDEX(Setup!$C$21:$C$60,MATCH(UPPER(TRIM($G860))&amp;"|"&amp;UPPER(TRIM($F860)),Setup!$P$21:$P$60,0)),"NO RATE"))))</f>
        <v/>
      </c>
      <c r="J860" s="98" t="n"/>
      <c r="K860" s="90">
        <f>IF(OR($G860="",$H860="",NOT(ISNUMBER($I860))),"",ROUND($H860*$I860*(1+IF($J860="",Setup!$B$16,$J860)),2))</f>
        <v/>
      </c>
      <c r="L860" s="90">
        <f>IF($K860="","",ROUND($K860*Setup!$B$13,2))</f>
        <v/>
      </c>
      <c r="M860" s="90">
        <f>IF($K860="","",$K860-$L860)</f>
        <v/>
      </c>
      <c r="N860" s="90">
        <f>IF(OR($M860="",$D860=""),"",ROUND($M860*IFERROR(IF(VLOOKUP($D860,Setup!$A$76:$C$87,3,FALSE)="",Setup!$B$14,VLOOKUP($D860,Setup!$A$76:$C$87,3,FALSE)),Setup!$B$14),2))</f>
        <v/>
      </c>
      <c r="O860" s="90">
        <f>IF(OR($M860="",$E860=""),"",ROUND($M860*IFERROR(IF(VLOOKUP($E860,Setup!$A$76:$C$87,3,FALSE)="",Setup!$B$15,VLOOKUP($E860,Setup!$A$76:$C$87,3,FALSE)),Setup!$B$15),2))</f>
        <v/>
      </c>
      <c r="P860" s="99" t="n"/>
      <c r="Q860" s="99" t="n"/>
      <c r="R860" s="99" t="n"/>
      <c r="S860" s="99" t="n"/>
      <c r="T860" s="99" t="n"/>
      <c r="U860" s="90">
        <f>IF($K860="","",SUM($R860:$T860))</f>
        <v/>
      </c>
      <c r="V860" s="90">
        <f>IF($K860="","",$M860-(N($N860)+N($O860)+IF($P860="",Setup!$B$17,$P860)+N($Q860))-N($U860))</f>
        <v/>
      </c>
      <c r="W860" s="95" t="n"/>
      <c r="X860" s="96" t="n"/>
      <c r="Z860" s="93">
        <f>IF($A860="","",DATE(YEAR($A860),MONTH($A860),1))</f>
        <v/>
      </c>
    </row>
    <row r="861">
      <c r="A861" s="86" t="n"/>
      <c r="B861" s="87" t="n"/>
      <c r="C861" s="87" t="n"/>
      <c r="D861" s="88" t="n"/>
      <c r="E861" s="88" t="n"/>
      <c r="F861" s="88" t="n"/>
      <c r="G861" s="88" t="n"/>
      <c r="H861" s="89" t="n"/>
      <c r="I861" s="90">
        <f>IF($G861="","",IF($F861="",IFERROR(INDEX(Setup!$C$21:$C$60,MATCH("|"&amp;UPPER(TRIM($G861)),Setup!$Q$21:$Q$60,0)),"NO RATE"),IFERROR(INDEX(Setup!$C$21:$C$60,MATCH(UPPER(TRIM($F861))&amp;"|"&amp;UPPER(TRIM($G861)),Setup!$P$21:$P$60,0)),IFERROR(INDEX(Setup!$C$21:$C$60,MATCH(UPPER(TRIM($G861))&amp;"|"&amp;UPPER(TRIM($F861)),Setup!$P$21:$P$60,0)),"NO RATE"))))</f>
        <v/>
      </c>
      <c r="J861" s="91" t="n"/>
      <c r="K861" s="90">
        <f>IF(OR($G861="",$H861="",NOT(ISNUMBER($I861))),"",ROUND($H861*$I861*(1+IF($J861="",Setup!$B$16,$J861)),2))</f>
        <v/>
      </c>
      <c r="L861" s="90">
        <f>IF($K861="","",ROUND($K861*Setup!$B$13,2))</f>
        <v/>
      </c>
      <c r="M861" s="90">
        <f>IF($K861="","",$K861-$L861)</f>
        <v/>
      </c>
      <c r="N861" s="90">
        <f>IF(OR($M861="",$D861=""),"",ROUND($M861*IFERROR(IF(VLOOKUP($D861,Setup!$A$76:$C$87,3,FALSE)="",Setup!$B$14,VLOOKUP($D861,Setup!$A$76:$C$87,3,FALSE)),Setup!$B$14),2))</f>
        <v/>
      </c>
      <c r="O861" s="90">
        <f>IF(OR($M861="",$E861=""),"",ROUND($M861*IFERROR(IF(VLOOKUP($E861,Setup!$A$76:$C$87,3,FALSE)="",Setup!$B$15,VLOOKUP($E861,Setup!$A$76:$C$87,3,FALSE)),Setup!$B$15),2))</f>
        <v/>
      </c>
      <c r="P861" s="92" t="n"/>
      <c r="Q861" s="92" t="n"/>
      <c r="R861" s="92" t="n"/>
      <c r="S861" s="92" t="n"/>
      <c r="T861" s="92" t="n"/>
      <c r="U861" s="90">
        <f>IF($K861="","",SUM($R861:$T861))</f>
        <v/>
      </c>
      <c r="V861" s="90">
        <f>IF($K861="","",$M861-(N($N861)+N($O861)+IF($P861="",Setup!$B$17,$P861)+N($Q861))-N($U861))</f>
        <v/>
      </c>
      <c r="W861" s="87" t="n"/>
      <c r="X861" s="88" t="n"/>
      <c r="Z861" s="93">
        <f>IF($A861="","",DATE(YEAR($A861),MONTH($A861),1))</f>
        <v/>
      </c>
    </row>
    <row r="862">
      <c r="A862" s="94" t="n"/>
      <c r="B862" s="95" t="n"/>
      <c r="C862" s="95" t="n"/>
      <c r="D862" s="96" t="n"/>
      <c r="E862" s="96" t="n"/>
      <c r="F862" s="96" t="n"/>
      <c r="G862" s="96" t="n"/>
      <c r="H862" s="97" t="n"/>
      <c r="I862" s="90">
        <f>IF($G862="","",IF($F862="",IFERROR(INDEX(Setup!$C$21:$C$60,MATCH("|"&amp;UPPER(TRIM($G862)),Setup!$Q$21:$Q$60,0)),"NO RATE"),IFERROR(INDEX(Setup!$C$21:$C$60,MATCH(UPPER(TRIM($F862))&amp;"|"&amp;UPPER(TRIM($G862)),Setup!$P$21:$P$60,0)),IFERROR(INDEX(Setup!$C$21:$C$60,MATCH(UPPER(TRIM($G862))&amp;"|"&amp;UPPER(TRIM($F862)),Setup!$P$21:$P$60,0)),"NO RATE"))))</f>
        <v/>
      </c>
      <c r="J862" s="98" t="n"/>
      <c r="K862" s="90">
        <f>IF(OR($G862="",$H862="",NOT(ISNUMBER($I862))),"",ROUND($H862*$I862*(1+IF($J862="",Setup!$B$16,$J862)),2))</f>
        <v/>
      </c>
      <c r="L862" s="90">
        <f>IF($K862="","",ROUND($K862*Setup!$B$13,2))</f>
        <v/>
      </c>
      <c r="M862" s="90">
        <f>IF($K862="","",$K862-$L862)</f>
        <v/>
      </c>
      <c r="N862" s="90">
        <f>IF(OR($M862="",$D862=""),"",ROUND($M862*IFERROR(IF(VLOOKUP($D862,Setup!$A$76:$C$87,3,FALSE)="",Setup!$B$14,VLOOKUP($D862,Setup!$A$76:$C$87,3,FALSE)),Setup!$B$14),2))</f>
        <v/>
      </c>
      <c r="O862" s="90">
        <f>IF(OR($M862="",$E862=""),"",ROUND($M862*IFERROR(IF(VLOOKUP($E862,Setup!$A$76:$C$87,3,FALSE)="",Setup!$B$15,VLOOKUP($E862,Setup!$A$76:$C$87,3,FALSE)),Setup!$B$15),2))</f>
        <v/>
      </c>
      <c r="P862" s="99" t="n"/>
      <c r="Q862" s="99" t="n"/>
      <c r="R862" s="99" t="n"/>
      <c r="S862" s="99" t="n"/>
      <c r="T862" s="99" t="n"/>
      <c r="U862" s="90">
        <f>IF($K862="","",SUM($R862:$T862))</f>
        <v/>
      </c>
      <c r="V862" s="90">
        <f>IF($K862="","",$M862-(N($N862)+N($O862)+IF($P862="",Setup!$B$17,$P862)+N($Q862))-N($U862))</f>
        <v/>
      </c>
      <c r="W862" s="95" t="n"/>
      <c r="X862" s="96" t="n"/>
      <c r="Z862" s="93">
        <f>IF($A862="","",DATE(YEAR($A862),MONTH($A862),1))</f>
        <v/>
      </c>
    </row>
    <row r="863">
      <c r="A863" s="86" t="n"/>
      <c r="B863" s="87" t="n"/>
      <c r="C863" s="87" t="n"/>
      <c r="D863" s="88" t="n"/>
      <c r="E863" s="88" t="n"/>
      <c r="F863" s="88" t="n"/>
      <c r="G863" s="88" t="n"/>
      <c r="H863" s="89" t="n"/>
      <c r="I863" s="90">
        <f>IF($G863="","",IF($F863="",IFERROR(INDEX(Setup!$C$21:$C$60,MATCH("|"&amp;UPPER(TRIM($G863)),Setup!$Q$21:$Q$60,0)),"NO RATE"),IFERROR(INDEX(Setup!$C$21:$C$60,MATCH(UPPER(TRIM($F863))&amp;"|"&amp;UPPER(TRIM($G863)),Setup!$P$21:$P$60,0)),IFERROR(INDEX(Setup!$C$21:$C$60,MATCH(UPPER(TRIM($G863))&amp;"|"&amp;UPPER(TRIM($F863)),Setup!$P$21:$P$60,0)),"NO RATE"))))</f>
        <v/>
      </c>
      <c r="J863" s="91" t="n"/>
      <c r="K863" s="90">
        <f>IF(OR($G863="",$H863="",NOT(ISNUMBER($I863))),"",ROUND($H863*$I863*(1+IF($J863="",Setup!$B$16,$J863)),2))</f>
        <v/>
      </c>
      <c r="L863" s="90">
        <f>IF($K863="","",ROUND($K863*Setup!$B$13,2))</f>
        <v/>
      </c>
      <c r="M863" s="90">
        <f>IF($K863="","",$K863-$L863)</f>
        <v/>
      </c>
      <c r="N863" s="90">
        <f>IF(OR($M863="",$D863=""),"",ROUND($M863*IFERROR(IF(VLOOKUP($D863,Setup!$A$76:$C$87,3,FALSE)="",Setup!$B$14,VLOOKUP($D863,Setup!$A$76:$C$87,3,FALSE)),Setup!$B$14),2))</f>
        <v/>
      </c>
      <c r="O863" s="90">
        <f>IF(OR($M863="",$E863=""),"",ROUND($M863*IFERROR(IF(VLOOKUP($E863,Setup!$A$76:$C$87,3,FALSE)="",Setup!$B$15,VLOOKUP($E863,Setup!$A$76:$C$87,3,FALSE)),Setup!$B$15),2))</f>
        <v/>
      </c>
      <c r="P863" s="92" t="n"/>
      <c r="Q863" s="92" t="n"/>
      <c r="R863" s="92" t="n"/>
      <c r="S863" s="92" t="n"/>
      <c r="T863" s="92" t="n"/>
      <c r="U863" s="90">
        <f>IF($K863="","",SUM($R863:$T863))</f>
        <v/>
      </c>
      <c r="V863" s="90">
        <f>IF($K863="","",$M863-(N($N863)+N($O863)+IF($P863="",Setup!$B$17,$P863)+N($Q863))-N($U863))</f>
        <v/>
      </c>
      <c r="W863" s="87" t="n"/>
      <c r="X863" s="88" t="n"/>
      <c r="Z863" s="93">
        <f>IF($A863="","",DATE(YEAR($A863),MONTH($A863),1))</f>
        <v/>
      </c>
    </row>
    <row r="864">
      <c r="A864" s="94" t="n"/>
      <c r="B864" s="95" t="n"/>
      <c r="C864" s="95" t="n"/>
      <c r="D864" s="96" t="n"/>
      <c r="E864" s="96" t="n"/>
      <c r="F864" s="96" t="n"/>
      <c r="G864" s="96" t="n"/>
      <c r="H864" s="97" t="n"/>
      <c r="I864" s="90">
        <f>IF($G864="","",IF($F864="",IFERROR(INDEX(Setup!$C$21:$C$60,MATCH("|"&amp;UPPER(TRIM($G864)),Setup!$Q$21:$Q$60,0)),"NO RATE"),IFERROR(INDEX(Setup!$C$21:$C$60,MATCH(UPPER(TRIM($F864))&amp;"|"&amp;UPPER(TRIM($G864)),Setup!$P$21:$P$60,0)),IFERROR(INDEX(Setup!$C$21:$C$60,MATCH(UPPER(TRIM($G864))&amp;"|"&amp;UPPER(TRIM($F864)),Setup!$P$21:$P$60,0)),"NO RATE"))))</f>
        <v/>
      </c>
      <c r="J864" s="98" t="n"/>
      <c r="K864" s="90">
        <f>IF(OR($G864="",$H864="",NOT(ISNUMBER($I864))),"",ROUND($H864*$I864*(1+IF($J864="",Setup!$B$16,$J864)),2))</f>
        <v/>
      </c>
      <c r="L864" s="90">
        <f>IF($K864="","",ROUND($K864*Setup!$B$13,2))</f>
        <v/>
      </c>
      <c r="M864" s="90">
        <f>IF($K864="","",$K864-$L864)</f>
        <v/>
      </c>
      <c r="N864" s="90">
        <f>IF(OR($M864="",$D864=""),"",ROUND($M864*IFERROR(IF(VLOOKUP($D864,Setup!$A$76:$C$87,3,FALSE)="",Setup!$B$14,VLOOKUP($D864,Setup!$A$76:$C$87,3,FALSE)),Setup!$B$14),2))</f>
        <v/>
      </c>
      <c r="O864" s="90">
        <f>IF(OR($M864="",$E864=""),"",ROUND($M864*IFERROR(IF(VLOOKUP($E864,Setup!$A$76:$C$87,3,FALSE)="",Setup!$B$15,VLOOKUP($E864,Setup!$A$76:$C$87,3,FALSE)),Setup!$B$15),2))</f>
        <v/>
      </c>
      <c r="P864" s="99" t="n"/>
      <c r="Q864" s="99" t="n"/>
      <c r="R864" s="99" t="n"/>
      <c r="S864" s="99" t="n"/>
      <c r="T864" s="99" t="n"/>
      <c r="U864" s="90">
        <f>IF($K864="","",SUM($R864:$T864))</f>
        <v/>
      </c>
      <c r="V864" s="90">
        <f>IF($K864="","",$M864-(N($N864)+N($O864)+IF($P864="",Setup!$B$17,$P864)+N($Q864))-N($U864))</f>
        <v/>
      </c>
      <c r="W864" s="95" t="n"/>
      <c r="X864" s="96" t="n"/>
      <c r="Z864" s="93">
        <f>IF($A864="","",DATE(YEAR($A864),MONTH($A864),1))</f>
        <v/>
      </c>
    </row>
    <row r="865">
      <c r="A865" s="86" t="n"/>
      <c r="B865" s="87" t="n"/>
      <c r="C865" s="87" t="n"/>
      <c r="D865" s="88" t="n"/>
      <c r="E865" s="88" t="n"/>
      <c r="F865" s="88" t="n"/>
      <c r="G865" s="88" t="n"/>
      <c r="H865" s="89" t="n"/>
      <c r="I865" s="90">
        <f>IF($G865="","",IF($F865="",IFERROR(INDEX(Setup!$C$21:$C$60,MATCH("|"&amp;UPPER(TRIM($G865)),Setup!$Q$21:$Q$60,0)),"NO RATE"),IFERROR(INDEX(Setup!$C$21:$C$60,MATCH(UPPER(TRIM($F865))&amp;"|"&amp;UPPER(TRIM($G865)),Setup!$P$21:$P$60,0)),IFERROR(INDEX(Setup!$C$21:$C$60,MATCH(UPPER(TRIM($G865))&amp;"|"&amp;UPPER(TRIM($F865)),Setup!$P$21:$P$60,0)),"NO RATE"))))</f>
        <v/>
      </c>
      <c r="J865" s="91" t="n"/>
      <c r="K865" s="90">
        <f>IF(OR($G865="",$H865="",NOT(ISNUMBER($I865))),"",ROUND($H865*$I865*(1+IF($J865="",Setup!$B$16,$J865)),2))</f>
        <v/>
      </c>
      <c r="L865" s="90">
        <f>IF($K865="","",ROUND($K865*Setup!$B$13,2))</f>
        <v/>
      </c>
      <c r="M865" s="90">
        <f>IF($K865="","",$K865-$L865)</f>
        <v/>
      </c>
      <c r="N865" s="90">
        <f>IF(OR($M865="",$D865=""),"",ROUND($M865*IFERROR(IF(VLOOKUP($D865,Setup!$A$76:$C$87,3,FALSE)="",Setup!$B$14,VLOOKUP($D865,Setup!$A$76:$C$87,3,FALSE)),Setup!$B$14),2))</f>
        <v/>
      </c>
      <c r="O865" s="90">
        <f>IF(OR($M865="",$E865=""),"",ROUND($M865*IFERROR(IF(VLOOKUP($E865,Setup!$A$76:$C$87,3,FALSE)="",Setup!$B$15,VLOOKUP($E865,Setup!$A$76:$C$87,3,FALSE)),Setup!$B$15),2))</f>
        <v/>
      </c>
      <c r="P865" s="92" t="n"/>
      <c r="Q865" s="92" t="n"/>
      <c r="R865" s="92" t="n"/>
      <c r="S865" s="92" t="n"/>
      <c r="T865" s="92" t="n"/>
      <c r="U865" s="90">
        <f>IF($K865="","",SUM($R865:$T865))</f>
        <v/>
      </c>
      <c r="V865" s="90">
        <f>IF($K865="","",$M865-(N($N865)+N($O865)+IF($P865="",Setup!$B$17,$P865)+N($Q865))-N($U865))</f>
        <v/>
      </c>
      <c r="W865" s="87" t="n"/>
      <c r="X865" s="88" t="n"/>
      <c r="Z865" s="93">
        <f>IF($A865="","",DATE(YEAR($A865),MONTH($A865),1))</f>
        <v/>
      </c>
    </row>
    <row r="866">
      <c r="A866" s="94" t="n"/>
      <c r="B866" s="95" t="n"/>
      <c r="C866" s="95" t="n"/>
      <c r="D866" s="96" t="n"/>
      <c r="E866" s="96" t="n"/>
      <c r="F866" s="96" t="n"/>
      <c r="G866" s="96" t="n"/>
      <c r="H866" s="97" t="n"/>
      <c r="I866" s="90">
        <f>IF($G866="","",IF($F866="",IFERROR(INDEX(Setup!$C$21:$C$60,MATCH("|"&amp;UPPER(TRIM($G866)),Setup!$Q$21:$Q$60,0)),"NO RATE"),IFERROR(INDEX(Setup!$C$21:$C$60,MATCH(UPPER(TRIM($F866))&amp;"|"&amp;UPPER(TRIM($G866)),Setup!$P$21:$P$60,0)),IFERROR(INDEX(Setup!$C$21:$C$60,MATCH(UPPER(TRIM($G866))&amp;"|"&amp;UPPER(TRIM($F866)),Setup!$P$21:$P$60,0)),"NO RATE"))))</f>
        <v/>
      </c>
      <c r="J866" s="98" t="n"/>
      <c r="K866" s="90">
        <f>IF(OR($G866="",$H866="",NOT(ISNUMBER($I866))),"",ROUND($H866*$I866*(1+IF($J866="",Setup!$B$16,$J866)),2))</f>
        <v/>
      </c>
      <c r="L866" s="90">
        <f>IF($K866="","",ROUND($K866*Setup!$B$13,2))</f>
        <v/>
      </c>
      <c r="M866" s="90">
        <f>IF($K866="","",$K866-$L866)</f>
        <v/>
      </c>
      <c r="N866" s="90">
        <f>IF(OR($M866="",$D866=""),"",ROUND($M866*IFERROR(IF(VLOOKUP($D866,Setup!$A$76:$C$87,3,FALSE)="",Setup!$B$14,VLOOKUP($D866,Setup!$A$76:$C$87,3,FALSE)),Setup!$B$14),2))</f>
        <v/>
      </c>
      <c r="O866" s="90">
        <f>IF(OR($M866="",$E866=""),"",ROUND($M866*IFERROR(IF(VLOOKUP($E866,Setup!$A$76:$C$87,3,FALSE)="",Setup!$B$15,VLOOKUP($E866,Setup!$A$76:$C$87,3,FALSE)),Setup!$B$15),2))</f>
        <v/>
      </c>
      <c r="P866" s="99" t="n"/>
      <c r="Q866" s="99" t="n"/>
      <c r="R866" s="99" t="n"/>
      <c r="S866" s="99" t="n"/>
      <c r="T866" s="99" t="n"/>
      <c r="U866" s="90">
        <f>IF($K866="","",SUM($R866:$T866))</f>
        <v/>
      </c>
      <c r="V866" s="90">
        <f>IF($K866="","",$M866-(N($N866)+N($O866)+IF($P866="",Setup!$B$17,$P866)+N($Q866))-N($U866))</f>
        <v/>
      </c>
      <c r="W866" s="95" t="n"/>
      <c r="X866" s="96" t="n"/>
      <c r="Z866" s="93">
        <f>IF($A866="","",DATE(YEAR($A866),MONTH($A866),1))</f>
        <v/>
      </c>
    </row>
    <row r="867">
      <c r="A867" s="86" t="n"/>
      <c r="B867" s="87" t="n"/>
      <c r="C867" s="87" t="n"/>
      <c r="D867" s="88" t="n"/>
      <c r="E867" s="88" t="n"/>
      <c r="F867" s="88" t="n"/>
      <c r="G867" s="88" t="n"/>
      <c r="H867" s="89" t="n"/>
      <c r="I867" s="90">
        <f>IF($G867="","",IF($F867="",IFERROR(INDEX(Setup!$C$21:$C$60,MATCH("|"&amp;UPPER(TRIM($G867)),Setup!$Q$21:$Q$60,0)),"NO RATE"),IFERROR(INDEX(Setup!$C$21:$C$60,MATCH(UPPER(TRIM($F867))&amp;"|"&amp;UPPER(TRIM($G867)),Setup!$P$21:$P$60,0)),IFERROR(INDEX(Setup!$C$21:$C$60,MATCH(UPPER(TRIM($G867))&amp;"|"&amp;UPPER(TRIM($F867)),Setup!$P$21:$P$60,0)),"NO RATE"))))</f>
        <v/>
      </c>
      <c r="J867" s="91" t="n"/>
      <c r="K867" s="90">
        <f>IF(OR($G867="",$H867="",NOT(ISNUMBER($I867))),"",ROUND($H867*$I867*(1+IF($J867="",Setup!$B$16,$J867)),2))</f>
        <v/>
      </c>
      <c r="L867" s="90">
        <f>IF($K867="","",ROUND($K867*Setup!$B$13,2))</f>
        <v/>
      </c>
      <c r="M867" s="90">
        <f>IF($K867="","",$K867-$L867)</f>
        <v/>
      </c>
      <c r="N867" s="90">
        <f>IF(OR($M867="",$D867=""),"",ROUND($M867*IFERROR(IF(VLOOKUP($D867,Setup!$A$76:$C$87,3,FALSE)="",Setup!$B$14,VLOOKUP($D867,Setup!$A$76:$C$87,3,FALSE)),Setup!$B$14),2))</f>
        <v/>
      </c>
      <c r="O867" s="90">
        <f>IF(OR($M867="",$E867=""),"",ROUND($M867*IFERROR(IF(VLOOKUP($E867,Setup!$A$76:$C$87,3,FALSE)="",Setup!$B$15,VLOOKUP($E867,Setup!$A$76:$C$87,3,FALSE)),Setup!$B$15),2))</f>
        <v/>
      </c>
      <c r="P867" s="92" t="n"/>
      <c r="Q867" s="92" t="n"/>
      <c r="R867" s="92" t="n"/>
      <c r="S867" s="92" t="n"/>
      <c r="T867" s="92" t="n"/>
      <c r="U867" s="90">
        <f>IF($K867="","",SUM($R867:$T867))</f>
        <v/>
      </c>
      <c r="V867" s="90">
        <f>IF($K867="","",$M867-(N($N867)+N($O867)+IF($P867="",Setup!$B$17,$P867)+N($Q867))-N($U867))</f>
        <v/>
      </c>
      <c r="W867" s="87" t="n"/>
      <c r="X867" s="88" t="n"/>
      <c r="Z867" s="93">
        <f>IF($A867="","",DATE(YEAR($A867),MONTH($A867),1))</f>
        <v/>
      </c>
    </row>
    <row r="868">
      <c r="A868" s="94" t="n"/>
      <c r="B868" s="95" t="n"/>
      <c r="C868" s="95" t="n"/>
      <c r="D868" s="96" t="n"/>
      <c r="E868" s="96" t="n"/>
      <c r="F868" s="96" t="n"/>
      <c r="G868" s="96" t="n"/>
      <c r="H868" s="97" t="n"/>
      <c r="I868" s="90">
        <f>IF($G868="","",IF($F868="",IFERROR(INDEX(Setup!$C$21:$C$60,MATCH("|"&amp;UPPER(TRIM($G868)),Setup!$Q$21:$Q$60,0)),"NO RATE"),IFERROR(INDEX(Setup!$C$21:$C$60,MATCH(UPPER(TRIM($F868))&amp;"|"&amp;UPPER(TRIM($G868)),Setup!$P$21:$P$60,0)),IFERROR(INDEX(Setup!$C$21:$C$60,MATCH(UPPER(TRIM($G868))&amp;"|"&amp;UPPER(TRIM($F868)),Setup!$P$21:$P$60,0)),"NO RATE"))))</f>
        <v/>
      </c>
      <c r="J868" s="98" t="n"/>
      <c r="K868" s="90">
        <f>IF(OR($G868="",$H868="",NOT(ISNUMBER($I868))),"",ROUND($H868*$I868*(1+IF($J868="",Setup!$B$16,$J868)),2))</f>
        <v/>
      </c>
      <c r="L868" s="90">
        <f>IF($K868="","",ROUND($K868*Setup!$B$13,2))</f>
        <v/>
      </c>
      <c r="M868" s="90">
        <f>IF($K868="","",$K868-$L868)</f>
        <v/>
      </c>
      <c r="N868" s="90">
        <f>IF(OR($M868="",$D868=""),"",ROUND($M868*IFERROR(IF(VLOOKUP($D868,Setup!$A$76:$C$87,3,FALSE)="",Setup!$B$14,VLOOKUP($D868,Setup!$A$76:$C$87,3,FALSE)),Setup!$B$14),2))</f>
        <v/>
      </c>
      <c r="O868" s="90">
        <f>IF(OR($M868="",$E868=""),"",ROUND($M868*IFERROR(IF(VLOOKUP($E868,Setup!$A$76:$C$87,3,FALSE)="",Setup!$B$15,VLOOKUP($E868,Setup!$A$76:$C$87,3,FALSE)),Setup!$B$15),2))</f>
        <v/>
      </c>
      <c r="P868" s="99" t="n"/>
      <c r="Q868" s="99" t="n"/>
      <c r="R868" s="99" t="n"/>
      <c r="S868" s="99" t="n"/>
      <c r="T868" s="99" t="n"/>
      <c r="U868" s="90">
        <f>IF($K868="","",SUM($R868:$T868))</f>
        <v/>
      </c>
      <c r="V868" s="90">
        <f>IF($K868="","",$M868-(N($N868)+N($O868)+IF($P868="",Setup!$B$17,$P868)+N($Q868))-N($U868))</f>
        <v/>
      </c>
      <c r="W868" s="95" t="n"/>
      <c r="X868" s="96" t="n"/>
      <c r="Z868" s="93">
        <f>IF($A868="","",DATE(YEAR($A868),MONTH($A868),1))</f>
        <v/>
      </c>
    </row>
    <row r="869">
      <c r="A869" s="86" t="n"/>
      <c r="B869" s="87" t="n"/>
      <c r="C869" s="87" t="n"/>
      <c r="D869" s="88" t="n"/>
      <c r="E869" s="88" t="n"/>
      <c r="F869" s="88" t="n"/>
      <c r="G869" s="88" t="n"/>
      <c r="H869" s="89" t="n"/>
      <c r="I869" s="90">
        <f>IF($G869="","",IF($F869="",IFERROR(INDEX(Setup!$C$21:$C$60,MATCH("|"&amp;UPPER(TRIM($G869)),Setup!$Q$21:$Q$60,0)),"NO RATE"),IFERROR(INDEX(Setup!$C$21:$C$60,MATCH(UPPER(TRIM($F869))&amp;"|"&amp;UPPER(TRIM($G869)),Setup!$P$21:$P$60,0)),IFERROR(INDEX(Setup!$C$21:$C$60,MATCH(UPPER(TRIM($G869))&amp;"|"&amp;UPPER(TRIM($F869)),Setup!$P$21:$P$60,0)),"NO RATE"))))</f>
        <v/>
      </c>
      <c r="J869" s="91" t="n"/>
      <c r="K869" s="90">
        <f>IF(OR($G869="",$H869="",NOT(ISNUMBER($I869))),"",ROUND($H869*$I869*(1+IF($J869="",Setup!$B$16,$J869)),2))</f>
        <v/>
      </c>
      <c r="L869" s="90">
        <f>IF($K869="","",ROUND($K869*Setup!$B$13,2))</f>
        <v/>
      </c>
      <c r="M869" s="90">
        <f>IF($K869="","",$K869-$L869)</f>
        <v/>
      </c>
      <c r="N869" s="90">
        <f>IF(OR($M869="",$D869=""),"",ROUND($M869*IFERROR(IF(VLOOKUP($D869,Setup!$A$76:$C$87,3,FALSE)="",Setup!$B$14,VLOOKUP($D869,Setup!$A$76:$C$87,3,FALSE)),Setup!$B$14),2))</f>
        <v/>
      </c>
      <c r="O869" s="90">
        <f>IF(OR($M869="",$E869=""),"",ROUND($M869*IFERROR(IF(VLOOKUP($E869,Setup!$A$76:$C$87,3,FALSE)="",Setup!$B$15,VLOOKUP($E869,Setup!$A$76:$C$87,3,FALSE)),Setup!$B$15),2))</f>
        <v/>
      </c>
      <c r="P869" s="92" t="n"/>
      <c r="Q869" s="92" t="n"/>
      <c r="R869" s="92" t="n"/>
      <c r="S869" s="92" t="n"/>
      <c r="T869" s="92" t="n"/>
      <c r="U869" s="90">
        <f>IF($K869="","",SUM($R869:$T869))</f>
        <v/>
      </c>
      <c r="V869" s="90">
        <f>IF($K869="","",$M869-(N($N869)+N($O869)+IF($P869="",Setup!$B$17,$P869)+N($Q869))-N($U869))</f>
        <v/>
      </c>
      <c r="W869" s="87" t="n"/>
      <c r="X869" s="88" t="n"/>
      <c r="Z869" s="93">
        <f>IF($A869="","",DATE(YEAR($A869),MONTH($A869),1))</f>
        <v/>
      </c>
    </row>
    <row r="870">
      <c r="A870" s="94" t="n"/>
      <c r="B870" s="95" t="n"/>
      <c r="C870" s="95" t="n"/>
      <c r="D870" s="96" t="n"/>
      <c r="E870" s="96" t="n"/>
      <c r="F870" s="96" t="n"/>
      <c r="G870" s="96" t="n"/>
      <c r="H870" s="97" t="n"/>
      <c r="I870" s="90">
        <f>IF($G870="","",IF($F870="",IFERROR(INDEX(Setup!$C$21:$C$60,MATCH("|"&amp;UPPER(TRIM($G870)),Setup!$Q$21:$Q$60,0)),"NO RATE"),IFERROR(INDEX(Setup!$C$21:$C$60,MATCH(UPPER(TRIM($F870))&amp;"|"&amp;UPPER(TRIM($G870)),Setup!$P$21:$P$60,0)),IFERROR(INDEX(Setup!$C$21:$C$60,MATCH(UPPER(TRIM($G870))&amp;"|"&amp;UPPER(TRIM($F870)),Setup!$P$21:$P$60,0)),"NO RATE"))))</f>
        <v/>
      </c>
      <c r="J870" s="98" t="n"/>
      <c r="K870" s="90">
        <f>IF(OR($G870="",$H870="",NOT(ISNUMBER($I870))),"",ROUND($H870*$I870*(1+IF($J870="",Setup!$B$16,$J870)),2))</f>
        <v/>
      </c>
      <c r="L870" s="90">
        <f>IF($K870="","",ROUND($K870*Setup!$B$13,2))</f>
        <v/>
      </c>
      <c r="M870" s="90">
        <f>IF($K870="","",$K870-$L870)</f>
        <v/>
      </c>
      <c r="N870" s="90">
        <f>IF(OR($M870="",$D870=""),"",ROUND($M870*IFERROR(IF(VLOOKUP($D870,Setup!$A$76:$C$87,3,FALSE)="",Setup!$B$14,VLOOKUP($D870,Setup!$A$76:$C$87,3,FALSE)),Setup!$B$14),2))</f>
        <v/>
      </c>
      <c r="O870" s="90">
        <f>IF(OR($M870="",$E870=""),"",ROUND($M870*IFERROR(IF(VLOOKUP($E870,Setup!$A$76:$C$87,3,FALSE)="",Setup!$B$15,VLOOKUP($E870,Setup!$A$76:$C$87,3,FALSE)),Setup!$B$15),2))</f>
        <v/>
      </c>
      <c r="P870" s="99" t="n"/>
      <c r="Q870" s="99" t="n"/>
      <c r="R870" s="99" t="n"/>
      <c r="S870" s="99" t="n"/>
      <c r="T870" s="99" t="n"/>
      <c r="U870" s="90">
        <f>IF($K870="","",SUM($R870:$T870))</f>
        <v/>
      </c>
      <c r="V870" s="90">
        <f>IF($K870="","",$M870-(N($N870)+N($O870)+IF($P870="",Setup!$B$17,$P870)+N($Q870))-N($U870))</f>
        <v/>
      </c>
      <c r="W870" s="95" t="n"/>
      <c r="X870" s="96" t="n"/>
      <c r="Z870" s="93">
        <f>IF($A870="","",DATE(YEAR($A870),MONTH($A870),1))</f>
        <v/>
      </c>
    </row>
    <row r="871">
      <c r="A871" s="86" t="n"/>
      <c r="B871" s="87" t="n"/>
      <c r="C871" s="87" t="n"/>
      <c r="D871" s="88" t="n"/>
      <c r="E871" s="88" t="n"/>
      <c r="F871" s="88" t="n"/>
      <c r="G871" s="88" t="n"/>
      <c r="H871" s="89" t="n"/>
      <c r="I871" s="90">
        <f>IF($G871="","",IF($F871="",IFERROR(INDEX(Setup!$C$21:$C$60,MATCH("|"&amp;UPPER(TRIM($G871)),Setup!$Q$21:$Q$60,0)),"NO RATE"),IFERROR(INDEX(Setup!$C$21:$C$60,MATCH(UPPER(TRIM($F871))&amp;"|"&amp;UPPER(TRIM($G871)),Setup!$P$21:$P$60,0)),IFERROR(INDEX(Setup!$C$21:$C$60,MATCH(UPPER(TRIM($G871))&amp;"|"&amp;UPPER(TRIM($F871)),Setup!$P$21:$P$60,0)),"NO RATE"))))</f>
        <v/>
      </c>
      <c r="J871" s="91" t="n"/>
      <c r="K871" s="90">
        <f>IF(OR($G871="",$H871="",NOT(ISNUMBER($I871))),"",ROUND($H871*$I871*(1+IF($J871="",Setup!$B$16,$J871)),2))</f>
        <v/>
      </c>
      <c r="L871" s="90">
        <f>IF($K871="","",ROUND($K871*Setup!$B$13,2))</f>
        <v/>
      </c>
      <c r="M871" s="90">
        <f>IF($K871="","",$K871-$L871)</f>
        <v/>
      </c>
      <c r="N871" s="90">
        <f>IF(OR($M871="",$D871=""),"",ROUND($M871*IFERROR(IF(VLOOKUP($D871,Setup!$A$76:$C$87,3,FALSE)="",Setup!$B$14,VLOOKUP($D871,Setup!$A$76:$C$87,3,FALSE)),Setup!$B$14),2))</f>
        <v/>
      </c>
      <c r="O871" s="90">
        <f>IF(OR($M871="",$E871=""),"",ROUND($M871*IFERROR(IF(VLOOKUP($E871,Setup!$A$76:$C$87,3,FALSE)="",Setup!$B$15,VLOOKUP($E871,Setup!$A$76:$C$87,3,FALSE)),Setup!$B$15),2))</f>
        <v/>
      </c>
      <c r="P871" s="92" t="n"/>
      <c r="Q871" s="92" t="n"/>
      <c r="R871" s="92" t="n"/>
      <c r="S871" s="92" t="n"/>
      <c r="T871" s="92" t="n"/>
      <c r="U871" s="90">
        <f>IF($K871="","",SUM($R871:$T871))</f>
        <v/>
      </c>
      <c r="V871" s="90">
        <f>IF($K871="","",$M871-(N($N871)+N($O871)+IF($P871="",Setup!$B$17,$P871)+N($Q871))-N($U871))</f>
        <v/>
      </c>
      <c r="W871" s="87" t="n"/>
      <c r="X871" s="88" t="n"/>
      <c r="Z871" s="93">
        <f>IF($A871="","",DATE(YEAR($A871),MONTH($A871),1))</f>
        <v/>
      </c>
    </row>
    <row r="872">
      <c r="A872" s="94" t="n"/>
      <c r="B872" s="95" t="n"/>
      <c r="C872" s="95" t="n"/>
      <c r="D872" s="96" t="n"/>
      <c r="E872" s="96" t="n"/>
      <c r="F872" s="96" t="n"/>
      <c r="G872" s="96" t="n"/>
      <c r="H872" s="97" t="n"/>
      <c r="I872" s="90">
        <f>IF($G872="","",IF($F872="",IFERROR(INDEX(Setup!$C$21:$C$60,MATCH("|"&amp;UPPER(TRIM($G872)),Setup!$Q$21:$Q$60,0)),"NO RATE"),IFERROR(INDEX(Setup!$C$21:$C$60,MATCH(UPPER(TRIM($F872))&amp;"|"&amp;UPPER(TRIM($G872)),Setup!$P$21:$P$60,0)),IFERROR(INDEX(Setup!$C$21:$C$60,MATCH(UPPER(TRIM($G872))&amp;"|"&amp;UPPER(TRIM($F872)),Setup!$P$21:$P$60,0)),"NO RATE"))))</f>
        <v/>
      </c>
      <c r="J872" s="98" t="n"/>
      <c r="K872" s="90">
        <f>IF(OR($G872="",$H872="",NOT(ISNUMBER($I872))),"",ROUND($H872*$I872*(1+IF($J872="",Setup!$B$16,$J872)),2))</f>
        <v/>
      </c>
      <c r="L872" s="90">
        <f>IF($K872="","",ROUND($K872*Setup!$B$13,2))</f>
        <v/>
      </c>
      <c r="M872" s="90">
        <f>IF($K872="","",$K872-$L872)</f>
        <v/>
      </c>
      <c r="N872" s="90">
        <f>IF(OR($M872="",$D872=""),"",ROUND($M872*IFERROR(IF(VLOOKUP($D872,Setup!$A$76:$C$87,3,FALSE)="",Setup!$B$14,VLOOKUP($D872,Setup!$A$76:$C$87,3,FALSE)),Setup!$B$14),2))</f>
        <v/>
      </c>
      <c r="O872" s="90">
        <f>IF(OR($M872="",$E872=""),"",ROUND($M872*IFERROR(IF(VLOOKUP($E872,Setup!$A$76:$C$87,3,FALSE)="",Setup!$B$15,VLOOKUP($E872,Setup!$A$76:$C$87,3,FALSE)),Setup!$B$15),2))</f>
        <v/>
      </c>
      <c r="P872" s="99" t="n"/>
      <c r="Q872" s="99" t="n"/>
      <c r="R872" s="99" t="n"/>
      <c r="S872" s="99" t="n"/>
      <c r="T872" s="99" t="n"/>
      <c r="U872" s="90">
        <f>IF($K872="","",SUM($R872:$T872))</f>
        <v/>
      </c>
      <c r="V872" s="90">
        <f>IF($K872="","",$M872-(N($N872)+N($O872)+IF($P872="",Setup!$B$17,$P872)+N($Q872))-N($U872))</f>
        <v/>
      </c>
      <c r="W872" s="95" t="n"/>
      <c r="X872" s="96" t="n"/>
      <c r="Z872" s="93">
        <f>IF($A872="","",DATE(YEAR($A872),MONTH($A872),1))</f>
        <v/>
      </c>
    </row>
    <row r="873">
      <c r="A873" s="86" t="n"/>
      <c r="B873" s="87" t="n"/>
      <c r="C873" s="87" t="n"/>
      <c r="D873" s="88" t="n"/>
      <c r="E873" s="88" t="n"/>
      <c r="F873" s="88" t="n"/>
      <c r="G873" s="88" t="n"/>
      <c r="H873" s="89" t="n"/>
      <c r="I873" s="90">
        <f>IF($G873="","",IF($F873="",IFERROR(INDEX(Setup!$C$21:$C$60,MATCH("|"&amp;UPPER(TRIM($G873)),Setup!$Q$21:$Q$60,0)),"NO RATE"),IFERROR(INDEX(Setup!$C$21:$C$60,MATCH(UPPER(TRIM($F873))&amp;"|"&amp;UPPER(TRIM($G873)),Setup!$P$21:$P$60,0)),IFERROR(INDEX(Setup!$C$21:$C$60,MATCH(UPPER(TRIM($G873))&amp;"|"&amp;UPPER(TRIM($F873)),Setup!$P$21:$P$60,0)),"NO RATE"))))</f>
        <v/>
      </c>
      <c r="J873" s="91" t="n"/>
      <c r="K873" s="90">
        <f>IF(OR($G873="",$H873="",NOT(ISNUMBER($I873))),"",ROUND($H873*$I873*(1+IF($J873="",Setup!$B$16,$J873)),2))</f>
        <v/>
      </c>
      <c r="L873" s="90">
        <f>IF($K873="","",ROUND($K873*Setup!$B$13,2))</f>
        <v/>
      </c>
      <c r="M873" s="90">
        <f>IF($K873="","",$K873-$L873)</f>
        <v/>
      </c>
      <c r="N873" s="90">
        <f>IF(OR($M873="",$D873=""),"",ROUND($M873*IFERROR(IF(VLOOKUP($D873,Setup!$A$76:$C$87,3,FALSE)="",Setup!$B$14,VLOOKUP($D873,Setup!$A$76:$C$87,3,FALSE)),Setup!$B$14),2))</f>
        <v/>
      </c>
      <c r="O873" s="90">
        <f>IF(OR($M873="",$E873=""),"",ROUND($M873*IFERROR(IF(VLOOKUP($E873,Setup!$A$76:$C$87,3,FALSE)="",Setup!$B$15,VLOOKUP($E873,Setup!$A$76:$C$87,3,FALSE)),Setup!$B$15),2))</f>
        <v/>
      </c>
      <c r="P873" s="92" t="n"/>
      <c r="Q873" s="92" t="n"/>
      <c r="R873" s="92" t="n"/>
      <c r="S873" s="92" t="n"/>
      <c r="T873" s="92" t="n"/>
      <c r="U873" s="90">
        <f>IF($K873="","",SUM($R873:$T873))</f>
        <v/>
      </c>
      <c r="V873" s="90">
        <f>IF($K873="","",$M873-(N($N873)+N($O873)+IF($P873="",Setup!$B$17,$P873)+N($Q873))-N($U873))</f>
        <v/>
      </c>
      <c r="W873" s="87" t="n"/>
      <c r="X873" s="88" t="n"/>
      <c r="Z873" s="93">
        <f>IF($A873="","",DATE(YEAR($A873),MONTH($A873),1))</f>
        <v/>
      </c>
    </row>
    <row r="874">
      <c r="A874" s="94" t="n"/>
      <c r="B874" s="95" t="n"/>
      <c r="C874" s="95" t="n"/>
      <c r="D874" s="96" t="n"/>
      <c r="E874" s="96" t="n"/>
      <c r="F874" s="96" t="n"/>
      <c r="G874" s="96" t="n"/>
      <c r="H874" s="97" t="n"/>
      <c r="I874" s="90">
        <f>IF($G874="","",IF($F874="",IFERROR(INDEX(Setup!$C$21:$C$60,MATCH("|"&amp;UPPER(TRIM($G874)),Setup!$Q$21:$Q$60,0)),"NO RATE"),IFERROR(INDEX(Setup!$C$21:$C$60,MATCH(UPPER(TRIM($F874))&amp;"|"&amp;UPPER(TRIM($G874)),Setup!$P$21:$P$60,0)),IFERROR(INDEX(Setup!$C$21:$C$60,MATCH(UPPER(TRIM($G874))&amp;"|"&amp;UPPER(TRIM($F874)),Setup!$P$21:$P$60,0)),"NO RATE"))))</f>
        <v/>
      </c>
      <c r="J874" s="98" t="n"/>
      <c r="K874" s="90">
        <f>IF(OR($G874="",$H874="",NOT(ISNUMBER($I874))),"",ROUND($H874*$I874*(1+IF($J874="",Setup!$B$16,$J874)),2))</f>
        <v/>
      </c>
      <c r="L874" s="90">
        <f>IF($K874="","",ROUND($K874*Setup!$B$13,2))</f>
        <v/>
      </c>
      <c r="M874" s="90">
        <f>IF($K874="","",$K874-$L874)</f>
        <v/>
      </c>
      <c r="N874" s="90">
        <f>IF(OR($M874="",$D874=""),"",ROUND($M874*IFERROR(IF(VLOOKUP($D874,Setup!$A$76:$C$87,3,FALSE)="",Setup!$B$14,VLOOKUP($D874,Setup!$A$76:$C$87,3,FALSE)),Setup!$B$14),2))</f>
        <v/>
      </c>
      <c r="O874" s="90">
        <f>IF(OR($M874="",$E874=""),"",ROUND($M874*IFERROR(IF(VLOOKUP($E874,Setup!$A$76:$C$87,3,FALSE)="",Setup!$B$15,VLOOKUP($E874,Setup!$A$76:$C$87,3,FALSE)),Setup!$B$15),2))</f>
        <v/>
      </c>
      <c r="P874" s="99" t="n"/>
      <c r="Q874" s="99" t="n"/>
      <c r="R874" s="99" t="n"/>
      <c r="S874" s="99" t="n"/>
      <c r="T874" s="99" t="n"/>
      <c r="U874" s="90">
        <f>IF($K874="","",SUM($R874:$T874))</f>
        <v/>
      </c>
      <c r="V874" s="90">
        <f>IF($K874="","",$M874-(N($N874)+N($O874)+IF($P874="",Setup!$B$17,$P874)+N($Q874))-N($U874))</f>
        <v/>
      </c>
      <c r="W874" s="95" t="n"/>
      <c r="X874" s="96" t="n"/>
      <c r="Z874" s="93">
        <f>IF($A874="","",DATE(YEAR($A874),MONTH($A874),1))</f>
        <v/>
      </c>
    </row>
    <row r="875">
      <c r="A875" s="86" t="n"/>
      <c r="B875" s="87" t="n"/>
      <c r="C875" s="87" t="n"/>
      <c r="D875" s="88" t="n"/>
      <c r="E875" s="88" t="n"/>
      <c r="F875" s="88" t="n"/>
      <c r="G875" s="88" t="n"/>
      <c r="H875" s="89" t="n"/>
      <c r="I875" s="90">
        <f>IF($G875="","",IF($F875="",IFERROR(INDEX(Setup!$C$21:$C$60,MATCH("|"&amp;UPPER(TRIM($G875)),Setup!$Q$21:$Q$60,0)),"NO RATE"),IFERROR(INDEX(Setup!$C$21:$C$60,MATCH(UPPER(TRIM($F875))&amp;"|"&amp;UPPER(TRIM($G875)),Setup!$P$21:$P$60,0)),IFERROR(INDEX(Setup!$C$21:$C$60,MATCH(UPPER(TRIM($G875))&amp;"|"&amp;UPPER(TRIM($F875)),Setup!$P$21:$P$60,0)),"NO RATE"))))</f>
        <v/>
      </c>
      <c r="J875" s="91" t="n"/>
      <c r="K875" s="90">
        <f>IF(OR($G875="",$H875="",NOT(ISNUMBER($I875))),"",ROUND($H875*$I875*(1+IF($J875="",Setup!$B$16,$J875)),2))</f>
        <v/>
      </c>
      <c r="L875" s="90">
        <f>IF($K875="","",ROUND($K875*Setup!$B$13,2))</f>
        <v/>
      </c>
      <c r="M875" s="90">
        <f>IF($K875="","",$K875-$L875)</f>
        <v/>
      </c>
      <c r="N875" s="90">
        <f>IF(OR($M875="",$D875=""),"",ROUND($M875*IFERROR(IF(VLOOKUP($D875,Setup!$A$76:$C$87,3,FALSE)="",Setup!$B$14,VLOOKUP($D875,Setup!$A$76:$C$87,3,FALSE)),Setup!$B$14),2))</f>
        <v/>
      </c>
      <c r="O875" s="90">
        <f>IF(OR($M875="",$E875=""),"",ROUND($M875*IFERROR(IF(VLOOKUP($E875,Setup!$A$76:$C$87,3,FALSE)="",Setup!$B$15,VLOOKUP($E875,Setup!$A$76:$C$87,3,FALSE)),Setup!$B$15),2))</f>
        <v/>
      </c>
      <c r="P875" s="92" t="n"/>
      <c r="Q875" s="92" t="n"/>
      <c r="R875" s="92" t="n"/>
      <c r="S875" s="92" t="n"/>
      <c r="T875" s="92" t="n"/>
      <c r="U875" s="90">
        <f>IF($K875="","",SUM($R875:$T875))</f>
        <v/>
      </c>
      <c r="V875" s="90">
        <f>IF($K875="","",$M875-(N($N875)+N($O875)+IF($P875="",Setup!$B$17,$P875)+N($Q875))-N($U875))</f>
        <v/>
      </c>
      <c r="W875" s="87" t="n"/>
      <c r="X875" s="88" t="n"/>
      <c r="Z875" s="93">
        <f>IF($A875="","",DATE(YEAR($A875),MONTH($A875),1))</f>
        <v/>
      </c>
    </row>
    <row r="876">
      <c r="A876" s="94" t="n"/>
      <c r="B876" s="95" t="n"/>
      <c r="C876" s="95" t="n"/>
      <c r="D876" s="96" t="n"/>
      <c r="E876" s="96" t="n"/>
      <c r="F876" s="96" t="n"/>
      <c r="G876" s="96" t="n"/>
      <c r="H876" s="97" t="n"/>
      <c r="I876" s="90">
        <f>IF($G876="","",IF($F876="",IFERROR(INDEX(Setup!$C$21:$C$60,MATCH("|"&amp;UPPER(TRIM($G876)),Setup!$Q$21:$Q$60,0)),"NO RATE"),IFERROR(INDEX(Setup!$C$21:$C$60,MATCH(UPPER(TRIM($F876))&amp;"|"&amp;UPPER(TRIM($G876)),Setup!$P$21:$P$60,0)),IFERROR(INDEX(Setup!$C$21:$C$60,MATCH(UPPER(TRIM($G876))&amp;"|"&amp;UPPER(TRIM($F876)),Setup!$P$21:$P$60,0)),"NO RATE"))))</f>
        <v/>
      </c>
      <c r="J876" s="98" t="n"/>
      <c r="K876" s="90">
        <f>IF(OR($G876="",$H876="",NOT(ISNUMBER($I876))),"",ROUND($H876*$I876*(1+IF($J876="",Setup!$B$16,$J876)),2))</f>
        <v/>
      </c>
      <c r="L876" s="90">
        <f>IF($K876="","",ROUND($K876*Setup!$B$13,2))</f>
        <v/>
      </c>
      <c r="M876" s="90">
        <f>IF($K876="","",$K876-$L876)</f>
        <v/>
      </c>
      <c r="N876" s="90">
        <f>IF(OR($M876="",$D876=""),"",ROUND($M876*IFERROR(IF(VLOOKUP($D876,Setup!$A$76:$C$87,3,FALSE)="",Setup!$B$14,VLOOKUP($D876,Setup!$A$76:$C$87,3,FALSE)),Setup!$B$14),2))</f>
        <v/>
      </c>
      <c r="O876" s="90">
        <f>IF(OR($M876="",$E876=""),"",ROUND($M876*IFERROR(IF(VLOOKUP($E876,Setup!$A$76:$C$87,3,FALSE)="",Setup!$B$15,VLOOKUP($E876,Setup!$A$76:$C$87,3,FALSE)),Setup!$B$15),2))</f>
        <v/>
      </c>
      <c r="P876" s="99" t="n"/>
      <c r="Q876" s="99" t="n"/>
      <c r="R876" s="99" t="n"/>
      <c r="S876" s="99" t="n"/>
      <c r="T876" s="99" t="n"/>
      <c r="U876" s="90">
        <f>IF($K876="","",SUM($R876:$T876))</f>
        <v/>
      </c>
      <c r="V876" s="90">
        <f>IF($K876="","",$M876-(N($N876)+N($O876)+IF($P876="",Setup!$B$17,$P876)+N($Q876))-N($U876))</f>
        <v/>
      </c>
      <c r="W876" s="95" t="n"/>
      <c r="X876" s="96" t="n"/>
      <c r="Z876" s="93">
        <f>IF($A876="","",DATE(YEAR($A876),MONTH($A876),1))</f>
        <v/>
      </c>
    </row>
    <row r="877">
      <c r="A877" s="86" t="n"/>
      <c r="B877" s="87" t="n"/>
      <c r="C877" s="87" t="n"/>
      <c r="D877" s="88" t="n"/>
      <c r="E877" s="88" t="n"/>
      <c r="F877" s="88" t="n"/>
      <c r="G877" s="88" t="n"/>
      <c r="H877" s="89" t="n"/>
      <c r="I877" s="90">
        <f>IF($G877="","",IF($F877="",IFERROR(INDEX(Setup!$C$21:$C$60,MATCH("|"&amp;UPPER(TRIM($G877)),Setup!$Q$21:$Q$60,0)),"NO RATE"),IFERROR(INDEX(Setup!$C$21:$C$60,MATCH(UPPER(TRIM($F877))&amp;"|"&amp;UPPER(TRIM($G877)),Setup!$P$21:$P$60,0)),IFERROR(INDEX(Setup!$C$21:$C$60,MATCH(UPPER(TRIM($G877))&amp;"|"&amp;UPPER(TRIM($F877)),Setup!$P$21:$P$60,0)),"NO RATE"))))</f>
        <v/>
      </c>
      <c r="J877" s="91" t="n"/>
      <c r="K877" s="90">
        <f>IF(OR($G877="",$H877="",NOT(ISNUMBER($I877))),"",ROUND($H877*$I877*(1+IF($J877="",Setup!$B$16,$J877)),2))</f>
        <v/>
      </c>
      <c r="L877" s="90">
        <f>IF($K877="","",ROUND($K877*Setup!$B$13,2))</f>
        <v/>
      </c>
      <c r="M877" s="90">
        <f>IF($K877="","",$K877-$L877)</f>
        <v/>
      </c>
      <c r="N877" s="90">
        <f>IF(OR($M877="",$D877=""),"",ROUND($M877*IFERROR(IF(VLOOKUP($D877,Setup!$A$76:$C$87,3,FALSE)="",Setup!$B$14,VLOOKUP($D877,Setup!$A$76:$C$87,3,FALSE)),Setup!$B$14),2))</f>
        <v/>
      </c>
      <c r="O877" s="90">
        <f>IF(OR($M877="",$E877=""),"",ROUND($M877*IFERROR(IF(VLOOKUP($E877,Setup!$A$76:$C$87,3,FALSE)="",Setup!$B$15,VLOOKUP($E877,Setup!$A$76:$C$87,3,FALSE)),Setup!$B$15),2))</f>
        <v/>
      </c>
      <c r="P877" s="92" t="n"/>
      <c r="Q877" s="92" t="n"/>
      <c r="R877" s="92" t="n"/>
      <c r="S877" s="92" t="n"/>
      <c r="T877" s="92" t="n"/>
      <c r="U877" s="90">
        <f>IF($K877="","",SUM($R877:$T877))</f>
        <v/>
      </c>
      <c r="V877" s="90">
        <f>IF($K877="","",$M877-(N($N877)+N($O877)+IF($P877="",Setup!$B$17,$P877)+N($Q877))-N($U877))</f>
        <v/>
      </c>
      <c r="W877" s="87" t="n"/>
      <c r="X877" s="88" t="n"/>
      <c r="Z877" s="93">
        <f>IF($A877="","",DATE(YEAR($A877),MONTH($A877),1))</f>
        <v/>
      </c>
    </row>
    <row r="878">
      <c r="A878" s="94" t="n"/>
      <c r="B878" s="95" t="n"/>
      <c r="C878" s="95" t="n"/>
      <c r="D878" s="96" t="n"/>
      <c r="E878" s="96" t="n"/>
      <c r="F878" s="96" t="n"/>
      <c r="G878" s="96" t="n"/>
      <c r="H878" s="97" t="n"/>
      <c r="I878" s="90">
        <f>IF($G878="","",IF($F878="",IFERROR(INDEX(Setup!$C$21:$C$60,MATCH("|"&amp;UPPER(TRIM($G878)),Setup!$Q$21:$Q$60,0)),"NO RATE"),IFERROR(INDEX(Setup!$C$21:$C$60,MATCH(UPPER(TRIM($F878))&amp;"|"&amp;UPPER(TRIM($G878)),Setup!$P$21:$P$60,0)),IFERROR(INDEX(Setup!$C$21:$C$60,MATCH(UPPER(TRIM($G878))&amp;"|"&amp;UPPER(TRIM($F878)),Setup!$P$21:$P$60,0)),"NO RATE"))))</f>
        <v/>
      </c>
      <c r="J878" s="98" t="n"/>
      <c r="K878" s="90">
        <f>IF(OR($G878="",$H878="",NOT(ISNUMBER($I878))),"",ROUND($H878*$I878*(1+IF($J878="",Setup!$B$16,$J878)),2))</f>
        <v/>
      </c>
      <c r="L878" s="90">
        <f>IF($K878="","",ROUND($K878*Setup!$B$13,2))</f>
        <v/>
      </c>
      <c r="M878" s="90">
        <f>IF($K878="","",$K878-$L878)</f>
        <v/>
      </c>
      <c r="N878" s="90">
        <f>IF(OR($M878="",$D878=""),"",ROUND($M878*IFERROR(IF(VLOOKUP($D878,Setup!$A$76:$C$87,3,FALSE)="",Setup!$B$14,VLOOKUP($D878,Setup!$A$76:$C$87,3,FALSE)),Setup!$B$14),2))</f>
        <v/>
      </c>
      <c r="O878" s="90">
        <f>IF(OR($M878="",$E878=""),"",ROUND($M878*IFERROR(IF(VLOOKUP($E878,Setup!$A$76:$C$87,3,FALSE)="",Setup!$B$15,VLOOKUP($E878,Setup!$A$76:$C$87,3,FALSE)),Setup!$B$15),2))</f>
        <v/>
      </c>
      <c r="P878" s="99" t="n"/>
      <c r="Q878" s="99" t="n"/>
      <c r="R878" s="99" t="n"/>
      <c r="S878" s="99" t="n"/>
      <c r="T878" s="99" t="n"/>
      <c r="U878" s="90">
        <f>IF($K878="","",SUM($R878:$T878))</f>
        <v/>
      </c>
      <c r="V878" s="90">
        <f>IF($K878="","",$M878-(N($N878)+N($O878)+IF($P878="",Setup!$B$17,$P878)+N($Q878))-N($U878))</f>
        <v/>
      </c>
      <c r="W878" s="95" t="n"/>
      <c r="X878" s="96" t="n"/>
      <c r="Z878" s="93">
        <f>IF($A878="","",DATE(YEAR($A878),MONTH($A878),1))</f>
        <v/>
      </c>
    </row>
    <row r="879">
      <c r="A879" s="86" t="n"/>
      <c r="B879" s="87" t="n"/>
      <c r="C879" s="87" t="n"/>
      <c r="D879" s="88" t="n"/>
      <c r="E879" s="88" t="n"/>
      <c r="F879" s="88" t="n"/>
      <c r="G879" s="88" t="n"/>
      <c r="H879" s="89" t="n"/>
      <c r="I879" s="90">
        <f>IF($G879="","",IF($F879="",IFERROR(INDEX(Setup!$C$21:$C$60,MATCH("|"&amp;UPPER(TRIM($G879)),Setup!$Q$21:$Q$60,0)),"NO RATE"),IFERROR(INDEX(Setup!$C$21:$C$60,MATCH(UPPER(TRIM($F879))&amp;"|"&amp;UPPER(TRIM($G879)),Setup!$P$21:$P$60,0)),IFERROR(INDEX(Setup!$C$21:$C$60,MATCH(UPPER(TRIM($G879))&amp;"|"&amp;UPPER(TRIM($F879)),Setup!$P$21:$P$60,0)),"NO RATE"))))</f>
        <v/>
      </c>
      <c r="J879" s="91" t="n"/>
      <c r="K879" s="90">
        <f>IF(OR($G879="",$H879="",NOT(ISNUMBER($I879))),"",ROUND($H879*$I879*(1+IF($J879="",Setup!$B$16,$J879)),2))</f>
        <v/>
      </c>
      <c r="L879" s="90">
        <f>IF($K879="","",ROUND($K879*Setup!$B$13,2))</f>
        <v/>
      </c>
      <c r="M879" s="90">
        <f>IF($K879="","",$K879-$L879)</f>
        <v/>
      </c>
      <c r="N879" s="90">
        <f>IF(OR($M879="",$D879=""),"",ROUND($M879*IFERROR(IF(VLOOKUP($D879,Setup!$A$76:$C$87,3,FALSE)="",Setup!$B$14,VLOOKUP($D879,Setup!$A$76:$C$87,3,FALSE)),Setup!$B$14),2))</f>
        <v/>
      </c>
      <c r="O879" s="90">
        <f>IF(OR($M879="",$E879=""),"",ROUND($M879*IFERROR(IF(VLOOKUP($E879,Setup!$A$76:$C$87,3,FALSE)="",Setup!$B$15,VLOOKUP($E879,Setup!$A$76:$C$87,3,FALSE)),Setup!$B$15),2))</f>
        <v/>
      </c>
      <c r="P879" s="92" t="n"/>
      <c r="Q879" s="92" t="n"/>
      <c r="R879" s="92" t="n"/>
      <c r="S879" s="92" t="n"/>
      <c r="T879" s="92" t="n"/>
      <c r="U879" s="90">
        <f>IF($K879="","",SUM($R879:$T879))</f>
        <v/>
      </c>
      <c r="V879" s="90">
        <f>IF($K879="","",$M879-(N($N879)+N($O879)+IF($P879="",Setup!$B$17,$P879)+N($Q879))-N($U879))</f>
        <v/>
      </c>
      <c r="W879" s="87" t="n"/>
      <c r="X879" s="88" t="n"/>
      <c r="Z879" s="93">
        <f>IF($A879="","",DATE(YEAR($A879),MONTH($A879),1))</f>
        <v/>
      </c>
    </row>
    <row r="880">
      <c r="A880" s="94" t="n"/>
      <c r="B880" s="95" t="n"/>
      <c r="C880" s="95" t="n"/>
      <c r="D880" s="96" t="n"/>
      <c r="E880" s="96" t="n"/>
      <c r="F880" s="96" t="n"/>
      <c r="G880" s="96" t="n"/>
      <c r="H880" s="97" t="n"/>
      <c r="I880" s="90">
        <f>IF($G880="","",IF($F880="",IFERROR(INDEX(Setup!$C$21:$C$60,MATCH("|"&amp;UPPER(TRIM($G880)),Setup!$Q$21:$Q$60,0)),"NO RATE"),IFERROR(INDEX(Setup!$C$21:$C$60,MATCH(UPPER(TRIM($F880))&amp;"|"&amp;UPPER(TRIM($G880)),Setup!$P$21:$P$60,0)),IFERROR(INDEX(Setup!$C$21:$C$60,MATCH(UPPER(TRIM($G880))&amp;"|"&amp;UPPER(TRIM($F880)),Setup!$P$21:$P$60,0)),"NO RATE"))))</f>
        <v/>
      </c>
      <c r="J880" s="98" t="n"/>
      <c r="K880" s="90">
        <f>IF(OR($G880="",$H880="",NOT(ISNUMBER($I880))),"",ROUND($H880*$I880*(1+IF($J880="",Setup!$B$16,$J880)),2))</f>
        <v/>
      </c>
      <c r="L880" s="90">
        <f>IF($K880="","",ROUND($K880*Setup!$B$13,2))</f>
        <v/>
      </c>
      <c r="M880" s="90">
        <f>IF($K880="","",$K880-$L880)</f>
        <v/>
      </c>
      <c r="N880" s="90">
        <f>IF(OR($M880="",$D880=""),"",ROUND($M880*IFERROR(IF(VLOOKUP($D880,Setup!$A$76:$C$87,3,FALSE)="",Setup!$B$14,VLOOKUP($D880,Setup!$A$76:$C$87,3,FALSE)),Setup!$B$14),2))</f>
        <v/>
      </c>
      <c r="O880" s="90">
        <f>IF(OR($M880="",$E880=""),"",ROUND($M880*IFERROR(IF(VLOOKUP($E880,Setup!$A$76:$C$87,3,FALSE)="",Setup!$B$15,VLOOKUP($E880,Setup!$A$76:$C$87,3,FALSE)),Setup!$B$15),2))</f>
        <v/>
      </c>
      <c r="P880" s="99" t="n"/>
      <c r="Q880" s="99" t="n"/>
      <c r="R880" s="99" t="n"/>
      <c r="S880" s="99" t="n"/>
      <c r="T880" s="99" t="n"/>
      <c r="U880" s="90">
        <f>IF($K880="","",SUM($R880:$T880))</f>
        <v/>
      </c>
      <c r="V880" s="90">
        <f>IF($K880="","",$M880-(N($N880)+N($O880)+IF($P880="",Setup!$B$17,$P880)+N($Q880))-N($U880))</f>
        <v/>
      </c>
      <c r="W880" s="95" t="n"/>
      <c r="X880" s="96" t="n"/>
      <c r="Z880" s="93">
        <f>IF($A880="","",DATE(YEAR($A880),MONTH($A880),1))</f>
        <v/>
      </c>
    </row>
    <row r="881">
      <c r="A881" s="86" t="n"/>
      <c r="B881" s="87" t="n"/>
      <c r="C881" s="87" t="n"/>
      <c r="D881" s="88" t="n"/>
      <c r="E881" s="88" t="n"/>
      <c r="F881" s="88" t="n"/>
      <c r="G881" s="88" t="n"/>
      <c r="H881" s="89" t="n"/>
      <c r="I881" s="90">
        <f>IF($G881="","",IF($F881="",IFERROR(INDEX(Setup!$C$21:$C$60,MATCH("|"&amp;UPPER(TRIM($G881)),Setup!$Q$21:$Q$60,0)),"NO RATE"),IFERROR(INDEX(Setup!$C$21:$C$60,MATCH(UPPER(TRIM($F881))&amp;"|"&amp;UPPER(TRIM($G881)),Setup!$P$21:$P$60,0)),IFERROR(INDEX(Setup!$C$21:$C$60,MATCH(UPPER(TRIM($G881))&amp;"|"&amp;UPPER(TRIM($F881)),Setup!$P$21:$P$60,0)),"NO RATE"))))</f>
        <v/>
      </c>
      <c r="J881" s="91" t="n"/>
      <c r="K881" s="90">
        <f>IF(OR($G881="",$H881="",NOT(ISNUMBER($I881))),"",ROUND($H881*$I881*(1+IF($J881="",Setup!$B$16,$J881)),2))</f>
        <v/>
      </c>
      <c r="L881" s="90">
        <f>IF($K881="","",ROUND($K881*Setup!$B$13,2))</f>
        <v/>
      </c>
      <c r="M881" s="90">
        <f>IF($K881="","",$K881-$L881)</f>
        <v/>
      </c>
      <c r="N881" s="90">
        <f>IF(OR($M881="",$D881=""),"",ROUND($M881*IFERROR(IF(VLOOKUP($D881,Setup!$A$76:$C$87,3,FALSE)="",Setup!$B$14,VLOOKUP($D881,Setup!$A$76:$C$87,3,FALSE)),Setup!$B$14),2))</f>
        <v/>
      </c>
      <c r="O881" s="90">
        <f>IF(OR($M881="",$E881=""),"",ROUND($M881*IFERROR(IF(VLOOKUP($E881,Setup!$A$76:$C$87,3,FALSE)="",Setup!$B$15,VLOOKUP($E881,Setup!$A$76:$C$87,3,FALSE)),Setup!$B$15),2))</f>
        <v/>
      </c>
      <c r="P881" s="92" t="n"/>
      <c r="Q881" s="92" t="n"/>
      <c r="R881" s="92" t="n"/>
      <c r="S881" s="92" t="n"/>
      <c r="T881" s="92" t="n"/>
      <c r="U881" s="90">
        <f>IF($K881="","",SUM($R881:$T881))</f>
        <v/>
      </c>
      <c r="V881" s="90">
        <f>IF($K881="","",$M881-(N($N881)+N($O881)+IF($P881="",Setup!$B$17,$P881)+N($Q881))-N($U881))</f>
        <v/>
      </c>
      <c r="W881" s="87" t="n"/>
      <c r="X881" s="88" t="n"/>
      <c r="Z881" s="93">
        <f>IF($A881="","",DATE(YEAR($A881),MONTH($A881),1))</f>
        <v/>
      </c>
    </row>
    <row r="882">
      <c r="A882" s="94" t="n"/>
      <c r="B882" s="95" t="n"/>
      <c r="C882" s="95" t="n"/>
      <c r="D882" s="96" t="n"/>
      <c r="E882" s="96" t="n"/>
      <c r="F882" s="96" t="n"/>
      <c r="G882" s="96" t="n"/>
      <c r="H882" s="97" t="n"/>
      <c r="I882" s="90">
        <f>IF($G882="","",IF($F882="",IFERROR(INDEX(Setup!$C$21:$C$60,MATCH("|"&amp;UPPER(TRIM($G882)),Setup!$Q$21:$Q$60,0)),"NO RATE"),IFERROR(INDEX(Setup!$C$21:$C$60,MATCH(UPPER(TRIM($F882))&amp;"|"&amp;UPPER(TRIM($G882)),Setup!$P$21:$P$60,0)),IFERROR(INDEX(Setup!$C$21:$C$60,MATCH(UPPER(TRIM($G882))&amp;"|"&amp;UPPER(TRIM($F882)),Setup!$P$21:$P$60,0)),"NO RATE"))))</f>
        <v/>
      </c>
      <c r="J882" s="98" t="n"/>
      <c r="K882" s="90">
        <f>IF(OR($G882="",$H882="",NOT(ISNUMBER($I882))),"",ROUND($H882*$I882*(1+IF($J882="",Setup!$B$16,$J882)),2))</f>
        <v/>
      </c>
      <c r="L882" s="90">
        <f>IF($K882="","",ROUND($K882*Setup!$B$13,2))</f>
        <v/>
      </c>
      <c r="M882" s="90">
        <f>IF($K882="","",$K882-$L882)</f>
        <v/>
      </c>
      <c r="N882" s="90">
        <f>IF(OR($M882="",$D882=""),"",ROUND($M882*IFERROR(IF(VLOOKUP($D882,Setup!$A$76:$C$87,3,FALSE)="",Setup!$B$14,VLOOKUP($D882,Setup!$A$76:$C$87,3,FALSE)),Setup!$B$14),2))</f>
        <v/>
      </c>
      <c r="O882" s="90">
        <f>IF(OR($M882="",$E882=""),"",ROUND($M882*IFERROR(IF(VLOOKUP($E882,Setup!$A$76:$C$87,3,FALSE)="",Setup!$B$15,VLOOKUP($E882,Setup!$A$76:$C$87,3,FALSE)),Setup!$B$15),2))</f>
        <v/>
      </c>
      <c r="P882" s="99" t="n"/>
      <c r="Q882" s="99" t="n"/>
      <c r="R882" s="99" t="n"/>
      <c r="S882" s="99" t="n"/>
      <c r="T882" s="99" t="n"/>
      <c r="U882" s="90">
        <f>IF($K882="","",SUM($R882:$T882))</f>
        <v/>
      </c>
      <c r="V882" s="90">
        <f>IF($K882="","",$M882-(N($N882)+N($O882)+IF($P882="",Setup!$B$17,$P882)+N($Q882))-N($U882))</f>
        <v/>
      </c>
      <c r="W882" s="95" t="n"/>
      <c r="X882" s="96" t="n"/>
      <c r="Z882" s="93">
        <f>IF($A882="","",DATE(YEAR($A882),MONTH($A882),1))</f>
        <v/>
      </c>
    </row>
    <row r="883">
      <c r="A883" s="86" t="n"/>
      <c r="B883" s="87" t="n"/>
      <c r="C883" s="87" t="n"/>
      <c r="D883" s="88" t="n"/>
      <c r="E883" s="88" t="n"/>
      <c r="F883" s="88" t="n"/>
      <c r="G883" s="88" t="n"/>
      <c r="H883" s="89" t="n"/>
      <c r="I883" s="90">
        <f>IF($G883="","",IF($F883="",IFERROR(INDEX(Setup!$C$21:$C$60,MATCH("|"&amp;UPPER(TRIM($G883)),Setup!$Q$21:$Q$60,0)),"NO RATE"),IFERROR(INDEX(Setup!$C$21:$C$60,MATCH(UPPER(TRIM($F883))&amp;"|"&amp;UPPER(TRIM($G883)),Setup!$P$21:$P$60,0)),IFERROR(INDEX(Setup!$C$21:$C$60,MATCH(UPPER(TRIM($G883))&amp;"|"&amp;UPPER(TRIM($F883)),Setup!$P$21:$P$60,0)),"NO RATE"))))</f>
        <v/>
      </c>
      <c r="J883" s="91" t="n"/>
      <c r="K883" s="90">
        <f>IF(OR($G883="",$H883="",NOT(ISNUMBER($I883))),"",ROUND($H883*$I883*(1+IF($J883="",Setup!$B$16,$J883)),2))</f>
        <v/>
      </c>
      <c r="L883" s="90">
        <f>IF($K883="","",ROUND($K883*Setup!$B$13,2))</f>
        <v/>
      </c>
      <c r="M883" s="90">
        <f>IF($K883="","",$K883-$L883)</f>
        <v/>
      </c>
      <c r="N883" s="90">
        <f>IF(OR($M883="",$D883=""),"",ROUND($M883*IFERROR(IF(VLOOKUP($D883,Setup!$A$76:$C$87,3,FALSE)="",Setup!$B$14,VLOOKUP($D883,Setup!$A$76:$C$87,3,FALSE)),Setup!$B$14),2))</f>
        <v/>
      </c>
      <c r="O883" s="90">
        <f>IF(OR($M883="",$E883=""),"",ROUND($M883*IFERROR(IF(VLOOKUP($E883,Setup!$A$76:$C$87,3,FALSE)="",Setup!$B$15,VLOOKUP($E883,Setup!$A$76:$C$87,3,FALSE)),Setup!$B$15),2))</f>
        <v/>
      </c>
      <c r="P883" s="92" t="n"/>
      <c r="Q883" s="92" t="n"/>
      <c r="R883" s="92" t="n"/>
      <c r="S883" s="92" t="n"/>
      <c r="T883" s="92" t="n"/>
      <c r="U883" s="90">
        <f>IF($K883="","",SUM($R883:$T883))</f>
        <v/>
      </c>
      <c r="V883" s="90">
        <f>IF($K883="","",$M883-(N($N883)+N($O883)+IF($P883="",Setup!$B$17,$P883)+N($Q883))-N($U883))</f>
        <v/>
      </c>
      <c r="W883" s="87" t="n"/>
      <c r="X883" s="88" t="n"/>
      <c r="Z883" s="93">
        <f>IF($A883="","",DATE(YEAR($A883),MONTH($A883),1))</f>
        <v/>
      </c>
    </row>
    <row r="884">
      <c r="A884" s="94" t="n"/>
      <c r="B884" s="95" t="n"/>
      <c r="C884" s="95" t="n"/>
      <c r="D884" s="96" t="n"/>
      <c r="E884" s="96" t="n"/>
      <c r="F884" s="96" t="n"/>
      <c r="G884" s="96" t="n"/>
      <c r="H884" s="97" t="n"/>
      <c r="I884" s="90">
        <f>IF($G884="","",IF($F884="",IFERROR(INDEX(Setup!$C$21:$C$60,MATCH("|"&amp;UPPER(TRIM($G884)),Setup!$Q$21:$Q$60,0)),"NO RATE"),IFERROR(INDEX(Setup!$C$21:$C$60,MATCH(UPPER(TRIM($F884))&amp;"|"&amp;UPPER(TRIM($G884)),Setup!$P$21:$P$60,0)),IFERROR(INDEX(Setup!$C$21:$C$60,MATCH(UPPER(TRIM($G884))&amp;"|"&amp;UPPER(TRIM($F884)),Setup!$P$21:$P$60,0)),"NO RATE"))))</f>
        <v/>
      </c>
      <c r="J884" s="98" t="n"/>
      <c r="K884" s="90">
        <f>IF(OR($G884="",$H884="",NOT(ISNUMBER($I884))),"",ROUND($H884*$I884*(1+IF($J884="",Setup!$B$16,$J884)),2))</f>
        <v/>
      </c>
      <c r="L884" s="90">
        <f>IF($K884="","",ROUND($K884*Setup!$B$13,2))</f>
        <v/>
      </c>
      <c r="M884" s="90">
        <f>IF($K884="","",$K884-$L884)</f>
        <v/>
      </c>
      <c r="N884" s="90">
        <f>IF(OR($M884="",$D884=""),"",ROUND($M884*IFERROR(IF(VLOOKUP($D884,Setup!$A$76:$C$87,3,FALSE)="",Setup!$B$14,VLOOKUP($D884,Setup!$A$76:$C$87,3,FALSE)),Setup!$B$14),2))</f>
        <v/>
      </c>
      <c r="O884" s="90">
        <f>IF(OR($M884="",$E884=""),"",ROUND($M884*IFERROR(IF(VLOOKUP($E884,Setup!$A$76:$C$87,3,FALSE)="",Setup!$B$15,VLOOKUP($E884,Setup!$A$76:$C$87,3,FALSE)),Setup!$B$15),2))</f>
        <v/>
      </c>
      <c r="P884" s="99" t="n"/>
      <c r="Q884" s="99" t="n"/>
      <c r="R884" s="99" t="n"/>
      <c r="S884" s="99" t="n"/>
      <c r="T884" s="99" t="n"/>
      <c r="U884" s="90">
        <f>IF($K884="","",SUM($R884:$T884))</f>
        <v/>
      </c>
      <c r="V884" s="90">
        <f>IF($K884="","",$M884-(N($N884)+N($O884)+IF($P884="",Setup!$B$17,$P884)+N($Q884))-N($U884))</f>
        <v/>
      </c>
      <c r="W884" s="95" t="n"/>
      <c r="X884" s="96" t="n"/>
      <c r="Z884" s="93">
        <f>IF($A884="","",DATE(YEAR($A884),MONTH($A884),1))</f>
        <v/>
      </c>
    </row>
    <row r="885">
      <c r="A885" s="86" t="n"/>
      <c r="B885" s="87" t="n"/>
      <c r="C885" s="87" t="n"/>
      <c r="D885" s="88" t="n"/>
      <c r="E885" s="88" t="n"/>
      <c r="F885" s="88" t="n"/>
      <c r="G885" s="88" t="n"/>
      <c r="H885" s="89" t="n"/>
      <c r="I885" s="90">
        <f>IF($G885="","",IF($F885="",IFERROR(INDEX(Setup!$C$21:$C$60,MATCH("|"&amp;UPPER(TRIM($G885)),Setup!$Q$21:$Q$60,0)),"NO RATE"),IFERROR(INDEX(Setup!$C$21:$C$60,MATCH(UPPER(TRIM($F885))&amp;"|"&amp;UPPER(TRIM($G885)),Setup!$P$21:$P$60,0)),IFERROR(INDEX(Setup!$C$21:$C$60,MATCH(UPPER(TRIM($G885))&amp;"|"&amp;UPPER(TRIM($F885)),Setup!$P$21:$P$60,0)),"NO RATE"))))</f>
        <v/>
      </c>
      <c r="J885" s="91" t="n"/>
      <c r="K885" s="90">
        <f>IF(OR($G885="",$H885="",NOT(ISNUMBER($I885))),"",ROUND($H885*$I885*(1+IF($J885="",Setup!$B$16,$J885)),2))</f>
        <v/>
      </c>
      <c r="L885" s="90">
        <f>IF($K885="","",ROUND($K885*Setup!$B$13,2))</f>
        <v/>
      </c>
      <c r="M885" s="90">
        <f>IF($K885="","",$K885-$L885)</f>
        <v/>
      </c>
      <c r="N885" s="90">
        <f>IF(OR($M885="",$D885=""),"",ROUND($M885*IFERROR(IF(VLOOKUP($D885,Setup!$A$76:$C$87,3,FALSE)="",Setup!$B$14,VLOOKUP($D885,Setup!$A$76:$C$87,3,FALSE)),Setup!$B$14),2))</f>
        <v/>
      </c>
      <c r="O885" s="90">
        <f>IF(OR($M885="",$E885=""),"",ROUND($M885*IFERROR(IF(VLOOKUP($E885,Setup!$A$76:$C$87,3,FALSE)="",Setup!$B$15,VLOOKUP($E885,Setup!$A$76:$C$87,3,FALSE)),Setup!$B$15),2))</f>
        <v/>
      </c>
      <c r="P885" s="92" t="n"/>
      <c r="Q885" s="92" t="n"/>
      <c r="R885" s="92" t="n"/>
      <c r="S885" s="92" t="n"/>
      <c r="T885" s="92" t="n"/>
      <c r="U885" s="90">
        <f>IF($K885="","",SUM($R885:$T885))</f>
        <v/>
      </c>
      <c r="V885" s="90">
        <f>IF($K885="","",$M885-(N($N885)+N($O885)+IF($P885="",Setup!$B$17,$P885)+N($Q885))-N($U885))</f>
        <v/>
      </c>
      <c r="W885" s="87" t="n"/>
      <c r="X885" s="88" t="n"/>
      <c r="Z885" s="93">
        <f>IF($A885="","",DATE(YEAR($A885),MONTH($A885),1))</f>
        <v/>
      </c>
    </row>
    <row r="886">
      <c r="A886" s="94" t="n"/>
      <c r="B886" s="95" t="n"/>
      <c r="C886" s="95" t="n"/>
      <c r="D886" s="96" t="n"/>
      <c r="E886" s="96" t="n"/>
      <c r="F886" s="96" t="n"/>
      <c r="G886" s="96" t="n"/>
      <c r="H886" s="97" t="n"/>
      <c r="I886" s="90">
        <f>IF($G886="","",IF($F886="",IFERROR(INDEX(Setup!$C$21:$C$60,MATCH("|"&amp;UPPER(TRIM($G886)),Setup!$Q$21:$Q$60,0)),"NO RATE"),IFERROR(INDEX(Setup!$C$21:$C$60,MATCH(UPPER(TRIM($F886))&amp;"|"&amp;UPPER(TRIM($G886)),Setup!$P$21:$P$60,0)),IFERROR(INDEX(Setup!$C$21:$C$60,MATCH(UPPER(TRIM($G886))&amp;"|"&amp;UPPER(TRIM($F886)),Setup!$P$21:$P$60,0)),"NO RATE"))))</f>
        <v/>
      </c>
      <c r="J886" s="98" t="n"/>
      <c r="K886" s="90">
        <f>IF(OR($G886="",$H886="",NOT(ISNUMBER($I886))),"",ROUND($H886*$I886*(1+IF($J886="",Setup!$B$16,$J886)),2))</f>
        <v/>
      </c>
      <c r="L886" s="90">
        <f>IF($K886="","",ROUND($K886*Setup!$B$13,2))</f>
        <v/>
      </c>
      <c r="M886" s="90">
        <f>IF($K886="","",$K886-$L886)</f>
        <v/>
      </c>
      <c r="N886" s="90">
        <f>IF(OR($M886="",$D886=""),"",ROUND($M886*IFERROR(IF(VLOOKUP($D886,Setup!$A$76:$C$87,3,FALSE)="",Setup!$B$14,VLOOKUP($D886,Setup!$A$76:$C$87,3,FALSE)),Setup!$B$14),2))</f>
        <v/>
      </c>
      <c r="O886" s="90">
        <f>IF(OR($M886="",$E886=""),"",ROUND($M886*IFERROR(IF(VLOOKUP($E886,Setup!$A$76:$C$87,3,FALSE)="",Setup!$B$15,VLOOKUP($E886,Setup!$A$76:$C$87,3,FALSE)),Setup!$B$15),2))</f>
        <v/>
      </c>
      <c r="P886" s="99" t="n"/>
      <c r="Q886" s="99" t="n"/>
      <c r="R886" s="99" t="n"/>
      <c r="S886" s="99" t="n"/>
      <c r="T886" s="99" t="n"/>
      <c r="U886" s="90">
        <f>IF($K886="","",SUM($R886:$T886))</f>
        <v/>
      </c>
      <c r="V886" s="90">
        <f>IF($K886="","",$M886-(N($N886)+N($O886)+IF($P886="",Setup!$B$17,$P886)+N($Q886))-N($U886))</f>
        <v/>
      </c>
      <c r="W886" s="95" t="n"/>
      <c r="X886" s="96" t="n"/>
      <c r="Z886" s="93">
        <f>IF($A886="","",DATE(YEAR($A886),MONTH($A886),1))</f>
        <v/>
      </c>
    </row>
    <row r="887">
      <c r="A887" s="86" t="n"/>
      <c r="B887" s="87" t="n"/>
      <c r="C887" s="87" t="n"/>
      <c r="D887" s="88" t="n"/>
      <c r="E887" s="88" t="n"/>
      <c r="F887" s="88" t="n"/>
      <c r="G887" s="88" t="n"/>
      <c r="H887" s="89" t="n"/>
      <c r="I887" s="90">
        <f>IF($G887="","",IF($F887="",IFERROR(INDEX(Setup!$C$21:$C$60,MATCH("|"&amp;UPPER(TRIM($G887)),Setup!$Q$21:$Q$60,0)),"NO RATE"),IFERROR(INDEX(Setup!$C$21:$C$60,MATCH(UPPER(TRIM($F887))&amp;"|"&amp;UPPER(TRIM($G887)),Setup!$P$21:$P$60,0)),IFERROR(INDEX(Setup!$C$21:$C$60,MATCH(UPPER(TRIM($G887))&amp;"|"&amp;UPPER(TRIM($F887)),Setup!$P$21:$P$60,0)),"NO RATE"))))</f>
        <v/>
      </c>
      <c r="J887" s="91" t="n"/>
      <c r="K887" s="90">
        <f>IF(OR($G887="",$H887="",NOT(ISNUMBER($I887))),"",ROUND($H887*$I887*(1+IF($J887="",Setup!$B$16,$J887)),2))</f>
        <v/>
      </c>
      <c r="L887" s="90">
        <f>IF($K887="","",ROUND($K887*Setup!$B$13,2))</f>
        <v/>
      </c>
      <c r="M887" s="90">
        <f>IF($K887="","",$K887-$L887)</f>
        <v/>
      </c>
      <c r="N887" s="90">
        <f>IF(OR($M887="",$D887=""),"",ROUND($M887*IFERROR(IF(VLOOKUP($D887,Setup!$A$76:$C$87,3,FALSE)="",Setup!$B$14,VLOOKUP($D887,Setup!$A$76:$C$87,3,FALSE)),Setup!$B$14),2))</f>
        <v/>
      </c>
      <c r="O887" s="90">
        <f>IF(OR($M887="",$E887=""),"",ROUND($M887*IFERROR(IF(VLOOKUP($E887,Setup!$A$76:$C$87,3,FALSE)="",Setup!$B$15,VLOOKUP($E887,Setup!$A$76:$C$87,3,FALSE)),Setup!$B$15),2))</f>
        <v/>
      </c>
      <c r="P887" s="92" t="n"/>
      <c r="Q887" s="92" t="n"/>
      <c r="R887" s="92" t="n"/>
      <c r="S887" s="92" t="n"/>
      <c r="T887" s="92" t="n"/>
      <c r="U887" s="90">
        <f>IF($K887="","",SUM($R887:$T887))</f>
        <v/>
      </c>
      <c r="V887" s="90">
        <f>IF($K887="","",$M887-(N($N887)+N($O887)+IF($P887="",Setup!$B$17,$P887)+N($Q887))-N($U887))</f>
        <v/>
      </c>
      <c r="W887" s="87" t="n"/>
      <c r="X887" s="88" t="n"/>
      <c r="Z887" s="93">
        <f>IF($A887="","",DATE(YEAR($A887),MONTH($A887),1))</f>
        <v/>
      </c>
    </row>
    <row r="888">
      <c r="A888" s="94" t="n"/>
      <c r="B888" s="95" t="n"/>
      <c r="C888" s="95" t="n"/>
      <c r="D888" s="96" t="n"/>
      <c r="E888" s="96" t="n"/>
      <c r="F888" s="96" t="n"/>
      <c r="G888" s="96" t="n"/>
      <c r="H888" s="97" t="n"/>
      <c r="I888" s="90">
        <f>IF($G888="","",IF($F888="",IFERROR(INDEX(Setup!$C$21:$C$60,MATCH("|"&amp;UPPER(TRIM($G888)),Setup!$Q$21:$Q$60,0)),"NO RATE"),IFERROR(INDEX(Setup!$C$21:$C$60,MATCH(UPPER(TRIM($F888))&amp;"|"&amp;UPPER(TRIM($G888)),Setup!$P$21:$P$60,0)),IFERROR(INDEX(Setup!$C$21:$C$60,MATCH(UPPER(TRIM($G888))&amp;"|"&amp;UPPER(TRIM($F888)),Setup!$P$21:$P$60,0)),"NO RATE"))))</f>
        <v/>
      </c>
      <c r="J888" s="98" t="n"/>
      <c r="K888" s="90">
        <f>IF(OR($G888="",$H888="",NOT(ISNUMBER($I888))),"",ROUND($H888*$I888*(1+IF($J888="",Setup!$B$16,$J888)),2))</f>
        <v/>
      </c>
      <c r="L888" s="90">
        <f>IF($K888="","",ROUND($K888*Setup!$B$13,2))</f>
        <v/>
      </c>
      <c r="M888" s="90">
        <f>IF($K888="","",$K888-$L888)</f>
        <v/>
      </c>
      <c r="N888" s="90">
        <f>IF(OR($M888="",$D888=""),"",ROUND($M888*IFERROR(IF(VLOOKUP($D888,Setup!$A$76:$C$87,3,FALSE)="",Setup!$B$14,VLOOKUP($D888,Setup!$A$76:$C$87,3,FALSE)),Setup!$B$14),2))</f>
        <v/>
      </c>
      <c r="O888" s="90">
        <f>IF(OR($M888="",$E888=""),"",ROUND($M888*IFERROR(IF(VLOOKUP($E888,Setup!$A$76:$C$87,3,FALSE)="",Setup!$B$15,VLOOKUP($E888,Setup!$A$76:$C$87,3,FALSE)),Setup!$B$15),2))</f>
        <v/>
      </c>
      <c r="P888" s="99" t="n"/>
      <c r="Q888" s="99" t="n"/>
      <c r="R888" s="99" t="n"/>
      <c r="S888" s="99" t="n"/>
      <c r="T888" s="99" t="n"/>
      <c r="U888" s="90">
        <f>IF($K888="","",SUM($R888:$T888))</f>
        <v/>
      </c>
      <c r="V888" s="90">
        <f>IF($K888="","",$M888-(N($N888)+N($O888)+IF($P888="",Setup!$B$17,$P888)+N($Q888))-N($U888))</f>
        <v/>
      </c>
      <c r="W888" s="95" t="n"/>
      <c r="X888" s="96" t="n"/>
      <c r="Z888" s="93">
        <f>IF($A888="","",DATE(YEAR($A888),MONTH($A888),1))</f>
        <v/>
      </c>
    </row>
    <row r="889">
      <c r="A889" s="86" t="n"/>
      <c r="B889" s="87" t="n"/>
      <c r="C889" s="87" t="n"/>
      <c r="D889" s="88" t="n"/>
      <c r="E889" s="88" t="n"/>
      <c r="F889" s="88" t="n"/>
      <c r="G889" s="88" t="n"/>
      <c r="H889" s="89" t="n"/>
      <c r="I889" s="90">
        <f>IF($G889="","",IF($F889="",IFERROR(INDEX(Setup!$C$21:$C$60,MATCH("|"&amp;UPPER(TRIM($G889)),Setup!$Q$21:$Q$60,0)),"NO RATE"),IFERROR(INDEX(Setup!$C$21:$C$60,MATCH(UPPER(TRIM($F889))&amp;"|"&amp;UPPER(TRIM($G889)),Setup!$P$21:$P$60,0)),IFERROR(INDEX(Setup!$C$21:$C$60,MATCH(UPPER(TRIM($G889))&amp;"|"&amp;UPPER(TRIM($F889)),Setup!$P$21:$P$60,0)),"NO RATE"))))</f>
        <v/>
      </c>
      <c r="J889" s="91" t="n"/>
      <c r="K889" s="90">
        <f>IF(OR($G889="",$H889="",NOT(ISNUMBER($I889))),"",ROUND($H889*$I889*(1+IF($J889="",Setup!$B$16,$J889)),2))</f>
        <v/>
      </c>
      <c r="L889" s="90">
        <f>IF($K889="","",ROUND($K889*Setup!$B$13,2))</f>
        <v/>
      </c>
      <c r="M889" s="90">
        <f>IF($K889="","",$K889-$L889)</f>
        <v/>
      </c>
      <c r="N889" s="90">
        <f>IF(OR($M889="",$D889=""),"",ROUND($M889*IFERROR(IF(VLOOKUP($D889,Setup!$A$76:$C$87,3,FALSE)="",Setup!$B$14,VLOOKUP($D889,Setup!$A$76:$C$87,3,FALSE)),Setup!$B$14),2))</f>
        <v/>
      </c>
      <c r="O889" s="90">
        <f>IF(OR($M889="",$E889=""),"",ROUND($M889*IFERROR(IF(VLOOKUP($E889,Setup!$A$76:$C$87,3,FALSE)="",Setup!$B$15,VLOOKUP($E889,Setup!$A$76:$C$87,3,FALSE)),Setup!$B$15),2))</f>
        <v/>
      </c>
      <c r="P889" s="92" t="n"/>
      <c r="Q889" s="92" t="n"/>
      <c r="R889" s="92" t="n"/>
      <c r="S889" s="92" t="n"/>
      <c r="T889" s="92" t="n"/>
      <c r="U889" s="90">
        <f>IF($K889="","",SUM($R889:$T889))</f>
        <v/>
      </c>
      <c r="V889" s="90">
        <f>IF($K889="","",$M889-(N($N889)+N($O889)+IF($P889="",Setup!$B$17,$P889)+N($Q889))-N($U889))</f>
        <v/>
      </c>
      <c r="W889" s="87" t="n"/>
      <c r="X889" s="88" t="n"/>
      <c r="Z889" s="93">
        <f>IF($A889="","",DATE(YEAR($A889),MONTH($A889),1))</f>
        <v/>
      </c>
    </row>
    <row r="890">
      <c r="A890" s="94" t="n"/>
      <c r="B890" s="95" t="n"/>
      <c r="C890" s="95" t="n"/>
      <c r="D890" s="96" t="n"/>
      <c r="E890" s="96" t="n"/>
      <c r="F890" s="96" t="n"/>
      <c r="G890" s="96" t="n"/>
      <c r="H890" s="97" t="n"/>
      <c r="I890" s="90">
        <f>IF($G890="","",IF($F890="",IFERROR(INDEX(Setup!$C$21:$C$60,MATCH("|"&amp;UPPER(TRIM($G890)),Setup!$Q$21:$Q$60,0)),"NO RATE"),IFERROR(INDEX(Setup!$C$21:$C$60,MATCH(UPPER(TRIM($F890))&amp;"|"&amp;UPPER(TRIM($G890)),Setup!$P$21:$P$60,0)),IFERROR(INDEX(Setup!$C$21:$C$60,MATCH(UPPER(TRIM($G890))&amp;"|"&amp;UPPER(TRIM($F890)),Setup!$P$21:$P$60,0)),"NO RATE"))))</f>
        <v/>
      </c>
      <c r="J890" s="98" t="n"/>
      <c r="K890" s="90">
        <f>IF(OR($G890="",$H890="",NOT(ISNUMBER($I890))),"",ROUND($H890*$I890*(1+IF($J890="",Setup!$B$16,$J890)),2))</f>
        <v/>
      </c>
      <c r="L890" s="90">
        <f>IF($K890="","",ROUND($K890*Setup!$B$13,2))</f>
        <v/>
      </c>
      <c r="M890" s="90">
        <f>IF($K890="","",$K890-$L890)</f>
        <v/>
      </c>
      <c r="N890" s="90">
        <f>IF(OR($M890="",$D890=""),"",ROUND($M890*IFERROR(IF(VLOOKUP($D890,Setup!$A$76:$C$87,3,FALSE)="",Setup!$B$14,VLOOKUP($D890,Setup!$A$76:$C$87,3,FALSE)),Setup!$B$14),2))</f>
        <v/>
      </c>
      <c r="O890" s="90">
        <f>IF(OR($M890="",$E890=""),"",ROUND($M890*IFERROR(IF(VLOOKUP($E890,Setup!$A$76:$C$87,3,FALSE)="",Setup!$B$15,VLOOKUP($E890,Setup!$A$76:$C$87,3,FALSE)),Setup!$B$15),2))</f>
        <v/>
      </c>
      <c r="P890" s="99" t="n"/>
      <c r="Q890" s="99" t="n"/>
      <c r="R890" s="99" t="n"/>
      <c r="S890" s="99" t="n"/>
      <c r="T890" s="99" t="n"/>
      <c r="U890" s="90">
        <f>IF($K890="","",SUM($R890:$T890))</f>
        <v/>
      </c>
      <c r="V890" s="90">
        <f>IF($K890="","",$M890-(N($N890)+N($O890)+IF($P890="",Setup!$B$17,$P890)+N($Q890))-N($U890))</f>
        <v/>
      </c>
      <c r="W890" s="95" t="n"/>
      <c r="X890" s="96" t="n"/>
      <c r="Z890" s="93">
        <f>IF($A890="","",DATE(YEAR($A890),MONTH($A890),1))</f>
        <v/>
      </c>
    </row>
    <row r="891">
      <c r="A891" s="86" t="n"/>
      <c r="B891" s="87" t="n"/>
      <c r="C891" s="87" t="n"/>
      <c r="D891" s="88" t="n"/>
      <c r="E891" s="88" t="n"/>
      <c r="F891" s="88" t="n"/>
      <c r="G891" s="88" t="n"/>
      <c r="H891" s="89" t="n"/>
      <c r="I891" s="90">
        <f>IF($G891="","",IF($F891="",IFERROR(INDEX(Setup!$C$21:$C$60,MATCH("|"&amp;UPPER(TRIM($G891)),Setup!$Q$21:$Q$60,0)),"NO RATE"),IFERROR(INDEX(Setup!$C$21:$C$60,MATCH(UPPER(TRIM($F891))&amp;"|"&amp;UPPER(TRIM($G891)),Setup!$P$21:$P$60,0)),IFERROR(INDEX(Setup!$C$21:$C$60,MATCH(UPPER(TRIM($G891))&amp;"|"&amp;UPPER(TRIM($F891)),Setup!$P$21:$P$60,0)),"NO RATE"))))</f>
        <v/>
      </c>
      <c r="J891" s="91" t="n"/>
      <c r="K891" s="90">
        <f>IF(OR($G891="",$H891="",NOT(ISNUMBER($I891))),"",ROUND($H891*$I891*(1+IF($J891="",Setup!$B$16,$J891)),2))</f>
        <v/>
      </c>
      <c r="L891" s="90">
        <f>IF($K891="","",ROUND($K891*Setup!$B$13,2))</f>
        <v/>
      </c>
      <c r="M891" s="90">
        <f>IF($K891="","",$K891-$L891)</f>
        <v/>
      </c>
      <c r="N891" s="90">
        <f>IF(OR($M891="",$D891=""),"",ROUND($M891*IFERROR(IF(VLOOKUP($D891,Setup!$A$76:$C$87,3,FALSE)="",Setup!$B$14,VLOOKUP($D891,Setup!$A$76:$C$87,3,FALSE)),Setup!$B$14),2))</f>
        <v/>
      </c>
      <c r="O891" s="90">
        <f>IF(OR($M891="",$E891=""),"",ROUND($M891*IFERROR(IF(VLOOKUP($E891,Setup!$A$76:$C$87,3,FALSE)="",Setup!$B$15,VLOOKUP($E891,Setup!$A$76:$C$87,3,FALSE)),Setup!$B$15),2))</f>
        <v/>
      </c>
      <c r="P891" s="92" t="n"/>
      <c r="Q891" s="92" t="n"/>
      <c r="R891" s="92" t="n"/>
      <c r="S891" s="92" t="n"/>
      <c r="T891" s="92" t="n"/>
      <c r="U891" s="90">
        <f>IF($K891="","",SUM($R891:$T891))</f>
        <v/>
      </c>
      <c r="V891" s="90">
        <f>IF($K891="","",$M891-(N($N891)+N($O891)+IF($P891="",Setup!$B$17,$P891)+N($Q891))-N($U891))</f>
        <v/>
      </c>
      <c r="W891" s="87" t="n"/>
      <c r="X891" s="88" t="n"/>
      <c r="Z891" s="93">
        <f>IF($A891="","",DATE(YEAR($A891),MONTH($A891),1))</f>
        <v/>
      </c>
    </row>
    <row r="892">
      <c r="A892" s="94" t="n"/>
      <c r="B892" s="95" t="n"/>
      <c r="C892" s="95" t="n"/>
      <c r="D892" s="96" t="n"/>
      <c r="E892" s="96" t="n"/>
      <c r="F892" s="96" t="n"/>
      <c r="G892" s="96" t="n"/>
      <c r="H892" s="97" t="n"/>
      <c r="I892" s="90">
        <f>IF($G892="","",IF($F892="",IFERROR(INDEX(Setup!$C$21:$C$60,MATCH("|"&amp;UPPER(TRIM($G892)),Setup!$Q$21:$Q$60,0)),"NO RATE"),IFERROR(INDEX(Setup!$C$21:$C$60,MATCH(UPPER(TRIM($F892))&amp;"|"&amp;UPPER(TRIM($G892)),Setup!$P$21:$P$60,0)),IFERROR(INDEX(Setup!$C$21:$C$60,MATCH(UPPER(TRIM($G892))&amp;"|"&amp;UPPER(TRIM($F892)),Setup!$P$21:$P$60,0)),"NO RATE"))))</f>
        <v/>
      </c>
      <c r="J892" s="98" t="n"/>
      <c r="K892" s="90">
        <f>IF(OR($G892="",$H892="",NOT(ISNUMBER($I892))),"",ROUND($H892*$I892*(1+IF($J892="",Setup!$B$16,$J892)),2))</f>
        <v/>
      </c>
      <c r="L892" s="90">
        <f>IF($K892="","",ROUND($K892*Setup!$B$13,2))</f>
        <v/>
      </c>
      <c r="M892" s="90">
        <f>IF($K892="","",$K892-$L892)</f>
        <v/>
      </c>
      <c r="N892" s="90">
        <f>IF(OR($M892="",$D892=""),"",ROUND($M892*IFERROR(IF(VLOOKUP($D892,Setup!$A$76:$C$87,3,FALSE)="",Setup!$B$14,VLOOKUP($D892,Setup!$A$76:$C$87,3,FALSE)),Setup!$B$14),2))</f>
        <v/>
      </c>
      <c r="O892" s="90">
        <f>IF(OR($M892="",$E892=""),"",ROUND($M892*IFERROR(IF(VLOOKUP($E892,Setup!$A$76:$C$87,3,FALSE)="",Setup!$B$15,VLOOKUP($E892,Setup!$A$76:$C$87,3,FALSE)),Setup!$B$15),2))</f>
        <v/>
      </c>
      <c r="P892" s="99" t="n"/>
      <c r="Q892" s="99" t="n"/>
      <c r="R892" s="99" t="n"/>
      <c r="S892" s="99" t="n"/>
      <c r="T892" s="99" t="n"/>
      <c r="U892" s="90">
        <f>IF($K892="","",SUM($R892:$T892))</f>
        <v/>
      </c>
      <c r="V892" s="90">
        <f>IF($K892="","",$M892-(N($N892)+N($O892)+IF($P892="",Setup!$B$17,$P892)+N($Q892))-N($U892))</f>
        <v/>
      </c>
      <c r="W892" s="95" t="n"/>
      <c r="X892" s="96" t="n"/>
      <c r="Z892" s="93">
        <f>IF($A892="","",DATE(YEAR($A892),MONTH($A892),1))</f>
        <v/>
      </c>
    </row>
    <row r="893">
      <c r="A893" s="86" t="n"/>
      <c r="B893" s="87" t="n"/>
      <c r="C893" s="87" t="n"/>
      <c r="D893" s="88" t="n"/>
      <c r="E893" s="88" t="n"/>
      <c r="F893" s="88" t="n"/>
      <c r="G893" s="88" t="n"/>
      <c r="H893" s="89" t="n"/>
      <c r="I893" s="90">
        <f>IF($G893="","",IF($F893="",IFERROR(INDEX(Setup!$C$21:$C$60,MATCH("|"&amp;UPPER(TRIM($G893)),Setup!$Q$21:$Q$60,0)),"NO RATE"),IFERROR(INDEX(Setup!$C$21:$C$60,MATCH(UPPER(TRIM($F893))&amp;"|"&amp;UPPER(TRIM($G893)),Setup!$P$21:$P$60,0)),IFERROR(INDEX(Setup!$C$21:$C$60,MATCH(UPPER(TRIM($G893))&amp;"|"&amp;UPPER(TRIM($F893)),Setup!$P$21:$P$60,0)),"NO RATE"))))</f>
        <v/>
      </c>
      <c r="J893" s="91" t="n"/>
      <c r="K893" s="90">
        <f>IF(OR($G893="",$H893="",NOT(ISNUMBER($I893))),"",ROUND($H893*$I893*(1+IF($J893="",Setup!$B$16,$J893)),2))</f>
        <v/>
      </c>
      <c r="L893" s="90">
        <f>IF($K893="","",ROUND($K893*Setup!$B$13,2))</f>
        <v/>
      </c>
      <c r="M893" s="90">
        <f>IF($K893="","",$K893-$L893)</f>
        <v/>
      </c>
      <c r="N893" s="90">
        <f>IF(OR($M893="",$D893=""),"",ROUND($M893*IFERROR(IF(VLOOKUP($D893,Setup!$A$76:$C$87,3,FALSE)="",Setup!$B$14,VLOOKUP($D893,Setup!$A$76:$C$87,3,FALSE)),Setup!$B$14),2))</f>
        <v/>
      </c>
      <c r="O893" s="90">
        <f>IF(OR($M893="",$E893=""),"",ROUND($M893*IFERROR(IF(VLOOKUP($E893,Setup!$A$76:$C$87,3,FALSE)="",Setup!$B$15,VLOOKUP($E893,Setup!$A$76:$C$87,3,FALSE)),Setup!$B$15),2))</f>
        <v/>
      </c>
      <c r="P893" s="92" t="n"/>
      <c r="Q893" s="92" t="n"/>
      <c r="R893" s="92" t="n"/>
      <c r="S893" s="92" t="n"/>
      <c r="T893" s="92" t="n"/>
      <c r="U893" s="90">
        <f>IF($K893="","",SUM($R893:$T893))</f>
        <v/>
      </c>
      <c r="V893" s="90">
        <f>IF($K893="","",$M893-(N($N893)+N($O893)+IF($P893="",Setup!$B$17,$P893)+N($Q893))-N($U893))</f>
        <v/>
      </c>
      <c r="W893" s="87" t="n"/>
      <c r="X893" s="88" t="n"/>
      <c r="Z893" s="93">
        <f>IF($A893="","",DATE(YEAR($A893),MONTH($A893),1))</f>
        <v/>
      </c>
    </row>
    <row r="894">
      <c r="A894" s="94" t="n"/>
      <c r="B894" s="95" t="n"/>
      <c r="C894" s="95" t="n"/>
      <c r="D894" s="96" t="n"/>
      <c r="E894" s="96" t="n"/>
      <c r="F894" s="96" t="n"/>
      <c r="G894" s="96" t="n"/>
      <c r="H894" s="97" t="n"/>
      <c r="I894" s="90">
        <f>IF($G894="","",IF($F894="",IFERROR(INDEX(Setup!$C$21:$C$60,MATCH("|"&amp;UPPER(TRIM($G894)),Setup!$Q$21:$Q$60,0)),"NO RATE"),IFERROR(INDEX(Setup!$C$21:$C$60,MATCH(UPPER(TRIM($F894))&amp;"|"&amp;UPPER(TRIM($G894)),Setup!$P$21:$P$60,0)),IFERROR(INDEX(Setup!$C$21:$C$60,MATCH(UPPER(TRIM($G894))&amp;"|"&amp;UPPER(TRIM($F894)),Setup!$P$21:$P$60,0)),"NO RATE"))))</f>
        <v/>
      </c>
      <c r="J894" s="98" t="n"/>
      <c r="K894" s="90">
        <f>IF(OR($G894="",$H894="",NOT(ISNUMBER($I894))),"",ROUND($H894*$I894*(1+IF($J894="",Setup!$B$16,$J894)),2))</f>
        <v/>
      </c>
      <c r="L894" s="90">
        <f>IF($K894="","",ROUND($K894*Setup!$B$13,2))</f>
        <v/>
      </c>
      <c r="M894" s="90">
        <f>IF($K894="","",$K894-$L894)</f>
        <v/>
      </c>
      <c r="N894" s="90">
        <f>IF(OR($M894="",$D894=""),"",ROUND($M894*IFERROR(IF(VLOOKUP($D894,Setup!$A$76:$C$87,3,FALSE)="",Setup!$B$14,VLOOKUP($D894,Setup!$A$76:$C$87,3,FALSE)),Setup!$B$14),2))</f>
        <v/>
      </c>
      <c r="O894" s="90">
        <f>IF(OR($M894="",$E894=""),"",ROUND($M894*IFERROR(IF(VLOOKUP($E894,Setup!$A$76:$C$87,3,FALSE)="",Setup!$B$15,VLOOKUP($E894,Setup!$A$76:$C$87,3,FALSE)),Setup!$B$15),2))</f>
        <v/>
      </c>
      <c r="P894" s="99" t="n"/>
      <c r="Q894" s="99" t="n"/>
      <c r="R894" s="99" t="n"/>
      <c r="S894" s="99" t="n"/>
      <c r="T894" s="99" t="n"/>
      <c r="U894" s="90">
        <f>IF($K894="","",SUM($R894:$T894))</f>
        <v/>
      </c>
      <c r="V894" s="90">
        <f>IF($K894="","",$M894-(N($N894)+N($O894)+IF($P894="",Setup!$B$17,$P894)+N($Q894))-N($U894))</f>
        <v/>
      </c>
      <c r="W894" s="95" t="n"/>
      <c r="X894" s="96" t="n"/>
      <c r="Z894" s="93">
        <f>IF($A894="","",DATE(YEAR($A894),MONTH($A894),1))</f>
        <v/>
      </c>
    </row>
    <row r="895">
      <c r="A895" s="86" t="n"/>
      <c r="B895" s="87" t="n"/>
      <c r="C895" s="87" t="n"/>
      <c r="D895" s="88" t="n"/>
      <c r="E895" s="88" t="n"/>
      <c r="F895" s="88" t="n"/>
      <c r="G895" s="88" t="n"/>
      <c r="H895" s="89" t="n"/>
      <c r="I895" s="90">
        <f>IF($G895="","",IF($F895="",IFERROR(INDEX(Setup!$C$21:$C$60,MATCH("|"&amp;UPPER(TRIM($G895)),Setup!$Q$21:$Q$60,0)),"NO RATE"),IFERROR(INDEX(Setup!$C$21:$C$60,MATCH(UPPER(TRIM($F895))&amp;"|"&amp;UPPER(TRIM($G895)),Setup!$P$21:$P$60,0)),IFERROR(INDEX(Setup!$C$21:$C$60,MATCH(UPPER(TRIM($G895))&amp;"|"&amp;UPPER(TRIM($F895)),Setup!$P$21:$P$60,0)),"NO RATE"))))</f>
        <v/>
      </c>
      <c r="J895" s="91" t="n"/>
      <c r="K895" s="90">
        <f>IF(OR($G895="",$H895="",NOT(ISNUMBER($I895))),"",ROUND($H895*$I895*(1+IF($J895="",Setup!$B$16,$J895)),2))</f>
        <v/>
      </c>
      <c r="L895" s="90">
        <f>IF($K895="","",ROUND($K895*Setup!$B$13,2))</f>
        <v/>
      </c>
      <c r="M895" s="90">
        <f>IF($K895="","",$K895-$L895)</f>
        <v/>
      </c>
      <c r="N895" s="90">
        <f>IF(OR($M895="",$D895=""),"",ROUND($M895*IFERROR(IF(VLOOKUP($D895,Setup!$A$76:$C$87,3,FALSE)="",Setup!$B$14,VLOOKUP($D895,Setup!$A$76:$C$87,3,FALSE)),Setup!$B$14),2))</f>
        <v/>
      </c>
      <c r="O895" s="90">
        <f>IF(OR($M895="",$E895=""),"",ROUND($M895*IFERROR(IF(VLOOKUP($E895,Setup!$A$76:$C$87,3,FALSE)="",Setup!$B$15,VLOOKUP($E895,Setup!$A$76:$C$87,3,FALSE)),Setup!$B$15),2))</f>
        <v/>
      </c>
      <c r="P895" s="92" t="n"/>
      <c r="Q895" s="92" t="n"/>
      <c r="R895" s="92" t="n"/>
      <c r="S895" s="92" t="n"/>
      <c r="T895" s="92" t="n"/>
      <c r="U895" s="90">
        <f>IF($K895="","",SUM($R895:$T895))</f>
        <v/>
      </c>
      <c r="V895" s="90">
        <f>IF($K895="","",$M895-(N($N895)+N($O895)+IF($P895="",Setup!$B$17,$P895)+N($Q895))-N($U895))</f>
        <v/>
      </c>
      <c r="W895" s="87" t="n"/>
      <c r="X895" s="88" t="n"/>
      <c r="Z895" s="93">
        <f>IF($A895="","",DATE(YEAR($A895),MONTH($A895),1))</f>
        <v/>
      </c>
    </row>
    <row r="896">
      <c r="A896" s="94" t="n"/>
      <c r="B896" s="95" t="n"/>
      <c r="C896" s="95" t="n"/>
      <c r="D896" s="96" t="n"/>
      <c r="E896" s="96" t="n"/>
      <c r="F896" s="96" t="n"/>
      <c r="G896" s="96" t="n"/>
      <c r="H896" s="97" t="n"/>
      <c r="I896" s="90">
        <f>IF($G896="","",IF($F896="",IFERROR(INDEX(Setup!$C$21:$C$60,MATCH("|"&amp;UPPER(TRIM($G896)),Setup!$Q$21:$Q$60,0)),"NO RATE"),IFERROR(INDEX(Setup!$C$21:$C$60,MATCH(UPPER(TRIM($F896))&amp;"|"&amp;UPPER(TRIM($G896)),Setup!$P$21:$P$60,0)),IFERROR(INDEX(Setup!$C$21:$C$60,MATCH(UPPER(TRIM($G896))&amp;"|"&amp;UPPER(TRIM($F896)),Setup!$P$21:$P$60,0)),"NO RATE"))))</f>
        <v/>
      </c>
      <c r="J896" s="98" t="n"/>
      <c r="K896" s="90">
        <f>IF(OR($G896="",$H896="",NOT(ISNUMBER($I896))),"",ROUND($H896*$I896*(1+IF($J896="",Setup!$B$16,$J896)),2))</f>
        <v/>
      </c>
      <c r="L896" s="90">
        <f>IF($K896="","",ROUND($K896*Setup!$B$13,2))</f>
        <v/>
      </c>
      <c r="M896" s="90">
        <f>IF($K896="","",$K896-$L896)</f>
        <v/>
      </c>
      <c r="N896" s="90">
        <f>IF(OR($M896="",$D896=""),"",ROUND($M896*IFERROR(IF(VLOOKUP($D896,Setup!$A$76:$C$87,3,FALSE)="",Setup!$B$14,VLOOKUP($D896,Setup!$A$76:$C$87,3,FALSE)),Setup!$B$14),2))</f>
        <v/>
      </c>
      <c r="O896" s="90">
        <f>IF(OR($M896="",$E896=""),"",ROUND($M896*IFERROR(IF(VLOOKUP($E896,Setup!$A$76:$C$87,3,FALSE)="",Setup!$B$15,VLOOKUP($E896,Setup!$A$76:$C$87,3,FALSE)),Setup!$B$15),2))</f>
        <v/>
      </c>
      <c r="P896" s="99" t="n"/>
      <c r="Q896" s="99" t="n"/>
      <c r="R896" s="99" t="n"/>
      <c r="S896" s="99" t="n"/>
      <c r="T896" s="99" t="n"/>
      <c r="U896" s="90">
        <f>IF($K896="","",SUM($R896:$T896))</f>
        <v/>
      </c>
      <c r="V896" s="90">
        <f>IF($K896="","",$M896-(N($N896)+N($O896)+IF($P896="",Setup!$B$17,$P896)+N($Q896))-N($U896))</f>
        <v/>
      </c>
      <c r="W896" s="95" t="n"/>
      <c r="X896" s="96" t="n"/>
      <c r="Z896" s="93">
        <f>IF($A896="","",DATE(YEAR($A896),MONTH($A896),1))</f>
        <v/>
      </c>
    </row>
    <row r="897">
      <c r="A897" s="86" t="n"/>
      <c r="B897" s="87" t="n"/>
      <c r="C897" s="87" t="n"/>
      <c r="D897" s="88" t="n"/>
      <c r="E897" s="88" t="n"/>
      <c r="F897" s="88" t="n"/>
      <c r="G897" s="88" t="n"/>
      <c r="H897" s="89" t="n"/>
      <c r="I897" s="90">
        <f>IF($G897="","",IF($F897="",IFERROR(INDEX(Setup!$C$21:$C$60,MATCH("|"&amp;UPPER(TRIM($G897)),Setup!$Q$21:$Q$60,0)),"NO RATE"),IFERROR(INDEX(Setup!$C$21:$C$60,MATCH(UPPER(TRIM($F897))&amp;"|"&amp;UPPER(TRIM($G897)),Setup!$P$21:$P$60,0)),IFERROR(INDEX(Setup!$C$21:$C$60,MATCH(UPPER(TRIM($G897))&amp;"|"&amp;UPPER(TRIM($F897)),Setup!$P$21:$P$60,0)),"NO RATE"))))</f>
        <v/>
      </c>
      <c r="J897" s="91" t="n"/>
      <c r="K897" s="90">
        <f>IF(OR($G897="",$H897="",NOT(ISNUMBER($I897))),"",ROUND($H897*$I897*(1+IF($J897="",Setup!$B$16,$J897)),2))</f>
        <v/>
      </c>
      <c r="L897" s="90">
        <f>IF($K897="","",ROUND($K897*Setup!$B$13,2))</f>
        <v/>
      </c>
      <c r="M897" s="90">
        <f>IF($K897="","",$K897-$L897)</f>
        <v/>
      </c>
      <c r="N897" s="90">
        <f>IF(OR($M897="",$D897=""),"",ROUND($M897*IFERROR(IF(VLOOKUP($D897,Setup!$A$76:$C$87,3,FALSE)="",Setup!$B$14,VLOOKUP($D897,Setup!$A$76:$C$87,3,FALSE)),Setup!$B$14),2))</f>
        <v/>
      </c>
      <c r="O897" s="90">
        <f>IF(OR($M897="",$E897=""),"",ROUND($M897*IFERROR(IF(VLOOKUP($E897,Setup!$A$76:$C$87,3,FALSE)="",Setup!$B$15,VLOOKUP($E897,Setup!$A$76:$C$87,3,FALSE)),Setup!$B$15),2))</f>
        <v/>
      </c>
      <c r="P897" s="92" t="n"/>
      <c r="Q897" s="92" t="n"/>
      <c r="R897" s="92" t="n"/>
      <c r="S897" s="92" t="n"/>
      <c r="T897" s="92" t="n"/>
      <c r="U897" s="90">
        <f>IF($K897="","",SUM($R897:$T897))</f>
        <v/>
      </c>
      <c r="V897" s="90">
        <f>IF($K897="","",$M897-(N($N897)+N($O897)+IF($P897="",Setup!$B$17,$P897)+N($Q897))-N($U897))</f>
        <v/>
      </c>
      <c r="W897" s="87" t="n"/>
      <c r="X897" s="88" t="n"/>
      <c r="Z897" s="93">
        <f>IF($A897="","",DATE(YEAR($A897),MONTH($A897),1))</f>
        <v/>
      </c>
    </row>
    <row r="898">
      <c r="A898" s="94" t="n"/>
      <c r="B898" s="95" t="n"/>
      <c r="C898" s="95" t="n"/>
      <c r="D898" s="96" t="n"/>
      <c r="E898" s="96" t="n"/>
      <c r="F898" s="96" t="n"/>
      <c r="G898" s="96" t="n"/>
      <c r="H898" s="97" t="n"/>
      <c r="I898" s="90">
        <f>IF($G898="","",IF($F898="",IFERROR(INDEX(Setup!$C$21:$C$60,MATCH("|"&amp;UPPER(TRIM($G898)),Setup!$Q$21:$Q$60,0)),"NO RATE"),IFERROR(INDEX(Setup!$C$21:$C$60,MATCH(UPPER(TRIM($F898))&amp;"|"&amp;UPPER(TRIM($G898)),Setup!$P$21:$P$60,0)),IFERROR(INDEX(Setup!$C$21:$C$60,MATCH(UPPER(TRIM($G898))&amp;"|"&amp;UPPER(TRIM($F898)),Setup!$P$21:$P$60,0)),"NO RATE"))))</f>
        <v/>
      </c>
      <c r="J898" s="98" t="n"/>
      <c r="K898" s="90">
        <f>IF(OR($G898="",$H898="",NOT(ISNUMBER($I898))),"",ROUND($H898*$I898*(1+IF($J898="",Setup!$B$16,$J898)),2))</f>
        <v/>
      </c>
      <c r="L898" s="90">
        <f>IF($K898="","",ROUND($K898*Setup!$B$13,2))</f>
        <v/>
      </c>
      <c r="M898" s="90">
        <f>IF($K898="","",$K898-$L898)</f>
        <v/>
      </c>
      <c r="N898" s="90">
        <f>IF(OR($M898="",$D898=""),"",ROUND($M898*IFERROR(IF(VLOOKUP($D898,Setup!$A$76:$C$87,3,FALSE)="",Setup!$B$14,VLOOKUP($D898,Setup!$A$76:$C$87,3,FALSE)),Setup!$B$14),2))</f>
        <v/>
      </c>
      <c r="O898" s="90">
        <f>IF(OR($M898="",$E898=""),"",ROUND($M898*IFERROR(IF(VLOOKUP($E898,Setup!$A$76:$C$87,3,FALSE)="",Setup!$B$15,VLOOKUP($E898,Setup!$A$76:$C$87,3,FALSE)),Setup!$B$15),2))</f>
        <v/>
      </c>
      <c r="P898" s="99" t="n"/>
      <c r="Q898" s="99" t="n"/>
      <c r="R898" s="99" t="n"/>
      <c r="S898" s="99" t="n"/>
      <c r="T898" s="99" t="n"/>
      <c r="U898" s="90">
        <f>IF($K898="","",SUM($R898:$T898))</f>
        <v/>
      </c>
      <c r="V898" s="90">
        <f>IF($K898="","",$M898-(N($N898)+N($O898)+IF($P898="",Setup!$B$17,$P898)+N($Q898))-N($U898))</f>
        <v/>
      </c>
      <c r="W898" s="95" t="n"/>
      <c r="X898" s="96" t="n"/>
      <c r="Z898" s="93">
        <f>IF($A898="","",DATE(YEAR($A898),MONTH($A898),1))</f>
        <v/>
      </c>
    </row>
    <row r="899">
      <c r="A899" s="86" t="n"/>
      <c r="B899" s="87" t="n"/>
      <c r="C899" s="87" t="n"/>
      <c r="D899" s="88" t="n"/>
      <c r="E899" s="88" t="n"/>
      <c r="F899" s="88" t="n"/>
      <c r="G899" s="88" t="n"/>
      <c r="H899" s="89" t="n"/>
      <c r="I899" s="90">
        <f>IF($G899="","",IF($F899="",IFERROR(INDEX(Setup!$C$21:$C$60,MATCH("|"&amp;UPPER(TRIM($G899)),Setup!$Q$21:$Q$60,0)),"NO RATE"),IFERROR(INDEX(Setup!$C$21:$C$60,MATCH(UPPER(TRIM($F899))&amp;"|"&amp;UPPER(TRIM($G899)),Setup!$P$21:$P$60,0)),IFERROR(INDEX(Setup!$C$21:$C$60,MATCH(UPPER(TRIM($G899))&amp;"|"&amp;UPPER(TRIM($F899)),Setup!$P$21:$P$60,0)),"NO RATE"))))</f>
        <v/>
      </c>
      <c r="J899" s="91" t="n"/>
      <c r="K899" s="90">
        <f>IF(OR($G899="",$H899="",NOT(ISNUMBER($I899))),"",ROUND($H899*$I899*(1+IF($J899="",Setup!$B$16,$J899)),2))</f>
        <v/>
      </c>
      <c r="L899" s="90">
        <f>IF($K899="","",ROUND($K899*Setup!$B$13,2))</f>
        <v/>
      </c>
      <c r="M899" s="90">
        <f>IF($K899="","",$K899-$L899)</f>
        <v/>
      </c>
      <c r="N899" s="90">
        <f>IF(OR($M899="",$D899=""),"",ROUND($M899*IFERROR(IF(VLOOKUP($D899,Setup!$A$76:$C$87,3,FALSE)="",Setup!$B$14,VLOOKUP($D899,Setup!$A$76:$C$87,3,FALSE)),Setup!$B$14),2))</f>
        <v/>
      </c>
      <c r="O899" s="90">
        <f>IF(OR($M899="",$E899=""),"",ROUND($M899*IFERROR(IF(VLOOKUP($E899,Setup!$A$76:$C$87,3,FALSE)="",Setup!$B$15,VLOOKUP($E899,Setup!$A$76:$C$87,3,FALSE)),Setup!$B$15),2))</f>
        <v/>
      </c>
      <c r="P899" s="92" t="n"/>
      <c r="Q899" s="92" t="n"/>
      <c r="R899" s="92" t="n"/>
      <c r="S899" s="92" t="n"/>
      <c r="T899" s="92" t="n"/>
      <c r="U899" s="90">
        <f>IF($K899="","",SUM($R899:$T899))</f>
        <v/>
      </c>
      <c r="V899" s="90">
        <f>IF($K899="","",$M899-(N($N899)+N($O899)+IF($P899="",Setup!$B$17,$P899)+N($Q899))-N($U899))</f>
        <v/>
      </c>
      <c r="W899" s="87" t="n"/>
      <c r="X899" s="88" t="n"/>
      <c r="Z899" s="93">
        <f>IF($A899="","",DATE(YEAR($A899),MONTH($A899),1))</f>
        <v/>
      </c>
    </row>
    <row r="900">
      <c r="A900" s="94" t="n"/>
      <c r="B900" s="95" t="n"/>
      <c r="C900" s="95" t="n"/>
      <c r="D900" s="96" t="n"/>
      <c r="E900" s="96" t="n"/>
      <c r="F900" s="96" t="n"/>
      <c r="G900" s="96" t="n"/>
      <c r="H900" s="97" t="n"/>
      <c r="I900" s="90">
        <f>IF($G900="","",IF($F900="",IFERROR(INDEX(Setup!$C$21:$C$60,MATCH("|"&amp;UPPER(TRIM($G900)),Setup!$Q$21:$Q$60,0)),"NO RATE"),IFERROR(INDEX(Setup!$C$21:$C$60,MATCH(UPPER(TRIM($F900))&amp;"|"&amp;UPPER(TRIM($G900)),Setup!$P$21:$P$60,0)),IFERROR(INDEX(Setup!$C$21:$C$60,MATCH(UPPER(TRIM($G900))&amp;"|"&amp;UPPER(TRIM($F900)),Setup!$P$21:$P$60,0)),"NO RATE"))))</f>
        <v/>
      </c>
      <c r="J900" s="98" t="n"/>
      <c r="K900" s="90">
        <f>IF(OR($G900="",$H900="",NOT(ISNUMBER($I900))),"",ROUND($H900*$I900*(1+IF($J900="",Setup!$B$16,$J900)),2))</f>
        <v/>
      </c>
      <c r="L900" s="90">
        <f>IF($K900="","",ROUND($K900*Setup!$B$13,2))</f>
        <v/>
      </c>
      <c r="M900" s="90">
        <f>IF($K900="","",$K900-$L900)</f>
        <v/>
      </c>
      <c r="N900" s="90">
        <f>IF(OR($M900="",$D900=""),"",ROUND($M900*IFERROR(IF(VLOOKUP($D900,Setup!$A$76:$C$87,3,FALSE)="",Setup!$B$14,VLOOKUP($D900,Setup!$A$76:$C$87,3,FALSE)),Setup!$B$14),2))</f>
        <v/>
      </c>
      <c r="O900" s="90">
        <f>IF(OR($M900="",$E900=""),"",ROUND($M900*IFERROR(IF(VLOOKUP($E900,Setup!$A$76:$C$87,3,FALSE)="",Setup!$B$15,VLOOKUP($E900,Setup!$A$76:$C$87,3,FALSE)),Setup!$B$15),2))</f>
        <v/>
      </c>
      <c r="P900" s="99" t="n"/>
      <c r="Q900" s="99" t="n"/>
      <c r="R900" s="99" t="n"/>
      <c r="S900" s="99" t="n"/>
      <c r="T900" s="99" t="n"/>
      <c r="U900" s="90">
        <f>IF($K900="","",SUM($R900:$T900))</f>
        <v/>
      </c>
      <c r="V900" s="90">
        <f>IF($K900="","",$M900-(N($N900)+N($O900)+IF($P900="",Setup!$B$17,$P900)+N($Q900))-N($U900))</f>
        <v/>
      </c>
      <c r="W900" s="95" t="n"/>
      <c r="X900" s="96" t="n"/>
      <c r="Z900" s="93">
        <f>IF($A900="","",DATE(YEAR($A900),MONTH($A900),1))</f>
        <v/>
      </c>
    </row>
    <row r="901">
      <c r="A901" s="86" t="n"/>
      <c r="B901" s="87" t="n"/>
      <c r="C901" s="87" t="n"/>
      <c r="D901" s="88" t="n"/>
      <c r="E901" s="88" t="n"/>
      <c r="F901" s="88" t="n"/>
      <c r="G901" s="88" t="n"/>
      <c r="H901" s="89" t="n"/>
      <c r="I901" s="90">
        <f>IF($G901="","",IF($F901="",IFERROR(INDEX(Setup!$C$21:$C$60,MATCH("|"&amp;UPPER(TRIM($G901)),Setup!$Q$21:$Q$60,0)),"NO RATE"),IFERROR(INDEX(Setup!$C$21:$C$60,MATCH(UPPER(TRIM($F901))&amp;"|"&amp;UPPER(TRIM($G901)),Setup!$P$21:$P$60,0)),IFERROR(INDEX(Setup!$C$21:$C$60,MATCH(UPPER(TRIM($G901))&amp;"|"&amp;UPPER(TRIM($F901)),Setup!$P$21:$P$60,0)),"NO RATE"))))</f>
        <v/>
      </c>
      <c r="J901" s="91" t="n"/>
      <c r="K901" s="90">
        <f>IF(OR($G901="",$H901="",NOT(ISNUMBER($I901))),"",ROUND($H901*$I901*(1+IF($J901="",Setup!$B$16,$J901)),2))</f>
        <v/>
      </c>
      <c r="L901" s="90">
        <f>IF($K901="","",ROUND($K901*Setup!$B$13,2))</f>
        <v/>
      </c>
      <c r="M901" s="90">
        <f>IF($K901="","",$K901-$L901)</f>
        <v/>
      </c>
      <c r="N901" s="90">
        <f>IF(OR($M901="",$D901=""),"",ROUND($M901*IFERROR(IF(VLOOKUP($D901,Setup!$A$76:$C$87,3,FALSE)="",Setup!$B$14,VLOOKUP($D901,Setup!$A$76:$C$87,3,FALSE)),Setup!$B$14),2))</f>
        <v/>
      </c>
      <c r="O901" s="90">
        <f>IF(OR($M901="",$E901=""),"",ROUND($M901*IFERROR(IF(VLOOKUP($E901,Setup!$A$76:$C$87,3,FALSE)="",Setup!$B$15,VLOOKUP($E901,Setup!$A$76:$C$87,3,FALSE)),Setup!$B$15),2))</f>
        <v/>
      </c>
      <c r="P901" s="92" t="n"/>
      <c r="Q901" s="92" t="n"/>
      <c r="R901" s="92" t="n"/>
      <c r="S901" s="92" t="n"/>
      <c r="T901" s="92" t="n"/>
      <c r="U901" s="90">
        <f>IF($K901="","",SUM($R901:$T901))</f>
        <v/>
      </c>
      <c r="V901" s="90">
        <f>IF($K901="","",$M901-(N($N901)+N($O901)+IF($P901="",Setup!$B$17,$P901)+N($Q901))-N($U901))</f>
        <v/>
      </c>
      <c r="W901" s="87" t="n"/>
      <c r="X901" s="88" t="n"/>
      <c r="Z901" s="93">
        <f>IF($A901="","",DATE(YEAR($A901),MONTH($A901),1))</f>
        <v/>
      </c>
    </row>
    <row r="902">
      <c r="A902" s="94" t="n"/>
      <c r="B902" s="95" t="n"/>
      <c r="C902" s="95" t="n"/>
      <c r="D902" s="96" t="n"/>
      <c r="E902" s="96" t="n"/>
      <c r="F902" s="96" t="n"/>
      <c r="G902" s="96" t="n"/>
      <c r="H902" s="97" t="n"/>
      <c r="I902" s="90">
        <f>IF($G902="","",IF($F902="",IFERROR(INDEX(Setup!$C$21:$C$60,MATCH("|"&amp;UPPER(TRIM($G902)),Setup!$Q$21:$Q$60,0)),"NO RATE"),IFERROR(INDEX(Setup!$C$21:$C$60,MATCH(UPPER(TRIM($F902))&amp;"|"&amp;UPPER(TRIM($G902)),Setup!$P$21:$P$60,0)),IFERROR(INDEX(Setup!$C$21:$C$60,MATCH(UPPER(TRIM($G902))&amp;"|"&amp;UPPER(TRIM($F902)),Setup!$P$21:$P$60,0)),"NO RATE"))))</f>
        <v/>
      </c>
      <c r="J902" s="98" t="n"/>
      <c r="K902" s="90">
        <f>IF(OR($G902="",$H902="",NOT(ISNUMBER($I902))),"",ROUND($H902*$I902*(1+IF($J902="",Setup!$B$16,$J902)),2))</f>
        <v/>
      </c>
      <c r="L902" s="90">
        <f>IF($K902="","",ROUND($K902*Setup!$B$13,2))</f>
        <v/>
      </c>
      <c r="M902" s="90">
        <f>IF($K902="","",$K902-$L902)</f>
        <v/>
      </c>
      <c r="N902" s="90">
        <f>IF(OR($M902="",$D902=""),"",ROUND($M902*IFERROR(IF(VLOOKUP($D902,Setup!$A$76:$C$87,3,FALSE)="",Setup!$B$14,VLOOKUP($D902,Setup!$A$76:$C$87,3,FALSE)),Setup!$B$14),2))</f>
        <v/>
      </c>
      <c r="O902" s="90">
        <f>IF(OR($M902="",$E902=""),"",ROUND($M902*IFERROR(IF(VLOOKUP($E902,Setup!$A$76:$C$87,3,FALSE)="",Setup!$B$15,VLOOKUP($E902,Setup!$A$76:$C$87,3,FALSE)),Setup!$B$15),2))</f>
        <v/>
      </c>
      <c r="P902" s="99" t="n"/>
      <c r="Q902" s="99" t="n"/>
      <c r="R902" s="99" t="n"/>
      <c r="S902" s="99" t="n"/>
      <c r="T902" s="99" t="n"/>
      <c r="U902" s="90">
        <f>IF($K902="","",SUM($R902:$T902))</f>
        <v/>
      </c>
      <c r="V902" s="90">
        <f>IF($K902="","",$M902-(N($N902)+N($O902)+IF($P902="",Setup!$B$17,$P902)+N($Q902))-N($U902))</f>
        <v/>
      </c>
      <c r="W902" s="95" t="n"/>
      <c r="X902" s="96" t="n"/>
      <c r="Z902" s="93">
        <f>IF($A902="","",DATE(YEAR($A902),MONTH($A902),1))</f>
        <v/>
      </c>
    </row>
    <row r="903">
      <c r="A903" s="86" t="n"/>
      <c r="B903" s="87" t="n"/>
      <c r="C903" s="87" t="n"/>
      <c r="D903" s="88" t="n"/>
      <c r="E903" s="88" t="n"/>
      <c r="F903" s="88" t="n"/>
      <c r="G903" s="88" t="n"/>
      <c r="H903" s="89" t="n"/>
      <c r="I903" s="90">
        <f>IF($G903="","",IF($F903="",IFERROR(INDEX(Setup!$C$21:$C$60,MATCH("|"&amp;UPPER(TRIM($G903)),Setup!$Q$21:$Q$60,0)),"NO RATE"),IFERROR(INDEX(Setup!$C$21:$C$60,MATCH(UPPER(TRIM($F903))&amp;"|"&amp;UPPER(TRIM($G903)),Setup!$P$21:$P$60,0)),IFERROR(INDEX(Setup!$C$21:$C$60,MATCH(UPPER(TRIM($G903))&amp;"|"&amp;UPPER(TRIM($F903)),Setup!$P$21:$P$60,0)),"NO RATE"))))</f>
        <v/>
      </c>
      <c r="J903" s="91" t="n"/>
      <c r="K903" s="90">
        <f>IF(OR($G903="",$H903="",NOT(ISNUMBER($I903))),"",ROUND($H903*$I903*(1+IF($J903="",Setup!$B$16,$J903)),2))</f>
        <v/>
      </c>
      <c r="L903" s="90">
        <f>IF($K903="","",ROUND($K903*Setup!$B$13,2))</f>
        <v/>
      </c>
      <c r="M903" s="90">
        <f>IF($K903="","",$K903-$L903)</f>
        <v/>
      </c>
      <c r="N903" s="90">
        <f>IF(OR($M903="",$D903=""),"",ROUND($M903*IFERROR(IF(VLOOKUP($D903,Setup!$A$76:$C$87,3,FALSE)="",Setup!$B$14,VLOOKUP($D903,Setup!$A$76:$C$87,3,FALSE)),Setup!$B$14),2))</f>
        <v/>
      </c>
      <c r="O903" s="90">
        <f>IF(OR($M903="",$E903=""),"",ROUND($M903*IFERROR(IF(VLOOKUP($E903,Setup!$A$76:$C$87,3,FALSE)="",Setup!$B$15,VLOOKUP($E903,Setup!$A$76:$C$87,3,FALSE)),Setup!$B$15),2))</f>
        <v/>
      </c>
      <c r="P903" s="92" t="n"/>
      <c r="Q903" s="92" t="n"/>
      <c r="R903" s="92" t="n"/>
      <c r="S903" s="92" t="n"/>
      <c r="T903" s="92" t="n"/>
      <c r="U903" s="90">
        <f>IF($K903="","",SUM($R903:$T903))</f>
        <v/>
      </c>
      <c r="V903" s="90">
        <f>IF($K903="","",$M903-(N($N903)+N($O903)+IF($P903="",Setup!$B$17,$P903)+N($Q903))-N($U903))</f>
        <v/>
      </c>
      <c r="W903" s="87" t="n"/>
      <c r="X903" s="88" t="n"/>
      <c r="Z903" s="93">
        <f>IF($A903="","",DATE(YEAR($A903),MONTH($A903),1))</f>
        <v/>
      </c>
    </row>
    <row r="904">
      <c r="A904" s="94" t="n"/>
      <c r="B904" s="95" t="n"/>
      <c r="C904" s="95" t="n"/>
      <c r="D904" s="96" t="n"/>
      <c r="E904" s="96" t="n"/>
      <c r="F904" s="96" t="n"/>
      <c r="G904" s="96" t="n"/>
      <c r="H904" s="97" t="n"/>
      <c r="I904" s="90">
        <f>IF($G904="","",IF($F904="",IFERROR(INDEX(Setup!$C$21:$C$60,MATCH("|"&amp;UPPER(TRIM($G904)),Setup!$Q$21:$Q$60,0)),"NO RATE"),IFERROR(INDEX(Setup!$C$21:$C$60,MATCH(UPPER(TRIM($F904))&amp;"|"&amp;UPPER(TRIM($G904)),Setup!$P$21:$P$60,0)),IFERROR(INDEX(Setup!$C$21:$C$60,MATCH(UPPER(TRIM($G904))&amp;"|"&amp;UPPER(TRIM($F904)),Setup!$P$21:$P$60,0)),"NO RATE"))))</f>
        <v/>
      </c>
      <c r="J904" s="98" t="n"/>
      <c r="K904" s="90">
        <f>IF(OR($G904="",$H904="",NOT(ISNUMBER($I904))),"",ROUND($H904*$I904*(1+IF($J904="",Setup!$B$16,$J904)),2))</f>
        <v/>
      </c>
      <c r="L904" s="90">
        <f>IF($K904="","",ROUND($K904*Setup!$B$13,2))</f>
        <v/>
      </c>
      <c r="M904" s="90">
        <f>IF($K904="","",$K904-$L904)</f>
        <v/>
      </c>
      <c r="N904" s="90">
        <f>IF(OR($M904="",$D904=""),"",ROUND($M904*IFERROR(IF(VLOOKUP($D904,Setup!$A$76:$C$87,3,FALSE)="",Setup!$B$14,VLOOKUP($D904,Setup!$A$76:$C$87,3,FALSE)),Setup!$B$14),2))</f>
        <v/>
      </c>
      <c r="O904" s="90">
        <f>IF(OR($M904="",$E904=""),"",ROUND($M904*IFERROR(IF(VLOOKUP($E904,Setup!$A$76:$C$87,3,FALSE)="",Setup!$B$15,VLOOKUP($E904,Setup!$A$76:$C$87,3,FALSE)),Setup!$B$15),2))</f>
        <v/>
      </c>
      <c r="P904" s="99" t="n"/>
      <c r="Q904" s="99" t="n"/>
      <c r="R904" s="99" t="n"/>
      <c r="S904" s="99" t="n"/>
      <c r="T904" s="99" t="n"/>
      <c r="U904" s="90">
        <f>IF($K904="","",SUM($R904:$T904))</f>
        <v/>
      </c>
      <c r="V904" s="90">
        <f>IF($K904="","",$M904-(N($N904)+N($O904)+IF($P904="",Setup!$B$17,$P904)+N($Q904))-N($U904))</f>
        <v/>
      </c>
      <c r="W904" s="95" t="n"/>
      <c r="X904" s="96" t="n"/>
      <c r="Z904" s="93">
        <f>IF($A904="","",DATE(YEAR($A904),MONTH($A904),1))</f>
        <v/>
      </c>
    </row>
    <row r="905">
      <c r="A905" s="86" t="n"/>
      <c r="B905" s="87" t="n"/>
      <c r="C905" s="87" t="n"/>
      <c r="D905" s="88" t="n"/>
      <c r="E905" s="88" t="n"/>
      <c r="F905" s="88" t="n"/>
      <c r="G905" s="88" t="n"/>
      <c r="H905" s="89" t="n"/>
      <c r="I905" s="90">
        <f>IF($G905="","",IF($F905="",IFERROR(INDEX(Setup!$C$21:$C$60,MATCH("|"&amp;UPPER(TRIM($G905)),Setup!$Q$21:$Q$60,0)),"NO RATE"),IFERROR(INDEX(Setup!$C$21:$C$60,MATCH(UPPER(TRIM($F905))&amp;"|"&amp;UPPER(TRIM($G905)),Setup!$P$21:$P$60,0)),IFERROR(INDEX(Setup!$C$21:$C$60,MATCH(UPPER(TRIM($G905))&amp;"|"&amp;UPPER(TRIM($F905)),Setup!$P$21:$P$60,0)),"NO RATE"))))</f>
        <v/>
      </c>
      <c r="J905" s="91" t="n"/>
      <c r="K905" s="90">
        <f>IF(OR($G905="",$H905="",NOT(ISNUMBER($I905))),"",ROUND($H905*$I905*(1+IF($J905="",Setup!$B$16,$J905)),2))</f>
        <v/>
      </c>
      <c r="L905" s="90">
        <f>IF($K905="","",ROUND($K905*Setup!$B$13,2))</f>
        <v/>
      </c>
      <c r="M905" s="90">
        <f>IF($K905="","",$K905-$L905)</f>
        <v/>
      </c>
      <c r="N905" s="90">
        <f>IF(OR($M905="",$D905=""),"",ROUND($M905*IFERROR(IF(VLOOKUP($D905,Setup!$A$76:$C$87,3,FALSE)="",Setup!$B$14,VLOOKUP($D905,Setup!$A$76:$C$87,3,FALSE)),Setup!$B$14),2))</f>
        <v/>
      </c>
      <c r="O905" s="90">
        <f>IF(OR($M905="",$E905=""),"",ROUND($M905*IFERROR(IF(VLOOKUP($E905,Setup!$A$76:$C$87,3,FALSE)="",Setup!$B$15,VLOOKUP($E905,Setup!$A$76:$C$87,3,FALSE)),Setup!$B$15),2))</f>
        <v/>
      </c>
      <c r="P905" s="92" t="n"/>
      <c r="Q905" s="92" t="n"/>
      <c r="R905" s="92" t="n"/>
      <c r="S905" s="92" t="n"/>
      <c r="T905" s="92" t="n"/>
      <c r="U905" s="90">
        <f>IF($K905="","",SUM($R905:$T905))</f>
        <v/>
      </c>
      <c r="V905" s="90">
        <f>IF($K905="","",$M905-(N($N905)+N($O905)+IF($P905="",Setup!$B$17,$P905)+N($Q905))-N($U905))</f>
        <v/>
      </c>
      <c r="W905" s="87" t="n"/>
      <c r="X905" s="88" t="n"/>
      <c r="Z905" s="93">
        <f>IF($A905="","",DATE(YEAR($A905),MONTH($A905),1))</f>
        <v/>
      </c>
    </row>
    <row r="906">
      <c r="A906" s="94" t="n"/>
      <c r="B906" s="95" t="n"/>
      <c r="C906" s="95" t="n"/>
      <c r="D906" s="96" t="n"/>
      <c r="E906" s="96" t="n"/>
      <c r="F906" s="96" t="n"/>
      <c r="G906" s="96" t="n"/>
      <c r="H906" s="97" t="n"/>
      <c r="I906" s="90">
        <f>IF($G906="","",IF($F906="",IFERROR(INDEX(Setup!$C$21:$C$60,MATCH("|"&amp;UPPER(TRIM($G906)),Setup!$Q$21:$Q$60,0)),"NO RATE"),IFERROR(INDEX(Setup!$C$21:$C$60,MATCH(UPPER(TRIM($F906))&amp;"|"&amp;UPPER(TRIM($G906)),Setup!$P$21:$P$60,0)),IFERROR(INDEX(Setup!$C$21:$C$60,MATCH(UPPER(TRIM($G906))&amp;"|"&amp;UPPER(TRIM($F906)),Setup!$P$21:$P$60,0)),"NO RATE"))))</f>
        <v/>
      </c>
      <c r="J906" s="98" t="n"/>
      <c r="K906" s="90">
        <f>IF(OR($G906="",$H906="",NOT(ISNUMBER($I906))),"",ROUND($H906*$I906*(1+IF($J906="",Setup!$B$16,$J906)),2))</f>
        <v/>
      </c>
      <c r="L906" s="90">
        <f>IF($K906="","",ROUND($K906*Setup!$B$13,2))</f>
        <v/>
      </c>
      <c r="M906" s="90">
        <f>IF($K906="","",$K906-$L906)</f>
        <v/>
      </c>
      <c r="N906" s="90">
        <f>IF(OR($M906="",$D906=""),"",ROUND($M906*IFERROR(IF(VLOOKUP($D906,Setup!$A$76:$C$87,3,FALSE)="",Setup!$B$14,VLOOKUP($D906,Setup!$A$76:$C$87,3,FALSE)),Setup!$B$14),2))</f>
        <v/>
      </c>
      <c r="O906" s="90">
        <f>IF(OR($M906="",$E906=""),"",ROUND($M906*IFERROR(IF(VLOOKUP($E906,Setup!$A$76:$C$87,3,FALSE)="",Setup!$B$15,VLOOKUP($E906,Setup!$A$76:$C$87,3,FALSE)),Setup!$B$15),2))</f>
        <v/>
      </c>
      <c r="P906" s="99" t="n"/>
      <c r="Q906" s="99" t="n"/>
      <c r="R906" s="99" t="n"/>
      <c r="S906" s="99" t="n"/>
      <c r="T906" s="99" t="n"/>
      <c r="U906" s="90">
        <f>IF($K906="","",SUM($R906:$T906))</f>
        <v/>
      </c>
      <c r="V906" s="90">
        <f>IF($K906="","",$M906-(N($N906)+N($O906)+IF($P906="",Setup!$B$17,$P906)+N($Q906))-N($U906))</f>
        <v/>
      </c>
      <c r="W906" s="95" t="n"/>
      <c r="X906" s="96" t="n"/>
      <c r="Z906" s="93">
        <f>IF($A906="","",DATE(YEAR($A906),MONTH($A906),1))</f>
        <v/>
      </c>
    </row>
    <row r="907">
      <c r="A907" s="86" t="n"/>
      <c r="B907" s="87" t="n"/>
      <c r="C907" s="87" t="n"/>
      <c r="D907" s="88" t="n"/>
      <c r="E907" s="88" t="n"/>
      <c r="F907" s="88" t="n"/>
      <c r="G907" s="88" t="n"/>
      <c r="H907" s="89" t="n"/>
      <c r="I907" s="90">
        <f>IF($G907="","",IF($F907="",IFERROR(INDEX(Setup!$C$21:$C$60,MATCH("|"&amp;UPPER(TRIM($G907)),Setup!$Q$21:$Q$60,0)),"NO RATE"),IFERROR(INDEX(Setup!$C$21:$C$60,MATCH(UPPER(TRIM($F907))&amp;"|"&amp;UPPER(TRIM($G907)),Setup!$P$21:$P$60,0)),IFERROR(INDEX(Setup!$C$21:$C$60,MATCH(UPPER(TRIM($G907))&amp;"|"&amp;UPPER(TRIM($F907)),Setup!$P$21:$P$60,0)),"NO RATE"))))</f>
        <v/>
      </c>
      <c r="J907" s="91" t="n"/>
      <c r="K907" s="90">
        <f>IF(OR($G907="",$H907="",NOT(ISNUMBER($I907))),"",ROUND($H907*$I907*(1+IF($J907="",Setup!$B$16,$J907)),2))</f>
        <v/>
      </c>
      <c r="L907" s="90">
        <f>IF($K907="","",ROUND($K907*Setup!$B$13,2))</f>
        <v/>
      </c>
      <c r="M907" s="90">
        <f>IF($K907="","",$K907-$L907)</f>
        <v/>
      </c>
      <c r="N907" s="90">
        <f>IF(OR($M907="",$D907=""),"",ROUND($M907*IFERROR(IF(VLOOKUP($D907,Setup!$A$76:$C$87,3,FALSE)="",Setup!$B$14,VLOOKUP($D907,Setup!$A$76:$C$87,3,FALSE)),Setup!$B$14),2))</f>
        <v/>
      </c>
      <c r="O907" s="90">
        <f>IF(OR($M907="",$E907=""),"",ROUND($M907*IFERROR(IF(VLOOKUP($E907,Setup!$A$76:$C$87,3,FALSE)="",Setup!$B$15,VLOOKUP($E907,Setup!$A$76:$C$87,3,FALSE)),Setup!$B$15),2))</f>
        <v/>
      </c>
      <c r="P907" s="92" t="n"/>
      <c r="Q907" s="92" t="n"/>
      <c r="R907" s="92" t="n"/>
      <c r="S907" s="92" t="n"/>
      <c r="T907" s="92" t="n"/>
      <c r="U907" s="90">
        <f>IF($K907="","",SUM($R907:$T907))</f>
        <v/>
      </c>
      <c r="V907" s="90">
        <f>IF($K907="","",$M907-(N($N907)+N($O907)+IF($P907="",Setup!$B$17,$P907)+N($Q907))-N($U907))</f>
        <v/>
      </c>
      <c r="W907" s="87" t="n"/>
      <c r="X907" s="88" t="n"/>
      <c r="Z907" s="93">
        <f>IF($A907="","",DATE(YEAR($A907),MONTH($A907),1))</f>
        <v/>
      </c>
    </row>
    <row r="908">
      <c r="A908" s="94" t="n"/>
      <c r="B908" s="95" t="n"/>
      <c r="C908" s="95" t="n"/>
      <c r="D908" s="96" t="n"/>
      <c r="E908" s="96" t="n"/>
      <c r="F908" s="96" t="n"/>
      <c r="G908" s="96" t="n"/>
      <c r="H908" s="97" t="n"/>
      <c r="I908" s="90">
        <f>IF($G908="","",IF($F908="",IFERROR(INDEX(Setup!$C$21:$C$60,MATCH("|"&amp;UPPER(TRIM($G908)),Setup!$Q$21:$Q$60,0)),"NO RATE"),IFERROR(INDEX(Setup!$C$21:$C$60,MATCH(UPPER(TRIM($F908))&amp;"|"&amp;UPPER(TRIM($G908)),Setup!$P$21:$P$60,0)),IFERROR(INDEX(Setup!$C$21:$C$60,MATCH(UPPER(TRIM($G908))&amp;"|"&amp;UPPER(TRIM($F908)),Setup!$P$21:$P$60,0)),"NO RATE"))))</f>
        <v/>
      </c>
      <c r="J908" s="98" t="n"/>
      <c r="K908" s="90">
        <f>IF(OR($G908="",$H908="",NOT(ISNUMBER($I908))),"",ROUND($H908*$I908*(1+IF($J908="",Setup!$B$16,$J908)),2))</f>
        <v/>
      </c>
      <c r="L908" s="90">
        <f>IF($K908="","",ROUND($K908*Setup!$B$13,2))</f>
        <v/>
      </c>
      <c r="M908" s="90">
        <f>IF($K908="","",$K908-$L908)</f>
        <v/>
      </c>
      <c r="N908" s="90">
        <f>IF(OR($M908="",$D908=""),"",ROUND($M908*IFERROR(IF(VLOOKUP($D908,Setup!$A$76:$C$87,3,FALSE)="",Setup!$B$14,VLOOKUP($D908,Setup!$A$76:$C$87,3,FALSE)),Setup!$B$14),2))</f>
        <v/>
      </c>
      <c r="O908" s="90">
        <f>IF(OR($M908="",$E908=""),"",ROUND($M908*IFERROR(IF(VLOOKUP($E908,Setup!$A$76:$C$87,3,FALSE)="",Setup!$B$15,VLOOKUP($E908,Setup!$A$76:$C$87,3,FALSE)),Setup!$B$15),2))</f>
        <v/>
      </c>
      <c r="P908" s="99" t="n"/>
      <c r="Q908" s="99" t="n"/>
      <c r="R908" s="99" t="n"/>
      <c r="S908" s="99" t="n"/>
      <c r="T908" s="99" t="n"/>
      <c r="U908" s="90">
        <f>IF($K908="","",SUM($R908:$T908))</f>
        <v/>
      </c>
      <c r="V908" s="90">
        <f>IF($K908="","",$M908-(N($N908)+N($O908)+IF($P908="",Setup!$B$17,$P908)+N($Q908))-N($U908))</f>
        <v/>
      </c>
      <c r="W908" s="95" t="n"/>
      <c r="X908" s="96" t="n"/>
      <c r="Z908" s="93">
        <f>IF($A908="","",DATE(YEAR($A908),MONTH($A908),1))</f>
        <v/>
      </c>
    </row>
    <row r="909">
      <c r="A909" s="86" t="n"/>
      <c r="B909" s="87" t="n"/>
      <c r="C909" s="87" t="n"/>
      <c r="D909" s="88" t="n"/>
      <c r="E909" s="88" t="n"/>
      <c r="F909" s="88" t="n"/>
      <c r="G909" s="88" t="n"/>
      <c r="H909" s="89" t="n"/>
      <c r="I909" s="90">
        <f>IF($G909="","",IF($F909="",IFERROR(INDEX(Setup!$C$21:$C$60,MATCH("|"&amp;UPPER(TRIM($G909)),Setup!$Q$21:$Q$60,0)),"NO RATE"),IFERROR(INDEX(Setup!$C$21:$C$60,MATCH(UPPER(TRIM($F909))&amp;"|"&amp;UPPER(TRIM($G909)),Setup!$P$21:$P$60,0)),IFERROR(INDEX(Setup!$C$21:$C$60,MATCH(UPPER(TRIM($G909))&amp;"|"&amp;UPPER(TRIM($F909)),Setup!$P$21:$P$60,0)),"NO RATE"))))</f>
        <v/>
      </c>
      <c r="J909" s="91" t="n"/>
      <c r="K909" s="90">
        <f>IF(OR($G909="",$H909="",NOT(ISNUMBER($I909))),"",ROUND($H909*$I909*(1+IF($J909="",Setup!$B$16,$J909)),2))</f>
        <v/>
      </c>
      <c r="L909" s="90">
        <f>IF($K909="","",ROUND($K909*Setup!$B$13,2))</f>
        <v/>
      </c>
      <c r="M909" s="90">
        <f>IF($K909="","",$K909-$L909)</f>
        <v/>
      </c>
      <c r="N909" s="90">
        <f>IF(OR($M909="",$D909=""),"",ROUND($M909*IFERROR(IF(VLOOKUP($D909,Setup!$A$76:$C$87,3,FALSE)="",Setup!$B$14,VLOOKUP($D909,Setup!$A$76:$C$87,3,FALSE)),Setup!$B$14),2))</f>
        <v/>
      </c>
      <c r="O909" s="90">
        <f>IF(OR($M909="",$E909=""),"",ROUND($M909*IFERROR(IF(VLOOKUP($E909,Setup!$A$76:$C$87,3,FALSE)="",Setup!$B$15,VLOOKUP($E909,Setup!$A$76:$C$87,3,FALSE)),Setup!$B$15),2))</f>
        <v/>
      </c>
      <c r="P909" s="92" t="n"/>
      <c r="Q909" s="92" t="n"/>
      <c r="R909" s="92" t="n"/>
      <c r="S909" s="92" t="n"/>
      <c r="T909" s="92" t="n"/>
      <c r="U909" s="90">
        <f>IF($K909="","",SUM($R909:$T909))</f>
        <v/>
      </c>
      <c r="V909" s="90">
        <f>IF($K909="","",$M909-(N($N909)+N($O909)+IF($P909="",Setup!$B$17,$P909)+N($Q909))-N($U909))</f>
        <v/>
      </c>
      <c r="W909" s="87" t="n"/>
      <c r="X909" s="88" t="n"/>
      <c r="Z909" s="93">
        <f>IF($A909="","",DATE(YEAR($A909),MONTH($A909),1))</f>
        <v/>
      </c>
    </row>
    <row r="910">
      <c r="A910" s="94" t="n"/>
      <c r="B910" s="95" t="n"/>
      <c r="C910" s="95" t="n"/>
      <c r="D910" s="96" t="n"/>
      <c r="E910" s="96" t="n"/>
      <c r="F910" s="96" t="n"/>
      <c r="G910" s="96" t="n"/>
      <c r="H910" s="97" t="n"/>
      <c r="I910" s="90">
        <f>IF($G910="","",IF($F910="",IFERROR(INDEX(Setup!$C$21:$C$60,MATCH("|"&amp;UPPER(TRIM($G910)),Setup!$Q$21:$Q$60,0)),"NO RATE"),IFERROR(INDEX(Setup!$C$21:$C$60,MATCH(UPPER(TRIM($F910))&amp;"|"&amp;UPPER(TRIM($G910)),Setup!$P$21:$P$60,0)),IFERROR(INDEX(Setup!$C$21:$C$60,MATCH(UPPER(TRIM($G910))&amp;"|"&amp;UPPER(TRIM($F910)),Setup!$P$21:$P$60,0)),"NO RATE"))))</f>
        <v/>
      </c>
      <c r="J910" s="98" t="n"/>
      <c r="K910" s="90">
        <f>IF(OR($G910="",$H910="",NOT(ISNUMBER($I910))),"",ROUND($H910*$I910*(1+IF($J910="",Setup!$B$16,$J910)),2))</f>
        <v/>
      </c>
      <c r="L910" s="90">
        <f>IF($K910="","",ROUND($K910*Setup!$B$13,2))</f>
        <v/>
      </c>
      <c r="M910" s="90">
        <f>IF($K910="","",$K910-$L910)</f>
        <v/>
      </c>
      <c r="N910" s="90">
        <f>IF(OR($M910="",$D910=""),"",ROUND($M910*IFERROR(IF(VLOOKUP($D910,Setup!$A$76:$C$87,3,FALSE)="",Setup!$B$14,VLOOKUP($D910,Setup!$A$76:$C$87,3,FALSE)),Setup!$B$14),2))</f>
        <v/>
      </c>
      <c r="O910" s="90">
        <f>IF(OR($M910="",$E910=""),"",ROUND($M910*IFERROR(IF(VLOOKUP($E910,Setup!$A$76:$C$87,3,FALSE)="",Setup!$B$15,VLOOKUP($E910,Setup!$A$76:$C$87,3,FALSE)),Setup!$B$15),2))</f>
        <v/>
      </c>
      <c r="P910" s="99" t="n"/>
      <c r="Q910" s="99" t="n"/>
      <c r="R910" s="99" t="n"/>
      <c r="S910" s="99" t="n"/>
      <c r="T910" s="99" t="n"/>
      <c r="U910" s="90">
        <f>IF($K910="","",SUM($R910:$T910))</f>
        <v/>
      </c>
      <c r="V910" s="90">
        <f>IF($K910="","",$M910-(N($N910)+N($O910)+IF($P910="",Setup!$B$17,$P910)+N($Q910))-N($U910))</f>
        <v/>
      </c>
      <c r="W910" s="95" t="n"/>
      <c r="X910" s="96" t="n"/>
      <c r="Z910" s="93">
        <f>IF($A910="","",DATE(YEAR($A910),MONTH($A910),1))</f>
        <v/>
      </c>
    </row>
    <row r="911">
      <c r="A911" s="86" t="n"/>
      <c r="B911" s="87" t="n"/>
      <c r="C911" s="87" t="n"/>
      <c r="D911" s="88" t="n"/>
      <c r="E911" s="88" t="n"/>
      <c r="F911" s="88" t="n"/>
      <c r="G911" s="88" t="n"/>
      <c r="H911" s="89" t="n"/>
      <c r="I911" s="90">
        <f>IF($G911="","",IF($F911="",IFERROR(INDEX(Setup!$C$21:$C$60,MATCH("|"&amp;UPPER(TRIM($G911)),Setup!$Q$21:$Q$60,0)),"NO RATE"),IFERROR(INDEX(Setup!$C$21:$C$60,MATCH(UPPER(TRIM($F911))&amp;"|"&amp;UPPER(TRIM($G911)),Setup!$P$21:$P$60,0)),IFERROR(INDEX(Setup!$C$21:$C$60,MATCH(UPPER(TRIM($G911))&amp;"|"&amp;UPPER(TRIM($F911)),Setup!$P$21:$P$60,0)),"NO RATE"))))</f>
        <v/>
      </c>
      <c r="J911" s="91" t="n"/>
      <c r="K911" s="90">
        <f>IF(OR($G911="",$H911="",NOT(ISNUMBER($I911))),"",ROUND($H911*$I911*(1+IF($J911="",Setup!$B$16,$J911)),2))</f>
        <v/>
      </c>
      <c r="L911" s="90">
        <f>IF($K911="","",ROUND($K911*Setup!$B$13,2))</f>
        <v/>
      </c>
      <c r="M911" s="90">
        <f>IF($K911="","",$K911-$L911)</f>
        <v/>
      </c>
      <c r="N911" s="90">
        <f>IF(OR($M911="",$D911=""),"",ROUND($M911*IFERROR(IF(VLOOKUP($D911,Setup!$A$76:$C$87,3,FALSE)="",Setup!$B$14,VLOOKUP($D911,Setup!$A$76:$C$87,3,FALSE)),Setup!$B$14),2))</f>
        <v/>
      </c>
      <c r="O911" s="90">
        <f>IF(OR($M911="",$E911=""),"",ROUND($M911*IFERROR(IF(VLOOKUP($E911,Setup!$A$76:$C$87,3,FALSE)="",Setup!$B$15,VLOOKUP($E911,Setup!$A$76:$C$87,3,FALSE)),Setup!$B$15),2))</f>
        <v/>
      </c>
      <c r="P911" s="92" t="n"/>
      <c r="Q911" s="92" t="n"/>
      <c r="R911" s="92" t="n"/>
      <c r="S911" s="92" t="n"/>
      <c r="T911" s="92" t="n"/>
      <c r="U911" s="90">
        <f>IF($K911="","",SUM($R911:$T911))</f>
        <v/>
      </c>
      <c r="V911" s="90">
        <f>IF($K911="","",$M911-(N($N911)+N($O911)+IF($P911="",Setup!$B$17,$P911)+N($Q911))-N($U911))</f>
        <v/>
      </c>
      <c r="W911" s="87" t="n"/>
      <c r="X911" s="88" t="n"/>
      <c r="Z911" s="93">
        <f>IF($A911="","",DATE(YEAR($A911),MONTH($A911),1))</f>
        <v/>
      </c>
    </row>
    <row r="912">
      <c r="A912" s="94" t="n"/>
      <c r="B912" s="95" t="n"/>
      <c r="C912" s="95" t="n"/>
      <c r="D912" s="96" t="n"/>
      <c r="E912" s="96" t="n"/>
      <c r="F912" s="96" t="n"/>
      <c r="G912" s="96" t="n"/>
      <c r="H912" s="97" t="n"/>
      <c r="I912" s="90">
        <f>IF($G912="","",IF($F912="",IFERROR(INDEX(Setup!$C$21:$C$60,MATCH("|"&amp;UPPER(TRIM($G912)),Setup!$Q$21:$Q$60,0)),"NO RATE"),IFERROR(INDEX(Setup!$C$21:$C$60,MATCH(UPPER(TRIM($F912))&amp;"|"&amp;UPPER(TRIM($G912)),Setup!$P$21:$P$60,0)),IFERROR(INDEX(Setup!$C$21:$C$60,MATCH(UPPER(TRIM($G912))&amp;"|"&amp;UPPER(TRIM($F912)),Setup!$P$21:$P$60,0)),"NO RATE"))))</f>
        <v/>
      </c>
      <c r="J912" s="98" t="n"/>
      <c r="K912" s="90">
        <f>IF(OR($G912="",$H912="",NOT(ISNUMBER($I912))),"",ROUND($H912*$I912*(1+IF($J912="",Setup!$B$16,$J912)),2))</f>
        <v/>
      </c>
      <c r="L912" s="90">
        <f>IF($K912="","",ROUND($K912*Setup!$B$13,2))</f>
        <v/>
      </c>
      <c r="M912" s="90">
        <f>IF($K912="","",$K912-$L912)</f>
        <v/>
      </c>
      <c r="N912" s="90">
        <f>IF(OR($M912="",$D912=""),"",ROUND($M912*IFERROR(IF(VLOOKUP($D912,Setup!$A$76:$C$87,3,FALSE)="",Setup!$B$14,VLOOKUP($D912,Setup!$A$76:$C$87,3,FALSE)),Setup!$B$14),2))</f>
        <v/>
      </c>
      <c r="O912" s="90">
        <f>IF(OR($M912="",$E912=""),"",ROUND($M912*IFERROR(IF(VLOOKUP($E912,Setup!$A$76:$C$87,3,FALSE)="",Setup!$B$15,VLOOKUP($E912,Setup!$A$76:$C$87,3,FALSE)),Setup!$B$15),2))</f>
        <v/>
      </c>
      <c r="P912" s="99" t="n"/>
      <c r="Q912" s="99" t="n"/>
      <c r="R912" s="99" t="n"/>
      <c r="S912" s="99" t="n"/>
      <c r="T912" s="99" t="n"/>
      <c r="U912" s="90">
        <f>IF($K912="","",SUM($R912:$T912))</f>
        <v/>
      </c>
      <c r="V912" s="90">
        <f>IF($K912="","",$M912-(N($N912)+N($O912)+IF($P912="",Setup!$B$17,$P912)+N($Q912))-N($U912))</f>
        <v/>
      </c>
      <c r="W912" s="95" t="n"/>
      <c r="X912" s="96" t="n"/>
      <c r="Z912" s="93">
        <f>IF($A912="","",DATE(YEAR($A912),MONTH($A912),1))</f>
        <v/>
      </c>
    </row>
    <row r="913">
      <c r="A913" s="86" t="n"/>
      <c r="B913" s="87" t="n"/>
      <c r="C913" s="87" t="n"/>
      <c r="D913" s="88" t="n"/>
      <c r="E913" s="88" t="n"/>
      <c r="F913" s="88" t="n"/>
      <c r="G913" s="88" t="n"/>
      <c r="H913" s="89" t="n"/>
      <c r="I913" s="90">
        <f>IF($G913="","",IF($F913="",IFERROR(INDEX(Setup!$C$21:$C$60,MATCH("|"&amp;UPPER(TRIM($G913)),Setup!$Q$21:$Q$60,0)),"NO RATE"),IFERROR(INDEX(Setup!$C$21:$C$60,MATCH(UPPER(TRIM($F913))&amp;"|"&amp;UPPER(TRIM($G913)),Setup!$P$21:$P$60,0)),IFERROR(INDEX(Setup!$C$21:$C$60,MATCH(UPPER(TRIM($G913))&amp;"|"&amp;UPPER(TRIM($F913)),Setup!$P$21:$P$60,0)),"NO RATE"))))</f>
        <v/>
      </c>
      <c r="J913" s="91" t="n"/>
      <c r="K913" s="90">
        <f>IF(OR($G913="",$H913="",NOT(ISNUMBER($I913))),"",ROUND($H913*$I913*(1+IF($J913="",Setup!$B$16,$J913)),2))</f>
        <v/>
      </c>
      <c r="L913" s="90">
        <f>IF($K913="","",ROUND($K913*Setup!$B$13,2))</f>
        <v/>
      </c>
      <c r="M913" s="90">
        <f>IF($K913="","",$K913-$L913)</f>
        <v/>
      </c>
      <c r="N913" s="90">
        <f>IF(OR($M913="",$D913=""),"",ROUND($M913*IFERROR(IF(VLOOKUP($D913,Setup!$A$76:$C$87,3,FALSE)="",Setup!$B$14,VLOOKUP($D913,Setup!$A$76:$C$87,3,FALSE)),Setup!$B$14),2))</f>
        <v/>
      </c>
      <c r="O913" s="90">
        <f>IF(OR($M913="",$E913=""),"",ROUND($M913*IFERROR(IF(VLOOKUP($E913,Setup!$A$76:$C$87,3,FALSE)="",Setup!$B$15,VLOOKUP($E913,Setup!$A$76:$C$87,3,FALSE)),Setup!$B$15),2))</f>
        <v/>
      </c>
      <c r="P913" s="92" t="n"/>
      <c r="Q913" s="92" t="n"/>
      <c r="R913" s="92" t="n"/>
      <c r="S913" s="92" t="n"/>
      <c r="T913" s="92" t="n"/>
      <c r="U913" s="90">
        <f>IF($K913="","",SUM($R913:$T913))</f>
        <v/>
      </c>
      <c r="V913" s="90">
        <f>IF($K913="","",$M913-(N($N913)+N($O913)+IF($P913="",Setup!$B$17,$P913)+N($Q913))-N($U913))</f>
        <v/>
      </c>
      <c r="W913" s="87" t="n"/>
      <c r="X913" s="88" t="n"/>
      <c r="Z913" s="93">
        <f>IF($A913="","",DATE(YEAR($A913),MONTH($A913),1))</f>
        <v/>
      </c>
    </row>
    <row r="914">
      <c r="A914" s="94" t="n"/>
      <c r="B914" s="95" t="n"/>
      <c r="C914" s="95" t="n"/>
      <c r="D914" s="96" t="n"/>
      <c r="E914" s="96" t="n"/>
      <c r="F914" s="96" t="n"/>
      <c r="G914" s="96" t="n"/>
      <c r="H914" s="97" t="n"/>
      <c r="I914" s="90">
        <f>IF($G914="","",IF($F914="",IFERROR(INDEX(Setup!$C$21:$C$60,MATCH("|"&amp;UPPER(TRIM($G914)),Setup!$Q$21:$Q$60,0)),"NO RATE"),IFERROR(INDEX(Setup!$C$21:$C$60,MATCH(UPPER(TRIM($F914))&amp;"|"&amp;UPPER(TRIM($G914)),Setup!$P$21:$P$60,0)),IFERROR(INDEX(Setup!$C$21:$C$60,MATCH(UPPER(TRIM($G914))&amp;"|"&amp;UPPER(TRIM($F914)),Setup!$P$21:$P$60,0)),"NO RATE"))))</f>
        <v/>
      </c>
      <c r="J914" s="98" t="n"/>
      <c r="K914" s="90">
        <f>IF(OR($G914="",$H914="",NOT(ISNUMBER($I914))),"",ROUND($H914*$I914*(1+IF($J914="",Setup!$B$16,$J914)),2))</f>
        <v/>
      </c>
      <c r="L914" s="90">
        <f>IF($K914="","",ROUND($K914*Setup!$B$13,2))</f>
        <v/>
      </c>
      <c r="M914" s="90">
        <f>IF($K914="","",$K914-$L914)</f>
        <v/>
      </c>
      <c r="N914" s="90">
        <f>IF(OR($M914="",$D914=""),"",ROUND($M914*IFERROR(IF(VLOOKUP($D914,Setup!$A$76:$C$87,3,FALSE)="",Setup!$B$14,VLOOKUP($D914,Setup!$A$76:$C$87,3,FALSE)),Setup!$B$14),2))</f>
        <v/>
      </c>
      <c r="O914" s="90">
        <f>IF(OR($M914="",$E914=""),"",ROUND($M914*IFERROR(IF(VLOOKUP($E914,Setup!$A$76:$C$87,3,FALSE)="",Setup!$B$15,VLOOKUP($E914,Setup!$A$76:$C$87,3,FALSE)),Setup!$B$15),2))</f>
        <v/>
      </c>
      <c r="P914" s="99" t="n"/>
      <c r="Q914" s="99" t="n"/>
      <c r="R914" s="99" t="n"/>
      <c r="S914" s="99" t="n"/>
      <c r="T914" s="99" t="n"/>
      <c r="U914" s="90">
        <f>IF($K914="","",SUM($R914:$T914))</f>
        <v/>
      </c>
      <c r="V914" s="90">
        <f>IF($K914="","",$M914-(N($N914)+N($O914)+IF($P914="",Setup!$B$17,$P914)+N($Q914))-N($U914))</f>
        <v/>
      </c>
      <c r="W914" s="95" t="n"/>
      <c r="X914" s="96" t="n"/>
      <c r="Z914" s="93">
        <f>IF($A914="","",DATE(YEAR($A914),MONTH($A914),1))</f>
        <v/>
      </c>
    </row>
    <row r="915">
      <c r="A915" s="86" t="n"/>
      <c r="B915" s="87" t="n"/>
      <c r="C915" s="87" t="n"/>
      <c r="D915" s="88" t="n"/>
      <c r="E915" s="88" t="n"/>
      <c r="F915" s="88" t="n"/>
      <c r="G915" s="88" t="n"/>
      <c r="H915" s="89" t="n"/>
      <c r="I915" s="90">
        <f>IF($G915="","",IF($F915="",IFERROR(INDEX(Setup!$C$21:$C$60,MATCH("|"&amp;UPPER(TRIM($G915)),Setup!$Q$21:$Q$60,0)),"NO RATE"),IFERROR(INDEX(Setup!$C$21:$C$60,MATCH(UPPER(TRIM($F915))&amp;"|"&amp;UPPER(TRIM($G915)),Setup!$P$21:$P$60,0)),IFERROR(INDEX(Setup!$C$21:$C$60,MATCH(UPPER(TRIM($G915))&amp;"|"&amp;UPPER(TRIM($F915)),Setup!$P$21:$P$60,0)),"NO RATE"))))</f>
        <v/>
      </c>
      <c r="J915" s="91" t="n"/>
      <c r="K915" s="90">
        <f>IF(OR($G915="",$H915="",NOT(ISNUMBER($I915))),"",ROUND($H915*$I915*(1+IF($J915="",Setup!$B$16,$J915)),2))</f>
        <v/>
      </c>
      <c r="L915" s="90">
        <f>IF($K915="","",ROUND($K915*Setup!$B$13,2))</f>
        <v/>
      </c>
      <c r="M915" s="90">
        <f>IF($K915="","",$K915-$L915)</f>
        <v/>
      </c>
      <c r="N915" s="90">
        <f>IF(OR($M915="",$D915=""),"",ROUND($M915*IFERROR(IF(VLOOKUP($D915,Setup!$A$76:$C$87,3,FALSE)="",Setup!$B$14,VLOOKUP($D915,Setup!$A$76:$C$87,3,FALSE)),Setup!$B$14),2))</f>
        <v/>
      </c>
      <c r="O915" s="90">
        <f>IF(OR($M915="",$E915=""),"",ROUND($M915*IFERROR(IF(VLOOKUP($E915,Setup!$A$76:$C$87,3,FALSE)="",Setup!$B$15,VLOOKUP($E915,Setup!$A$76:$C$87,3,FALSE)),Setup!$B$15),2))</f>
        <v/>
      </c>
      <c r="P915" s="92" t="n"/>
      <c r="Q915" s="92" t="n"/>
      <c r="R915" s="92" t="n"/>
      <c r="S915" s="92" t="n"/>
      <c r="T915" s="92" t="n"/>
      <c r="U915" s="90">
        <f>IF($K915="","",SUM($R915:$T915))</f>
        <v/>
      </c>
      <c r="V915" s="90">
        <f>IF($K915="","",$M915-(N($N915)+N($O915)+IF($P915="",Setup!$B$17,$P915)+N($Q915))-N($U915))</f>
        <v/>
      </c>
      <c r="W915" s="87" t="n"/>
      <c r="X915" s="88" t="n"/>
      <c r="Z915" s="93">
        <f>IF($A915="","",DATE(YEAR($A915),MONTH($A915),1))</f>
        <v/>
      </c>
    </row>
    <row r="916">
      <c r="A916" s="94" t="n"/>
      <c r="B916" s="95" t="n"/>
      <c r="C916" s="95" t="n"/>
      <c r="D916" s="96" t="n"/>
      <c r="E916" s="96" t="n"/>
      <c r="F916" s="96" t="n"/>
      <c r="G916" s="96" t="n"/>
      <c r="H916" s="97" t="n"/>
      <c r="I916" s="90">
        <f>IF($G916="","",IF($F916="",IFERROR(INDEX(Setup!$C$21:$C$60,MATCH("|"&amp;UPPER(TRIM($G916)),Setup!$Q$21:$Q$60,0)),"NO RATE"),IFERROR(INDEX(Setup!$C$21:$C$60,MATCH(UPPER(TRIM($F916))&amp;"|"&amp;UPPER(TRIM($G916)),Setup!$P$21:$P$60,0)),IFERROR(INDEX(Setup!$C$21:$C$60,MATCH(UPPER(TRIM($G916))&amp;"|"&amp;UPPER(TRIM($F916)),Setup!$P$21:$P$60,0)),"NO RATE"))))</f>
        <v/>
      </c>
      <c r="J916" s="98" t="n"/>
      <c r="K916" s="90">
        <f>IF(OR($G916="",$H916="",NOT(ISNUMBER($I916))),"",ROUND($H916*$I916*(1+IF($J916="",Setup!$B$16,$J916)),2))</f>
        <v/>
      </c>
      <c r="L916" s="90">
        <f>IF($K916="","",ROUND($K916*Setup!$B$13,2))</f>
        <v/>
      </c>
      <c r="M916" s="90">
        <f>IF($K916="","",$K916-$L916)</f>
        <v/>
      </c>
      <c r="N916" s="90">
        <f>IF(OR($M916="",$D916=""),"",ROUND($M916*IFERROR(IF(VLOOKUP($D916,Setup!$A$76:$C$87,3,FALSE)="",Setup!$B$14,VLOOKUP($D916,Setup!$A$76:$C$87,3,FALSE)),Setup!$B$14),2))</f>
        <v/>
      </c>
      <c r="O916" s="90">
        <f>IF(OR($M916="",$E916=""),"",ROUND($M916*IFERROR(IF(VLOOKUP($E916,Setup!$A$76:$C$87,3,FALSE)="",Setup!$B$15,VLOOKUP($E916,Setup!$A$76:$C$87,3,FALSE)),Setup!$B$15),2))</f>
        <v/>
      </c>
      <c r="P916" s="99" t="n"/>
      <c r="Q916" s="99" t="n"/>
      <c r="R916" s="99" t="n"/>
      <c r="S916" s="99" t="n"/>
      <c r="T916" s="99" t="n"/>
      <c r="U916" s="90">
        <f>IF($K916="","",SUM($R916:$T916))</f>
        <v/>
      </c>
      <c r="V916" s="90">
        <f>IF($K916="","",$M916-(N($N916)+N($O916)+IF($P916="",Setup!$B$17,$P916)+N($Q916))-N($U916))</f>
        <v/>
      </c>
      <c r="W916" s="95" t="n"/>
      <c r="X916" s="96" t="n"/>
      <c r="Z916" s="93">
        <f>IF($A916="","",DATE(YEAR($A916),MONTH($A916),1))</f>
        <v/>
      </c>
    </row>
    <row r="917">
      <c r="A917" s="86" t="n"/>
      <c r="B917" s="87" t="n"/>
      <c r="C917" s="87" t="n"/>
      <c r="D917" s="88" t="n"/>
      <c r="E917" s="88" t="n"/>
      <c r="F917" s="88" t="n"/>
      <c r="G917" s="88" t="n"/>
      <c r="H917" s="89" t="n"/>
      <c r="I917" s="90">
        <f>IF($G917="","",IF($F917="",IFERROR(INDEX(Setup!$C$21:$C$60,MATCH("|"&amp;UPPER(TRIM($G917)),Setup!$Q$21:$Q$60,0)),"NO RATE"),IFERROR(INDEX(Setup!$C$21:$C$60,MATCH(UPPER(TRIM($F917))&amp;"|"&amp;UPPER(TRIM($G917)),Setup!$P$21:$P$60,0)),IFERROR(INDEX(Setup!$C$21:$C$60,MATCH(UPPER(TRIM($G917))&amp;"|"&amp;UPPER(TRIM($F917)),Setup!$P$21:$P$60,0)),"NO RATE"))))</f>
        <v/>
      </c>
      <c r="J917" s="91" t="n"/>
      <c r="K917" s="90">
        <f>IF(OR($G917="",$H917="",NOT(ISNUMBER($I917))),"",ROUND($H917*$I917*(1+IF($J917="",Setup!$B$16,$J917)),2))</f>
        <v/>
      </c>
      <c r="L917" s="90">
        <f>IF($K917="","",ROUND($K917*Setup!$B$13,2))</f>
        <v/>
      </c>
      <c r="M917" s="90">
        <f>IF($K917="","",$K917-$L917)</f>
        <v/>
      </c>
      <c r="N917" s="90">
        <f>IF(OR($M917="",$D917=""),"",ROUND($M917*IFERROR(IF(VLOOKUP($D917,Setup!$A$76:$C$87,3,FALSE)="",Setup!$B$14,VLOOKUP($D917,Setup!$A$76:$C$87,3,FALSE)),Setup!$B$14),2))</f>
        <v/>
      </c>
      <c r="O917" s="90">
        <f>IF(OR($M917="",$E917=""),"",ROUND($M917*IFERROR(IF(VLOOKUP($E917,Setup!$A$76:$C$87,3,FALSE)="",Setup!$B$15,VLOOKUP($E917,Setup!$A$76:$C$87,3,FALSE)),Setup!$B$15),2))</f>
        <v/>
      </c>
      <c r="P917" s="92" t="n"/>
      <c r="Q917" s="92" t="n"/>
      <c r="R917" s="92" t="n"/>
      <c r="S917" s="92" t="n"/>
      <c r="T917" s="92" t="n"/>
      <c r="U917" s="90">
        <f>IF($K917="","",SUM($R917:$T917))</f>
        <v/>
      </c>
      <c r="V917" s="90">
        <f>IF($K917="","",$M917-(N($N917)+N($O917)+IF($P917="",Setup!$B$17,$P917)+N($Q917))-N($U917))</f>
        <v/>
      </c>
      <c r="W917" s="87" t="n"/>
      <c r="X917" s="88" t="n"/>
      <c r="Z917" s="93">
        <f>IF($A917="","",DATE(YEAR($A917),MONTH($A917),1))</f>
        <v/>
      </c>
    </row>
    <row r="918">
      <c r="A918" s="94" t="n"/>
      <c r="B918" s="95" t="n"/>
      <c r="C918" s="95" t="n"/>
      <c r="D918" s="96" t="n"/>
      <c r="E918" s="96" t="n"/>
      <c r="F918" s="96" t="n"/>
      <c r="G918" s="96" t="n"/>
      <c r="H918" s="97" t="n"/>
      <c r="I918" s="90">
        <f>IF($G918="","",IF($F918="",IFERROR(INDEX(Setup!$C$21:$C$60,MATCH("|"&amp;UPPER(TRIM($G918)),Setup!$Q$21:$Q$60,0)),"NO RATE"),IFERROR(INDEX(Setup!$C$21:$C$60,MATCH(UPPER(TRIM($F918))&amp;"|"&amp;UPPER(TRIM($G918)),Setup!$P$21:$P$60,0)),IFERROR(INDEX(Setup!$C$21:$C$60,MATCH(UPPER(TRIM($G918))&amp;"|"&amp;UPPER(TRIM($F918)),Setup!$P$21:$P$60,0)),"NO RATE"))))</f>
        <v/>
      </c>
      <c r="J918" s="98" t="n"/>
      <c r="K918" s="90">
        <f>IF(OR($G918="",$H918="",NOT(ISNUMBER($I918))),"",ROUND($H918*$I918*(1+IF($J918="",Setup!$B$16,$J918)),2))</f>
        <v/>
      </c>
      <c r="L918" s="90">
        <f>IF($K918="","",ROUND($K918*Setup!$B$13,2))</f>
        <v/>
      </c>
      <c r="M918" s="90">
        <f>IF($K918="","",$K918-$L918)</f>
        <v/>
      </c>
      <c r="N918" s="90">
        <f>IF(OR($M918="",$D918=""),"",ROUND($M918*IFERROR(IF(VLOOKUP($D918,Setup!$A$76:$C$87,3,FALSE)="",Setup!$B$14,VLOOKUP($D918,Setup!$A$76:$C$87,3,FALSE)),Setup!$B$14),2))</f>
        <v/>
      </c>
      <c r="O918" s="90">
        <f>IF(OR($M918="",$E918=""),"",ROUND($M918*IFERROR(IF(VLOOKUP($E918,Setup!$A$76:$C$87,3,FALSE)="",Setup!$B$15,VLOOKUP($E918,Setup!$A$76:$C$87,3,FALSE)),Setup!$B$15),2))</f>
        <v/>
      </c>
      <c r="P918" s="99" t="n"/>
      <c r="Q918" s="99" t="n"/>
      <c r="R918" s="99" t="n"/>
      <c r="S918" s="99" t="n"/>
      <c r="T918" s="99" t="n"/>
      <c r="U918" s="90">
        <f>IF($K918="","",SUM($R918:$T918))</f>
        <v/>
      </c>
      <c r="V918" s="90">
        <f>IF($K918="","",$M918-(N($N918)+N($O918)+IF($P918="",Setup!$B$17,$P918)+N($Q918))-N($U918))</f>
        <v/>
      </c>
      <c r="W918" s="95" t="n"/>
      <c r="X918" s="96" t="n"/>
      <c r="Z918" s="93">
        <f>IF($A918="","",DATE(YEAR($A918),MONTH($A918),1))</f>
        <v/>
      </c>
    </row>
    <row r="919">
      <c r="A919" s="86" t="n"/>
      <c r="B919" s="87" t="n"/>
      <c r="C919" s="87" t="n"/>
      <c r="D919" s="88" t="n"/>
      <c r="E919" s="88" t="n"/>
      <c r="F919" s="88" t="n"/>
      <c r="G919" s="88" t="n"/>
      <c r="H919" s="89" t="n"/>
      <c r="I919" s="90">
        <f>IF($G919="","",IF($F919="",IFERROR(INDEX(Setup!$C$21:$C$60,MATCH("|"&amp;UPPER(TRIM($G919)),Setup!$Q$21:$Q$60,0)),"NO RATE"),IFERROR(INDEX(Setup!$C$21:$C$60,MATCH(UPPER(TRIM($F919))&amp;"|"&amp;UPPER(TRIM($G919)),Setup!$P$21:$P$60,0)),IFERROR(INDEX(Setup!$C$21:$C$60,MATCH(UPPER(TRIM($G919))&amp;"|"&amp;UPPER(TRIM($F919)),Setup!$P$21:$P$60,0)),"NO RATE"))))</f>
        <v/>
      </c>
      <c r="J919" s="91" t="n"/>
      <c r="K919" s="90">
        <f>IF(OR($G919="",$H919="",NOT(ISNUMBER($I919))),"",ROUND($H919*$I919*(1+IF($J919="",Setup!$B$16,$J919)),2))</f>
        <v/>
      </c>
      <c r="L919" s="90">
        <f>IF($K919="","",ROUND($K919*Setup!$B$13,2))</f>
        <v/>
      </c>
      <c r="M919" s="90">
        <f>IF($K919="","",$K919-$L919)</f>
        <v/>
      </c>
      <c r="N919" s="90">
        <f>IF(OR($M919="",$D919=""),"",ROUND($M919*IFERROR(IF(VLOOKUP($D919,Setup!$A$76:$C$87,3,FALSE)="",Setup!$B$14,VLOOKUP($D919,Setup!$A$76:$C$87,3,FALSE)),Setup!$B$14),2))</f>
        <v/>
      </c>
      <c r="O919" s="90">
        <f>IF(OR($M919="",$E919=""),"",ROUND($M919*IFERROR(IF(VLOOKUP($E919,Setup!$A$76:$C$87,3,FALSE)="",Setup!$B$15,VLOOKUP($E919,Setup!$A$76:$C$87,3,FALSE)),Setup!$B$15),2))</f>
        <v/>
      </c>
      <c r="P919" s="92" t="n"/>
      <c r="Q919" s="92" t="n"/>
      <c r="R919" s="92" t="n"/>
      <c r="S919" s="92" t="n"/>
      <c r="T919" s="92" t="n"/>
      <c r="U919" s="90">
        <f>IF($K919="","",SUM($R919:$T919))</f>
        <v/>
      </c>
      <c r="V919" s="90">
        <f>IF($K919="","",$M919-(N($N919)+N($O919)+IF($P919="",Setup!$B$17,$P919)+N($Q919))-N($U919))</f>
        <v/>
      </c>
      <c r="W919" s="87" t="n"/>
      <c r="X919" s="88" t="n"/>
      <c r="Z919" s="93">
        <f>IF($A919="","",DATE(YEAR($A919),MONTH($A919),1))</f>
        <v/>
      </c>
    </row>
    <row r="920">
      <c r="A920" s="94" t="n"/>
      <c r="B920" s="95" t="n"/>
      <c r="C920" s="95" t="n"/>
      <c r="D920" s="96" t="n"/>
      <c r="E920" s="96" t="n"/>
      <c r="F920" s="96" t="n"/>
      <c r="G920" s="96" t="n"/>
      <c r="H920" s="97" t="n"/>
      <c r="I920" s="90">
        <f>IF($G920="","",IF($F920="",IFERROR(INDEX(Setup!$C$21:$C$60,MATCH("|"&amp;UPPER(TRIM($G920)),Setup!$Q$21:$Q$60,0)),"NO RATE"),IFERROR(INDEX(Setup!$C$21:$C$60,MATCH(UPPER(TRIM($F920))&amp;"|"&amp;UPPER(TRIM($G920)),Setup!$P$21:$P$60,0)),IFERROR(INDEX(Setup!$C$21:$C$60,MATCH(UPPER(TRIM($G920))&amp;"|"&amp;UPPER(TRIM($F920)),Setup!$P$21:$P$60,0)),"NO RATE"))))</f>
        <v/>
      </c>
      <c r="J920" s="98" t="n"/>
      <c r="K920" s="90">
        <f>IF(OR($G920="",$H920="",NOT(ISNUMBER($I920))),"",ROUND($H920*$I920*(1+IF($J920="",Setup!$B$16,$J920)),2))</f>
        <v/>
      </c>
      <c r="L920" s="90">
        <f>IF($K920="","",ROUND($K920*Setup!$B$13,2))</f>
        <v/>
      </c>
      <c r="M920" s="90">
        <f>IF($K920="","",$K920-$L920)</f>
        <v/>
      </c>
      <c r="N920" s="90">
        <f>IF(OR($M920="",$D920=""),"",ROUND($M920*IFERROR(IF(VLOOKUP($D920,Setup!$A$76:$C$87,3,FALSE)="",Setup!$B$14,VLOOKUP($D920,Setup!$A$76:$C$87,3,FALSE)),Setup!$B$14),2))</f>
        <v/>
      </c>
      <c r="O920" s="90">
        <f>IF(OR($M920="",$E920=""),"",ROUND($M920*IFERROR(IF(VLOOKUP($E920,Setup!$A$76:$C$87,3,FALSE)="",Setup!$B$15,VLOOKUP($E920,Setup!$A$76:$C$87,3,FALSE)),Setup!$B$15),2))</f>
        <v/>
      </c>
      <c r="P920" s="99" t="n"/>
      <c r="Q920" s="99" t="n"/>
      <c r="R920" s="99" t="n"/>
      <c r="S920" s="99" t="n"/>
      <c r="T920" s="99" t="n"/>
      <c r="U920" s="90">
        <f>IF($K920="","",SUM($R920:$T920))</f>
        <v/>
      </c>
      <c r="V920" s="90">
        <f>IF($K920="","",$M920-(N($N920)+N($O920)+IF($P920="",Setup!$B$17,$P920)+N($Q920))-N($U920))</f>
        <v/>
      </c>
      <c r="W920" s="95" t="n"/>
      <c r="X920" s="96" t="n"/>
      <c r="Z920" s="93">
        <f>IF($A920="","",DATE(YEAR($A920),MONTH($A920),1))</f>
        <v/>
      </c>
    </row>
    <row r="921">
      <c r="A921" s="86" t="n"/>
      <c r="B921" s="87" t="n"/>
      <c r="C921" s="87" t="n"/>
      <c r="D921" s="88" t="n"/>
      <c r="E921" s="88" t="n"/>
      <c r="F921" s="88" t="n"/>
      <c r="G921" s="88" t="n"/>
      <c r="H921" s="89" t="n"/>
      <c r="I921" s="90">
        <f>IF($G921="","",IF($F921="",IFERROR(INDEX(Setup!$C$21:$C$60,MATCH("|"&amp;UPPER(TRIM($G921)),Setup!$Q$21:$Q$60,0)),"NO RATE"),IFERROR(INDEX(Setup!$C$21:$C$60,MATCH(UPPER(TRIM($F921))&amp;"|"&amp;UPPER(TRIM($G921)),Setup!$P$21:$P$60,0)),IFERROR(INDEX(Setup!$C$21:$C$60,MATCH(UPPER(TRIM($G921))&amp;"|"&amp;UPPER(TRIM($F921)),Setup!$P$21:$P$60,0)),"NO RATE"))))</f>
        <v/>
      </c>
      <c r="J921" s="91" t="n"/>
      <c r="K921" s="90">
        <f>IF(OR($G921="",$H921="",NOT(ISNUMBER($I921))),"",ROUND($H921*$I921*(1+IF($J921="",Setup!$B$16,$J921)),2))</f>
        <v/>
      </c>
      <c r="L921" s="90">
        <f>IF($K921="","",ROUND($K921*Setup!$B$13,2))</f>
        <v/>
      </c>
      <c r="M921" s="90">
        <f>IF($K921="","",$K921-$L921)</f>
        <v/>
      </c>
      <c r="N921" s="90">
        <f>IF(OR($M921="",$D921=""),"",ROUND($M921*IFERROR(IF(VLOOKUP($D921,Setup!$A$76:$C$87,3,FALSE)="",Setup!$B$14,VLOOKUP($D921,Setup!$A$76:$C$87,3,FALSE)),Setup!$B$14),2))</f>
        <v/>
      </c>
      <c r="O921" s="90">
        <f>IF(OR($M921="",$E921=""),"",ROUND($M921*IFERROR(IF(VLOOKUP($E921,Setup!$A$76:$C$87,3,FALSE)="",Setup!$B$15,VLOOKUP($E921,Setup!$A$76:$C$87,3,FALSE)),Setup!$B$15),2))</f>
        <v/>
      </c>
      <c r="P921" s="92" t="n"/>
      <c r="Q921" s="92" t="n"/>
      <c r="R921" s="92" t="n"/>
      <c r="S921" s="92" t="n"/>
      <c r="T921" s="92" t="n"/>
      <c r="U921" s="90">
        <f>IF($K921="","",SUM($R921:$T921))</f>
        <v/>
      </c>
      <c r="V921" s="90">
        <f>IF($K921="","",$M921-(N($N921)+N($O921)+IF($P921="",Setup!$B$17,$P921)+N($Q921))-N($U921))</f>
        <v/>
      </c>
      <c r="W921" s="87" t="n"/>
      <c r="X921" s="88" t="n"/>
      <c r="Z921" s="93">
        <f>IF($A921="","",DATE(YEAR($A921),MONTH($A921),1))</f>
        <v/>
      </c>
    </row>
    <row r="922">
      <c r="A922" s="94" t="n"/>
      <c r="B922" s="95" t="n"/>
      <c r="C922" s="95" t="n"/>
      <c r="D922" s="96" t="n"/>
      <c r="E922" s="96" t="n"/>
      <c r="F922" s="96" t="n"/>
      <c r="G922" s="96" t="n"/>
      <c r="H922" s="97" t="n"/>
      <c r="I922" s="90">
        <f>IF($G922="","",IF($F922="",IFERROR(INDEX(Setup!$C$21:$C$60,MATCH("|"&amp;UPPER(TRIM($G922)),Setup!$Q$21:$Q$60,0)),"NO RATE"),IFERROR(INDEX(Setup!$C$21:$C$60,MATCH(UPPER(TRIM($F922))&amp;"|"&amp;UPPER(TRIM($G922)),Setup!$P$21:$P$60,0)),IFERROR(INDEX(Setup!$C$21:$C$60,MATCH(UPPER(TRIM($G922))&amp;"|"&amp;UPPER(TRIM($F922)),Setup!$P$21:$P$60,0)),"NO RATE"))))</f>
        <v/>
      </c>
      <c r="J922" s="98" t="n"/>
      <c r="K922" s="90">
        <f>IF(OR($G922="",$H922="",NOT(ISNUMBER($I922))),"",ROUND($H922*$I922*(1+IF($J922="",Setup!$B$16,$J922)),2))</f>
        <v/>
      </c>
      <c r="L922" s="90">
        <f>IF($K922="","",ROUND($K922*Setup!$B$13,2))</f>
        <v/>
      </c>
      <c r="M922" s="90">
        <f>IF($K922="","",$K922-$L922)</f>
        <v/>
      </c>
      <c r="N922" s="90">
        <f>IF(OR($M922="",$D922=""),"",ROUND($M922*IFERROR(IF(VLOOKUP($D922,Setup!$A$76:$C$87,3,FALSE)="",Setup!$B$14,VLOOKUP($D922,Setup!$A$76:$C$87,3,FALSE)),Setup!$B$14),2))</f>
        <v/>
      </c>
      <c r="O922" s="90">
        <f>IF(OR($M922="",$E922=""),"",ROUND($M922*IFERROR(IF(VLOOKUP($E922,Setup!$A$76:$C$87,3,FALSE)="",Setup!$B$15,VLOOKUP($E922,Setup!$A$76:$C$87,3,FALSE)),Setup!$B$15),2))</f>
        <v/>
      </c>
      <c r="P922" s="99" t="n"/>
      <c r="Q922" s="99" t="n"/>
      <c r="R922" s="99" t="n"/>
      <c r="S922" s="99" t="n"/>
      <c r="T922" s="99" t="n"/>
      <c r="U922" s="90">
        <f>IF($K922="","",SUM($R922:$T922))</f>
        <v/>
      </c>
      <c r="V922" s="90">
        <f>IF($K922="","",$M922-(N($N922)+N($O922)+IF($P922="",Setup!$B$17,$P922)+N($Q922))-N($U922))</f>
        <v/>
      </c>
      <c r="W922" s="95" t="n"/>
      <c r="X922" s="96" t="n"/>
      <c r="Z922" s="93">
        <f>IF($A922="","",DATE(YEAR($A922),MONTH($A922),1))</f>
        <v/>
      </c>
    </row>
    <row r="923">
      <c r="A923" s="86" t="n"/>
      <c r="B923" s="87" t="n"/>
      <c r="C923" s="87" t="n"/>
      <c r="D923" s="88" t="n"/>
      <c r="E923" s="88" t="n"/>
      <c r="F923" s="88" t="n"/>
      <c r="G923" s="88" t="n"/>
      <c r="H923" s="89" t="n"/>
      <c r="I923" s="90">
        <f>IF($G923="","",IF($F923="",IFERROR(INDEX(Setup!$C$21:$C$60,MATCH("|"&amp;UPPER(TRIM($G923)),Setup!$Q$21:$Q$60,0)),"NO RATE"),IFERROR(INDEX(Setup!$C$21:$C$60,MATCH(UPPER(TRIM($F923))&amp;"|"&amp;UPPER(TRIM($G923)),Setup!$P$21:$P$60,0)),IFERROR(INDEX(Setup!$C$21:$C$60,MATCH(UPPER(TRIM($G923))&amp;"|"&amp;UPPER(TRIM($F923)),Setup!$P$21:$P$60,0)),"NO RATE"))))</f>
        <v/>
      </c>
      <c r="J923" s="91" t="n"/>
      <c r="K923" s="90">
        <f>IF(OR($G923="",$H923="",NOT(ISNUMBER($I923))),"",ROUND($H923*$I923*(1+IF($J923="",Setup!$B$16,$J923)),2))</f>
        <v/>
      </c>
      <c r="L923" s="90">
        <f>IF($K923="","",ROUND($K923*Setup!$B$13,2))</f>
        <v/>
      </c>
      <c r="M923" s="90">
        <f>IF($K923="","",$K923-$L923)</f>
        <v/>
      </c>
      <c r="N923" s="90">
        <f>IF(OR($M923="",$D923=""),"",ROUND($M923*IFERROR(IF(VLOOKUP($D923,Setup!$A$76:$C$87,3,FALSE)="",Setup!$B$14,VLOOKUP($D923,Setup!$A$76:$C$87,3,FALSE)),Setup!$B$14),2))</f>
        <v/>
      </c>
      <c r="O923" s="90">
        <f>IF(OR($M923="",$E923=""),"",ROUND($M923*IFERROR(IF(VLOOKUP($E923,Setup!$A$76:$C$87,3,FALSE)="",Setup!$B$15,VLOOKUP($E923,Setup!$A$76:$C$87,3,FALSE)),Setup!$B$15),2))</f>
        <v/>
      </c>
      <c r="P923" s="92" t="n"/>
      <c r="Q923" s="92" t="n"/>
      <c r="R923" s="92" t="n"/>
      <c r="S923" s="92" t="n"/>
      <c r="T923" s="92" t="n"/>
      <c r="U923" s="90">
        <f>IF($K923="","",SUM($R923:$T923))</f>
        <v/>
      </c>
      <c r="V923" s="90">
        <f>IF($K923="","",$M923-(N($N923)+N($O923)+IF($P923="",Setup!$B$17,$P923)+N($Q923))-N($U923))</f>
        <v/>
      </c>
      <c r="W923" s="87" t="n"/>
      <c r="X923" s="88" t="n"/>
      <c r="Z923" s="93">
        <f>IF($A923="","",DATE(YEAR($A923),MONTH($A923),1))</f>
        <v/>
      </c>
    </row>
    <row r="924">
      <c r="A924" s="94" t="n"/>
      <c r="B924" s="95" t="n"/>
      <c r="C924" s="95" t="n"/>
      <c r="D924" s="96" t="n"/>
      <c r="E924" s="96" t="n"/>
      <c r="F924" s="96" t="n"/>
      <c r="G924" s="96" t="n"/>
      <c r="H924" s="97" t="n"/>
      <c r="I924" s="90">
        <f>IF($G924="","",IF($F924="",IFERROR(INDEX(Setup!$C$21:$C$60,MATCH("|"&amp;UPPER(TRIM($G924)),Setup!$Q$21:$Q$60,0)),"NO RATE"),IFERROR(INDEX(Setup!$C$21:$C$60,MATCH(UPPER(TRIM($F924))&amp;"|"&amp;UPPER(TRIM($G924)),Setup!$P$21:$P$60,0)),IFERROR(INDEX(Setup!$C$21:$C$60,MATCH(UPPER(TRIM($G924))&amp;"|"&amp;UPPER(TRIM($F924)),Setup!$P$21:$P$60,0)),"NO RATE"))))</f>
        <v/>
      </c>
      <c r="J924" s="98" t="n"/>
      <c r="K924" s="90">
        <f>IF(OR($G924="",$H924="",NOT(ISNUMBER($I924))),"",ROUND($H924*$I924*(1+IF($J924="",Setup!$B$16,$J924)),2))</f>
        <v/>
      </c>
      <c r="L924" s="90">
        <f>IF($K924="","",ROUND($K924*Setup!$B$13,2))</f>
        <v/>
      </c>
      <c r="M924" s="90">
        <f>IF($K924="","",$K924-$L924)</f>
        <v/>
      </c>
      <c r="N924" s="90">
        <f>IF(OR($M924="",$D924=""),"",ROUND($M924*IFERROR(IF(VLOOKUP($D924,Setup!$A$76:$C$87,3,FALSE)="",Setup!$B$14,VLOOKUP($D924,Setup!$A$76:$C$87,3,FALSE)),Setup!$B$14),2))</f>
        <v/>
      </c>
      <c r="O924" s="90">
        <f>IF(OR($M924="",$E924=""),"",ROUND($M924*IFERROR(IF(VLOOKUP($E924,Setup!$A$76:$C$87,3,FALSE)="",Setup!$B$15,VLOOKUP($E924,Setup!$A$76:$C$87,3,FALSE)),Setup!$B$15),2))</f>
        <v/>
      </c>
      <c r="P924" s="99" t="n"/>
      <c r="Q924" s="99" t="n"/>
      <c r="R924" s="99" t="n"/>
      <c r="S924" s="99" t="n"/>
      <c r="T924" s="99" t="n"/>
      <c r="U924" s="90">
        <f>IF($K924="","",SUM($R924:$T924))</f>
        <v/>
      </c>
      <c r="V924" s="90">
        <f>IF($K924="","",$M924-(N($N924)+N($O924)+IF($P924="",Setup!$B$17,$P924)+N($Q924))-N($U924))</f>
        <v/>
      </c>
      <c r="W924" s="95" t="n"/>
      <c r="X924" s="96" t="n"/>
      <c r="Z924" s="93">
        <f>IF($A924="","",DATE(YEAR($A924),MONTH($A924),1))</f>
        <v/>
      </c>
    </row>
    <row r="925">
      <c r="A925" s="86" t="n"/>
      <c r="B925" s="87" t="n"/>
      <c r="C925" s="87" t="n"/>
      <c r="D925" s="88" t="n"/>
      <c r="E925" s="88" t="n"/>
      <c r="F925" s="88" t="n"/>
      <c r="G925" s="88" t="n"/>
      <c r="H925" s="89" t="n"/>
      <c r="I925" s="90">
        <f>IF($G925="","",IF($F925="",IFERROR(INDEX(Setup!$C$21:$C$60,MATCH("|"&amp;UPPER(TRIM($G925)),Setup!$Q$21:$Q$60,0)),"NO RATE"),IFERROR(INDEX(Setup!$C$21:$C$60,MATCH(UPPER(TRIM($F925))&amp;"|"&amp;UPPER(TRIM($G925)),Setup!$P$21:$P$60,0)),IFERROR(INDEX(Setup!$C$21:$C$60,MATCH(UPPER(TRIM($G925))&amp;"|"&amp;UPPER(TRIM($F925)),Setup!$P$21:$P$60,0)),"NO RATE"))))</f>
        <v/>
      </c>
      <c r="J925" s="91" t="n"/>
      <c r="K925" s="90">
        <f>IF(OR($G925="",$H925="",NOT(ISNUMBER($I925))),"",ROUND($H925*$I925*(1+IF($J925="",Setup!$B$16,$J925)),2))</f>
        <v/>
      </c>
      <c r="L925" s="90">
        <f>IF($K925="","",ROUND($K925*Setup!$B$13,2))</f>
        <v/>
      </c>
      <c r="M925" s="90">
        <f>IF($K925="","",$K925-$L925)</f>
        <v/>
      </c>
      <c r="N925" s="90">
        <f>IF(OR($M925="",$D925=""),"",ROUND($M925*IFERROR(IF(VLOOKUP($D925,Setup!$A$76:$C$87,3,FALSE)="",Setup!$B$14,VLOOKUP($D925,Setup!$A$76:$C$87,3,FALSE)),Setup!$B$14),2))</f>
        <v/>
      </c>
      <c r="O925" s="90">
        <f>IF(OR($M925="",$E925=""),"",ROUND($M925*IFERROR(IF(VLOOKUP($E925,Setup!$A$76:$C$87,3,FALSE)="",Setup!$B$15,VLOOKUP($E925,Setup!$A$76:$C$87,3,FALSE)),Setup!$B$15),2))</f>
        <v/>
      </c>
      <c r="P925" s="92" t="n"/>
      <c r="Q925" s="92" t="n"/>
      <c r="R925" s="92" t="n"/>
      <c r="S925" s="92" t="n"/>
      <c r="T925" s="92" t="n"/>
      <c r="U925" s="90">
        <f>IF($K925="","",SUM($R925:$T925))</f>
        <v/>
      </c>
      <c r="V925" s="90">
        <f>IF($K925="","",$M925-(N($N925)+N($O925)+IF($P925="",Setup!$B$17,$P925)+N($Q925))-N($U925))</f>
        <v/>
      </c>
      <c r="W925" s="87" t="n"/>
      <c r="X925" s="88" t="n"/>
      <c r="Z925" s="93">
        <f>IF($A925="","",DATE(YEAR($A925),MONTH($A925),1))</f>
        <v/>
      </c>
    </row>
    <row r="926">
      <c r="A926" s="94" t="n"/>
      <c r="B926" s="95" t="n"/>
      <c r="C926" s="95" t="n"/>
      <c r="D926" s="96" t="n"/>
      <c r="E926" s="96" t="n"/>
      <c r="F926" s="96" t="n"/>
      <c r="G926" s="96" t="n"/>
      <c r="H926" s="97" t="n"/>
      <c r="I926" s="90">
        <f>IF($G926="","",IF($F926="",IFERROR(INDEX(Setup!$C$21:$C$60,MATCH("|"&amp;UPPER(TRIM($G926)),Setup!$Q$21:$Q$60,0)),"NO RATE"),IFERROR(INDEX(Setup!$C$21:$C$60,MATCH(UPPER(TRIM($F926))&amp;"|"&amp;UPPER(TRIM($G926)),Setup!$P$21:$P$60,0)),IFERROR(INDEX(Setup!$C$21:$C$60,MATCH(UPPER(TRIM($G926))&amp;"|"&amp;UPPER(TRIM($F926)),Setup!$P$21:$P$60,0)),"NO RATE"))))</f>
        <v/>
      </c>
      <c r="J926" s="98" t="n"/>
      <c r="K926" s="90">
        <f>IF(OR($G926="",$H926="",NOT(ISNUMBER($I926))),"",ROUND($H926*$I926*(1+IF($J926="",Setup!$B$16,$J926)),2))</f>
        <v/>
      </c>
      <c r="L926" s="90">
        <f>IF($K926="","",ROUND($K926*Setup!$B$13,2))</f>
        <v/>
      </c>
      <c r="M926" s="90">
        <f>IF($K926="","",$K926-$L926)</f>
        <v/>
      </c>
      <c r="N926" s="90">
        <f>IF(OR($M926="",$D926=""),"",ROUND($M926*IFERROR(IF(VLOOKUP($D926,Setup!$A$76:$C$87,3,FALSE)="",Setup!$B$14,VLOOKUP($D926,Setup!$A$76:$C$87,3,FALSE)),Setup!$B$14),2))</f>
        <v/>
      </c>
      <c r="O926" s="90">
        <f>IF(OR($M926="",$E926=""),"",ROUND($M926*IFERROR(IF(VLOOKUP($E926,Setup!$A$76:$C$87,3,FALSE)="",Setup!$B$15,VLOOKUP($E926,Setup!$A$76:$C$87,3,FALSE)),Setup!$B$15),2))</f>
        <v/>
      </c>
      <c r="P926" s="99" t="n"/>
      <c r="Q926" s="99" t="n"/>
      <c r="R926" s="99" t="n"/>
      <c r="S926" s="99" t="n"/>
      <c r="T926" s="99" t="n"/>
      <c r="U926" s="90">
        <f>IF($K926="","",SUM($R926:$T926))</f>
        <v/>
      </c>
      <c r="V926" s="90">
        <f>IF($K926="","",$M926-(N($N926)+N($O926)+IF($P926="",Setup!$B$17,$P926)+N($Q926))-N($U926))</f>
        <v/>
      </c>
      <c r="W926" s="95" t="n"/>
      <c r="X926" s="96" t="n"/>
      <c r="Z926" s="93">
        <f>IF($A926="","",DATE(YEAR($A926),MONTH($A926),1))</f>
        <v/>
      </c>
    </row>
    <row r="927">
      <c r="A927" s="86" t="n"/>
      <c r="B927" s="87" t="n"/>
      <c r="C927" s="87" t="n"/>
      <c r="D927" s="88" t="n"/>
      <c r="E927" s="88" t="n"/>
      <c r="F927" s="88" t="n"/>
      <c r="G927" s="88" t="n"/>
      <c r="H927" s="89" t="n"/>
      <c r="I927" s="90">
        <f>IF($G927="","",IF($F927="",IFERROR(INDEX(Setup!$C$21:$C$60,MATCH("|"&amp;UPPER(TRIM($G927)),Setup!$Q$21:$Q$60,0)),"NO RATE"),IFERROR(INDEX(Setup!$C$21:$C$60,MATCH(UPPER(TRIM($F927))&amp;"|"&amp;UPPER(TRIM($G927)),Setup!$P$21:$P$60,0)),IFERROR(INDEX(Setup!$C$21:$C$60,MATCH(UPPER(TRIM($G927))&amp;"|"&amp;UPPER(TRIM($F927)),Setup!$P$21:$P$60,0)),"NO RATE"))))</f>
        <v/>
      </c>
      <c r="J927" s="91" t="n"/>
      <c r="K927" s="90">
        <f>IF(OR($G927="",$H927="",NOT(ISNUMBER($I927))),"",ROUND($H927*$I927*(1+IF($J927="",Setup!$B$16,$J927)),2))</f>
        <v/>
      </c>
      <c r="L927" s="90">
        <f>IF($K927="","",ROUND($K927*Setup!$B$13,2))</f>
        <v/>
      </c>
      <c r="M927" s="90">
        <f>IF($K927="","",$K927-$L927)</f>
        <v/>
      </c>
      <c r="N927" s="90">
        <f>IF(OR($M927="",$D927=""),"",ROUND($M927*IFERROR(IF(VLOOKUP($D927,Setup!$A$76:$C$87,3,FALSE)="",Setup!$B$14,VLOOKUP($D927,Setup!$A$76:$C$87,3,FALSE)),Setup!$B$14),2))</f>
        <v/>
      </c>
      <c r="O927" s="90">
        <f>IF(OR($M927="",$E927=""),"",ROUND($M927*IFERROR(IF(VLOOKUP($E927,Setup!$A$76:$C$87,3,FALSE)="",Setup!$B$15,VLOOKUP($E927,Setup!$A$76:$C$87,3,FALSE)),Setup!$B$15),2))</f>
        <v/>
      </c>
      <c r="P927" s="92" t="n"/>
      <c r="Q927" s="92" t="n"/>
      <c r="R927" s="92" t="n"/>
      <c r="S927" s="92" t="n"/>
      <c r="T927" s="92" t="n"/>
      <c r="U927" s="90">
        <f>IF($K927="","",SUM($R927:$T927))</f>
        <v/>
      </c>
      <c r="V927" s="90">
        <f>IF($K927="","",$M927-(N($N927)+N($O927)+IF($P927="",Setup!$B$17,$P927)+N($Q927))-N($U927))</f>
        <v/>
      </c>
      <c r="W927" s="87" t="n"/>
      <c r="X927" s="88" t="n"/>
      <c r="Z927" s="93">
        <f>IF($A927="","",DATE(YEAR($A927),MONTH($A927),1))</f>
        <v/>
      </c>
    </row>
    <row r="928">
      <c r="A928" s="94" t="n"/>
      <c r="B928" s="95" t="n"/>
      <c r="C928" s="95" t="n"/>
      <c r="D928" s="96" t="n"/>
      <c r="E928" s="96" t="n"/>
      <c r="F928" s="96" t="n"/>
      <c r="G928" s="96" t="n"/>
      <c r="H928" s="97" t="n"/>
      <c r="I928" s="90">
        <f>IF($G928="","",IF($F928="",IFERROR(INDEX(Setup!$C$21:$C$60,MATCH("|"&amp;UPPER(TRIM($G928)),Setup!$Q$21:$Q$60,0)),"NO RATE"),IFERROR(INDEX(Setup!$C$21:$C$60,MATCH(UPPER(TRIM($F928))&amp;"|"&amp;UPPER(TRIM($G928)),Setup!$P$21:$P$60,0)),IFERROR(INDEX(Setup!$C$21:$C$60,MATCH(UPPER(TRIM($G928))&amp;"|"&amp;UPPER(TRIM($F928)),Setup!$P$21:$P$60,0)),"NO RATE"))))</f>
        <v/>
      </c>
      <c r="J928" s="98" t="n"/>
      <c r="K928" s="90">
        <f>IF(OR($G928="",$H928="",NOT(ISNUMBER($I928))),"",ROUND($H928*$I928*(1+IF($J928="",Setup!$B$16,$J928)),2))</f>
        <v/>
      </c>
      <c r="L928" s="90">
        <f>IF($K928="","",ROUND($K928*Setup!$B$13,2))</f>
        <v/>
      </c>
      <c r="M928" s="90">
        <f>IF($K928="","",$K928-$L928)</f>
        <v/>
      </c>
      <c r="N928" s="90">
        <f>IF(OR($M928="",$D928=""),"",ROUND($M928*IFERROR(IF(VLOOKUP($D928,Setup!$A$76:$C$87,3,FALSE)="",Setup!$B$14,VLOOKUP($D928,Setup!$A$76:$C$87,3,FALSE)),Setup!$B$14),2))</f>
        <v/>
      </c>
      <c r="O928" s="90">
        <f>IF(OR($M928="",$E928=""),"",ROUND($M928*IFERROR(IF(VLOOKUP($E928,Setup!$A$76:$C$87,3,FALSE)="",Setup!$B$15,VLOOKUP($E928,Setup!$A$76:$C$87,3,FALSE)),Setup!$B$15),2))</f>
        <v/>
      </c>
      <c r="P928" s="99" t="n"/>
      <c r="Q928" s="99" t="n"/>
      <c r="R928" s="99" t="n"/>
      <c r="S928" s="99" t="n"/>
      <c r="T928" s="99" t="n"/>
      <c r="U928" s="90">
        <f>IF($K928="","",SUM($R928:$T928))</f>
        <v/>
      </c>
      <c r="V928" s="90">
        <f>IF($K928="","",$M928-(N($N928)+N($O928)+IF($P928="",Setup!$B$17,$P928)+N($Q928))-N($U928))</f>
        <v/>
      </c>
      <c r="W928" s="95" t="n"/>
      <c r="X928" s="96" t="n"/>
      <c r="Z928" s="93">
        <f>IF($A928="","",DATE(YEAR($A928),MONTH($A928),1))</f>
        <v/>
      </c>
    </row>
    <row r="929">
      <c r="A929" s="86" t="n"/>
      <c r="B929" s="87" t="n"/>
      <c r="C929" s="87" t="n"/>
      <c r="D929" s="88" t="n"/>
      <c r="E929" s="88" t="n"/>
      <c r="F929" s="88" t="n"/>
      <c r="G929" s="88" t="n"/>
      <c r="H929" s="89" t="n"/>
      <c r="I929" s="90">
        <f>IF($G929="","",IF($F929="",IFERROR(INDEX(Setup!$C$21:$C$60,MATCH("|"&amp;UPPER(TRIM($G929)),Setup!$Q$21:$Q$60,0)),"NO RATE"),IFERROR(INDEX(Setup!$C$21:$C$60,MATCH(UPPER(TRIM($F929))&amp;"|"&amp;UPPER(TRIM($G929)),Setup!$P$21:$P$60,0)),IFERROR(INDEX(Setup!$C$21:$C$60,MATCH(UPPER(TRIM($G929))&amp;"|"&amp;UPPER(TRIM($F929)),Setup!$P$21:$P$60,0)),"NO RATE"))))</f>
        <v/>
      </c>
      <c r="J929" s="91" t="n"/>
      <c r="K929" s="90">
        <f>IF(OR($G929="",$H929="",NOT(ISNUMBER($I929))),"",ROUND($H929*$I929*(1+IF($J929="",Setup!$B$16,$J929)),2))</f>
        <v/>
      </c>
      <c r="L929" s="90">
        <f>IF($K929="","",ROUND($K929*Setup!$B$13,2))</f>
        <v/>
      </c>
      <c r="M929" s="90">
        <f>IF($K929="","",$K929-$L929)</f>
        <v/>
      </c>
      <c r="N929" s="90">
        <f>IF(OR($M929="",$D929=""),"",ROUND($M929*IFERROR(IF(VLOOKUP($D929,Setup!$A$76:$C$87,3,FALSE)="",Setup!$B$14,VLOOKUP($D929,Setup!$A$76:$C$87,3,FALSE)),Setup!$B$14),2))</f>
        <v/>
      </c>
      <c r="O929" s="90">
        <f>IF(OR($M929="",$E929=""),"",ROUND($M929*IFERROR(IF(VLOOKUP($E929,Setup!$A$76:$C$87,3,FALSE)="",Setup!$B$15,VLOOKUP($E929,Setup!$A$76:$C$87,3,FALSE)),Setup!$B$15),2))</f>
        <v/>
      </c>
      <c r="P929" s="92" t="n"/>
      <c r="Q929" s="92" t="n"/>
      <c r="R929" s="92" t="n"/>
      <c r="S929" s="92" t="n"/>
      <c r="T929" s="92" t="n"/>
      <c r="U929" s="90">
        <f>IF($K929="","",SUM($R929:$T929))</f>
        <v/>
      </c>
      <c r="V929" s="90">
        <f>IF($K929="","",$M929-(N($N929)+N($O929)+IF($P929="",Setup!$B$17,$P929)+N($Q929))-N($U929))</f>
        <v/>
      </c>
      <c r="W929" s="87" t="n"/>
      <c r="X929" s="88" t="n"/>
      <c r="Z929" s="93">
        <f>IF($A929="","",DATE(YEAR($A929),MONTH($A929),1))</f>
        <v/>
      </c>
    </row>
    <row r="930">
      <c r="A930" s="94" t="n"/>
      <c r="B930" s="95" t="n"/>
      <c r="C930" s="95" t="n"/>
      <c r="D930" s="96" t="n"/>
      <c r="E930" s="96" t="n"/>
      <c r="F930" s="96" t="n"/>
      <c r="G930" s="96" t="n"/>
      <c r="H930" s="97" t="n"/>
      <c r="I930" s="90">
        <f>IF($G930="","",IF($F930="",IFERROR(INDEX(Setup!$C$21:$C$60,MATCH("|"&amp;UPPER(TRIM($G930)),Setup!$Q$21:$Q$60,0)),"NO RATE"),IFERROR(INDEX(Setup!$C$21:$C$60,MATCH(UPPER(TRIM($F930))&amp;"|"&amp;UPPER(TRIM($G930)),Setup!$P$21:$P$60,0)),IFERROR(INDEX(Setup!$C$21:$C$60,MATCH(UPPER(TRIM($G930))&amp;"|"&amp;UPPER(TRIM($F930)),Setup!$P$21:$P$60,0)),"NO RATE"))))</f>
        <v/>
      </c>
      <c r="J930" s="98" t="n"/>
      <c r="K930" s="90">
        <f>IF(OR($G930="",$H930="",NOT(ISNUMBER($I930))),"",ROUND($H930*$I930*(1+IF($J930="",Setup!$B$16,$J930)),2))</f>
        <v/>
      </c>
      <c r="L930" s="90">
        <f>IF($K930="","",ROUND($K930*Setup!$B$13,2))</f>
        <v/>
      </c>
      <c r="M930" s="90">
        <f>IF($K930="","",$K930-$L930)</f>
        <v/>
      </c>
      <c r="N930" s="90">
        <f>IF(OR($M930="",$D930=""),"",ROUND($M930*IFERROR(IF(VLOOKUP($D930,Setup!$A$76:$C$87,3,FALSE)="",Setup!$B$14,VLOOKUP($D930,Setup!$A$76:$C$87,3,FALSE)),Setup!$B$14),2))</f>
        <v/>
      </c>
      <c r="O930" s="90">
        <f>IF(OR($M930="",$E930=""),"",ROUND($M930*IFERROR(IF(VLOOKUP($E930,Setup!$A$76:$C$87,3,FALSE)="",Setup!$B$15,VLOOKUP($E930,Setup!$A$76:$C$87,3,FALSE)),Setup!$B$15),2))</f>
        <v/>
      </c>
      <c r="P930" s="99" t="n"/>
      <c r="Q930" s="99" t="n"/>
      <c r="R930" s="99" t="n"/>
      <c r="S930" s="99" t="n"/>
      <c r="T930" s="99" t="n"/>
      <c r="U930" s="90">
        <f>IF($K930="","",SUM($R930:$T930))</f>
        <v/>
      </c>
      <c r="V930" s="90">
        <f>IF($K930="","",$M930-(N($N930)+N($O930)+IF($P930="",Setup!$B$17,$P930)+N($Q930))-N($U930))</f>
        <v/>
      </c>
      <c r="W930" s="95" t="n"/>
      <c r="X930" s="96" t="n"/>
      <c r="Z930" s="93">
        <f>IF($A930="","",DATE(YEAR($A930),MONTH($A930),1))</f>
        <v/>
      </c>
    </row>
    <row r="931">
      <c r="A931" s="86" t="n"/>
      <c r="B931" s="87" t="n"/>
      <c r="C931" s="87" t="n"/>
      <c r="D931" s="88" t="n"/>
      <c r="E931" s="88" t="n"/>
      <c r="F931" s="88" t="n"/>
      <c r="G931" s="88" t="n"/>
      <c r="H931" s="89" t="n"/>
      <c r="I931" s="90">
        <f>IF($G931="","",IF($F931="",IFERROR(INDEX(Setup!$C$21:$C$60,MATCH("|"&amp;UPPER(TRIM($G931)),Setup!$Q$21:$Q$60,0)),"NO RATE"),IFERROR(INDEX(Setup!$C$21:$C$60,MATCH(UPPER(TRIM($F931))&amp;"|"&amp;UPPER(TRIM($G931)),Setup!$P$21:$P$60,0)),IFERROR(INDEX(Setup!$C$21:$C$60,MATCH(UPPER(TRIM($G931))&amp;"|"&amp;UPPER(TRIM($F931)),Setup!$P$21:$P$60,0)),"NO RATE"))))</f>
        <v/>
      </c>
      <c r="J931" s="91" t="n"/>
      <c r="K931" s="90">
        <f>IF(OR($G931="",$H931="",NOT(ISNUMBER($I931))),"",ROUND($H931*$I931*(1+IF($J931="",Setup!$B$16,$J931)),2))</f>
        <v/>
      </c>
      <c r="L931" s="90">
        <f>IF($K931="","",ROUND($K931*Setup!$B$13,2))</f>
        <v/>
      </c>
      <c r="M931" s="90">
        <f>IF($K931="","",$K931-$L931)</f>
        <v/>
      </c>
      <c r="N931" s="90">
        <f>IF(OR($M931="",$D931=""),"",ROUND($M931*IFERROR(IF(VLOOKUP($D931,Setup!$A$76:$C$87,3,FALSE)="",Setup!$B$14,VLOOKUP($D931,Setup!$A$76:$C$87,3,FALSE)),Setup!$B$14),2))</f>
        <v/>
      </c>
      <c r="O931" s="90">
        <f>IF(OR($M931="",$E931=""),"",ROUND($M931*IFERROR(IF(VLOOKUP($E931,Setup!$A$76:$C$87,3,FALSE)="",Setup!$B$15,VLOOKUP($E931,Setup!$A$76:$C$87,3,FALSE)),Setup!$B$15),2))</f>
        <v/>
      </c>
      <c r="P931" s="92" t="n"/>
      <c r="Q931" s="92" t="n"/>
      <c r="R931" s="92" t="n"/>
      <c r="S931" s="92" t="n"/>
      <c r="T931" s="92" t="n"/>
      <c r="U931" s="90">
        <f>IF($K931="","",SUM($R931:$T931))</f>
        <v/>
      </c>
      <c r="V931" s="90">
        <f>IF($K931="","",$M931-(N($N931)+N($O931)+IF($P931="",Setup!$B$17,$P931)+N($Q931))-N($U931))</f>
        <v/>
      </c>
      <c r="W931" s="87" t="n"/>
      <c r="X931" s="88" t="n"/>
      <c r="Z931" s="93">
        <f>IF($A931="","",DATE(YEAR($A931),MONTH($A931),1))</f>
        <v/>
      </c>
    </row>
    <row r="932">
      <c r="A932" s="94" t="n"/>
      <c r="B932" s="95" t="n"/>
      <c r="C932" s="95" t="n"/>
      <c r="D932" s="96" t="n"/>
      <c r="E932" s="96" t="n"/>
      <c r="F932" s="96" t="n"/>
      <c r="G932" s="96" t="n"/>
      <c r="H932" s="97" t="n"/>
      <c r="I932" s="90">
        <f>IF($G932="","",IF($F932="",IFERROR(INDEX(Setup!$C$21:$C$60,MATCH("|"&amp;UPPER(TRIM($G932)),Setup!$Q$21:$Q$60,0)),"NO RATE"),IFERROR(INDEX(Setup!$C$21:$C$60,MATCH(UPPER(TRIM($F932))&amp;"|"&amp;UPPER(TRIM($G932)),Setup!$P$21:$P$60,0)),IFERROR(INDEX(Setup!$C$21:$C$60,MATCH(UPPER(TRIM($G932))&amp;"|"&amp;UPPER(TRIM($F932)),Setup!$P$21:$P$60,0)),"NO RATE"))))</f>
        <v/>
      </c>
      <c r="J932" s="98" t="n"/>
      <c r="K932" s="90">
        <f>IF(OR($G932="",$H932="",NOT(ISNUMBER($I932))),"",ROUND($H932*$I932*(1+IF($J932="",Setup!$B$16,$J932)),2))</f>
        <v/>
      </c>
      <c r="L932" s="90">
        <f>IF($K932="","",ROUND($K932*Setup!$B$13,2))</f>
        <v/>
      </c>
      <c r="M932" s="90">
        <f>IF($K932="","",$K932-$L932)</f>
        <v/>
      </c>
      <c r="N932" s="90">
        <f>IF(OR($M932="",$D932=""),"",ROUND($M932*IFERROR(IF(VLOOKUP($D932,Setup!$A$76:$C$87,3,FALSE)="",Setup!$B$14,VLOOKUP($D932,Setup!$A$76:$C$87,3,FALSE)),Setup!$B$14),2))</f>
        <v/>
      </c>
      <c r="O932" s="90">
        <f>IF(OR($M932="",$E932=""),"",ROUND($M932*IFERROR(IF(VLOOKUP($E932,Setup!$A$76:$C$87,3,FALSE)="",Setup!$B$15,VLOOKUP($E932,Setup!$A$76:$C$87,3,FALSE)),Setup!$B$15),2))</f>
        <v/>
      </c>
      <c r="P932" s="99" t="n"/>
      <c r="Q932" s="99" t="n"/>
      <c r="R932" s="99" t="n"/>
      <c r="S932" s="99" t="n"/>
      <c r="T932" s="99" t="n"/>
      <c r="U932" s="90">
        <f>IF($K932="","",SUM($R932:$T932))</f>
        <v/>
      </c>
      <c r="V932" s="90">
        <f>IF($K932="","",$M932-(N($N932)+N($O932)+IF($P932="",Setup!$B$17,$P932)+N($Q932))-N($U932))</f>
        <v/>
      </c>
      <c r="W932" s="95" t="n"/>
      <c r="X932" s="96" t="n"/>
      <c r="Z932" s="93">
        <f>IF($A932="","",DATE(YEAR($A932),MONTH($A932),1))</f>
        <v/>
      </c>
    </row>
    <row r="933">
      <c r="A933" s="86" t="n"/>
      <c r="B933" s="87" t="n"/>
      <c r="C933" s="87" t="n"/>
      <c r="D933" s="88" t="n"/>
      <c r="E933" s="88" t="n"/>
      <c r="F933" s="88" t="n"/>
      <c r="G933" s="88" t="n"/>
      <c r="H933" s="89" t="n"/>
      <c r="I933" s="90">
        <f>IF($G933="","",IF($F933="",IFERROR(INDEX(Setup!$C$21:$C$60,MATCH("|"&amp;UPPER(TRIM($G933)),Setup!$Q$21:$Q$60,0)),"NO RATE"),IFERROR(INDEX(Setup!$C$21:$C$60,MATCH(UPPER(TRIM($F933))&amp;"|"&amp;UPPER(TRIM($G933)),Setup!$P$21:$P$60,0)),IFERROR(INDEX(Setup!$C$21:$C$60,MATCH(UPPER(TRIM($G933))&amp;"|"&amp;UPPER(TRIM($F933)),Setup!$P$21:$P$60,0)),"NO RATE"))))</f>
        <v/>
      </c>
      <c r="J933" s="91" t="n"/>
      <c r="K933" s="90">
        <f>IF(OR($G933="",$H933="",NOT(ISNUMBER($I933))),"",ROUND($H933*$I933*(1+IF($J933="",Setup!$B$16,$J933)),2))</f>
        <v/>
      </c>
      <c r="L933" s="90">
        <f>IF($K933="","",ROUND($K933*Setup!$B$13,2))</f>
        <v/>
      </c>
      <c r="M933" s="90">
        <f>IF($K933="","",$K933-$L933)</f>
        <v/>
      </c>
      <c r="N933" s="90">
        <f>IF(OR($M933="",$D933=""),"",ROUND($M933*IFERROR(IF(VLOOKUP($D933,Setup!$A$76:$C$87,3,FALSE)="",Setup!$B$14,VLOOKUP($D933,Setup!$A$76:$C$87,3,FALSE)),Setup!$B$14),2))</f>
        <v/>
      </c>
      <c r="O933" s="90">
        <f>IF(OR($M933="",$E933=""),"",ROUND($M933*IFERROR(IF(VLOOKUP($E933,Setup!$A$76:$C$87,3,FALSE)="",Setup!$B$15,VLOOKUP($E933,Setup!$A$76:$C$87,3,FALSE)),Setup!$B$15),2))</f>
        <v/>
      </c>
      <c r="P933" s="92" t="n"/>
      <c r="Q933" s="92" t="n"/>
      <c r="R933" s="92" t="n"/>
      <c r="S933" s="92" t="n"/>
      <c r="T933" s="92" t="n"/>
      <c r="U933" s="90">
        <f>IF($K933="","",SUM($R933:$T933))</f>
        <v/>
      </c>
      <c r="V933" s="90">
        <f>IF($K933="","",$M933-(N($N933)+N($O933)+IF($P933="",Setup!$B$17,$P933)+N($Q933))-N($U933))</f>
        <v/>
      </c>
      <c r="W933" s="87" t="n"/>
      <c r="X933" s="88" t="n"/>
      <c r="Z933" s="93">
        <f>IF($A933="","",DATE(YEAR($A933),MONTH($A933),1))</f>
        <v/>
      </c>
    </row>
    <row r="934">
      <c r="A934" s="94" t="n"/>
      <c r="B934" s="95" t="n"/>
      <c r="C934" s="95" t="n"/>
      <c r="D934" s="96" t="n"/>
      <c r="E934" s="96" t="n"/>
      <c r="F934" s="96" t="n"/>
      <c r="G934" s="96" t="n"/>
      <c r="H934" s="97" t="n"/>
      <c r="I934" s="90">
        <f>IF($G934="","",IF($F934="",IFERROR(INDEX(Setup!$C$21:$C$60,MATCH("|"&amp;UPPER(TRIM($G934)),Setup!$Q$21:$Q$60,0)),"NO RATE"),IFERROR(INDEX(Setup!$C$21:$C$60,MATCH(UPPER(TRIM($F934))&amp;"|"&amp;UPPER(TRIM($G934)),Setup!$P$21:$P$60,0)),IFERROR(INDEX(Setup!$C$21:$C$60,MATCH(UPPER(TRIM($G934))&amp;"|"&amp;UPPER(TRIM($F934)),Setup!$P$21:$P$60,0)),"NO RATE"))))</f>
        <v/>
      </c>
      <c r="J934" s="98" t="n"/>
      <c r="K934" s="90">
        <f>IF(OR($G934="",$H934="",NOT(ISNUMBER($I934))),"",ROUND($H934*$I934*(1+IF($J934="",Setup!$B$16,$J934)),2))</f>
        <v/>
      </c>
      <c r="L934" s="90">
        <f>IF($K934="","",ROUND($K934*Setup!$B$13,2))</f>
        <v/>
      </c>
      <c r="M934" s="90">
        <f>IF($K934="","",$K934-$L934)</f>
        <v/>
      </c>
      <c r="N934" s="90">
        <f>IF(OR($M934="",$D934=""),"",ROUND($M934*IFERROR(IF(VLOOKUP($D934,Setup!$A$76:$C$87,3,FALSE)="",Setup!$B$14,VLOOKUP($D934,Setup!$A$76:$C$87,3,FALSE)),Setup!$B$14),2))</f>
        <v/>
      </c>
      <c r="O934" s="90">
        <f>IF(OR($M934="",$E934=""),"",ROUND($M934*IFERROR(IF(VLOOKUP($E934,Setup!$A$76:$C$87,3,FALSE)="",Setup!$B$15,VLOOKUP($E934,Setup!$A$76:$C$87,3,FALSE)),Setup!$B$15),2))</f>
        <v/>
      </c>
      <c r="P934" s="99" t="n"/>
      <c r="Q934" s="99" t="n"/>
      <c r="R934" s="99" t="n"/>
      <c r="S934" s="99" t="n"/>
      <c r="T934" s="99" t="n"/>
      <c r="U934" s="90">
        <f>IF($K934="","",SUM($R934:$T934))</f>
        <v/>
      </c>
      <c r="V934" s="90">
        <f>IF($K934="","",$M934-(N($N934)+N($O934)+IF($P934="",Setup!$B$17,$P934)+N($Q934))-N($U934))</f>
        <v/>
      </c>
      <c r="W934" s="95" t="n"/>
      <c r="X934" s="96" t="n"/>
      <c r="Z934" s="93">
        <f>IF($A934="","",DATE(YEAR($A934),MONTH($A934),1))</f>
        <v/>
      </c>
    </row>
    <row r="935">
      <c r="A935" s="86" t="n"/>
      <c r="B935" s="87" t="n"/>
      <c r="C935" s="87" t="n"/>
      <c r="D935" s="88" t="n"/>
      <c r="E935" s="88" t="n"/>
      <c r="F935" s="88" t="n"/>
      <c r="G935" s="88" t="n"/>
      <c r="H935" s="89" t="n"/>
      <c r="I935" s="90">
        <f>IF($G935="","",IF($F935="",IFERROR(INDEX(Setup!$C$21:$C$60,MATCH("|"&amp;UPPER(TRIM($G935)),Setup!$Q$21:$Q$60,0)),"NO RATE"),IFERROR(INDEX(Setup!$C$21:$C$60,MATCH(UPPER(TRIM($F935))&amp;"|"&amp;UPPER(TRIM($G935)),Setup!$P$21:$P$60,0)),IFERROR(INDEX(Setup!$C$21:$C$60,MATCH(UPPER(TRIM($G935))&amp;"|"&amp;UPPER(TRIM($F935)),Setup!$P$21:$P$60,0)),"NO RATE"))))</f>
        <v/>
      </c>
      <c r="J935" s="91" t="n"/>
      <c r="K935" s="90">
        <f>IF(OR($G935="",$H935="",NOT(ISNUMBER($I935))),"",ROUND($H935*$I935*(1+IF($J935="",Setup!$B$16,$J935)),2))</f>
        <v/>
      </c>
      <c r="L935" s="90">
        <f>IF($K935="","",ROUND($K935*Setup!$B$13,2))</f>
        <v/>
      </c>
      <c r="M935" s="90">
        <f>IF($K935="","",$K935-$L935)</f>
        <v/>
      </c>
      <c r="N935" s="90">
        <f>IF(OR($M935="",$D935=""),"",ROUND($M935*IFERROR(IF(VLOOKUP($D935,Setup!$A$76:$C$87,3,FALSE)="",Setup!$B$14,VLOOKUP($D935,Setup!$A$76:$C$87,3,FALSE)),Setup!$B$14),2))</f>
        <v/>
      </c>
      <c r="O935" s="90">
        <f>IF(OR($M935="",$E935=""),"",ROUND($M935*IFERROR(IF(VLOOKUP($E935,Setup!$A$76:$C$87,3,FALSE)="",Setup!$B$15,VLOOKUP($E935,Setup!$A$76:$C$87,3,FALSE)),Setup!$B$15),2))</f>
        <v/>
      </c>
      <c r="P935" s="92" t="n"/>
      <c r="Q935" s="92" t="n"/>
      <c r="R935" s="92" t="n"/>
      <c r="S935" s="92" t="n"/>
      <c r="T935" s="92" t="n"/>
      <c r="U935" s="90">
        <f>IF($K935="","",SUM($R935:$T935))</f>
        <v/>
      </c>
      <c r="V935" s="90">
        <f>IF($K935="","",$M935-(N($N935)+N($O935)+IF($P935="",Setup!$B$17,$P935)+N($Q935))-N($U935))</f>
        <v/>
      </c>
      <c r="W935" s="87" t="n"/>
      <c r="X935" s="88" t="n"/>
      <c r="Z935" s="93">
        <f>IF($A935="","",DATE(YEAR($A935),MONTH($A935),1))</f>
        <v/>
      </c>
    </row>
    <row r="936">
      <c r="A936" s="94" t="n"/>
      <c r="B936" s="95" t="n"/>
      <c r="C936" s="95" t="n"/>
      <c r="D936" s="96" t="n"/>
      <c r="E936" s="96" t="n"/>
      <c r="F936" s="96" t="n"/>
      <c r="G936" s="96" t="n"/>
      <c r="H936" s="97" t="n"/>
      <c r="I936" s="90">
        <f>IF($G936="","",IF($F936="",IFERROR(INDEX(Setup!$C$21:$C$60,MATCH("|"&amp;UPPER(TRIM($G936)),Setup!$Q$21:$Q$60,0)),"NO RATE"),IFERROR(INDEX(Setup!$C$21:$C$60,MATCH(UPPER(TRIM($F936))&amp;"|"&amp;UPPER(TRIM($G936)),Setup!$P$21:$P$60,0)),IFERROR(INDEX(Setup!$C$21:$C$60,MATCH(UPPER(TRIM($G936))&amp;"|"&amp;UPPER(TRIM($F936)),Setup!$P$21:$P$60,0)),"NO RATE"))))</f>
        <v/>
      </c>
      <c r="J936" s="98" t="n"/>
      <c r="K936" s="90">
        <f>IF(OR($G936="",$H936="",NOT(ISNUMBER($I936))),"",ROUND($H936*$I936*(1+IF($J936="",Setup!$B$16,$J936)),2))</f>
        <v/>
      </c>
      <c r="L936" s="90">
        <f>IF($K936="","",ROUND($K936*Setup!$B$13,2))</f>
        <v/>
      </c>
      <c r="M936" s="90">
        <f>IF($K936="","",$K936-$L936)</f>
        <v/>
      </c>
      <c r="N936" s="90">
        <f>IF(OR($M936="",$D936=""),"",ROUND($M936*IFERROR(IF(VLOOKUP($D936,Setup!$A$76:$C$87,3,FALSE)="",Setup!$B$14,VLOOKUP($D936,Setup!$A$76:$C$87,3,FALSE)),Setup!$B$14),2))</f>
        <v/>
      </c>
      <c r="O936" s="90">
        <f>IF(OR($M936="",$E936=""),"",ROUND($M936*IFERROR(IF(VLOOKUP($E936,Setup!$A$76:$C$87,3,FALSE)="",Setup!$B$15,VLOOKUP($E936,Setup!$A$76:$C$87,3,FALSE)),Setup!$B$15),2))</f>
        <v/>
      </c>
      <c r="P936" s="99" t="n"/>
      <c r="Q936" s="99" t="n"/>
      <c r="R936" s="99" t="n"/>
      <c r="S936" s="99" t="n"/>
      <c r="T936" s="99" t="n"/>
      <c r="U936" s="90">
        <f>IF($K936="","",SUM($R936:$T936))</f>
        <v/>
      </c>
      <c r="V936" s="90">
        <f>IF($K936="","",$M936-(N($N936)+N($O936)+IF($P936="",Setup!$B$17,$P936)+N($Q936))-N($U936))</f>
        <v/>
      </c>
      <c r="W936" s="95" t="n"/>
      <c r="X936" s="96" t="n"/>
      <c r="Z936" s="93">
        <f>IF($A936="","",DATE(YEAR($A936),MONTH($A936),1))</f>
        <v/>
      </c>
    </row>
    <row r="937">
      <c r="A937" s="86" t="n"/>
      <c r="B937" s="87" t="n"/>
      <c r="C937" s="87" t="n"/>
      <c r="D937" s="88" t="n"/>
      <c r="E937" s="88" t="n"/>
      <c r="F937" s="88" t="n"/>
      <c r="G937" s="88" t="n"/>
      <c r="H937" s="89" t="n"/>
      <c r="I937" s="90">
        <f>IF($G937="","",IF($F937="",IFERROR(INDEX(Setup!$C$21:$C$60,MATCH("|"&amp;UPPER(TRIM($G937)),Setup!$Q$21:$Q$60,0)),"NO RATE"),IFERROR(INDEX(Setup!$C$21:$C$60,MATCH(UPPER(TRIM($F937))&amp;"|"&amp;UPPER(TRIM($G937)),Setup!$P$21:$P$60,0)),IFERROR(INDEX(Setup!$C$21:$C$60,MATCH(UPPER(TRIM($G937))&amp;"|"&amp;UPPER(TRIM($F937)),Setup!$P$21:$P$60,0)),"NO RATE"))))</f>
        <v/>
      </c>
      <c r="J937" s="91" t="n"/>
      <c r="K937" s="90">
        <f>IF(OR($G937="",$H937="",NOT(ISNUMBER($I937))),"",ROUND($H937*$I937*(1+IF($J937="",Setup!$B$16,$J937)),2))</f>
        <v/>
      </c>
      <c r="L937" s="90">
        <f>IF($K937="","",ROUND($K937*Setup!$B$13,2))</f>
        <v/>
      </c>
      <c r="M937" s="90">
        <f>IF($K937="","",$K937-$L937)</f>
        <v/>
      </c>
      <c r="N937" s="90">
        <f>IF(OR($M937="",$D937=""),"",ROUND($M937*IFERROR(IF(VLOOKUP($D937,Setup!$A$76:$C$87,3,FALSE)="",Setup!$B$14,VLOOKUP($D937,Setup!$A$76:$C$87,3,FALSE)),Setup!$B$14),2))</f>
        <v/>
      </c>
      <c r="O937" s="90">
        <f>IF(OR($M937="",$E937=""),"",ROUND($M937*IFERROR(IF(VLOOKUP($E937,Setup!$A$76:$C$87,3,FALSE)="",Setup!$B$15,VLOOKUP($E937,Setup!$A$76:$C$87,3,FALSE)),Setup!$B$15),2))</f>
        <v/>
      </c>
      <c r="P937" s="92" t="n"/>
      <c r="Q937" s="92" t="n"/>
      <c r="R937" s="92" t="n"/>
      <c r="S937" s="92" t="n"/>
      <c r="T937" s="92" t="n"/>
      <c r="U937" s="90">
        <f>IF($K937="","",SUM($R937:$T937))</f>
        <v/>
      </c>
      <c r="V937" s="90">
        <f>IF($K937="","",$M937-(N($N937)+N($O937)+IF($P937="",Setup!$B$17,$P937)+N($Q937))-N($U937))</f>
        <v/>
      </c>
      <c r="W937" s="87" t="n"/>
      <c r="X937" s="88" t="n"/>
      <c r="Z937" s="93">
        <f>IF($A937="","",DATE(YEAR($A937),MONTH($A937),1))</f>
        <v/>
      </c>
    </row>
    <row r="938">
      <c r="A938" s="94" t="n"/>
      <c r="B938" s="95" t="n"/>
      <c r="C938" s="95" t="n"/>
      <c r="D938" s="96" t="n"/>
      <c r="E938" s="96" t="n"/>
      <c r="F938" s="96" t="n"/>
      <c r="G938" s="96" t="n"/>
      <c r="H938" s="97" t="n"/>
      <c r="I938" s="90">
        <f>IF($G938="","",IF($F938="",IFERROR(INDEX(Setup!$C$21:$C$60,MATCH("|"&amp;UPPER(TRIM($G938)),Setup!$Q$21:$Q$60,0)),"NO RATE"),IFERROR(INDEX(Setup!$C$21:$C$60,MATCH(UPPER(TRIM($F938))&amp;"|"&amp;UPPER(TRIM($G938)),Setup!$P$21:$P$60,0)),IFERROR(INDEX(Setup!$C$21:$C$60,MATCH(UPPER(TRIM($G938))&amp;"|"&amp;UPPER(TRIM($F938)),Setup!$P$21:$P$60,0)),"NO RATE"))))</f>
        <v/>
      </c>
      <c r="J938" s="98" t="n"/>
      <c r="K938" s="90">
        <f>IF(OR($G938="",$H938="",NOT(ISNUMBER($I938))),"",ROUND($H938*$I938*(1+IF($J938="",Setup!$B$16,$J938)),2))</f>
        <v/>
      </c>
      <c r="L938" s="90">
        <f>IF($K938="","",ROUND($K938*Setup!$B$13,2))</f>
        <v/>
      </c>
      <c r="M938" s="90">
        <f>IF($K938="","",$K938-$L938)</f>
        <v/>
      </c>
      <c r="N938" s="90">
        <f>IF(OR($M938="",$D938=""),"",ROUND($M938*IFERROR(IF(VLOOKUP($D938,Setup!$A$76:$C$87,3,FALSE)="",Setup!$B$14,VLOOKUP($D938,Setup!$A$76:$C$87,3,FALSE)),Setup!$B$14),2))</f>
        <v/>
      </c>
      <c r="O938" s="90">
        <f>IF(OR($M938="",$E938=""),"",ROUND($M938*IFERROR(IF(VLOOKUP($E938,Setup!$A$76:$C$87,3,FALSE)="",Setup!$B$15,VLOOKUP($E938,Setup!$A$76:$C$87,3,FALSE)),Setup!$B$15),2))</f>
        <v/>
      </c>
      <c r="P938" s="99" t="n"/>
      <c r="Q938" s="99" t="n"/>
      <c r="R938" s="99" t="n"/>
      <c r="S938" s="99" t="n"/>
      <c r="T938" s="99" t="n"/>
      <c r="U938" s="90">
        <f>IF($K938="","",SUM($R938:$T938))</f>
        <v/>
      </c>
      <c r="V938" s="90">
        <f>IF($K938="","",$M938-(N($N938)+N($O938)+IF($P938="",Setup!$B$17,$P938)+N($Q938))-N($U938))</f>
        <v/>
      </c>
      <c r="W938" s="95" t="n"/>
      <c r="X938" s="96" t="n"/>
      <c r="Z938" s="93">
        <f>IF($A938="","",DATE(YEAR($A938),MONTH($A938),1))</f>
        <v/>
      </c>
    </row>
    <row r="939">
      <c r="A939" s="86" t="n"/>
      <c r="B939" s="87" t="n"/>
      <c r="C939" s="87" t="n"/>
      <c r="D939" s="88" t="n"/>
      <c r="E939" s="88" t="n"/>
      <c r="F939" s="88" t="n"/>
      <c r="G939" s="88" t="n"/>
      <c r="H939" s="89" t="n"/>
      <c r="I939" s="90">
        <f>IF($G939="","",IF($F939="",IFERROR(INDEX(Setup!$C$21:$C$60,MATCH("|"&amp;UPPER(TRIM($G939)),Setup!$Q$21:$Q$60,0)),"NO RATE"),IFERROR(INDEX(Setup!$C$21:$C$60,MATCH(UPPER(TRIM($F939))&amp;"|"&amp;UPPER(TRIM($G939)),Setup!$P$21:$P$60,0)),IFERROR(INDEX(Setup!$C$21:$C$60,MATCH(UPPER(TRIM($G939))&amp;"|"&amp;UPPER(TRIM($F939)),Setup!$P$21:$P$60,0)),"NO RATE"))))</f>
        <v/>
      </c>
      <c r="J939" s="91" t="n"/>
      <c r="K939" s="90">
        <f>IF(OR($G939="",$H939="",NOT(ISNUMBER($I939))),"",ROUND($H939*$I939*(1+IF($J939="",Setup!$B$16,$J939)),2))</f>
        <v/>
      </c>
      <c r="L939" s="90">
        <f>IF($K939="","",ROUND($K939*Setup!$B$13,2))</f>
        <v/>
      </c>
      <c r="M939" s="90">
        <f>IF($K939="","",$K939-$L939)</f>
        <v/>
      </c>
      <c r="N939" s="90">
        <f>IF(OR($M939="",$D939=""),"",ROUND($M939*IFERROR(IF(VLOOKUP($D939,Setup!$A$76:$C$87,3,FALSE)="",Setup!$B$14,VLOOKUP($D939,Setup!$A$76:$C$87,3,FALSE)),Setup!$B$14),2))</f>
        <v/>
      </c>
      <c r="O939" s="90">
        <f>IF(OR($M939="",$E939=""),"",ROUND($M939*IFERROR(IF(VLOOKUP($E939,Setup!$A$76:$C$87,3,FALSE)="",Setup!$B$15,VLOOKUP($E939,Setup!$A$76:$C$87,3,FALSE)),Setup!$B$15),2))</f>
        <v/>
      </c>
      <c r="P939" s="92" t="n"/>
      <c r="Q939" s="92" t="n"/>
      <c r="R939" s="92" t="n"/>
      <c r="S939" s="92" t="n"/>
      <c r="T939" s="92" t="n"/>
      <c r="U939" s="90">
        <f>IF($K939="","",SUM($R939:$T939))</f>
        <v/>
      </c>
      <c r="V939" s="90">
        <f>IF($K939="","",$M939-(N($N939)+N($O939)+IF($P939="",Setup!$B$17,$P939)+N($Q939))-N($U939))</f>
        <v/>
      </c>
      <c r="W939" s="87" t="n"/>
      <c r="X939" s="88" t="n"/>
      <c r="Z939" s="93">
        <f>IF($A939="","",DATE(YEAR($A939),MONTH($A939),1))</f>
        <v/>
      </c>
    </row>
    <row r="940">
      <c r="A940" s="94" t="n"/>
      <c r="B940" s="95" t="n"/>
      <c r="C940" s="95" t="n"/>
      <c r="D940" s="96" t="n"/>
      <c r="E940" s="96" t="n"/>
      <c r="F940" s="96" t="n"/>
      <c r="G940" s="96" t="n"/>
      <c r="H940" s="97" t="n"/>
      <c r="I940" s="90">
        <f>IF($G940="","",IF($F940="",IFERROR(INDEX(Setup!$C$21:$C$60,MATCH("|"&amp;UPPER(TRIM($G940)),Setup!$Q$21:$Q$60,0)),"NO RATE"),IFERROR(INDEX(Setup!$C$21:$C$60,MATCH(UPPER(TRIM($F940))&amp;"|"&amp;UPPER(TRIM($G940)),Setup!$P$21:$P$60,0)),IFERROR(INDEX(Setup!$C$21:$C$60,MATCH(UPPER(TRIM($G940))&amp;"|"&amp;UPPER(TRIM($F940)),Setup!$P$21:$P$60,0)),"NO RATE"))))</f>
        <v/>
      </c>
      <c r="J940" s="98" t="n"/>
      <c r="K940" s="90">
        <f>IF(OR($G940="",$H940="",NOT(ISNUMBER($I940))),"",ROUND($H940*$I940*(1+IF($J940="",Setup!$B$16,$J940)),2))</f>
        <v/>
      </c>
      <c r="L940" s="90">
        <f>IF($K940="","",ROUND($K940*Setup!$B$13,2))</f>
        <v/>
      </c>
      <c r="M940" s="90">
        <f>IF($K940="","",$K940-$L940)</f>
        <v/>
      </c>
      <c r="N940" s="90">
        <f>IF(OR($M940="",$D940=""),"",ROUND($M940*IFERROR(IF(VLOOKUP($D940,Setup!$A$76:$C$87,3,FALSE)="",Setup!$B$14,VLOOKUP($D940,Setup!$A$76:$C$87,3,FALSE)),Setup!$B$14),2))</f>
        <v/>
      </c>
      <c r="O940" s="90">
        <f>IF(OR($M940="",$E940=""),"",ROUND($M940*IFERROR(IF(VLOOKUP($E940,Setup!$A$76:$C$87,3,FALSE)="",Setup!$B$15,VLOOKUP($E940,Setup!$A$76:$C$87,3,FALSE)),Setup!$B$15),2))</f>
        <v/>
      </c>
      <c r="P940" s="99" t="n"/>
      <c r="Q940" s="99" t="n"/>
      <c r="R940" s="99" t="n"/>
      <c r="S940" s="99" t="n"/>
      <c r="T940" s="99" t="n"/>
      <c r="U940" s="90">
        <f>IF($K940="","",SUM($R940:$T940))</f>
        <v/>
      </c>
      <c r="V940" s="90">
        <f>IF($K940="","",$M940-(N($N940)+N($O940)+IF($P940="",Setup!$B$17,$P940)+N($Q940))-N($U940))</f>
        <v/>
      </c>
      <c r="W940" s="95" t="n"/>
      <c r="X940" s="96" t="n"/>
      <c r="Z940" s="93">
        <f>IF($A940="","",DATE(YEAR($A940),MONTH($A940),1))</f>
        <v/>
      </c>
    </row>
    <row r="941">
      <c r="A941" s="86" t="n"/>
      <c r="B941" s="87" t="n"/>
      <c r="C941" s="87" t="n"/>
      <c r="D941" s="88" t="n"/>
      <c r="E941" s="88" t="n"/>
      <c r="F941" s="88" t="n"/>
      <c r="G941" s="88" t="n"/>
      <c r="H941" s="89" t="n"/>
      <c r="I941" s="90">
        <f>IF($G941="","",IF($F941="",IFERROR(INDEX(Setup!$C$21:$C$60,MATCH("|"&amp;UPPER(TRIM($G941)),Setup!$Q$21:$Q$60,0)),"NO RATE"),IFERROR(INDEX(Setup!$C$21:$C$60,MATCH(UPPER(TRIM($F941))&amp;"|"&amp;UPPER(TRIM($G941)),Setup!$P$21:$P$60,0)),IFERROR(INDEX(Setup!$C$21:$C$60,MATCH(UPPER(TRIM($G941))&amp;"|"&amp;UPPER(TRIM($F941)),Setup!$P$21:$P$60,0)),"NO RATE"))))</f>
        <v/>
      </c>
      <c r="J941" s="91" t="n"/>
      <c r="K941" s="90">
        <f>IF(OR($G941="",$H941="",NOT(ISNUMBER($I941))),"",ROUND($H941*$I941*(1+IF($J941="",Setup!$B$16,$J941)),2))</f>
        <v/>
      </c>
      <c r="L941" s="90">
        <f>IF($K941="","",ROUND($K941*Setup!$B$13,2))</f>
        <v/>
      </c>
      <c r="M941" s="90">
        <f>IF($K941="","",$K941-$L941)</f>
        <v/>
      </c>
      <c r="N941" s="90">
        <f>IF(OR($M941="",$D941=""),"",ROUND($M941*IFERROR(IF(VLOOKUP($D941,Setup!$A$76:$C$87,3,FALSE)="",Setup!$B$14,VLOOKUP($D941,Setup!$A$76:$C$87,3,FALSE)),Setup!$B$14),2))</f>
        <v/>
      </c>
      <c r="O941" s="90">
        <f>IF(OR($M941="",$E941=""),"",ROUND($M941*IFERROR(IF(VLOOKUP($E941,Setup!$A$76:$C$87,3,FALSE)="",Setup!$B$15,VLOOKUP($E941,Setup!$A$76:$C$87,3,FALSE)),Setup!$B$15),2))</f>
        <v/>
      </c>
      <c r="P941" s="92" t="n"/>
      <c r="Q941" s="92" t="n"/>
      <c r="R941" s="92" t="n"/>
      <c r="S941" s="92" t="n"/>
      <c r="T941" s="92" t="n"/>
      <c r="U941" s="90">
        <f>IF($K941="","",SUM($R941:$T941))</f>
        <v/>
      </c>
      <c r="V941" s="90">
        <f>IF($K941="","",$M941-(N($N941)+N($O941)+IF($P941="",Setup!$B$17,$P941)+N($Q941))-N($U941))</f>
        <v/>
      </c>
      <c r="W941" s="87" t="n"/>
      <c r="X941" s="88" t="n"/>
      <c r="Z941" s="93">
        <f>IF($A941="","",DATE(YEAR($A941),MONTH($A941),1))</f>
        <v/>
      </c>
    </row>
    <row r="942">
      <c r="A942" s="94" t="n"/>
      <c r="B942" s="95" t="n"/>
      <c r="C942" s="95" t="n"/>
      <c r="D942" s="96" t="n"/>
      <c r="E942" s="96" t="n"/>
      <c r="F942" s="96" t="n"/>
      <c r="G942" s="96" t="n"/>
      <c r="H942" s="97" t="n"/>
      <c r="I942" s="90">
        <f>IF($G942="","",IF($F942="",IFERROR(INDEX(Setup!$C$21:$C$60,MATCH("|"&amp;UPPER(TRIM($G942)),Setup!$Q$21:$Q$60,0)),"NO RATE"),IFERROR(INDEX(Setup!$C$21:$C$60,MATCH(UPPER(TRIM($F942))&amp;"|"&amp;UPPER(TRIM($G942)),Setup!$P$21:$P$60,0)),IFERROR(INDEX(Setup!$C$21:$C$60,MATCH(UPPER(TRIM($G942))&amp;"|"&amp;UPPER(TRIM($F942)),Setup!$P$21:$P$60,0)),"NO RATE"))))</f>
        <v/>
      </c>
      <c r="J942" s="98" t="n"/>
      <c r="K942" s="90">
        <f>IF(OR($G942="",$H942="",NOT(ISNUMBER($I942))),"",ROUND($H942*$I942*(1+IF($J942="",Setup!$B$16,$J942)),2))</f>
        <v/>
      </c>
      <c r="L942" s="90">
        <f>IF($K942="","",ROUND($K942*Setup!$B$13,2))</f>
        <v/>
      </c>
      <c r="M942" s="90">
        <f>IF($K942="","",$K942-$L942)</f>
        <v/>
      </c>
      <c r="N942" s="90">
        <f>IF(OR($M942="",$D942=""),"",ROUND($M942*IFERROR(IF(VLOOKUP($D942,Setup!$A$76:$C$87,3,FALSE)="",Setup!$B$14,VLOOKUP($D942,Setup!$A$76:$C$87,3,FALSE)),Setup!$B$14),2))</f>
        <v/>
      </c>
      <c r="O942" s="90">
        <f>IF(OR($M942="",$E942=""),"",ROUND($M942*IFERROR(IF(VLOOKUP($E942,Setup!$A$76:$C$87,3,FALSE)="",Setup!$B$15,VLOOKUP($E942,Setup!$A$76:$C$87,3,FALSE)),Setup!$B$15),2))</f>
        <v/>
      </c>
      <c r="P942" s="99" t="n"/>
      <c r="Q942" s="99" t="n"/>
      <c r="R942" s="99" t="n"/>
      <c r="S942" s="99" t="n"/>
      <c r="T942" s="99" t="n"/>
      <c r="U942" s="90">
        <f>IF($K942="","",SUM($R942:$T942))</f>
        <v/>
      </c>
      <c r="V942" s="90">
        <f>IF($K942="","",$M942-(N($N942)+N($O942)+IF($P942="",Setup!$B$17,$P942)+N($Q942))-N($U942))</f>
        <v/>
      </c>
      <c r="W942" s="95" t="n"/>
      <c r="X942" s="96" t="n"/>
      <c r="Z942" s="93">
        <f>IF($A942="","",DATE(YEAR($A942),MONTH($A942),1))</f>
        <v/>
      </c>
    </row>
    <row r="943">
      <c r="A943" s="86" t="n"/>
      <c r="B943" s="87" t="n"/>
      <c r="C943" s="87" t="n"/>
      <c r="D943" s="88" t="n"/>
      <c r="E943" s="88" t="n"/>
      <c r="F943" s="88" t="n"/>
      <c r="G943" s="88" t="n"/>
      <c r="H943" s="89" t="n"/>
      <c r="I943" s="90">
        <f>IF($G943="","",IF($F943="",IFERROR(INDEX(Setup!$C$21:$C$60,MATCH("|"&amp;UPPER(TRIM($G943)),Setup!$Q$21:$Q$60,0)),"NO RATE"),IFERROR(INDEX(Setup!$C$21:$C$60,MATCH(UPPER(TRIM($F943))&amp;"|"&amp;UPPER(TRIM($G943)),Setup!$P$21:$P$60,0)),IFERROR(INDEX(Setup!$C$21:$C$60,MATCH(UPPER(TRIM($G943))&amp;"|"&amp;UPPER(TRIM($F943)),Setup!$P$21:$P$60,0)),"NO RATE"))))</f>
        <v/>
      </c>
      <c r="J943" s="91" t="n"/>
      <c r="K943" s="90">
        <f>IF(OR($G943="",$H943="",NOT(ISNUMBER($I943))),"",ROUND($H943*$I943*(1+IF($J943="",Setup!$B$16,$J943)),2))</f>
        <v/>
      </c>
      <c r="L943" s="90">
        <f>IF($K943="","",ROUND($K943*Setup!$B$13,2))</f>
        <v/>
      </c>
      <c r="M943" s="90">
        <f>IF($K943="","",$K943-$L943)</f>
        <v/>
      </c>
      <c r="N943" s="90">
        <f>IF(OR($M943="",$D943=""),"",ROUND($M943*IFERROR(IF(VLOOKUP($D943,Setup!$A$76:$C$87,3,FALSE)="",Setup!$B$14,VLOOKUP($D943,Setup!$A$76:$C$87,3,FALSE)),Setup!$B$14),2))</f>
        <v/>
      </c>
      <c r="O943" s="90">
        <f>IF(OR($M943="",$E943=""),"",ROUND($M943*IFERROR(IF(VLOOKUP($E943,Setup!$A$76:$C$87,3,FALSE)="",Setup!$B$15,VLOOKUP($E943,Setup!$A$76:$C$87,3,FALSE)),Setup!$B$15),2))</f>
        <v/>
      </c>
      <c r="P943" s="92" t="n"/>
      <c r="Q943" s="92" t="n"/>
      <c r="R943" s="92" t="n"/>
      <c r="S943" s="92" t="n"/>
      <c r="T943" s="92" t="n"/>
      <c r="U943" s="90">
        <f>IF($K943="","",SUM($R943:$T943))</f>
        <v/>
      </c>
      <c r="V943" s="90">
        <f>IF($K943="","",$M943-(N($N943)+N($O943)+IF($P943="",Setup!$B$17,$P943)+N($Q943))-N($U943))</f>
        <v/>
      </c>
      <c r="W943" s="87" t="n"/>
      <c r="X943" s="88" t="n"/>
      <c r="Z943" s="93">
        <f>IF($A943="","",DATE(YEAR($A943),MONTH($A943),1))</f>
        <v/>
      </c>
    </row>
    <row r="944">
      <c r="A944" s="94" t="n"/>
      <c r="B944" s="95" t="n"/>
      <c r="C944" s="95" t="n"/>
      <c r="D944" s="96" t="n"/>
      <c r="E944" s="96" t="n"/>
      <c r="F944" s="96" t="n"/>
      <c r="G944" s="96" t="n"/>
      <c r="H944" s="97" t="n"/>
      <c r="I944" s="90">
        <f>IF($G944="","",IF($F944="",IFERROR(INDEX(Setup!$C$21:$C$60,MATCH("|"&amp;UPPER(TRIM($G944)),Setup!$Q$21:$Q$60,0)),"NO RATE"),IFERROR(INDEX(Setup!$C$21:$C$60,MATCH(UPPER(TRIM($F944))&amp;"|"&amp;UPPER(TRIM($G944)),Setup!$P$21:$P$60,0)),IFERROR(INDEX(Setup!$C$21:$C$60,MATCH(UPPER(TRIM($G944))&amp;"|"&amp;UPPER(TRIM($F944)),Setup!$P$21:$P$60,0)),"NO RATE"))))</f>
        <v/>
      </c>
      <c r="J944" s="98" t="n"/>
      <c r="K944" s="90">
        <f>IF(OR($G944="",$H944="",NOT(ISNUMBER($I944))),"",ROUND($H944*$I944*(1+IF($J944="",Setup!$B$16,$J944)),2))</f>
        <v/>
      </c>
      <c r="L944" s="90">
        <f>IF($K944="","",ROUND($K944*Setup!$B$13,2))</f>
        <v/>
      </c>
      <c r="M944" s="90">
        <f>IF($K944="","",$K944-$L944)</f>
        <v/>
      </c>
      <c r="N944" s="90">
        <f>IF(OR($M944="",$D944=""),"",ROUND($M944*IFERROR(IF(VLOOKUP($D944,Setup!$A$76:$C$87,3,FALSE)="",Setup!$B$14,VLOOKUP($D944,Setup!$A$76:$C$87,3,FALSE)),Setup!$B$14),2))</f>
        <v/>
      </c>
      <c r="O944" s="90">
        <f>IF(OR($M944="",$E944=""),"",ROUND($M944*IFERROR(IF(VLOOKUP($E944,Setup!$A$76:$C$87,3,FALSE)="",Setup!$B$15,VLOOKUP($E944,Setup!$A$76:$C$87,3,FALSE)),Setup!$B$15),2))</f>
        <v/>
      </c>
      <c r="P944" s="99" t="n"/>
      <c r="Q944" s="99" t="n"/>
      <c r="R944" s="99" t="n"/>
      <c r="S944" s="99" t="n"/>
      <c r="T944" s="99" t="n"/>
      <c r="U944" s="90">
        <f>IF($K944="","",SUM($R944:$T944))</f>
        <v/>
      </c>
      <c r="V944" s="90">
        <f>IF($K944="","",$M944-(N($N944)+N($O944)+IF($P944="",Setup!$B$17,$P944)+N($Q944))-N($U944))</f>
        <v/>
      </c>
      <c r="W944" s="95" t="n"/>
      <c r="X944" s="96" t="n"/>
      <c r="Z944" s="93">
        <f>IF($A944="","",DATE(YEAR($A944),MONTH($A944),1))</f>
        <v/>
      </c>
    </row>
    <row r="945">
      <c r="A945" s="86" t="n"/>
      <c r="B945" s="87" t="n"/>
      <c r="C945" s="87" t="n"/>
      <c r="D945" s="88" t="n"/>
      <c r="E945" s="88" t="n"/>
      <c r="F945" s="88" t="n"/>
      <c r="G945" s="88" t="n"/>
      <c r="H945" s="89" t="n"/>
      <c r="I945" s="90">
        <f>IF($G945="","",IF($F945="",IFERROR(INDEX(Setup!$C$21:$C$60,MATCH("|"&amp;UPPER(TRIM($G945)),Setup!$Q$21:$Q$60,0)),"NO RATE"),IFERROR(INDEX(Setup!$C$21:$C$60,MATCH(UPPER(TRIM($F945))&amp;"|"&amp;UPPER(TRIM($G945)),Setup!$P$21:$P$60,0)),IFERROR(INDEX(Setup!$C$21:$C$60,MATCH(UPPER(TRIM($G945))&amp;"|"&amp;UPPER(TRIM($F945)),Setup!$P$21:$P$60,0)),"NO RATE"))))</f>
        <v/>
      </c>
      <c r="J945" s="91" t="n"/>
      <c r="K945" s="90">
        <f>IF(OR($G945="",$H945="",NOT(ISNUMBER($I945))),"",ROUND($H945*$I945*(1+IF($J945="",Setup!$B$16,$J945)),2))</f>
        <v/>
      </c>
      <c r="L945" s="90">
        <f>IF($K945="","",ROUND($K945*Setup!$B$13,2))</f>
        <v/>
      </c>
      <c r="M945" s="90">
        <f>IF($K945="","",$K945-$L945)</f>
        <v/>
      </c>
      <c r="N945" s="90">
        <f>IF(OR($M945="",$D945=""),"",ROUND($M945*IFERROR(IF(VLOOKUP($D945,Setup!$A$76:$C$87,3,FALSE)="",Setup!$B$14,VLOOKUP($D945,Setup!$A$76:$C$87,3,FALSE)),Setup!$B$14),2))</f>
        <v/>
      </c>
      <c r="O945" s="90">
        <f>IF(OR($M945="",$E945=""),"",ROUND($M945*IFERROR(IF(VLOOKUP($E945,Setup!$A$76:$C$87,3,FALSE)="",Setup!$B$15,VLOOKUP($E945,Setup!$A$76:$C$87,3,FALSE)),Setup!$B$15),2))</f>
        <v/>
      </c>
      <c r="P945" s="92" t="n"/>
      <c r="Q945" s="92" t="n"/>
      <c r="R945" s="92" t="n"/>
      <c r="S945" s="92" t="n"/>
      <c r="T945" s="92" t="n"/>
      <c r="U945" s="90">
        <f>IF($K945="","",SUM($R945:$T945))</f>
        <v/>
      </c>
      <c r="V945" s="90">
        <f>IF($K945="","",$M945-(N($N945)+N($O945)+IF($P945="",Setup!$B$17,$P945)+N($Q945))-N($U945))</f>
        <v/>
      </c>
      <c r="W945" s="87" t="n"/>
      <c r="X945" s="88" t="n"/>
      <c r="Z945" s="93">
        <f>IF($A945="","",DATE(YEAR($A945),MONTH($A945),1))</f>
        <v/>
      </c>
    </row>
    <row r="946">
      <c r="A946" s="94" t="n"/>
      <c r="B946" s="95" t="n"/>
      <c r="C946" s="95" t="n"/>
      <c r="D946" s="96" t="n"/>
      <c r="E946" s="96" t="n"/>
      <c r="F946" s="96" t="n"/>
      <c r="G946" s="96" t="n"/>
      <c r="H946" s="97" t="n"/>
      <c r="I946" s="90">
        <f>IF($G946="","",IF($F946="",IFERROR(INDEX(Setup!$C$21:$C$60,MATCH("|"&amp;UPPER(TRIM($G946)),Setup!$Q$21:$Q$60,0)),"NO RATE"),IFERROR(INDEX(Setup!$C$21:$C$60,MATCH(UPPER(TRIM($F946))&amp;"|"&amp;UPPER(TRIM($G946)),Setup!$P$21:$P$60,0)),IFERROR(INDEX(Setup!$C$21:$C$60,MATCH(UPPER(TRIM($G946))&amp;"|"&amp;UPPER(TRIM($F946)),Setup!$P$21:$P$60,0)),"NO RATE"))))</f>
        <v/>
      </c>
      <c r="J946" s="98" t="n"/>
      <c r="K946" s="90">
        <f>IF(OR($G946="",$H946="",NOT(ISNUMBER($I946))),"",ROUND($H946*$I946*(1+IF($J946="",Setup!$B$16,$J946)),2))</f>
        <v/>
      </c>
      <c r="L946" s="90">
        <f>IF($K946="","",ROUND($K946*Setup!$B$13,2))</f>
        <v/>
      </c>
      <c r="M946" s="90">
        <f>IF($K946="","",$K946-$L946)</f>
        <v/>
      </c>
      <c r="N946" s="90">
        <f>IF(OR($M946="",$D946=""),"",ROUND($M946*IFERROR(IF(VLOOKUP($D946,Setup!$A$76:$C$87,3,FALSE)="",Setup!$B$14,VLOOKUP($D946,Setup!$A$76:$C$87,3,FALSE)),Setup!$B$14),2))</f>
        <v/>
      </c>
      <c r="O946" s="90">
        <f>IF(OR($M946="",$E946=""),"",ROUND($M946*IFERROR(IF(VLOOKUP($E946,Setup!$A$76:$C$87,3,FALSE)="",Setup!$B$15,VLOOKUP($E946,Setup!$A$76:$C$87,3,FALSE)),Setup!$B$15),2))</f>
        <v/>
      </c>
      <c r="P946" s="99" t="n"/>
      <c r="Q946" s="99" t="n"/>
      <c r="R946" s="99" t="n"/>
      <c r="S946" s="99" t="n"/>
      <c r="T946" s="99" t="n"/>
      <c r="U946" s="90">
        <f>IF($K946="","",SUM($R946:$T946))</f>
        <v/>
      </c>
      <c r="V946" s="90">
        <f>IF($K946="","",$M946-(N($N946)+N($O946)+IF($P946="",Setup!$B$17,$P946)+N($Q946))-N($U946))</f>
        <v/>
      </c>
      <c r="W946" s="95" t="n"/>
      <c r="X946" s="96" t="n"/>
      <c r="Z946" s="93">
        <f>IF($A946="","",DATE(YEAR($A946),MONTH($A946),1))</f>
        <v/>
      </c>
    </row>
    <row r="947">
      <c r="A947" s="86" t="n"/>
      <c r="B947" s="87" t="n"/>
      <c r="C947" s="87" t="n"/>
      <c r="D947" s="88" t="n"/>
      <c r="E947" s="88" t="n"/>
      <c r="F947" s="88" t="n"/>
      <c r="G947" s="88" t="n"/>
      <c r="H947" s="89" t="n"/>
      <c r="I947" s="90">
        <f>IF($G947="","",IF($F947="",IFERROR(INDEX(Setup!$C$21:$C$60,MATCH("|"&amp;UPPER(TRIM($G947)),Setup!$Q$21:$Q$60,0)),"NO RATE"),IFERROR(INDEX(Setup!$C$21:$C$60,MATCH(UPPER(TRIM($F947))&amp;"|"&amp;UPPER(TRIM($G947)),Setup!$P$21:$P$60,0)),IFERROR(INDEX(Setup!$C$21:$C$60,MATCH(UPPER(TRIM($G947))&amp;"|"&amp;UPPER(TRIM($F947)),Setup!$P$21:$P$60,0)),"NO RATE"))))</f>
        <v/>
      </c>
      <c r="J947" s="91" t="n"/>
      <c r="K947" s="90">
        <f>IF(OR($G947="",$H947="",NOT(ISNUMBER($I947))),"",ROUND($H947*$I947*(1+IF($J947="",Setup!$B$16,$J947)),2))</f>
        <v/>
      </c>
      <c r="L947" s="90">
        <f>IF($K947="","",ROUND($K947*Setup!$B$13,2))</f>
        <v/>
      </c>
      <c r="M947" s="90">
        <f>IF($K947="","",$K947-$L947)</f>
        <v/>
      </c>
      <c r="N947" s="90">
        <f>IF(OR($M947="",$D947=""),"",ROUND($M947*IFERROR(IF(VLOOKUP($D947,Setup!$A$76:$C$87,3,FALSE)="",Setup!$B$14,VLOOKUP($D947,Setup!$A$76:$C$87,3,FALSE)),Setup!$B$14),2))</f>
        <v/>
      </c>
      <c r="O947" s="90">
        <f>IF(OR($M947="",$E947=""),"",ROUND($M947*IFERROR(IF(VLOOKUP($E947,Setup!$A$76:$C$87,3,FALSE)="",Setup!$B$15,VLOOKUP($E947,Setup!$A$76:$C$87,3,FALSE)),Setup!$B$15),2))</f>
        <v/>
      </c>
      <c r="P947" s="92" t="n"/>
      <c r="Q947" s="92" t="n"/>
      <c r="R947" s="92" t="n"/>
      <c r="S947" s="92" t="n"/>
      <c r="T947" s="92" t="n"/>
      <c r="U947" s="90">
        <f>IF($K947="","",SUM($R947:$T947))</f>
        <v/>
      </c>
      <c r="V947" s="90">
        <f>IF($K947="","",$M947-(N($N947)+N($O947)+IF($P947="",Setup!$B$17,$P947)+N($Q947))-N($U947))</f>
        <v/>
      </c>
      <c r="W947" s="87" t="n"/>
      <c r="X947" s="88" t="n"/>
      <c r="Z947" s="93">
        <f>IF($A947="","",DATE(YEAR($A947),MONTH($A947),1))</f>
        <v/>
      </c>
    </row>
    <row r="948">
      <c r="A948" s="94" t="n"/>
      <c r="B948" s="95" t="n"/>
      <c r="C948" s="95" t="n"/>
      <c r="D948" s="96" t="n"/>
      <c r="E948" s="96" t="n"/>
      <c r="F948" s="96" t="n"/>
      <c r="G948" s="96" t="n"/>
      <c r="H948" s="97" t="n"/>
      <c r="I948" s="90">
        <f>IF($G948="","",IF($F948="",IFERROR(INDEX(Setup!$C$21:$C$60,MATCH("|"&amp;UPPER(TRIM($G948)),Setup!$Q$21:$Q$60,0)),"NO RATE"),IFERROR(INDEX(Setup!$C$21:$C$60,MATCH(UPPER(TRIM($F948))&amp;"|"&amp;UPPER(TRIM($G948)),Setup!$P$21:$P$60,0)),IFERROR(INDEX(Setup!$C$21:$C$60,MATCH(UPPER(TRIM($G948))&amp;"|"&amp;UPPER(TRIM($F948)),Setup!$P$21:$P$60,0)),"NO RATE"))))</f>
        <v/>
      </c>
      <c r="J948" s="98" t="n"/>
      <c r="K948" s="90">
        <f>IF(OR($G948="",$H948="",NOT(ISNUMBER($I948))),"",ROUND($H948*$I948*(1+IF($J948="",Setup!$B$16,$J948)),2))</f>
        <v/>
      </c>
      <c r="L948" s="90">
        <f>IF($K948="","",ROUND($K948*Setup!$B$13,2))</f>
        <v/>
      </c>
      <c r="M948" s="90">
        <f>IF($K948="","",$K948-$L948)</f>
        <v/>
      </c>
      <c r="N948" s="90">
        <f>IF(OR($M948="",$D948=""),"",ROUND($M948*IFERROR(IF(VLOOKUP($D948,Setup!$A$76:$C$87,3,FALSE)="",Setup!$B$14,VLOOKUP($D948,Setup!$A$76:$C$87,3,FALSE)),Setup!$B$14),2))</f>
        <v/>
      </c>
      <c r="O948" s="90">
        <f>IF(OR($M948="",$E948=""),"",ROUND($M948*IFERROR(IF(VLOOKUP($E948,Setup!$A$76:$C$87,3,FALSE)="",Setup!$B$15,VLOOKUP($E948,Setup!$A$76:$C$87,3,FALSE)),Setup!$B$15),2))</f>
        <v/>
      </c>
      <c r="P948" s="99" t="n"/>
      <c r="Q948" s="99" t="n"/>
      <c r="R948" s="99" t="n"/>
      <c r="S948" s="99" t="n"/>
      <c r="T948" s="99" t="n"/>
      <c r="U948" s="90">
        <f>IF($K948="","",SUM($R948:$T948))</f>
        <v/>
      </c>
      <c r="V948" s="90">
        <f>IF($K948="","",$M948-(N($N948)+N($O948)+IF($P948="",Setup!$B$17,$P948)+N($Q948))-N($U948))</f>
        <v/>
      </c>
      <c r="W948" s="95" t="n"/>
      <c r="X948" s="96" t="n"/>
      <c r="Z948" s="93">
        <f>IF($A948="","",DATE(YEAR($A948),MONTH($A948),1))</f>
        <v/>
      </c>
    </row>
    <row r="949">
      <c r="A949" s="86" t="n"/>
      <c r="B949" s="87" t="n"/>
      <c r="C949" s="87" t="n"/>
      <c r="D949" s="88" t="n"/>
      <c r="E949" s="88" t="n"/>
      <c r="F949" s="88" t="n"/>
      <c r="G949" s="88" t="n"/>
      <c r="H949" s="89" t="n"/>
      <c r="I949" s="90">
        <f>IF($G949="","",IF($F949="",IFERROR(INDEX(Setup!$C$21:$C$60,MATCH("|"&amp;UPPER(TRIM($G949)),Setup!$Q$21:$Q$60,0)),"NO RATE"),IFERROR(INDEX(Setup!$C$21:$C$60,MATCH(UPPER(TRIM($F949))&amp;"|"&amp;UPPER(TRIM($G949)),Setup!$P$21:$P$60,0)),IFERROR(INDEX(Setup!$C$21:$C$60,MATCH(UPPER(TRIM($G949))&amp;"|"&amp;UPPER(TRIM($F949)),Setup!$P$21:$P$60,0)),"NO RATE"))))</f>
        <v/>
      </c>
      <c r="J949" s="91" t="n"/>
      <c r="K949" s="90">
        <f>IF(OR($G949="",$H949="",NOT(ISNUMBER($I949))),"",ROUND($H949*$I949*(1+IF($J949="",Setup!$B$16,$J949)),2))</f>
        <v/>
      </c>
      <c r="L949" s="90">
        <f>IF($K949="","",ROUND($K949*Setup!$B$13,2))</f>
        <v/>
      </c>
      <c r="M949" s="90">
        <f>IF($K949="","",$K949-$L949)</f>
        <v/>
      </c>
      <c r="N949" s="90">
        <f>IF(OR($M949="",$D949=""),"",ROUND($M949*IFERROR(IF(VLOOKUP($D949,Setup!$A$76:$C$87,3,FALSE)="",Setup!$B$14,VLOOKUP($D949,Setup!$A$76:$C$87,3,FALSE)),Setup!$B$14),2))</f>
        <v/>
      </c>
      <c r="O949" s="90">
        <f>IF(OR($M949="",$E949=""),"",ROUND($M949*IFERROR(IF(VLOOKUP($E949,Setup!$A$76:$C$87,3,FALSE)="",Setup!$B$15,VLOOKUP($E949,Setup!$A$76:$C$87,3,FALSE)),Setup!$B$15),2))</f>
        <v/>
      </c>
      <c r="P949" s="92" t="n"/>
      <c r="Q949" s="92" t="n"/>
      <c r="R949" s="92" t="n"/>
      <c r="S949" s="92" t="n"/>
      <c r="T949" s="92" t="n"/>
      <c r="U949" s="90">
        <f>IF($K949="","",SUM($R949:$T949))</f>
        <v/>
      </c>
      <c r="V949" s="90">
        <f>IF($K949="","",$M949-(N($N949)+N($O949)+IF($P949="",Setup!$B$17,$P949)+N($Q949))-N($U949))</f>
        <v/>
      </c>
      <c r="W949" s="87" t="n"/>
      <c r="X949" s="88" t="n"/>
      <c r="Z949" s="93">
        <f>IF($A949="","",DATE(YEAR($A949),MONTH($A949),1))</f>
        <v/>
      </c>
    </row>
    <row r="950">
      <c r="A950" s="94" t="n"/>
      <c r="B950" s="95" t="n"/>
      <c r="C950" s="95" t="n"/>
      <c r="D950" s="96" t="n"/>
      <c r="E950" s="96" t="n"/>
      <c r="F950" s="96" t="n"/>
      <c r="G950" s="96" t="n"/>
      <c r="H950" s="97" t="n"/>
      <c r="I950" s="90">
        <f>IF($G950="","",IF($F950="",IFERROR(INDEX(Setup!$C$21:$C$60,MATCH("|"&amp;UPPER(TRIM($G950)),Setup!$Q$21:$Q$60,0)),"NO RATE"),IFERROR(INDEX(Setup!$C$21:$C$60,MATCH(UPPER(TRIM($F950))&amp;"|"&amp;UPPER(TRIM($G950)),Setup!$P$21:$P$60,0)),IFERROR(INDEX(Setup!$C$21:$C$60,MATCH(UPPER(TRIM($G950))&amp;"|"&amp;UPPER(TRIM($F950)),Setup!$P$21:$P$60,0)),"NO RATE"))))</f>
        <v/>
      </c>
      <c r="J950" s="98" t="n"/>
      <c r="K950" s="90">
        <f>IF(OR($G950="",$H950="",NOT(ISNUMBER($I950))),"",ROUND($H950*$I950*(1+IF($J950="",Setup!$B$16,$J950)),2))</f>
        <v/>
      </c>
      <c r="L950" s="90">
        <f>IF($K950="","",ROUND($K950*Setup!$B$13,2))</f>
        <v/>
      </c>
      <c r="M950" s="90">
        <f>IF($K950="","",$K950-$L950)</f>
        <v/>
      </c>
      <c r="N950" s="90">
        <f>IF(OR($M950="",$D950=""),"",ROUND($M950*IFERROR(IF(VLOOKUP($D950,Setup!$A$76:$C$87,3,FALSE)="",Setup!$B$14,VLOOKUP($D950,Setup!$A$76:$C$87,3,FALSE)),Setup!$B$14),2))</f>
        <v/>
      </c>
      <c r="O950" s="90">
        <f>IF(OR($M950="",$E950=""),"",ROUND($M950*IFERROR(IF(VLOOKUP($E950,Setup!$A$76:$C$87,3,FALSE)="",Setup!$B$15,VLOOKUP($E950,Setup!$A$76:$C$87,3,FALSE)),Setup!$B$15),2))</f>
        <v/>
      </c>
      <c r="P950" s="99" t="n"/>
      <c r="Q950" s="99" t="n"/>
      <c r="R950" s="99" t="n"/>
      <c r="S950" s="99" t="n"/>
      <c r="T950" s="99" t="n"/>
      <c r="U950" s="90">
        <f>IF($K950="","",SUM($R950:$T950))</f>
        <v/>
      </c>
      <c r="V950" s="90">
        <f>IF($K950="","",$M950-(N($N950)+N($O950)+IF($P950="",Setup!$B$17,$P950)+N($Q950))-N($U950))</f>
        <v/>
      </c>
      <c r="W950" s="95" t="n"/>
      <c r="X950" s="96" t="n"/>
      <c r="Z950" s="93">
        <f>IF($A950="","",DATE(YEAR($A950),MONTH($A950),1))</f>
        <v/>
      </c>
    </row>
    <row r="951">
      <c r="A951" s="86" t="n"/>
      <c r="B951" s="87" t="n"/>
      <c r="C951" s="87" t="n"/>
      <c r="D951" s="88" t="n"/>
      <c r="E951" s="88" t="n"/>
      <c r="F951" s="88" t="n"/>
      <c r="G951" s="88" t="n"/>
      <c r="H951" s="89" t="n"/>
      <c r="I951" s="90">
        <f>IF($G951="","",IF($F951="",IFERROR(INDEX(Setup!$C$21:$C$60,MATCH("|"&amp;UPPER(TRIM($G951)),Setup!$Q$21:$Q$60,0)),"NO RATE"),IFERROR(INDEX(Setup!$C$21:$C$60,MATCH(UPPER(TRIM($F951))&amp;"|"&amp;UPPER(TRIM($G951)),Setup!$P$21:$P$60,0)),IFERROR(INDEX(Setup!$C$21:$C$60,MATCH(UPPER(TRIM($G951))&amp;"|"&amp;UPPER(TRIM($F951)),Setup!$P$21:$P$60,0)),"NO RATE"))))</f>
        <v/>
      </c>
      <c r="J951" s="91" t="n"/>
      <c r="K951" s="90">
        <f>IF(OR($G951="",$H951="",NOT(ISNUMBER($I951))),"",ROUND($H951*$I951*(1+IF($J951="",Setup!$B$16,$J951)),2))</f>
        <v/>
      </c>
      <c r="L951" s="90">
        <f>IF($K951="","",ROUND($K951*Setup!$B$13,2))</f>
        <v/>
      </c>
      <c r="M951" s="90">
        <f>IF($K951="","",$K951-$L951)</f>
        <v/>
      </c>
      <c r="N951" s="90">
        <f>IF(OR($M951="",$D951=""),"",ROUND($M951*IFERROR(IF(VLOOKUP($D951,Setup!$A$76:$C$87,3,FALSE)="",Setup!$B$14,VLOOKUP($D951,Setup!$A$76:$C$87,3,FALSE)),Setup!$B$14),2))</f>
        <v/>
      </c>
      <c r="O951" s="90">
        <f>IF(OR($M951="",$E951=""),"",ROUND($M951*IFERROR(IF(VLOOKUP($E951,Setup!$A$76:$C$87,3,FALSE)="",Setup!$B$15,VLOOKUP($E951,Setup!$A$76:$C$87,3,FALSE)),Setup!$B$15),2))</f>
        <v/>
      </c>
      <c r="P951" s="92" t="n"/>
      <c r="Q951" s="92" t="n"/>
      <c r="R951" s="92" t="n"/>
      <c r="S951" s="92" t="n"/>
      <c r="T951" s="92" t="n"/>
      <c r="U951" s="90">
        <f>IF($K951="","",SUM($R951:$T951))</f>
        <v/>
      </c>
      <c r="V951" s="90">
        <f>IF($K951="","",$M951-(N($N951)+N($O951)+IF($P951="",Setup!$B$17,$P951)+N($Q951))-N($U951))</f>
        <v/>
      </c>
      <c r="W951" s="87" t="n"/>
      <c r="X951" s="88" t="n"/>
      <c r="Z951" s="93">
        <f>IF($A951="","",DATE(YEAR($A951),MONTH($A951),1))</f>
        <v/>
      </c>
    </row>
    <row r="952">
      <c r="A952" s="94" t="n"/>
      <c r="B952" s="95" t="n"/>
      <c r="C952" s="95" t="n"/>
      <c r="D952" s="96" t="n"/>
      <c r="E952" s="96" t="n"/>
      <c r="F952" s="96" t="n"/>
      <c r="G952" s="96" t="n"/>
      <c r="H952" s="97" t="n"/>
      <c r="I952" s="90">
        <f>IF($G952="","",IF($F952="",IFERROR(INDEX(Setup!$C$21:$C$60,MATCH("|"&amp;UPPER(TRIM($G952)),Setup!$Q$21:$Q$60,0)),"NO RATE"),IFERROR(INDEX(Setup!$C$21:$C$60,MATCH(UPPER(TRIM($F952))&amp;"|"&amp;UPPER(TRIM($G952)),Setup!$P$21:$P$60,0)),IFERROR(INDEX(Setup!$C$21:$C$60,MATCH(UPPER(TRIM($G952))&amp;"|"&amp;UPPER(TRIM($F952)),Setup!$P$21:$P$60,0)),"NO RATE"))))</f>
        <v/>
      </c>
      <c r="J952" s="98" t="n"/>
      <c r="K952" s="90">
        <f>IF(OR($G952="",$H952="",NOT(ISNUMBER($I952))),"",ROUND($H952*$I952*(1+IF($J952="",Setup!$B$16,$J952)),2))</f>
        <v/>
      </c>
      <c r="L952" s="90">
        <f>IF($K952="","",ROUND($K952*Setup!$B$13,2))</f>
        <v/>
      </c>
      <c r="M952" s="90">
        <f>IF($K952="","",$K952-$L952)</f>
        <v/>
      </c>
      <c r="N952" s="90">
        <f>IF(OR($M952="",$D952=""),"",ROUND($M952*IFERROR(IF(VLOOKUP($D952,Setup!$A$76:$C$87,3,FALSE)="",Setup!$B$14,VLOOKUP($D952,Setup!$A$76:$C$87,3,FALSE)),Setup!$B$14),2))</f>
        <v/>
      </c>
      <c r="O952" s="90">
        <f>IF(OR($M952="",$E952=""),"",ROUND($M952*IFERROR(IF(VLOOKUP($E952,Setup!$A$76:$C$87,3,FALSE)="",Setup!$B$15,VLOOKUP($E952,Setup!$A$76:$C$87,3,FALSE)),Setup!$B$15),2))</f>
        <v/>
      </c>
      <c r="P952" s="99" t="n"/>
      <c r="Q952" s="99" t="n"/>
      <c r="R952" s="99" t="n"/>
      <c r="S952" s="99" t="n"/>
      <c r="T952" s="99" t="n"/>
      <c r="U952" s="90">
        <f>IF($K952="","",SUM($R952:$T952))</f>
        <v/>
      </c>
      <c r="V952" s="90">
        <f>IF($K952="","",$M952-(N($N952)+N($O952)+IF($P952="",Setup!$B$17,$P952)+N($Q952))-N($U952))</f>
        <v/>
      </c>
      <c r="W952" s="95" t="n"/>
      <c r="X952" s="96" t="n"/>
      <c r="Z952" s="93">
        <f>IF($A952="","",DATE(YEAR($A952),MONTH($A952),1))</f>
        <v/>
      </c>
    </row>
    <row r="953">
      <c r="A953" s="86" t="n"/>
      <c r="B953" s="87" t="n"/>
      <c r="C953" s="87" t="n"/>
      <c r="D953" s="88" t="n"/>
      <c r="E953" s="88" t="n"/>
      <c r="F953" s="88" t="n"/>
      <c r="G953" s="88" t="n"/>
      <c r="H953" s="89" t="n"/>
      <c r="I953" s="90">
        <f>IF($G953="","",IF($F953="",IFERROR(INDEX(Setup!$C$21:$C$60,MATCH("|"&amp;UPPER(TRIM($G953)),Setup!$Q$21:$Q$60,0)),"NO RATE"),IFERROR(INDEX(Setup!$C$21:$C$60,MATCH(UPPER(TRIM($F953))&amp;"|"&amp;UPPER(TRIM($G953)),Setup!$P$21:$P$60,0)),IFERROR(INDEX(Setup!$C$21:$C$60,MATCH(UPPER(TRIM($G953))&amp;"|"&amp;UPPER(TRIM($F953)),Setup!$P$21:$P$60,0)),"NO RATE"))))</f>
        <v/>
      </c>
      <c r="J953" s="91" t="n"/>
      <c r="K953" s="90">
        <f>IF(OR($G953="",$H953="",NOT(ISNUMBER($I953))),"",ROUND($H953*$I953*(1+IF($J953="",Setup!$B$16,$J953)),2))</f>
        <v/>
      </c>
      <c r="L953" s="90">
        <f>IF($K953="","",ROUND($K953*Setup!$B$13,2))</f>
        <v/>
      </c>
      <c r="M953" s="90">
        <f>IF($K953="","",$K953-$L953)</f>
        <v/>
      </c>
      <c r="N953" s="90">
        <f>IF(OR($M953="",$D953=""),"",ROUND($M953*IFERROR(IF(VLOOKUP($D953,Setup!$A$76:$C$87,3,FALSE)="",Setup!$B$14,VLOOKUP($D953,Setup!$A$76:$C$87,3,FALSE)),Setup!$B$14),2))</f>
        <v/>
      </c>
      <c r="O953" s="90">
        <f>IF(OR($M953="",$E953=""),"",ROUND($M953*IFERROR(IF(VLOOKUP($E953,Setup!$A$76:$C$87,3,FALSE)="",Setup!$B$15,VLOOKUP($E953,Setup!$A$76:$C$87,3,FALSE)),Setup!$B$15),2))</f>
        <v/>
      </c>
      <c r="P953" s="92" t="n"/>
      <c r="Q953" s="92" t="n"/>
      <c r="R953" s="92" t="n"/>
      <c r="S953" s="92" t="n"/>
      <c r="T953" s="92" t="n"/>
      <c r="U953" s="90">
        <f>IF($K953="","",SUM($R953:$T953))</f>
        <v/>
      </c>
      <c r="V953" s="90">
        <f>IF($K953="","",$M953-(N($N953)+N($O953)+IF($P953="",Setup!$B$17,$P953)+N($Q953))-N($U953))</f>
        <v/>
      </c>
      <c r="W953" s="87" t="n"/>
      <c r="X953" s="88" t="n"/>
      <c r="Z953" s="93">
        <f>IF($A953="","",DATE(YEAR($A953),MONTH($A953),1))</f>
        <v/>
      </c>
    </row>
    <row r="954">
      <c r="A954" s="94" t="n"/>
      <c r="B954" s="95" t="n"/>
      <c r="C954" s="95" t="n"/>
      <c r="D954" s="96" t="n"/>
      <c r="E954" s="96" t="n"/>
      <c r="F954" s="96" t="n"/>
      <c r="G954" s="96" t="n"/>
      <c r="H954" s="97" t="n"/>
      <c r="I954" s="90">
        <f>IF($G954="","",IF($F954="",IFERROR(INDEX(Setup!$C$21:$C$60,MATCH("|"&amp;UPPER(TRIM($G954)),Setup!$Q$21:$Q$60,0)),"NO RATE"),IFERROR(INDEX(Setup!$C$21:$C$60,MATCH(UPPER(TRIM($F954))&amp;"|"&amp;UPPER(TRIM($G954)),Setup!$P$21:$P$60,0)),IFERROR(INDEX(Setup!$C$21:$C$60,MATCH(UPPER(TRIM($G954))&amp;"|"&amp;UPPER(TRIM($F954)),Setup!$P$21:$P$60,0)),"NO RATE"))))</f>
        <v/>
      </c>
      <c r="J954" s="98" t="n"/>
      <c r="K954" s="90">
        <f>IF(OR($G954="",$H954="",NOT(ISNUMBER($I954))),"",ROUND($H954*$I954*(1+IF($J954="",Setup!$B$16,$J954)),2))</f>
        <v/>
      </c>
      <c r="L954" s="90">
        <f>IF($K954="","",ROUND($K954*Setup!$B$13,2))</f>
        <v/>
      </c>
      <c r="M954" s="90">
        <f>IF($K954="","",$K954-$L954)</f>
        <v/>
      </c>
      <c r="N954" s="90">
        <f>IF(OR($M954="",$D954=""),"",ROUND($M954*IFERROR(IF(VLOOKUP($D954,Setup!$A$76:$C$87,3,FALSE)="",Setup!$B$14,VLOOKUP($D954,Setup!$A$76:$C$87,3,FALSE)),Setup!$B$14),2))</f>
        <v/>
      </c>
      <c r="O954" s="90">
        <f>IF(OR($M954="",$E954=""),"",ROUND($M954*IFERROR(IF(VLOOKUP($E954,Setup!$A$76:$C$87,3,FALSE)="",Setup!$B$15,VLOOKUP($E954,Setup!$A$76:$C$87,3,FALSE)),Setup!$B$15),2))</f>
        <v/>
      </c>
      <c r="P954" s="99" t="n"/>
      <c r="Q954" s="99" t="n"/>
      <c r="R954" s="99" t="n"/>
      <c r="S954" s="99" t="n"/>
      <c r="T954" s="99" t="n"/>
      <c r="U954" s="90">
        <f>IF($K954="","",SUM($R954:$T954))</f>
        <v/>
      </c>
      <c r="V954" s="90">
        <f>IF($K954="","",$M954-(N($N954)+N($O954)+IF($P954="",Setup!$B$17,$P954)+N($Q954))-N($U954))</f>
        <v/>
      </c>
      <c r="W954" s="95" t="n"/>
      <c r="X954" s="96" t="n"/>
      <c r="Z954" s="93">
        <f>IF($A954="","",DATE(YEAR($A954),MONTH($A954),1))</f>
        <v/>
      </c>
    </row>
    <row r="955">
      <c r="A955" s="86" t="n"/>
      <c r="B955" s="87" t="n"/>
      <c r="C955" s="87" t="n"/>
      <c r="D955" s="88" t="n"/>
      <c r="E955" s="88" t="n"/>
      <c r="F955" s="88" t="n"/>
      <c r="G955" s="88" t="n"/>
      <c r="H955" s="89" t="n"/>
      <c r="I955" s="90">
        <f>IF($G955="","",IF($F955="",IFERROR(INDEX(Setup!$C$21:$C$60,MATCH("|"&amp;UPPER(TRIM($G955)),Setup!$Q$21:$Q$60,0)),"NO RATE"),IFERROR(INDEX(Setup!$C$21:$C$60,MATCH(UPPER(TRIM($F955))&amp;"|"&amp;UPPER(TRIM($G955)),Setup!$P$21:$P$60,0)),IFERROR(INDEX(Setup!$C$21:$C$60,MATCH(UPPER(TRIM($G955))&amp;"|"&amp;UPPER(TRIM($F955)),Setup!$P$21:$P$60,0)),"NO RATE"))))</f>
        <v/>
      </c>
      <c r="J955" s="91" t="n"/>
      <c r="K955" s="90">
        <f>IF(OR($G955="",$H955="",NOT(ISNUMBER($I955))),"",ROUND($H955*$I955*(1+IF($J955="",Setup!$B$16,$J955)),2))</f>
        <v/>
      </c>
      <c r="L955" s="90">
        <f>IF($K955="","",ROUND($K955*Setup!$B$13,2))</f>
        <v/>
      </c>
      <c r="M955" s="90">
        <f>IF($K955="","",$K955-$L955)</f>
        <v/>
      </c>
      <c r="N955" s="90">
        <f>IF(OR($M955="",$D955=""),"",ROUND($M955*IFERROR(IF(VLOOKUP($D955,Setup!$A$76:$C$87,3,FALSE)="",Setup!$B$14,VLOOKUP($D955,Setup!$A$76:$C$87,3,FALSE)),Setup!$B$14),2))</f>
        <v/>
      </c>
      <c r="O955" s="90">
        <f>IF(OR($M955="",$E955=""),"",ROUND($M955*IFERROR(IF(VLOOKUP($E955,Setup!$A$76:$C$87,3,FALSE)="",Setup!$B$15,VLOOKUP($E955,Setup!$A$76:$C$87,3,FALSE)),Setup!$B$15),2))</f>
        <v/>
      </c>
      <c r="P955" s="92" t="n"/>
      <c r="Q955" s="92" t="n"/>
      <c r="R955" s="92" t="n"/>
      <c r="S955" s="92" t="n"/>
      <c r="T955" s="92" t="n"/>
      <c r="U955" s="90">
        <f>IF($K955="","",SUM($R955:$T955))</f>
        <v/>
      </c>
      <c r="V955" s="90">
        <f>IF($K955="","",$M955-(N($N955)+N($O955)+IF($P955="",Setup!$B$17,$P955)+N($Q955))-N($U955))</f>
        <v/>
      </c>
      <c r="W955" s="87" t="n"/>
      <c r="X955" s="88" t="n"/>
      <c r="Z955" s="93">
        <f>IF($A955="","",DATE(YEAR($A955),MONTH($A955),1))</f>
        <v/>
      </c>
    </row>
    <row r="956">
      <c r="A956" s="94" t="n"/>
      <c r="B956" s="95" t="n"/>
      <c r="C956" s="95" t="n"/>
      <c r="D956" s="96" t="n"/>
      <c r="E956" s="96" t="n"/>
      <c r="F956" s="96" t="n"/>
      <c r="G956" s="96" t="n"/>
      <c r="H956" s="97" t="n"/>
      <c r="I956" s="90">
        <f>IF($G956="","",IF($F956="",IFERROR(INDEX(Setup!$C$21:$C$60,MATCH("|"&amp;UPPER(TRIM($G956)),Setup!$Q$21:$Q$60,0)),"NO RATE"),IFERROR(INDEX(Setup!$C$21:$C$60,MATCH(UPPER(TRIM($F956))&amp;"|"&amp;UPPER(TRIM($G956)),Setup!$P$21:$P$60,0)),IFERROR(INDEX(Setup!$C$21:$C$60,MATCH(UPPER(TRIM($G956))&amp;"|"&amp;UPPER(TRIM($F956)),Setup!$P$21:$P$60,0)),"NO RATE"))))</f>
        <v/>
      </c>
      <c r="J956" s="98" t="n"/>
      <c r="K956" s="90">
        <f>IF(OR($G956="",$H956="",NOT(ISNUMBER($I956))),"",ROUND($H956*$I956*(1+IF($J956="",Setup!$B$16,$J956)),2))</f>
        <v/>
      </c>
      <c r="L956" s="90">
        <f>IF($K956="","",ROUND($K956*Setup!$B$13,2))</f>
        <v/>
      </c>
      <c r="M956" s="90">
        <f>IF($K956="","",$K956-$L956)</f>
        <v/>
      </c>
      <c r="N956" s="90">
        <f>IF(OR($M956="",$D956=""),"",ROUND($M956*IFERROR(IF(VLOOKUP($D956,Setup!$A$76:$C$87,3,FALSE)="",Setup!$B$14,VLOOKUP($D956,Setup!$A$76:$C$87,3,FALSE)),Setup!$B$14),2))</f>
        <v/>
      </c>
      <c r="O956" s="90">
        <f>IF(OR($M956="",$E956=""),"",ROUND($M956*IFERROR(IF(VLOOKUP($E956,Setup!$A$76:$C$87,3,FALSE)="",Setup!$B$15,VLOOKUP($E956,Setup!$A$76:$C$87,3,FALSE)),Setup!$B$15),2))</f>
        <v/>
      </c>
      <c r="P956" s="99" t="n"/>
      <c r="Q956" s="99" t="n"/>
      <c r="R956" s="99" t="n"/>
      <c r="S956" s="99" t="n"/>
      <c r="T956" s="99" t="n"/>
      <c r="U956" s="90">
        <f>IF($K956="","",SUM($R956:$T956))</f>
        <v/>
      </c>
      <c r="V956" s="90">
        <f>IF($K956="","",$M956-(N($N956)+N($O956)+IF($P956="",Setup!$B$17,$P956)+N($Q956))-N($U956))</f>
        <v/>
      </c>
      <c r="W956" s="95" t="n"/>
      <c r="X956" s="96" t="n"/>
      <c r="Z956" s="93">
        <f>IF($A956="","",DATE(YEAR($A956),MONTH($A956),1))</f>
        <v/>
      </c>
    </row>
    <row r="957">
      <c r="A957" s="86" t="n"/>
      <c r="B957" s="87" t="n"/>
      <c r="C957" s="87" t="n"/>
      <c r="D957" s="88" t="n"/>
      <c r="E957" s="88" t="n"/>
      <c r="F957" s="88" t="n"/>
      <c r="G957" s="88" t="n"/>
      <c r="H957" s="89" t="n"/>
      <c r="I957" s="90">
        <f>IF($G957="","",IF($F957="",IFERROR(INDEX(Setup!$C$21:$C$60,MATCH("|"&amp;UPPER(TRIM($G957)),Setup!$Q$21:$Q$60,0)),"NO RATE"),IFERROR(INDEX(Setup!$C$21:$C$60,MATCH(UPPER(TRIM($F957))&amp;"|"&amp;UPPER(TRIM($G957)),Setup!$P$21:$P$60,0)),IFERROR(INDEX(Setup!$C$21:$C$60,MATCH(UPPER(TRIM($G957))&amp;"|"&amp;UPPER(TRIM($F957)),Setup!$P$21:$P$60,0)),"NO RATE"))))</f>
        <v/>
      </c>
      <c r="J957" s="91" t="n"/>
      <c r="K957" s="90">
        <f>IF(OR($G957="",$H957="",NOT(ISNUMBER($I957))),"",ROUND($H957*$I957*(1+IF($J957="",Setup!$B$16,$J957)),2))</f>
        <v/>
      </c>
      <c r="L957" s="90">
        <f>IF($K957="","",ROUND($K957*Setup!$B$13,2))</f>
        <v/>
      </c>
      <c r="M957" s="90">
        <f>IF($K957="","",$K957-$L957)</f>
        <v/>
      </c>
      <c r="N957" s="90">
        <f>IF(OR($M957="",$D957=""),"",ROUND($M957*IFERROR(IF(VLOOKUP($D957,Setup!$A$76:$C$87,3,FALSE)="",Setup!$B$14,VLOOKUP($D957,Setup!$A$76:$C$87,3,FALSE)),Setup!$B$14),2))</f>
        <v/>
      </c>
      <c r="O957" s="90">
        <f>IF(OR($M957="",$E957=""),"",ROUND($M957*IFERROR(IF(VLOOKUP($E957,Setup!$A$76:$C$87,3,FALSE)="",Setup!$B$15,VLOOKUP($E957,Setup!$A$76:$C$87,3,FALSE)),Setup!$B$15),2))</f>
        <v/>
      </c>
      <c r="P957" s="92" t="n"/>
      <c r="Q957" s="92" t="n"/>
      <c r="R957" s="92" t="n"/>
      <c r="S957" s="92" t="n"/>
      <c r="T957" s="92" t="n"/>
      <c r="U957" s="90">
        <f>IF($K957="","",SUM($R957:$T957))</f>
        <v/>
      </c>
      <c r="V957" s="90">
        <f>IF($K957="","",$M957-(N($N957)+N($O957)+IF($P957="",Setup!$B$17,$P957)+N($Q957))-N($U957))</f>
        <v/>
      </c>
      <c r="W957" s="87" t="n"/>
      <c r="X957" s="88" t="n"/>
      <c r="Z957" s="93">
        <f>IF($A957="","",DATE(YEAR($A957),MONTH($A957),1))</f>
        <v/>
      </c>
    </row>
    <row r="958">
      <c r="A958" s="94" t="n"/>
      <c r="B958" s="95" t="n"/>
      <c r="C958" s="95" t="n"/>
      <c r="D958" s="96" t="n"/>
      <c r="E958" s="96" t="n"/>
      <c r="F958" s="96" t="n"/>
      <c r="G958" s="96" t="n"/>
      <c r="H958" s="97" t="n"/>
      <c r="I958" s="90">
        <f>IF($G958="","",IF($F958="",IFERROR(INDEX(Setup!$C$21:$C$60,MATCH("|"&amp;UPPER(TRIM($G958)),Setup!$Q$21:$Q$60,0)),"NO RATE"),IFERROR(INDEX(Setup!$C$21:$C$60,MATCH(UPPER(TRIM($F958))&amp;"|"&amp;UPPER(TRIM($G958)),Setup!$P$21:$P$60,0)),IFERROR(INDEX(Setup!$C$21:$C$60,MATCH(UPPER(TRIM($G958))&amp;"|"&amp;UPPER(TRIM($F958)),Setup!$P$21:$P$60,0)),"NO RATE"))))</f>
        <v/>
      </c>
      <c r="J958" s="98" t="n"/>
      <c r="K958" s="90">
        <f>IF(OR($G958="",$H958="",NOT(ISNUMBER($I958))),"",ROUND($H958*$I958*(1+IF($J958="",Setup!$B$16,$J958)),2))</f>
        <v/>
      </c>
      <c r="L958" s="90">
        <f>IF($K958="","",ROUND($K958*Setup!$B$13,2))</f>
        <v/>
      </c>
      <c r="M958" s="90">
        <f>IF($K958="","",$K958-$L958)</f>
        <v/>
      </c>
      <c r="N958" s="90">
        <f>IF(OR($M958="",$D958=""),"",ROUND($M958*IFERROR(IF(VLOOKUP($D958,Setup!$A$76:$C$87,3,FALSE)="",Setup!$B$14,VLOOKUP($D958,Setup!$A$76:$C$87,3,FALSE)),Setup!$B$14),2))</f>
        <v/>
      </c>
      <c r="O958" s="90">
        <f>IF(OR($M958="",$E958=""),"",ROUND($M958*IFERROR(IF(VLOOKUP($E958,Setup!$A$76:$C$87,3,FALSE)="",Setup!$B$15,VLOOKUP($E958,Setup!$A$76:$C$87,3,FALSE)),Setup!$B$15),2))</f>
        <v/>
      </c>
      <c r="P958" s="99" t="n"/>
      <c r="Q958" s="99" t="n"/>
      <c r="R958" s="99" t="n"/>
      <c r="S958" s="99" t="n"/>
      <c r="T958" s="99" t="n"/>
      <c r="U958" s="90">
        <f>IF($K958="","",SUM($R958:$T958))</f>
        <v/>
      </c>
      <c r="V958" s="90">
        <f>IF($K958="","",$M958-(N($N958)+N($O958)+IF($P958="",Setup!$B$17,$P958)+N($Q958))-N($U958))</f>
        <v/>
      </c>
      <c r="W958" s="95" t="n"/>
      <c r="X958" s="96" t="n"/>
      <c r="Z958" s="93">
        <f>IF($A958="","",DATE(YEAR($A958),MONTH($A958),1))</f>
        <v/>
      </c>
    </row>
    <row r="959">
      <c r="A959" s="86" t="n"/>
      <c r="B959" s="87" t="n"/>
      <c r="C959" s="87" t="n"/>
      <c r="D959" s="88" t="n"/>
      <c r="E959" s="88" t="n"/>
      <c r="F959" s="88" t="n"/>
      <c r="G959" s="88" t="n"/>
      <c r="H959" s="89" t="n"/>
      <c r="I959" s="90">
        <f>IF($G959="","",IF($F959="",IFERROR(INDEX(Setup!$C$21:$C$60,MATCH("|"&amp;UPPER(TRIM($G959)),Setup!$Q$21:$Q$60,0)),"NO RATE"),IFERROR(INDEX(Setup!$C$21:$C$60,MATCH(UPPER(TRIM($F959))&amp;"|"&amp;UPPER(TRIM($G959)),Setup!$P$21:$P$60,0)),IFERROR(INDEX(Setup!$C$21:$C$60,MATCH(UPPER(TRIM($G959))&amp;"|"&amp;UPPER(TRIM($F959)),Setup!$P$21:$P$60,0)),"NO RATE"))))</f>
        <v/>
      </c>
      <c r="J959" s="91" t="n"/>
      <c r="K959" s="90">
        <f>IF(OR($G959="",$H959="",NOT(ISNUMBER($I959))),"",ROUND($H959*$I959*(1+IF($J959="",Setup!$B$16,$J959)),2))</f>
        <v/>
      </c>
      <c r="L959" s="90">
        <f>IF($K959="","",ROUND($K959*Setup!$B$13,2))</f>
        <v/>
      </c>
      <c r="M959" s="90">
        <f>IF($K959="","",$K959-$L959)</f>
        <v/>
      </c>
      <c r="N959" s="90">
        <f>IF(OR($M959="",$D959=""),"",ROUND($M959*IFERROR(IF(VLOOKUP($D959,Setup!$A$76:$C$87,3,FALSE)="",Setup!$B$14,VLOOKUP($D959,Setup!$A$76:$C$87,3,FALSE)),Setup!$B$14),2))</f>
        <v/>
      </c>
      <c r="O959" s="90">
        <f>IF(OR($M959="",$E959=""),"",ROUND($M959*IFERROR(IF(VLOOKUP($E959,Setup!$A$76:$C$87,3,FALSE)="",Setup!$B$15,VLOOKUP($E959,Setup!$A$76:$C$87,3,FALSE)),Setup!$B$15),2))</f>
        <v/>
      </c>
      <c r="P959" s="92" t="n"/>
      <c r="Q959" s="92" t="n"/>
      <c r="R959" s="92" t="n"/>
      <c r="S959" s="92" t="n"/>
      <c r="T959" s="92" t="n"/>
      <c r="U959" s="90">
        <f>IF($K959="","",SUM($R959:$T959))</f>
        <v/>
      </c>
      <c r="V959" s="90">
        <f>IF($K959="","",$M959-(N($N959)+N($O959)+IF($P959="",Setup!$B$17,$P959)+N($Q959))-N($U959))</f>
        <v/>
      </c>
      <c r="W959" s="87" t="n"/>
      <c r="X959" s="88" t="n"/>
      <c r="Z959" s="93">
        <f>IF($A959="","",DATE(YEAR($A959),MONTH($A959),1))</f>
        <v/>
      </c>
    </row>
    <row r="960">
      <c r="A960" s="94" t="n"/>
      <c r="B960" s="95" t="n"/>
      <c r="C960" s="95" t="n"/>
      <c r="D960" s="96" t="n"/>
      <c r="E960" s="96" t="n"/>
      <c r="F960" s="96" t="n"/>
      <c r="G960" s="96" t="n"/>
      <c r="H960" s="97" t="n"/>
      <c r="I960" s="90">
        <f>IF($G960="","",IF($F960="",IFERROR(INDEX(Setup!$C$21:$C$60,MATCH("|"&amp;UPPER(TRIM($G960)),Setup!$Q$21:$Q$60,0)),"NO RATE"),IFERROR(INDEX(Setup!$C$21:$C$60,MATCH(UPPER(TRIM($F960))&amp;"|"&amp;UPPER(TRIM($G960)),Setup!$P$21:$P$60,0)),IFERROR(INDEX(Setup!$C$21:$C$60,MATCH(UPPER(TRIM($G960))&amp;"|"&amp;UPPER(TRIM($F960)),Setup!$P$21:$P$60,0)),"NO RATE"))))</f>
        <v/>
      </c>
      <c r="J960" s="98" t="n"/>
      <c r="K960" s="90">
        <f>IF(OR($G960="",$H960="",NOT(ISNUMBER($I960))),"",ROUND($H960*$I960*(1+IF($J960="",Setup!$B$16,$J960)),2))</f>
        <v/>
      </c>
      <c r="L960" s="90">
        <f>IF($K960="","",ROUND($K960*Setup!$B$13,2))</f>
        <v/>
      </c>
      <c r="M960" s="90">
        <f>IF($K960="","",$K960-$L960)</f>
        <v/>
      </c>
      <c r="N960" s="90">
        <f>IF(OR($M960="",$D960=""),"",ROUND($M960*IFERROR(IF(VLOOKUP($D960,Setup!$A$76:$C$87,3,FALSE)="",Setup!$B$14,VLOOKUP($D960,Setup!$A$76:$C$87,3,FALSE)),Setup!$B$14),2))</f>
        <v/>
      </c>
      <c r="O960" s="90">
        <f>IF(OR($M960="",$E960=""),"",ROUND($M960*IFERROR(IF(VLOOKUP($E960,Setup!$A$76:$C$87,3,FALSE)="",Setup!$B$15,VLOOKUP($E960,Setup!$A$76:$C$87,3,FALSE)),Setup!$B$15),2))</f>
        <v/>
      </c>
      <c r="P960" s="99" t="n"/>
      <c r="Q960" s="99" t="n"/>
      <c r="R960" s="99" t="n"/>
      <c r="S960" s="99" t="n"/>
      <c r="T960" s="99" t="n"/>
      <c r="U960" s="90">
        <f>IF($K960="","",SUM($R960:$T960))</f>
        <v/>
      </c>
      <c r="V960" s="90">
        <f>IF($K960="","",$M960-(N($N960)+N($O960)+IF($P960="",Setup!$B$17,$P960)+N($Q960))-N($U960))</f>
        <v/>
      </c>
      <c r="W960" s="95" t="n"/>
      <c r="X960" s="96" t="n"/>
      <c r="Z960" s="93">
        <f>IF($A960="","",DATE(YEAR($A960),MONTH($A960),1))</f>
        <v/>
      </c>
    </row>
    <row r="961">
      <c r="A961" s="86" t="n"/>
      <c r="B961" s="87" t="n"/>
      <c r="C961" s="87" t="n"/>
      <c r="D961" s="88" t="n"/>
      <c r="E961" s="88" t="n"/>
      <c r="F961" s="88" t="n"/>
      <c r="G961" s="88" t="n"/>
      <c r="H961" s="89" t="n"/>
      <c r="I961" s="90">
        <f>IF($G961="","",IF($F961="",IFERROR(INDEX(Setup!$C$21:$C$60,MATCH("|"&amp;UPPER(TRIM($G961)),Setup!$Q$21:$Q$60,0)),"NO RATE"),IFERROR(INDEX(Setup!$C$21:$C$60,MATCH(UPPER(TRIM($F961))&amp;"|"&amp;UPPER(TRIM($G961)),Setup!$P$21:$P$60,0)),IFERROR(INDEX(Setup!$C$21:$C$60,MATCH(UPPER(TRIM($G961))&amp;"|"&amp;UPPER(TRIM($F961)),Setup!$P$21:$P$60,0)),"NO RATE"))))</f>
        <v/>
      </c>
      <c r="J961" s="91" t="n"/>
      <c r="K961" s="90">
        <f>IF(OR($G961="",$H961="",NOT(ISNUMBER($I961))),"",ROUND($H961*$I961*(1+IF($J961="",Setup!$B$16,$J961)),2))</f>
        <v/>
      </c>
      <c r="L961" s="90">
        <f>IF($K961="","",ROUND($K961*Setup!$B$13,2))</f>
        <v/>
      </c>
      <c r="M961" s="90">
        <f>IF($K961="","",$K961-$L961)</f>
        <v/>
      </c>
      <c r="N961" s="90">
        <f>IF(OR($M961="",$D961=""),"",ROUND($M961*IFERROR(IF(VLOOKUP($D961,Setup!$A$76:$C$87,3,FALSE)="",Setup!$B$14,VLOOKUP($D961,Setup!$A$76:$C$87,3,FALSE)),Setup!$B$14),2))</f>
        <v/>
      </c>
      <c r="O961" s="90">
        <f>IF(OR($M961="",$E961=""),"",ROUND($M961*IFERROR(IF(VLOOKUP($E961,Setup!$A$76:$C$87,3,FALSE)="",Setup!$B$15,VLOOKUP($E961,Setup!$A$76:$C$87,3,FALSE)),Setup!$B$15),2))</f>
        <v/>
      </c>
      <c r="P961" s="92" t="n"/>
      <c r="Q961" s="92" t="n"/>
      <c r="R961" s="92" t="n"/>
      <c r="S961" s="92" t="n"/>
      <c r="T961" s="92" t="n"/>
      <c r="U961" s="90">
        <f>IF($K961="","",SUM($R961:$T961))</f>
        <v/>
      </c>
      <c r="V961" s="90">
        <f>IF($K961="","",$M961-(N($N961)+N($O961)+IF($P961="",Setup!$B$17,$P961)+N($Q961))-N($U961))</f>
        <v/>
      </c>
      <c r="W961" s="87" t="n"/>
      <c r="X961" s="88" t="n"/>
      <c r="Z961" s="93">
        <f>IF($A961="","",DATE(YEAR($A961),MONTH($A961),1))</f>
        <v/>
      </c>
    </row>
    <row r="962">
      <c r="A962" s="94" t="n"/>
      <c r="B962" s="95" t="n"/>
      <c r="C962" s="95" t="n"/>
      <c r="D962" s="96" t="n"/>
      <c r="E962" s="96" t="n"/>
      <c r="F962" s="96" t="n"/>
      <c r="G962" s="96" t="n"/>
      <c r="H962" s="97" t="n"/>
      <c r="I962" s="90">
        <f>IF($G962="","",IF($F962="",IFERROR(INDEX(Setup!$C$21:$C$60,MATCH("|"&amp;UPPER(TRIM($G962)),Setup!$Q$21:$Q$60,0)),"NO RATE"),IFERROR(INDEX(Setup!$C$21:$C$60,MATCH(UPPER(TRIM($F962))&amp;"|"&amp;UPPER(TRIM($G962)),Setup!$P$21:$P$60,0)),IFERROR(INDEX(Setup!$C$21:$C$60,MATCH(UPPER(TRIM($G962))&amp;"|"&amp;UPPER(TRIM($F962)),Setup!$P$21:$P$60,0)),"NO RATE"))))</f>
        <v/>
      </c>
      <c r="J962" s="98" t="n"/>
      <c r="K962" s="90">
        <f>IF(OR($G962="",$H962="",NOT(ISNUMBER($I962))),"",ROUND($H962*$I962*(1+IF($J962="",Setup!$B$16,$J962)),2))</f>
        <v/>
      </c>
      <c r="L962" s="90">
        <f>IF($K962="","",ROUND($K962*Setup!$B$13,2))</f>
        <v/>
      </c>
      <c r="M962" s="90">
        <f>IF($K962="","",$K962-$L962)</f>
        <v/>
      </c>
      <c r="N962" s="90">
        <f>IF(OR($M962="",$D962=""),"",ROUND($M962*IFERROR(IF(VLOOKUP($D962,Setup!$A$76:$C$87,3,FALSE)="",Setup!$B$14,VLOOKUP($D962,Setup!$A$76:$C$87,3,FALSE)),Setup!$B$14),2))</f>
        <v/>
      </c>
      <c r="O962" s="90">
        <f>IF(OR($M962="",$E962=""),"",ROUND($M962*IFERROR(IF(VLOOKUP($E962,Setup!$A$76:$C$87,3,FALSE)="",Setup!$B$15,VLOOKUP($E962,Setup!$A$76:$C$87,3,FALSE)),Setup!$B$15),2))</f>
        <v/>
      </c>
      <c r="P962" s="99" t="n"/>
      <c r="Q962" s="99" t="n"/>
      <c r="R962" s="99" t="n"/>
      <c r="S962" s="99" t="n"/>
      <c r="T962" s="99" t="n"/>
      <c r="U962" s="90">
        <f>IF($K962="","",SUM($R962:$T962))</f>
        <v/>
      </c>
      <c r="V962" s="90">
        <f>IF($K962="","",$M962-(N($N962)+N($O962)+IF($P962="",Setup!$B$17,$P962)+N($Q962))-N($U962))</f>
        <v/>
      </c>
      <c r="W962" s="95" t="n"/>
      <c r="X962" s="96" t="n"/>
      <c r="Z962" s="93">
        <f>IF($A962="","",DATE(YEAR($A962),MONTH($A962),1))</f>
        <v/>
      </c>
    </row>
    <row r="963">
      <c r="A963" s="86" t="n"/>
      <c r="B963" s="87" t="n"/>
      <c r="C963" s="87" t="n"/>
      <c r="D963" s="88" t="n"/>
      <c r="E963" s="88" t="n"/>
      <c r="F963" s="88" t="n"/>
      <c r="G963" s="88" t="n"/>
      <c r="H963" s="89" t="n"/>
      <c r="I963" s="90">
        <f>IF($G963="","",IF($F963="",IFERROR(INDEX(Setup!$C$21:$C$60,MATCH("|"&amp;UPPER(TRIM($G963)),Setup!$Q$21:$Q$60,0)),"NO RATE"),IFERROR(INDEX(Setup!$C$21:$C$60,MATCH(UPPER(TRIM($F963))&amp;"|"&amp;UPPER(TRIM($G963)),Setup!$P$21:$P$60,0)),IFERROR(INDEX(Setup!$C$21:$C$60,MATCH(UPPER(TRIM($G963))&amp;"|"&amp;UPPER(TRIM($F963)),Setup!$P$21:$P$60,0)),"NO RATE"))))</f>
        <v/>
      </c>
      <c r="J963" s="91" t="n"/>
      <c r="K963" s="90">
        <f>IF(OR($G963="",$H963="",NOT(ISNUMBER($I963))),"",ROUND($H963*$I963*(1+IF($J963="",Setup!$B$16,$J963)),2))</f>
        <v/>
      </c>
      <c r="L963" s="90">
        <f>IF($K963="","",ROUND($K963*Setup!$B$13,2))</f>
        <v/>
      </c>
      <c r="M963" s="90">
        <f>IF($K963="","",$K963-$L963)</f>
        <v/>
      </c>
      <c r="N963" s="90">
        <f>IF(OR($M963="",$D963=""),"",ROUND($M963*IFERROR(IF(VLOOKUP($D963,Setup!$A$76:$C$87,3,FALSE)="",Setup!$B$14,VLOOKUP($D963,Setup!$A$76:$C$87,3,FALSE)),Setup!$B$14),2))</f>
        <v/>
      </c>
      <c r="O963" s="90">
        <f>IF(OR($M963="",$E963=""),"",ROUND($M963*IFERROR(IF(VLOOKUP($E963,Setup!$A$76:$C$87,3,FALSE)="",Setup!$B$15,VLOOKUP($E963,Setup!$A$76:$C$87,3,FALSE)),Setup!$B$15),2))</f>
        <v/>
      </c>
      <c r="P963" s="92" t="n"/>
      <c r="Q963" s="92" t="n"/>
      <c r="R963" s="92" t="n"/>
      <c r="S963" s="92" t="n"/>
      <c r="T963" s="92" t="n"/>
      <c r="U963" s="90">
        <f>IF($K963="","",SUM($R963:$T963))</f>
        <v/>
      </c>
      <c r="V963" s="90">
        <f>IF($K963="","",$M963-(N($N963)+N($O963)+IF($P963="",Setup!$B$17,$P963)+N($Q963))-N($U963))</f>
        <v/>
      </c>
      <c r="W963" s="87" t="n"/>
      <c r="X963" s="88" t="n"/>
      <c r="Z963" s="93">
        <f>IF($A963="","",DATE(YEAR($A963),MONTH($A963),1))</f>
        <v/>
      </c>
    </row>
    <row r="964">
      <c r="A964" s="94" t="n"/>
      <c r="B964" s="95" t="n"/>
      <c r="C964" s="95" t="n"/>
      <c r="D964" s="96" t="n"/>
      <c r="E964" s="96" t="n"/>
      <c r="F964" s="96" t="n"/>
      <c r="G964" s="96" t="n"/>
      <c r="H964" s="97" t="n"/>
      <c r="I964" s="90">
        <f>IF($G964="","",IF($F964="",IFERROR(INDEX(Setup!$C$21:$C$60,MATCH("|"&amp;UPPER(TRIM($G964)),Setup!$Q$21:$Q$60,0)),"NO RATE"),IFERROR(INDEX(Setup!$C$21:$C$60,MATCH(UPPER(TRIM($F964))&amp;"|"&amp;UPPER(TRIM($G964)),Setup!$P$21:$P$60,0)),IFERROR(INDEX(Setup!$C$21:$C$60,MATCH(UPPER(TRIM($G964))&amp;"|"&amp;UPPER(TRIM($F964)),Setup!$P$21:$P$60,0)),"NO RATE"))))</f>
        <v/>
      </c>
      <c r="J964" s="98" t="n"/>
      <c r="K964" s="90">
        <f>IF(OR($G964="",$H964="",NOT(ISNUMBER($I964))),"",ROUND($H964*$I964*(1+IF($J964="",Setup!$B$16,$J964)),2))</f>
        <v/>
      </c>
      <c r="L964" s="90">
        <f>IF($K964="","",ROUND($K964*Setup!$B$13,2))</f>
        <v/>
      </c>
      <c r="M964" s="90">
        <f>IF($K964="","",$K964-$L964)</f>
        <v/>
      </c>
      <c r="N964" s="90">
        <f>IF(OR($M964="",$D964=""),"",ROUND($M964*IFERROR(IF(VLOOKUP($D964,Setup!$A$76:$C$87,3,FALSE)="",Setup!$B$14,VLOOKUP($D964,Setup!$A$76:$C$87,3,FALSE)),Setup!$B$14),2))</f>
        <v/>
      </c>
      <c r="O964" s="90">
        <f>IF(OR($M964="",$E964=""),"",ROUND($M964*IFERROR(IF(VLOOKUP($E964,Setup!$A$76:$C$87,3,FALSE)="",Setup!$B$15,VLOOKUP($E964,Setup!$A$76:$C$87,3,FALSE)),Setup!$B$15),2))</f>
        <v/>
      </c>
      <c r="P964" s="99" t="n"/>
      <c r="Q964" s="99" t="n"/>
      <c r="R964" s="99" t="n"/>
      <c r="S964" s="99" t="n"/>
      <c r="T964" s="99" t="n"/>
      <c r="U964" s="90">
        <f>IF($K964="","",SUM($R964:$T964))</f>
        <v/>
      </c>
      <c r="V964" s="90">
        <f>IF($K964="","",$M964-(N($N964)+N($O964)+IF($P964="",Setup!$B$17,$P964)+N($Q964))-N($U964))</f>
        <v/>
      </c>
      <c r="W964" s="95" t="n"/>
      <c r="X964" s="96" t="n"/>
      <c r="Z964" s="93">
        <f>IF($A964="","",DATE(YEAR($A964),MONTH($A964),1))</f>
        <v/>
      </c>
    </row>
    <row r="965">
      <c r="A965" s="86" t="n"/>
      <c r="B965" s="87" t="n"/>
      <c r="C965" s="87" t="n"/>
      <c r="D965" s="88" t="n"/>
      <c r="E965" s="88" t="n"/>
      <c r="F965" s="88" t="n"/>
      <c r="G965" s="88" t="n"/>
      <c r="H965" s="89" t="n"/>
      <c r="I965" s="90">
        <f>IF($G965="","",IF($F965="",IFERROR(INDEX(Setup!$C$21:$C$60,MATCH("|"&amp;UPPER(TRIM($G965)),Setup!$Q$21:$Q$60,0)),"NO RATE"),IFERROR(INDEX(Setup!$C$21:$C$60,MATCH(UPPER(TRIM($F965))&amp;"|"&amp;UPPER(TRIM($G965)),Setup!$P$21:$P$60,0)),IFERROR(INDEX(Setup!$C$21:$C$60,MATCH(UPPER(TRIM($G965))&amp;"|"&amp;UPPER(TRIM($F965)),Setup!$P$21:$P$60,0)),"NO RATE"))))</f>
        <v/>
      </c>
      <c r="J965" s="91" t="n"/>
      <c r="K965" s="90">
        <f>IF(OR($G965="",$H965="",NOT(ISNUMBER($I965))),"",ROUND($H965*$I965*(1+IF($J965="",Setup!$B$16,$J965)),2))</f>
        <v/>
      </c>
      <c r="L965" s="90">
        <f>IF($K965="","",ROUND($K965*Setup!$B$13,2))</f>
        <v/>
      </c>
      <c r="M965" s="90">
        <f>IF($K965="","",$K965-$L965)</f>
        <v/>
      </c>
      <c r="N965" s="90">
        <f>IF(OR($M965="",$D965=""),"",ROUND($M965*IFERROR(IF(VLOOKUP($D965,Setup!$A$76:$C$87,3,FALSE)="",Setup!$B$14,VLOOKUP($D965,Setup!$A$76:$C$87,3,FALSE)),Setup!$B$14),2))</f>
        <v/>
      </c>
      <c r="O965" s="90">
        <f>IF(OR($M965="",$E965=""),"",ROUND($M965*IFERROR(IF(VLOOKUP($E965,Setup!$A$76:$C$87,3,FALSE)="",Setup!$B$15,VLOOKUP($E965,Setup!$A$76:$C$87,3,FALSE)),Setup!$B$15),2))</f>
        <v/>
      </c>
      <c r="P965" s="92" t="n"/>
      <c r="Q965" s="92" t="n"/>
      <c r="R965" s="92" t="n"/>
      <c r="S965" s="92" t="n"/>
      <c r="T965" s="92" t="n"/>
      <c r="U965" s="90">
        <f>IF($K965="","",SUM($R965:$T965))</f>
        <v/>
      </c>
      <c r="V965" s="90">
        <f>IF($K965="","",$M965-(N($N965)+N($O965)+IF($P965="",Setup!$B$17,$P965)+N($Q965))-N($U965))</f>
        <v/>
      </c>
      <c r="W965" s="87" t="n"/>
      <c r="X965" s="88" t="n"/>
      <c r="Z965" s="93">
        <f>IF($A965="","",DATE(YEAR($A965),MONTH($A965),1))</f>
        <v/>
      </c>
    </row>
    <row r="966">
      <c r="A966" s="94" t="n"/>
      <c r="B966" s="95" t="n"/>
      <c r="C966" s="95" t="n"/>
      <c r="D966" s="96" t="n"/>
      <c r="E966" s="96" t="n"/>
      <c r="F966" s="96" t="n"/>
      <c r="G966" s="96" t="n"/>
      <c r="H966" s="97" t="n"/>
      <c r="I966" s="90">
        <f>IF($G966="","",IF($F966="",IFERROR(INDEX(Setup!$C$21:$C$60,MATCH("|"&amp;UPPER(TRIM($G966)),Setup!$Q$21:$Q$60,0)),"NO RATE"),IFERROR(INDEX(Setup!$C$21:$C$60,MATCH(UPPER(TRIM($F966))&amp;"|"&amp;UPPER(TRIM($G966)),Setup!$P$21:$P$60,0)),IFERROR(INDEX(Setup!$C$21:$C$60,MATCH(UPPER(TRIM($G966))&amp;"|"&amp;UPPER(TRIM($F966)),Setup!$P$21:$P$60,0)),"NO RATE"))))</f>
        <v/>
      </c>
      <c r="J966" s="98" t="n"/>
      <c r="K966" s="90">
        <f>IF(OR($G966="",$H966="",NOT(ISNUMBER($I966))),"",ROUND($H966*$I966*(1+IF($J966="",Setup!$B$16,$J966)),2))</f>
        <v/>
      </c>
      <c r="L966" s="90">
        <f>IF($K966="","",ROUND($K966*Setup!$B$13,2))</f>
        <v/>
      </c>
      <c r="M966" s="90">
        <f>IF($K966="","",$K966-$L966)</f>
        <v/>
      </c>
      <c r="N966" s="90">
        <f>IF(OR($M966="",$D966=""),"",ROUND($M966*IFERROR(IF(VLOOKUP($D966,Setup!$A$76:$C$87,3,FALSE)="",Setup!$B$14,VLOOKUP($D966,Setup!$A$76:$C$87,3,FALSE)),Setup!$B$14),2))</f>
        <v/>
      </c>
      <c r="O966" s="90">
        <f>IF(OR($M966="",$E966=""),"",ROUND($M966*IFERROR(IF(VLOOKUP($E966,Setup!$A$76:$C$87,3,FALSE)="",Setup!$B$15,VLOOKUP($E966,Setup!$A$76:$C$87,3,FALSE)),Setup!$B$15),2))</f>
        <v/>
      </c>
      <c r="P966" s="99" t="n"/>
      <c r="Q966" s="99" t="n"/>
      <c r="R966" s="99" t="n"/>
      <c r="S966" s="99" t="n"/>
      <c r="T966" s="99" t="n"/>
      <c r="U966" s="90">
        <f>IF($K966="","",SUM($R966:$T966))</f>
        <v/>
      </c>
      <c r="V966" s="90">
        <f>IF($K966="","",$M966-(N($N966)+N($O966)+IF($P966="",Setup!$B$17,$P966)+N($Q966))-N($U966))</f>
        <v/>
      </c>
      <c r="W966" s="95" t="n"/>
      <c r="X966" s="96" t="n"/>
      <c r="Z966" s="93">
        <f>IF($A966="","",DATE(YEAR($A966),MONTH($A966),1))</f>
        <v/>
      </c>
    </row>
    <row r="967">
      <c r="A967" s="86" t="n"/>
      <c r="B967" s="87" t="n"/>
      <c r="C967" s="87" t="n"/>
      <c r="D967" s="88" t="n"/>
      <c r="E967" s="88" t="n"/>
      <c r="F967" s="88" t="n"/>
      <c r="G967" s="88" t="n"/>
      <c r="H967" s="89" t="n"/>
      <c r="I967" s="90">
        <f>IF($G967="","",IF($F967="",IFERROR(INDEX(Setup!$C$21:$C$60,MATCH("|"&amp;UPPER(TRIM($G967)),Setup!$Q$21:$Q$60,0)),"NO RATE"),IFERROR(INDEX(Setup!$C$21:$C$60,MATCH(UPPER(TRIM($F967))&amp;"|"&amp;UPPER(TRIM($G967)),Setup!$P$21:$P$60,0)),IFERROR(INDEX(Setup!$C$21:$C$60,MATCH(UPPER(TRIM($G967))&amp;"|"&amp;UPPER(TRIM($F967)),Setup!$P$21:$P$60,0)),"NO RATE"))))</f>
        <v/>
      </c>
      <c r="J967" s="91" t="n"/>
      <c r="K967" s="90">
        <f>IF(OR($G967="",$H967="",NOT(ISNUMBER($I967))),"",ROUND($H967*$I967*(1+IF($J967="",Setup!$B$16,$J967)),2))</f>
        <v/>
      </c>
      <c r="L967" s="90">
        <f>IF($K967="","",ROUND($K967*Setup!$B$13,2))</f>
        <v/>
      </c>
      <c r="M967" s="90">
        <f>IF($K967="","",$K967-$L967)</f>
        <v/>
      </c>
      <c r="N967" s="90">
        <f>IF(OR($M967="",$D967=""),"",ROUND($M967*IFERROR(IF(VLOOKUP($D967,Setup!$A$76:$C$87,3,FALSE)="",Setup!$B$14,VLOOKUP($D967,Setup!$A$76:$C$87,3,FALSE)),Setup!$B$14),2))</f>
        <v/>
      </c>
      <c r="O967" s="90">
        <f>IF(OR($M967="",$E967=""),"",ROUND($M967*IFERROR(IF(VLOOKUP($E967,Setup!$A$76:$C$87,3,FALSE)="",Setup!$B$15,VLOOKUP($E967,Setup!$A$76:$C$87,3,FALSE)),Setup!$B$15),2))</f>
        <v/>
      </c>
      <c r="P967" s="92" t="n"/>
      <c r="Q967" s="92" t="n"/>
      <c r="R967" s="92" t="n"/>
      <c r="S967" s="92" t="n"/>
      <c r="T967" s="92" t="n"/>
      <c r="U967" s="90">
        <f>IF($K967="","",SUM($R967:$T967))</f>
        <v/>
      </c>
      <c r="V967" s="90">
        <f>IF($K967="","",$M967-(N($N967)+N($O967)+IF($P967="",Setup!$B$17,$P967)+N($Q967))-N($U967))</f>
        <v/>
      </c>
      <c r="W967" s="87" t="n"/>
      <c r="X967" s="88" t="n"/>
      <c r="Z967" s="93">
        <f>IF($A967="","",DATE(YEAR($A967),MONTH($A967),1))</f>
        <v/>
      </c>
    </row>
    <row r="968">
      <c r="A968" s="94" t="n"/>
      <c r="B968" s="95" t="n"/>
      <c r="C968" s="95" t="n"/>
      <c r="D968" s="96" t="n"/>
      <c r="E968" s="96" t="n"/>
      <c r="F968" s="96" t="n"/>
      <c r="G968" s="96" t="n"/>
      <c r="H968" s="97" t="n"/>
      <c r="I968" s="90">
        <f>IF($G968="","",IF($F968="",IFERROR(INDEX(Setup!$C$21:$C$60,MATCH("|"&amp;UPPER(TRIM($G968)),Setup!$Q$21:$Q$60,0)),"NO RATE"),IFERROR(INDEX(Setup!$C$21:$C$60,MATCH(UPPER(TRIM($F968))&amp;"|"&amp;UPPER(TRIM($G968)),Setup!$P$21:$P$60,0)),IFERROR(INDEX(Setup!$C$21:$C$60,MATCH(UPPER(TRIM($G968))&amp;"|"&amp;UPPER(TRIM($F968)),Setup!$P$21:$P$60,0)),"NO RATE"))))</f>
        <v/>
      </c>
      <c r="J968" s="98" t="n"/>
      <c r="K968" s="90">
        <f>IF(OR($G968="",$H968="",NOT(ISNUMBER($I968))),"",ROUND($H968*$I968*(1+IF($J968="",Setup!$B$16,$J968)),2))</f>
        <v/>
      </c>
      <c r="L968" s="90">
        <f>IF($K968="","",ROUND($K968*Setup!$B$13,2))</f>
        <v/>
      </c>
      <c r="M968" s="90">
        <f>IF($K968="","",$K968-$L968)</f>
        <v/>
      </c>
      <c r="N968" s="90">
        <f>IF(OR($M968="",$D968=""),"",ROUND($M968*IFERROR(IF(VLOOKUP($D968,Setup!$A$76:$C$87,3,FALSE)="",Setup!$B$14,VLOOKUP($D968,Setup!$A$76:$C$87,3,FALSE)),Setup!$B$14),2))</f>
        <v/>
      </c>
      <c r="O968" s="90">
        <f>IF(OR($M968="",$E968=""),"",ROUND($M968*IFERROR(IF(VLOOKUP($E968,Setup!$A$76:$C$87,3,FALSE)="",Setup!$B$15,VLOOKUP($E968,Setup!$A$76:$C$87,3,FALSE)),Setup!$B$15),2))</f>
        <v/>
      </c>
      <c r="P968" s="99" t="n"/>
      <c r="Q968" s="99" t="n"/>
      <c r="R968" s="99" t="n"/>
      <c r="S968" s="99" t="n"/>
      <c r="T968" s="99" t="n"/>
      <c r="U968" s="90">
        <f>IF($K968="","",SUM($R968:$T968))</f>
        <v/>
      </c>
      <c r="V968" s="90">
        <f>IF($K968="","",$M968-(N($N968)+N($O968)+IF($P968="",Setup!$B$17,$P968)+N($Q968))-N($U968))</f>
        <v/>
      </c>
      <c r="W968" s="95" t="n"/>
      <c r="X968" s="96" t="n"/>
      <c r="Z968" s="93">
        <f>IF($A968="","",DATE(YEAR($A968),MONTH($A968),1))</f>
        <v/>
      </c>
    </row>
    <row r="969">
      <c r="A969" s="86" t="n"/>
      <c r="B969" s="87" t="n"/>
      <c r="C969" s="87" t="n"/>
      <c r="D969" s="88" t="n"/>
      <c r="E969" s="88" t="n"/>
      <c r="F969" s="88" t="n"/>
      <c r="G969" s="88" t="n"/>
      <c r="H969" s="89" t="n"/>
      <c r="I969" s="90">
        <f>IF($G969="","",IF($F969="",IFERROR(INDEX(Setup!$C$21:$C$60,MATCH("|"&amp;UPPER(TRIM($G969)),Setup!$Q$21:$Q$60,0)),"NO RATE"),IFERROR(INDEX(Setup!$C$21:$C$60,MATCH(UPPER(TRIM($F969))&amp;"|"&amp;UPPER(TRIM($G969)),Setup!$P$21:$P$60,0)),IFERROR(INDEX(Setup!$C$21:$C$60,MATCH(UPPER(TRIM($G969))&amp;"|"&amp;UPPER(TRIM($F969)),Setup!$P$21:$P$60,0)),"NO RATE"))))</f>
        <v/>
      </c>
      <c r="J969" s="91" t="n"/>
      <c r="K969" s="90">
        <f>IF(OR($G969="",$H969="",NOT(ISNUMBER($I969))),"",ROUND($H969*$I969*(1+IF($J969="",Setup!$B$16,$J969)),2))</f>
        <v/>
      </c>
      <c r="L969" s="90">
        <f>IF($K969="","",ROUND($K969*Setup!$B$13,2))</f>
        <v/>
      </c>
      <c r="M969" s="90">
        <f>IF($K969="","",$K969-$L969)</f>
        <v/>
      </c>
      <c r="N969" s="90">
        <f>IF(OR($M969="",$D969=""),"",ROUND($M969*IFERROR(IF(VLOOKUP($D969,Setup!$A$76:$C$87,3,FALSE)="",Setup!$B$14,VLOOKUP($D969,Setup!$A$76:$C$87,3,FALSE)),Setup!$B$14),2))</f>
        <v/>
      </c>
      <c r="O969" s="90">
        <f>IF(OR($M969="",$E969=""),"",ROUND($M969*IFERROR(IF(VLOOKUP($E969,Setup!$A$76:$C$87,3,FALSE)="",Setup!$B$15,VLOOKUP($E969,Setup!$A$76:$C$87,3,FALSE)),Setup!$B$15),2))</f>
        <v/>
      </c>
      <c r="P969" s="92" t="n"/>
      <c r="Q969" s="92" t="n"/>
      <c r="R969" s="92" t="n"/>
      <c r="S969" s="92" t="n"/>
      <c r="T969" s="92" t="n"/>
      <c r="U969" s="90">
        <f>IF($K969="","",SUM($R969:$T969))</f>
        <v/>
      </c>
      <c r="V969" s="90">
        <f>IF($K969="","",$M969-(N($N969)+N($O969)+IF($P969="",Setup!$B$17,$P969)+N($Q969))-N($U969))</f>
        <v/>
      </c>
      <c r="W969" s="87" t="n"/>
      <c r="X969" s="88" t="n"/>
      <c r="Z969" s="93">
        <f>IF($A969="","",DATE(YEAR($A969),MONTH($A969),1))</f>
        <v/>
      </c>
    </row>
    <row r="970">
      <c r="A970" s="94" t="n"/>
      <c r="B970" s="95" t="n"/>
      <c r="C970" s="95" t="n"/>
      <c r="D970" s="96" t="n"/>
      <c r="E970" s="96" t="n"/>
      <c r="F970" s="96" t="n"/>
      <c r="G970" s="96" t="n"/>
      <c r="H970" s="97" t="n"/>
      <c r="I970" s="90">
        <f>IF($G970="","",IF($F970="",IFERROR(INDEX(Setup!$C$21:$C$60,MATCH("|"&amp;UPPER(TRIM($G970)),Setup!$Q$21:$Q$60,0)),"NO RATE"),IFERROR(INDEX(Setup!$C$21:$C$60,MATCH(UPPER(TRIM($F970))&amp;"|"&amp;UPPER(TRIM($G970)),Setup!$P$21:$P$60,0)),IFERROR(INDEX(Setup!$C$21:$C$60,MATCH(UPPER(TRIM($G970))&amp;"|"&amp;UPPER(TRIM($F970)),Setup!$P$21:$P$60,0)),"NO RATE"))))</f>
        <v/>
      </c>
      <c r="J970" s="98" t="n"/>
      <c r="K970" s="90">
        <f>IF(OR($G970="",$H970="",NOT(ISNUMBER($I970))),"",ROUND($H970*$I970*(1+IF($J970="",Setup!$B$16,$J970)),2))</f>
        <v/>
      </c>
      <c r="L970" s="90">
        <f>IF($K970="","",ROUND($K970*Setup!$B$13,2))</f>
        <v/>
      </c>
      <c r="M970" s="90">
        <f>IF($K970="","",$K970-$L970)</f>
        <v/>
      </c>
      <c r="N970" s="90">
        <f>IF(OR($M970="",$D970=""),"",ROUND($M970*IFERROR(IF(VLOOKUP($D970,Setup!$A$76:$C$87,3,FALSE)="",Setup!$B$14,VLOOKUP($D970,Setup!$A$76:$C$87,3,FALSE)),Setup!$B$14),2))</f>
        <v/>
      </c>
      <c r="O970" s="90">
        <f>IF(OR($M970="",$E970=""),"",ROUND($M970*IFERROR(IF(VLOOKUP($E970,Setup!$A$76:$C$87,3,FALSE)="",Setup!$B$15,VLOOKUP($E970,Setup!$A$76:$C$87,3,FALSE)),Setup!$B$15),2))</f>
        <v/>
      </c>
      <c r="P970" s="99" t="n"/>
      <c r="Q970" s="99" t="n"/>
      <c r="R970" s="99" t="n"/>
      <c r="S970" s="99" t="n"/>
      <c r="T970" s="99" t="n"/>
      <c r="U970" s="90">
        <f>IF($K970="","",SUM($R970:$T970))</f>
        <v/>
      </c>
      <c r="V970" s="90">
        <f>IF($K970="","",$M970-(N($N970)+N($O970)+IF($P970="",Setup!$B$17,$P970)+N($Q970))-N($U970))</f>
        <v/>
      </c>
      <c r="W970" s="95" t="n"/>
      <c r="X970" s="96" t="n"/>
      <c r="Z970" s="93">
        <f>IF($A970="","",DATE(YEAR($A970),MONTH($A970),1))</f>
        <v/>
      </c>
    </row>
    <row r="971">
      <c r="A971" s="86" t="n"/>
      <c r="B971" s="87" t="n"/>
      <c r="C971" s="87" t="n"/>
      <c r="D971" s="88" t="n"/>
      <c r="E971" s="88" t="n"/>
      <c r="F971" s="88" t="n"/>
      <c r="G971" s="88" t="n"/>
      <c r="H971" s="89" t="n"/>
      <c r="I971" s="90">
        <f>IF($G971="","",IF($F971="",IFERROR(INDEX(Setup!$C$21:$C$60,MATCH("|"&amp;UPPER(TRIM($G971)),Setup!$Q$21:$Q$60,0)),"NO RATE"),IFERROR(INDEX(Setup!$C$21:$C$60,MATCH(UPPER(TRIM($F971))&amp;"|"&amp;UPPER(TRIM($G971)),Setup!$P$21:$P$60,0)),IFERROR(INDEX(Setup!$C$21:$C$60,MATCH(UPPER(TRIM($G971))&amp;"|"&amp;UPPER(TRIM($F971)),Setup!$P$21:$P$60,0)),"NO RATE"))))</f>
        <v/>
      </c>
      <c r="J971" s="91" t="n"/>
      <c r="K971" s="90">
        <f>IF(OR($G971="",$H971="",NOT(ISNUMBER($I971))),"",ROUND($H971*$I971*(1+IF($J971="",Setup!$B$16,$J971)),2))</f>
        <v/>
      </c>
      <c r="L971" s="90">
        <f>IF($K971="","",ROUND($K971*Setup!$B$13,2))</f>
        <v/>
      </c>
      <c r="M971" s="90">
        <f>IF($K971="","",$K971-$L971)</f>
        <v/>
      </c>
      <c r="N971" s="90">
        <f>IF(OR($M971="",$D971=""),"",ROUND($M971*IFERROR(IF(VLOOKUP($D971,Setup!$A$76:$C$87,3,FALSE)="",Setup!$B$14,VLOOKUP($D971,Setup!$A$76:$C$87,3,FALSE)),Setup!$B$14),2))</f>
        <v/>
      </c>
      <c r="O971" s="90">
        <f>IF(OR($M971="",$E971=""),"",ROUND($M971*IFERROR(IF(VLOOKUP($E971,Setup!$A$76:$C$87,3,FALSE)="",Setup!$B$15,VLOOKUP($E971,Setup!$A$76:$C$87,3,FALSE)),Setup!$B$15),2))</f>
        <v/>
      </c>
      <c r="P971" s="92" t="n"/>
      <c r="Q971" s="92" t="n"/>
      <c r="R971" s="92" t="n"/>
      <c r="S971" s="92" t="n"/>
      <c r="T971" s="92" t="n"/>
      <c r="U971" s="90">
        <f>IF($K971="","",SUM($R971:$T971))</f>
        <v/>
      </c>
      <c r="V971" s="90">
        <f>IF($K971="","",$M971-(N($N971)+N($O971)+IF($P971="",Setup!$B$17,$P971)+N($Q971))-N($U971))</f>
        <v/>
      </c>
      <c r="W971" s="87" t="n"/>
      <c r="X971" s="88" t="n"/>
      <c r="Z971" s="93">
        <f>IF($A971="","",DATE(YEAR($A971),MONTH($A971),1))</f>
        <v/>
      </c>
    </row>
    <row r="972">
      <c r="A972" s="94" t="n"/>
      <c r="B972" s="95" t="n"/>
      <c r="C972" s="95" t="n"/>
      <c r="D972" s="96" t="n"/>
      <c r="E972" s="96" t="n"/>
      <c r="F972" s="96" t="n"/>
      <c r="G972" s="96" t="n"/>
      <c r="H972" s="97" t="n"/>
      <c r="I972" s="90">
        <f>IF($G972="","",IF($F972="",IFERROR(INDEX(Setup!$C$21:$C$60,MATCH("|"&amp;UPPER(TRIM($G972)),Setup!$Q$21:$Q$60,0)),"NO RATE"),IFERROR(INDEX(Setup!$C$21:$C$60,MATCH(UPPER(TRIM($F972))&amp;"|"&amp;UPPER(TRIM($G972)),Setup!$P$21:$P$60,0)),IFERROR(INDEX(Setup!$C$21:$C$60,MATCH(UPPER(TRIM($G972))&amp;"|"&amp;UPPER(TRIM($F972)),Setup!$P$21:$P$60,0)),"NO RATE"))))</f>
        <v/>
      </c>
      <c r="J972" s="98" t="n"/>
      <c r="K972" s="90">
        <f>IF(OR($G972="",$H972="",NOT(ISNUMBER($I972))),"",ROUND($H972*$I972*(1+IF($J972="",Setup!$B$16,$J972)),2))</f>
        <v/>
      </c>
      <c r="L972" s="90">
        <f>IF($K972="","",ROUND($K972*Setup!$B$13,2))</f>
        <v/>
      </c>
      <c r="M972" s="90">
        <f>IF($K972="","",$K972-$L972)</f>
        <v/>
      </c>
      <c r="N972" s="90">
        <f>IF(OR($M972="",$D972=""),"",ROUND($M972*IFERROR(IF(VLOOKUP($D972,Setup!$A$76:$C$87,3,FALSE)="",Setup!$B$14,VLOOKUP($D972,Setup!$A$76:$C$87,3,FALSE)),Setup!$B$14),2))</f>
        <v/>
      </c>
      <c r="O972" s="90">
        <f>IF(OR($M972="",$E972=""),"",ROUND($M972*IFERROR(IF(VLOOKUP($E972,Setup!$A$76:$C$87,3,FALSE)="",Setup!$B$15,VLOOKUP($E972,Setup!$A$76:$C$87,3,FALSE)),Setup!$B$15),2))</f>
        <v/>
      </c>
      <c r="P972" s="99" t="n"/>
      <c r="Q972" s="99" t="n"/>
      <c r="R972" s="99" t="n"/>
      <c r="S972" s="99" t="n"/>
      <c r="T972" s="99" t="n"/>
      <c r="U972" s="90">
        <f>IF($K972="","",SUM($R972:$T972))</f>
        <v/>
      </c>
      <c r="V972" s="90">
        <f>IF($K972="","",$M972-(N($N972)+N($O972)+IF($P972="",Setup!$B$17,$P972)+N($Q972))-N($U972))</f>
        <v/>
      </c>
      <c r="W972" s="95" t="n"/>
      <c r="X972" s="96" t="n"/>
      <c r="Z972" s="93">
        <f>IF($A972="","",DATE(YEAR($A972),MONTH($A972),1))</f>
        <v/>
      </c>
    </row>
    <row r="973">
      <c r="A973" s="86" t="n"/>
      <c r="B973" s="87" t="n"/>
      <c r="C973" s="87" t="n"/>
      <c r="D973" s="88" t="n"/>
      <c r="E973" s="88" t="n"/>
      <c r="F973" s="88" t="n"/>
      <c r="G973" s="88" t="n"/>
      <c r="H973" s="89" t="n"/>
      <c r="I973" s="90">
        <f>IF($G973="","",IF($F973="",IFERROR(INDEX(Setup!$C$21:$C$60,MATCH("|"&amp;UPPER(TRIM($G973)),Setup!$Q$21:$Q$60,0)),"NO RATE"),IFERROR(INDEX(Setup!$C$21:$C$60,MATCH(UPPER(TRIM($F973))&amp;"|"&amp;UPPER(TRIM($G973)),Setup!$P$21:$P$60,0)),IFERROR(INDEX(Setup!$C$21:$C$60,MATCH(UPPER(TRIM($G973))&amp;"|"&amp;UPPER(TRIM($F973)),Setup!$P$21:$P$60,0)),"NO RATE"))))</f>
        <v/>
      </c>
      <c r="J973" s="91" t="n"/>
      <c r="K973" s="90">
        <f>IF(OR($G973="",$H973="",NOT(ISNUMBER($I973))),"",ROUND($H973*$I973*(1+IF($J973="",Setup!$B$16,$J973)),2))</f>
        <v/>
      </c>
      <c r="L973" s="90">
        <f>IF($K973="","",ROUND($K973*Setup!$B$13,2))</f>
        <v/>
      </c>
      <c r="M973" s="90">
        <f>IF($K973="","",$K973-$L973)</f>
        <v/>
      </c>
      <c r="N973" s="90">
        <f>IF(OR($M973="",$D973=""),"",ROUND($M973*IFERROR(IF(VLOOKUP($D973,Setup!$A$76:$C$87,3,FALSE)="",Setup!$B$14,VLOOKUP($D973,Setup!$A$76:$C$87,3,FALSE)),Setup!$B$14),2))</f>
        <v/>
      </c>
      <c r="O973" s="90">
        <f>IF(OR($M973="",$E973=""),"",ROUND($M973*IFERROR(IF(VLOOKUP($E973,Setup!$A$76:$C$87,3,FALSE)="",Setup!$B$15,VLOOKUP($E973,Setup!$A$76:$C$87,3,FALSE)),Setup!$B$15),2))</f>
        <v/>
      </c>
      <c r="P973" s="92" t="n"/>
      <c r="Q973" s="92" t="n"/>
      <c r="R973" s="92" t="n"/>
      <c r="S973" s="92" t="n"/>
      <c r="T973" s="92" t="n"/>
      <c r="U973" s="90">
        <f>IF($K973="","",SUM($R973:$T973))</f>
        <v/>
      </c>
      <c r="V973" s="90">
        <f>IF($K973="","",$M973-(N($N973)+N($O973)+IF($P973="",Setup!$B$17,$P973)+N($Q973))-N($U973))</f>
        <v/>
      </c>
      <c r="W973" s="87" t="n"/>
      <c r="X973" s="88" t="n"/>
      <c r="Z973" s="93">
        <f>IF($A973="","",DATE(YEAR($A973),MONTH($A973),1))</f>
        <v/>
      </c>
    </row>
    <row r="974">
      <c r="A974" s="94" t="n"/>
      <c r="B974" s="95" t="n"/>
      <c r="C974" s="95" t="n"/>
      <c r="D974" s="96" t="n"/>
      <c r="E974" s="96" t="n"/>
      <c r="F974" s="96" t="n"/>
      <c r="G974" s="96" t="n"/>
      <c r="H974" s="97" t="n"/>
      <c r="I974" s="90">
        <f>IF($G974="","",IF($F974="",IFERROR(INDEX(Setup!$C$21:$C$60,MATCH("|"&amp;UPPER(TRIM($G974)),Setup!$Q$21:$Q$60,0)),"NO RATE"),IFERROR(INDEX(Setup!$C$21:$C$60,MATCH(UPPER(TRIM($F974))&amp;"|"&amp;UPPER(TRIM($G974)),Setup!$P$21:$P$60,0)),IFERROR(INDEX(Setup!$C$21:$C$60,MATCH(UPPER(TRIM($G974))&amp;"|"&amp;UPPER(TRIM($F974)),Setup!$P$21:$P$60,0)),"NO RATE"))))</f>
        <v/>
      </c>
      <c r="J974" s="98" t="n"/>
      <c r="K974" s="90">
        <f>IF(OR($G974="",$H974="",NOT(ISNUMBER($I974))),"",ROUND($H974*$I974*(1+IF($J974="",Setup!$B$16,$J974)),2))</f>
        <v/>
      </c>
      <c r="L974" s="90">
        <f>IF($K974="","",ROUND($K974*Setup!$B$13,2))</f>
        <v/>
      </c>
      <c r="M974" s="90">
        <f>IF($K974="","",$K974-$L974)</f>
        <v/>
      </c>
      <c r="N974" s="90">
        <f>IF(OR($M974="",$D974=""),"",ROUND($M974*IFERROR(IF(VLOOKUP($D974,Setup!$A$76:$C$87,3,FALSE)="",Setup!$B$14,VLOOKUP($D974,Setup!$A$76:$C$87,3,FALSE)),Setup!$B$14),2))</f>
        <v/>
      </c>
      <c r="O974" s="90">
        <f>IF(OR($M974="",$E974=""),"",ROUND($M974*IFERROR(IF(VLOOKUP($E974,Setup!$A$76:$C$87,3,FALSE)="",Setup!$B$15,VLOOKUP($E974,Setup!$A$76:$C$87,3,FALSE)),Setup!$B$15),2))</f>
        <v/>
      </c>
      <c r="P974" s="99" t="n"/>
      <c r="Q974" s="99" t="n"/>
      <c r="R974" s="99" t="n"/>
      <c r="S974" s="99" t="n"/>
      <c r="T974" s="99" t="n"/>
      <c r="U974" s="90">
        <f>IF($K974="","",SUM($R974:$T974))</f>
        <v/>
      </c>
      <c r="V974" s="90">
        <f>IF($K974="","",$M974-(N($N974)+N($O974)+IF($P974="",Setup!$B$17,$P974)+N($Q974))-N($U974))</f>
        <v/>
      </c>
      <c r="W974" s="95" t="n"/>
      <c r="X974" s="96" t="n"/>
      <c r="Z974" s="93">
        <f>IF($A974="","",DATE(YEAR($A974),MONTH($A974),1))</f>
        <v/>
      </c>
    </row>
    <row r="975">
      <c r="A975" s="86" t="n"/>
      <c r="B975" s="87" t="n"/>
      <c r="C975" s="87" t="n"/>
      <c r="D975" s="88" t="n"/>
      <c r="E975" s="88" t="n"/>
      <c r="F975" s="88" t="n"/>
      <c r="G975" s="88" t="n"/>
      <c r="H975" s="89" t="n"/>
      <c r="I975" s="90">
        <f>IF($G975="","",IF($F975="",IFERROR(INDEX(Setup!$C$21:$C$60,MATCH("|"&amp;UPPER(TRIM($G975)),Setup!$Q$21:$Q$60,0)),"NO RATE"),IFERROR(INDEX(Setup!$C$21:$C$60,MATCH(UPPER(TRIM($F975))&amp;"|"&amp;UPPER(TRIM($G975)),Setup!$P$21:$P$60,0)),IFERROR(INDEX(Setup!$C$21:$C$60,MATCH(UPPER(TRIM($G975))&amp;"|"&amp;UPPER(TRIM($F975)),Setup!$P$21:$P$60,0)),"NO RATE"))))</f>
        <v/>
      </c>
      <c r="J975" s="91" t="n"/>
      <c r="K975" s="90">
        <f>IF(OR($G975="",$H975="",NOT(ISNUMBER($I975))),"",ROUND($H975*$I975*(1+IF($J975="",Setup!$B$16,$J975)),2))</f>
        <v/>
      </c>
      <c r="L975" s="90">
        <f>IF($K975="","",ROUND($K975*Setup!$B$13,2))</f>
        <v/>
      </c>
      <c r="M975" s="90">
        <f>IF($K975="","",$K975-$L975)</f>
        <v/>
      </c>
      <c r="N975" s="90">
        <f>IF(OR($M975="",$D975=""),"",ROUND($M975*IFERROR(IF(VLOOKUP($D975,Setup!$A$76:$C$87,3,FALSE)="",Setup!$B$14,VLOOKUP($D975,Setup!$A$76:$C$87,3,FALSE)),Setup!$B$14),2))</f>
        <v/>
      </c>
      <c r="O975" s="90">
        <f>IF(OR($M975="",$E975=""),"",ROUND($M975*IFERROR(IF(VLOOKUP($E975,Setup!$A$76:$C$87,3,FALSE)="",Setup!$B$15,VLOOKUP($E975,Setup!$A$76:$C$87,3,FALSE)),Setup!$B$15),2))</f>
        <v/>
      </c>
      <c r="P975" s="92" t="n"/>
      <c r="Q975" s="92" t="n"/>
      <c r="R975" s="92" t="n"/>
      <c r="S975" s="92" t="n"/>
      <c r="T975" s="92" t="n"/>
      <c r="U975" s="90">
        <f>IF($K975="","",SUM($R975:$T975))</f>
        <v/>
      </c>
      <c r="V975" s="90">
        <f>IF($K975="","",$M975-(N($N975)+N($O975)+IF($P975="",Setup!$B$17,$P975)+N($Q975))-N($U975))</f>
        <v/>
      </c>
      <c r="W975" s="87" t="n"/>
      <c r="X975" s="88" t="n"/>
      <c r="Z975" s="93">
        <f>IF($A975="","",DATE(YEAR($A975),MONTH($A975),1))</f>
        <v/>
      </c>
    </row>
    <row r="976">
      <c r="A976" s="94" t="n"/>
      <c r="B976" s="95" t="n"/>
      <c r="C976" s="95" t="n"/>
      <c r="D976" s="96" t="n"/>
      <c r="E976" s="96" t="n"/>
      <c r="F976" s="96" t="n"/>
      <c r="G976" s="96" t="n"/>
      <c r="H976" s="97" t="n"/>
      <c r="I976" s="90">
        <f>IF($G976="","",IF($F976="",IFERROR(INDEX(Setup!$C$21:$C$60,MATCH("|"&amp;UPPER(TRIM($G976)),Setup!$Q$21:$Q$60,0)),"NO RATE"),IFERROR(INDEX(Setup!$C$21:$C$60,MATCH(UPPER(TRIM($F976))&amp;"|"&amp;UPPER(TRIM($G976)),Setup!$P$21:$P$60,0)),IFERROR(INDEX(Setup!$C$21:$C$60,MATCH(UPPER(TRIM($G976))&amp;"|"&amp;UPPER(TRIM($F976)),Setup!$P$21:$P$60,0)),"NO RATE"))))</f>
        <v/>
      </c>
      <c r="J976" s="98" t="n"/>
      <c r="K976" s="90">
        <f>IF(OR($G976="",$H976="",NOT(ISNUMBER($I976))),"",ROUND($H976*$I976*(1+IF($J976="",Setup!$B$16,$J976)),2))</f>
        <v/>
      </c>
      <c r="L976" s="90">
        <f>IF($K976="","",ROUND($K976*Setup!$B$13,2))</f>
        <v/>
      </c>
      <c r="M976" s="90">
        <f>IF($K976="","",$K976-$L976)</f>
        <v/>
      </c>
      <c r="N976" s="90">
        <f>IF(OR($M976="",$D976=""),"",ROUND($M976*IFERROR(IF(VLOOKUP($D976,Setup!$A$76:$C$87,3,FALSE)="",Setup!$B$14,VLOOKUP($D976,Setup!$A$76:$C$87,3,FALSE)),Setup!$B$14),2))</f>
        <v/>
      </c>
      <c r="O976" s="90">
        <f>IF(OR($M976="",$E976=""),"",ROUND($M976*IFERROR(IF(VLOOKUP($E976,Setup!$A$76:$C$87,3,FALSE)="",Setup!$B$15,VLOOKUP($E976,Setup!$A$76:$C$87,3,FALSE)),Setup!$B$15),2))</f>
        <v/>
      </c>
      <c r="P976" s="99" t="n"/>
      <c r="Q976" s="99" t="n"/>
      <c r="R976" s="99" t="n"/>
      <c r="S976" s="99" t="n"/>
      <c r="T976" s="99" t="n"/>
      <c r="U976" s="90">
        <f>IF($K976="","",SUM($R976:$T976))</f>
        <v/>
      </c>
      <c r="V976" s="90">
        <f>IF($K976="","",$M976-(N($N976)+N($O976)+IF($P976="",Setup!$B$17,$P976)+N($Q976))-N($U976))</f>
        <v/>
      </c>
      <c r="W976" s="95" t="n"/>
      <c r="X976" s="96" t="n"/>
      <c r="Z976" s="93">
        <f>IF($A976="","",DATE(YEAR($A976),MONTH($A976),1))</f>
        <v/>
      </c>
    </row>
    <row r="977">
      <c r="A977" s="86" t="n"/>
      <c r="B977" s="87" t="n"/>
      <c r="C977" s="87" t="n"/>
      <c r="D977" s="88" t="n"/>
      <c r="E977" s="88" t="n"/>
      <c r="F977" s="88" t="n"/>
      <c r="G977" s="88" t="n"/>
      <c r="H977" s="89" t="n"/>
      <c r="I977" s="90">
        <f>IF($G977="","",IF($F977="",IFERROR(INDEX(Setup!$C$21:$C$60,MATCH("|"&amp;UPPER(TRIM($G977)),Setup!$Q$21:$Q$60,0)),"NO RATE"),IFERROR(INDEX(Setup!$C$21:$C$60,MATCH(UPPER(TRIM($F977))&amp;"|"&amp;UPPER(TRIM($G977)),Setup!$P$21:$P$60,0)),IFERROR(INDEX(Setup!$C$21:$C$60,MATCH(UPPER(TRIM($G977))&amp;"|"&amp;UPPER(TRIM($F977)),Setup!$P$21:$P$60,0)),"NO RATE"))))</f>
        <v/>
      </c>
      <c r="J977" s="91" t="n"/>
      <c r="K977" s="90">
        <f>IF(OR($G977="",$H977="",NOT(ISNUMBER($I977))),"",ROUND($H977*$I977*(1+IF($J977="",Setup!$B$16,$J977)),2))</f>
        <v/>
      </c>
      <c r="L977" s="90">
        <f>IF($K977="","",ROUND($K977*Setup!$B$13,2))</f>
        <v/>
      </c>
      <c r="M977" s="90">
        <f>IF($K977="","",$K977-$L977)</f>
        <v/>
      </c>
      <c r="N977" s="90">
        <f>IF(OR($M977="",$D977=""),"",ROUND($M977*IFERROR(IF(VLOOKUP($D977,Setup!$A$76:$C$87,3,FALSE)="",Setup!$B$14,VLOOKUP($D977,Setup!$A$76:$C$87,3,FALSE)),Setup!$B$14),2))</f>
        <v/>
      </c>
      <c r="O977" s="90">
        <f>IF(OR($M977="",$E977=""),"",ROUND($M977*IFERROR(IF(VLOOKUP($E977,Setup!$A$76:$C$87,3,FALSE)="",Setup!$B$15,VLOOKUP($E977,Setup!$A$76:$C$87,3,FALSE)),Setup!$B$15),2))</f>
        <v/>
      </c>
      <c r="P977" s="92" t="n"/>
      <c r="Q977" s="92" t="n"/>
      <c r="R977" s="92" t="n"/>
      <c r="S977" s="92" t="n"/>
      <c r="T977" s="92" t="n"/>
      <c r="U977" s="90">
        <f>IF($K977="","",SUM($R977:$T977))</f>
        <v/>
      </c>
      <c r="V977" s="90">
        <f>IF($K977="","",$M977-(N($N977)+N($O977)+IF($P977="",Setup!$B$17,$P977)+N($Q977))-N($U977))</f>
        <v/>
      </c>
      <c r="W977" s="87" t="n"/>
      <c r="X977" s="88" t="n"/>
      <c r="Z977" s="93">
        <f>IF($A977="","",DATE(YEAR($A977),MONTH($A977),1))</f>
        <v/>
      </c>
    </row>
    <row r="978">
      <c r="A978" s="94" t="n"/>
      <c r="B978" s="95" t="n"/>
      <c r="C978" s="95" t="n"/>
      <c r="D978" s="96" t="n"/>
      <c r="E978" s="96" t="n"/>
      <c r="F978" s="96" t="n"/>
      <c r="G978" s="96" t="n"/>
      <c r="H978" s="97" t="n"/>
      <c r="I978" s="90">
        <f>IF($G978="","",IF($F978="",IFERROR(INDEX(Setup!$C$21:$C$60,MATCH("|"&amp;UPPER(TRIM($G978)),Setup!$Q$21:$Q$60,0)),"NO RATE"),IFERROR(INDEX(Setup!$C$21:$C$60,MATCH(UPPER(TRIM($F978))&amp;"|"&amp;UPPER(TRIM($G978)),Setup!$P$21:$P$60,0)),IFERROR(INDEX(Setup!$C$21:$C$60,MATCH(UPPER(TRIM($G978))&amp;"|"&amp;UPPER(TRIM($F978)),Setup!$P$21:$P$60,0)),"NO RATE"))))</f>
        <v/>
      </c>
      <c r="J978" s="98" t="n"/>
      <c r="K978" s="90">
        <f>IF(OR($G978="",$H978="",NOT(ISNUMBER($I978))),"",ROUND($H978*$I978*(1+IF($J978="",Setup!$B$16,$J978)),2))</f>
        <v/>
      </c>
      <c r="L978" s="90">
        <f>IF($K978="","",ROUND($K978*Setup!$B$13,2))</f>
        <v/>
      </c>
      <c r="M978" s="90">
        <f>IF($K978="","",$K978-$L978)</f>
        <v/>
      </c>
      <c r="N978" s="90">
        <f>IF(OR($M978="",$D978=""),"",ROUND($M978*IFERROR(IF(VLOOKUP($D978,Setup!$A$76:$C$87,3,FALSE)="",Setup!$B$14,VLOOKUP($D978,Setup!$A$76:$C$87,3,FALSE)),Setup!$B$14),2))</f>
        <v/>
      </c>
      <c r="O978" s="90">
        <f>IF(OR($M978="",$E978=""),"",ROUND($M978*IFERROR(IF(VLOOKUP($E978,Setup!$A$76:$C$87,3,FALSE)="",Setup!$B$15,VLOOKUP($E978,Setup!$A$76:$C$87,3,FALSE)),Setup!$B$15),2))</f>
        <v/>
      </c>
      <c r="P978" s="99" t="n"/>
      <c r="Q978" s="99" t="n"/>
      <c r="R978" s="99" t="n"/>
      <c r="S978" s="99" t="n"/>
      <c r="T978" s="99" t="n"/>
      <c r="U978" s="90">
        <f>IF($K978="","",SUM($R978:$T978))</f>
        <v/>
      </c>
      <c r="V978" s="90">
        <f>IF($K978="","",$M978-(N($N978)+N($O978)+IF($P978="",Setup!$B$17,$P978)+N($Q978))-N($U978))</f>
        <v/>
      </c>
      <c r="W978" s="95" t="n"/>
      <c r="X978" s="96" t="n"/>
      <c r="Z978" s="93">
        <f>IF($A978="","",DATE(YEAR($A978),MONTH($A978),1))</f>
        <v/>
      </c>
    </row>
    <row r="979">
      <c r="A979" s="86" t="n"/>
      <c r="B979" s="87" t="n"/>
      <c r="C979" s="87" t="n"/>
      <c r="D979" s="88" t="n"/>
      <c r="E979" s="88" t="n"/>
      <c r="F979" s="88" t="n"/>
      <c r="G979" s="88" t="n"/>
      <c r="H979" s="89" t="n"/>
      <c r="I979" s="90">
        <f>IF($G979="","",IF($F979="",IFERROR(INDEX(Setup!$C$21:$C$60,MATCH("|"&amp;UPPER(TRIM($G979)),Setup!$Q$21:$Q$60,0)),"NO RATE"),IFERROR(INDEX(Setup!$C$21:$C$60,MATCH(UPPER(TRIM($F979))&amp;"|"&amp;UPPER(TRIM($G979)),Setup!$P$21:$P$60,0)),IFERROR(INDEX(Setup!$C$21:$C$60,MATCH(UPPER(TRIM($G979))&amp;"|"&amp;UPPER(TRIM($F979)),Setup!$P$21:$P$60,0)),"NO RATE"))))</f>
        <v/>
      </c>
      <c r="J979" s="91" t="n"/>
      <c r="K979" s="90">
        <f>IF(OR($G979="",$H979="",NOT(ISNUMBER($I979))),"",ROUND($H979*$I979*(1+IF($J979="",Setup!$B$16,$J979)),2))</f>
        <v/>
      </c>
      <c r="L979" s="90">
        <f>IF($K979="","",ROUND($K979*Setup!$B$13,2))</f>
        <v/>
      </c>
      <c r="M979" s="90">
        <f>IF($K979="","",$K979-$L979)</f>
        <v/>
      </c>
      <c r="N979" s="90">
        <f>IF(OR($M979="",$D979=""),"",ROUND($M979*IFERROR(IF(VLOOKUP($D979,Setup!$A$76:$C$87,3,FALSE)="",Setup!$B$14,VLOOKUP($D979,Setup!$A$76:$C$87,3,FALSE)),Setup!$B$14),2))</f>
        <v/>
      </c>
      <c r="O979" s="90">
        <f>IF(OR($M979="",$E979=""),"",ROUND($M979*IFERROR(IF(VLOOKUP($E979,Setup!$A$76:$C$87,3,FALSE)="",Setup!$B$15,VLOOKUP($E979,Setup!$A$76:$C$87,3,FALSE)),Setup!$B$15),2))</f>
        <v/>
      </c>
      <c r="P979" s="92" t="n"/>
      <c r="Q979" s="92" t="n"/>
      <c r="R979" s="92" t="n"/>
      <c r="S979" s="92" t="n"/>
      <c r="T979" s="92" t="n"/>
      <c r="U979" s="90">
        <f>IF($K979="","",SUM($R979:$T979))</f>
        <v/>
      </c>
      <c r="V979" s="90">
        <f>IF($K979="","",$M979-(N($N979)+N($O979)+IF($P979="",Setup!$B$17,$P979)+N($Q979))-N($U979))</f>
        <v/>
      </c>
      <c r="W979" s="87" t="n"/>
      <c r="X979" s="88" t="n"/>
      <c r="Z979" s="93">
        <f>IF($A979="","",DATE(YEAR($A979),MONTH($A979),1))</f>
        <v/>
      </c>
    </row>
    <row r="980">
      <c r="A980" s="94" t="n"/>
      <c r="B980" s="95" t="n"/>
      <c r="C980" s="95" t="n"/>
      <c r="D980" s="96" t="n"/>
      <c r="E980" s="96" t="n"/>
      <c r="F980" s="96" t="n"/>
      <c r="G980" s="96" t="n"/>
      <c r="H980" s="97" t="n"/>
      <c r="I980" s="90">
        <f>IF($G980="","",IF($F980="",IFERROR(INDEX(Setup!$C$21:$C$60,MATCH("|"&amp;UPPER(TRIM($G980)),Setup!$Q$21:$Q$60,0)),"NO RATE"),IFERROR(INDEX(Setup!$C$21:$C$60,MATCH(UPPER(TRIM($F980))&amp;"|"&amp;UPPER(TRIM($G980)),Setup!$P$21:$P$60,0)),IFERROR(INDEX(Setup!$C$21:$C$60,MATCH(UPPER(TRIM($G980))&amp;"|"&amp;UPPER(TRIM($F980)),Setup!$P$21:$P$60,0)),"NO RATE"))))</f>
        <v/>
      </c>
      <c r="J980" s="98" t="n"/>
      <c r="K980" s="90">
        <f>IF(OR($G980="",$H980="",NOT(ISNUMBER($I980))),"",ROUND($H980*$I980*(1+IF($J980="",Setup!$B$16,$J980)),2))</f>
        <v/>
      </c>
      <c r="L980" s="90">
        <f>IF($K980="","",ROUND($K980*Setup!$B$13,2))</f>
        <v/>
      </c>
      <c r="M980" s="90">
        <f>IF($K980="","",$K980-$L980)</f>
        <v/>
      </c>
      <c r="N980" s="90">
        <f>IF(OR($M980="",$D980=""),"",ROUND($M980*IFERROR(IF(VLOOKUP($D980,Setup!$A$76:$C$87,3,FALSE)="",Setup!$B$14,VLOOKUP($D980,Setup!$A$76:$C$87,3,FALSE)),Setup!$B$14),2))</f>
        <v/>
      </c>
      <c r="O980" s="90">
        <f>IF(OR($M980="",$E980=""),"",ROUND($M980*IFERROR(IF(VLOOKUP($E980,Setup!$A$76:$C$87,3,FALSE)="",Setup!$B$15,VLOOKUP($E980,Setup!$A$76:$C$87,3,FALSE)),Setup!$B$15),2))</f>
        <v/>
      </c>
      <c r="P980" s="99" t="n"/>
      <c r="Q980" s="99" t="n"/>
      <c r="R980" s="99" t="n"/>
      <c r="S980" s="99" t="n"/>
      <c r="T980" s="99" t="n"/>
      <c r="U980" s="90">
        <f>IF($K980="","",SUM($R980:$T980))</f>
        <v/>
      </c>
      <c r="V980" s="90">
        <f>IF($K980="","",$M980-(N($N980)+N($O980)+IF($P980="",Setup!$B$17,$P980)+N($Q980))-N($U980))</f>
        <v/>
      </c>
      <c r="W980" s="95" t="n"/>
      <c r="X980" s="96" t="n"/>
      <c r="Z980" s="93">
        <f>IF($A980="","",DATE(YEAR($A980),MONTH($A980),1))</f>
        <v/>
      </c>
    </row>
    <row r="981">
      <c r="A981" s="86" t="n"/>
      <c r="B981" s="87" t="n"/>
      <c r="C981" s="87" t="n"/>
      <c r="D981" s="88" t="n"/>
      <c r="E981" s="88" t="n"/>
      <c r="F981" s="88" t="n"/>
      <c r="G981" s="88" t="n"/>
      <c r="H981" s="89" t="n"/>
      <c r="I981" s="90">
        <f>IF($G981="","",IF($F981="",IFERROR(INDEX(Setup!$C$21:$C$60,MATCH("|"&amp;UPPER(TRIM($G981)),Setup!$Q$21:$Q$60,0)),"NO RATE"),IFERROR(INDEX(Setup!$C$21:$C$60,MATCH(UPPER(TRIM($F981))&amp;"|"&amp;UPPER(TRIM($G981)),Setup!$P$21:$P$60,0)),IFERROR(INDEX(Setup!$C$21:$C$60,MATCH(UPPER(TRIM($G981))&amp;"|"&amp;UPPER(TRIM($F981)),Setup!$P$21:$P$60,0)),"NO RATE"))))</f>
        <v/>
      </c>
      <c r="J981" s="91" t="n"/>
      <c r="K981" s="90">
        <f>IF(OR($G981="",$H981="",NOT(ISNUMBER($I981))),"",ROUND($H981*$I981*(1+IF($J981="",Setup!$B$16,$J981)),2))</f>
        <v/>
      </c>
      <c r="L981" s="90">
        <f>IF($K981="","",ROUND($K981*Setup!$B$13,2))</f>
        <v/>
      </c>
      <c r="M981" s="90">
        <f>IF($K981="","",$K981-$L981)</f>
        <v/>
      </c>
      <c r="N981" s="90">
        <f>IF(OR($M981="",$D981=""),"",ROUND($M981*IFERROR(IF(VLOOKUP($D981,Setup!$A$76:$C$87,3,FALSE)="",Setup!$B$14,VLOOKUP($D981,Setup!$A$76:$C$87,3,FALSE)),Setup!$B$14),2))</f>
        <v/>
      </c>
      <c r="O981" s="90">
        <f>IF(OR($M981="",$E981=""),"",ROUND($M981*IFERROR(IF(VLOOKUP($E981,Setup!$A$76:$C$87,3,FALSE)="",Setup!$B$15,VLOOKUP($E981,Setup!$A$76:$C$87,3,FALSE)),Setup!$B$15),2))</f>
        <v/>
      </c>
      <c r="P981" s="92" t="n"/>
      <c r="Q981" s="92" t="n"/>
      <c r="R981" s="92" t="n"/>
      <c r="S981" s="92" t="n"/>
      <c r="T981" s="92" t="n"/>
      <c r="U981" s="90">
        <f>IF($K981="","",SUM($R981:$T981))</f>
        <v/>
      </c>
      <c r="V981" s="90">
        <f>IF($K981="","",$M981-(N($N981)+N($O981)+IF($P981="",Setup!$B$17,$P981)+N($Q981))-N($U981))</f>
        <v/>
      </c>
      <c r="W981" s="87" t="n"/>
      <c r="X981" s="88" t="n"/>
      <c r="Z981" s="93">
        <f>IF($A981="","",DATE(YEAR($A981),MONTH($A981),1))</f>
        <v/>
      </c>
    </row>
    <row r="982">
      <c r="A982" s="94" t="n"/>
      <c r="B982" s="95" t="n"/>
      <c r="C982" s="95" t="n"/>
      <c r="D982" s="96" t="n"/>
      <c r="E982" s="96" t="n"/>
      <c r="F982" s="96" t="n"/>
      <c r="G982" s="96" t="n"/>
      <c r="H982" s="97" t="n"/>
      <c r="I982" s="90">
        <f>IF($G982="","",IF($F982="",IFERROR(INDEX(Setup!$C$21:$C$60,MATCH("|"&amp;UPPER(TRIM($G982)),Setup!$Q$21:$Q$60,0)),"NO RATE"),IFERROR(INDEX(Setup!$C$21:$C$60,MATCH(UPPER(TRIM($F982))&amp;"|"&amp;UPPER(TRIM($G982)),Setup!$P$21:$P$60,0)),IFERROR(INDEX(Setup!$C$21:$C$60,MATCH(UPPER(TRIM($G982))&amp;"|"&amp;UPPER(TRIM($F982)),Setup!$P$21:$P$60,0)),"NO RATE"))))</f>
        <v/>
      </c>
      <c r="J982" s="98" t="n"/>
      <c r="K982" s="90">
        <f>IF(OR($G982="",$H982="",NOT(ISNUMBER($I982))),"",ROUND($H982*$I982*(1+IF($J982="",Setup!$B$16,$J982)),2))</f>
        <v/>
      </c>
      <c r="L982" s="90">
        <f>IF($K982="","",ROUND($K982*Setup!$B$13,2))</f>
        <v/>
      </c>
      <c r="M982" s="90">
        <f>IF($K982="","",$K982-$L982)</f>
        <v/>
      </c>
      <c r="N982" s="90">
        <f>IF(OR($M982="",$D982=""),"",ROUND($M982*IFERROR(IF(VLOOKUP($D982,Setup!$A$76:$C$87,3,FALSE)="",Setup!$B$14,VLOOKUP($D982,Setup!$A$76:$C$87,3,FALSE)),Setup!$B$14),2))</f>
        <v/>
      </c>
      <c r="O982" s="90">
        <f>IF(OR($M982="",$E982=""),"",ROUND($M982*IFERROR(IF(VLOOKUP($E982,Setup!$A$76:$C$87,3,FALSE)="",Setup!$B$15,VLOOKUP($E982,Setup!$A$76:$C$87,3,FALSE)),Setup!$B$15),2))</f>
        <v/>
      </c>
      <c r="P982" s="99" t="n"/>
      <c r="Q982" s="99" t="n"/>
      <c r="R982" s="99" t="n"/>
      <c r="S982" s="99" t="n"/>
      <c r="T982" s="99" t="n"/>
      <c r="U982" s="90">
        <f>IF($K982="","",SUM($R982:$T982))</f>
        <v/>
      </c>
      <c r="V982" s="90">
        <f>IF($K982="","",$M982-(N($N982)+N($O982)+IF($P982="",Setup!$B$17,$P982)+N($Q982))-N($U982))</f>
        <v/>
      </c>
      <c r="W982" s="95" t="n"/>
      <c r="X982" s="96" t="n"/>
      <c r="Z982" s="93">
        <f>IF($A982="","",DATE(YEAR($A982),MONTH($A982),1))</f>
        <v/>
      </c>
    </row>
    <row r="983">
      <c r="A983" s="86" t="n"/>
      <c r="B983" s="87" t="n"/>
      <c r="C983" s="87" t="n"/>
      <c r="D983" s="88" t="n"/>
      <c r="E983" s="88" t="n"/>
      <c r="F983" s="88" t="n"/>
      <c r="G983" s="88" t="n"/>
      <c r="H983" s="89" t="n"/>
      <c r="I983" s="90">
        <f>IF($G983="","",IF($F983="",IFERROR(INDEX(Setup!$C$21:$C$60,MATCH("|"&amp;UPPER(TRIM($G983)),Setup!$Q$21:$Q$60,0)),"NO RATE"),IFERROR(INDEX(Setup!$C$21:$C$60,MATCH(UPPER(TRIM($F983))&amp;"|"&amp;UPPER(TRIM($G983)),Setup!$P$21:$P$60,0)),IFERROR(INDEX(Setup!$C$21:$C$60,MATCH(UPPER(TRIM($G983))&amp;"|"&amp;UPPER(TRIM($F983)),Setup!$P$21:$P$60,0)),"NO RATE"))))</f>
        <v/>
      </c>
      <c r="J983" s="91" t="n"/>
      <c r="K983" s="90">
        <f>IF(OR($G983="",$H983="",NOT(ISNUMBER($I983))),"",ROUND($H983*$I983*(1+IF($J983="",Setup!$B$16,$J983)),2))</f>
        <v/>
      </c>
      <c r="L983" s="90">
        <f>IF($K983="","",ROUND($K983*Setup!$B$13,2))</f>
        <v/>
      </c>
      <c r="M983" s="90">
        <f>IF($K983="","",$K983-$L983)</f>
        <v/>
      </c>
      <c r="N983" s="90">
        <f>IF(OR($M983="",$D983=""),"",ROUND($M983*IFERROR(IF(VLOOKUP($D983,Setup!$A$76:$C$87,3,FALSE)="",Setup!$B$14,VLOOKUP($D983,Setup!$A$76:$C$87,3,FALSE)),Setup!$B$14),2))</f>
        <v/>
      </c>
      <c r="O983" s="90">
        <f>IF(OR($M983="",$E983=""),"",ROUND($M983*IFERROR(IF(VLOOKUP($E983,Setup!$A$76:$C$87,3,FALSE)="",Setup!$B$15,VLOOKUP($E983,Setup!$A$76:$C$87,3,FALSE)),Setup!$B$15),2))</f>
        <v/>
      </c>
      <c r="P983" s="92" t="n"/>
      <c r="Q983" s="92" t="n"/>
      <c r="R983" s="92" t="n"/>
      <c r="S983" s="92" t="n"/>
      <c r="T983" s="92" t="n"/>
      <c r="U983" s="90">
        <f>IF($K983="","",SUM($R983:$T983))</f>
        <v/>
      </c>
      <c r="V983" s="90">
        <f>IF($K983="","",$M983-(N($N983)+N($O983)+IF($P983="",Setup!$B$17,$P983)+N($Q983))-N($U983))</f>
        <v/>
      </c>
      <c r="W983" s="87" t="n"/>
      <c r="X983" s="88" t="n"/>
      <c r="Z983" s="93">
        <f>IF($A983="","",DATE(YEAR($A983),MONTH($A983),1))</f>
        <v/>
      </c>
    </row>
    <row r="984">
      <c r="A984" s="94" t="n"/>
      <c r="B984" s="95" t="n"/>
      <c r="C984" s="95" t="n"/>
      <c r="D984" s="96" t="n"/>
      <c r="E984" s="96" t="n"/>
      <c r="F984" s="96" t="n"/>
      <c r="G984" s="96" t="n"/>
      <c r="H984" s="97" t="n"/>
      <c r="I984" s="90">
        <f>IF($G984="","",IF($F984="",IFERROR(INDEX(Setup!$C$21:$C$60,MATCH("|"&amp;UPPER(TRIM($G984)),Setup!$Q$21:$Q$60,0)),"NO RATE"),IFERROR(INDEX(Setup!$C$21:$C$60,MATCH(UPPER(TRIM($F984))&amp;"|"&amp;UPPER(TRIM($G984)),Setup!$P$21:$P$60,0)),IFERROR(INDEX(Setup!$C$21:$C$60,MATCH(UPPER(TRIM($G984))&amp;"|"&amp;UPPER(TRIM($F984)),Setup!$P$21:$P$60,0)),"NO RATE"))))</f>
        <v/>
      </c>
      <c r="J984" s="98" t="n"/>
      <c r="K984" s="90">
        <f>IF(OR($G984="",$H984="",NOT(ISNUMBER($I984))),"",ROUND($H984*$I984*(1+IF($J984="",Setup!$B$16,$J984)),2))</f>
        <v/>
      </c>
      <c r="L984" s="90">
        <f>IF($K984="","",ROUND($K984*Setup!$B$13,2))</f>
        <v/>
      </c>
      <c r="M984" s="90">
        <f>IF($K984="","",$K984-$L984)</f>
        <v/>
      </c>
      <c r="N984" s="90">
        <f>IF(OR($M984="",$D984=""),"",ROUND($M984*IFERROR(IF(VLOOKUP($D984,Setup!$A$76:$C$87,3,FALSE)="",Setup!$B$14,VLOOKUP($D984,Setup!$A$76:$C$87,3,FALSE)),Setup!$B$14),2))</f>
        <v/>
      </c>
      <c r="O984" s="90">
        <f>IF(OR($M984="",$E984=""),"",ROUND($M984*IFERROR(IF(VLOOKUP($E984,Setup!$A$76:$C$87,3,FALSE)="",Setup!$B$15,VLOOKUP($E984,Setup!$A$76:$C$87,3,FALSE)),Setup!$B$15),2))</f>
        <v/>
      </c>
      <c r="P984" s="99" t="n"/>
      <c r="Q984" s="99" t="n"/>
      <c r="R984" s="99" t="n"/>
      <c r="S984" s="99" t="n"/>
      <c r="T984" s="99" t="n"/>
      <c r="U984" s="90">
        <f>IF($K984="","",SUM($R984:$T984))</f>
        <v/>
      </c>
      <c r="V984" s="90">
        <f>IF($K984="","",$M984-(N($N984)+N($O984)+IF($P984="",Setup!$B$17,$P984)+N($Q984))-N($U984))</f>
        <v/>
      </c>
      <c r="W984" s="95" t="n"/>
      <c r="X984" s="96" t="n"/>
      <c r="Z984" s="93">
        <f>IF($A984="","",DATE(YEAR($A984),MONTH($A984),1))</f>
        <v/>
      </c>
    </row>
    <row r="985">
      <c r="A985" s="86" t="n"/>
      <c r="B985" s="87" t="n"/>
      <c r="C985" s="87" t="n"/>
      <c r="D985" s="88" t="n"/>
      <c r="E985" s="88" t="n"/>
      <c r="F985" s="88" t="n"/>
      <c r="G985" s="88" t="n"/>
      <c r="H985" s="89" t="n"/>
      <c r="I985" s="90">
        <f>IF($G985="","",IF($F985="",IFERROR(INDEX(Setup!$C$21:$C$60,MATCH("|"&amp;UPPER(TRIM($G985)),Setup!$Q$21:$Q$60,0)),"NO RATE"),IFERROR(INDEX(Setup!$C$21:$C$60,MATCH(UPPER(TRIM($F985))&amp;"|"&amp;UPPER(TRIM($G985)),Setup!$P$21:$P$60,0)),IFERROR(INDEX(Setup!$C$21:$C$60,MATCH(UPPER(TRIM($G985))&amp;"|"&amp;UPPER(TRIM($F985)),Setup!$P$21:$P$60,0)),"NO RATE"))))</f>
        <v/>
      </c>
      <c r="J985" s="91" t="n"/>
      <c r="K985" s="90">
        <f>IF(OR($G985="",$H985="",NOT(ISNUMBER($I985))),"",ROUND($H985*$I985*(1+IF($J985="",Setup!$B$16,$J985)),2))</f>
        <v/>
      </c>
      <c r="L985" s="90">
        <f>IF($K985="","",ROUND($K985*Setup!$B$13,2))</f>
        <v/>
      </c>
      <c r="M985" s="90">
        <f>IF($K985="","",$K985-$L985)</f>
        <v/>
      </c>
      <c r="N985" s="90">
        <f>IF(OR($M985="",$D985=""),"",ROUND($M985*IFERROR(IF(VLOOKUP($D985,Setup!$A$76:$C$87,3,FALSE)="",Setup!$B$14,VLOOKUP($D985,Setup!$A$76:$C$87,3,FALSE)),Setup!$B$14),2))</f>
        <v/>
      </c>
      <c r="O985" s="90">
        <f>IF(OR($M985="",$E985=""),"",ROUND($M985*IFERROR(IF(VLOOKUP($E985,Setup!$A$76:$C$87,3,FALSE)="",Setup!$B$15,VLOOKUP($E985,Setup!$A$76:$C$87,3,FALSE)),Setup!$B$15),2))</f>
        <v/>
      </c>
      <c r="P985" s="92" t="n"/>
      <c r="Q985" s="92" t="n"/>
      <c r="R985" s="92" t="n"/>
      <c r="S985" s="92" t="n"/>
      <c r="T985" s="92" t="n"/>
      <c r="U985" s="90">
        <f>IF($K985="","",SUM($R985:$T985))</f>
        <v/>
      </c>
      <c r="V985" s="90">
        <f>IF($K985="","",$M985-(N($N985)+N($O985)+IF($P985="",Setup!$B$17,$P985)+N($Q985))-N($U985))</f>
        <v/>
      </c>
      <c r="W985" s="87" t="n"/>
      <c r="X985" s="88" t="n"/>
      <c r="Z985" s="93">
        <f>IF($A985="","",DATE(YEAR($A985),MONTH($A985),1))</f>
        <v/>
      </c>
    </row>
    <row r="986">
      <c r="A986" s="94" t="n"/>
      <c r="B986" s="95" t="n"/>
      <c r="C986" s="95" t="n"/>
      <c r="D986" s="96" t="n"/>
      <c r="E986" s="96" t="n"/>
      <c r="F986" s="96" t="n"/>
      <c r="G986" s="96" t="n"/>
      <c r="H986" s="97" t="n"/>
      <c r="I986" s="90">
        <f>IF($G986="","",IF($F986="",IFERROR(INDEX(Setup!$C$21:$C$60,MATCH("|"&amp;UPPER(TRIM($G986)),Setup!$Q$21:$Q$60,0)),"NO RATE"),IFERROR(INDEX(Setup!$C$21:$C$60,MATCH(UPPER(TRIM($F986))&amp;"|"&amp;UPPER(TRIM($G986)),Setup!$P$21:$P$60,0)),IFERROR(INDEX(Setup!$C$21:$C$60,MATCH(UPPER(TRIM($G986))&amp;"|"&amp;UPPER(TRIM($F986)),Setup!$P$21:$P$60,0)),"NO RATE"))))</f>
        <v/>
      </c>
      <c r="J986" s="98" t="n"/>
      <c r="K986" s="90">
        <f>IF(OR($G986="",$H986="",NOT(ISNUMBER($I986))),"",ROUND($H986*$I986*(1+IF($J986="",Setup!$B$16,$J986)),2))</f>
        <v/>
      </c>
      <c r="L986" s="90">
        <f>IF($K986="","",ROUND($K986*Setup!$B$13,2))</f>
        <v/>
      </c>
      <c r="M986" s="90">
        <f>IF($K986="","",$K986-$L986)</f>
        <v/>
      </c>
      <c r="N986" s="90">
        <f>IF(OR($M986="",$D986=""),"",ROUND($M986*IFERROR(IF(VLOOKUP($D986,Setup!$A$76:$C$87,3,FALSE)="",Setup!$B$14,VLOOKUP($D986,Setup!$A$76:$C$87,3,FALSE)),Setup!$B$14),2))</f>
        <v/>
      </c>
      <c r="O986" s="90">
        <f>IF(OR($M986="",$E986=""),"",ROUND($M986*IFERROR(IF(VLOOKUP($E986,Setup!$A$76:$C$87,3,FALSE)="",Setup!$B$15,VLOOKUP($E986,Setup!$A$76:$C$87,3,FALSE)),Setup!$B$15),2))</f>
        <v/>
      </c>
      <c r="P986" s="99" t="n"/>
      <c r="Q986" s="99" t="n"/>
      <c r="R986" s="99" t="n"/>
      <c r="S986" s="99" t="n"/>
      <c r="T986" s="99" t="n"/>
      <c r="U986" s="90">
        <f>IF($K986="","",SUM($R986:$T986))</f>
        <v/>
      </c>
      <c r="V986" s="90">
        <f>IF($K986="","",$M986-(N($N986)+N($O986)+IF($P986="",Setup!$B$17,$P986)+N($Q986))-N($U986))</f>
        <v/>
      </c>
      <c r="W986" s="95" t="n"/>
      <c r="X986" s="96" t="n"/>
      <c r="Z986" s="93">
        <f>IF($A986="","",DATE(YEAR($A986),MONTH($A986),1))</f>
        <v/>
      </c>
    </row>
    <row r="987">
      <c r="A987" s="86" t="n"/>
      <c r="B987" s="87" t="n"/>
      <c r="C987" s="87" t="n"/>
      <c r="D987" s="88" t="n"/>
      <c r="E987" s="88" t="n"/>
      <c r="F987" s="88" t="n"/>
      <c r="G987" s="88" t="n"/>
      <c r="H987" s="89" t="n"/>
      <c r="I987" s="90">
        <f>IF($G987="","",IF($F987="",IFERROR(INDEX(Setup!$C$21:$C$60,MATCH("|"&amp;UPPER(TRIM($G987)),Setup!$Q$21:$Q$60,0)),"NO RATE"),IFERROR(INDEX(Setup!$C$21:$C$60,MATCH(UPPER(TRIM($F987))&amp;"|"&amp;UPPER(TRIM($G987)),Setup!$P$21:$P$60,0)),IFERROR(INDEX(Setup!$C$21:$C$60,MATCH(UPPER(TRIM($G987))&amp;"|"&amp;UPPER(TRIM($F987)),Setup!$P$21:$P$60,0)),"NO RATE"))))</f>
        <v/>
      </c>
      <c r="J987" s="91" t="n"/>
      <c r="K987" s="90">
        <f>IF(OR($G987="",$H987="",NOT(ISNUMBER($I987))),"",ROUND($H987*$I987*(1+IF($J987="",Setup!$B$16,$J987)),2))</f>
        <v/>
      </c>
      <c r="L987" s="90">
        <f>IF($K987="","",ROUND($K987*Setup!$B$13,2))</f>
        <v/>
      </c>
      <c r="M987" s="90">
        <f>IF($K987="","",$K987-$L987)</f>
        <v/>
      </c>
      <c r="N987" s="90">
        <f>IF(OR($M987="",$D987=""),"",ROUND($M987*IFERROR(IF(VLOOKUP($D987,Setup!$A$76:$C$87,3,FALSE)="",Setup!$B$14,VLOOKUP($D987,Setup!$A$76:$C$87,3,FALSE)),Setup!$B$14),2))</f>
        <v/>
      </c>
      <c r="O987" s="90">
        <f>IF(OR($M987="",$E987=""),"",ROUND($M987*IFERROR(IF(VLOOKUP($E987,Setup!$A$76:$C$87,3,FALSE)="",Setup!$B$15,VLOOKUP($E987,Setup!$A$76:$C$87,3,FALSE)),Setup!$B$15),2))</f>
        <v/>
      </c>
      <c r="P987" s="92" t="n"/>
      <c r="Q987" s="92" t="n"/>
      <c r="R987" s="92" t="n"/>
      <c r="S987" s="92" t="n"/>
      <c r="T987" s="92" t="n"/>
      <c r="U987" s="90">
        <f>IF($K987="","",SUM($R987:$T987))</f>
        <v/>
      </c>
      <c r="V987" s="90">
        <f>IF($K987="","",$M987-(N($N987)+N($O987)+IF($P987="",Setup!$B$17,$P987)+N($Q987))-N($U987))</f>
        <v/>
      </c>
      <c r="W987" s="87" t="n"/>
      <c r="X987" s="88" t="n"/>
      <c r="Z987" s="93">
        <f>IF($A987="","",DATE(YEAR($A987),MONTH($A987),1))</f>
        <v/>
      </c>
    </row>
    <row r="988">
      <c r="A988" s="94" t="n"/>
      <c r="B988" s="95" t="n"/>
      <c r="C988" s="95" t="n"/>
      <c r="D988" s="96" t="n"/>
      <c r="E988" s="96" t="n"/>
      <c r="F988" s="96" t="n"/>
      <c r="G988" s="96" t="n"/>
      <c r="H988" s="97" t="n"/>
      <c r="I988" s="90">
        <f>IF($G988="","",IF($F988="",IFERROR(INDEX(Setup!$C$21:$C$60,MATCH("|"&amp;UPPER(TRIM($G988)),Setup!$Q$21:$Q$60,0)),"NO RATE"),IFERROR(INDEX(Setup!$C$21:$C$60,MATCH(UPPER(TRIM($F988))&amp;"|"&amp;UPPER(TRIM($G988)),Setup!$P$21:$P$60,0)),IFERROR(INDEX(Setup!$C$21:$C$60,MATCH(UPPER(TRIM($G988))&amp;"|"&amp;UPPER(TRIM($F988)),Setup!$P$21:$P$60,0)),"NO RATE"))))</f>
        <v/>
      </c>
      <c r="J988" s="98" t="n"/>
      <c r="K988" s="90">
        <f>IF(OR($G988="",$H988="",NOT(ISNUMBER($I988))),"",ROUND($H988*$I988*(1+IF($J988="",Setup!$B$16,$J988)),2))</f>
        <v/>
      </c>
      <c r="L988" s="90">
        <f>IF($K988="","",ROUND($K988*Setup!$B$13,2))</f>
        <v/>
      </c>
      <c r="M988" s="90">
        <f>IF($K988="","",$K988-$L988)</f>
        <v/>
      </c>
      <c r="N988" s="90">
        <f>IF(OR($M988="",$D988=""),"",ROUND($M988*IFERROR(IF(VLOOKUP($D988,Setup!$A$76:$C$87,3,FALSE)="",Setup!$B$14,VLOOKUP($D988,Setup!$A$76:$C$87,3,FALSE)),Setup!$B$14),2))</f>
        <v/>
      </c>
      <c r="O988" s="90">
        <f>IF(OR($M988="",$E988=""),"",ROUND($M988*IFERROR(IF(VLOOKUP($E988,Setup!$A$76:$C$87,3,FALSE)="",Setup!$B$15,VLOOKUP($E988,Setup!$A$76:$C$87,3,FALSE)),Setup!$B$15),2))</f>
        <v/>
      </c>
      <c r="P988" s="99" t="n"/>
      <c r="Q988" s="99" t="n"/>
      <c r="R988" s="99" t="n"/>
      <c r="S988" s="99" t="n"/>
      <c r="T988" s="99" t="n"/>
      <c r="U988" s="90">
        <f>IF($K988="","",SUM($R988:$T988))</f>
        <v/>
      </c>
      <c r="V988" s="90">
        <f>IF($K988="","",$M988-(N($N988)+N($O988)+IF($P988="",Setup!$B$17,$P988)+N($Q988))-N($U988))</f>
        <v/>
      </c>
      <c r="W988" s="95" t="n"/>
      <c r="X988" s="96" t="n"/>
      <c r="Z988" s="93">
        <f>IF($A988="","",DATE(YEAR($A988),MONTH($A988),1))</f>
        <v/>
      </c>
    </row>
    <row r="989">
      <c r="A989" s="86" t="n"/>
      <c r="B989" s="87" t="n"/>
      <c r="C989" s="87" t="n"/>
      <c r="D989" s="88" t="n"/>
      <c r="E989" s="88" t="n"/>
      <c r="F989" s="88" t="n"/>
      <c r="G989" s="88" t="n"/>
      <c r="H989" s="89" t="n"/>
      <c r="I989" s="90">
        <f>IF($G989="","",IF($F989="",IFERROR(INDEX(Setup!$C$21:$C$60,MATCH("|"&amp;UPPER(TRIM($G989)),Setup!$Q$21:$Q$60,0)),"NO RATE"),IFERROR(INDEX(Setup!$C$21:$C$60,MATCH(UPPER(TRIM($F989))&amp;"|"&amp;UPPER(TRIM($G989)),Setup!$P$21:$P$60,0)),IFERROR(INDEX(Setup!$C$21:$C$60,MATCH(UPPER(TRIM($G989))&amp;"|"&amp;UPPER(TRIM($F989)),Setup!$P$21:$P$60,0)),"NO RATE"))))</f>
        <v/>
      </c>
      <c r="J989" s="91" t="n"/>
      <c r="K989" s="90">
        <f>IF(OR($G989="",$H989="",NOT(ISNUMBER($I989))),"",ROUND($H989*$I989*(1+IF($J989="",Setup!$B$16,$J989)),2))</f>
        <v/>
      </c>
      <c r="L989" s="90">
        <f>IF($K989="","",ROUND($K989*Setup!$B$13,2))</f>
        <v/>
      </c>
      <c r="M989" s="90">
        <f>IF($K989="","",$K989-$L989)</f>
        <v/>
      </c>
      <c r="N989" s="90">
        <f>IF(OR($M989="",$D989=""),"",ROUND($M989*IFERROR(IF(VLOOKUP($D989,Setup!$A$76:$C$87,3,FALSE)="",Setup!$B$14,VLOOKUP($D989,Setup!$A$76:$C$87,3,FALSE)),Setup!$B$14),2))</f>
        <v/>
      </c>
      <c r="O989" s="90">
        <f>IF(OR($M989="",$E989=""),"",ROUND($M989*IFERROR(IF(VLOOKUP($E989,Setup!$A$76:$C$87,3,FALSE)="",Setup!$B$15,VLOOKUP($E989,Setup!$A$76:$C$87,3,FALSE)),Setup!$B$15),2))</f>
        <v/>
      </c>
      <c r="P989" s="92" t="n"/>
      <c r="Q989" s="92" t="n"/>
      <c r="R989" s="92" t="n"/>
      <c r="S989" s="92" t="n"/>
      <c r="T989" s="92" t="n"/>
      <c r="U989" s="90">
        <f>IF($K989="","",SUM($R989:$T989))</f>
        <v/>
      </c>
      <c r="V989" s="90">
        <f>IF($K989="","",$M989-(N($N989)+N($O989)+IF($P989="",Setup!$B$17,$P989)+N($Q989))-N($U989))</f>
        <v/>
      </c>
      <c r="W989" s="87" t="n"/>
      <c r="X989" s="88" t="n"/>
      <c r="Z989" s="93">
        <f>IF($A989="","",DATE(YEAR($A989),MONTH($A989),1))</f>
        <v/>
      </c>
    </row>
    <row r="990">
      <c r="A990" s="94" t="n"/>
      <c r="B990" s="95" t="n"/>
      <c r="C990" s="95" t="n"/>
      <c r="D990" s="96" t="n"/>
      <c r="E990" s="96" t="n"/>
      <c r="F990" s="96" t="n"/>
      <c r="G990" s="96" t="n"/>
      <c r="H990" s="97" t="n"/>
      <c r="I990" s="90">
        <f>IF($G990="","",IF($F990="",IFERROR(INDEX(Setup!$C$21:$C$60,MATCH("|"&amp;UPPER(TRIM($G990)),Setup!$Q$21:$Q$60,0)),"NO RATE"),IFERROR(INDEX(Setup!$C$21:$C$60,MATCH(UPPER(TRIM($F990))&amp;"|"&amp;UPPER(TRIM($G990)),Setup!$P$21:$P$60,0)),IFERROR(INDEX(Setup!$C$21:$C$60,MATCH(UPPER(TRIM($G990))&amp;"|"&amp;UPPER(TRIM($F990)),Setup!$P$21:$P$60,0)),"NO RATE"))))</f>
        <v/>
      </c>
      <c r="J990" s="98" t="n"/>
      <c r="K990" s="90">
        <f>IF(OR($G990="",$H990="",NOT(ISNUMBER($I990))),"",ROUND($H990*$I990*(1+IF($J990="",Setup!$B$16,$J990)),2))</f>
        <v/>
      </c>
      <c r="L990" s="90">
        <f>IF($K990="","",ROUND($K990*Setup!$B$13,2))</f>
        <v/>
      </c>
      <c r="M990" s="90">
        <f>IF($K990="","",$K990-$L990)</f>
        <v/>
      </c>
      <c r="N990" s="90">
        <f>IF(OR($M990="",$D990=""),"",ROUND($M990*IFERROR(IF(VLOOKUP($D990,Setup!$A$76:$C$87,3,FALSE)="",Setup!$B$14,VLOOKUP($D990,Setup!$A$76:$C$87,3,FALSE)),Setup!$B$14),2))</f>
        <v/>
      </c>
      <c r="O990" s="90">
        <f>IF(OR($M990="",$E990=""),"",ROUND($M990*IFERROR(IF(VLOOKUP($E990,Setup!$A$76:$C$87,3,FALSE)="",Setup!$B$15,VLOOKUP($E990,Setup!$A$76:$C$87,3,FALSE)),Setup!$B$15),2))</f>
        <v/>
      </c>
      <c r="P990" s="99" t="n"/>
      <c r="Q990" s="99" t="n"/>
      <c r="R990" s="99" t="n"/>
      <c r="S990" s="99" t="n"/>
      <c r="T990" s="99" t="n"/>
      <c r="U990" s="90">
        <f>IF($K990="","",SUM($R990:$T990))</f>
        <v/>
      </c>
      <c r="V990" s="90">
        <f>IF($K990="","",$M990-(N($N990)+N($O990)+IF($P990="",Setup!$B$17,$P990)+N($Q990))-N($U990))</f>
        <v/>
      </c>
      <c r="W990" s="95" t="n"/>
      <c r="X990" s="96" t="n"/>
      <c r="Z990" s="93">
        <f>IF($A990="","",DATE(YEAR($A990),MONTH($A990),1))</f>
        <v/>
      </c>
    </row>
    <row r="991">
      <c r="A991" s="86" t="n"/>
      <c r="B991" s="87" t="n"/>
      <c r="C991" s="87" t="n"/>
      <c r="D991" s="88" t="n"/>
      <c r="E991" s="88" t="n"/>
      <c r="F991" s="88" t="n"/>
      <c r="G991" s="88" t="n"/>
      <c r="H991" s="89" t="n"/>
      <c r="I991" s="90">
        <f>IF($G991="","",IF($F991="",IFERROR(INDEX(Setup!$C$21:$C$60,MATCH("|"&amp;UPPER(TRIM($G991)),Setup!$Q$21:$Q$60,0)),"NO RATE"),IFERROR(INDEX(Setup!$C$21:$C$60,MATCH(UPPER(TRIM($F991))&amp;"|"&amp;UPPER(TRIM($G991)),Setup!$P$21:$P$60,0)),IFERROR(INDEX(Setup!$C$21:$C$60,MATCH(UPPER(TRIM($G991))&amp;"|"&amp;UPPER(TRIM($F991)),Setup!$P$21:$P$60,0)),"NO RATE"))))</f>
        <v/>
      </c>
      <c r="J991" s="91" t="n"/>
      <c r="K991" s="90">
        <f>IF(OR($G991="",$H991="",NOT(ISNUMBER($I991))),"",ROUND($H991*$I991*(1+IF($J991="",Setup!$B$16,$J991)),2))</f>
        <v/>
      </c>
      <c r="L991" s="90">
        <f>IF($K991="","",ROUND($K991*Setup!$B$13,2))</f>
        <v/>
      </c>
      <c r="M991" s="90">
        <f>IF($K991="","",$K991-$L991)</f>
        <v/>
      </c>
      <c r="N991" s="90">
        <f>IF(OR($M991="",$D991=""),"",ROUND($M991*IFERROR(IF(VLOOKUP($D991,Setup!$A$76:$C$87,3,FALSE)="",Setup!$B$14,VLOOKUP($D991,Setup!$A$76:$C$87,3,FALSE)),Setup!$B$14),2))</f>
        <v/>
      </c>
      <c r="O991" s="90">
        <f>IF(OR($M991="",$E991=""),"",ROUND($M991*IFERROR(IF(VLOOKUP($E991,Setup!$A$76:$C$87,3,FALSE)="",Setup!$B$15,VLOOKUP($E991,Setup!$A$76:$C$87,3,FALSE)),Setup!$B$15),2))</f>
        <v/>
      </c>
      <c r="P991" s="92" t="n"/>
      <c r="Q991" s="92" t="n"/>
      <c r="R991" s="92" t="n"/>
      <c r="S991" s="92" t="n"/>
      <c r="T991" s="92" t="n"/>
      <c r="U991" s="90">
        <f>IF($K991="","",SUM($R991:$T991))</f>
        <v/>
      </c>
      <c r="V991" s="90">
        <f>IF($K991="","",$M991-(N($N991)+N($O991)+IF($P991="",Setup!$B$17,$P991)+N($Q991))-N($U991))</f>
        <v/>
      </c>
      <c r="W991" s="87" t="n"/>
      <c r="X991" s="88" t="n"/>
      <c r="Z991" s="93">
        <f>IF($A991="","",DATE(YEAR($A991),MONTH($A991),1))</f>
        <v/>
      </c>
    </row>
    <row r="992">
      <c r="A992" s="94" t="n"/>
      <c r="B992" s="95" t="n"/>
      <c r="C992" s="95" t="n"/>
      <c r="D992" s="96" t="n"/>
      <c r="E992" s="96" t="n"/>
      <c r="F992" s="96" t="n"/>
      <c r="G992" s="96" t="n"/>
      <c r="H992" s="97" t="n"/>
      <c r="I992" s="90">
        <f>IF($G992="","",IF($F992="",IFERROR(INDEX(Setup!$C$21:$C$60,MATCH("|"&amp;UPPER(TRIM($G992)),Setup!$Q$21:$Q$60,0)),"NO RATE"),IFERROR(INDEX(Setup!$C$21:$C$60,MATCH(UPPER(TRIM($F992))&amp;"|"&amp;UPPER(TRIM($G992)),Setup!$P$21:$P$60,0)),IFERROR(INDEX(Setup!$C$21:$C$60,MATCH(UPPER(TRIM($G992))&amp;"|"&amp;UPPER(TRIM($F992)),Setup!$P$21:$P$60,0)),"NO RATE"))))</f>
        <v/>
      </c>
      <c r="J992" s="98" t="n"/>
      <c r="K992" s="90">
        <f>IF(OR($G992="",$H992="",NOT(ISNUMBER($I992))),"",ROUND($H992*$I992*(1+IF($J992="",Setup!$B$16,$J992)),2))</f>
        <v/>
      </c>
      <c r="L992" s="90">
        <f>IF($K992="","",ROUND($K992*Setup!$B$13,2))</f>
        <v/>
      </c>
      <c r="M992" s="90">
        <f>IF($K992="","",$K992-$L992)</f>
        <v/>
      </c>
      <c r="N992" s="90">
        <f>IF(OR($M992="",$D992=""),"",ROUND($M992*IFERROR(IF(VLOOKUP($D992,Setup!$A$76:$C$87,3,FALSE)="",Setup!$B$14,VLOOKUP($D992,Setup!$A$76:$C$87,3,FALSE)),Setup!$B$14),2))</f>
        <v/>
      </c>
      <c r="O992" s="90">
        <f>IF(OR($M992="",$E992=""),"",ROUND($M992*IFERROR(IF(VLOOKUP($E992,Setup!$A$76:$C$87,3,FALSE)="",Setup!$B$15,VLOOKUP($E992,Setup!$A$76:$C$87,3,FALSE)),Setup!$B$15),2))</f>
        <v/>
      </c>
      <c r="P992" s="99" t="n"/>
      <c r="Q992" s="99" t="n"/>
      <c r="R992" s="99" t="n"/>
      <c r="S992" s="99" t="n"/>
      <c r="T992" s="99" t="n"/>
      <c r="U992" s="90">
        <f>IF($K992="","",SUM($R992:$T992))</f>
        <v/>
      </c>
      <c r="V992" s="90">
        <f>IF($K992="","",$M992-(N($N992)+N($O992)+IF($P992="",Setup!$B$17,$P992)+N($Q992))-N($U992))</f>
        <v/>
      </c>
      <c r="W992" s="95" t="n"/>
      <c r="X992" s="96" t="n"/>
      <c r="Z992" s="93">
        <f>IF($A992="","",DATE(YEAR($A992),MONTH($A992),1))</f>
        <v/>
      </c>
    </row>
    <row r="993">
      <c r="A993" s="86" t="n"/>
      <c r="B993" s="87" t="n"/>
      <c r="C993" s="87" t="n"/>
      <c r="D993" s="88" t="n"/>
      <c r="E993" s="88" t="n"/>
      <c r="F993" s="88" t="n"/>
      <c r="G993" s="88" t="n"/>
      <c r="H993" s="89" t="n"/>
      <c r="I993" s="90">
        <f>IF($G993="","",IF($F993="",IFERROR(INDEX(Setup!$C$21:$C$60,MATCH("|"&amp;UPPER(TRIM($G993)),Setup!$Q$21:$Q$60,0)),"NO RATE"),IFERROR(INDEX(Setup!$C$21:$C$60,MATCH(UPPER(TRIM($F993))&amp;"|"&amp;UPPER(TRIM($G993)),Setup!$P$21:$P$60,0)),IFERROR(INDEX(Setup!$C$21:$C$60,MATCH(UPPER(TRIM($G993))&amp;"|"&amp;UPPER(TRIM($F993)),Setup!$P$21:$P$60,0)),"NO RATE"))))</f>
        <v/>
      </c>
      <c r="J993" s="91" t="n"/>
      <c r="K993" s="90">
        <f>IF(OR($G993="",$H993="",NOT(ISNUMBER($I993))),"",ROUND($H993*$I993*(1+IF($J993="",Setup!$B$16,$J993)),2))</f>
        <v/>
      </c>
      <c r="L993" s="90">
        <f>IF($K993="","",ROUND($K993*Setup!$B$13,2))</f>
        <v/>
      </c>
      <c r="M993" s="90">
        <f>IF($K993="","",$K993-$L993)</f>
        <v/>
      </c>
      <c r="N993" s="90">
        <f>IF(OR($M993="",$D993=""),"",ROUND($M993*IFERROR(IF(VLOOKUP($D993,Setup!$A$76:$C$87,3,FALSE)="",Setup!$B$14,VLOOKUP($D993,Setup!$A$76:$C$87,3,FALSE)),Setup!$B$14),2))</f>
        <v/>
      </c>
      <c r="O993" s="90">
        <f>IF(OR($M993="",$E993=""),"",ROUND($M993*IFERROR(IF(VLOOKUP($E993,Setup!$A$76:$C$87,3,FALSE)="",Setup!$B$15,VLOOKUP($E993,Setup!$A$76:$C$87,3,FALSE)),Setup!$B$15),2))</f>
        <v/>
      </c>
      <c r="P993" s="92" t="n"/>
      <c r="Q993" s="92" t="n"/>
      <c r="R993" s="92" t="n"/>
      <c r="S993" s="92" t="n"/>
      <c r="T993" s="92" t="n"/>
      <c r="U993" s="90">
        <f>IF($K993="","",SUM($R993:$T993))</f>
        <v/>
      </c>
      <c r="V993" s="90">
        <f>IF($K993="","",$M993-(N($N993)+N($O993)+IF($P993="",Setup!$B$17,$P993)+N($Q993))-N($U993))</f>
        <v/>
      </c>
      <c r="W993" s="87" t="n"/>
      <c r="X993" s="88" t="n"/>
      <c r="Z993" s="93">
        <f>IF($A993="","",DATE(YEAR($A993),MONTH($A993),1))</f>
        <v/>
      </c>
    </row>
    <row r="994">
      <c r="A994" s="94" t="n"/>
      <c r="B994" s="95" t="n"/>
      <c r="C994" s="95" t="n"/>
      <c r="D994" s="96" t="n"/>
      <c r="E994" s="96" t="n"/>
      <c r="F994" s="96" t="n"/>
      <c r="G994" s="96" t="n"/>
      <c r="H994" s="97" t="n"/>
      <c r="I994" s="90">
        <f>IF($G994="","",IF($F994="",IFERROR(INDEX(Setup!$C$21:$C$60,MATCH("|"&amp;UPPER(TRIM($G994)),Setup!$Q$21:$Q$60,0)),"NO RATE"),IFERROR(INDEX(Setup!$C$21:$C$60,MATCH(UPPER(TRIM($F994))&amp;"|"&amp;UPPER(TRIM($G994)),Setup!$P$21:$P$60,0)),IFERROR(INDEX(Setup!$C$21:$C$60,MATCH(UPPER(TRIM($G994))&amp;"|"&amp;UPPER(TRIM($F994)),Setup!$P$21:$P$60,0)),"NO RATE"))))</f>
        <v/>
      </c>
      <c r="J994" s="98" t="n"/>
      <c r="K994" s="90">
        <f>IF(OR($G994="",$H994="",NOT(ISNUMBER($I994))),"",ROUND($H994*$I994*(1+IF($J994="",Setup!$B$16,$J994)),2))</f>
        <v/>
      </c>
      <c r="L994" s="90">
        <f>IF($K994="","",ROUND($K994*Setup!$B$13,2))</f>
        <v/>
      </c>
      <c r="M994" s="90">
        <f>IF($K994="","",$K994-$L994)</f>
        <v/>
      </c>
      <c r="N994" s="90">
        <f>IF(OR($M994="",$D994=""),"",ROUND($M994*IFERROR(IF(VLOOKUP($D994,Setup!$A$76:$C$87,3,FALSE)="",Setup!$B$14,VLOOKUP($D994,Setup!$A$76:$C$87,3,FALSE)),Setup!$B$14),2))</f>
        <v/>
      </c>
      <c r="O994" s="90">
        <f>IF(OR($M994="",$E994=""),"",ROUND($M994*IFERROR(IF(VLOOKUP($E994,Setup!$A$76:$C$87,3,FALSE)="",Setup!$B$15,VLOOKUP($E994,Setup!$A$76:$C$87,3,FALSE)),Setup!$B$15),2))</f>
        <v/>
      </c>
      <c r="P994" s="99" t="n"/>
      <c r="Q994" s="99" t="n"/>
      <c r="R994" s="99" t="n"/>
      <c r="S994" s="99" t="n"/>
      <c r="T994" s="99" t="n"/>
      <c r="U994" s="90">
        <f>IF($K994="","",SUM($R994:$T994))</f>
        <v/>
      </c>
      <c r="V994" s="90">
        <f>IF($K994="","",$M994-(N($N994)+N($O994)+IF($P994="",Setup!$B$17,$P994)+N($Q994))-N($U994))</f>
        <v/>
      </c>
      <c r="W994" s="95" t="n"/>
      <c r="X994" s="96" t="n"/>
      <c r="Z994" s="93">
        <f>IF($A994="","",DATE(YEAR($A994),MONTH($A994),1))</f>
        <v/>
      </c>
    </row>
    <row r="995">
      <c r="A995" s="86" t="n"/>
      <c r="B995" s="87" t="n"/>
      <c r="C995" s="87" t="n"/>
      <c r="D995" s="88" t="n"/>
      <c r="E995" s="88" t="n"/>
      <c r="F995" s="88" t="n"/>
      <c r="G995" s="88" t="n"/>
      <c r="H995" s="89" t="n"/>
      <c r="I995" s="90">
        <f>IF($G995="","",IF($F995="",IFERROR(INDEX(Setup!$C$21:$C$60,MATCH("|"&amp;UPPER(TRIM($G995)),Setup!$Q$21:$Q$60,0)),"NO RATE"),IFERROR(INDEX(Setup!$C$21:$C$60,MATCH(UPPER(TRIM($F995))&amp;"|"&amp;UPPER(TRIM($G995)),Setup!$P$21:$P$60,0)),IFERROR(INDEX(Setup!$C$21:$C$60,MATCH(UPPER(TRIM($G995))&amp;"|"&amp;UPPER(TRIM($F995)),Setup!$P$21:$P$60,0)),"NO RATE"))))</f>
        <v/>
      </c>
      <c r="J995" s="91" t="n"/>
      <c r="K995" s="90">
        <f>IF(OR($G995="",$H995="",NOT(ISNUMBER($I995))),"",ROUND($H995*$I995*(1+IF($J995="",Setup!$B$16,$J995)),2))</f>
        <v/>
      </c>
      <c r="L995" s="90">
        <f>IF($K995="","",ROUND($K995*Setup!$B$13,2))</f>
        <v/>
      </c>
      <c r="M995" s="90">
        <f>IF($K995="","",$K995-$L995)</f>
        <v/>
      </c>
      <c r="N995" s="90">
        <f>IF(OR($M995="",$D995=""),"",ROUND($M995*IFERROR(IF(VLOOKUP($D995,Setup!$A$76:$C$87,3,FALSE)="",Setup!$B$14,VLOOKUP($D995,Setup!$A$76:$C$87,3,FALSE)),Setup!$B$14),2))</f>
        <v/>
      </c>
      <c r="O995" s="90">
        <f>IF(OR($M995="",$E995=""),"",ROUND($M995*IFERROR(IF(VLOOKUP($E995,Setup!$A$76:$C$87,3,FALSE)="",Setup!$B$15,VLOOKUP($E995,Setup!$A$76:$C$87,3,FALSE)),Setup!$B$15),2))</f>
        <v/>
      </c>
      <c r="P995" s="92" t="n"/>
      <c r="Q995" s="92" t="n"/>
      <c r="R995" s="92" t="n"/>
      <c r="S995" s="92" t="n"/>
      <c r="T995" s="92" t="n"/>
      <c r="U995" s="90">
        <f>IF($K995="","",SUM($R995:$T995))</f>
        <v/>
      </c>
      <c r="V995" s="90">
        <f>IF($K995="","",$M995-(N($N995)+N($O995)+IF($P995="",Setup!$B$17,$P995)+N($Q995))-N($U995))</f>
        <v/>
      </c>
      <c r="W995" s="87" t="n"/>
      <c r="X995" s="88" t="n"/>
      <c r="Z995" s="93">
        <f>IF($A995="","",DATE(YEAR($A995),MONTH($A995),1))</f>
        <v/>
      </c>
    </row>
    <row r="996">
      <c r="A996" s="94" t="n"/>
      <c r="B996" s="95" t="n"/>
      <c r="C996" s="95" t="n"/>
      <c r="D996" s="96" t="n"/>
      <c r="E996" s="96" t="n"/>
      <c r="F996" s="96" t="n"/>
      <c r="G996" s="96" t="n"/>
      <c r="H996" s="97" t="n"/>
      <c r="I996" s="90">
        <f>IF($G996="","",IF($F996="",IFERROR(INDEX(Setup!$C$21:$C$60,MATCH("|"&amp;UPPER(TRIM($G996)),Setup!$Q$21:$Q$60,0)),"NO RATE"),IFERROR(INDEX(Setup!$C$21:$C$60,MATCH(UPPER(TRIM($F996))&amp;"|"&amp;UPPER(TRIM($G996)),Setup!$P$21:$P$60,0)),IFERROR(INDEX(Setup!$C$21:$C$60,MATCH(UPPER(TRIM($G996))&amp;"|"&amp;UPPER(TRIM($F996)),Setup!$P$21:$P$60,0)),"NO RATE"))))</f>
        <v/>
      </c>
      <c r="J996" s="98" t="n"/>
      <c r="K996" s="90">
        <f>IF(OR($G996="",$H996="",NOT(ISNUMBER($I996))),"",ROUND($H996*$I996*(1+IF($J996="",Setup!$B$16,$J996)),2))</f>
        <v/>
      </c>
      <c r="L996" s="90">
        <f>IF($K996="","",ROUND($K996*Setup!$B$13,2))</f>
        <v/>
      </c>
      <c r="M996" s="90">
        <f>IF($K996="","",$K996-$L996)</f>
        <v/>
      </c>
      <c r="N996" s="90">
        <f>IF(OR($M996="",$D996=""),"",ROUND($M996*IFERROR(IF(VLOOKUP($D996,Setup!$A$76:$C$87,3,FALSE)="",Setup!$B$14,VLOOKUP($D996,Setup!$A$76:$C$87,3,FALSE)),Setup!$B$14),2))</f>
        <v/>
      </c>
      <c r="O996" s="90">
        <f>IF(OR($M996="",$E996=""),"",ROUND($M996*IFERROR(IF(VLOOKUP($E996,Setup!$A$76:$C$87,3,FALSE)="",Setup!$B$15,VLOOKUP($E996,Setup!$A$76:$C$87,3,FALSE)),Setup!$B$15),2))</f>
        <v/>
      </c>
      <c r="P996" s="99" t="n"/>
      <c r="Q996" s="99" t="n"/>
      <c r="R996" s="99" t="n"/>
      <c r="S996" s="99" t="n"/>
      <c r="T996" s="99" t="n"/>
      <c r="U996" s="90">
        <f>IF($K996="","",SUM($R996:$T996))</f>
        <v/>
      </c>
      <c r="V996" s="90">
        <f>IF($K996="","",$M996-(N($N996)+N($O996)+IF($P996="",Setup!$B$17,$P996)+N($Q996))-N($U996))</f>
        <v/>
      </c>
      <c r="W996" s="95" t="n"/>
      <c r="X996" s="96" t="n"/>
      <c r="Z996" s="93">
        <f>IF($A996="","",DATE(YEAR($A996),MONTH($A996),1))</f>
        <v/>
      </c>
    </row>
    <row r="997">
      <c r="A997" s="86" t="n"/>
      <c r="B997" s="87" t="n"/>
      <c r="C997" s="87" t="n"/>
      <c r="D997" s="88" t="n"/>
      <c r="E997" s="88" t="n"/>
      <c r="F997" s="88" t="n"/>
      <c r="G997" s="88" t="n"/>
      <c r="H997" s="89" t="n"/>
      <c r="I997" s="90">
        <f>IF($G997="","",IF($F997="",IFERROR(INDEX(Setup!$C$21:$C$60,MATCH("|"&amp;UPPER(TRIM($G997)),Setup!$Q$21:$Q$60,0)),"NO RATE"),IFERROR(INDEX(Setup!$C$21:$C$60,MATCH(UPPER(TRIM($F997))&amp;"|"&amp;UPPER(TRIM($G997)),Setup!$P$21:$P$60,0)),IFERROR(INDEX(Setup!$C$21:$C$60,MATCH(UPPER(TRIM($G997))&amp;"|"&amp;UPPER(TRIM($F997)),Setup!$P$21:$P$60,0)),"NO RATE"))))</f>
        <v/>
      </c>
      <c r="J997" s="91" t="n"/>
      <c r="K997" s="90">
        <f>IF(OR($G997="",$H997="",NOT(ISNUMBER($I997))),"",ROUND($H997*$I997*(1+IF($J997="",Setup!$B$16,$J997)),2))</f>
        <v/>
      </c>
      <c r="L997" s="90">
        <f>IF($K997="","",ROUND($K997*Setup!$B$13,2))</f>
        <v/>
      </c>
      <c r="M997" s="90">
        <f>IF($K997="","",$K997-$L997)</f>
        <v/>
      </c>
      <c r="N997" s="90">
        <f>IF(OR($M997="",$D997=""),"",ROUND($M997*IFERROR(IF(VLOOKUP($D997,Setup!$A$76:$C$87,3,FALSE)="",Setup!$B$14,VLOOKUP($D997,Setup!$A$76:$C$87,3,FALSE)),Setup!$B$14),2))</f>
        <v/>
      </c>
      <c r="O997" s="90">
        <f>IF(OR($M997="",$E997=""),"",ROUND($M997*IFERROR(IF(VLOOKUP($E997,Setup!$A$76:$C$87,3,FALSE)="",Setup!$B$15,VLOOKUP($E997,Setup!$A$76:$C$87,3,FALSE)),Setup!$B$15),2))</f>
        <v/>
      </c>
      <c r="P997" s="92" t="n"/>
      <c r="Q997" s="92" t="n"/>
      <c r="R997" s="92" t="n"/>
      <c r="S997" s="92" t="n"/>
      <c r="T997" s="92" t="n"/>
      <c r="U997" s="90">
        <f>IF($K997="","",SUM($R997:$T997))</f>
        <v/>
      </c>
      <c r="V997" s="90">
        <f>IF($K997="","",$M997-(N($N997)+N($O997)+IF($P997="",Setup!$B$17,$P997)+N($Q997))-N($U997))</f>
        <v/>
      </c>
      <c r="W997" s="87" t="n"/>
      <c r="X997" s="88" t="n"/>
      <c r="Z997" s="93">
        <f>IF($A997="","",DATE(YEAR($A997),MONTH($A997),1))</f>
        <v/>
      </c>
    </row>
    <row r="998">
      <c r="A998" s="94" t="n"/>
      <c r="B998" s="95" t="n"/>
      <c r="C998" s="95" t="n"/>
      <c r="D998" s="96" t="n"/>
      <c r="E998" s="96" t="n"/>
      <c r="F998" s="96" t="n"/>
      <c r="G998" s="96" t="n"/>
      <c r="H998" s="97" t="n"/>
      <c r="I998" s="90">
        <f>IF($G998="","",IF($F998="",IFERROR(INDEX(Setup!$C$21:$C$60,MATCH("|"&amp;UPPER(TRIM($G998)),Setup!$Q$21:$Q$60,0)),"NO RATE"),IFERROR(INDEX(Setup!$C$21:$C$60,MATCH(UPPER(TRIM($F998))&amp;"|"&amp;UPPER(TRIM($G998)),Setup!$P$21:$P$60,0)),IFERROR(INDEX(Setup!$C$21:$C$60,MATCH(UPPER(TRIM($G998))&amp;"|"&amp;UPPER(TRIM($F998)),Setup!$P$21:$P$60,0)),"NO RATE"))))</f>
        <v/>
      </c>
      <c r="J998" s="98" t="n"/>
      <c r="K998" s="90">
        <f>IF(OR($G998="",$H998="",NOT(ISNUMBER($I998))),"",ROUND($H998*$I998*(1+IF($J998="",Setup!$B$16,$J998)),2))</f>
        <v/>
      </c>
      <c r="L998" s="90">
        <f>IF($K998="","",ROUND($K998*Setup!$B$13,2))</f>
        <v/>
      </c>
      <c r="M998" s="90">
        <f>IF($K998="","",$K998-$L998)</f>
        <v/>
      </c>
      <c r="N998" s="90">
        <f>IF(OR($M998="",$D998=""),"",ROUND($M998*IFERROR(IF(VLOOKUP($D998,Setup!$A$76:$C$87,3,FALSE)="",Setup!$B$14,VLOOKUP($D998,Setup!$A$76:$C$87,3,FALSE)),Setup!$B$14),2))</f>
        <v/>
      </c>
      <c r="O998" s="90">
        <f>IF(OR($M998="",$E998=""),"",ROUND($M998*IFERROR(IF(VLOOKUP($E998,Setup!$A$76:$C$87,3,FALSE)="",Setup!$B$15,VLOOKUP($E998,Setup!$A$76:$C$87,3,FALSE)),Setup!$B$15),2))</f>
        <v/>
      </c>
      <c r="P998" s="99" t="n"/>
      <c r="Q998" s="99" t="n"/>
      <c r="R998" s="99" t="n"/>
      <c r="S998" s="99" t="n"/>
      <c r="T998" s="99" t="n"/>
      <c r="U998" s="90">
        <f>IF($K998="","",SUM($R998:$T998))</f>
        <v/>
      </c>
      <c r="V998" s="90">
        <f>IF($K998="","",$M998-(N($N998)+N($O998)+IF($P998="",Setup!$B$17,$P998)+N($Q998))-N($U998))</f>
        <v/>
      </c>
      <c r="W998" s="95" t="n"/>
      <c r="X998" s="96" t="n"/>
      <c r="Z998" s="93">
        <f>IF($A998="","",DATE(YEAR($A998),MONTH($A998),1))</f>
        <v/>
      </c>
    </row>
    <row r="999">
      <c r="A999" s="86" t="n"/>
      <c r="B999" s="87" t="n"/>
      <c r="C999" s="87" t="n"/>
      <c r="D999" s="88" t="n"/>
      <c r="E999" s="88" t="n"/>
      <c r="F999" s="88" t="n"/>
      <c r="G999" s="88" t="n"/>
      <c r="H999" s="89" t="n"/>
      <c r="I999" s="90">
        <f>IF($G999="","",IF($F999="",IFERROR(INDEX(Setup!$C$21:$C$60,MATCH("|"&amp;UPPER(TRIM($G999)),Setup!$Q$21:$Q$60,0)),"NO RATE"),IFERROR(INDEX(Setup!$C$21:$C$60,MATCH(UPPER(TRIM($F999))&amp;"|"&amp;UPPER(TRIM($G999)),Setup!$P$21:$P$60,0)),IFERROR(INDEX(Setup!$C$21:$C$60,MATCH(UPPER(TRIM($G999))&amp;"|"&amp;UPPER(TRIM($F999)),Setup!$P$21:$P$60,0)),"NO RATE"))))</f>
        <v/>
      </c>
      <c r="J999" s="91" t="n"/>
      <c r="K999" s="90">
        <f>IF(OR($G999="",$H999="",NOT(ISNUMBER($I999))),"",ROUND($H999*$I999*(1+IF($J999="",Setup!$B$16,$J999)),2))</f>
        <v/>
      </c>
      <c r="L999" s="90">
        <f>IF($K999="","",ROUND($K999*Setup!$B$13,2))</f>
        <v/>
      </c>
      <c r="M999" s="90">
        <f>IF($K999="","",$K999-$L999)</f>
        <v/>
      </c>
      <c r="N999" s="90">
        <f>IF(OR($M999="",$D999=""),"",ROUND($M999*IFERROR(IF(VLOOKUP($D999,Setup!$A$76:$C$87,3,FALSE)="",Setup!$B$14,VLOOKUP($D999,Setup!$A$76:$C$87,3,FALSE)),Setup!$B$14),2))</f>
        <v/>
      </c>
      <c r="O999" s="90">
        <f>IF(OR($M999="",$E999=""),"",ROUND($M999*IFERROR(IF(VLOOKUP($E999,Setup!$A$76:$C$87,3,FALSE)="",Setup!$B$15,VLOOKUP($E999,Setup!$A$76:$C$87,3,FALSE)),Setup!$B$15),2))</f>
        <v/>
      </c>
      <c r="P999" s="92" t="n"/>
      <c r="Q999" s="92" t="n"/>
      <c r="R999" s="92" t="n"/>
      <c r="S999" s="92" t="n"/>
      <c r="T999" s="92" t="n"/>
      <c r="U999" s="90">
        <f>IF($K999="","",SUM($R999:$T999))</f>
        <v/>
      </c>
      <c r="V999" s="90">
        <f>IF($K999="","",$M999-(N($N999)+N($O999)+IF($P999="",Setup!$B$17,$P999)+N($Q999))-N($U999))</f>
        <v/>
      </c>
      <c r="W999" s="87" t="n"/>
      <c r="X999" s="88" t="n"/>
      <c r="Z999" s="93">
        <f>IF($A999="","",DATE(YEAR($A999),MONTH($A999),1))</f>
        <v/>
      </c>
    </row>
    <row r="1000">
      <c r="A1000" s="94" t="n"/>
      <c r="B1000" s="95" t="n"/>
      <c r="C1000" s="95" t="n"/>
      <c r="D1000" s="96" t="n"/>
      <c r="E1000" s="96" t="n"/>
      <c r="F1000" s="96" t="n"/>
      <c r="G1000" s="96" t="n"/>
      <c r="H1000" s="97" t="n"/>
      <c r="I1000" s="90">
        <f>IF($G1000="","",IF($F1000="",IFERROR(INDEX(Setup!$C$21:$C$60,MATCH("|"&amp;UPPER(TRIM($G1000)),Setup!$Q$21:$Q$60,0)),"NO RATE"),IFERROR(INDEX(Setup!$C$21:$C$60,MATCH(UPPER(TRIM($F1000))&amp;"|"&amp;UPPER(TRIM($G1000)),Setup!$P$21:$P$60,0)),IFERROR(INDEX(Setup!$C$21:$C$60,MATCH(UPPER(TRIM($G1000))&amp;"|"&amp;UPPER(TRIM($F1000)),Setup!$P$21:$P$60,0)),"NO RATE"))))</f>
        <v/>
      </c>
      <c r="J1000" s="98" t="n"/>
      <c r="K1000" s="90">
        <f>IF(OR($G1000="",$H1000="",NOT(ISNUMBER($I1000))),"",ROUND($H1000*$I1000*(1+IF($J1000="",Setup!$B$16,$J1000)),2))</f>
        <v/>
      </c>
      <c r="L1000" s="90">
        <f>IF($K1000="","",ROUND($K1000*Setup!$B$13,2))</f>
        <v/>
      </c>
      <c r="M1000" s="90">
        <f>IF($K1000="","",$K1000-$L1000)</f>
        <v/>
      </c>
      <c r="N1000" s="90">
        <f>IF(OR($M1000="",$D1000=""),"",ROUND($M1000*IFERROR(IF(VLOOKUP($D1000,Setup!$A$76:$C$87,3,FALSE)="",Setup!$B$14,VLOOKUP($D1000,Setup!$A$76:$C$87,3,FALSE)),Setup!$B$14),2))</f>
        <v/>
      </c>
      <c r="O1000" s="90">
        <f>IF(OR($M1000="",$E1000=""),"",ROUND($M1000*IFERROR(IF(VLOOKUP($E1000,Setup!$A$76:$C$87,3,FALSE)="",Setup!$B$15,VLOOKUP($E1000,Setup!$A$76:$C$87,3,FALSE)),Setup!$B$15),2))</f>
        <v/>
      </c>
      <c r="P1000" s="99" t="n"/>
      <c r="Q1000" s="99" t="n"/>
      <c r="R1000" s="99" t="n"/>
      <c r="S1000" s="99" t="n"/>
      <c r="T1000" s="99" t="n"/>
      <c r="U1000" s="90">
        <f>IF($K1000="","",SUM($R1000:$T1000))</f>
        <v/>
      </c>
      <c r="V1000" s="90">
        <f>IF($K1000="","",$M1000-(N($N1000)+N($O1000)+IF($P1000="",Setup!$B$17,$P1000)+N($Q1000))-N($U1000))</f>
        <v/>
      </c>
      <c r="W1000" s="95" t="n"/>
      <c r="X1000" s="96" t="n"/>
      <c r="Z1000" s="93">
        <f>IF($A1000="","",DATE(YEAR($A1000),MONTH($A1000),1))</f>
        <v/>
      </c>
    </row>
    <row r="1001">
      <c r="A1001" s="86" t="n"/>
      <c r="B1001" s="87" t="n"/>
      <c r="C1001" s="87" t="n"/>
      <c r="D1001" s="88" t="n"/>
      <c r="E1001" s="88" t="n"/>
      <c r="F1001" s="88" t="n"/>
      <c r="G1001" s="88" t="n"/>
      <c r="H1001" s="89" t="n"/>
      <c r="I1001" s="90">
        <f>IF($G1001="","",IF($F1001="",IFERROR(INDEX(Setup!$C$21:$C$60,MATCH("|"&amp;UPPER(TRIM($G1001)),Setup!$Q$21:$Q$60,0)),"NO RATE"),IFERROR(INDEX(Setup!$C$21:$C$60,MATCH(UPPER(TRIM($F1001))&amp;"|"&amp;UPPER(TRIM($G1001)),Setup!$P$21:$P$60,0)),IFERROR(INDEX(Setup!$C$21:$C$60,MATCH(UPPER(TRIM($G1001))&amp;"|"&amp;UPPER(TRIM($F1001)),Setup!$P$21:$P$60,0)),"NO RATE"))))</f>
        <v/>
      </c>
      <c r="J1001" s="91" t="n"/>
      <c r="K1001" s="90">
        <f>IF(OR($G1001="",$H1001="",NOT(ISNUMBER($I1001))),"",ROUND($H1001*$I1001*(1+IF($J1001="",Setup!$B$16,$J1001)),2))</f>
        <v/>
      </c>
      <c r="L1001" s="90">
        <f>IF($K1001="","",ROUND($K1001*Setup!$B$13,2))</f>
        <v/>
      </c>
      <c r="M1001" s="90">
        <f>IF($K1001="","",$K1001-$L1001)</f>
        <v/>
      </c>
      <c r="N1001" s="90">
        <f>IF(OR($M1001="",$D1001=""),"",ROUND($M1001*IFERROR(IF(VLOOKUP($D1001,Setup!$A$76:$C$87,3,FALSE)="",Setup!$B$14,VLOOKUP($D1001,Setup!$A$76:$C$87,3,FALSE)),Setup!$B$14),2))</f>
        <v/>
      </c>
      <c r="O1001" s="90">
        <f>IF(OR($M1001="",$E1001=""),"",ROUND($M1001*IFERROR(IF(VLOOKUP($E1001,Setup!$A$76:$C$87,3,FALSE)="",Setup!$B$15,VLOOKUP($E1001,Setup!$A$76:$C$87,3,FALSE)),Setup!$B$15),2))</f>
        <v/>
      </c>
      <c r="P1001" s="92" t="n"/>
      <c r="Q1001" s="92" t="n"/>
      <c r="R1001" s="92" t="n"/>
      <c r="S1001" s="92" t="n"/>
      <c r="T1001" s="92" t="n"/>
      <c r="U1001" s="90">
        <f>IF($K1001="","",SUM($R1001:$T1001))</f>
        <v/>
      </c>
      <c r="V1001" s="90">
        <f>IF($K1001="","",$M1001-(N($N1001)+N($O1001)+IF($P1001="",Setup!$B$17,$P1001)+N($Q1001))-N($U1001))</f>
        <v/>
      </c>
      <c r="W1001" s="87" t="n"/>
      <c r="X1001" s="88" t="n"/>
      <c r="Z1001" s="93">
        <f>IF($A1001="","",DATE(YEAR($A1001),MONTH($A1001),1))</f>
        <v/>
      </c>
    </row>
    <row r="1002">
      <c r="A1002" s="94" t="n"/>
      <c r="B1002" s="95" t="n"/>
      <c r="C1002" s="95" t="n"/>
      <c r="D1002" s="96" t="n"/>
      <c r="E1002" s="96" t="n"/>
      <c r="F1002" s="96" t="n"/>
      <c r="G1002" s="96" t="n"/>
      <c r="H1002" s="97" t="n"/>
      <c r="I1002" s="90">
        <f>IF($G1002="","",IF($F1002="",IFERROR(INDEX(Setup!$C$21:$C$60,MATCH("|"&amp;UPPER(TRIM($G1002)),Setup!$Q$21:$Q$60,0)),"NO RATE"),IFERROR(INDEX(Setup!$C$21:$C$60,MATCH(UPPER(TRIM($F1002))&amp;"|"&amp;UPPER(TRIM($G1002)),Setup!$P$21:$P$60,0)),IFERROR(INDEX(Setup!$C$21:$C$60,MATCH(UPPER(TRIM($G1002))&amp;"|"&amp;UPPER(TRIM($F1002)),Setup!$P$21:$P$60,0)),"NO RATE"))))</f>
        <v/>
      </c>
      <c r="J1002" s="98" t="n"/>
      <c r="K1002" s="90">
        <f>IF(OR($G1002="",$H1002="",NOT(ISNUMBER($I1002))),"",ROUND($H1002*$I1002*(1+IF($J1002="",Setup!$B$16,$J1002)),2))</f>
        <v/>
      </c>
      <c r="L1002" s="90">
        <f>IF($K1002="","",ROUND($K1002*Setup!$B$13,2))</f>
        <v/>
      </c>
      <c r="M1002" s="90">
        <f>IF($K1002="","",$K1002-$L1002)</f>
        <v/>
      </c>
      <c r="N1002" s="90">
        <f>IF(OR($M1002="",$D1002=""),"",ROUND($M1002*IFERROR(IF(VLOOKUP($D1002,Setup!$A$76:$C$87,3,FALSE)="",Setup!$B$14,VLOOKUP($D1002,Setup!$A$76:$C$87,3,FALSE)),Setup!$B$14),2))</f>
        <v/>
      </c>
      <c r="O1002" s="90">
        <f>IF(OR($M1002="",$E1002=""),"",ROUND($M1002*IFERROR(IF(VLOOKUP($E1002,Setup!$A$76:$C$87,3,FALSE)="",Setup!$B$15,VLOOKUP($E1002,Setup!$A$76:$C$87,3,FALSE)),Setup!$B$15),2))</f>
        <v/>
      </c>
      <c r="P1002" s="99" t="n"/>
      <c r="Q1002" s="99" t="n"/>
      <c r="R1002" s="99" t="n"/>
      <c r="S1002" s="99" t="n"/>
      <c r="T1002" s="99" t="n"/>
      <c r="U1002" s="90">
        <f>IF($K1002="","",SUM($R1002:$T1002))</f>
        <v/>
      </c>
      <c r="V1002" s="90">
        <f>IF($K1002="","",$M1002-(N($N1002)+N($O1002)+IF($P1002="",Setup!$B$17,$P1002)+N($Q1002))-N($U1002))</f>
        <v/>
      </c>
      <c r="W1002" s="95" t="n"/>
      <c r="X1002" s="96" t="n"/>
      <c r="Z1002" s="93">
        <f>IF($A1002="","",DATE(YEAR($A1002),MONTH($A1002),1))</f>
        <v/>
      </c>
    </row>
    <row r="1003">
      <c r="A1003" s="86" t="n"/>
      <c r="B1003" s="87" t="n"/>
      <c r="C1003" s="87" t="n"/>
      <c r="D1003" s="88" t="n"/>
      <c r="E1003" s="88" t="n"/>
      <c r="F1003" s="88" t="n"/>
      <c r="G1003" s="88" t="n"/>
      <c r="H1003" s="89" t="n"/>
      <c r="I1003" s="90">
        <f>IF($G1003="","",IF($F1003="",IFERROR(INDEX(Setup!$C$21:$C$60,MATCH("|"&amp;UPPER(TRIM($G1003)),Setup!$Q$21:$Q$60,0)),"NO RATE"),IFERROR(INDEX(Setup!$C$21:$C$60,MATCH(UPPER(TRIM($F1003))&amp;"|"&amp;UPPER(TRIM($G1003)),Setup!$P$21:$P$60,0)),IFERROR(INDEX(Setup!$C$21:$C$60,MATCH(UPPER(TRIM($G1003))&amp;"|"&amp;UPPER(TRIM($F1003)),Setup!$P$21:$P$60,0)),"NO RATE"))))</f>
        <v/>
      </c>
      <c r="J1003" s="91" t="n"/>
      <c r="K1003" s="90">
        <f>IF(OR($G1003="",$H1003="",NOT(ISNUMBER($I1003))),"",ROUND($H1003*$I1003*(1+IF($J1003="",Setup!$B$16,$J1003)),2))</f>
        <v/>
      </c>
      <c r="L1003" s="90">
        <f>IF($K1003="","",ROUND($K1003*Setup!$B$13,2))</f>
        <v/>
      </c>
      <c r="M1003" s="90">
        <f>IF($K1003="","",$K1003-$L1003)</f>
        <v/>
      </c>
      <c r="N1003" s="90">
        <f>IF(OR($M1003="",$D1003=""),"",ROUND($M1003*IFERROR(IF(VLOOKUP($D1003,Setup!$A$76:$C$87,3,FALSE)="",Setup!$B$14,VLOOKUP($D1003,Setup!$A$76:$C$87,3,FALSE)),Setup!$B$14),2))</f>
        <v/>
      </c>
      <c r="O1003" s="90">
        <f>IF(OR($M1003="",$E1003=""),"",ROUND($M1003*IFERROR(IF(VLOOKUP($E1003,Setup!$A$76:$C$87,3,FALSE)="",Setup!$B$15,VLOOKUP($E1003,Setup!$A$76:$C$87,3,FALSE)),Setup!$B$15),2))</f>
        <v/>
      </c>
      <c r="P1003" s="92" t="n"/>
      <c r="Q1003" s="92" t="n"/>
      <c r="R1003" s="92" t="n"/>
      <c r="S1003" s="92" t="n"/>
      <c r="T1003" s="92" t="n"/>
      <c r="U1003" s="90">
        <f>IF($K1003="","",SUM($R1003:$T1003))</f>
        <v/>
      </c>
      <c r="V1003" s="90">
        <f>IF($K1003="","",$M1003-(N($N1003)+N($O1003)+IF($P1003="",Setup!$B$17,$P1003)+N($Q1003))-N($U1003))</f>
        <v/>
      </c>
      <c r="W1003" s="87" t="n"/>
      <c r="X1003" s="88" t="n"/>
      <c r="Z1003" s="93">
        <f>IF($A1003="","",DATE(YEAR($A1003),MONTH($A1003),1))</f>
        <v/>
      </c>
    </row>
    <row r="1004">
      <c r="A1004" s="94" t="n"/>
      <c r="B1004" s="95" t="n"/>
      <c r="C1004" s="95" t="n"/>
      <c r="D1004" s="96" t="n"/>
      <c r="E1004" s="96" t="n"/>
      <c r="F1004" s="96" t="n"/>
      <c r="G1004" s="96" t="n"/>
      <c r="H1004" s="97" t="n"/>
      <c r="I1004" s="90">
        <f>IF($G1004="","",IF($F1004="",IFERROR(INDEX(Setup!$C$21:$C$60,MATCH("|"&amp;UPPER(TRIM($G1004)),Setup!$Q$21:$Q$60,0)),"NO RATE"),IFERROR(INDEX(Setup!$C$21:$C$60,MATCH(UPPER(TRIM($F1004))&amp;"|"&amp;UPPER(TRIM($G1004)),Setup!$P$21:$P$60,0)),IFERROR(INDEX(Setup!$C$21:$C$60,MATCH(UPPER(TRIM($G1004))&amp;"|"&amp;UPPER(TRIM($F1004)),Setup!$P$21:$P$60,0)),"NO RATE"))))</f>
        <v/>
      </c>
      <c r="J1004" s="98" t="n"/>
      <c r="K1004" s="90">
        <f>IF(OR($G1004="",$H1004="",NOT(ISNUMBER($I1004))),"",ROUND($H1004*$I1004*(1+IF($J1004="",Setup!$B$16,$J1004)),2))</f>
        <v/>
      </c>
      <c r="L1004" s="90">
        <f>IF($K1004="","",ROUND($K1004*Setup!$B$13,2))</f>
        <v/>
      </c>
      <c r="M1004" s="90">
        <f>IF($K1004="","",$K1004-$L1004)</f>
        <v/>
      </c>
      <c r="N1004" s="90">
        <f>IF(OR($M1004="",$D1004=""),"",ROUND($M1004*IFERROR(IF(VLOOKUP($D1004,Setup!$A$76:$C$87,3,FALSE)="",Setup!$B$14,VLOOKUP($D1004,Setup!$A$76:$C$87,3,FALSE)),Setup!$B$14),2))</f>
        <v/>
      </c>
      <c r="O1004" s="90">
        <f>IF(OR($M1004="",$E1004=""),"",ROUND($M1004*IFERROR(IF(VLOOKUP($E1004,Setup!$A$76:$C$87,3,FALSE)="",Setup!$B$15,VLOOKUP($E1004,Setup!$A$76:$C$87,3,FALSE)),Setup!$B$15),2))</f>
        <v/>
      </c>
      <c r="P1004" s="99" t="n"/>
      <c r="Q1004" s="99" t="n"/>
      <c r="R1004" s="99" t="n"/>
      <c r="S1004" s="99" t="n"/>
      <c r="T1004" s="99" t="n"/>
      <c r="U1004" s="90">
        <f>IF($K1004="","",SUM($R1004:$T1004))</f>
        <v/>
      </c>
      <c r="V1004" s="90">
        <f>IF($K1004="","",$M1004-(N($N1004)+N($O1004)+IF($P1004="",Setup!$B$17,$P1004)+N($Q1004))-N($U1004))</f>
        <v/>
      </c>
      <c r="W1004" s="95" t="n"/>
      <c r="X1004" s="96" t="n"/>
      <c r="Z1004" s="93">
        <f>IF($A1004="","",DATE(YEAR($A1004),MONTH($A1004),1))</f>
        <v/>
      </c>
    </row>
  </sheetData>
  <autoFilter ref="A4:X1004"/>
  <mergeCells count="2">
    <mergeCell ref="A2:X2"/>
    <mergeCell ref="A1:X1"/>
  </mergeCells>
  <conditionalFormatting sqref="A5:A1004">
    <cfRule type="expression" priority="1" dxfId="7">
      <formula>AND($A5&lt;&gt;"",$A5&gt;TODAY())</formula>
    </cfRule>
  </conditionalFormatting>
  <conditionalFormatting sqref="V5:V1004">
    <cfRule type="cellIs" priority="2" operator="lessThan" dxfId="8">
      <formula>0</formula>
    </cfRule>
    <cfRule type="cellIs" priority="3" operator="greaterThanOrEqual" dxfId="9">
      <formula>0</formula>
    </cfRule>
  </conditionalFormatting>
  <conditionalFormatting sqref="I5:I1004">
    <cfRule type="expression" priority="4" dxfId="8">
      <formula>$I5="NO RATE"</formula>
    </cfRule>
  </conditionalFormatting>
  <conditionalFormatting sqref="W5:W1004">
    <cfRule type="expression" priority="5" dxfId="10">
      <formula>$W5="Unpaid"</formula>
    </cfRule>
    <cfRule type="expression" priority="6" dxfId="11">
      <formula>$W5="Paid"</formula>
    </cfRule>
  </conditionalFormatting>
  <dataValidations count="8">
    <dataValidation sqref="C5:C1004" showDropDown="0" showInputMessage="1" showErrorMessage="1" allowBlank="1" errorTitle="Truck" error="Pick a truck from the Setup sheet." promptTitle="Truck" prompt="Pick a truck from the Setup sheet." type="list" errorStyle="warning">
      <formula1>=Setup!$A$63:$A$72</formula1>
    </dataValidation>
    <dataValidation sqref="D5:D1004" showDropDown="0" showInputMessage="1" showErrorMessage="1" allowBlank="1" errorTitle="Driver" error="Pick a driver from Setup → CREW." promptTitle="Driver" prompt="Pick a driver from Setup → CREW." type="list" errorStyle="warning">
      <formula1>=Setup!$A$76:$A$87</formula1>
    </dataValidation>
    <dataValidation sqref="E5:E1004" showDropDown="0" showInputMessage="1" showErrorMessage="1" allowBlank="1" errorTitle="Helper" error="Pick a helper from Setup → CREW." promptTitle="Helper" prompt="Pick a helper from Setup → CREW." type="list" errorStyle="warning">
      <formula1>=Setup!$A$76:$A$87</formula1>
    </dataValidation>
    <dataValidation sqref="F5:F1004" showDropDown="0" showInputMessage="1" showErrorMessage="1" allowBlank="1" errorTitle="Source" error="Pick an origin from Setup → SOURCE list." promptTitle="Source" prompt="Pick an origin from Setup → SOURCE list." type="list" errorStyle="warning">
      <formula1>=Setup!$C$168:$C$171</formula1>
    </dataValidation>
    <dataValidation sqref="G5:G1004" showDropDown="0" showInputMessage="1" showErrorMessage="1" allowBlank="1" errorTitle="Destination" error="Pick a destination from the Setup rate table." promptTitle="Destination" prompt="Pick a destination from the Setup rate table." type="list" errorStyle="warning">
      <formula1>=Setup!$A$145:$A$164</formula1>
    </dataValidation>
    <dataValidation sqref="W5:W1004" showDropDown="0" showInputMessage="1" showErrorMessage="1" allowBlank="1" errorTitle="Billing" error="Paid / Unpaid / Partial" promptTitle="Billing" prompt="Paid / Unpaid / Partial" type="list" errorStyle="warning">
      <formula1>"Paid,Unpaid,Partial"</formula1>
    </dataValidation>
    <dataValidation sqref="H5:H1004" showDropDown="0" showInputMessage="1" showErrorMessage="1" allowBlank="1" errorTitle="Tons" error="Enter the weight in tons (numbers only)." promptTitle="Tons" prompt="Enter the weight in tons (numbers only)." type="decimal" errorStyle="warning" operator="greaterThanOrEqual">
      <formula1>0</formula1>
    </dataValidation>
    <dataValidation sqref="J5:J1004" showDropDown="0" showInputMessage="1" showErrorMessage="1" allowBlank="1" errorTitle="Fuel surcharge" error="Enter a rate such as 18% or 0.18." promptTitle="Fuel surcharge" prompt="Enter a rate such as 18% or 0.18." type="decimal" errorStyle="warning" operator="greaterThanOrEqual">
      <formula1>0</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B7791F"/>
    <outlinePr summaryBelow="1" summaryRight="1"/>
    <pageSetUpPr fitToPage="1"/>
  </sheetPr>
  <dimension ref="A1:N1004"/>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38" customWidth="1" min="3" max="3"/>
    <col width="12" customWidth="1" min="4" max="4"/>
    <col width="20" customWidth="1" min="5" max="5"/>
    <col width="13" customWidth="1" min="6" max="6"/>
    <col width="15" customWidth="1" min="7" max="7"/>
    <col width="11" customWidth="1" min="8" max="8"/>
    <col width="15" customWidth="1" min="9" max="9"/>
    <col hidden="1" width="1" customWidth="1" min="10" max="10"/>
    <col hidden="1" width="6" customWidth="1" min="11" max="11"/>
    <col hidden="1" width="6" customWidth="1" min="12" max="12"/>
    <col hidden="1" width="6" customWidth="1" min="13" max="13"/>
    <col hidden="1" width="6" customWidth="1" min="14" max="14"/>
  </cols>
  <sheetData>
    <row r="1" ht="40" customHeight="1">
      <c r="A1" s="78" t="inlineStr">
        <is>
          <t>🚚  EXPENSES  —  one row per receipt  (fuel, repairs, toll, loans, rent, cash advances)</t>
        </is>
      </c>
    </row>
    <row r="2" ht="20" customHeight="1">
      <c r="A2" s="79" t="inlineStr">
        <is>
          <t>Do NOT log crew pay here — the Payroll sheet computes it from Trips. Cash advances and payroll releases are logged here so the Payroll sheet can clear them.</t>
        </is>
      </c>
    </row>
    <row r="3" ht="18" customHeight="1">
      <c r="A3" s="80" t="inlineStr">
        <is>
          <t>ALL-TIME TOTALS  →</t>
        </is>
      </c>
      <c r="B3" s="81">
        <f>COUNT(5:1004)&amp;" entries logged"</f>
        <v/>
      </c>
      <c r="F3" s="83">
        <f>SUM(F5:F1004)</f>
        <v/>
      </c>
    </row>
    <row r="4" ht="38" customHeight="1">
      <c r="A4" s="100" t="inlineStr">
        <is>
          <t>DATE</t>
        </is>
      </c>
      <c r="B4" s="100" t="inlineStr">
        <is>
          <t>EXPENSE TYPE</t>
        </is>
      </c>
      <c r="C4" s="100" t="inlineStr">
        <is>
          <t>DESCRIPTION</t>
        </is>
      </c>
      <c r="D4" s="100" t="inlineStr">
        <is>
          <t>TRUCK</t>
        </is>
      </c>
      <c r="E4" s="100" t="inlineStr">
        <is>
          <t>PAID TO /
LENDER</t>
        </is>
      </c>
      <c r="F4" s="100" t="inlineStr">
        <is>
          <t>AMOUNT</t>
        </is>
      </c>
      <c r="G4" s="100" t="inlineStr">
        <is>
          <t>PAYMENT
METHOD</t>
        </is>
      </c>
      <c r="H4" s="100" t="inlineStr">
        <is>
          <t>RECEIPT?</t>
        </is>
      </c>
      <c r="I4" s="85" t="inlineStr">
        <is>
          <t>COST GROUP</t>
        </is>
      </c>
    </row>
    <row r="5">
      <c r="A5" s="86" t="n">
        <v>46239</v>
      </c>
      <c r="B5" s="88" t="inlineStr">
        <is>
          <t>Repairs &amp; Maintenance</t>
        </is>
      </c>
      <c r="C5" s="88" t="inlineStr">
        <is>
          <t>PMS + brake adjustment</t>
        </is>
      </c>
      <c r="D5" s="87" t="inlineStr">
        <is>
          <t>TRUCK 1</t>
        </is>
      </c>
      <c r="E5" s="88" t="inlineStr">
        <is>
          <t>Casa Mechanic</t>
        </is>
      </c>
      <c r="F5" s="92" t="n">
        <v>8500</v>
      </c>
      <c r="G5" s="87" t="inlineStr">
        <is>
          <t>Cash</t>
        </is>
      </c>
      <c r="H5" s="87" t="inlineStr">
        <is>
          <t>Y</t>
        </is>
      </c>
      <c r="I5" s="101">
        <f>IF($B5="","",IF(COUNTIF(Setup!$A$99:$A$128,$B5)&gt;0,IF(INDEX(Setup!$B$99:$B$128,MATCH($B5,Setup!$A$99:$A$128,0))="","Overhead",INDEX(Setup!$B$99:$B$128,MATCH($B5,Setup!$A$99:$A$128,0))),IF(ISNUMBER(SEARCH("advance",$B5))+ISNUMBER(SEARCH("payout",$B5))+ISNUMBER(SEARCH("pay out",$B5))+ISNUMBER(SEARCH("reimburs",$B5))&gt;0,"Transfer",IF(ISNUMBER(SEARCH("loan",$B5))+ISNUMBER(SEARCH("amort",$B5))+ISNUMBER(SEARCH("installment",$B5))+ISNUMBER(SEARCH("instalment",$B5))&gt;0,"Financing",IF(ISNUMBER(SEARCH("draw",$B5))+ISNUMBER(SEARCH("owner",$B5))+ISNUMBER(SEARCH("asset",$B5))+ISNUMBER(SEARCH("capital",$B5))&gt;0,"Other",IF(ISNUMBER(SEARCH("fuel",$B5))+ISNUMBER(SEARCH("diesel",$B5))+ISNUMBER(SEARCH("krudo",$B5))+ISNUMBER(SEARCH("gasolina",$B5))+ISNUMBER(SEARCH("toll",$B5))+ISNUMBER(SEARCH("parking",$B5))+ISNUMBER(SEARCH("repair",$B5))+ISNUMBER(SEARCH("maintenance",$B5))+ISNUMBER(SEARCH("tire",$B5))+ISNUMBER(SEARCH("tyre",$B5))+ISNUMBER(SEARCH("battery",$B5))+ISNUMBER(SEARCH("oil",$B5))+ISNUMBER(SEARCH("filter",$B5))+ISNUMBER(SEARCH("spare",$B5))+ISNUMBER(SEARCH("insurance",$B5))+ISNUMBER(SEARCH("lto",$B5))+ISNUMBER(SEARCH("registration",$B5))+ISNUMBER(SEARCH("emission",$B5))+ISNUMBER(SEARCH("wash",$B5))+ISNUMBER(SEARCH("weigh",$B5))+ISNUMBER(SEARCH("tarp",$B5))&gt;0,"Vehicle",IF(ISNUMBER(SEARCH("rent",$B5))+ISNUMBER(SEARCH("upa",$B5))+ISNUMBER(SEARCH("salary",$B5))+ISNUMBER(SEARCH("sweldo",$B5))+ISNUMBER(SEARCH("wage",$B5))+ISNUMBER(SEARCH("electric",$B5))+ISNUMBER(SEARCH("kuryente",$B5))+ISNUMBER(SEARCH("water",$B5))+ISNUMBER(SEARCH("tubig",$B5))+ISNUMBER(SEARCH("internet",$B5))+ISNUMBER(SEARCH("pldt",$B5))+ISNUMBER(SEARCH("meralco",$B5))+ISNUMBER(SEARCH("supplies",$B5))+ISNUMBER(SEARCH("office",$B5))+ISNUMBER(SEARCH("professional",$B5))+ISNUMBER(SEARCH("accountant",$B5))+ISNUMBER(SEARCH("lawyer",$B5))+ISNUMBER(SEARCH("broker",$B5))+ISNUMBER(SEARCH("bank",$B5))+ISNUMBER(SEARCH("charge",$B5))+ISNUMBER(SEARCH("permit",$B5))+ISNUMBER(SEARCH("bir",$B5))+ISNUMBER(SEARCH("ltfrb",$B5))+ISNUMBER(SEARCH("misc",$B5))+ISNUMBER(SEARCH("fee",$B5))&gt;0,"Overhead","Overhead")))))))</f>
        <v/>
      </c>
      <c r="J5">
        <f>IF($A5="","",DATE(YEAR($A5),MONTH($A5),1))</f>
        <v/>
      </c>
      <c r="K5">
        <f>IF($B5="","",IF(COUNTIF(Setup!$A$99:$A$128,$B5)&gt;0,0,1))</f>
        <v/>
      </c>
      <c r="L5">
        <f>IF($B5="","",IF(ISNUMBER(SEARCH("advance",$B5)),"ADV",IF(OR(ISNUMBER(SEARCH("payout",$B5)),ISNUMBER(SEARCH("pay out",$B5)),ISNUMBER(SEARCH("release",$B5))),"PAY","")))</f>
        <v/>
      </c>
      <c r="M5">
        <f>IF($B5="","",IF(ISNUMBER(SEARCH("bulk",$B5)),0,IF(ISNUMBER(SEARCH("fuel",$B5))+ISNUMBER(SEARCH("diesel",$B5))+ISNUMBER(SEARCH("krudo",$B5))+ISNUMBER(SEARCH("gasolina",$B5))&gt;0,1,0)))</f>
        <v/>
      </c>
      <c r="N5">
        <f>IF($B5="","",IF(ISNUMBER(SEARCH("fuel",$B5))+ISNUMBER(SEARCH("diesel",$B5))+ISNUMBER(SEARCH("krudo",$B5))+ISNUMBER(SEARCH("gasolina",$B5))&gt;0,1,0))</f>
        <v/>
      </c>
    </row>
    <row r="6">
      <c r="A6" s="94" t="n">
        <v>46246</v>
      </c>
      <c r="B6" s="96" t="inlineStr">
        <is>
          <t>Insurance</t>
        </is>
      </c>
      <c r="C6" s="96" t="inlineStr">
        <is>
          <t>Comprehensive premium (quarterly)</t>
        </is>
      </c>
      <c r="D6" s="95" t="inlineStr">
        <is>
          <t>TRUCK 1</t>
        </is>
      </c>
      <c r="E6" s="96" t="inlineStr">
        <is>
          <t>Fortune Insurance</t>
        </is>
      </c>
      <c r="F6" s="99" t="n">
        <v>18500</v>
      </c>
      <c r="G6" s="95" t="inlineStr">
        <is>
          <t>Bank Transfer</t>
        </is>
      </c>
      <c r="H6" s="95" t="inlineStr">
        <is>
          <t>Y</t>
        </is>
      </c>
      <c r="I6" s="101">
        <f>IF($B6="","",IF(COUNTIF(Setup!$A$99:$A$128,$B6)&gt;0,IF(INDEX(Setup!$B$99:$B$128,MATCH($B6,Setup!$A$99:$A$128,0))="","Overhead",INDEX(Setup!$B$99:$B$128,MATCH($B6,Setup!$A$99:$A$128,0))),IF(ISNUMBER(SEARCH("advance",$B6))+ISNUMBER(SEARCH("payout",$B6))+ISNUMBER(SEARCH("pay out",$B6))+ISNUMBER(SEARCH("reimburs",$B6))&gt;0,"Transfer",IF(ISNUMBER(SEARCH("loan",$B6))+ISNUMBER(SEARCH("amort",$B6))+ISNUMBER(SEARCH("installment",$B6))+ISNUMBER(SEARCH("instalment",$B6))&gt;0,"Financing",IF(ISNUMBER(SEARCH("draw",$B6))+ISNUMBER(SEARCH("owner",$B6))+ISNUMBER(SEARCH("asset",$B6))+ISNUMBER(SEARCH("capital",$B6))&gt;0,"Other",IF(ISNUMBER(SEARCH("fuel",$B6))+ISNUMBER(SEARCH("diesel",$B6))+ISNUMBER(SEARCH("krudo",$B6))+ISNUMBER(SEARCH("gasolina",$B6))+ISNUMBER(SEARCH("toll",$B6))+ISNUMBER(SEARCH("parking",$B6))+ISNUMBER(SEARCH("repair",$B6))+ISNUMBER(SEARCH("maintenance",$B6))+ISNUMBER(SEARCH("tire",$B6))+ISNUMBER(SEARCH("tyre",$B6))+ISNUMBER(SEARCH("battery",$B6))+ISNUMBER(SEARCH("oil",$B6))+ISNUMBER(SEARCH("filter",$B6))+ISNUMBER(SEARCH("spare",$B6))+ISNUMBER(SEARCH("insurance",$B6))+ISNUMBER(SEARCH("lto",$B6))+ISNUMBER(SEARCH("registration",$B6))+ISNUMBER(SEARCH("emission",$B6))+ISNUMBER(SEARCH("wash",$B6))+ISNUMBER(SEARCH("weigh",$B6))+ISNUMBER(SEARCH("tarp",$B6))&gt;0,"Vehicle",IF(ISNUMBER(SEARCH("rent",$B6))+ISNUMBER(SEARCH("upa",$B6))+ISNUMBER(SEARCH("salary",$B6))+ISNUMBER(SEARCH("sweldo",$B6))+ISNUMBER(SEARCH("wage",$B6))+ISNUMBER(SEARCH("electric",$B6))+ISNUMBER(SEARCH("kuryente",$B6))+ISNUMBER(SEARCH("water",$B6))+ISNUMBER(SEARCH("tubig",$B6))+ISNUMBER(SEARCH("internet",$B6))+ISNUMBER(SEARCH("pldt",$B6))+ISNUMBER(SEARCH("meralco",$B6))+ISNUMBER(SEARCH("supplies",$B6))+ISNUMBER(SEARCH("office",$B6))+ISNUMBER(SEARCH("professional",$B6))+ISNUMBER(SEARCH("accountant",$B6))+ISNUMBER(SEARCH("lawyer",$B6))+ISNUMBER(SEARCH("broker",$B6))+ISNUMBER(SEARCH("bank",$B6))+ISNUMBER(SEARCH("charge",$B6))+ISNUMBER(SEARCH("permit",$B6))+ISNUMBER(SEARCH("bir",$B6))+ISNUMBER(SEARCH("ltfrb",$B6))+ISNUMBER(SEARCH("misc",$B6))+ISNUMBER(SEARCH("fee",$B6))&gt;0,"Overhead","Overhead")))))))</f>
        <v/>
      </c>
      <c r="J6">
        <f>IF($A6="","",DATE(YEAR($A6),MONTH($A6),1))</f>
        <v/>
      </c>
      <c r="K6">
        <f>IF($B6="","",IF(COUNTIF(Setup!$A$99:$A$128,$B6)&gt;0,0,1))</f>
        <v/>
      </c>
      <c r="L6">
        <f>IF($B6="","",IF(ISNUMBER(SEARCH("advance",$B6)),"ADV",IF(OR(ISNUMBER(SEARCH("payout",$B6)),ISNUMBER(SEARCH("pay out",$B6)),ISNUMBER(SEARCH("release",$B6))),"PAY","")))</f>
        <v/>
      </c>
      <c r="M6">
        <f>IF($B6="","",IF(ISNUMBER(SEARCH("bulk",$B6)),0,IF(ISNUMBER(SEARCH("fuel",$B6))+ISNUMBER(SEARCH("diesel",$B6))+ISNUMBER(SEARCH("krudo",$B6))+ISNUMBER(SEARCH("gasolina",$B6))&gt;0,1,0)))</f>
        <v/>
      </c>
      <c r="N6">
        <f>IF($B6="","",IF(ISNUMBER(SEARCH("fuel",$B6))+ISNUMBER(SEARCH("diesel",$B6))+ISNUMBER(SEARCH("krudo",$B6))+ISNUMBER(SEARCH("gasolina",$B6))&gt;0,1,0))</f>
        <v/>
      </c>
    </row>
    <row r="7">
      <c r="A7" s="86" t="n">
        <v>46265</v>
      </c>
      <c r="B7" s="88" t="inlineStr">
        <is>
          <t>Loan Payment</t>
        </is>
      </c>
      <c r="C7" s="88" t="inlineStr">
        <is>
          <t>August amortisation</t>
        </is>
      </c>
      <c r="D7" s="87" t="inlineStr">
        <is>
          <t>TRUCK 1</t>
        </is>
      </c>
      <c r="E7" s="88" t="inlineStr">
        <is>
          <t>BDO Leasing</t>
        </is>
      </c>
      <c r="F7" s="92" t="n">
        <v>32000</v>
      </c>
      <c r="G7" s="87" t="inlineStr">
        <is>
          <t>Bank Transfer</t>
        </is>
      </c>
      <c r="H7" s="87" t="inlineStr">
        <is>
          <t>Y</t>
        </is>
      </c>
      <c r="I7" s="101">
        <f>IF($B7="","",IF(COUNTIF(Setup!$A$99:$A$128,$B7)&gt;0,IF(INDEX(Setup!$B$99:$B$128,MATCH($B7,Setup!$A$99:$A$128,0))="","Overhead",INDEX(Setup!$B$99:$B$128,MATCH($B7,Setup!$A$99:$A$128,0))),IF(ISNUMBER(SEARCH("advance",$B7))+ISNUMBER(SEARCH("payout",$B7))+ISNUMBER(SEARCH("pay out",$B7))+ISNUMBER(SEARCH("reimburs",$B7))&gt;0,"Transfer",IF(ISNUMBER(SEARCH("loan",$B7))+ISNUMBER(SEARCH("amort",$B7))+ISNUMBER(SEARCH("installment",$B7))+ISNUMBER(SEARCH("instalment",$B7))&gt;0,"Financing",IF(ISNUMBER(SEARCH("draw",$B7))+ISNUMBER(SEARCH("owner",$B7))+ISNUMBER(SEARCH("asset",$B7))+ISNUMBER(SEARCH("capital",$B7))&gt;0,"Other",IF(ISNUMBER(SEARCH("fuel",$B7))+ISNUMBER(SEARCH("diesel",$B7))+ISNUMBER(SEARCH("krudo",$B7))+ISNUMBER(SEARCH("gasolina",$B7))+ISNUMBER(SEARCH("toll",$B7))+ISNUMBER(SEARCH("parking",$B7))+ISNUMBER(SEARCH("repair",$B7))+ISNUMBER(SEARCH("maintenance",$B7))+ISNUMBER(SEARCH("tire",$B7))+ISNUMBER(SEARCH("tyre",$B7))+ISNUMBER(SEARCH("battery",$B7))+ISNUMBER(SEARCH("oil",$B7))+ISNUMBER(SEARCH("filter",$B7))+ISNUMBER(SEARCH("spare",$B7))+ISNUMBER(SEARCH("insurance",$B7))+ISNUMBER(SEARCH("lto",$B7))+ISNUMBER(SEARCH("registration",$B7))+ISNUMBER(SEARCH("emission",$B7))+ISNUMBER(SEARCH("wash",$B7))+ISNUMBER(SEARCH("weigh",$B7))+ISNUMBER(SEARCH("tarp",$B7))&gt;0,"Vehicle",IF(ISNUMBER(SEARCH("rent",$B7))+ISNUMBER(SEARCH("upa",$B7))+ISNUMBER(SEARCH("salary",$B7))+ISNUMBER(SEARCH("sweldo",$B7))+ISNUMBER(SEARCH("wage",$B7))+ISNUMBER(SEARCH("electric",$B7))+ISNUMBER(SEARCH("kuryente",$B7))+ISNUMBER(SEARCH("water",$B7))+ISNUMBER(SEARCH("tubig",$B7))+ISNUMBER(SEARCH("internet",$B7))+ISNUMBER(SEARCH("pldt",$B7))+ISNUMBER(SEARCH("meralco",$B7))+ISNUMBER(SEARCH("supplies",$B7))+ISNUMBER(SEARCH("office",$B7))+ISNUMBER(SEARCH("professional",$B7))+ISNUMBER(SEARCH("accountant",$B7))+ISNUMBER(SEARCH("lawyer",$B7))+ISNUMBER(SEARCH("broker",$B7))+ISNUMBER(SEARCH("bank",$B7))+ISNUMBER(SEARCH("charge",$B7))+ISNUMBER(SEARCH("permit",$B7))+ISNUMBER(SEARCH("bir",$B7))+ISNUMBER(SEARCH("ltfrb",$B7))+ISNUMBER(SEARCH("misc",$B7))+ISNUMBER(SEARCH("fee",$B7))&gt;0,"Overhead","Overhead")))))))</f>
        <v/>
      </c>
      <c r="J7">
        <f>IF($A7="","",DATE(YEAR($A7),MONTH($A7),1))</f>
        <v/>
      </c>
      <c r="K7">
        <f>IF($B7="","",IF(COUNTIF(Setup!$A$99:$A$128,$B7)&gt;0,0,1))</f>
        <v/>
      </c>
      <c r="L7">
        <f>IF($B7="","",IF(ISNUMBER(SEARCH("advance",$B7)),"ADV",IF(OR(ISNUMBER(SEARCH("payout",$B7)),ISNUMBER(SEARCH("pay out",$B7)),ISNUMBER(SEARCH("release",$B7))),"PAY","")))</f>
        <v/>
      </c>
      <c r="M7">
        <f>IF($B7="","",IF(ISNUMBER(SEARCH("bulk",$B7)),0,IF(ISNUMBER(SEARCH("fuel",$B7))+ISNUMBER(SEARCH("diesel",$B7))+ISNUMBER(SEARCH("krudo",$B7))+ISNUMBER(SEARCH("gasolina",$B7))&gt;0,1,0)))</f>
        <v/>
      </c>
      <c r="N7">
        <f>IF($B7="","",IF(ISNUMBER(SEARCH("fuel",$B7))+ISNUMBER(SEARCH("diesel",$B7))+ISNUMBER(SEARCH("krudo",$B7))+ISNUMBER(SEARCH("gasolina",$B7))&gt;0,1,0))</f>
        <v/>
      </c>
    </row>
    <row r="8">
      <c r="A8" s="94" t="n">
        <v>46265</v>
      </c>
      <c r="B8" s="96" t="inlineStr">
        <is>
          <t>Loan Payment</t>
        </is>
      </c>
      <c r="C8" s="96" t="inlineStr">
        <is>
          <t>August amortisation</t>
        </is>
      </c>
      <c r="D8" s="95" t="inlineStr">
        <is>
          <t>TRUCK 1</t>
        </is>
      </c>
      <c r="E8" s="96" t="inlineStr">
        <is>
          <t>Security Bank</t>
        </is>
      </c>
      <c r="F8" s="99" t="n">
        <v>18500</v>
      </c>
      <c r="G8" s="95" t="inlineStr">
        <is>
          <t>Bank Transfer</t>
        </is>
      </c>
      <c r="H8" s="95" t="inlineStr">
        <is>
          <t>Y</t>
        </is>
      </c>
      <c r="I8" s="101">
        <f>IF($B8="","",IF(COUNTIF(Setup!$A$99:$A$128,$B8)&gt;0,IF(INDEX(Setup!$B$99:$B$128,MATCH($B8,Setup!$A$99:$A$128,0))="","Overhead",INDEX(Setup!$B$99:$B$128,MATCH($B8,Setup!$A$99:$A$128,0))),IF(ISNUMBER(SEARCH("advance",$B8))+ISNUMBER(SEARCH("payout",$B8))+ISNUMBER(SEARCH("pay out",$B8))+ISNUMBER(SEARCH("reimburs",$B8))&gt;0,"Transfer",IF(ISNUMBER(SEARCH("loan",$B8))+ISNUMBER(SEARCH("amort",$B8))+ISNUMBER(SEARCH("installment",$B8))+ISNUMBER(SEARCH("instalment",$B8))&gt;0,"Financing",IF(ISNUMBER(SEARCH("draw",$B8))+ISNUMBER(SEARCH("owner",$B8))+ISNUMBER(SEARCH("asset",$B8))+ISNUMBER(SEARCH("capital",$B8))&gt;0,"Other",IF(ISNUMBER(SEARCH("fuel",$B8))+ISNUMBER(SEARCH("diesel",$B8))+ISNUMBER(SEARCH("krudo",$B8))+ISNUMBER(SEARCH("gasolina",$B8))+ISNUMBER(SEARCH("toll",$B8))+ISNUMBER(SEARCH("parking",$B8))+ISNUMBER(SEARCH("repair",$B8))+ISNUMBER(SEARCH("maintenance",$B8))+ISNUMBER(SEARCH("tire",$B8))+ISNUMBER(SEARCH("tyre",$B8))+ISNUMBER(SEARCH("battery",$B8))+ISNUMBER(SEARCH("oil",$B8))+ISNUMBER(SEARCH("filter",$B8))+ISNUMBER(SEARCH("spare",$B8))+ISNUMBER(SEARCH("insurance",$B8))+ISNUMBER(SEARCH("lto",$B8))+ISNUMBER(SEARCH("registration",$B8))+ISNUMBER(SEARCH("emission",$B8))+ISNUMBER(SEARCH("wash",$B8))+ISNUMBER(SEARCH("weigh",$B8))+ISNUMBER(SEARCH("tarp",$B8))&gt;0,"Vehicle",IF(ISNUMBER(SEARCH("rent",$B8))+ISNUMBER(SEARCH("upa",$B8))+ISNUMBER(SEARCH("salary",$B8))+ISNUMBER(SEARCH("sweldo",$B8))+ISNUMBER(SEARCH("wage",$B8))+ISNUMBER(SEARCH("electric",$B8))+ISNUMBER(SEARCH("kuryente",$B8))+ISNUMBER(SEARCH("water",$B8))+ISNUMBER(SEARCH("tubig",$B8))+ISNUMBER(SEARCH("internet",$B8))+ISNUMBER(SEARCH("pldt",$B8))+ISNUMBER(SEARCH("meralco",$B8))+ISNUMBER(SEARCH("supplies",$B8))+ISNUMBER(SEARCH("office",$B8))+ISNUMBER(SEARCH("professional",$B8))+ISNUMBER(SEARCH("accountant",$B8))+ISNUMBER(SEARCH("lawyer",$B8))+ISNUMBER(SEARCH("broker",$B8))+ISNUMBER(SEARCH("bank",$B8))+ISNUMBER(SEARCH("charge",$B8))+ISNUMBER(SEARCH("permit",$B8))+ISNUMBER(SEARCH("bir",$B8))+ISNUMBER(SEARCH("ltfrb",$B8))+ISNUMBER(SEARCH("misc",$B8))+ISNUMBER(SEARCH("fee",$B8))&gt;0,"Overhead","Overhead")))))))</f>
        <v/>
      </c>
      <c r="J8">
        <f>IF($A8="","",DATE(YEAR($A8),MONTH($A8),1))</f>
        <v/>
      </c>
      <c r="K8">
        <f>IF($B8="","",IF(COUNTIF(Setup!$A$99:$A$128,$B8)&gt;0,0,1))</f>
        <v/>
      </c>
      <c r="L8">
        <f>IF($B8="","",IF(ISNUMBER(SEARCH("advance",$B8)),"ADV",IF(OR(ISNUMBER(SEARCH("payout",$B8)),ISNUMBER(SEARCH("pay out",$B8)),ISNUMBER(SEARCH("release",$B8))),"PAY","")))</f>
        <v/>
      </c>
      <c r="M8">
        <f>IF($B8="","",IF(ISNUMBER(SEARCH("bulk",$B8)),0,IF(ISNUMBER(SEARCH("fuel",$B8))+ISNUMBER(SEARCH("diesel",$B8))+ISNUMBER(SEARCH("krudo",$B8))+ISNUMBER(SEARCH("gasolina",$B8))&gt;0,1,0)))</f>
        <v/>
      </c>
      <c r="N8">
        <f>IF($B8="","",IF(ISNUMBER(SEARCH("fuel",$B8))+ISNUMBER(SEARCH("diesel",$B8))+ISNUMBER(SEARCH("krudo",$B8))+ISNUMBER(SEARCH("gasolina",$B8))&gt;0,1,0))</f>
        <v/>
      </c>
    </row>
    <row r="9">
      <c r="A9" s="86" t="n">
        <v>46265</v>
      </c>
      <c r="B9" s="88" t="inlineStr">
        <is>
          <t>Loan Payment</t>
        </is>
      </c>
      <c r="C9" s="88" t="inlineStr">
        <is>
          <t>August amortisation</t>
        </is>
      </c>
      <c r="D9" s="87" t="inlineStr">
        <is>
          <t>TRUCK 1</t>
        </is>
      </c>
      <c r="E9" s="88" t="inlineStr">
        <is>
          <t>Private Lender</t>
        </is>
      </c>
      <c r="F9" s="92" t="n">
        <v>12500</v>
      </c>
      <c r="G9" s="87" t="inlineStr">
        <is>
          <t>GCash</t>
        </is>
      </c>
      <c r="H9" s="87" t="inlineStr">
        <is>
          <t>N</t>
        </is>
      </c>
      <c r="I9" s="101">
        <f>IF($B9="","",IF(COUNTIF(Setup!$A$99:$A$128,$B9)&gt;0,IF(INDEX(Setup!$B$99:$B$128,MATCH($B9,Setup!$A$99:$A$128,0))="","Overhead",INDEX(Setup!$B$99:$B$128,MATCH($B9,Setup!$A$99:$A$128,0))),IF(ISNUMBER(SEARCH("advance",$B9))+ISNUMBER(SEARCH("payout",$B9))+ISNUMBER(SEARCH("pay out",$B9))+ISNUMBER(SEARCH("reimburs",$B9))&gt;0,"Transfer",IF(ISNUMBER(SEARCH("loan",$B9))+ISNUMBER(SEARCH("amort",$B9))+ISNUMBER(SEARCH("installment",$B9))+ISNUMBER(SEARCH("instalment",$B9))&gt;0,"Financing",IF(ISNUMBER(SEARCH("draw",$B9))+ISNUMBER(SEARCH("owner",$B9))+ISNUMBER(SEARCH("asset",$B9))+ISNUMBER(SEARCH("capital",$B9))&gt;0,"Other",IF(ISNUMBER(SEARCH("fuel",$B9))+ISNUMBER(SEARCH("diesel",$B9))+ISNUMBER(SEARCH("krudo",$B9))+ISNUMBER(SEARCH("gasolina",$B9))+ISNUMBER(SEARCH("toll",$B9))+ISNUMBER(SEARCH("parking",$B9))+ISNUMBER(SEARCH("repair",$B9))+ISNUMBER(SEARCH("maintenance",$B9))+ISNUMBER(SEARCH("tire",$B9))+ISNUMBER(SEARCH("tyre",$B9))+ISNUMBER(SEARCH("battery",$B9))+ISNUMBER(SEARCH("oil",$B9))+ISNUMBER(SEARCH("filter",$B9))+ISNUMBER(SEARCH("spare",$B9))+ISNUMBER(SEARCH("insurance",$B9))+ISNUMBER(SEARCH("lto",$B9))+ISNUMBER(SEARCH("registration",$B9))+ISNUMBER(SEARCH("emission",$B9))+ISNUMBER(SEARCH("wash",$B9))+ISNUMBER(SEARCH("weigh",$B9))+ISNUMBER(SEARCH("tarp",$B9))&gt;0,"Vehicle",IF(ISNUMBER(SEARCH("rent",$B9))+ISNUMBER(SEARCH("upa",$B9))+ISNUMBER(SEARCH("salary",$B9))+ISNUMBER(SEARCH("sweldo",$B9))+ISNUMBER(SEARCH("wage",$B9))+ISNUMBER(SEARCH("electric",$B9))+ISNUMBER(SEARCH("kuryente",$B9))+ISNUMBER(SEARCH("water",$B9))+ISNUMBER(SEARCH("tubig",$B9))+ISNUMBER(SEARCH("internet",$B9))+ISNUMBER(SEARCH("pldt",$B9))+ISNUMBER(SEARCH("meralco",$B9))+ISNUMBER(SEARCH("supplies",$B9))+ISNUMBER(SEARCH("office",$B9))+ISNUMBER(SEARCH("professional",$B9))+ISNUMBER(SEARCH("accountant",$B9))+ISNUMBER(SEARCH("lawyer",$B9))+ISNUMBER(SEARCH("broker",$B9))+ISNUMBER(SEARCH("bank",$B9))+ISNUMBER(SEARCH("charge",$B9))+ISNUMBER(SEARCH("permit",$B9))+ISNUMBER(SEARCH("bir",$B9))+ISNUMBER(SEARCH("ltfrb",$B9))+ISNUMBER(SEARCH("misc",$B9))+ISNUMBER(SEARCH("fee",$B9))&gt;0,"Overhead","Overhead")))))))</f>
        <v/>
      </c>
      <c r="J9">
        <f>IF($A9="","",DATE(YEAR($A9),MONTH($A9),1))</f>
        <v/>
      </c>
      <c r="K9">
        <f>IF($B9="","",IF(COUNTIF(Setup!$A$99:$A$128,$B9)&gt;0,0,1))</f>
        <v/>
      </c>
      <c r="L9">
        <f>IF($B9="","",IF(ISNUMBER(SEARCH("advance",$B9)),"ADV",IF(OR(ISNUMBER(SEARCH("payout",$B9)),ISNUMBER(SEARCH("pay out",$B9)),ISNUMBER(SEARCH("release",$B9))),"PAY","")))</f>
        <v/>
      </c>
      <c r="M9">
        <f>IF($B9="","",IF(ISNUMBER(SEARCH("bulk",$B9)),0,IF(ISNUMBER(SEARCH("fuel",$B9))+ISNUMBER(SEARCH("diesel",$B9))+ISNUMBER(SEARCH("krudo",$B9))+ISNUMBER(SEARCH("gasolina",$B9))&gt;0,1,0)))</f>
        <v/>
      </c>
      <c r="N9">
        <f>IF($B9="","",IF(ISNUMBER(SEARCH("fuel",$B9))+ISNUMBER(SEARCH("diesel",$B9))+ISNUMBER(SEARCH("krudo",$B9))+ISNUMBER(SEARCH("gasolina",$B9))&gt;0,1,0))</f>
        <v/>
      </c>
    </row>
    <row r="10">
      <c r="A10" s="94" t="n">
        <v>46265</v>
      </c>
      <c r="B10" s="96" t="inlineStr">
        <is>
          <t>Rent</t>
        </is>
      </c>
      <c r="C10" s="96" t="inlineStr">
        <is>
          <t>Yard rent</t>
        </is>
      </c>
      <c r="D10" s="95" t="inlineStr"/>
      <c r="E10" s="96" t="inlineStr">
        <is>
          <t>Mrs. Lim</t>
        </is>
      </c>
      <c r="F10" s="99" t="n">
        <v>5000</v>
      </c>
      <c r="G10" s="95" t="inlineStr">
        <is>
          <t>Cash</t>
        </is>
      </c>
      <c r="H10" s="95" t="inlineStr">
        <is>
          <t>N</t>
        </is>
      </c>
      <c r="I10" s="101">
        <f>IF($B10="","",IF(COUNTIF(Setup!$A$99:$A$128,$B10)&gt;0,IF(INDEX(Setup!$B$99:$B$128,MATCH($B10,Setup!$A$99:$A$128,0))="","Overhead",INDEX(Setup!$B$99:$B$128,MATCH($B10,Setup!$A$99:$A$128,0))),IF(ISNUMBER(SEARCH("advance",$B10))+ISNUMBER(SEARCH("payout",$B10))+ISNUMBER(SEARCH("pay out",$B10))+ISNUMBER(SEARCH("reimburs",$B10))&gt;0,"Transfer",IF(ISNUMBER(SEARCH("loan",$B10))+ISNUMBER(SEARCH("amort",$B10))+ISNUMBER(SEARCH("installment",$B10))+ISNUMBER(SEARCH("instalment",$B10))&gt;0,"Financing",IF(ISNUMBER(SEARCH("draw",$B10))+ISNUMBER(SEARCH("owner",$B10))+ISNUMBER(SEARCH("asset",$B10))+ISNUMBER(SEARCH("capital",$B10))&gt;0,"Other",IF(ISNUMBER(SEARCH("fuel",$B10))+ISNUMBER(SEARCH("diesel",$B10))+ISNUMBER(SEARCH("krudo",$B10))+ISNUMBER(SEARCH("gasolina",$B10))+ISNUMBER(SEARCH("toll",$B10))+ISNUMBER(SEARCH("parking",$B10))+ISNUMBER(SEARCH("repair",$B10))+ISNUMBER(SEARCH("maintenance",$B10))+ISNUMBER(SEARCH("tire",$B10))+ISNUMBER(SEARCH("tyre",$B10))+ISNUMBER(SEARCH("battery",$B10))+ISNUMBER(SEARCH("oil",$B10))+ISNUMBER(SEARCH("filter",$B10))+ISNUMBER(SEARCH("spare",$B10))+ISNUMBER(SEARCH("insurance",$B10))+ISNUMBER(SEARCH("lto",$B10))+ISNUMBER(SEARCH("registration",$B10))+ISNUMBER(SEARCH("emission",$B10))+ISNUMBER(SEARCH("wash",$B10))+ISNUMBER(SEARCH("weigh",$B10))+ISNUMBER(SEARCH("tarp",$B10))&gt;0,"Vehicle",IF(ISNUMBER(SEARCH("rent",$B10))+ISNUMBER(SEARCH("upa",$B10))+ISNUMBER(SEARCH("salary",$B10))+ISNUMBER(SEARCH("sweldo",$B10))+ISNUMBER(SEARCH("wage",$B10))+ISNUMBER(SEARCH("electric",$B10))+ISNUMBER(SEARCH("kuryente",$B10))+ISNUMBER(SEARCH("water",$B10))+ISNUMBER(SEARCH("tubig",$B10))+ISNUMBER(SEARCH("internet",$B10))+ISNUMBER(SEARCH("pldt",$B10))+ISNUMBER(SEARCH("meralco",$B10))+ISNUMBER(SEARCH("supplies",$B10))+ISNUMBER(SEARCH("office",$B10))+ISNUMBER(SEARCH("professional",$B10))+ISNUMBER(SEARCH("accountant",$B10))+ISNUMBER(SEARCH("lawyer",$B10))+ISNUMBER(SEARCH("broker",$B10))+ISNUMBER(SEARCH("bank",$B10))+ISNUMBER(SEARCH("charge",$B10))+ISNUMBER(SEARCH("permit",$B10))+ISNUMBER(SEARCH("bir",$B10))+ISNUMBER(SEARCH("ltfrb",$B10))+ISNUMBER(SEARCH("misc",$B10))+ISNUMBER(SEARCH("fee",$B10))&gt;0,"Overhead","Overhead")))))))</f>
        <v/>
      </c>
      <c r="J10">
        <f>IF($A10="","",DATE(YEAR($A10),MONTH($A10),1))</f>
        <v/>
      </c>
      <c r="K10">
        <f>IF($B10="","",IF(COUNTIF(Setup!$A$99:$A$128,$B10)&gt;0,0,1))</f>
        <v/>
      </c>
      <c r="L10">
        <f>IF($B10="","",IF(ISNUMBER(SEARCH("advance",$B10)),"ADV",IF(OR(ISNUMBER(SEARCH("payout",$B10)),ISNUMBER(SEARCH("pay out",$B10)),ISNUMBER(SEARCH("release",$B10))),"PAY","")))</f>
        <v/>
      </c>
      <c r="M10">
        <f>IF($B10="","",IF(ISNUMBER(SEARCH("bulk",$B10)),0,IF(ISNUMBER(SEARCH("fuel",$B10))+ISNUMBER(SEARCH("diesel",$B10))+ISNUMBER(SEARCH("krudo",$B10))+ISNUMBER(SEARCH("gasolina",$B10))&gt;0,1,0)))</f>
        <v/>
      </c>
      <c r="N10">
        <f>IF($B10="","",IF(ISNUMBER(SEARCH("fuel",$B10))+ISNUMBER(SEARCH("diesel",$B10))+ISNUMBER(SEARCH("krudo",$B10))+ISNUMBER(SEARCH("gasolina",$B10))&gt;0,1,0))</f>
        <v/>
      </c>
    </row>
    <row r="11">
      <c r="A11" s="86" t="n">
        <v>46265</v>
      </c>
      <c r="B11" s="88" t="inlineStr">
        <is>
          <t>Payroll Payout</t>
        </is>
      </c>
      <c r="C11" s="88" t="inlineStr">
        <is>
          <t>August release</t>
        </is>
      </c>
      <c r="D11" s="87" t="inlineStr"/>
      <c r="E11" s="88" t="inlineStr">
        <is>
          <t>R. Dela Cruz</t>
        </is>
      </c>
      <c r="F11" s="92" t="n">
        <v>13000</v>
      </c>
      <c r="G11" s="87" t="inlineStr">
        <is>
          <t>Cash</t>
        </is>
      </c>
      <c r="H11" s="87" t="inlineStr">
        <is>
          <t>N</t>
        </is>
      </c>
      <c r="I11" s="101">
        <f>IF($B11="","",IF(COUNTIF(Setup!$A$99:$A$128,$B11)&gt;0,IF(INDEX(Setup!$B$99:$B$128,MATCH($B11,Setup!$A$99:$A$128,0))="","Overhead",INDEX(Setup!$B$99:$B$128,MATCH($B11,Setup!$A$99:$A$128,0))),IF(ISNUMBER(SEARCH("advance",$B11))+ISNUMBER(SEARCH("payout",$B11))+ISNUMBER(SEARCH("pay out",$B11))+ISNUMBER(SEARCH("reimburs",$B11))&gt;0,"Transfer",IF(ISNUMBER(SEARCH("loan",$B11))+ISNUMBER(SEARCH("amort",$B11))+ISNUMBER(SEARCH("installment",$B11))+ISNUMBER(SEARCH("instalment",$B11))&gt;0,"Financing",IF(ISNUMBER(SEARCH("draw",$B11))+ISNUMBER(SEARCH("owner",$B11))+ISNUMBER(SEARCH("asset",$B11))+ISNUMBER(SEARCH("capital",$B11))&gt;0,"Other",IF(ISNUMBER(SEARCH("fuel",$B11))+ISNUMBER(SEARCH("diesel",$B11))+ISNUMBER(SEARCH("krudo",$B11))+ISNUMBER(SEARCH("gasolina",$B11))+ISNUMBER(SEARCH("toll",$B11))+ISNUMBER(SEARCH("parking",$B11))+ISNUMBER(SEARCH("repair",$B11))+ISNUMBER(SEARCH("maintenance",$B11))+ISNUMBER(SEARCH("tire",$B11))+ISNUMBER(SEARCH("tyre",$B11))+ISNUMBER(SEARCH("battery",$B11))+ISNUMBER(SEARCH("oil",$B11))+ISNUMBER(SEARCH("filter",$B11))+ISNUMBER(SEARCH("spare",$B11))+ISNUMBER(SEARCH("insurance",$B11))+ISNUMBER(SEARCH("lto",$B11))+ISNUMBER(SEARCH("registration",$B11))+ISNUMBER(SEARCH("emission",$B11))+ISNUMBER(SEARCH("wash",$B11))+ISNUMBER(SEARCH("weigh",$B11))+ISNUMBER(SEARCH("tarp",$B11))&gt;0,"Vehicle",IF(ISNUMBER(SEARCH("rent",$B11))+ISNUMBER(SEARCH("upa",$B11))+ISNUMBER(SEARCH("salary",$B11))+ISNUMBER(SEARCH("sweldo",$B11))+ISNUMBER(SEARCH("wage",$B11))+ISNUMBER(SEARCH("electric",$B11))+ISNUMBER(SEARCH("kuryente",$B11))+ISNUMBER(SEARCH("water",$B11))+ISNUMBER(SEARCH("tubig",$B11))+ISNUMBER(SEARCH("internet",$B11))+ISNUMBER(SEARCH("pldt",$B11))+ISNUMBER(SEARCH("meralco",$B11))+ISNUMBER(SEARCH("supplies",$B11))+ISNUMBER(SEARCH("office",$B11))+ISNUMBER(SEARCH("professional",$B11))+ISNUMBER(SEARCH("accountant",$B11))+ISNUMBER(SEARCH("lawyer",$B11))+ISNUMBER(SEARCH("broker",$B11))+ISNUMBER(SEARCH("bank",$B11))+ISNUMBER(SEARCH("charge",$B11))+ISNUMBER(SEARCH("permit",$B11))+ISNUMBER(SEARCH("bir",$B11))+ISNUMBER(SEARCH("ltfrb",$B11))+ISNUMBER(SEARCH("misc",$B11))+ISNUMBER(SEARCH("fee",$B11))&gt;0,"Overhead","Overhead")))))))</f>
        <v/>
      </c>
      <c r="J11">
        <f>IF($A11="","",DATE(YEAR($A11),MONTH($A11),1))</f>
        <v/>
      </c>
      <c r="K11">
        <f>IF($B11="","",IF(COUNTIF(Setup!$A$99:$A$128,$B11)&gt;0,0,1))</f>
        <v/>
      </c>
      <c r="L11">
        <f>IF($B11="","",IF(ISNUMBER(SEARCH("advance",$B11)),"ADV",IF(OR(ISNUMBER(SEARCH("payout",$B11)),ISNUMBER(SEARCH("pay out",$B11)),ISNUMBER(SEARCH("release",$B11))),"PAY","")))</f>
        <v/>
      </c>
      <c r="M11">
        <f>IF($B11="","",IF(ISNUMBER(SEARCH("bulk",$B11)),0,IF(ISNUMBER(SEARCH("fuel",$B11))+ISNUMBER(SEARCH("diesel",$B11))+ISNUMBER(SEARCH("krudo",$B11))+ISNUMBER(SEARCH("gasolina",$B11))&gt;0,1,0)))</f>
        <v/>
      </c>
      <c r="N11">
        <f>IF($B11="","",IF(ISNUMBER(SEARCH("fuel",$B11))+ISNUMBER(SEARCH("diesel",$B11))+ISNUMBER(SEARCH("krudo",$B11))+ISNUMBER(SEARCH("gasolina",$B11))&gt;0,1,0))</f>
        <v/>
      </c>
    </row>
    <row r="12">
      <c r="A12" s="94" t="n">
        <v>46265</v>
      </c>
      <c r="B12" s="96" t="inlineStr">
        <is>
          <t>Payroll Payout</t>
        </is>
      </c>
      <c r="C12" s="96" t="inlineStr">
        <is>
          <t>August release</t>
        </is>
      </c>
      <c r="D12" s="95" t="inlineStr"/>
      <c r="E12" s="96" t="inlineStr">
        <is>
          <t>M. Reyes</t>
        </is>
      </c>
      <c r="F12" s="99" t="n">
        <v>13000</v>
      </c>
      <c r="G12" s="95" t="inlineStr">
        <is>
          <t>Cash</t>
        </is>
      </c>
      <c r="H12" s="95" t="inlineStr">
        <is>
          <t>N</t>
        </is>
      </c>
      <c r="I12" s="101">
        <f>IF($B12="","",IF(COUNTIF(Setup!$A$99:$A$128,$B12)&gt;0,IF(INDEX(Setup!$B$99:$B$128,MATCH($B12,Setup!$A$99:$A$128,0))="","Overhead",INDEX(Setup!$B$99:$B$128,MATCH($B12,Setup!$A$99:$A$128,0))),IF(ISNUMBER(SEARCH("advance",$B12))+ISNUMBER(SEARCH("payout",$B12))+ISNUMBER(SEARCH("pay out",$B12))+ISNUMBER(SEARCH("reimburs",$B12))&gt;0,"Transfer",IF(ISNUMBER(SEARCH("loan",$B12))+ISNUMBER(SEARCH("amort",$B12))+ISNUMBER(SEARCH("installment",$B12))+ISNUMBER(SEARCH("instalment",$B12))&gt;0,"Financing",IF(ISNUMBER(SEARCH("draw",$B12))+ISNUMBER(SEARCH("owner",$B12))+ISNUMBER(SEARCH("asset",$B12))+ISNUMBER(SEARCH("capital",$B12))&gt;0,"Other",IF(ISNUMBER(SEARCH("fuel",$B12))+ISNUMBER(SEARCH("diesel",$B12))+ISNUMBER(SEARCH("krudo",$B12))+ISNUMBER(SEARCH("gasolina",$B12))+ISNUMBER(SEARCH("toll",$B12))+ISNUMBER(SEARCH("parking",$B12))+ISNUMBER(SEARCH("repair",$B12))+ISNUMBER(SEARCH("maintenance",$B12))+ISNUMBER(SEARCH("tire",$B12))+ISNUMBER(SEARCH("tyre",$B12))+ISNUMBER(SEARCH("battery",$B12))+ISNUMBER(SEARCH("oil",$B12))+ISNUMBER(SEARCH("filter",$B12))+ISNUMBER(SEARCH("spare",$B12))+ISNUMBER(SEARCH("insurance",$B12))+ISNUMBER(SEARCH("lto",$B12))+ISNUMBER(SEARCH("registration",$B12))+ISNUMBER(SEARCH("emission",$B12))+ISNUMBER(SEARCH("wash",$B12))+ISNUMBER(SEARCH("weigh",$B12))+ISNUMBER(SEARCH("tarp",$B12))&gt;0,"Vehicle",IF(ISNUMBER(SEARCH("rent",$B12))+ISNUMBER(SEARCH("upa",$B12))+ISNUMBER(SEARCH("salary",$B12))+ISNUMBER(SEARCH("sweldo",$B12))+ISNUMBER(SEARCH("wage",$B12))+ISNUMBER(SEARCH("electric",$B12))+ISNUMBER(SEARCH("kuryente",$B12))+ISNUMBER(SEARCH("water",$B12))+ISNUMBER(SEARCH("tubig",$B12))+ISNUMBER(SEARCH("internet",$B12))+ISNUMBER(SEARCH("pldt",$B12))+ISNUMBER(SEARCH("meralco",$B12))+ISNUMBER(SEARCH("supplies",$B12))+ISNUMBER(SEARCH("office",$B12))+ISNUMBER(SEARCH("professional",$B12))+ISNUMBER(SEARCH("accountant",$B12))+ISNUMBER(SEARCH("lawyer",$B12))+ISNUMBER(SEARCH("broker",$B12))+ISNUMBER(SEARCH("bank",$B12))+ISNUMBER(SEARCH("charge",$B12))+ISNUMBER(SEARCH("permit",$B12))+ISNUMBER(SEARCH("bir",$B12))+ISNUMBER(SEARCH("ltfrb",$B12))+ISNUMBER(SEARCH("misc",$B12))+ISNUMBER(SEARCH("fee",$B12))&gt;0,"Overhead","Overhead")))))))</f>
        <v/>
      </c>
      <c r="J12">
        <f>IF($A12="","",DATE(YEAR($A12),MONTH($A12),1))</f>
        <v/>
      </c>
      <c r="K12">
        <f>IF($B12="","",IF(COUNTIF(Setup!$A$99:$A$128,$B12)&gt;0,0,1))</f>
        <v/>
      </c>
      <c r="L12">
        <f>IF($B12="","",IF(ISNUMBER(SEARCH("advance",$B12)),"ADV",IF(OR(ISNUMBER(SEARCH("payout",$B12)),ISNUMBER(SEARCH("pay out",$B12)),ISNUMBER(SEARCH("release",$B12))),"PAY","")))</f>
        <v/>
      </c>
      <c r="M12">
        <f>IF($B12="","",IF(ISNUMBER(SEARCH("bulk",$B12)),0,IF(ISNUMBER(SEARCH("fuel",$B12))+ISNUMBER(SEARCH("diesel",$B12))+ISNUMBER(SEARCH("krudo",$B12))+ISNUMBER(SEARCH("gasolina",$B12))&gt;0,1,0)))</f>
        <v/>
      </c>
      <c r="N12">
        <f>IF($B12="","",IF(ISNUMBER(SEARCH("fuel",$B12))+ISNUMBER(SEARCH("diesel",$B12))+ISNUMBER(SEARCH("krudo",$B12))+ISNUMBER(SEARCH("gasolina",$B12))&gt;0,1,0))</f>
        <v/>
      </c>
    </row>
    <row r="13">
      <c r="A13" s="86" t="n">
        <v>46269</v>
      </c>
      <c r="B13" s="88" t="inlineStr">
        <is>
          <t>Tires &amp; Batteries</t>
        </is>
      </c>
      <c r="C13" s="88" t="inlineStr">
        <is>
          <t>2 pcs rear tires</t>
        </is>
      </c>
      <c r="D13" s="87" t="inlineStr">
        <is>
          <t>TRUCK 1</t>
        </is>
      </c>
      <c r="E13" s="88" t="inlineStr">
        <is>
          <t>Goodyear Dealer</t>
        </is>
      </c>
      <c r="F13" s="92" t="n">
        <v>21000</v>
      </c>
      <c r="G13" s="87" t="inlineStr">
        <is>
          <t>Bank Transfer</t>
        </is>
      </c>
      <c r="H13" s="87" t="inlineStr">
        <is>
          <t>Y</t>
        </is>
      </c>
      <c r="I13" s="101">
        <f>IF($B13="","",IF(COUNTIF(Setup!$A$99:$A$128,$B13)&gt;0,IF(INDEX(Setup!$B$99:$B$128,MATCH($B13,Setup!$A$99:$A$128,0))="","Overhead",INDEX(Setup!$B$99:$B$128,MATCH($B13,Setup!$A$99:$A$128,0))),IF(ISNUMBER(SEARCH("advance",$B13))+ISNUMBER(SEARCH("payout",$B13))+ISNUMBER(SEARCH("pay out",$B13))+ISNUMBER(SEARCH("reimburs",$B13))&gt;0,"Transfer",IF(ISNUMBER(SEARCH("loan",$B13))+ISNUMBER(SEARCH("amort",$B13))+ISNUMBER(SEARCH("installment",$B13))+ISNUMBER(SEARCH("instalment",$B13))&gt;0,"Financing",IF(ISNUMBER(SEARCH("draw",$B13))+ISNUMBER(SEARCH("owner",$B13))+ISNUMBER(SEARCH("asset",$B13))+ISNUMBER(SEARCH("capital",$B13))&gt;0,"Other",IF(ISNUMBER(SEARCH("fuel",$B13))+ISNUMBER(SEARCH("diesel",$B13))+ISNUMBER(SEARCH("krudo",$B13))+ISNUMBER(SEARCH("gasolina",$B13))+ISNUMBER(SEARCH("toll",$B13))+ISNUMBER(SEARCH("parking",$B13))+ISNUMBER(SEARCH("repair",$B13))+ISNUMBER(SEARCH("maintenance",$B13))+ISNUMBER(SEARCH("tire",$B13))+ISNUMBER(SEARCH("tyre",$B13))+ISNUMBER(SEARCH("battery",$B13))+ISNUMBER(SEARCH("oil",$B13))+ISNUMBER(SEARCH("filter",$B13))+ISNUMBER(SEARCH("spare",$B13))+ISNUMBER(SEARCH("insurance",$B13))+ISNUMBER(SEARCH("lto",$B13))+ISNUMBER(SEARCH("registration",$B13))+ISNUMBER(SEARCH("emission",$B13))+ISNUMBER(SEARCH("wash",$B13))+ISNUMBER(SEARCH("weigh",$B13))+ISNUMBER(SEARCH("tarp",$B13))&gt;0,"Vehicle",IF(ISNUMBER(SEARCH("rent",$B13))+ISNUMBER(SEARCH("upa",$B13))+ISNUMBER(SEARCH("salary",$B13))+ISNUMBER(SEARCH("sweldo",$B13))+ISNUMBER(SEARCH("wage",$B13))+ISNUMBER(SEARCH("electric",$B13))+ISNUMBER(SEARCH("kuryente",$B13))+ISNUMBER(SEARCH("water",$B13))+ISNUMBER(SEARCH("tubig",$B13))+ISNUMBER(SEARCH("internet",$B13))+ISNUMBER(SEARCH("pldt",$B13))+ISNUMBER(SEARCH("meralco",$B13))+ISNUMBER(SEARCH("supplies",$B13))+ISNUMBER(SEARCH("office",$B13))+ISNUMBER(SEARCH("professional",$B13))+ISNUMBER(SEARCH("accountant",$B13))+ISNUMBER(SEARCH("lawyer",$B13))+ISNUMBER(SEARCH("broker",$B13))+ISNUMBER(SEARCH("bank",$B13))+ISNUMBER(SEARCH("charge",$B13))+ISNUMBER(SEARCH("permit",$B13))+ISNUMBER(SEARCH("bir",$B13))+ISNUMBER(SEARCH("ltfrb",$B13))+ISNUMBER(SEARCH("misc",$B13))+ISNUMBER(SEARCH("fee",$B13))&gt;0,"Overhead","Overhead")))))))</f>
        <v/>
      </c>
      <c r="J13">
        <f>IF($A13="","",DATE(YEAR($A13),MONTH($A13),1))</f>
        <v/>
      </c>
      <c r="K13">
        <f>IF($B13="","",IF(COUNTIF(Setup!$A$99:$A$128,$B13)&gt;0,0,1))</f>
        <v/>
      </c>
      <c r="L13">
        <f>IF($B13="","",IF(ISNUMBER(SEARCH("advance",$B13)),"ADV",IF(OR(ISNUMBER(SEARCH("payout",$B13)),ISNUMBER(SEARCH("pay out",$B13)),ISNUMBER(SEARCH("release",$B13))),"PAY","")))</f>
        <v/>
      </c>
      <c r="M13">
        <f>IF($B13="","",IF(ISNUMBER(SEARCH("bulk",$B13)),0,IF(ISNUMBER(SEARCH("fuel",$B13))+ISNUMBER(SEARCH("diesel",$B13))+ISNUMBER(SEARCH("krudo",$B13))+ISNUMBER(SEARCH("gasolina",$B13))&gt;0,1,0)))</f>
        <v/>
      </c>
      <c r="N13">
        <f>IF($B13="","",IF(ISNUMBER(SEARCH("fuel",$B13))+ISNUMBER(SEARCH("diesel",$B13))+ISNUMBER(SEARCH("krudo",$B13))+ISNUMBER(SEARCH("gasolina",$B13))&gt;0,1,0))</f>
        <v/>
      </c>
    </row>
    <row r="14">
      <c r="A14" s="94" t="n">
        <v>46274</v>
      </c>
      <c r="B14" s="96" t="inlineStr">
        <is>
          <t>Repairs &amp; Maintenance</t>
        </is>
      </c>
      <c r="C14" s="96" t="inlineStr">
        <is>
          <t>Clutch lining + labour</t>
        </is>
      </c>
      <c r="D14" s="95" t="inlineStr">
        <is>
          <t>TRUCK 1</t>
        </is>
      </c>
      <c r="E14" s="96" t="inlineStr">
        <is>
          <t>Diesel Works</t>
        </is>
      </c>
      <c r="F14" s="99" t="n">
        <v>6200</v>
      </c>
      <c r="G14" s="95" t="inlineStr">
        <is>
          <t>Cash</t>
        </is>
      </c>
      <c r="H14" s="95" t="inlineStr">
        <is>
          <t>Y</t>
        </is>
      </c>
      <c r="I14" s="101">
        <f>IF($B14="","",IF(COUNTIF(Setup!$A$99:$A$128,$B14)&gt;0,IF(INDEX(Setup!$B$99:$B$128,MATCH($B14,Setup!$A$99:$A$128,0))="","Overhead",INDEX(Setup!$B$99:$B$128,MATCH($B14,Setup!$A$99:$A$128,0))),IF(ISNUMBER(SEARCH("advance",$B14))+ISNUMBER(SEARCH("payout",$B14))+ISNUMBER(SEARCH("pay out",$B14))+ISNUMBER(SEARCH("reimburs",$B14))&gt;0,"Transfer",IF(ISNUMBER(SEARCH("loan",$B14))+ISNUMBER(SEARCH("amort",$B14))+ISNUMBER(SEARCH("installment",$B14))+ISNUMBER(SEARCH("instalment",$B14))&gt;0,"Financing",IF(ISNUMBER(SEARCH("draw",$B14))+ISNUMBER(SEARCH("owner",$B14))+ISNUMBER(SEARCH("asset",$B14))+ISNUMBER(SEARCH("capital",$B14))&gt;0,"Other",IF(ISNUMBER(SEARCH("fuel",$B14))+ISNUMBER(SEARCH("diesel",$B14))+ISNUMBER(SEARCH("krudo",$B14))+ISNUMBER(SEARCH("gasolina",$B14))+ISNUMBER(SEARCH("toll",$B14))+ISNUMBER(SEARCH("parking",$B14))+ISNUMBER(SEARCH("repair",$B14))+ISNUMBER(SEARCH("maintenance",$B14))+ISNUMBER(SEARCH("tire",$B14))+ISNUMBER(SEARCH("tyre",$B14))+ISNUMBER(SEARCH("battery",$B14))+ISNUMBER(SEARCH("oil",$B14))+ISNUMBER(SEARCH("filter",$B14))+ISNUMBER(SEARCH("spare",$B14))+ISNUMBER(SEARCH("insurance",$B14))+ISNUMBER(SEARCH("lto",$B14))+ISNUMBER(SEARCH("registration",$B14))+ISNUMBER(SEARCH("emission",$B14))+ISNUMBER(SEARCH("wash",$B14))+ISNUMBER(SEARCH("weigh",$B14))+ISNUMBER(SEARCH("tarp",$B14))&gt;0,"Vehicle",IF(ISNUMBER(SEARCH("rent",$B14))+ISNUMBER(SEARCH("upa",$B14))+ISNUMBER(SEARCH("salary",$B14))+ISNUMBER(SEARCH("sweldo",$B14))+ISNUMBER(SEARCH("wage",$B14))+ISNUMBER(SEARCH("electric",$B14))+ISNUMBER(SEARCH("kuryente",$B14))+ISNUMBER(SEARCH("water",$B14))+ISNUMBER(SEARCH("tubig",$B14))+ISNUMBER(SEARCH("internet",$B14))+ISNUMBER(SEARCH("pldt",$B14))+ISNUMBER(SEARCH("meralco",$B14))+ISNUMBER(SEARCH("supplies",$B14))+ISNUMBER(SEARCH("office",$B14))+ISNUMBER(SEARCH("professional",$B14))+ISNUMBER(SEARCH("accountant",$B14))+ISNUMBER(SEARCH("lawyer",$B14))+ISNUMBER(SEARCH("broker",$B14))+ISNUMBER(SEARCH("bank",$B14))+ISNUMBER(SEARCH("charge",$B14))+ISNUMBER(SEARCH("permit",$B14))+ISNUMBER(SEARCH("bir",$B14))+ISNUMBER(SEARCH("ltfrb",$B14))+ISNUMBER(SEARCH("misc",$B14))+ISNUMBER(SEARCH("fee",$B14))&gt;0,"Overhead","Overhead")))))))</f>
        <v/>
      </c>
      <c r="J14">
        <f>IF($A14="","",DATE(YEAR($A14),MONTH($A14),1))</f>
        <v/>
      </c>
      <c r="K14">
        <f>IF($B14="","",IF(COUNTIF(Setup!$A$99:$A$128,$B14)&gt;0,0,1))</f>
        <v/>
      </c>
      <c r="L14">
        <f>IF($B14="","",IF(ISNUMBER(SEARCH("advance",$B14)),"ADV",IF(OR(ISNUMBER(SEARCH("payout",$B14)),ISNUMBER(SEARCH("pay out",$B14)),ISNUMBER(SEARCH("release",$B14))),"PAY","")))</f>
        <v/>
      </c>
      <c r="M14">
        <f>IF($B14="","",IF(ISNUMBER(SEARCH("bulk",$B14)),0,IF(ISNUMBER(SEARCH("fuel",$B14))+ISNUMBER(SEARCH("diesel",$B14))+ISNUMBER(SEARCH("krudo",$B14))+ISNUMBER(SEARCH("gasolina",$B14))&gt;0,1,0)))</f>
        <v/>
      </c>
      <c r="N14">
        <f>IF($B14="","",IF(ISNUMBER(SEARCH("fuel",$B14))+ISNUMBER(SEARCH("diesel",$B14))+ISNUMBER(SEARCH("krudo",$B14))+ISNUMBER(SEARCH("gasolina",$B14))&gt;0,1,0))</f>
        <v/>
      </c>
    </row>
    <row r="15">
      <c r="A15" s="86" t="n">
        <v>46275</v>
      </c>
      <c r="B15" s="88" t="inlineStr">
        <is>
          <t>LTO Registration</t>
        </is>
      </c>
      <c r="C15" s="88" t="inlineStr">
        <is>
          <t>Registration + emission test</t>
        </is>
      </c>
      <c r="D15" s="87" t="inlineStr">
        <is>
          <t>TRUCK 1</t>
        </is>
      </c>
      <c r="E15" s="88" t="inlineStr">
        <is>
          <t>LTO</t>
        </is>
      </c>
      <c r="F15" s="92" t="n">
        <v>4200</v>
      </c>
      <c r="G15" s="87" t="inlineStr">
        <is>
          <t>Cash</t>
        </is>
      </c>
      <c r="H15" s="87" t="inlineStr">
        <is>
          <t>Y</t>
        </is>
      </c>
      <c r="I15" s="101">
        <f>IF($B15="","",IF(COUNTIF(Setup!$A$99:$A$128,$B15)&gt;0,IF(INDEX(Setup!$B$99:$B$128,MATCH($B15,Setup!$A$99:$A$128,0))="","Overhead",INDEX(Setup!$B$99:$B$128,MATCH($B15,Setup!$A$99:$A$128,0))),IF(ISNUMBER(SEARCH("advance",$B15))+ISNUMBER(SEARCH("payout",$B15))+ISNUMBER(SEARCH("pay out",$B15))+ISNUMBER(SEARCH("reimburs",$B15))&gt;0,"Transfer",IF(ISNUMBER(SEARCH("loan",$B15))+ISNUMBER(SEARCH("amort",$B15))+ISNUMBER(SEARCH("installment",$B15))+ISNUMBER(SEARCH("instalment",$B15))&gt;0,"Financing",IF(ISNUMBER(SEARCH("draw",$B15))+ISNUMBER(SEARCH("owner",$B15))+ISNUMBER(SEARCH("asset",$B15))+ISNUMBER(SEARCH("capital",$B15))&gt;0,"Other",IF(ISNUMBER(SEARCH("fuel",$B15))+ISNUMBER(SEARCH("diesel",$B15))+ISNUMBER(SEARCH("krudo",$B15))+ISNUMBER(SEARCH("gasolina",$B15))+ISNUMBER(SEARCH("toll",$B15))+ISNUMBER(SEARCH("parking",$B15))+ISNUMBER(SEARCH("repair",$B15))+ISNUMBER(SEARCH("maintenance",$B15))+ISNUMBER(SEARCH("tire",$B15))+ISNUMBER(SEARCH("tyre",$B15))+ISNUMBER(SEARCH("battery",$B15))+ISNUMBER(SEARCH("oil",$B15))+ISNUMBER(SEARCH("filter",$B15))+ISNUMBER(SEARCH("spare",$B15))+ISNUMBER(SEARCH("insurance",$B15))+ISNUMBER(SEARCH("lto",$B15))+ISNUMBER(SEARCH("registration",$B15))+ISNUMBER(SEARCH("emission",$B15))+ISNUMBER(SEARCH("wash",$B15))+ISNUMBER(SEARCH("weigh",$B15))+ISNUMBER(SEARCH("tarp",$B15))&gt;0,"Vehicle",IF(ISNUMBER(SEARCH("rent",$B15))+ISNUMBER(SEARCH("upa",$B15))+ISNUMBER(SEARCH("salary",$B15))+ISNUMBER(SEARCH("sweldo",$B15))+ISNUMBER(SEARCH("wage",$B15))+ISNUMBER(SEARCH("electric",$B15))+ISNUMBER(SEARCH("kuryente",$B15))+ISNUMBER(SEARCH("water",$B15))+ISNUMBER(SEARCH("tubig",$B15))+ISNUMBER(SEARCH("internet",$B15))+ISNUMBER(SEARCH("pldt",$B15))+ISNUMBER(SEARCH("meralco",$B15))+ISNUMBER(SEARCH("supplies",$B15))+ISNUMBER(SEARCH("office",$B15))+ISNUMBER(SEARCH("professional",$B15))+ISNUMBER(SEARCH("accountant",$B15))+ISNUMBER(SEARCH("lawyer",$B15))+ISNUMBER(SEARCH("broker",$B15))+ISNUMBER(SEARCH("bank",$B15))+ISNUMBER(SEARCH("charge",$B15))+ISNUMBER(SEARCH("permit",$B15))+ISNUMBER(SEARCH("bir",$B15))+ISNUMBER(SEARCH("ltfrb",$B15))+ISNUMBER(SEARCH("misc",$B15))+ISNUMBER(SEARCH("fee",$B15))&gt;0,"Overhead","Overhead")))))))</f>
        <v/>
      </c>
      <c r="J15">
        <f>IF($A15="","",DATE(YEAR($A15),MONTH($A15),1))</f>
        <v/>
      </c>
      <c r="K15">
        <f>IF($B15="","",IF(COUNTIF(Setup!$A$99:$A$128,$B15)&gt;0,0,1))</f>
        <v/>
      </c>
      <c r="L15">
        <f>IF($B15="","",IF(ISNUMBER(SEARCH("advance",$B15)),"ADV",IF(OR(ISNUMBER(SEARCH("payout",$B15)),ISNUMBER(SEARCH("pay out",$B15)),ISNUMBER(SEARCH("release",$B15))),"PAY","")))</f>
        <v/>
      </c>
      <c r="M15">
        <f>IF($B15="","",IF(ISNUMBER(SEARCH("bulk",$B15)),0,IF(ISNUMBER(SEARCH("fuel",$B15))+ISNUMBER(SEARCH("diesel",$B15))+ISNUMBER(SEARCH("krudo",$B15))+ISNUMBER(SEARCH("gasolina",$B15))&gt;0,1,0)))</f>
        <v/>
      </c>
      <c r="N15">
        <f>IF($B15="","",IF(ISNUMBER(SEARCH("fuel",$B15))+ISNUMBER(SEARCH("diesel",$B15))+ISNUMBER(SEARCH("krudo",$B15))+ISNUMBER(SEARCH("gasolina",$B15))&gt;0,1,0))</f>
        <v/>
      </c>
    </row>
    <row r="16">
      <c r="A16" s="94" t="n">
        <v>46280</v>
      </c>
      <c r="B16" s="96" t="inlineStr">
        <is>
          <t>Cash Advance</t>
        </is>
      </c>
      <c r="C16" s="96" t="inlineStr">
        <is>
          <t>Advance — family emergency</t>
        </is>
      </c>
      <c r="D16" s="95" t="inlineStr"/>
      <c r="E16" s="96" t="inlineStr">
        <is>
          <t>R. Dela Cruz</t>
        </is>
      </c>
      <c r="F16" s="99" t="n">
        <v>5000</v>
      </c>
      <c r="G16" s="95" t="inlineStr">
        <is>
          <t>Cash</t>
        </is>
      </c>
      <c r="H16" s="95" t="inlineStr">
        <is>
          <t>N</t>
        </is>
      </c>
      <c r="I16" s="101">
        <f>IF($B16="","",IF(COUNTIF(Setup!$A$99:$A$128,$B16)&gt;0,IF(INDEX(Setup!$B$99:$B$128,MATCH($B16,Setup!$A$99:$A$128,0))="","Overhead",INDEX(Setup!$B$99:$B$128,MATCH($B16,Setup!$A$99:$A$128,0))),IF(ISNUMBER(SEARCH("advance",$B16))+ISNUMBER(SEARCH("payout",$B16))+ISNUMBER(SEARCH("pay out",$B16))+ISNUMBER(SEARCH("reimburs",$B16))&gt;0,"Transfer",IF(ISNUMBER(SEARCH("loan",$B16))+ISNUMBER(SEARCH("amort",$B16))+ISNUMBER(SEARCH("installment",$B16))+ISNUMBER(SEARCH("instalment",$B16))&gt;0,"Financing",IF(ISNUMBER(SEARCH("draw",$B16))+ISNUMBER(SEARCH("owner",$B16))+ISNUMBER(SEARCH("asset",$B16))+ISNUMBER(SEARCH("capital",$B16))&gt;0,"Other",IF(ISNUMBER(SEARCH("fuel",$B16))+ISNUMBER(SEARCH("diesel",$B16))+ISNUMBER(SEARCH("krudo",$B16))+ISNUMBER(SEARCH("gasolina",$B16))+ISNUMBER(SEARCH("toll",$B16))+ISNUMBER(SEARCH("parking",$B16))+ISNUMBER(SEARCH("repair",$B16))+ISNUMBER(SEARCH("maintenance",$B16))+ISNUMBER(SEARCH("tire",$B16))+ISNUMBER(SEARCH("tyre",$B16))+ISNUMBER(SEARCH("battery",$B16))+ISNUMBER(SEARCH("oil",$B16))+ISNUMBER(SEARCH("filter",$B16))+ISNUMBER(SEARCH("spare",$B16))+ISNUMBER(SEARCH("insurance",$B16))+ISNUMBER(SEARCH("lto",$B16))+ISNUMBER(SEARCH("registration",$B16))+ISNUMBER(SEARCH("emission",$B16))+ISNUMBER(SEARCH("wash",$B16))+ISNUMBER(SEARCH("weigh",$B16))+ISNUMBER(SEARCH("tarp",$B16))&gt;0,"Vehicle",IF(ISNUMBER(SEARCH("rent",$B16))+ISNUMBER(SEARCH("upa",$B16))+ISNUMBER(SEARCH("salary",$B16))+ISNUMBER(SEARCH("sweldo",$B16))+ISNUMBER(SEARCH("wage",$B16))+ISNUMBER(SEARCH("electric",$B16))+ISNUMBER(SEARCH("kuryente",$B16))+ISNUMBER(SEARCH("water",$B16))+ISNUMBER(SEARCH("tubig",$B16))+ISNUMBER(SEARCH("internet",$B16))+ISNUMBER(SEARCH("pldt",$B16))+ISNUMBER(SEARCH("meralco",$B16))+ISNUMBER(SEARCH("supplies",$B16))+ISNUMBER(SEARCH("office",$B16))+ISNUMBER(SEARCH("professional",$B16))+ISNUMBER(SEARCH("accountant",$B16))+ISNUMBER(SEARCH("lawyer",$B16))+ISNUMBER(SEARCH("broker",$B16))+ISNUMBER(SEARCH("bank",$B16))+ISNUMBER(SEARCH("charge",$B16))+ISNUMBER(SEARCH("permit",$B16))+ISNUMBER(SEARCH("bir",$B16))+ISNUMBER(SEARCH("ltfrb",$B16))+ISNUMBER(SEARCH("misc",$B16))+ISNUMBER(SEARCH("fee",$B16))&gt;0,"Overhead","Overhead")))))))</f>
        <v/>
      </c>
      <c r="J16">
        <f>IF($A16="","",DATE(YEAR($A16),MONTH($A16),1))</f>
        <v/>
      </c>
      <c r="K16">
        <f>IF($B16="","",IF(COUNTIF(Setup!$A$99:$A$128,$B16)&gt;0,0,1))</f>
        <v/>
      </c>
      <c r="L16">
        <f>IF($B16="","",IF(ISNUMBER(SEARCH("advance",$B16)),"ADV",IF(OR(ISNUMBER(SEARCH("payout",$B16)),ISNUMBER(SEARCH("pay out",$B16)),ISNUMBER(SEARCH("release",$B16))),"PAY","")))</f>
        <v/>
      </c>
      <c r="M16">
        <f>IF($B16="","",IF(ISNUMBER(SEARCH("bulk",$B16)),0,IF(ISNUMBER(SEARCH("fuel",$B16))+ISNUMBER(SEARCH("diesel",$B16))+ISNUMBER(SEARCH("krudo",$B16))+ISNUMBER(SEARCH("gasolina",$B16))&gt;0,1,0)))</f>
        <v/>
      </c>
      <c r="N16">
        <f>IF($B16="","",IF(ISNUMBER(SEARCH("fuel",$B16))+ISNUMBER(SEARCH("diesel",$B16))+ISNUMBER(SEARCH("krudo",$B16))+ISNUMBER(SEARCH("gasolina",$B16))&gt;0,1,0))</f>
        <v/>
      </c>
    </row>
    <row r="17">
      <c r="A17" s="86" t="n">
        <v>46285</v>
      </c>
      <c r="B17" s="88" t="inlineStr">
        <is>
          <t>Office / Staff Salary</t>
        </is>
      </c>
      <c r="C17" s="88" t="inlineStr">
        <is>
          <t>Dispatcher salary</t>
        </is>
      </c>
      <c r="D17" s="87" t="inlineStr"/>
      <c r="E17" s="88" t="inlineStr">
        <is>
          <t>L. Garcia</t>
        </is>
      </c>
      <c r="F17" s="92" t="n">
        <v>12000</v>
      </c>
      <c r="G17" s="87" t="inlineStr">
        <is>
          <t>Cash</t>
        </is>
      </c>
      <c r="H17" s="87" t="inlineStr">
        <is>
          <t>N</t>
        </is>
      </c>
      <c r="I17" s="101">
        <f>IF($B17="","",IF(COUNTIF(Setup!$A$99:$A$128,$B17)&gt;0,IF(INDEX(Setup!$B$99:$B$128,MATCH($B17,Setup!$A$99:$A$128,0))="","Overhead",INDEX(Setup!$B$99:$B$128,MATCH($B17,Setup!$A$99:$A$128,0))),IF(ISNUMBER(SEARCH("advance",$B17))+ISNUMBER(SEARCH("payout",$B17))+ISNUMBER(SEARCH("pay out",$B17))+ISNUMBER(SEARCH("reimburs",$B17))&gt;0,"Transfer",IF(ISNUMBER(SEARCH("loan",$B17))+ISNUMBER(SEARCH("amort",$B17))+ISNUMBER(SEARCH("installment",$B17))+ISNUMBER(SEARCH("instalment",$B17))&gt;0,"Financing",IF(ISNUMBER(SEARCH("draw",$B17))+ISNUMBER(SEARCH("owner",$B17))+ISNUMBER(SEARCH("asset",$B17))+ISNUMBER(SEARCH("capital",$B17))&gt;0,"Other",IF(ISNUMBER(SEARCH("fuel",$B17))+ISNUMBER(SEARCH("diesel",$B17))+ISNUMBER(SEARCH("krudo",$B17))+ISNUMBER(SEARCH("gasolina",$B17))+ISNUMBER(SEARCH("toll",$B17))+ISNUMBER(SEARCH("parking",$B17))+ISNUMBER(SEARCH("repair",$B17))+ISNUMBER(SEARCH("maintenance",$B17))+ISNUMBER(SEARCH("tire",$B17))+ISNUMBER(SEARCH("tyre",$B17))+ISNUMBER(SEARCH("battery",$B17))+ISNUMBER(SEARCH("oil",$B17))+ISNUMBER(SEARCH("filter",$B17))+ISNUMBER(SEARCH("spare",$B17))+ISNUMBER(SEARCH("insurance",$B17))+ISNUMBER(SEARCH("lto",$B17))+ISNUMBER(SEARCH("registration",$B17))+ISNUMBER(SEARCH("emission",$B17))+ISNUMBER(SEARCH("wash",$B17))+ISNUMBER(SEARCH("weigh",$B17))+ISNUMBER(SEARCH("tarp",$B17))&gt;0,"Vehicle",IF(ISNUMBER(SEARCH("rent",$B17))+ISNUMBER(SEARCH("upa",$B17))+ISNUMBER(SEARCH("salary",$B17))+ISNUMBER(SEARCH("sweldo",$B17))+ISNUMBER(SEARCH("wage",$B17))+ISNUMBER(SEARCH("electric",$B17))+ISNUMBER(SEARCH("kuryente",$B17))+ISNUMBER(SEARCH("water",$B17))+ISNUMBER(SEARCH("tubig",$B17))+ISNUMBER(SEARCH("internet",$B17))+ISNUMBER(SEARCH("pldt",$B17))+ISNUMBER(SEARCH("meralco",$B17))+ISNUMBER(SEARCH("supplies",$B17))+ISNUMBER(SEARCH("office",$B17))+ISNUMBER(SEARCH("professional",$B17))+ISNUMBER(SEARCH("accountant",$B17))+ISNUMBER(SEARCH("lawyer",$B17))+ISNUMBER(SEARCH("broker",$B17))+ISNUMBER(SEARCH("bank",$B17))+ISNUMBER(SEARCH("charge",$B17))+ISNUMBER(SEARCH("permit",$B17))+ISNUMBER(SEARCH("bir",$B17))+ISNUMBER(SEARCH("ltfrb",$B17))+ISNUMBER(SEARCH("misc",$B17))+ISNUMBER(SEARCH("fee",$B17))&gt;0,"Overhead","Overhead")))))))</f>
        <v/>
      </c>
      <c r="J17">
        <f>IF($A17="","",DATE(YEAR($A17),MONTH($A17),1))</f>
        <v/>
      </c>
      <c r="K17">
        <f>IF($B17="","",IF(COUNTIF(Setup!$A$99:$A$128,$B17)&gt;0,0,1))</f>
        <v/>
      </c>
      <c r="L17">
        <f>IF($B17="","",IF(ISNUMBER(SEARCH("advance",$B17)),"ADV",IF(OR(ISNUMBER(SEARCH("payout",$B17)),ISNUMBER(SEARCH("pay out",$B17)),ISNUMBER(SEARCH("release",$B17))),"PAY","")))</f>
        <v/>
      </c>
      <c r="M17">
        <f>IF($B17="","",IF(ISNUMBER(SEARCH("bulk",$B17)),0,IF(ISNUMBER(SEARCH("fuel",$B17))+ISNUMBER(SEARCH("diesel",$B17))+ISNUMBER(SEARCH("krudo",$B17))+ISNUMBER(SEARCH("gasolina",$B17))&gt;0,1,0)))</f>
        <v/>
      </c>
      <c r="N17">
        <f>IF($B17="","",IF(ISNUMBER(SEARCH("fuel",$B17))+ISNUMBER(SEARCH("diesel",$B17))+ISNUMBER(SEARCH("krudo",$B17))+ISNUMBER(SEARCH("gasolina",$B17))&gt;0,1,0))</f>
        <v/>
      </c>
    </row>
    <row r="18">
      <c r="A18" s="94" t="n">
        <v>46295</v>
      </c>
      <c r="B18" s="96" t="inlineStr">
        <is>
          <t>Loan Payment</t>
        </is>
      </c>
      <c r="C18" s="96" t="inlineStr">
        <is>
          <t>September amortisation</t>
        </is>
      </c>
      <c r="D18" s="95" t="inlineStr">
        <is>
          <t>TRUCK 1</t>
        </is>
      </c>
      <c r="E18" s="96" t="inlineStr">
        <is>
          <t>BDO Leasing</t>
        </is>
      </c>
      <c r="F18" s="99" t="n">
        <v>32000</v>
      </c>
      <c r="G18" s="95" t="inlineStr">
        <is>
          <t>Bank Transfer</t>
        </is>
      </c>
      <c r="H18" s="95" t="inlineStr">
        <is>
          <t>Y</t>
        </is>
      </c>
      <c r="I18" s="101">
        <f>IF($B18="","",IF(COUNTIF(Setup!$A$99:$A$128,$B18)&gt;0,IF(INDEX(Setup!$B$99:$B$128,MATCH($B18,Setup!$A$99:$A$128,0))="","Overhead",INDEX(Setup!$B$99:$B$128,MATCH($B18,Setup!$A$99:$A$128,0))),IF(ISNUMBER(SEARCH("advance",$B18))+ISNUMBER(SEARCH("payout",$B18))+ISNUMBER(SEARCH("pay out",$B18))+ISNUMBER(SEARCH("reimburs",$B18))&gt;0,"Transfer",IF(ISNUMBER(SEARCH("loan",$B18))+ISNUMBER(SEARCH("amort",$B18))+ISNUMBER(SEARCH("installment",$B18))+ISNUMBER(SEARCH("instalment",$B18))&gt;0,"Financing",IF(ISNUMBER(SEARCH("draw",$B18))+ISNUMBER(SEARCH("owner",$B18))+ISNUMBER(SEARCH("asset",$B18))+ISNUMBER(SEARCH("capital",$B18))&gt;0,"Other",IF(ISNUMBER(SEARCH("fuel",$B18))+ISNUMBER(SEARCH("diesel",$B18))+ISNUMBER(SEARCH("krudo",$B18))+ISNUMBER(SEARCH("gasolina",$B18))+ISNUMBER(SEARCH("toll",$B18))+ISNUMBER(SEARCH("parking",$B18))+ISNUMBER(SEARCH("repair",$B18))+ISNUMBER(SEARCH("maintenance",$B18))+ISNUMBER(SEARCH("tire",$B18))+ISNUMBER(SEARCH("tyre",$B18))+ISNUMBER(SEARCH("battery",$B18))+ISNUMBER(SEARCH("oil",$B18))+ISNUMBER(SEARCH("filter",$B18))+ISNUMBER(SEARCH("spare",$B18))+ISNUMBER(SEARCH("insurance",$B18))+ISNUMBER(SEARCH("lto",$B18))+ISNUMBER(SEARCH("registration",$B18))+ISNUMBER(SEARCH("emission",$B18))+ISNUMBER(SEARCH("wash",$B18))+ISNUMBER(SEARCH("weigh",$B18))+ISNUMBER(SEARCH("tarp",$B18))&gt;0,"Vehicle",IF(ISNUMBER(SEARCH("rent",$B18))+ISNUMBER(SEARCH("upa",$B18))+ISNUMBER(SEARCH("salary",$B18))+ISNUMBER(SEARCH("sweldo",$B18))+ISNUMBER(SEARCH("wage",$B18))+ISNUMBER(SEARCH("electric",$B18))+ISNUMBER(SEARCH("kuryente",$B18))+ISNUMBER(SEARCH("water",$B18))+ISNUMBER(SEARCH("tubig",$B18))+ISNUMBER(SEARCH("internet",$B18))+ISNUMBER(SEARCH("pldt",$B18))+ISNUMBER(SEARCH("meralco",$B18))+ISNUMBER(SEARCH("supplies",$B18))+ISNUMBER(SEARCH("office",$B18))+ISNUMBER(SEARCH("professional",$B18))+ISNUMBER(SEARCH("accountant",$B18))+ISNUMBER(SEARCH("lawyer",$B18))+ISNUMBER(SEARCH("broker",$B18))+ISNUMBER(SEARCH("bank",$B18))+ISNUMBER(SEARCH("charge",$B18))+ISNUMBER(SEARCH("permit",$B18))+ISNUMBER(SEARCH("bir",$B18))+ISNUMBER(SEARCH("ltfrb",$B18))+ISNUMBER(SEARCH("misc",$B18))+ISNUMBER(SEARCH("fee",$B18))&gt;0,"Overhead","Overhead")))))))</f>
        <v/>
      </c>
      <c r="J18">
        <f>IF($A18="","",DATE(YEAR($A18),MONTH($A18),1))</f>
        <v/>
      </c>
      <c r="K18">
        <f>IF($B18="","",IF(COUNTIF(Setup!$A$99:$A$128,$B18)&gt;0,0,1))</f>
        <v/>
      </c>
      <c r="L18">
        <f>IF($B18="","",IF(ISNUMBER(SEARCH("advance",$B18)),"ADV",IF(OR(ISNUMBER(SEARCH("payout",$B18)),ISNUMBER(SEARCH("pay out",$B18)),ISNUMBER(SEARCH("release",$B18))),"PAY","")))</f>
        <v/>
      </c>
      <c r="M18">
        <f>IF($B18="","",IF(ISNUMBER(SEARCH("bulk",$B18)),0,IF(ISNUMBER(SEARCH("fuel",$B18))+ISNUMBER(SEARCH("diesel",$B18))+ISNUMBER(SEARCH("krudo",$B18))+ISNUMBER(SEARCH("gasolina",$B18))&gt;0,1,0)))</f>
        <v/>
      </c>
      <c r="N18">
        <f>IF($B18="","",IF(ISNUMBER(SEARCH("fuel",$B18))+ISNUMBER(SEARCH("diesel",$B18))+ISNUMBER(SEARCH("krudo",$B18))+ISNUMBER(SEARCH("gasolina",$B18))&gt;0,1,0))</f>
        <v/>
      </c>
    </row>
    <row r="19">
      <c r="A19" s="86" t="n">
        <v>46295</v>
      </c>
      <c r="B19" s="88" t="inlineStr">
        <is>
          <t>Loan Payment</t>
        </is>
      </c>
      <c r="C19" s="88" t="inlineStr">
        <is>
          <t>September amortisation</t>
        </is>
      </c>
      <c r="D19" s="87" t="inlineStr">
        <is>
          <t>TRUCK 1</t>
        </is>
      </c>
      <c r="E19" s="88" t="inlineStr">
        <is>
          <t>Security Bank</t>
        </is>
      </c>
      <c r="F19" s="92" t="n">
        <v>18500</v>
      </c>
      <c r="G19" s="87" t="inlineStr">
        <is>
          <t>Bank Transfer</t>
        </is>
      </c>
      <c r="H19" s="87" t="inlineStr">
        <is>
          <t>Y</t>
        </is>
      </c>
      <c r="I19" s="101">
        <f>IF($B19="","",IF(COUNTIF(Setup!$A$99:$A$128,$B19)&gt;0,IF(INDEX(Setup!$B$99:$B$128,MATCH($B19,Setup!$A$99:$A$128,0))="","Overhead",INDEX(Setup!$B$99:$B$128,MATCH($B19,Setup!$A$99:$A$128,0))),IF(ISNUMBER(SEARCH("advance",$B19))+ISNUMBER(SEARCH("payout",$B19))+ISNUMBER(SEARCH("pay out",$B19))+ISNUMBER(SEARCH("reimburs",$B19))&gt;0,"Transfer",IF(ISNUMBER(SEARCH("loan",$B19))+ISNUMBER(SEARCH("amort",$B19))+ISNUMBER(SEARCH("installment",$B19))+ISNUMBER(SEARCH("instalment",$B19))&gt;0,"Financing",IF(ISNUMBER(SEARCH("draw",$B19))+ISNUMBER(SEARCH("owner",$B19))+ISNUMBER(SEARCH("asset",$B19))+ISNUMBER(SEARCH("capital",$B19))&gt;0,"Other",IF(ISNUMBER(SEARCH("fuel",$B19))+ISNUMBER(SEARCH("diesel",$B19))+ISNUMBER(SEARCH("krudo",$B19))+ISNUMBER(SEARCH("gasolina",$B19))+ISNUMBER(SEARCH("toll",$B19))+ISNUMBER(SEARCH("parking",$B19))+ISNUMBER(SEARCH("repair",$B19))+ISNUMBER(SEARCH("maintenance",$B19))+ISNUMBER(SEARCH("tire",$B19))+ISNUMBER(SEARCH("tyre",$B19))+ISNUMBER(SEARCH("battery",$B19))+ISNUMBER(SEARCH("oil",$B19))+ISNUMBER(SEARCH("filter",$B19))+ISNUMBER(SEARCH("spare",$B19))+ISNUMBER(SEARCH("insurance",$B19))+ISNUMBER(SEARCH("lto",$B19))+ISNUMBER(SEARCH("registration",$B19))+ISNUMBER(SEARCH("emission",$B19))+ISNUMBER(SEARCH("wash",$B19))+ISNUMBER(SEARCH("weigh",$B19))+ISNUMBER(SEARCH("tarp",$B19))&gt;0,"Vehicle",IF(ISNUMBER(SEARCH("rent",$B19))+ISNUMBER(SEARCH("upa",$B19))+ISNUMBER(SEARCH("salary",$B19))+ISNUMBER(SEARCH("sweldo",$B19))+ISNUMBER(SEARCH("wage",$B19))+ISNUMBER(SEARCH("electric",$B19))+ISNUMBER(SEARCH("kuryente",$B19))+ISNUMBER(SEARCH("water",$B19))+ISNUMBER(SEARCH("tubig",$B19))+ISNUMBER(SEARCH("internet",$B19))+ISNUMBER(SEARCH("pldt",$B19))+ISNUMBER(SEARCH("meralco",$B19))+ISNUMBER(SEARCH("supplies",$B19))+ISNUMBER(SEARCH("office",$B19))+ISNUMBER(SEARCH("professional",$B19))+ISNUMBER(SEARCH("accountant",$B19))+ISNUMBER(SEARCH("lawyer",$B19))+ISNUMBER(SEARCH("broker",$B19))+ISNUMBER(SEARCH("bank",$B19))+ISNUMBER(SEARCH("charge",$B19))+ISNUMBER(SEARCH("permit",$B19))+ISNUMBER(SEARCH("bir",$B19))+ISNUMBER(SEARCH("ltfrb",$B19))+ISNUMBER(SEARCH("misc",$B19))+ISNUMBER(SEARCH("fee",$B19))&gt;0,"Overhead","Overhead")))))))</f>
        <v/>
      </c>
      <c r="J19">
        <f>IF($A19="","",DATE(YEAR($A19),MONTH($A19),1))</f>
        <v/>
      </c>
      <c r="K19">
        <f>IF($B19="","",IF(COUNTIF(Setup!$A$99:$A$128,$B19)&gt;0,0,1))</f>
        <v/>
      </c>
      <c r="L19">
        <f>IF($B19="","",IF(ISNUMBER(SEARCH("advance",$B19)),"ADV",IF(OR(ISNUMBER(SEARCH("payout",$B19)),ISNUMBER(SEARCH("pay out",$B19)),ISNUMBER(SEARCH("release",$B19))),"PAY","")))</f>
        <v/>
      </c>
      <c r="M19">
        <f>IF($B19="","",IF(ISNUMBER(SEARCH("bulk",$B19)),0,IF(ISNUMBER(SEARCH("fuel",$B19))+ISNUMBER(SEARCH("diesel",$B19))+ISNUMBER(SEARCH("krudo",$B19))+ISNUMBER(SEARCH("gasolina",$B19))&gt;0,1,0)))</f>
        <v/>
      </c>
      <c r="N19">
        <f>IF($B19="","",IF(ISNUMBER(SEARCH("fuel",$B19))+ISNUMBER(SEARCH("diesel",$B19))+ISNUMBER(SEARCH("krudo",$B19))+ISNUMBER(SEARCH("gasolina",$B19))&gt;0,1,0))</f>
        <v/>
      </c>
    </row>
    <row r="20">
      <c r="A20" s="94" t="n">
        <v>46295</v>
      </c>
      <c r="B20" s="96" t="inlineStr">
        <is>
          <t>Loan Payment</t>
        </is>
      </c>
      <c r="C20" s="96" t="inlineStr">
        <is>
          <t>September amortisation</t>
        </is>
      </c>
      <c r="D20" s="95" t="inlineStr">
        <is>
          <t>TRUCK 1</t>
        </is>
      </c>
      <c r="E20" s="96" t="inlineStr">
        <is>
          <t>Private Lender</t>
        </is>
      </c>
      <c r="F20" s="99" t="n">
        <v>12500</v>
      </c>
      <c r="G20" s="95" t="inlineStr">
        <is>
          <t>GCash</t>
        </is>
      </c>
      <c r="H20" s="95" t="inlineStr">
        <is>
          <t>N</t>
        </is>
      </c>
      <c r="I20" s="101">
        <f>IF($B20="","",IF(COUNTIF(Setup!$A$99:$A$128,$B20)&gt;0,IF(INDEX(Setup!$B$99:$B$128,MATCH($B20,Setup!$A$99:$A$128,0))="","Overhead",INDEX(Setup!$B$99:$B$128,MATCH($B20,Setup!$A$99:$A$128,0))),IF(ISNUMBER(SEARCH("advance",$B20))+ISNUMBER(SEARCH("payout",$B20))+ISNUMBER(SEARCH("pay out",$B20))+ISNUMBER(SEARCH("reimburs",$B20))&gt;0,"Transfer",IF(ISNUMBER(SEARCH("loan",$B20))+ISNUMBER(SEARCH("amort",$B20))+ISNUMBER(SEARCH("installment",$B20))+ISNUMBER(SEARCH("instalment",$B20))&gt;0,"Financing",IF(ISNUMBER(SEARCH("draw",$B20))+ISNUMBER(SEARCH("owner",$B20))+ISNUMBER(SEARCH("asset",$B20))+ISNUMBER(SEARCH("capital",$B20))&gt;0,"Other",IF(ISNUMBER(SEARCH("fuel",$B20))+ISNUMBER(SEARCH("diesel",$B20))+ISNUMBER(SEARCH("krudo",$B20))+ISNUMBER(SEARCH("gasolina",$B20))+ISNUMBER(SEARCH("toll",$B20))+ISNUMBER(SEARCH("parking",$B20))+ISNUMBER(SEARCH("repair",$B20))+ISNUMBER(SEARCH("maintenance",$B20))+ISNUMBER(SEARCH("tire",$B20))+ISNUMBER(SEARCH("tyre",$B20))+ISNUMBER(SEARCH("battery",$B20))+ISNUMBER(SEARCH("oil",$B20))+ISNUMBER(SEARCH("filter",$B20))+ISNUMBER(SEARCH("spare",$B20))+ISNUMBER(SEARCH("insurance",$B20))+ISNUMBER(SEARCH("lto",$B20))+ISNUMBER(SEARCH("registration",$B20))+ISNUMBER(SEARCH("emission",$B20))+ISNUMBER(SEARCH("wash",$B20))+ISNUMBER(SEARCH("weigh",$B20))+ISNUMBER(SEARCH("tarp",$B20))&gt;0,"Vehicle",IF(ISNUMBER(SEARCH("rent",$B20))+ISNUMBER(SEARCH("upa",$B20))+ISNUMBER(SEARCH("salary",$B20))+ISNUMBER(SEARCH("sweldo",$B20))+ISNUMBER(SEARCH("wage",$B20))+ISNUMBER(SEARCH("electric",$B20))+ISNUMBER(SEARCH("kuryente",$B20))+ISNUMBER(SEARCH("water",$B20))+ISNUMBER(SEARCH("tubig",$B20))+ISNUMBER(SEARCH("internet",$B20))+ISNUMBER(SEARCH("pldt",$B20))+ISNUMBER(SEARCH("meralco",$B20))+ISNUMBER(SEARCH("supplies",$B20))+ISNUMBER(SEARCH("office",$B20))+ISNUMBER(SEARCH("professional",$B20))+ISNUMBER(SEARCH("accountant",$B20))+ISNUMBER(SEARCH("lawyer",$B20))+ISNUMBER(SEARCH("broker",$B20))+ISNUMBER(SEARCH("bank",$B20))+ISNUMBER(SEARCH("charge",$B20))+ISNUMBER(SEARCH("permit",$B20))+ISNUMBER(SEARCH("bir",$B20))+ISNUMBER(SEARCH("ltfrb",$B20))+ISNUMBER(SEARCH("misc",$B20))+ISNUMBER(SEARCH("fee",$B20))&gt;0,"Overhead","Overhead")))))))</f>
        <v/>
      </c>
      <c r="J20">
        <f>IF($A20="","",DATE(YEAR($A20),MONTH($A20),1))</f>
        <v/>
      </c>
      <c r="K20">
        <f>IF($B20="","",IF(COUNTIF(Setup!$A$99:$A$128,$B20)&gt;0,0,1))</f>
        <v/>
      </c>
      <c r="L20">
        <f>IF($B20="","",IF(ISNUMBER(SEARCH("advance",$B20)),"ADV",IF(OR(ISNUMBER(SEARCH("payout",$B20)),ISNUMBER(SEARCH("pay out",$B20)),ISNUMBER(SEARCH("release",$B20))),"PAY","")))</f>
        <v/>
      </c>
      <c r="M20">
        <f>IF($B20="","",IF(ISNUMBER(SEARCH("bulk",$B20)),0,IF(ISNUMBER(SEARCH("fuel",$B20))+ISNUMBER(SEARCH("diesel",$B20))+ISNUMBER(SEARCH("krudo",$B20))+ISNUMBER(SEARCH("gasolina",$B20))&gt;0,1,0)))</f>
        <v/>
      </c>
      <c r="N20">
        <f>IF($B20="","",IF(ISNUMBER(SEARCH("fuel",$B20))+ISNUMBER(SEARCH("diesel",$B20))+ISNUMBER(SEARCH("krudo",$B20))+ISNUMBER(SEARCH("gasolina",$B20))&gt;0,1,0))</f>
        <v/>
      </c>
    </row>
    <row r="21">
      <c r="A21" s="86" t="n">
        <v>46295</v>
      </c>
      <c r="B21" s="88" t="inlineStr">
        <is>
          <t>Rent</t>
        </is>
      </c>
      <c r="C21" s="88" t="inlineStr">
        <is>
          <t>Yard rent</t>
        </is>
      </c>
      <c r="D21" s="87" t="inlineStr"/>
      <c r="E21" s="88" t="inlineStr">
        <is>
          <t>Mrs. Lim</t>
        </is>
      </c>
      <c r="F21" s="92" t="n">
        <v>5000</v>
      </c>
      <c r="G21" s="87" t="inlineStr">
        <is>
          <t>Cash</t>
        </is>
      </c>
      <c r="H21" s="87" t="inlineStr">
        <is>
          <t>N</t>
        </is>
      </c>
      <c r="I21" s="101">
        <f>IF($B21="","",IF(COUNTIF(Setup!$A$99:$A$128,$B21)&gt;0,IF(INDEX(Setup!$B$99:$B$128,MATCH($B21,Setup!$A$99:$A$128,0))="","Overhead",INDEX(Setup!$B$99:$B$128,MATCH($B21,Setup!$A$99:$A$128,0))),IF(ISNUMBER(SEARCH("advance",$B21))+ISNUMBER(SEARCH("payout",$B21))+ISNUMBER(SEARCH("pay out",$B21))+ISNUMBER(SEARCH("reimburs",$B21))&gt;0,"Transfer",IF(ISNUMBER(SEARCH("loan",$B21))+ISNUMBER(SEARCH("amort",$B21))+ISNUMBER(SEARCH("installment",$B21))+ISNUMBER(SEARCH("instalment",$B21))&gt;0,"Financing",IF(ISNUMBER(SEARCH("draw",$B21))+ISNUMBER(SEARCH("owner",$B21))+ISNUMBER(SEARCH("asset",$B21))+ISNUMBER(SEARCH("capital",$B21))&gt;0,"Other",IF(ISNUMBER(SEARCH("fuel",$B21))+ISNUMBER(SEARCH("diesel",$B21))+ISNUMBER(SEARCH("krudo",$B21))+ISNUMBER(SEARCH("gasolina",$B21))+ISNUMBER(SEARCH("toll",$B21))+ISNUMBER(SEARCH("parking",$B21))+ISNUMBER(SEARCH("repair",$B21))+ISNUMBER(SEARCH("maintenance",$B21))+ISNUMBER(SEARCH("tire",$B21))+ISNUMBER(SEARCH("tyre",$B21))+ISNUMBER(SEARCH("battery",$B21))+ISNUMBER(SEARCH("oil",$B21))+ISNUMBER(SEARCH("filter",$B21))+ISNUMBER(SEARCH("spare",$B21))+ISNUMBER(SEARCH("insurance",$B21))+ISNUMBER(SEARCH("lto",$B21))+ISNUMBER(SEARCH("registration",$B21))+ISNUMBER(SEARCH("emission",$B21))+ISNUMBER(SEARCH("wash",$B21))+ISNUMBER(SEARCH("weigh",$B21))+ISNUMBER(SEARCH("tarp",$B21))&gt;0,"Vehicle",IF(ISNUMBER(SEARCH("rent",$B21))+ISNUMBER(SEARCH("upa",$B21))+ISNUMBER(SEARCH("salary",$B21))+ISNUMBER(SEARCH("sweldo",$B21))+ISNUMBER(SEARCH("wage",$B21))+ISNUMBER(SEARCH("electric",$B21))+ISNUMBER(SEARCH("kuryente",$B21))+ISNUMBER(SEARCH("water",$B21))+ISNUMBER(SEARCH("tubig",$B21))+ISNUMBER(SEARCH("internet",$B21))+ISNUMBER(SEARCH("pldt",$B21))+ISNUMBER(SEARCH("meralco",$B21))+ISNUMBER(SEARCH("supplies",$B21))+ISNUMBER(SEARCH("office",$B21))+ISNUMBER(SEARCH("professional",$B21))+ISNUMBER(SEARCH("accountant",$B21))+ISNUMBER(SEARCH("lawyer",$B21))+ISNUMBER(SEARCH("broker",$B21))+ISNUMBER(SEARCH("bank",$B21))+ISNUMBER(SEARCH("charge",$B21))+ISNUMBER(SEARCH("permit",$B21))+ISNUMBER(SEARCH("bir",$B21))+ISNUMBER(SEARCH("ltfrb",$B21))+ISNUMBER(SEARCH("misc",$B21))+ISNUMBER(SEARCH("fee",$B21))&gt;0,"Overhead","Overhead")))))))</f>
        <v/>
      </c>
      <c r="J21">
        <f>IF($A21="","",DATE(YEAR($A21),MONTH($A21),1))</f>
        <v/>
      </c>
      <c r="K21">
        <f>IF($B21="","",IF(COUNTIF(Setup!$A$99:$A$128,$B21)&gt;0,0,1))</f>
        <v/>
      </c>
      <c r="L21">
        <f>IF($B21="","",IF(ISNUMBER(SEARCH("advance",$B21)),"ADV",IF(OR(ISNUMBER(SEARCH("payout",$B21)),ISNUMBER(SEARCH("pay out",$B21)),ISNUMBER(SEARCH("release",$B21))),"PAY","")))</f>
        <v/>
      </c>
      <c r="M21">
        <f>IF($B21="","",IF(ISNUMBER(SEARCH("bulk",$B21)),0,IF(ISNUMBER(SEARCH("fuel",$B21))+ISNUMBER(SEARCH("diesel",$B21))+ISNUMBER(SEARCH("krudo",$B21))+ISNUMBER(SEARCH("gasolina",$B21))&gt;0,1,0)))</f>
        <v/>
      </c>
      <c r="N21">
        <f>IF($B21="","",IF(ISNUMBER(SEARCH("fuel",$B21))+ISNUMBER(SEARCH("diesel",$B21))+ISNUMBER(SEARCH("krudo",$B21))+ISNUMBER(SEARCH("gasolina",$B21))&gt;0,1,0))</f>
        <v/>
      </c>
    </row>
    <row r="22">
      <c r="A22" s="94" t="n">
        <v>46295</v>
      </c>
      <c r="B22" s="96" t="inlineStr">
        <is>
          <t>Utilities</t>
        </is>
      </c>
      <c r="C22" s="96" t="inlineStr">
        <is>
          <t>Water + internet</t>
        </is>
      </c>
      <c r="D22" s="95" t="inlineStr"/>
      <c r="E22" s="96" t="inlineStr">
        <is>
          <t>Meralco / PLDT</t>
        </is>
      </c>
      <c r="F22" s="99" t="n">
        <v>2800</v>
      </c>
      <c r="G22" s="95" t="inlineStr">
        <is>
          <t>GCash</t>
        </is>
      </c>
      <c r="H22" s="95" t="inlineStr">
        <is>
          <t>Y</t>
        </is>
      </c>
      <c r="I22" s="101">
        <f>IF($B22="","",IF(COUNTIF(Setup!$A$99:$A$128,$B22)&gt;0,IF(INDEX(Setup!$B$99:$B$128,MATCH($B22,Setup!$A$99:$A$128,0))="","Overhead",INDEX(Setup!$B$99:$B$128,MATCH($B22,Setup!$A$99:$A$128,0))),IF(ISNUMBER(SEARCH("advance",$B22))+ISNUMBER(SEARCH("payout",$B22))+ISNUMBER(SEARCH("pay out",$B22))+ISNUMBER(SEARCH("reimburs",$B22))&gt;0,"Transfer",IF(ISNUMBER(SEARCH("loan",$B22))+ISNUMBER(SEARCH("amort",$B22))+ISNUMBER(SEARCH("installment",$B22))+ISNUMBER(SEARCH("instalment",$B22))&gt;0,"Financing",IF(ISNUMBER(SEARCH("draw",$B22))+ISNUMBER(SEARCH("owner",$B22))+ISNUMBER(SEARCH("asset",$B22))+ISNUMBER(SEARCH("capital",$B22))&gt;0,"Other",IF(ISNUMBER(SEARCH("fuel",$B22))+ISNUMBER(SEARCH("diesel",$B22))+ISNUMBER(SEARCH("krudo",$B22))+ISNUMBER(SEARCH("gasolina",$B22))+ISNUMBER(SEARCH("toll",$B22))+ISNUMBER(SEARCH("parking",$B22))+ISNUMBER(SEARCH("repair",$B22))+ISNUMBER(SEARCH("maintenance",$B22))+ISNUMBER(SEARCH("tire",$B22))+ISNUMBER(SEARCH("tyre",$B22))+ISNUMBER(SEARCH("battery",$B22))+ISNUMBER(SEARCH("oil",$B22))+ISNUMBER(SEARCH("filter",$B22))+ISNUMBER(SEARCH("spare",$B22))+ISNUMBER(SEARCH("insurance",$B22))+ISNUMBER(SEARCH("lto",$B22))+ISNUMBER(SEARCH("registration",$B22))+ISNUMBER(SEARCH("emission",$B22))+ISNUMBER(SEARCH("wash",$B22))+ISNUMBER(SEARCH("weigh",$B22))+ISNUMBER(SEARCH("tarp",$B22))&gt;0,"Vehicle",IF(ISNUMBER(SEARCH("rent",$B22))+ISNUMBER(SEARCH("upa",$B22))+ISNUMBER(SEARCH("salary",$B22))+ISNUMBER(SEARCH("sweldo",$B22))+ISNUMBER(SEARCH("wage",$B22))+ISNUMBER(SEARCH("electric",$B22))+ISNUMBER(SEARCH("kuryente",$B22))+ISNUMBER(SEARCH("water",$B22))+ISNUMBER(SEARCH("tubig",$B22))+ISNUMBER(SEARCH("internet",$B22))+ISNUMBER(SEARCH("pldt",$B22))+ISNUMBER(SEARCH("meralco",$B22))+ISNUMBER(SEARCH("supplies",$B22))+ISNUMBER(SEARCH("office",$B22))+ISNUMBER(SEARCH("professional",$B22))+ISNUMBER(SEARCH("accountant",$B22))+ISNUMBER(SEARCH("lawyer",$B22))+ISNUMBER(SEARCH("broker",$B22))+ISNUMBER(SEARCH("bank",$B22))+ISNUMBER(SEARCH("charge",$B22))+ISNUMBER(SEARCH("permit",$B22))+ISNUMBER(SEARCH("bir",$B22))+ISNUMBER(SEARCH("ltfrb",$B22))+ISNUMBER(SEARCH("misc",$B22))+ISNUMBER(SEARCH("fee",$B22))&gt;0,"Overhead","Overhead")))))))</f>
        <v/>
      </c>
      <c r="J22">
        <f>IF($A22="","",DATE(YEAR($A22),MONTH($A22),1))</f>
        <v/>
      </c>
      <c r="K22">
        <f>IF($B22="","",IF(COUNTIF(Setup!$A$99:$A$128,$B22)&gt;0,0,1))</f>
        <v/>
      </c>
      <c r="L22">
        <f>IF($B22="","",IF(ISNUMBER(SEARCH("advance",$B22)),"ADV",IF(OR(ISNUMBER(SEARCH("payout",$B22)),ISNUMBER(SEARCH("pay out",$B22)),ISNUMBER(SEARCH("release",$B22))),"PAY","")))</f>
        <v/>
      </c>
      <c r="M22">
        <f>IF($B22="","",IF(ISNUMBER(SEARCH("bulk",$B22)),0,IF(ISNUMBER(SEARCH("fuel",$B22))+ISNUMBER(SEARCH("diesel",$B22))+ISNUMBER(SEARCH("krudo",$B22))+ISNUMBER(SEARCH("gasolina",$B22))&gt;0,1,0)))</f>
        <v/>
      </c>
      <c r="N22">
        <f>IF($B22="","",IF(ISNUMBER(SEARCH("fuel",$B22))+ISNUMBER(SEARCH("diesel",$B22))+ISNUMBER(SEARCH("krudo",$B22))+ISNUMBER(SEARCH("gasolina",$B22))&gt;0,1,0))</f>
        <v/>
      </c>
    </row>
    <row r="23">
      <c r="A23" s="86" t="n">
        <v>46295</v>
      </c>
      <c r="B23" s="88" t="inlineStr">
        <is>
          <t>Truck Washing</t>
        </is>
      </c>
      <c r="C23" s="88" t="inlineStr">
        <is>
          <t>Wash + greasing</t>
        </is>
      </c>
      <c r="D23" s="87" t="inlineStr">
        <is>
          <t>TRUCK 1</t>
        </is>
      </c>
      <c r="E23" s="88" t="inlineStr">
        <is>
          <t>Jomar Carwash</t>
        </is>
      </c>
      <c r="F23" s="92" t="n">
        <v>700</v>
      </c>
      <c r="G23" s="87" t="inlineStr">
        <is>
          <t>Cash</t>
        </is>
      </c>
      <c r="H23" s="87" t="inlineStr">
        <is>
          <t>N</t>
        </is>
      </c>
      <c r="I23" s="101">
        <f>IF($B23="","",IF(COUNTIF(Setup!$A$99:$A$128,$B23)&gt;0,IF(INDEX(Setup!$B$99:$B$128,MATCH($B23,Setup!$A$99:$A$128,0))="","Overhead",INDEX(Setup!$B$99:$B$128,MATCH($B23,Setup!$A$99:$A$128,0))),IF(ISNUMBER(SEARCH("advance",$B23))+ISNUMBER(SEARCH("payout",$B23))+ISNUMBER(SEARCH("pay out",$B23))+ISNUMBER(SEARCH("reimburs",$B23))&gt;0,"Transfer",IF(ISNUMBER(SEARCH("loan",$B23))+ISNUMBER(SEARCH("amort",$B23))+ISNUMBER(SEARCH("installment",$B23))+ISNUMBER(SEARCH("instalment",$B23))&gt;0,"Financing",IF(ISNUMBER(SEARCH("draw",$B23))+ISNUMBER(SEARCH("owner",$B23))+ISNUMBER(SEARCH("asset",$B23))+ISNUMBER(SEARCH("capital",$B23))&gt;0,"Other",IF(ISNUMBER(SEARCH("fuel",$B23))+ISNUMBER(SEARCH("diesel",$B23))+ISNUMBER(SEARCH("krudo",$B23))+ISNUMBER(SEARCH("gasolina",$B23))+ISNUMBER(SEARCH("toll",$B23))+ISNUMBER(SEARCH("parking",$B23))+ISNUMBER(SEARCH("repair",$B23))+ISNUMBER(SEARCH("maintenance",$B23))+ISNUMBER(SEARCH("tire",$B23))+ISNUMBER(SEARCH("tyre",$B23))+ISNUMBER(SEARCH("battery",$B23))+ISNUMBER(SEARCH("oil",$B23))+ISNUMBER(SEARCH("filter",$B23))+ISNUMBER(SEARCH("spare",$B23))+ISNUMBER(SEARCH("insurance",$B23))+ISNUMBER(SEARCH("lto",$B23))+ISNUMBER(SEARCH("registration",$B23))+ISNUMBER(SEARCH("emission",$B23))+ISNUMBER(SEARCH("wash",$B23))+ISNUMBER(SEARCH("weigh",$B23))+ISNUMBER(SEARCH("tarp",$B23))&gt;0,"Vehicle",IF(ISNUMBER(SEARCH("rent",$B23))+ISNUMBER(SEARCH("upa",$B23))+ISNUMBER(SEARCH("salary",$B23))+ISNUMBER(SEARCH("sweldo",$B23))+ISNUMBER(SEARCH("wage",$B23))+ISNUMBER(SEARCH("electric",$B23))+ISNUMBER(SEARCH("kuryente",$B23))+ISNUMBER(SEARCH("water",$B23))+ISNUMBER(SEARCH("tubig",$B23))+ISNUMBER(SEARCH("internet",$B23))+ISNUMBER(SEARCH("pldt",$B23))+ISNUMBER(SEARCH("meralco",$B23))+ISNUMBER(SEARCH("supplies",$B23))+ISNUMBER(SEARCH("office",$B23))+ISNUMBER(SEARCH("professional",$B23))+ISNUMBER(SEARCH("accountant",$B23))+ISNUMBER(SEARCH("lawyer",$B23))+ISNUMBER(SEARCH("broker",$B23))+ISNUMBER(SEARCH("bank",$B23))+ISNUMBER(SEARCH("charge",$B23))+ISNUMBER(SEARCH("permit",$B23))+ISNUMBER(SEARCH("bir",$B23))+ISNUMBER(SEARCH("ltfrb",$B23))+ISNUMBER(SEARCH("misc",$B23))+ISNUMBER(SEARCH("fee",$B23))&gt;0,"Overhead","Overhead")))))))</f>
        <v/>
      </c>
      <c r="J23">
        <f>IF($A23="","",DATE(YEAR($A23),MONTH($A23),1))</f>
        <v/>
      </c>
      <c r="K23">
        <f>IF($B23="","",IF(COUNTIF(Setup!$A$99:$A$128,$B23)&gt;0,0,1))</f>
        <v/>
      </c>
      <c r="L23">
        <f>IF($B23="","",IF(ISNUMBER(SEARCH("advance",$B23)),"ADV",IF(OR(ISNUMBER(SEARCH("payout",$B23)),ISNUMBER(SEARCH("pay out",$B23)),ISNUMBER(SEARCH("release",$B23))),"PAY","")))</f>
        <v/>
      </c>
      <c r="M23">
        <f>IF($B23="","",IF(ISNUMBER(SEARCH("bulk",$B23)),0,IF(ISNUMBER(SEARCH("fuel",$B23))+ISNUMBER(SEARCH("diesel",$B23))+ISNUMBER(SEARCH("krudo",$B23))+ISNUMBER(SEARCH("gasolina",$B23))&gt;0,1,0)))</f>
        <v/>
      </c>
      <c r="N23">
        <f>IF($B23="","",IF(ISNUMBER(SEARCH("fuel",$B23))+ISNUMBER(SEARCH("diesel",$B23))+ISNUMBER(SEARCH("krudo",$B23))+ISNUMBER(SEARCH("gasolina",$B23))&gt;0,1,0))</f>
        <v/>
      </c>
    </row>
    <row r="24">
      <c r="A24" s="94" t="n">
        <v>46298</v>
      </c>
      <c r="B24" s="96" t="inlineStr">
        <is>
          <t>Cash Advance</t>
        </is>
      </c>
      <c r="C24" s="96" t="inlineStr">
        <is>
          <t>Trip pocket money</t>
        </is>
      </c>
      <c r="D24" s="95" t="inlineStr"/>
      <c r="E24" s="96" t="inlineStr">
        <is>
          <t>J. Santos</t>
        </is>
      </c>
      <c r="F24" s="99" t="n">
        <v>3000</v>
      </c>
      <c r="G24" s="95" t="inlineStr">
        <is>
          <t>Cash</t>
        </is>
      </c>
      <c r="H24" s="95" t="inlineStr">
        <is>
          <t>N</t>
        </is>
      </c>
      <c r="I24" s="101">
        <f>IF($B24="","",IF(COUNTIF(Setup!$A$99:$A$128,$B24)&gt;0,IF(INDEX(Setup!$B$99:$B$128,MATCH($B24,Setup!$A$99:$A$128,0))="","Overhead",INDEX(Setup!$B$99:$B$128,MATCH($B24,Setup!$A$99:$A$128,0))),IF(ISNUMBER(SEARCH("advance",$B24))+ISNUMBER(SEARCH("payout",$B24))+ISNUMBER(SEARCH("pay out",$B24))+ISNUMBER(SEARCH("reimburs",$B24))&gt;0,"Transfer",IF(ISNUMBER(SEARCH("loan",$B24))+ISNUMBER(SEARCH("amort",$B24))+ISNUMBER(SEARCH("installment",$B24))+ISNUMBER(SEARCH("instalment",$B24))&gt;0,"Financing",IF(ISNUMBER(SEARCH("draw",$B24))+ISNUMBER(SEARCH("owner",$B24))+ISNUMBER(SEARCH("asset",$B24))+ISNUMBER(SEARCH("capital",$B24))&gt;0,"Other",IF(ISNUMBER(SEARCH("fuel",$B24))+ISNUMBER(SEARCH("diesel",$B24))+ISNUMBER(SEARCH("krudo",$B24))+ISNUMBER(SEARCH("gasolina",$B24))+ISNUMBER(SEARCH("toll",$B24))+ISNUMBER(SEARCH("parking",$B24))+ISNUMBER(SEARCH("repair",$B24))+ISNUMBER(SEARCH("maintenance",$B24))+ISNUMBER(SEARCH("tire",$B24))+ISNUMBER(SEARCH("tyre",$B24))+ISNUMBER(SEARCH("battery",$B24))+ISNUMBER(SEARCH("oil",$B24))+ISNUMBER(SEARCH("filter",$B24))+ISNUMBER(SEARCH("spare",$B24))+ISNUMBER(SEARCH("insurance",$B24))+ISNUMBER(SEARCH("lto",$B24))+ISNUMBER(SEARCH("registration",$B24))+ISNUMBER(SEARCH("emission",$B24))+ISNUMBER(SEARCH("wash",$B24))+ISNUMBER(SEARCH("weigh",$B24))+ISNUMBER(SEARCH("tarp",$B24))&gt;0,"Vehicle",IF(ISNUMBER(SEARCH("rent",$B24))+ISNUMBER(SEARCH("upa",$B24))+ISNUMBER(SEARCH("salary",$B24))+ISNUMBER(SEARCH("sweldo",$B24))+ISNUMBER(SEARCH("wage",$B24))+ISNUMBER(SEARCH("electric",$B24))+ISNUMBER(SEARCH("kuryente",$B24))+ISNUMBER(SEARCH("water",$B24))+ISNUMBER(SEARCH("tubig",$B24))+ISNUMBER(SEARCH("internet",$B24))+ISNUMBER(SEARCH("pldt",$B24))+ISNUMBER(SEARCH("meralco",$B24))+ISNUMBER(SEARCH("supplies",$B24))+ISNUMBER(SEARCH("office",$B24))+ISNUMBER(SEARCH("professional",$B24))+ISNUMBER(SEARCH("accountant",$B24))+ISNUMBER(SEARCH("lawyer",$B24))+ISNUMBER(SEARCH("broker",$B24))+ISNUMBER(SEARCH("bank",$B24))+ISNUMBER(SEARCH("charge",$B24))+ISNUMBER(SEARCH("permit",$B24))+ISNUMBER(SEARCH("bir",$B24))+ISNUMBER(SEARCH("ltfrb",$B24))+ISNUMBER(SEARCH("misc",$B24))+ISNUMBER(SEARCH("fee",$B24))&gt;0,"Overhead","Overhead")))))))</f>
        <v/>
      </c>
      <c r="J24">
        <f>IF($A24="","",DATE(YEAR($A24),MONTH($A24),1))</f>
        <v/>
      </c>
      <c r="K24">
        <f>IF($B24="","",IF(COUNTIF(Setup!$A$99:$A$128,$B24)&gt;0,0,1))</f>
        <v/>
      </c>
      <c r="L24">
        <f>IF($B24="","",IF(ISNUMBER(SEARCH("advance",$B24)),"ADV",IF(OR(ISNUMBER(SEARCH("payout",$B24)),ISNUMBER(SEARCH("pay out",$B24)),ISNUMBER(SEARCH("release",$B24))),"PAY","")))</f>
        <v/>
      </c>
      <c r="M24">
        <f>IF($B24="","",IF(ISNUMBER(SEARCH("bulk",$B24)),0,IF(ISNUMBER(SEARCH("fuel",$B24))+ISNUMBER(SEARCH("diesel",$B24))+ISNUMBER(SEARCH("krudo",$B24))+ISNUMBER(SEARCH("gasolina",$B24))&gt;0,1,0)))</f>
        <v/>
      </c>
      <c r="N24">
        <f>IF($B24="","",IF(ISNUMBER(SEARCH("fuel",$B24))+ISNUMBER(SEARCH("diesel",$B24))+ISNUMBER(SEARCH("krudo",$B24))+ISNUMBER(SEARCH("gasolina",$B24))&gt;0,1,0))</f>
        <v/>
      </c>
    </row>
    <row r="25">
      <c r="A25" s="86" t="n">
        <v>46303</v>
      </c>
      <c r="B25" s="88" t="inlineStr">
        <is>
          <t>Spare Parts &amp; Lubricants</t>
        </is>
      </c>
      <c r="C25" s="88" t="inlineStr">
        <is>
          <t>Oil filters + coolant</t>
        </is>
      </c>
      <c r="D25" s="87" t="inlineStr">
        <is>
          <t>TRUCK 1</t>
        </is>
      </c>
      <c r="E25" s="88" t="inlineStr">
        <is>
          <t>Truck Parts Center</t>
        </is>
      </c>
      <c r="F25" s="92" t="n">
        <v>3900</v>
      </c>
      <c r="G25" s="87" t="inlineStr">
        <is>
          <t>Cash</t>
        </is>
      </c>
      <c r="H25" s="87" t="inlineStr">
        <is>
          <t>Y</t>
        </is>
      </c>
      <c r="I25" s="101">
        <f>IF($B25="","",IF(COUNTIF(Setup!$A$99:$A$128,$B25)&gt;0,IF(INDEX(Setup!$B$99:$B$128,MATCH($B25,Setup!$A$99:$A$128,0))="","Overhead",INDEX(Setup!$B$99:$B$128,MATCH($B25,Setup!$A$99:$A$128,0))),IF(ISNUMBER(SEARCH("advance",$B25))+ISNUMBER(SEARCH("payout",$B25))+ISNUMBER(SEARCH("pay out",$B25))+ISNUMBER(SEARCH("reimburs",$B25))&gt;0,"Transfer",IF(ISNUMBER(SEARCH("loan",$B25))+ISNUMBER(SEARCH("amort",$B25))+ISNUMBER(SEARCH("installment",$B25))+ISNUMBER(SEARCH("instalment",$B25))&gt;0,"Financing",IF(ISNUMBER(SEARCH("draw",$B25))+ISNUMBER(SEARCH("owner",$B25))+ISNUMBER(SEARCH("asset",$B25))+ISNUMBER(SEARCH("capital",$B25))&gt;0,"Other",IF(ISNUMBER(SEARCH("fuel",$B25))+ISNUMBER(SEARCH("diesel",$B25))+ISNUMBER(SEARCH("krudo",$B25))+ISNUMBER(SEARCH("gasolina",$B25))+ISNUMBER(SEARCH("toll",$B25))+ISNUMBER(SEARCH("parking",$B25))+ISNUMBER(SEARCH("repair",$B25))+ISNUMBER(SEARCH("maintenance",$B25))+ISNUMBER(SEARCH("tire",$B25))+ISNUMBER(SEARCH("tyre",$B25))+ISNUMBER(SEARCH("battery",$B25))+ISNUMBER(SEARCH("oil",$B25))+ISNUMBER(SEARCH("filter",$B25))+ISNUMBER(SEARCH("spare",$B25))+ISNUMBER(SEARCH("insurance",$B25))+ISNUMBER(SEARCH("lto",$B25))+ISNUMBER(SEARCH("registration",$B25))+ISNUMBER(SEARCH("emission",$B25))+ISNUMBER(SEARCH("wash",$B25))+ISNUMBER(SEARCH("weigh",$B25))+ISNUMBER(SEARCH("tarp",$B25))&gt;0,"Vehicle",IF(ISNUMBER(SEARCH("rent",$B25))+ISNUMBER(SEARCH("upa",$B25))+ISNUMBER(SEARCH("salary",$B25))+ISNUMBER(SEARCH("sweldo",$B25))+ISNUMBER(SEARCH("wage",$B25))+ISNUMBER(SEARCH("electric",$B25))+ISNUMBER(SEARCH("kuryente",$B25))+ISNUMBER(SEARCH("water",$B25))+ISNUMBER(SEARCH("tubig",$B25))+ISNUMBER(SEARCH("internet",$B25))+ISNUMBER(SEARCH("pldt",$B25))+ISNUMBER(SEARCH("meralco",$B25))+ISNUMBER(SEARCH("supplies",$B25))+ISNUMBER(SEARCH("office",$B25))+ISNUMBER(SEARCH("professional",$B25))+ISNUMBER(SEARCH("accountant",$B25))+ISNUMBER(SEARCH("lawyer",$B25))+ISNUMBER(SEARCH("broker",$B25))+ISNUMBER(SEARCH("bank",$B25))+ISNUMBER(SEARCH("charge",$B25))+ISNUMBER(SEARCH("permit",$B25))+ISNUMBER(SEARCH("bir",$B25))+ISNUMBER(SEARCH("ltfrb",$B25))+ISNUMBER(SEARCH("misc",$B25))+ISNUMBER(SEARCH("fee",$B25))&gt;0,"Overhead","Overhead")))))))</f>
        <v/>
      </c>
      <c r="J25">
        <f>IF($A25="","",DATE(YEAR($A25),MONTH($A25),1))</f>
        <v/>
      </c>
      <c r="K25">
        <f>IF($B25="","",IF(COUNTIF(Setup!$A$99:$A$128,$B25)&gt;0,0,1))</f>
        <v/>
      </c>
      <c r="L25">
        <f>IF($B25="","",IF(ISNUMBER(SEARCH("advance",$B25)),"ADV",IF(OR(ISNUMBER(SEARCH("payout",$B25)),ISNUMBER(SEARCH("pay out",$B25)),ISNUMBER(SEARCH("release",$B25))),"PAY","")))</f>
        <v/>
      </c>
      <c r="M25">
        <f>IF($B25="","",IF(ISNUMBER(SEARCH("bulk",$B25)),0,IF(ISNUMBER(SEARCH("fuel",$B25))+ISNUMBER(SEARCH("diesel",$B25))+ISNUMBER(SEARCH("krudo",$B25))+ISNUMBER(SEARCH("gasolina",$B25))&gt;0,1,0)))</f>
        <v/>
      </c>
      <c r="N25">
        <f>IF($B25="","",IF(ISNUMBER(SEARCH("fuel",$B25))+ISNUMBER(SEARCH("diesel",$B25))+ISNUMBER(SEARCH("krudo",$B25))+ISNUMBER(SEARCH("gasolina",$B25))&gt;0,1,0))</f>
        <v/>
      </c>
    </row>
    <row r="26">
      <c r="A26" s="94" t="n">
        <v>46305</v>
      </c>
      <c r="B26" s="96" t="inlineStr">
        <is>
          <t>Truck Washing</t>
        </is>
      </c>
      <c r="C26" s="96" t="inlineStr">
        <is>
          <t>Wash + greasing</t>
        </is>
      </c>
      <c r="D26" s="95" t="inlineStr">
        <is>
          <t>TRUCK 1</t>
        </is>
      </c>
      <c r="E26" s="96" t="inlineStr">
        <is>
          <t>Jomar Carwash</t>
        </is>
      </c>
      <c r="F26" s="99" t="n">
        <v>700</v>
      </c>
      <c r="G26" s="95" t="inlineStr">
        <is>
          <t>Cash</t>
        </is>
      </c>
      <c r="H26" s="95" t="inlineStr">
        <is>
          <t>N</t>
        </is>
      </c>
      <c r="I26" s="101">
        <f>IF($B26="","",IF(COUNTIF(Setup!$A$99:$A$128,$B26)&gt;0,IF(INDEX(Setup!$B$99:$B$128,MATCH($B26,Setup!$A$99:$A$128,0))="","Overhead",INDEX(Setup!$B$99:$B$128,MATCH($B26,Setup!$A$99:$A$128,0))),IF(ISNUMBER(SEARCH("advance",$B26))+ISNUMBER(SEARCH("payout",$B26))+ISNUMBER(SEARCH("pay out",$B26))+ISNUMBER(SEARCH("reimburs",$B26))&gt;0,"Transfer",IF(ISNUMBER(SEARCH("loan",$B26))+ISNUMBER(SEARCH("amort",$B26))+ISNUMBER(SEARCH("installment",$B26))+ISNUMBER(SEARCH("instalment",$B26))&gt;0,"Financing",IF(ISNUMBER(SEARCH("draw",$B26))+ISNUMBER(SEARCH("owner",$B26))+ISNUMBER(SEARCH("asset",$B26))+ISNUMBER(SEARCH("capital",$B26))&gt;0,"Other",IF(ISNUMBER(SEARCH("fuel",$B26))+ISNUMBER(SEARCH("diesel",$B26))+ISNUMBER(SEARCH("krudo",$B26))+ISNUMBER(SEARCH("gasolina",$B26))+ISNUMBER(SEARCH("toll",$B26))+ISNUMBER(SEARCH("parking",$B26))+ISNUMBER(SEARCH("repair",$B26))+ISNUMBER(SEARCH("maintenance",$B26))+ISNUMBER(SEARCH("tire",$B26))+ISNUMBER(SEARCH("tyre",$B26))+ISNUMBER(SEARCH("battery",$B26))+ISNUMBER(SEARCH("oil",$B26))+ISNUMBER(SEARCH("filter",$B26))+ISNUMBER(SEARCH("spare",$B26))+ISNUMBER(SEARCH("insurance",$B26))+ISNUMBER(SEARCH("lto",$B26))+ISNUMBER(SEARCH("registration",$B26))+ISNUMBER(SEARCH("emission",$B26))+ISNUMBER(SEARCH("wash",$B26))+ISNUMBER(SEARCH("weigh",$B26))+ISNUMBER(SEARCH("tarp",$B26))&gt;0,"Vehicle",IF(ISNUMBER(SEARCH("rent",$B26))+ISNUMBER(SEARCH("upa",$B26))+ISNUMBER(SEARCH("salary",$B26))+ISNUMBER(SEARCH("sweldo",$B26))+ISNUMBER(SEARCH("wage",$B26))+ISNUMBER(SEARCH("electric",$B26))+ISNUMBER(SEARCH("kuryente",$B26))+ISNUMBER(SEARCH("water",$B26))+ISNUMBER(SEARCH("tubig",$B26))+ISNUMBER(SEARCH("internet",$B26))+ISNUMBER(SEARCH("pldt",$B26))+ISNUMBER(SEARCH("meralco",$B26))+ISNUMBER(SEARCH("supplies",$B26))+ISNUMBER(SEARCH("office",$B26))+ISNUMBER(SEARCH("professional",$B26))+ISNUMBER(SEARCH("accountant",$B26))+ISNUMBER(SEARCH("lawyer",$B26))+ISNUMBER(SEARCH("broker",$B26))+ISNUMBER(SEARCH("bank",$B26))+ISNUMBER(SEARCH("charge",$B26))+ISNUMBER(SEARCH("permit",$B26))+ISNUMBER(SEARCH("bir",$B26))+ISNUMBER(SEARCH("ltfrb",$B26))+ISNUMBER(SEARCH("misc",$B26))+ISNUMBER(SEARCH("fee",$B26))&gt;0,"Overhead","Overhead")))))))</f>
        <v/>
      </c>
      <c r="J26">
        <f>IF($A26="","",DATE(YEAR($A26),MONTH($A26),1))</f>
        <v/>
      </c>
      <c r="K26">
        <f>IF($B26="","",IF(COUNTIF(Setup!$A$99:$A$128,$B26)&gt;0,0,1))</f>
        <v/>
      </c>
      <c r="L26">
        <f>IF($B26="","",IF(ISNUMBER(SEARCH("advance",$B26)),"ADV",IF(OR(ISNUMBER(SEARCH("payout",$B26)),ISNUMBER(SEARCH("pay out",$B26)),ISNUMBER(SEARCH("release",$B26))),"PAY","")))</f>
        <v/>
      </c>
      <c r="M26">
        <f>IF($B26="","",IF(ISNUMBER(SEARCH("bulk",$B26)),0,IF(ISNUMBER(SEARCH("fuel",$B26))+ISNUMBER(SEARCH("diesel",$B26))+ISNUMBER(SEARCH("krudo",$B26))+ISNUMBER(SEARCH("gasolina",$B26))&gt;0,1,0)))</f>
        <v/>
      </c>
      <c r="N26">
        <f>IF($B26="","",IF(ISNUMBER(SEARCH("fuel",$B26))+ISNUMBER(SEARCH("diesel",$B26))+ISNUMBER(SEARCH("krudo",$B26))+ISNUMBER(SEARCH("gasolina",$B26))&gt;0,1,0))</f>
        <v/>
      </c>
    </row>
    <row r="27">
      <c r="A27" s="86" t="n">
        <v>46307</v>
      </c>
      <c r="B27" s="88" t="inlineStr">
        <is>
          <t>Owner's Draw</t>
        </is>
      </c>
      <c r="C27" s="88" t="inlineStr">
        <is>
          <t>Owner's personal withdrawal</t>
        </is>
      </c>
      <c r="D27" s="87" t="inlineStr"/>
      <c r="E27" s="88" t="inlineStr">
        <is>
          <t>Owner</t>
        </is>
      </c>
      <c r="F27" s="92" t="n">
        <v>15000</v>
      </c>
      <c r="G27" s="87" t="inlineStr">
        <is>
          <t>Cash</t>
        </is>
      </c>
      <c r="H27" s="87" t="inlineStr">
        <is>
          <t>N</t>
        </is>
      </c>
      <c r="I27" s="101">
        <f>IF($B27="","",IF(COUNTIF(Setup!$A$99:$A$128,$B27)&gt;0,IF(INDEX(Setup!$B$99:$B$128,MATCH($B27,Setup!$A$99:$A$128,0))="","Overhead",INDEX(Setup!$B$99:$B$128,MATCH($B27,Setup!$A$99:$A$128,0))),IF(ISNUMBER(SEARCH("advance",$B27))+ISNUMBER(SEARCH("payout",$B27))+ISNUMBER(SEARCH("pay out",$B27))+ISNUMBER(SEARCH("reimburs",$B27))&gt;0,"Transfer",IF(ISNUMBER(SEARCH("loan",$B27))+ISNUMBER(SEARCH("amort",$B27))+ISNUMBER(SEARCH("installment",$B27))+ISNUMBER(SEARCH("instalment",$B27))&gt;0,"Financing",IF(ISNUMBER(SEARCH("draw",$B27))+ISNUMBER(SEARCH("owner",$B27))+ISNUMBER(SEARCH("asset",$B27))+ISNUMBER(SEARCH("capital",$B27))&gt;0,"Other",IF(ISNUMBER(SEARCH("fuel",$B27))+ISNUMBER(SEARCH("diesel",$B27))+ISNUMBER(SEARCH("krudo",$B27))+ISNUMBER(SEARCH("gasolina",$B27))+ISNUMBER(SEARCH("toll",$B27))+ISNUMBER(SEARCH("parking",$B27))+ISNUMBER(SEARCH("repair",$B27))+ISNUMBER(SEARCH("maintenance",$B27))+ISNUMBER(SEARCH("tire",$B27))+ISNUMBER(SEARCH("tyre",$B27))+ISNUMBER(SEARCH("battery",$B27))+ISNUMBER(SEARCH("oil",$B27))+ISNUMBER(SEARCH("filter",$B27))+ISNUMBER(SEARCH("spare",$B27))+ISNUMBER(SEARCH("insurance",$B27))+ISNUMBER(SEARCH("lto",$B27))+ISNUMBER(SEARCH("registration",$B27))+ISNUMBER(SEARCH("emission",$B27))+ISNUMBER(SEARCH("wash",$B27))+ISNUMBER(SEARCH("weigh",$B27))+ISNUMBER(SEARCH("tarp",$B27))&gt;0,"Vehicle",IF(ISNUMBER(SEARCH("rent",$B27))+ISNUMBER(SEARCH("upa",$B27))+ISNUMBER(SEARCH("salary",$B27))+ISNUMBER(SEARCH("sweldo",$B27))+ISNUMBER(SEARCH("wage",$B27))+ISNUMBER(SEARCH("electric",$B27))+ISNUMBER(SEARCH("kuryente",$B27))+ISNUMBER(SEARCH("water",$B27))+ISNUMBER(SEARCH("tubig",$B27))+ISNUMBER(SEARCH("internet",$B27))+ISNUMBER(SEARCH("pldt",$B27))+ISNUMBER(SEARCH("meralco",$B27))+ISNUMBER(SEARCH("supplies",$B27))+ISNUMBER(SEARCH("office",$B27))+ISNUMBER(SEARCH("professional",$B27))+ISNUMBER(SEARCH("accountant",$B27))+ISNUMBER(SEARCH("lawyer",$B27))+ISNUMBER(SEARCH("broker",$B27))+ISNUMBER(SEARCH("bank",$B27))+ISNUMBER(SEARCH("charge",$B27))+ISNUMBER(SEARCH("permit",$B27))+ISNUMBER(SEARCH("bir",$B27))+ISNUMBER(SEARCH("ltfrb",$B27))+ISNUMBER(SEARCH("misc",$B27))+ISNUMBER(SEARCH("fee",$B27))&gt;0,"Overhead","Overhead")))))))</f>
        <v/>
      </c>
      <c r="J27">
        <f>IF($A27="","",DATE(YEAR($A27),MONTH($A27),1))</f>
        <v/>
      </c>
      <c r="K27">
        <f>IF($B27="","",IF(COUNTIF(Setup!$A$99:$A$128,$B27)&gt;0,0,1))</f>
        <v/>
      </c>
      <c r="L27">
        <f>IF($B27="","",IF(ISNUMBER(SEARCH("advance",$B27)),"ADV",IF(OR(ISNUMBER(SEARCH("payout",$B27)),ISNUMBER(SEARCH("pay out",$B27)),ISNUMBER(SEARCH("release",$B27))),"PAY","")))</f>
        <v/>
      </c>
      <c r="M27">
        <f>IF($B27="","",IF(ISNUMBER(SEARCH("bulk",$B27)),0,IF(ISNUMBER(SEARCH("fuel",$B27))+ISNUMBER(SEARCH("diesel",$B27))+ISNUMBER(SEARCH("krudo",$B27))+ISNUMBER(SEARCH("gasolina",$B27))&gt;0,1,0)))</f>
        <v/>
      </c>
      <c r="N27">
        <f>IF($B27="","",IF(ISNUMBER(SEARCH("fuel",$B27))+ISNUMBER(SEARCH("diesel",$B27))+ISNUMBER(SEARCH("krudo",$B27))+ISNUMBER(SEARCH("gasolina",$B27))&gt;0,1,0))</f>
        <v/>
      </c>
    </row>
    <row r="28">
      <c r="A28" s="94" t="n">
        <v>46310</v>
      </c>
      <c r="B28" s="96" t="inlineStr">
        <is>
          <t>Loan Payment</t>
        </is>
      </c>
      <c r="C28" s="96" t="inlineStr">
        <is>
          <t>October amortisation</t>
        </is>
      </c>
      <c r="D28" s="95" t="inlineStr">
        <is>
          <t>TRUCK 1</t>
        </is>
      </c>
      <c r="E28" s="96" t="inlineStr">
        <is>
          <t>BDO Leasing</t>
        </is>
      </c>
      <c r="F28" s="99" t="n">
        <v>32000</v>
      </c>
      <c r="G28" s="95" t="inlineStr">
        <is>
          <t>Bank Transfer</t>
        </is>
      </c>
      <c r="H28" s="95" t="inlineStr">
        <is>
          <t>Y</t>
        </is>
      </c>
      <c r="I28" s="101">
        <f>IF($B28="","",IF(COUNTIF(Setup!$A$99:$A$128,$B28)&gt;0,IF(INDEX(Setup!$B$99:$B$128,MATCH($B28,Setup!$A$99:$A$128,0))="","Overhead",INDEX(Setup!$B$99:$B$128,MATCH($B28,Setup!$A$99:$A$128,0))),IF(ISNUMBER(SEARCH("advance",$B28))+ISNUMBER(SEARCH("payout",$B28))+ISNUMBER(SEARCH("pay out",$B28))+ISNUMBER(SEARCH("reimburs",$B28))&gt;0,"Transfer",IF(ISNUMBER(SEARCH("loan",$B28))+ISNUMBER(SEARCH("amort",$B28))+ISNUMBER(SEARCH("installment",$B28))+ISNUMBER(SEARCH("instalment",$B28))&gt;0,"Financing",IF(ISNUMBER(SEARCH("draw",$B28))+ISNUMBER(SEARCH("owner",$B28))+ISNUMBER(SEARCH("asset",$B28))+ISNUMBER(SEARCH("capital",$B28))&gt;0,"Other",IF(ISNUMBER(SEARCH("fuel",$B28))+ISNUMBER(SEARCH("diesel",$B28))+ISNUMBER(SEARCH("krudo",$B28))+ISNUMBER(SEARCH("gasolina",$B28))+ISNUMBER(SEARCH("toll",$B28))+ISNUMBER(SEARCH("parking",$B28))+ISNUMBER(SEARCH("repair",$B28))+ISNUMBER(SEARCH("maintenance",$B28))+ISNUMBER(SEARCH("tire",$B28))+ISNUMBER(SEARCH("tyre",$B28))+ISNUMBER(SEARCH("battery",$B28))+ISNUMBER(SEARCH("oil",$B28))+ISNUMBER(SEARCH("filter",$B28))+ISNUMBER(SEARCH("spare",$B28))+ISNUMBER(SEARCH("insurance",$B28))+ISNUMBER(SEARCH("lto",$B28))+ISNUMBER(SEARCH("registration",$B28))+ISNUMBER(SEARCH("emission",$B28))+ISNUMBER(SEARCH("wash",$B28))+ISNUMBER(SEARCH("weigh",$B28))+ISNUMBER(SEARCH("tarp",$B28))&gt;0,"Vehicle",IF(ISNUMBER(SEARCH("rent",$B28))+ISNUMBER(SEARCH("upa",$B28))+ISNUMBER(SEARCH("salary",$B28))+ISNUMBER(SEARCH("sweldo",$B28))+ISNUMBER(SEARCH("wage",$B28))+ISNUMBER(SEARCH("electric",$B28))+ISNUMBER(SEARCH("kuryente",$B28))+ISNUMBER(SEARCH("water",$B28))+ISNUMBER(SEARCH("tubig",$B28))+ISNUMBER(SEARCH("internet",$B28))+ISNUMBER(SEARCH("pldt",$B28))+ISNUMBER(SEARCH("meralco",$B28))+ISNUMBER(SEARCH("supplies",$B28))+ISNUMBER(SEARCH("office",$B28))+ISNUMBER(SEARCH("professional",$B28))+ISNUMBER(SEARCH("accountant",$B28))+ISNUMBER(SEARCH("lawyer",$B28))+ISNUMBER(SEARCH("broker",$B28))+ISNUMBER(SEARCH("bank",$B28))+ISNUMBER(SEARCH("charge",$B28))+ISNUMBER(SEARCH("permit",$B28))+ISNUMBER(SEARCH("bir",$B28))+ISNUMBER(SEARCH("ltfrb",$B28))+ISNUMBER(SEARCH("misc",$B28))+ISNUMBER(SEARCH("fee",$B28))&gt;0,"Overhead","Overhead")))))))</f>
        <v/>
      </c>
      <c r="J28">
        <f>IF($A28="","",DATE(YEAR($A28),MONTH($A28),1))</f>
        <v/>
      </c>
      <c r="K28">
        <f>IF($B28="","",IF(COUNTIF(Setup!$A$99:$A$128,$B28)&gt;0,0,1))</f>
        <v/>
      </c>
      <c r="L28">
        <f>IF($B28="","",IF(ISNUMBER(SEARCH("advance",$B28)),"ADV",IF(OR(ISNUMBER(SEARCH("payout",$B28)),ISNUMBER(SEARCH("pay out",$B28)),ISNUMBER(SEARCH("release",$B28))),"PAY","")))</f>
        <v/>
      </c>
      <c r="M28">
        <f>IF($B28="","",IF(ISNUMBER(SEARCH("bulk",$B28)),0,IF(ISNUMBER(SEARCH("fuel",$B28))+ISNUMBER(SEARCH("diesel",$B28))+ISNUMBER(SEARCH("krudo",$B28))+ISNUMBER(SEARCH("gasolina",$B28))&gt;0,1,0)))</f>
        <v/>
      </c>
      <c r="N28">
        <f>IF($B28="","",IF(ISNUMBER(SEARCH("fuel",$B28))+ISNUMBER(SEARCH("diesel",$B28))+ISNUMBER(SEARCH("krudo",$B28))+ISNUMBER(SEARCH("gasolina",$B28))&gt;0,1,0))</f>
        <v/>
      </c>
    </row>
    <row r="29">
      <c r="A29" s="86" t="n">
        <v>46310</v>
      </c>
      <c r="B29" s="88" t="inlineStr">
        <is>
          <t>Loan Payment</t>
        </is>
      </c>
      <c r="C29" s="88" t="inlineStr">
        <is>
          <t>October amortisation</t>
        </is>
      </c>
      <c r="D29" s="87" t="inlineStr">
        <is>
          <t>TRUCK 1</t>
        </is>
      </c>
      <c r="E29" s="88" t="inlineStr">
        <is>
          <t>Security Bank</t>
        </is>
      </c>
      <c r="F29" s="92" t="n">
        <v>18500</v>
      </c>
      <c r="G29" s="87" t="inlineStr">
        <is>
          <t>Bank Transfer</t>
        </is>
      </c>
      <c r="H29" s="87" t="inlineStr">
        <is>
          <t>Y</t>
        </is>
      </c>
      <c r="I29" s="101">
        <f>IF($B29="","",IF(COUNTIF(Setup!$A$99:$A$128,$B29)&gt;0,IF(INDEX(Setup!$B$99:$B$128,MATCH($B29,Setup!$A$99:$A$128,0))="","Overhead",INDEX(Setup!$B$99:$B$128,MATCH($B29,Setup!$A$99:$A$128,0))),IF(ISNUMBER(SEARCH("advance",$B29))+ISNUMBER(SEARCH("payout",$B29))+ISNUMBER(SEARCH("pay out",$B29))+ISNUMBER(SEARCH("reimburs",$B29))&gt;0,"Transfer",IF(ISNUMBER(SEARCH("loan",$B29))+ISNUMBER(SEARCH("amort",$B29))+ISNUMBER(SEARCH("installment",$B29))+ISNUMBER(SEARCH("instalment",$B29))&gt;0,"Financing",IF(ISNUMBER(SEARCH("draw",$B29))+ISNUMBER(SEARCH("owner",$B29))+ISNUMBER(SEARCH("asset",$B29))+ISNUMBER(SEARCH("capital",$B29))&gt;0,"Other",IF(ISNUMBER(SEARCH("fuel",$B29))+ISNUMBER(SEARCH("diesel",$B29))+ISNUMBER(SEARCH("krudo",$B29))+ISNUMBER(SEARCH("gasolina",$B29))+ISNUMBER(SEARCH("toll",$B29))+ISNUMBER(SEARCH("parking",$B29))+ISNUMBER(SEARCH("repair",$B29))+ISNUMBER(SEARCH("maintenance",$B29))+ISNUMBER(SEARCH("tire",$B29))+ISNUMBER(SEARCH("tyre",$B29))+ISNUMBER(SEARCH("battery",$B29))+ISNUMBER(SEARCH("oil",$B29))+ISNUMBER(SEARCH("filter",$B29))+ISNUMBER(SEARCH("spare",$B29))+ISNUMBER(SEARCH("insurance",$B29))+ISNUMBER(SEARCH("lto",$B29))+ISNUMBER(SEARCH("registration",$B29))+ISNUMBER(SEARCH("emission",$B29))+ISNUMBER(SEARCH("wash",$B29))+ISNUMBER(SEARCH("weigh",$B29))+ISNUMBER(SEARCH("tarp",$B29))&gt;0,"Vehicle",IF(ISNUMBER(SEARCH("rent",$B29))+ISNUMBER(SEARCH("upa",$B29))+ISNUMBER(SEARCH("salary",$B29))+ISNUMBER(SEARCH("sweldo",$B29))+ISNUMBER(SEARCH("wage",$B29))+ISNUMBER(SEARCH("electric",$B29))+ISNUMBER(SEARCH("kuryente",$B29))+ISNUMBER(SEARCH("water",$B29))+ISNUMBER(SEARCH("tubig",$B29))+ISNUMBER(SEARCH("internet",$B29))+ISNUMBER(SEARCH("pldt",$B29))+ISNUMBER(SEARCH("meralco",$B29))+ISNUMBER(SEARCH("supplies",$B29))+ISNUMBER(SEARCH("office",$B29))+ISNUMBER(SEARCH("professional",$B29))+ISNUMBER(SEARCH("accountant",$B29))+ISNUMBER(SEARCH("lawyer",$B29))+ISNUMBER(SEARCH("broker",$B29))+ISNUMBER(SEARCH("bank",$B29))+ISNUMBER(SEARCH("charge",$B29))+ISNUMBER(SEARCH("permit",$B29))+ISNUMBER(SEARCH("bir",$B29))+ISNUMBER(SEARCH("ltfrb",$B29))+ISNUMBER(SEARCH("misc",$B29))+ISNUMBER(SEARCH("fee",$B29))&gt;0,"Overhead","Overhead")))))))</f>
        <v/>
      </c>
      <c r="J29">
        <f>IF($A29="","",DATE(YEAR($A29),MONTH($A29),1))</f>
        <v/>
      </c>
      <c r="K29">
        <f>IF($B29="","",IF(COUNTIF(Setup!$A$99:$A$128,$B29)&gt;0,0,1))</f>
        <v/>
      </c>
      <c r="L29">
        <f>IF($B29="","",IF(ISNUMBER(SEARCH("advance",$B29)),"ADV",IF(OR(ISNUMBER(SEARCH("payout",$B29)),ISNUMBER(SEARCH("pay out",$B29)),ISNUMBER(SEARCH("release",$B29))),"PAY","")))</f>
        <v/>
      </c>
      <c r="M29">
        <f>IF($B29="","",IF(ISNUMBER(SEARCH("bulk",$B29)),0,IF(ISNUMBER(SEARCH("fuel",$B29))+ISNUMBER(SEARCH("diesel",$B29))+ISNUMBER(SEARCH("krudo",$B29))+ISNUMBER(SEARCH("gasolina",$B29))&gt;0,1,0)))</f>
        <v/>
      </c>
      <c r="N29">
        <f>IF($B29="","",IF(ISNUMBER(SEARCH("fuel",$B29))+ISNUMBER(SEARCH("diesel",$B29))+ISNUMBER(SEARCH("krudo",$B29))+ISNUMBER(SEARCH("gasolina",$B29))&gt;0,1,0))</f>
        <v/>
      </c>
    </row>
    <row r="30">
      <c r="A30" s="94" t="n">
        <v>46311</v>
      </c>
      <c r="B30" s="96" t="inlineStr">
        <is>
          <t>Rent</t>
        </is>
      </c>
      <c r="C30" s="96" t="inlineStr">
        <is>
          <t>Yard rent</t>
        </is>
      </c>
      <c r="D30" s="95" t="inlineStr"/>
      <c r="E30" s="96" t="inlineStr">
        <is>
          <t>Mrs. Lim</t>
        </is>
      </c>
      <c r="F30" s="99" t="n">
        <v>5000</v>
      </c>
      <c r="G30" s="95" t="inlineStr">
        <is>
          <t>Cash</t>
        </is>
      </c>
      <c r="H30" s="95" t="inlineStr">
        <is>
          <t>N</t>
        </is>
      </c>
      <c r="I30" s="101">
        <f>IF($B30="","",IF(COUNTIF(Setup!$A$99:$A$128,$B30)&gt;0,IF(INDEX(Setup!$B$99:$B$128,MATCH($B30,Setup!$A$99:$A$128,0))="","Overhead",INDEX(Setup!$B$99:$B$128,MATCH($B30,Setup!$A$99:$A$128,0))),IF(ISNUMBER(SEARCH("advance",$B30))+ISNUMBER(SEARCH("payout",$B30))+ISNUMBER(SEARCH("pay out",$B30))+ISNUMBER(SEARCH("reimburs",$B30))&gt;0,"Transfer",IF(ISNUMBER(SEARCH("loan",$B30))+ISNUMBER(SEARCH("amort",$B30))+ISNUMBER(SEARCH("installment",$B30))+ISNUMBER(SEARCH("instalment",$B30))&gt;0,"Financing",IF(ISNUMBER(SEARCH("draw",$B30))+ISNUMBER(SEARCH("owner",$B30))+ISNUMBER(SEARCH("asset",$B30))+ISNUMBER(SEARCH("capital",$B30))&gt;0,"Other",IF(ISNUMBER(SEARCH("fuel",$B30))+ISNUMBER(SEARCH("diesel",$B30))+ISNUMBER(SEARCH("krudo",$B30))+ISNUMBER(SEARCH("gasolina",$B30))+ISNUMBER(SEARCH("toll",$B30))+ISNUMBER(SEARCH("parking",$B30))+ISNUMBER(SEARCH("repair",$B30))+ISNUMBER(SEARCH("maintenance",$B30))+ISNUMBER(SEARCH("tire",$B30))+ISNUMBER(SEARCH("tyre",$B30))+ISNUMBER(SEARCH("battery",$B30))+ISNUMBER(SEARCH("oil",$B30))+ISNUMBER(SEARCH("filter",$B30))+ISNUMBER(SEARCH("spare",$B30))+ISNUMBER(SEARCH("insurance",$B30))+ISNUMBER(SEARCH("lto",$B30))+ISNUMBER(SEARCH("registration",$B30))+ISNUMBER(SEARCH("emission",$B30))+ISNUMBER(SEARCH("wash",$B30))+ISNUMBER(SEARCH("weigh",$B30))+ISNUMBER(SEARCH("tarp",$B30))&gt;0,"Vehicle",IF(ISNUMBER(SEARCH("rent",$B30))+ISNUMBER(SEARCH("upa",$B30))+ISNUMBER(SEARCH("salary",$B30))+ISNUMBER(SEARCH("sweldo",$B30))+ISNUMBER(SEARCH("wage",$B30))+ISNUMBER(SEARCH("electric",$B30))+ISNUMBER(SEARCH("kuryente",$B30))+ISNUMBER(SEARCH("water",$B30))+ISNUMBER(SEARCH("tubig",$B30))+ISNUMBER(SEARCH("internet",$B30))+ISNUMBER(SEARCH("pldt",$B30))+ISNUMBER(SEARCH("meralco",$B30))+ISNUMBER(SEARCH("supplies",$B30))+ISNUMBER(SEARCH("office",$B30))+ISNUMBER(SEARCH("professional",$B30))+ISNUMBER(SEARCH("accountant",$B30))+ISNUMBER(SEARCH("lawyer",$B30))+ISNUMBER(SEARCH("broker",$B30))+ISNUMBER(SEARCH("bank",$B30))+ISNUMBER(SEARCH("charge",$B30))+ISNUMBER(SEARCH("permit",$B30))+ISNUMBER(SEARCH("bir",$B30))+ISNUMBER(SEARCH("ltfrb",$B30))+ISNUMBER(SEARCH("misc",$B30))+ISNUMBER(SEARCH("fee",$B30))&gt;0,"Overhead","Overhead")))))))</f>
        <v/>
      </c>
      <c r="J30">
        <f>IF($A30="","",DATE(YEAR($A30),MONTH($A30),1))</f>
        <v/>
      </c>
      <c r="K30">
        <f>IF($B30="","",IF(COUNTIF(Setup!$A$99:$A$128,$B30)&gt;0,0,1))</f>
        <v/>
      </c>
      <c r="L30">
        <f>IF($B30="","",IF(ISNUMBER(SEARCH("advance",$B30)),"ADV",IF(OR(ISNUMBER(SEARCH("payout",$B30)),ISNUMBER(SEARCH("pay out",$B30)),ISNUMBER(SEARCH("release",$B30))),"PAY","")))</f>
        <v/>
      </c>
      <c r="M30">
        <f>IF($B30="","",IF(ISNUMBER(SEARCH("bulk",$B30)),0,IF(ISNUMBER(SEARCH("fuel",$B30))+ISNUMBER(SEARCH("diesel",$B30))+ISNUMBER(SEARCH("krudo",$B30))+ISNUMBER(SEARCH("gasolina",$B30))&gt;0,1,0)))</f>
        <v/>
      </c>
      <c r="N30">
        <f>IF($B30="","",IF(ISNUMBER(SEARCH("fuel",$B30))+ISNUMBER(SEARCH("diesel",$B30))+ISNUMBER(SEARCH("krudo",$B30))+ISNUMBER(SEARCH("gasolina",$B30))&gt;0,1,0))</f>
        <v/>
      </c>
    </row>
    <row r="31">
      <c r="A31" s="86" t="n">
        <v>46312</v>
      </c>
      <c r="B31" s="88" t="inlineStr">
        <is>
          <t>Utilities</t>
        </is>
      </c>
      <c r="C31" s="88" t="inlineStr">
        <is>
          <t>Water + internet</t>
        </is>
      </c>
      <c r="D31" s="87" t="inlineStr"/>
      <c r="E31" s="88" t="inlineStr">
        <is>
          <t>Meralco / PLDT</t>
        </is>
      </c>
      <c r="F31" s="92" t="n">
        <v>2800</v>
      </c>
      <c r="G31" s="87" t="inlineStr">
        <is>
          <t>GCash</t>
        </is>
      </c>
      <c r="H31" s="87" t="inlineStr">
        <is>
          <t>Y</t>
        </is>
      </c>
      <c r="I31" s="101">
        <f>IF($B31="","",IF(COUNTIF(Setup!$A$99:$A$128,$B31)&gt;0,IF(INDEX(Setup!$B$99:$B$128,MATCH($B31,Setup!$A$99:$A$128,0))="","Overhead",INDEX(Setup!$B$99:$B$128,MATCH($B31,Setup!$A$99:$A$128,0))),IF(ISNUMBER(SEARCH("advance",$B31))+ISNUMBER(SEARCH("payout",$B31))+ISNUMBER(SEARCH("pay out",$B31))+ISNUMBER(SEARCH("reimburs",$B31))&gt;0,"Transfer",IF(ISNUMBER(SEARCH("loan",$B31))+ISNUMBER(SEARCH("amort",$B31))+ISNUMBER(SEARCH("installment",$B31))+ISNUMBER(SEARCH("instalment",$B31))&gt;0,"Financing",IF(ISNUMBER(SEARCH("draw",$B31))+ISNUMBER(SEARCH("owner",$B31))+ISNUMBER(SEARCH("asset",$B31))+ISNUMBER(SEARCH("capital",$B31))&gt;0,"Other",IF(ISNUMBER(SEARCH("fuel",$B31))+ISNUMBER(SEARCH("diesel",$B31))+ISNUMBER(SEARCH("krudo",$B31))+ISNUMBER(SEARCH("gasolina",$B31))+ISNUMBER(SEARCH("toll",$B31))+ISNUMBER(SEARCH("parking",$B31))+ISNUMBER(SEARCH("repair",$B31))+ISNUMBER(SEARCH("maintenance",$B31))+ISNUMBER(SEARCH("tire",$B31))+ISNUMBER(SEARCH("tyre",$B31))+ISNUMBER(SEARCH("battery",$B31))+ISNUMBER(SEARCH("oil",$B31))+ISNUMBER(SEARCH("filter",$B31))+ISNUMBER(SEARCH("spare",$B31))+ISNUMBER(SEARCH("insurance",$B31))+ISNUMBER(SEARCH("lto",$B31))+ISNUMBER(SEARCH("registration",$B31))+ISNUMBER(SEARCH("emission",$B31))+ISNUMBER(SEARCH("wash",$B31))+ISNUMBER(SEARCH("weigh",$B31))+ISNUMBER(SEARCH("tarp",$B31))&gt;0,"Vehicle",IF(ISNUMBER(SEARCH("rent",$B31))+ISNUMBER(SEARCH("upa",$B31))+ISNUMBER(SEARCH("salary",$B31))+ISNUMBER(SEARCH("sweldo",$B31))+ISNUMBER(SEARCH("wage",$B31))+ISNUMBER(SEARCH("electric",$B31))+ISNUMBER(SEARCH("kuryente",$B31))+ISNUMBER(SEARCH("water",$B31))+ISNUMBER(SEARCH("tubig",$B31))+ISNUMBER(SEARCH("internet",$B31))+ISNUMBER(SEARCH("pldt",$B31))+ISNUMBER(SEARCH("meralco",$B31))+ISNUMBER(SEARCH("supplies",$B31))+ISNUMBER(SEARCH("office",$B31))+ISNUMBER(SEARCH("professional",$B31))+ISNUMBER(SEARCH("accountant",$B31))+ISNUMBER(SEARCH("lawyer",$B31))+ISNUMBER(SEARCH("broker",$B31))+ISNUMBER(SEARCH("bank",$B31))+ISNUMBER(SEARCH("charge",$B31))+ISNUMBER(SEARCH("permit",$B31))+ISNUMBER(SEARCH("bir",$B31))+ISNUMBER(SEARCH("ltfrb",$B31))+ISNUMBER(SEARCH("misc",$B31))+ISNUMBER(SEARCH("fee",$B31))&gt;0,"Overhead","Overhead")))))))</f>
        <v/>
      </c>
      <c r="J31">
        <f>IF($A31="","",DATE(YEAR($A31),MONTH($A31),1))</f>
        <v/>
      </c>
      <c r="K31">
        <f>IF($B31="","",IF(COUNTIF(Setup!$A$99:$A$128,$B31)&gt;0,0,1))</f>
        <v/>
      </c>
      <c r="L31">
        <f>IF($B31="","",IF(ISNUMBER(SEARCH("advance",$B31)),"ADV",IF(OR(ISNUMBER(SEARCH("payout",$B31)),ISNUMBER(SEARCH("pay out",$B31)),ISNUMBER(SEARCH("release",$B31))),"PAY","")))</f>
        <v/>
      </c>
      <c r="M31">
        <f>IF($B31="","",IF(ISNUMBER(SEARCH("bulk",$B31)),0,IF(ISNUMBER(SEARCH("fuel",$B31))+ISNUMBER(SEARCH("diesel",$B31))+ISNUMBER(SEARCH("krudo",$B31))+ISNUMBER(SEARCH("gasolina",$B31))&gt;0,1,0)))</f>
        <v/>
      </c>
      <c r="N31">
        <f>IF($B31="","",IF(ISNUMBER(SEARCH("fuel",$B31))+ISNUMBER(SEARCH("diesel",$B31))+ISNUMBER(SEARCH("krudo",$B31))+ISNUMBER(SEARCH("gasolina",$B31))&gt;0,1,0))</f>
        <v/>
      </c>
    </row>
    <row r="32">
      <c r="A32" s="94" t="n">
        <v>46314</v>
      </c>
      <c r="B32" s="96" t="inlineStr">
        <is>
          <t>Payroll Payout</t>
        </is>
      </c>
      <c r="C32" s="96" t="inlineStr">
        <is>
          <t>Mid-month release</t>
        </is>
      </c>
      <c r="D32" s="95" t="inlineStr"/>
      <c r="E32" s="96" t="inlineStr">
        <is>
          <t>R. Dela Cruz</t>
        </is>
      </c>
      <c r="F32" s="99" t="n">
        <v>10000</v>
      </c>
      <c r="G32" s="95" t="inlineStr">
        <is>
          <t>GCash</t>
        </is>
      </c>
      <c r="H32" s="95" t="inlineStr">
        <is>
          <t>N</t>
        </is>
      </c>
      <c r="I32" s="101">
        <f>IF($B32="","",IF(COUNTIF(Setup!$A$99:$A$128,$B32)&gt;0,IF(INDEX(Setup!$B$99:$B$128,MATCH($B32,Setup!$A$99:$A$128,0))="","Overhead",INDEX(Setup!$B$99:$B$128,MATCH($B32,Setup!$A$99:$A$128,0))),IF(ISNUMBER(SEARCH("advance",$B32))+ISNUMBER(SEARCH("payout",$B32))+ISNUMBER(SEARCH("pay out",$B32))+ISNUMBER(SEARCH("reimburs",$B32))&gt;0,"Transfer",IF(ISNUMBER(SEARCH("loan",$B32))+ISNUMBER(SEARCH("amort",$B32))+ISNUMBER(SEARCH("installment",$B32))+ISNUMBER(SEARCH("instalment",$B32))&gt;0,"Financing",IF(ISNUMBER(SEARCH("draw",$B32))+ISNUMBER(SEARCH("owner",$B32))+ISNUMBER(SEARCH("asset",$B32))+ISNUMBER(SEARCH("capital",$B32))&gt;0,"Other",IF(ISNUMBER(SEARCH("fuel",$B32))+ISNUMBER(SEARCH("diesel",$B32))+ISNUMBER(SEARCH("krudo",$B32))+ISNUMBER(SEARCH("gasolina",$B32))+ISNUMBER(SEARCH("toll",$B32))+ISNUMBER(SEARCH("parking",$B32))+ISNUMBER(SEARCH("repair",$B32))+ISNUMBER(SEARCH("maintenance",$B32))+ISNUMBER(SEARCH("tire",$B32))+ISNUMBER(SEARCH("tyre",$B32))+ISNUMBER(SEARCH("battery",$B32))+ISNUMBER(SEARCH("oil",$B32))+ISNUMBER(SEARCH("filter",$B32))+ISNUMBER(SEARCH("spare",$B32))+ISNUMBER(SEARCH("insurance",$B32))+ISNUMBER(SEARCH("lto",$B32))+ISNUMBER(SEARCH("registration",$B32))+ISNUMBER(SEARCH("emission",$B32))+ISNUMBER(SEARCH("wash",$B32))+ISNUMBER(SEARCH("weigh",$B32))+ISNUMBER(SEARCH("tarp",$B32))&gt;0,"Vehicle",IF(ISNUMBER(SEARCH("rent",$B32))+ISNUMBER(SEARCH("upa",$B32))+ISNUMBER(SEARCH("salary",$B32))+ISNUMBER(SEARCH("sweldo",$B32))+ISNUMBER(SEARCH("wage",$B32))+ISNUMBER(SEARCH("electric",$B32))+ISNUMBER(SEARCH("kuryente",$B32))+ISNUMBER(SEARCH("water",$B32))+ISNUMBER(SEARCH("tubig",$B32))+ISNUMBER(SEARCH("internet",$B32))+ISNUMBER(SEARCH("pldt",$B32))+ISNUMBER(SEARCH("meralco",$B32))+ISNUMBER(SEARCH("supplies",$B32))+ISNUMBER(SEARCH("office",$B32))+ISNUMBER(SEARCH("professional",$B32))+ISNUMBER(SEARCH("accountant",$B32))+ISNUMBER(SEARCH("lawyer",$B32))+ISNUMBER(SEARCH("broker",$B32))+ISNUMBER(SEARCH("bank",$B32))+ISNUMBER(SEARCH("charge",$B32))+ISNUMBER(SEARCH("permit",$B32))+ISNUMBER(SEARCH("bir",$B32))+ISNUMBER(SEARCH("ltfrb",$B32))+ISNUMBER(SEARCH("misc",$B32))+ISNUMBER(SEARCH("fee",$B32))&gt;0,"Overhead","Overhead")))))))</f>
        <v/>
      </c>
      <c r="J32">
        <f>IF($A32="","",DATE(YEAR($A32),MONTH($A32),1))</f>
        <v/>
      </c>
      <c r="K32">
        <f>IF($B32="","",IF(COUNTIF(Setup!$A$99:$A$128,$B32)&gt;0,0,1))</f>
        <v/>
      </c>
      <c r="L32">
        <f>IF($B32="","",IF(ISNUMBER(SEARCH("advance",$B32)),"ADV",IF(OR(ISNUMBER(SEARCH("payout",$B32)),ISNUMBER(SEARCH("pay out",$B32)),ISNUMBER(SEARCH("release",$B32))),"PAY","")))</f>
        <v/>
      </c>
      <c r="M32">
        <f>IF($B32="","",IF(ISNUMBER(SEARCH("bulk",$B32)),0,IF(ISNUMBER(SEARCH("fuel",$B32))+ISNUMBER(SEARCH("diesel",$B32))+ISNUMBER(SEARCH("krudo",$B32))+ISNUMBER(SEARCH("gasolina",$B32))&gt;0,1,0)))</f>
        <v/>
      </c>
      <c r="N32">
        <f>IF($B32="","",IF(ISNUMBER(SEARCH("fuel",$B32))+ISNUMBER(SEARCH("diesel",$B32))+ISNUMBER(SEARCH("krudo",$B32))+ISNUMBER(SEARCH("gasolina",$B32))&gt;0,1,0))</f>
        <v/>
      </c>
    </row>
    <row r="33">
      <c r="A33" s="86" t="n">
        <v>46315</v>
      </c>
      <c r="B33" s="88" t="inlineStr">
        <is>
          <t>Bank Charges</t>
        </is>
      </c>
      <c r="C33" s="88" t="inlineStr">
        <is>
          <t>InstaPay transfers</t>
        </is>
      </c>
      <c r="D33" s="87" t="inlineStr"/>
      <c r="E33" s="88" t="inlineStr">
        <is>
          <t>BDO</t>
        </is>
      </c>
      <c r="F33" s="92" t="n">
        <v>350</v>
      </c>
      <c r="G33" s="87" t="inlineStr">
        <is>
          <t>Bank Transfer</t>
        </is>
      </c>
      <c r="H33" s="87" t="inlineStr">
        <is>
          <t>Y</t>
        </is>
      </c>
      <c r="I33" s="101">
        <f>IF($B33="","",IF(COUNTIF(Setup!$A$99:$A$128,$B33)&gt;0,IF(INDEX(Setup!$B$99:$B$128,MATCH($B33,Setup!$A$99:$A$128,0))="","Overhead",INDEX(Setup!$B$99:$B$128,MATCH($B33,Setup!$A$99:$A$128,0))),IF(ISNUMBER(SEARCH("advance",$B33))+ISNUMBER(SEARCH("payout",$B33))+ISNUMBER(SEARCH("pay out",$B33))+ISNUMBER(SEARCH("reimburs",$B33))&gt;0,"Transfer",IF(ISNUMBER(SEARCH("loan",$B33))+ISNUMBER(SEARCH("amort",$B33))+ISNUMBER(SEARCH("installment",$B33))+ISNUMBER(SEARCH("instalment",$B33))&gt;0,"Financing",IF(ISNUMBER(SEARCH("draw",$B33))+ISNUMBER(SEARCH("owner",$B33))+ISNUMBER(SEARCH("asset",$B33))+ISNUMBER(SEARCH("capital",$B33))&gt;0,"Other",IF(ISNUMBER(SEARCH("fuel",$B33))+ISNUMBER(SEARCH("diesel",$B33))+ISNUMBER(SEARCH("krudo",$B33))+ISNUMBER(SEARCH("gasolina",$B33))+ISNUMBER(SEARCH("toll",$B33))+ISNUMBER(SEARCH("parking",$B33))+ISNUMBER(SEARCH("repair",$B33))+ISNUMBER(SEARCH("maintenance",$B33))+ISNUMBER(SEARCH("tire",$B33))+ISNUMBER(SEARCH("tyre",$B33))+ISNUMBER(SEARCH("battery",$B33))+ISNUMBER(SEARCH("oil",$B33))+ISNUMBER(SEARCH("filter",$B33))+ISNUMBER(SEARCH("spare",$B33))+ISNUMBER(SEARCH("insurance",$B33))+ISNUMBER(SEARCH("lto",$B33))+ISNUMBER(SEARCH("registration",$B33))+ISNUMBER(SEARCH("emission",$B33))+ISNUMBER(SEARCH("wash",$B33))+ISNUMBER(SEARCH("weigh",$B33))+ISNUMBER(SEARCH("tarp",$B33))&gt;0,"Vehicle",IF(ISNUMBER(SEARCH("rent",$B33))+ISNUMBER(SEARCH("upa",$B33))+ISNUMBER(SEARCH("salary",$B33))+ISNUMBER(SEARCH("sweldo",$B33))+ISNUMBER(SEARCH("wage",$B33))+ISNUMBER(SEARCH("electric",$B33))+ISNUMBER(SEARCH("kuryente",$B33))+ISNUMBER(SEARCH("water",$B33))+ISNUMBER(SEARCH("tubig",$B33))+ISNUMBER(SEARCH("internet",$B33))+ISNUMBER(SEARCH("pldt",$B33))+ISNUMBER(SEARCH("meralco",$B33))+ISNUMBER(SEARCH("supplies",$B33))+ISNUMBER(SEARCH("office",$B33))+ISNUMBER(SEARCH("professional",$B33))+ISNUMBER(SEARCH("accountant",$B33))+ISNUMBER(SEARCH("lawyer",$B33))+ISNUMBER(SEARCH("broker",$B33))+ISNUMBER(SEARCH("bank",$B33))+ISNUMBER(SEARCH("charge",$B33))+ISNUMBER(SEARCH("permit",$B33))+ISNUMBER(SEARCH("bir",$B33))+ISNUMBER(SEARCH("ltfrb",$B33))+ISNUMBER(SEARCH("misc",$B33))+ISNUMBER(SEARCH("fee",$B33))&gt;0,"Overhead","Overhead")))))))</f>
        <v/>
      </c>
      <c r="J33">
        <f>IF($A33="","",DATE(YEAR($A33),MONTH($A33),1))</f>
        <v/>
      </c>
      <c r="K33">
        <f>IF($B33="","",IF(COUNTIF(Setup!$A$99:$A$128,$B33)&gt;0,0,1))</f>
        <v/>
      </c>
      <c r="L33">
        <f>IF($B33="","",IF(ISNUMBER(SEARCH("advance",$B33)),"ADV",IF(OR(ISNUMBER(SEARCH("payout",$B33)),ISNUMBER(SEARCH("pay out",$B33)),ISNUMBER(SEARCH("release",$B33))),"PAY","")))</f>
        <v/>
      </c>
      <c r="M33">
        <f>IF($B33="","",IF(ISNUMBER(SEARCH("bulk",$B33)),0,IF(ISNUMBER(SEARCH("fuel",$B33))+ISNUMBER(SEARCH("diesel",$B33))+ISNUMBER(SEARCH("krudo",$B33))+ISNUMBER(SEARCH("gasolina",$B33))&gt;0,1,0)))</f>
        <v/>
      </c>
      <c r="N33">
        <f>IF($B33="","",IF(ISNUMBER(SEARCH("fuel",$B33))+ISNUMBER(SEARCH("diesel",$B33))+ISNUMBER(SEARCH("krudo",$B33))+ISNUMBER(SEARCH("gasolina",$B33))&gt;0,1,0))</f>
        <v/>
      </c>
    </row>
    <row r="34">
      <c r="A34" s="94" t="n"/>
      <c r="B34" s="96" t="n"/>
      <c r="C34" s="96" t="n"/>
      <c r="D34" s="95" t="n"/>
      <c r="E34" s="96" t="n"/>
      <c r="F34" s="99" t="n"/>
      <c r="G34" s="95" t="n"/>
      <c r="H34" s="95" t="n"/>
      <c r="I34" s="101">
        <f>IF($B34="","",IF(COUNTIF(Setup!$A$99:$A$128,$B34)&gt;0,IF(INDEX(Setup!$B$99:$B$128,MATCH($B34,Setup!$A$99:$A$128,0))="","Overhead",INDEX(Setup!$B$99:$B$128,MATCH($B34,Setup!$A$99:$A$128,0))),IF(ISNUMBER(SEARCH("advance",$B34))+ISNUMBER(SEARCH("payout",$B34))+ISNUMBER(SEARCH("pay out",$B34))+ISNUMBER(SEARCH("reimburs",$B34))&gt;0,"Transfer",IF(ISNUMBER(SEARCH("loan",$B34))+ISNUMBER(SEARCH("amort",$B34))+ISNUMBER(SEARCH("installment",$B34))+ISNUMBER(SEARCH("instalment",$B34))&gt;0,"Financing",IF(ISNUMBER(SEARCH("draw",$B34))+ISNUMBER(SEARCH("owner",$B34))+ISNUMBER(SEARCH("asset",$B34))+ISNUMBER(SEARCH("capital",$B34))&gt;0,"Other",IF(ISNUMBER(SEARCH("fuel",$B34))+ISNUMBER(SEARCH("diesel",$B34))+ISNUMBER(SEARCH("krudo",$B34))+ISNUMBER(SEARCH("gasolina",$B34))+ISNUMBER(SEARCH("toll",$B34))+ISNUMBER(SEARCH("parking",$B34))+ISNUMBER(SEARCH("repair",$B34))+ISNUMBER(SEARCH("maintenance",$B34))+ISNUMBER(SEARCH("tire",$B34))+ISNUMBER(SEARCH("tyre",$B34))+ISNUMBER(SEARCH("battery",$B34))+ISNUMBER(SEARCH("oil",$B34))+ISNUMBER(SEARCH("filter",$B34))+ISNUMBER(SEARCH("spare",$B34))+ISNUMBER(SEARCH("insurance",$B34))+ISNUMBER(SEARCH("lto",$B34))+ISNUMBER(SEARCH("registration",$B34))+ISNUMBER(SEARCH("emission",$B34))+ISNUMBER(SEARCH("wash",$B34))+ISNUMBER(SEARCH("weigh",$B34))+ISNUMBER(SEARCH("tarp",$B34))&gt;0,"Vehicle",IF(ISNUMBER(SEARCH("rent",$B34))+ISNUMBER(SEARCH("upa",$B34))+ISNUMBER(SEARCH("salary",$B34))+ISNUMBER(SEARCH("sweldo",$B34))+ISNUMBER(SEARCH("wage",$B34))+ISNUMBER(SEARCH("electric",$B34))+ISNUMBER(SEARCH("kuryente",$B34))+ISNUMBER(SEARCH("water",$B34))+ISNUMBER(SEARCH("tubig",$B34))+ISNUMBER(SEARCH("internet",$B34))+ISNUMBER(SEARCH("pldt",$B34))+ISNUMBER(SEARCH("meralco",$B34))+ISNUMBER(SEARCH("supplies",$B34))+ISNUMBER(SEARCH("office",$B34))+ISNUMBER(SEARCH("professional",$B34))+ISNUMBER(SEARCH("accountant",$B34))+ISNUMBER(SEARCH("lawyer",$B34))+ISNUMBER(SEARCH("broker",$B34))+ISNUMBER(SEARCH("bank",$B34))+ISNUMBER(SEARCH("charge",$B34))+ISNUMBER(SEARCH("permit",$B34))+ISNUMBER(SEARCH("bir",$B34))+ISNUMBER(SEARCH("ltfrb",$B34))+ISNUMBER(SEARCH("misc",$B34))+ISNUMBER(SEARCH("fee",$B34))&gt;0,"Overhead","Overhead")))))))</f>
        <v/>
      </c>
      <c r="J34">
        <f>IF($A34="","",DATE(YEAR($A34),MONTH($A34),1))</f>
        <v/>
      </c>
      <c r="K34">
        <f>IF($B34="","",IF(COUNTIF(Setup!$A$99:$A$128,$B34)&gt;0,0,1))</f>
        <v/>
      </c>
      <c r="L34">
        <f>IF($B34="","",IF(ISNUMBER(SEARCH("advance",$B34)),"ADV",IF(OR(ISNUMBER(SEARCH("payout",$B34)),ISNUMBER(SEARCH("pay out",$B34)),ISNUMBER(SEARCH("release",$B34))),"PAY","")))</f>
        <v/>
      </c>
      <c r="M34">
        <f>IF($B34="","",IF(ISNUMBER(SEARCH("bulk",$B34)),0,IF(ISNUMBER(SEARCH("fuel",$B34))+ISNUMBER(SEARCH("diesel",$B34))+ISNUMBER(SEARCH("krudo",$B34))+ISNUMBER(SEARCH("gasolina",$B34))&gt;0,1,0)))</f>
        <v/>
      </c>
      <c r="N34">
        <f>IF($B34="","",IF(ISNUMBER(SEARCH("fuel",$B34))+ISNUMBER(SEARCH("diesel",$B34))+ISNUMBER(SEARCH("krudo",$B34))+ISNUMBER(SEARCH("gasolina",$B34))&gt;0,1,0))</f>
        <v/>
      </c>
    </row>
    <row r="35">
      <c r="A35" s="86" t="n"/>
      <c r="B35" s="88" t="n"/>
      <c r="C35" s="88" t="n"/>
      <c r="D35" s="87" t="n"/>
      <c r="E35" s="88" t="n"/>
      <c r="F35" s="92" t="n"/>
      <c r="G35" s="87" t="n"/>
      <c r="H35" s="87" t="n"/>
      <c r="I35" s="101">
        <f>IF($B35="","",IF(COUNTIF(Setup!$A$99:$A$128,$B35)&gt;0,IF(INDEX(Setup!$B$99:$B$128,MATCH($B35,Setup!$A$99:$A$128,0))="","Overhead",INDEX(Setup!$B$99:$B$128,MATCH($B35,Setup!$A$99:$A$128,0))),IF(ISNUMBER(SEARCH("advance",$B35))+ISNUMBER(SEARCH("payout",$B35))+ISNUMBER(SEARCH("pay out",$B35))+ISNUMBER(SEARCH("reimburs",$B35))&gt;0,"Transfer",IF(ISNUMBER(SEARCH("loan",$B35))+ISNUMBER(SEARCH("amort",$B35))+ISNUMBER(SEARCH("installment",$B35))+ISNUMBER(SEARCH("instalment",$B35))&gt;0,"Financing",IF(ISNUMBER(SEARCH("draw",$B35))+ISNUMBER(SEARCH("owner",$B35))+ISNUMBER(SEARCH("asset",$B35))+ISNUMBER(SEARCH("capital",$B35))&gt;0,"Other",IF(ISNUMBER(SEARCH("fuel",$B35))+ISNUMBER(SEARCH("diesel",$B35))+ISNUMBER(SEARCH("krudo",$B35))+ISNUMBER(SEARCH("gasolina",$B35))+ISNUMBER(SEARCH("toll",$B35))+ISNUMBER(SEARCH("parking",$B35))+ISNUMBER(SEARCH("repair",$B35))+ISNUMBER(SEARCH("maintenance",$B35))+ISNUMBER(SEARCH("tire",$B35))+ISNUMBER(SEARCH("tyre",$B35))+ISNUMBER(SEARCH("battery",$B35))+ISNUMBER(SEARCH("oil",$B35))+ISNUMBER(SEARCH("filter",$B35))+ISNUMBER(SEARCH("spare",$B35))+ISNUMBER(SEARCH("insurance",$B35))+ISNUMBER(SEARCH("lto",$B35))+ISNUMBER(SEARCH("registration",$B35))+ISNUMBER(SEARCH("emission",$B35))+ISNUMBER(SEARCH("wash",$B35))+ISNUMBER(SEARCH("weigh",$B35))+ISNUMBER(SEARCH("tarp",$B35))&gt;0,"Vehicle",IF(ISNUMBER(SEARCH("rent",$B35))+ISNUMBER(SEARCH("upa",$B35))+ISNUMBER(SEARCH("salary",$B35))+ISNUMBER(SEARCH("sweldo",$B35))+ISNUMBER(SEARCH("wage",$B35))+ISNUMBER(SEARCH("electric",$B35))+ISNUMBER(SEARCH("kuryente",$B35))+ISNUMBER(SEARCH("water",$B35))+ISNUMBER(SEARCH("tubig",$B35))+ISNUMBER(SEARCH("internet",$B35))+ISNUMBER(SEARCH("pldt",$B35))+ISNUMBER(SEARCH("meralco",$B35))+ISNUMBER(SEARCH("supplies",$B35))+ISNUMBER(SEARCH("office",$B35))+ISNUMBER(SEARCH("professional",$B35))+ISNUMBER(SEARCH("accountant",$B35))+ISNUMBER(SEARCH("lawyer",$B35))+ISNUMBER(SEARCH("broker",$B35))+ISNUMBER(SEARCH("bank",$B35))+ISNUMBER(SEARCH("charge",$B35))+ISNUMBER(SEARCH("permit",$B35))+ISNUMBER(SEARCH("bir",$B35))+ISNUMBER(SEARCH("ltfrb",$B35))+ISNUMBER(SEARCH("misc",$B35))+ISNUMBER(SEARCH("fee",$B35))&gt;0,"Overhead","Overhead")))))))</f>
        <v/>
      </c>
      <c r="J35">
        <f>IF($A35="","",DATE(YEAR($A35),MONTH($A35),1))</f>
        <v/>
      </c>
      <c r="K35">
        <f>IF($B35="","",IF(COUNTIF(Setup!$A$99:$A$128,$B35)&gt;0,0,1))</f>
        <v/>
      </c>
      <c r="L35">
        <f>IF($B35="","",IF(ISNUMBER(SEARCH("advance",$B35)),"ADV",IF(OR(ISNUMBER(SEARCH("payout",$B35)),ISNUMBER(SEARCH("pay out",$B35)),ISNUMBER(SEARCH("release",$B35))),"PAY","")))</f>
        <v/>
      </c>
      <c r="M35">
        <f>IF($B35="","",IF(ISNUMBER(SEARCH("bulk",$B35)),0,IF(ISNUMBER(SEARCH("fuel",$B35))+ISNUMBER(SEARCH("diesel",$B35))+ISNUMBER(SEARCH("krudo",$B35))+ISNUMBER(SEARCH("gasolina",$B35))&gt;0,1,0)))</f>
        <v/>
      </c>
      <c r="N35">
        <f>IF($B35="","",IF(ISNUMBER(SEARCH("fuel",$B35))+ISNUMBER(SEARCH("diesel",$B35))+ISNUMBER(SEARCH("krudo",$B35))+ISNUMBER(SEARCH("gasolina",$B35))&gt;0,1,0))</f>
        <v/>
      </c>
    </row>
    <row r="36">
      <c r="A36" s="94" t="n"/>
      <c r="B36" s="96" t="n"/>
      <c r="C36" s="96" t="n"/>
      <c r="D36" s="95" t="n"/>
      <c r="E36" s="96" t="n"/>
      <c r="F36" s="99" t="n"/>
      <c r="G36" s="95" t="n"/>
      <c r="H36" s="95" t="n"/>
      <c r="I36" s="101">
        <f>IF($B36="","",IF(COUNTIF(Setup!$A$99:$A$128,$B36)&gt;0,IF(INDEX(Setup!$B$99:$B$128,MATCH($B36,Setup!$A$99:$A$128,0))="","Overhead",INDEX(Setup!$B$99:$B$128,MATCH($B36,Setup!$A$99:$A$128,0))),IF(ISNUMBER(SEARCH("advance",$B36))+ISNUMBER(SEARCH("payout",$B36))+ISNUMBER(SEARCH("pay out",$B36))+ISNUMBER(SEARCH("reimburs",$B36))&gt;0,"Transfer",IF(ISNUMBER(SEARCH("loan",$B36))+ISNUMBER(SEARCH("amort",$B36))+ISNUMBER(SEARCH("installment",$B36))+ISNUMBER(SEARCH("instalment",$B36))&gt;0,"Financing",IF(ISNUMBER(SEARCH("draw",$B36))+ISNUMBER(SEARCH("owner",$B36))+ISNUMBER(SEARCH("asset",$B36))+ISNUMBER(SEARCH("capital",$B36))&gt;0,"Other",IF(ISNUMBER(SEARCH("fuel",$B36))+ISNUMBER(SEARCH("diesel",$B36))+ISNUMBER(SEARCH("krudo",$B36))+ISNUMBER(SEARCH("gasolina",$B36))+ISNUMBER(SEARCH("toll",$B36))+ISNUMBER(SEARCH("parking",$B36))+ISNUMBER(SEARCH("repair",$B36))+ISNUMBER(SEARCH("maintenance",$B36))+ISNUMBER(SEARCH("tire",$B36))+ISNUMBER(SEARCH("tyre",$B36))+ISNUMBER(SEARCH("battery",$B36))+ISNUMBER(SEARCH("oil",$B36))+ISNUMBER(SEARCH("filter",$B36))+ISNUMBER(SEARCH("spare",$B36))+ISNUMBER(SEARCH("insurance",$B36))+ISNUMBER(SEARCH("lto",$B36))+ISNUMBER(SEARCH("registration",$B36))+ISNUMBER(SEARCH("emission",$B36))+ISNUMBER(SEARCH("wash",$B36))+ISNUMBER(SEARCH("weigh",$B36))+ISNUMBER(SEARCH("tarp",$B36))&gt;0,"Vehicle",IF(ISNUMBER(SEARCH("rent",$B36))+ISNUMBER(SEARCH("upa",$B36))+ISNUMBER(SEARCH("salary",$B36))+ISNUMBER(SEARCH("sweldo",$B36))+ISNUMBER(SEARCH("wage",$B36))+ISNUMBER(SEARCH("electric",$B36))+ISNUMBER(SEARCH("kuryente",$B36))+ISNUMBER(SEARCH("water",$B36))+ISNUMBER(SEARCH("tubig",$B36))+ISNUMBER(SEARCH("internet",$B36))+ISNUMBER(SEARCH("pldt",$B36))+ISNUMBER(SEARCH("meralco",$B36))+ISNUMBER(SEARCH("supplies",$B36))+ISNUMBER(SEARCH("office",$B36))+ISNUMBER(SEARCH("professional",$B36))+ISNUMBER(SEARCH("accountant",$B36))+ISNUMBER(SEARCH("lawyer",$B36))+ISNUMBER(SEARCH("broker",$B36))+ISNUMBER(SEARCH("bank",$B36))+ISNUMBER(SEARCH("charge",$B36))+ISNUMBER(SEARCH("permit",$B36))+ISNUMBER(SEARCH("bir",$B36))+ISNUMBER(SEARCH("ltfrb",$B36))+ISNUMBER(SEARCH("misc",$B36))+ISNUMBER(SEARCH("fee",$B36))&gt;0,"Overhead","Overhead")))))))</f>
        <v/>
      </c>
      <c r="J36">
        <f>IF($A36="","",DATE(YEAR($A36),MONTH($A36),1))</f>
        <v/>
      </c>
      <c r="K36">
        <f>IF($B36="","",IF(COUNTIF(Setup!$A$99:$A$128,$B36)&gt;0,0,1))</f>
        <v/>
      </c>
      <c r="L36">
        <f>IF($B36="","",IF(ISNUMBER(SEARCH("advance",$B36)),"ADV",IF(OR(ISNUMBER(SEARCH("payout",$B36)),ISNUMBER(SEARCH("pay out",$B36)),ISNUMBER(SEARCH("release",$B36))),"PAY","")))</f>
        <v/>
      </c>
      <c r="M36">
        <f>IF($B36="","",IF(ISNUMBER(SEARCH("bulk",$B36)),0,IF(ISNUMBER(SEARCH("fuel",$B36))+ISNUMBER(SEARCH("diesel",$B36))+ISNUMBER(SEARCH("krudo",$B36))+ISNUMBER(SEARCH("gasolina",$B36))&gt;0,1,0)))</f>
        <v/>
      </c>
      <c r="N36">
        <f>IF($B36="","",IF(ISNUMBER(SEARCH("fuel",$B36))+ISNUMBER(SEARCH("diesel",$B36))+ISNUMBER(SEARCH("krudo",$B36))+ISNUMBER(SEARCH("gasolina",$B36))&gt;0,1,0))</f>
        <v/>
      </c>
    </row>
    <row r="37">
      <c r="A37" s="86" t="n"/>
      <c r="B37" s="88" t="n"/>
      <c r="C37" s="88" t="n"/>
      <c r="D37" s="87" t="n"/>
      <c r="E37" s="88" t="n"/>
      <c r="F37" s="92" t="n"/>
      <c r="G37" s="87" t="n"/>
      <c r="H37" s="87" t="n"/>
      <c r="I37" s="101">
        <f>IF($B37="","",IF(COUNTIF(Setup!$A$99:$A$128,$B37)&gt;0,IF(INDEX(Setup!$B$99:$B$128,MATCH($B37,Setup!$A$99:$A$128,0))="","Overhead",INDEX(Setup!$B$99:$B$128,MATCH($B37,Setup!$A$99:$A$128,0))),IF(ISNUMBER(SEARCH("advance",$B37))+ISNUMBER(SEARCH("payout",$B37))+ISNUMBER(SEARCH("pay out",$B37))+ISNUMBER(SEARCH("reimburs",$B37))&gt;0,"Transfer",IF(ISNUMBER(SEARCH("loan",$B37))+ISNUMBER(SEARCH("amort",$B37))+ISNUMBER(SEARCH("installment",$B37))+ISNUMBER(SEARCH("instalment",$B37))&gt;0,"Financing",IF(ISNUMBER(SEARCH("draw",$B37))+ISNUMBER(SEARCH("owner",$B37))+ISNUMBER(SEARCH("asset",$B37))+ISNUMBER(SEARCH("capital",$B37))&gt;0,"Other",IF(ISNUMBER(SEARCH("fuel",$B37))+ISNUMBER(SEARCH("diesel",$B37))+ISNUMBER(SEARCH("krudo",$B37))+ISNUMBER(SEARCH("gasolina",$B37))+ISNUMBER(SEARCH("toll",$B37))+ISNUMBER(SEARCH("parking",$B37))+ISNUMBER(SEARCH("repair",$B37))+ISNUMBER(SEARCH("maintenance",$B37))+ISNUMBER(SEARCH("tire",$B37))+ISNUMBER(SEARCH("tyre",$B37))+ISNUMBER(SEARCH("battery",$B37))+ISNUMBER(SEARCH("oil",$B37))+ISNUMBER(SEARCH("filter",$B37))+ISNUMBER(SEARCH("spare",$B37))+ISNUMBER(SEARCH("insurance",$B37))+ISNUMBER(SEARCH("lto",$B37))+ISNUMBER(SEARCH("registration",$B37))+ISNUMBER(SEARCH("emission",$B37))+ISNUMBER(SEARCH("wash",$B37))+ISNUMBER(SEARCH("weigh",$B37))+ISNUMBER(SEARCH("tarp",$B37))&gt;0,"Vehicle",IF(ISNUMBER(SEARCH("rent",$B37))+ISNUMBER(SEARCH("upa",$B37))+ISNUMBER(SEARCH("salary",$B37))+ISNUMBER(SEARCH("sweldo",$B37))+ISNUMBER(SEARCH("wage",$B37))+ISNUMBER(SEARCH("electric",$B37))+ISNUMBER(SEARCH("kuryente",$B37))+ISNUMBER(SEARCH("water",$B37))+ISNUMBER(SEARCH("tubig",$B37))+ISNUMBER(SEARCH("internet",$B37))+ISNUMBER(SEARCH("pldt",$B37))+ISNUMBER(SEARCH("meralco",$B37))+ISNUMBER(SEARCH("supplies",$B37))+ISNUMBER(SEARCH("office",$B37))+ISNUMBER(SEARCH("professional",$B37))+ISNUMBER(SEARCH("accountant",$B37))+ISNUMBER(SEARCH("lawyer",$B37))+ISNUMBER(SEARCH("broker",$B37))+ISNUMBER(SEARCH("bank",$B37))+ISNUMBER(SEARCH("charge",$B37))+ISNUMBER(SEARCH("permit",$B37))+ISNUMBER(SEARCH("bir",$B37))+ISNUMBER(SEARCH("ltfrb",$B37))+ISNUMBER(SEARCH("misc",$B37))+ISNUMBER(SEARCH("fee",$B37))&gt;0,"Overhead","Overhead")))))))</f>
        <v/>
      </c>
      <c r="J37">
        <f>IF($A37="","",DATE(YEAR($A37),MONTH($A37),1))</f>
        <v/>
      </c>
      <c r="K37">
        <f>IF($B37="","",IF(COUNTIF(Setup!$A$99:$A$128,$B37)&gt;0,0,1))</f>
        <v/>
      </c>
      <c r="L37">
        <f>IF($B37="","",IF(ISNUMBER(SEARCH("advance",$B37)),"ADV",IF(OR(ISNUMBER(SEARCH("payout",$B37)),ISNUMBER(SEARCH("pay out",$B37)),ISNUMBER(SEARCH("release",$B37))),"PAY","")))</f>
        <v/>
      </c>
      <c r="M37">
        <f>IF($B37="","",IF(ISNUMBER(SEARCH("bulk",$B37)),0,IF(ISNUMBER(SEARCH("fuel",$B37))+ISNUMBER(SEARCH("diesel",$B37))+ISNUMBER(SEARCH("krudo",$B37))+ISNUMBER(SEARCH("gasolina",$B37))&gt;0,1,0)))</f>
        <v/>
      </c>
      <c r="N37">
        <f>IF($B37="","",IF(ISNUMBER(SEARCH("fuel",$B37))+ISNUMBER(SEARCH("diesel",$B37))+ISNUMBER(SEARCH("krudo",$B37))+ISNUMBER(SEARCH("gasolina",$B37))&gt;0,1,0))</f>
        <v/>
      </c>
    </row>
    <row r="38">
      <c r="A38" s="94" t="n"/>
      <c r="B38" s="96" t="n"/>
      <c r="C38" s="96" t="n"/>
      <c r="D38" s="95" t="n"/>
      <c r="E38" s="96" t="n"/>
      <c r="F38" s="99" t="n"/>
      <c r="G38" s="95" t="n"/>
      <c r="H38" s="95" t="n"/>
      <c r="I38" s="101">
        <f>IF($B38="","",IF(COUNTIF(Setup!$A$99:$A$128,$B38)&gt;0,IF(INDEX(Setup!$B$99:$B$128,MATCH($B38,Setup!$A$99:$A$128,0))="","Overhead",INDEX(Setup!$B$99:$B$128,MATCH($B38,Setup!$A$99:$A$128,0))),IF(ISNUMBER(SEARCH("advance",$B38))+ISNUMBER(SEARCH("payout",$B38))+ISNUMBER(SEARCH("pay out",$B38))+ISNUMBER(SEARCH("reimburs",$B38))&gt;0,"Transfer",IF(ISNUMBER(SEARCH("loan",$B38))+ISNUMBER(SEARCH("amort",$B38))+ISNUMBER(SEARCH("installment",$B38))+ISNUMBER(SEARCH("instalment",$B38))&gt;0,"Financing",IF(ISNUMBER(SEARCH("draw",$B38))+ISNUMBER(SEARCH("owner",$B38))+ISNUMBER(SEARCH("asset",$B38))+ISNUMBER(SEARCH("capital",$B38))&gt;0,"Other",IF(ISNUMBER(SEARCH("fuel",$B38))+ISNUMBER(SEARCH("diesel",$B38))+ISNUMBER(SEARCH("krudo",$B38))+ISNUMBER(SEARCH("gasolina",$B38))+ISNUMBER(SEARCH("toll",$B38))+ISNUMBER(SEARCH("parking",$B38))+ISNUMBER(SEARCH("repair",$B38))+ISNUMBER(SEARCH("maintenance",$B38))+ISNUMBER(SEARCH("tire",$B38))+ISNUMBER(SEARCH("tyre",$B38))+ISNUMBER(SEARCH("battery",$B38))+ISNUMBER(SEARCH("oil",$B38))+ISNUMBER(SEARCH("filter",$B38))+ISNUMBER(SEARCH("spare",$B38))+ISNUMBER(SEARCH("insurance",$B38))+ISNUMBER(SEARCH("lto",$B38))+ISNUMBER(SEARCH("registration",$B38))+ISNUMBER(SEARCH("emission",$B38))+ISNUMBER(SEARCH("wash",$B38))+ISNUMBER(SEARCH("weigh",$B38))+ISNUMBER(SEARCH("tarp",$B38))&gt;0,"Vehicle",IF(ISNUMBER(SEARCH("rent",$B38))+ISNUMBER(SEARCH("upa",$B38))+ISNUMBER(SEARCH("salary",$B38))+ISNUMBER(SEARCH("sweldo",$B38))+ISNUMBER(SEARCH("wage",$B38))+ISNUMBER(SEARCH("electric",$B38))+ISNUMBER(SEARCH("kuryente",$B38))+ISNUMBER(SEARCH("water",$B38))+ISNUMBER(SEARCH("tubig",$B38))+ISNUMBER(SEARCH("internet",$B38))+ISNUMBER(SEARCH("pldt",$B38))+ISNUMBER(SEARCH("meralco",$B38))+ISNUMBER(SEARCH("supplies",$B38))+ISNUMBER(SEARCH("office",$B38))+ISNUMBER(SEARCH("professional",$B38))+ISNUMBER(SEARCH("accountant",$B38))+ISNUMBER(SEARCH("lawyer",$B38))+ISNUMBER(SEARCH("broker",$B38))+ISNUMBER(SEARCH("bank",$B38))+ISNUMBER(SEARCH("charge",$B38))+ISNUMBER(SEARCH("permit",$B38))+ISNUMBER(SEARCH("bir",$B38))+ISNUMBER(SEARCH("ltfrb",$B38))+ISNUMBER(SEARCH("misc",$B38))+ISNUMBER(SEARCH("fee",$B38))&gt;0,"Overhead","Overhead")))))))</f>
        <v/>
      </c>
      <c r="J38">
        <f>IF($A38="","",DATE(YEAR($A38),MONTH($A38),1))</f>
        <v/>
      </c>
      <c r="K38">
        <f>IF($B38="","",IF(COUNTIF(Setup!$A$99:$A$128,$B38)&gt;0,0,1))</f>
        <v/>
      </c>
      <c r="L38">
        <f>IF($B38="","",IF(ISNUMBER(SEARCH("advance",$B38)),"ADV",IF(OR(ISNUMBER(SEARCH("payout",$B38)),ISNUMBER(SEARCH("pay out",$B38)),ISNUMBER(SEARCH("release",$B38))),"PAY","")))</f>
        <v/>
      </c>
      <c r="M38">
        <f>IF($B38="","",IF(ISNUMBER(SEARCH("bulk",$B38)),0,IF(ISNUMBER(SEARCH("fuel",$B38))+ISNUMBER(SEARCH("diesel",$B38))+ISNUMBER(SEARCH("krudo",$B38))+ISNUMBER(SEARCH("gasolina",$B38))&gt;0,1,0)))</f>
        <v/>
      </c>
      <c r="N38">
        <f>IF($B38="","",IF(ISNUMBER(SEARCH("fuel",$B38))+ISNUMBER(SEARCH("diesel",$B38))+ISNUMBER(SEARCH("krudo",$B38))+ISNUMBER(SEARCH("gasolina",$B38))&gt;0,1,0))</f>
        <v/>
      </c>
    </row>
    <row r="39">
      <c r="A39" s="86" t="n"/>
      <c r="B39" s="88" t="n"/>
      <c r="C39" s="88" t="n"/>
      <c r="D39" s="87" t="n"/>
      <c r="E39" s="88" t="n"/>
      <c r="F39" s="92" t="n"/>
      <c r="G39" s="87" t="n"/>
      <c r="H39" s="87" t="n"/>
      <c r="I39" s="101">
        <f>IF($B39="","",IF(COUNTIF(Setup!$A$99:$A$128,$B39)&gt;0,IF(INDEX(Setup!$B$99:$B$128,MATCH($B39,Setup!$A$99:$A$128,0))="","Overhead",INDEX(Setup!$B$99:$B$128,MATCH($B39,Setup!$A$99:$A$128,0))),IF(ISNUMBER(SEARCH("advance",$B39))+ISNUMBER(SEARCH("payout",$B39))+ISNUMBER(SEARCH("pay out",$B39))+ISNUMBER(SEARCH("reimburs",$B39))&gt;0,"Transfer",IF(ISNUMBER(SEARCH("loan",$B39))+ISNUMBER(SEARCH("amort",$B39))+ISNUMBER(SEARCH("installment",$B39))+ISNUMBER(SEARCH("instalment",$B39))&gt;0,"Financing",IF(ISNUMBER(SEARCH("draw",$B39))+ISNUMBER(SEARCH("owner",$B39))+ISNUMBER(SEARCH("asset",$B39))+ISNUMBER(SEARCH("capital",$B39))&gt;0,"Other",IF(ISNUMBER(SEARCH("fuel",$B39))+ISNUMBER(SEARCH("diesel",$B39))+ISNUMBER(SEARCH("krudo",$B39))+ISNUMBER(SEARCH("gasolina",$B39))+ISNUMBER(SEARCH("toll",$B39))+ISNUMBER(SEARCH("parking",$B39))+ISNUMBER(SEARCH("repair",$B39))+ISNUMBER(SEARCH("maintenance",$B39))+ISNUMBER(SEARCH("tire",$B39))+ISNUMBER(SEARCH("tyre",$B39))+ISNUMBER(SEARCH("battery",$B39))+ISNUMBER(SEARCH("oil",$B39))+ISNUMBER(SEARCH("filter",$B39))+ISNUMBER(SEARCH("spare",$B39))+ISNUMBER(SEARCH("insurance",$B39))+ISNUMBER(SEARCH("lto",$B39))+ISNUMBER(SEARCH("registration",$B39))+ISNUMBER(SEARCH("emission",$B39))+ISNUMBER(SEARCH("wash",$B39))+ISNUMBER(SEARCH("weigh",$B39))+ISNUMBER(SEARCH("tarp",$B39))&gt;0,"Vehicle",IF(ISNUMBER(SEARCH("rent",$B39))+ISNUMBER(SEARCH("upa",$B39))+ISNUMBER(SEARCH("salary",$B39))+ISNUMBER(SEARCH("sweldo",$B39))+ISNUMBER(SEARCH("wage",$B39))+ISNUMBER(SEARCH("electric",$B39))+ISNUMBER(SEARCH("kuryente",$B39))+ISNUMBER(SEARCH("water",$B39))+ISNUMBER(SEARCH("tubig",$B39))+ISNUMBER(SEARCH("internet",$B39))+ISNUMBER(SEARCH("pldt",$B39))+ISNUMBER(SEARCH("meralco",$B39))+ISNUMBER(SEARCH("supplies",$B39))+ISNUMBER(SEARCH("office",$B39))+ISNUMBER(SEARCH("professional",$B39))+ISNUMBER(SEARCH("accountant",$B39))+ISNUMBER(SEARCH("lawyer",$B39))+ISNUMBER(SEARCH("broker",$B39))+ISNUMBER(SEARCH("bank",$B39))+ISNUMBER(SEARCH("charge",$B39))+ISNUMBER(SEARCH("permit",$B39))+ISNUMBER(SEARCH("bir",$B39))+ISNUMBER(SEARCH("ltfrb",$B39))+ISNUMBER(SEARCH("misc",$B39))+ISNUMBER(SEARCH("fee",$B39))&gt;0,"Overhead","Overhead")))))))</f>
        <v/>
      </c>
      <c r="J39">
        <f>IF($A39="","",DATE(YEAR($A39),MONTH($A39),1))</f>
        <v/>
      </c>
      <c r="K39">
        <f>IF($B39="","",IF(COUNTIF(Setup!$A$99:$A$128,$B39)&gt;0,0,1))</f>
        <v/>
      </c>
      <c r="L39">
        <f>IF($B39="","",IF(ISNUMBER(SEARCH("advance",$B39)),"ADV",IF(OR(ISNUMBER(SEARCH("payout",$B39)),ISNUMBER(SEARCH("pay out",$B39)),ISNUMBER(SEARCH("release",$B39))),"PAY","")))</f>
        <v/>
      </c>
      <c r="M39">
        <f>IF($B39="","",IF(ISNUMBER(SEARCH("bulk",$B39)),0,IF(ISNUMBER(SEARCH("fuel",$B39))+ISNUMBER(SEARCH("diesel",$B39))+ISNUMBER(SEARCH("krudo",$B39))+ISNUMBER(SEARCH("gasolina",$B39))&gt;0,1,0)))</f>
        <v/>
      </c>
      <c r="N39">
        <f>IF($B39="","",IF(ISNUMBER(SEARCH("fuel",$B39))+ISNUMBER(SEARCH("diesel",$B39))+ISNUMBER(SEARCH("krudo",$B39))+ISNUMBER(SEARCH("gasolina",$B39))&gt;0,1,0))</f>
        <v/>
      </c>
    </row>
    <row r="40">
      <c r="A40" s="94" t="n"/>
      <c r="B40" s="96" t="n"/>
      <c r="C40" s="96" t="n"/>
      <c r="D40" s="95" t="n"/>
      <c r="E40" s="96" t="n"/>
      <c r="F40" s="99" t="n"/>
      <c r="G40" s="95" t="n"/>
      <c r="H40" s="95" t="n"/>
      <c r="I40" s="101">
        <f>IF($B40="","",IF(COUNTIF(Setup!$A$99:$A$128,$B40)&gt;0,IF(INDEX(Setup!$B$99:$B$128,MATCH($B40,Setup!$A$99:$A$128,0))="","Overhead",INDEX(Setup!$B$99:$B$128,MATCH($B40,Setup!$A$99:$A$128,0))),IF(ISNUMBER(SEARCH("advance",$B40))+ISNUMBER(SEARCH("payout",$B40))+ISNUMBER(SEARCH("pay out",$B40))+ISNUMBER(SEARCH("reimburs",$B40))&gt;0,"Transfer",IF(ISNUMBER(SEARCH("loan",$B40))+ISNUMBER(SEARCH("amort",$B40))+ISNUMBER(SEARCH("installment",$B40))+ISNUMBER(SEARCH("instalment",$B40))&gt;0,"Financing",IF(ISNUMBER(SEARCH("draw",$B40))+ISNUMBER(SEARCH("owner",$B40))+ISNUMBER(SEARCH("asset",$B40))+ISNUMBER(SEARCH("capital",$B40))&gt;0,"Other",IF(ISNUMBER(SEARCH("fuel",$B40))+ISNUMBER(SEARCH("diesel",$B40))+ISNUMBER(SEARCH("krudo",$B40))+ISNUMBER(SEARCH("gasolina",$B40))+ISNUMBER(SEARCH("toll",$B40))+ISNUMBER(SEARCH("parking",$B40))+ISNUMBER(SEARCH("repair",$B40))+ISNUMBER(SEARCH("maintenance",$B40))+ISNUMBER(SEARCH("tire",$B40))+ISNUMBER(SEARCH("tyre",$B40))+ISNUMBER(SEARCH("battery",$B40))+ISNUMBER(SEARCH("oil",$B40))+ISNUMBER(SEARCH("filter",$B40))+ISNUMBER(SEARCH("spare",$B40))+ISNUMBER(SEARCH("insurance",$B40))+ISNUMBER(SEARCH("lto",$B40))+ISNUMBER(SEARCH("registration",$B40))+ISNUMBER(SEARCH("emission",$B40))+ISNUMBER(SEARCH("wash",$B40))+ISNUMBER(SEARCH("weigh",$B40))+ISNUMBER(SEARCH("tarp",$B40))&gt;0,"Vehicle",IF(ISNUMBER(SEARCH("rent",$B40))+ISNUMBER(SEARCH("upa",$B40))+ISNUMBER(SEARCH("salary",$B40))+ISNUMBER(SEARCH("sweldo",$B40))+ISNUMBER(SEARCH("wage",$B40))+ISNUMBER(SEARCH("electric",$B40))+ISNUMBER(SEARCH("kuryente",$B40))+ISNUMBER(SEARCH("water",$B40))+ISNUMBER(SEARCH("tubig",$B40))+ISNUMBER(SEARCH("internet",$B40))+ISNUMBER(SEARCH("pldt",$B40))+ISNUMBER(SEARCH("meralco",$B40))+ISNUMBER(SEARCH("supplies",$B40))+ISNUMBER(SEARCH("office",$B40))+ISNUMBER(SEARCH("professional",$B40))+ISNUMBER(SEARCH("accountant",$B40))+ISNUMBER(SEARCH("lawyer",$B40))+ISNUMBER(SEARCH("broker",$B40))+ISNUMBER(SEARCH("bank",$B40))+ISNUMBER(SEARCH("charge",$B40))+ISNUMBER(SEARCH("permit",$B40))+ISNUMBER(SEARCH("bir",$B40))+ISNUMBER(SEARCH("ltfrb",$B40))+ISNUMBER(SEARCH("misc",$B40))+ISNUMBER(SEARCH("fee",$B40))&gt;0,"Overhead","Overhead")))))))</f>
        <v/>
      </c>
      <c r="J40">
        <f>IF($A40="","",DATE(YEAR($A40),MONTH($A40),1))</f>
        <v/>
      </c>
      <c r="K40">
        <f>IF($B40="","",IF(COUNTIF(Setup!$A$99:$A$128,$B40)&gt;0,0,1))</f>
        <v/>
      </c>
      <c r="L40">
        <f>IF($B40="","",IF(ISNUMBER(SEARCH("advance",$B40)),"ADV",IF(OR(ISNUMBER(SEARCH("payout",$B40)),ISNUMBER(SEARCH("pay out",$B40)),ISNUMBER(SEARCH("release",$B40))),"PAY","")))</f>
        <v/>
      </c>
      <c r="M40">
        <f>IF($B40="","",IF(ISNUMBER(SEARCH("bulk",$B40)),0,IF(ISNUMBER(SEARCH("fuel",$B40))+ISNUMBER(SEARCH("diesel",$B40))+ISNUMBER(SEARCH("krudo",$B40))+ISNUMBER(SEARCH("gasolina",$B40))&gt;0,1,0)))</f>
        <v/>
      </c>
      <c r="N40">
        <f>IF($B40="","",IF(ISNUMBER(SEARCH("fuel",$B40))+ISNUMBER(SEARCH("diesel",$B40))+ISNUMBER(SEARCH("krudo",$B40))+ISNUMBER(SEARCH("gasolina",$B40))&gt;0,1,0))</f>
        <v/>
      </c>
    </row>
    <row r="41">
      <c r="A41" s="86" t="n"/>
      <c r="B41" s="88" t="n"/>
      <c r="C41" s="88" t="n"/>
      <c r="D41" s="87" t="n"/>
      <c r="E41" s="88" t="n"/>
      <c r="F41" s="92" t="n"/>
      <c r="G41" s="87" t="n"/>
      <c r="H41" s="87" t="n"/>
      <c r="I41" s="101">
        <f>IF($B41="","",IF(COUNTIF(Setup!$A$99:$A$128,$B41)&gt;0,IF(INDEX(Setup!$B$99:$B$128,MATCH($B41,Setup!$A$99:$A$128,0))="","Overhead",INDEX(Setup!$B$99:$B$128,MATCH($B41,Setup!$A$99:$A$128,0))),IF(ISNUMBER(SEARCH("advance",$B41))+ISNUMBER(SEARCH("payout",$B41))+ISNUMBER(SEARCH("pay out",$B41))+ISNUMBER(SEARCH("reimburs",$B41))&gt;0,"Transfer",IF(ISNUMBER(SEARCH("loan",$B41))+ISNUMBER(SEARCH("amort",$B41))+ISNUMBER(SEARCH("installment",$B41))+ISNUMBER(SEARCH("instalment",$B41))&gt;0,"Financing",IF(ISNUMBER(SEARCH("draw",$B41))+ISNUMBER(SEARCH("owner",$B41))+ISNUMBER(SEARCH("asset",$B41))+ISNUMBER(SEARCH("capital",$B41))&gt;0,"Other",IF(ISNUMBER(SEARCH("fuel",$B41))+ISNUMBER(SEARCH("diesel",$B41))+ISNUMBER(SEARCH("krudo",$B41))+ISNUMBER(SEARCH("gasolina",$B41))+ISNUMBER(SEARCH("toll",$B41))+ISNUMBER(SEARCH("parking",$B41))+ISNUMBER(SEARCH("repair",$B41))+ISNUMBER(SEARCH("maintenance",$B41))+ISNUMBER(SEARCH("tire",$B41))+ISNUMBER(SEARCH("tyre",$B41))+ISNUMBER(SEARCH("battery",$B41))+ISNUMBER(SEARCH("oil",$B41))+ISNUMBER(SEARCH("filter",$B41))+ISNUMBER(SEARCH("spare",$B41))+ISNUMBER(SEARCH("insurance",$B41))+ISNUMBER(SEARCH("lto",$B41))+ISNUMBER(SEARCH("registration",$B41))+ISNUMBER(SEARCH("emission",$B41))+ISNUMBER(SEARCH("wash",$B41))+ISNUMBER(SEARCH("weigh",$B41))+ISNUMBER(SEARCH("tarp",$B41))&gt;0,"Vehicle",IF(ISNUMBER(SEARCH("rent",$B41))+ISNUMBER(SEARCH("upa",$B41))+ISNUMBER(SEARCH("salary",$B41))+ISNUMBER(SEARCH("sweldo",$B41))+ISNUMBER(SEARCH("wage",$B41))+ISNUMBER(SEARCH("electric",$B41))+ISNUMBER(SEARCH("kuryente",$B41))+ISNUMBER(SEARCH("water",$B41))+ISNUMBER(SEARCH("tubig",$B41))+ISNUMBER(SEARCH("internet",$B41))+ISNUMBER(SEARCH("pldt",$B41))+ISNUMBER(SEARCH("meralco",$B41))+ISNUMBER(SEARCH("supplies",$B41))+ISNUMBER(SEARCH("office",$B41))+ISNUMBER(SEARCH("professional",$B41))+ISNUMBER(SEARCH("accountant",$B41))+ISNUMBER(SEARCH("lawyer",$B41))+ISNUMBER(SEARCH("broker",$B41))+ISNUMBER(SEARCH("bank",$B41))+ISNUMBER(SEARCH("charge",$B41))+ISNUMBER(SEARCH("permit",$B41))+ISNUMBER(SEARCH("bir",$B41))+ISNUMBER(SEARCH("ltfrb",$B41))+ISNUMBER(SEARCH("misc",$B41))+ISNUMBER(SEARCH("fee",$B41))&gt;0,"Overhead","Overhead")))))))</f>
        <v/>
      </c>
      <c r="J41">
        <f>IF($A41="","",DATE(YEAR($A41),MONTH($A41),1))</f>
        <v/>
      </c>
      <c r="K41">
        <f>IF($B41="","",IF(COUNTIF(Setup!$A$99:$A$128,$B41)&gt;0,0,1))</f>
        <v/>
      </c>
      <c r="L41">
        <f>IF($B41="","",IF(ISNUMBER(SEARCH("advance",$B41)),"ADV",IF(OR(ISNUMBER(SEARCH("payout",$B41)),ISNUMBER(SEARCH("pay out",$B41)),ISNUMBER(SEARCH("release",$B41))),"PAY","")))</f>
        <v/>
      </c>
      <c r="M41">
        <f>IF($B41="","",IF(ISNUMBER(SEARCH("bulk",$B41)),0,IF(ISNUMBER(SEARCH("fuel",$B41))+ISNUMBER(SEARCH("diesel",$B41))+ISNUMBER(SEARCH("krudo",$B41))+ISNUMBER(SEARCH("gasolina",$B41))&gt;0,1,0)))</f>
        <v/>
      </c>
      <c r="N41">
        <f>IF($B41="","",IF(ISNUMBER(SEARCH("fuel",$B41))+ISNUMBER(SEARCH("diesel",$B41))+ISNUMBER(SEARCH("krudo",$B41))+ISNUMBER(SEARCH("gasolina",$B41))&gt;0,1,0))</f>
        <v/>
      </c>
    </row>
    <row r="42">
      <c r="A42" s="94" t="n"/>
      <c r="B42" s="96" t="n"/>
      <c r="C42" s="96" t="n"/>
      <c r="D42" s="95" t="n"/>
      <c r="E42" s="96" t="n"/>
      <c r="F42" s="99" t="n"/>
      <c r="G42" s="95" t="n"/>
      <c r="H42" s="95" t="n"/>
      <c r="I42" s="101">
        <f>IF($B42="","",IF(COUNTIF(Setup!$A$99:$A$128,$B42)&gt;0,IF(INDEX(Setup!$B$99:$B$128,MATCH($B42,Setup!$A$99:$A$128,0))="","Overhead",INDEX(Setup!$B$99:$B$128,MATCH($B42,Setup!$A$99:$A$128,0))),IF(ISNUMBER(SEARCH("advance",$B42))+ISNUMBER(SEARCH("payout",$B42))+ISNUMBER(SEARCH("pay out",$B42))+ISNUMBER(SEARCH("reimburs",$B42))&gt;0,"Transfer",IF(ISNUMBER(SEARCH("loan",$B42))+ISNUMBER(SEARCH("amort",$B42))+ISNUMBER(SEARCH("installment",$B42))+ISNUMBER(SEARCH("instalment",$B42))&gt;0,"Financing",IF(ISNUMBER(SEARCH("draw",$B42))+ISNUMBER(SEARCH("owner",$B42))+ISNUMBER(SEARCH("asset",$B42))+ISNUMBER(SEARCH("capital",$B42))&gt;0,"Other",IF(ISNUMBER(SEARCH("fuel",$B42))+ISNUMBER(SEARCH("diesel",$B42))+ISNUMBER(SEARCH("krudo",$B42))+ISNUMBER(SEARCH("gasolina",$B42))+ISNUMBER(SEARCH("toll",$B42))+ISNUMBER(SEARCH("parking",$B42))+ISNUMBER(SEARCH("repair",$B42))+ISNUMBER(SEARCH("maintenance",$B42))+ISNUMBER(SEARCH("tire",$B42))+ISNUMBER(SEARCH("tyre",$B42))+ISNUMBER(SEARCH("battery",$B42))+ISNUMBER(SEARCH("oil",$B42))+ISNUMBER(SEARCH("filter",$B42))+ISNUMBER(SEARCH("spare",$B42))+ISNUMBER(SEARCH("insurance",$B42))+ISNUMBER(SEARCH("lto",$B42))+ISNUMBER(SEARCH("registration",$B42))+ISNUMBER(SEARCH("emission",$B42))+ISNUMBER(SEARCH("wash",$B42))+ISNUMBER(SEARCH("weigh",$B42))+ISNUMBER(SEARCH("tarp",$B42))&gt;0,"Vehicle",IF(ISNUMBER(SEARCH("rent",$B42))+ISNUMBER(SEARCH("upa",$B42))+ISNUMBER(SEARCH("salary",$B42))+ISNUMBER(SEARCH("sweldo",$B42))+ISNUMBER(SEARCH("wage",$B42))+ISNUMBER(SEARCH("electric",$B42))+ISNUMBER(SEARCH("kuryente",$B42))+ISNUMBER(SEARCH("water",$B42))+ISNUMBER(SEARCH("tubig",$B42))+ISNUMBER(SEARCH("internet",$B42))+ISNUMBER(SEARCH("pldt",$B42))+ISNUMBER(SEARCH("meralco",$B42))+ISNUMBER(SEARCH("supplies",$B42))+ISNUMBER(SEARCH("office",$B42))+ISNUMBER(SEARCH("professional",$B42))+ISNUMBER(SEARCH("accountant",$B42))+ISNUMBER(SEARCH("lawyer",$B42))+ISNUMBER(SEARCH("broker",$B42))+ISNUMBER(SEARCH("bank",$B42))+ISNUMBER(SEARCH("charge",$B42))+ISNUMBER(SEARCH("permit",$B42))+ISNUMBER(SEARCH("bir",$B42))+ISNUMBER(SEARCH("ltfrb",$B42))+ISNUMBER(SEARCH("misc",$B42))+ISNUMBER(SEARCH("fee",$B42))&gt;0,"Overhead","Overhead")))))))</f>
        <v/>
      </c>
      <c r="J42">
        <f>IF($A42="","",DATE(YEAR($A42),MONTH($A42),1))</f>
        <v/>
      </c>
      <c r="K42">
        <f>IF($B42="","",IF(COUNTIF(Setup!$A$99:$A$128,$B42)&gt;0,0,1))</f>
        <v/>
      </c>
      <c r="L42">
        <f>IF($B42="","",IF(ISNUMBER(SEARCH("advance",$B42)),"ADV",IF(OR(ISNUMBER(SEARCH("payout",$B42)),ISNUMBER(SEARCH("pay out",$B42)),ISNUMBER(SEARCH("release",$B42))),"PAY","")))</f>
        <v/>
      </c>
      <c r="M42">
        <f>IF($B42="","",IF(ISNUMBER(SEARCH("bulk",$B42)),0,IF(ISNUMBER(SEARCH("fuel",$B42))+ISNUMBER(SEARCH("diesel",$B42))+ISNUMBER(SEARCH("krudo",$B42))+ISNUMBER(SEARCH("gasolina",$B42))&gt;0,1,0)))</f>
        <v/>
      </c>
      <c r="N42">
        <f>IF($B42="","",IF(ISNUMBER(SEARCH("fuel",$B42))+ISNUMBER(SEARCH("diesel",$B42))+ISNUMBER(SEARCH("krudo",$B42))+ISNUMBER(SEARCH("gasolina",$B42))&gt;0,1,0))</f>
        <v/>
      </c>
    </row>
    <row r="43">
      <c r="A43" s="86" t="n"/>
      <c r="B43" s="88" t="n"/>
      <c r="C43" s="88" t="n"/>
      <c r="D43" s="87" t="n"/>
      <c r="E43" s="88" t="n"/>
      <c r="F43" s="92" t="n"/>
      <c r="G43" s="87" t="n"/>
      <c r="H43" s="87" t="n"/>
      <c r="I43" s="101">
        <f>IF($B43="","",IF(COUNTIF(Setup!$A$99:$A$128,$B43)&gt;0,IF(INDEX(Setup!$B$99:$B$128,MATCH($B43,Setup!$A$99:$A$128,0))="","Overhead",INDEX(Setup!$B$99:$B$128,MATCH($B43,Setup!$A$99:$A$128,0))),IF(ISNUMBER(SEARCH("advance",$B43))+ISNUMBER(SEARCH("payout",$B43))+ISNUMBER(SEARCH("pay out",$B43))+ISNUMBER(SEARCH("reimburs",$B43))&gt;0,"Transfer",IF(ISNUMBER(SEARCH("loan",$B43))+ISNUMBER(SEARCH("amort",$B43))+ISNUMBER(SEARCH("installment",$B43))+ISNUMBER(SEARCH("instalment",$B43))&gt;0,"Financing",IF(ISNUMBER(SEARCH("draw",$B43))+ISNUMBER(SEARCH("owner",$B43))+ISNUMBER(SEARCH("asset",$B43))+ISNUMBER(SEARCH("capital",$B43))&gt;0,"Other",IF(ISNUMBER(SEARCH("fuel",$B43))+ISNUMBER(SEARCH("diesel",$B43))+ISNUMBER(SEARCH("krudo",$B43))+ISNUMBER(SEARCH("gasolina",$B43))+ISNUMBER(SEARCH("toll",$B43))+ISNUMBER(SEARCH("parking",$B43))+ISNUMBER(SEARCH("repair",$B43))+ISNUMBER(SEARCH("maintenance",$B43))+ISNUMBER(SEARCH("tire",$B43))+ISNUMBER(SEARCH("tyre",$B43))+ISNUMBER(SEARCH("battery",$B43))+ISNUMBER(SEARCH("oil",$B43))+ISNUMBER(SEARCH("filter",$B43))+ISNUMBER(SEARCH("spare",$B43))+ISNUMBER(SEARCH("insurance",$B43))+ISNUMBER(SEARCH("lto",$B43))+ISNUMBER(SEARCH("registration",$B43))+ISNUMBER(SEARCH("emission",$B43))+ISNUMBER(SEARCH("wash",$B43))+ISNUMBER(SEARCH("weigh",$B43))+ISNUMBER(SEARCH("tarp",$B43))&gt;0,"Vehicle",IF(ISNUMBER(SEARCH("rent",$B43))+ISNUMBER(SEARCH("upa",$B43))+ISNUMBER(SEARCH("salary",$B43))+ISNUMBER(SEARCH("sweldo",$B43))+ISNUMBER(SEARCH("wage",$B43))+ISNUMBER(SEARCH("electric",$B43))+ISNUMBER(SEARCH("kuryente",$B43))+ISNUMBER(SEARCH("water",$B43))+ISNUMBER(SEARCH("tubig",$B43))+ISNUMBER(SEARCH("internet",$B43))+ISNUMBER(SEARCH("pldt",$B43))+ISNUMBER(SEARCH("meralco",$B43))+ISNUMBER(SEARCH("supplies",$B43))+ISNUMBER(SEARCH("office",$B43))+ISNUMBER(SEARCH("professional",$B43))+ISNUMBER(SEARCH("accountant",$B43))+ISNUMBER(SEARCH("lawyer",$B43))+ISNUMBER(SEARCH("broker",$B43))+ISNUMBER(SEARCH("bank",$B43))+ISNUMBER(SEARCH("charge",$B43))+ISNUMBER(SEARCH("permit",$B43))+ISNUMBER(SEARCH("bir",$B43))+ISNUMBER(SEARCH("ltfrb",$B43))+ISNUMBER(SEARCH("misc",$B43))+ISNUMBER(SEARCH("fee",$B43))&gt;0,"Overhead","Overhead")))))))</f>
        <v/>
      </c>
      <c r="J43">
        <f>IF($A43="","",DATE(YEAR($A43),MONTH($A43),1))</f>
        <v/>
      </c>
      <c r="K43">
        <f>IF($B43="","",IF(COUNTIF(Setup!$A$99:$A$128,$B43)&gt;0,0,1))</f>
        <v/>
      </c>
      <c r="L43">
        <f>IF($B43="","",IF(ISNUMBER(SEARCH("advance",$B43)),"ADV",IF(OR(ISNUMBER(SEARCH("payout",$B43)),ISNUMBER(SEARCH("pay out",$B43)),ISNUMBER(SEARCH("release",$B43))),"PAY","")))</f>
        <v/>
      </c>
      <c r="M43">
        <f>IF($B43="","",IF(ISNUMBER(SEARCH("bulk",$B43)),0,IF(ISNUMBER(SEARCH("fuel",$B43))+ISNUMBER(SEARCH("diesel",$B43))+ISNUMBER(SEARCH("krudo",$B43))+ISNUMBER(SEARCH("gasolina",$B43))&gt;0,1,0)))</f>
        <v/>
      </c>
      <c r="N43">
        <f>IF($B43="","",IF(ISNUMBER(SEARCH("fuel",$B43))+ISNUMBER(SEARCH("diesel",$B43))+ISNUMBER(SEARCH("krudo",$B43))+ISNUMBER(SEARCH("gasolina",$B43))&gt;0,1,0))</f>
        <v/>
      </c>
    </row>
    <row r="44">
      <c r="A44" s="94" t="n"/>
      <c r="B44" s="96" t="n"/>
      <c r="C44" s="96" t="n"/>
      <c r="D44" s="95" t="n"/>
      <c r="E44" s="96" t="n"/>
      <c r="F44" s="99" t="n"/>
      <c r="G44" s="95" t="n"/>
      <c r="H44" s="95" t="n"/>
      <c r="I44" s="101">
        <f>IF($B44="","",IF(COUNTIF(Setup!$A$99:$A$128,$B44)&gt;0,IF(INDEX(Setup!$B$99:$B$128,MATCH($B44,Setup!$A$99:$A$128,0))="","Overhead",INDEX(Setup!$B$99:$B$128,MATCH($B44,Setup!$A$99:$A$128,0))),IF(ISNUMBER(SEARCH("advance",$B44))+ISNUMBER(SEARCH("payout",$B44))+ISNUMBER(SEARCH("pay out",$B44))+ISNUMBER(SEARCH("reimburs",$B44))&gt;0,"Transfer",IF(ISNUMBER(SEARCH("loan",$B44))+ISNUMBER(SEARCH("amort",$B44))+ISNUMBER(SEARCH("installment",$B44))+ISNUMBER(SEARCH("instalment",$B44))&gt;0,"Financing",IF(ISNUMBER(SEARCH("draw",$B44))+ISNUMBER(SEARCH("owner",$B44))+ISNUMBER(SEARCH("asset",$B44))+ISNUMBER(SEARCH("capital",$B44))&gt;0,"Other",IF(ISNUMBER(SEARCH("fuel",$B44))+ISNUMBER(SEARCH("diesel",$B44))+ISNUMBER(SEARCH("krudo",$B44))+ISNUMBER(SEARCH("gasolina",$B44))+ISNUMBER(SEARCH("toll",$B44))+ISNUMBER(SEARCH("parking",$B44))+ISNUMBER(SEARCH("repair",$B44))+ISNUMBER(SEARCH("maintenance",$B44))+ISNUMBER(SEARCH("tire",$B44))+ISNUMBER(SEARCH("tyre",$B44))+ISNUMBER(SEARCH("battery",$B44))+ISNUMBER(SEARCH("oil",$B44))+ISNUMBER(SEARCH("filter",$B44))+ISNUMBER(SEARCH("spare",$B44))+ISNUMBER(SEARCH("insurance",$B44))+ISNUMBER(SEARCH("lto",$B44))+ISNUMBER(SEARCH("registration",$B44))+ISNUMBER(SEARCH("emission",$B44))+ISNUMBER(SEARCH("wash",$B44))+ISNUMBER(SEARCH("weigh",$B44))+ISNUMBER(SEARCH("tarp",$B44))&gt;0,"Vehicle",IF(ISNUMBER(SEARCH("rent",$B44))+ISNUMBER(SEARCH("upa",$B44))+ISNUMBER(SEARCH("salary",$B44))+ISNUMBER(SEARCH("sweldo",$B44))+ISNUMBER(SEARCH("wage",$B44))+ISNUMBER(SEARCH("electric",$B44))+ISNUMBER(SEARCH("kuryente",$B44))+ISNUMBER(SEARCH("water",$B44))+ISNUMBER(SEARCH("tubig",$B44))+ISNUMBER(SEARCH("internet",$B44))+ISNUMBER(SEARCH("pldt",$B44))+ISNUMBER(SEARCH("meralco",$B44))+ISNUMBER(SEARCH("supplies",$B44))+ISNUMBER(SEARCH("office",$B44))+ISNUMBER(SEARCH("professional",$B44))+ISNUMBER(SEARCH("accountant",$B44))+ISNUMBER(SEARCH("lawyer",$B44))+ISNUMBER(SEARCH("broker",$B44))+ISNUMBER(SEARCH("bank",$B44))+ISNUMBER(SEARCH("charge",$B44))+ISNUMBER(SEARCH("permit",$B44))+ISNUMBER(SEARCH("bir",$B44))+ISNUMBER(SEARCH("ltfrb",$B44))+ISNUMBER(SEARCH("misc",$B44))+ISNUMBER(SEARCH("fee",$B44))&gt;0,"Overhead","Overhead")))))))</f>
        <v/>
      </c>
      <c r="J44">
        <f>IF($A44="","",DATE(YEAR($A44),MONTH($A44),1))</f>
        <v/>
      </c>
      <c r="K44">
        <f>IF($B44="","",IF(COUNTIF(Setup!$A$99:$A$128,$B44)&gt;0,0,1))</f>
        <v/>
      </c>
      <c r="L44">
        <f>IF($B44="","",IF(ISNUMBER(SEARCH("advance",$B44)),"ADV",IF(OR(ISNUMBER(SEARCH("payout",$B44)),ISNUMBER(SEARCH("pay out",$B44)),ISNUMBER(SEARCH("release",$B44))),"PAY","")))</f>
        <v/>
      </c>
      <c r="M44">
        <f>IF($B44="","",IF(ISNUMBER(SEARCH("bulk",$B44)),0,IF(ISNUMBER(SEARCH("fuel",$B44))+ISNUMBER(SEARCH("diesel",$B44))+ISNUMBER(SEARCH("krudo",$B44))+ISNUMBER(SEARCH("gasolina",$B44))&gt;0,1,0)))</f>
        <v/>
      </c>
      <c r="N44">
        <f>IF($B44="","",IF(ISNUMBER(SEARCH("fuel",$B44))+ISNUMBER(SEARCH("diesel",$B44))+ISNUMBER(SEARCH("krudo",$B44))+ISNUMBER(SEARCH("gasolina",$B44))&gt;0,1,0))</f>
        <v/>
      </c>
    </row>
    <row r="45">
      <c r="A45" s="86" t="n"/>
      <c r="B45" s="88" t="n"/>
      <c r="C45" s="88" t="n"/>
      <c r="D45" s="87" t="n"/>
      <c r="E45" s="88" t="n"/>
      <c r="F45" s="92" t="n"/>
      <c r="G45" s="87" t="n"/>
      <c r="H45" s="87" t="n"/>
      <c r="I45" s="101">
        <f>IF($B45="","",IF(COUNTIF(Setup!$A$99:$A$128,$B45)&gt;0,IF(INDEX(Setup!$B$99:$B$128,MATCH($B45,Setup!$A$99:$A$128,0))="","Overhead",INDEX(Setup!$B$99:$B$128,MATCH($B45,Setup!$A$99:$A$128,0))),IF(ISNUMBER(SEARCH("advance",$B45))+ISNUMBER(SEARCH("payout",$B45))+ISNUMBER(SEARCH("pay out",$B45))+ISNUMBER(SEARCH("reimburs",$B45))&gt;0,"Transfer",IF(ISNUMBER(SEARCH("loan",$B45))+ISNUMBER(SEARCH("amort",$B45))+ISNUMBER(SEARCH("installment",$B45))+ISNUMBER(SEARCH("instalment",$B45))&gt;0,"Financing",IF(ISNUMBER(SEARCH("draw",$B45))+ISNUMBER(SEARCH("owner",$B45))+ISNUMBER(SEARCH("asset",$B45))+ISNUMBER(SEARCH("capital",$B45))&gt;0,"Other",IF(ISNUMBER(SEARCH("fuel",$B45))+ISNUMBER(SEARCH("diesel",$B45))+ISNUMBER(SEARCH("krudo",$B45))+ISNUMBER(SEARCH("gasolina",$B45))+ISNUMBER(SEARCH("toll",$B45))+ISNUMBER(SEARCH("parking",$B45))+ISNUMBER(SEARCH("repair",$B45))+ISNUMBER(SEARCH("maintenance",$B45))+ISNUMBER(SEARCH("tire",$B45))+ISNUMBER(SEARCH("tyre",$B45))+ISNUMBER(SEARCH("battery",$B45))+ISNUMBER(SEARCH("oil",$B45))+ISNUMBER(SEARCH("filter",$B45))+ISNUMBER(SEARCH("spare",$B45))+ISNUMBER(SEARCH("insurance",$B45))+ISNUMBER(SEARCH("lto",$B45))+ISNUMBER(SEARCH("registration",$B45))+ISNUMBER(SEARCH("emission",$B45))+ISNUMBER(SEARCH("wash",$B45))+ISNUMBER(SEARCH("weigh",$B45))+ISNUMBER(SEARCH("tarp",$B45))&gt;0,"Vehicle",IF(ISNUMBER(SEARCH("rent",$B45))+ISNUMBER(SEARCH("upa",$B45))+ISNUMBER(SEARCH("salary",$B45))+ISNUMBER(SEARCH("sweldo",$B45))+ISNUMBER(SEARCH("wage",$B45))+ISNUMBER(SEARCH("electric",$B45))+ISNUMBER(SEARCH("kuryente",$B45))+ISNUMBER(SEARCH("water",$B45))+ISNUMBER(SEARCH("tubig",$B45))+ISNUMBER(SEARCH("internet",$B45))+ISNUMBER(SEARCH("pldt",$B45))+ISNUMBER(SEARCH("meralco",$B45))+ISNUMBER(SEARCH("supplies",$B45))+ISNUMBER(SEARCH("office",$B45))+ISNUMBER(SEARCH("professional",$B45))+ISNUMBER(SEARCH("accountant",$B45))+ISNUMBER(SEARCH("lawyer",$B45))+ISNUMBER(SEARCH("broker",$B45))+ISNUMBER(SEARCH("bank",$B45))+ISNUMBER(SEARCH("charge",$B45))+ISNUMBER(SEARCH("permit",$B45))+ISNUMBER(SEARCH("bir",$B45))+ISNUMBER(SEARCH("ltfrb",$B45))+ISNUMBER(SEARCH("misc",$B45))+ISNUMBER(SEARCH("fee",$B45))&gt;0,"Overhead","Overhead")))))))</f>
        <v/>
      </c>
      <c r="J45">
        <f>IF($A45="","",DATE(YEAR($A45),MONTH($A45),1))</f>
        <v/>
      </c>
      <c r="K45">
        <f>IF($B45="","",IF(COUNTIF(Setup!$A$99:$A$128,$B45)&gt;0,0,1))</f>
        <v/>
      </c>
      <c r="L45">
        <f>IF($B45="","",IF(ISNUMBER(SEARCH("advance",$B45)),"ADV",IF(OR(ISNUMBER(SEARCH("payout",$B45)),ISNUMBER(SEARCH("pay out",$B45)),ISNUMBER(SEARCH("release",$B45))),"PAY","")))</f>
        <v/>
      </c>
      <c r="M45">
        <f>IF($B45="","",IF(ISNUMBER(SEARCH("bulk",$B45)),0,IF(ISNUMBER(SEARCH("fuel",$B45))+ISNUMBER(SEARCH("diesel",$B45))+ISNUMBER(SEARCH("krudo",$B45))+ISNUMBER(SEARCH("gasolina",$B45))&gt;0,1,0)))</f>
        <v/>
      </c>
      <c r="N45">
        <f>IF($B45="","",IF(ISNUMBER(SEARCH("fuel",$B45))+ISNUMBER(SEARCH("diesel",$B45))+ISNUMBER(SEARCH("krudo",$B45))+ISNUMBER(SEARCH("gasolina",$B45))&gt;0,1,0))</f>
        <v/>
      </c>
    </row>
    <row r="46">
      <c r="A46" s="94" t="n"/>
      <c r="B46" s="96" t="n"/>
      <c r="C46" s="96" t="n"/>
      <c r="D46" s="95" t="n"/>
      <c r="E46" s="96" t="n"/>
      <c r="F46" s="99" t="n"/>
      <c r="G46" s="95" t="n"/>
      <c r="H46" s="95" t="n"/>
      <c r="I46" s="101">
        <f>IF($B46="","",IF(COUNTIF(Setup!$A$99:$A$128,$B46)&gt;0,IF(INDEX(Setup!$B$99:$B$128,MATCH($B46,Setup!$A$99:$A$128,0))="","Overhead",INDEX(Setup!$B$99:$B$128,MATCH($B46,Setup!$A$99:$A$128,0))),IF(ISNUMBER(SEARCH("advance",$B46))+ISNUMBER(SEARCH("payout",$B46))+ISNUMBER(SEARCH("pay out",$B46))+ISNUMBER(SEARCH("reimburs",$B46))&gt;0,"Transfer",IF(ISNUMBER(SEARCH("loan",$B46))+ISNUMBER(SEARCH("amort",$B46))+ISNUMBER(SEARCH("installment",$B46))+ISNUMBER(SEARCH("instalment",$B46))&gt;0,"Financing",IF(ISNUMBER(SEARCH("draw",$B46))+ISNUMBER(SEARCH("owner",$B46))+ISNUMBER(SEARCH("asset",$B46))+ISNUMBER(SEARCH("capital",$B46))&gt;0,"Other",IF(ISNUMBER(SEARCH("fuel",$B46))+ISNUMBER(SEARCH("diesel",$B46))+ISNUMBER(SEARCH("krudo",$B46))+ISNUMBER(SEARCH("gasolina",$B46))+ISNUMBER(SEARCH("toll",$B46))+ISNUMBER(SEARCH("parking",$B46))+ISNUMBER(SEARCH("repair",$B46))+ISNUMBER(SEARCH("maintenance",$B46))+ISNUMBER(SEARCH("tire",$B46))+ISNUMBER(SEARCH("tyre",$B46))+ISNUMBER(SEARCH("battery",$B46))+ISNUMBER(SEARCH("oil",$B46))+ISNUMBER(SEARCH("filter",$B46))+ISNUMBER(SEARCH("spare",$B46))+ISNUMBER(SEARCH("insurance",$B46))+ISNUMBER(SEARCH("lto",$B46))+ISNUMBER(SEARCH("registration",$B46))+ISNUMBER(SEARCH("emission",$B46))+ISNUMBER(SEARCH("wash",$B46))+ISNUMBER(SEARCH("weigh",$B46))+ISNUMBER(SEARCH("tarp",$B46))&gt;0,"Vehicle",IF(ISNUMBER(SEARCH("rent",$B46))+ISNUMBER(SEARCH("upa",$B46))+ISNUMBER(SEARCH("salary",$B46))+ISNUMBER(SEARCH("sweldo",$B46))+ISNUMBER(SEARCH("wage",$B46))+ISNUMBER(SEARCH("electric",$B46))+ISNUMBER(SEARCH("kuryente",$B46))+ISNUMBER(SEARCH("water",$B46))+ISNUMBER(SEARCH("tubig",$B46))+ISNUMBER(SEARCH("internet",$B46))+ISNUMBER(SEARCH("pldt",$B46))+ISNUMBER(SEARCH("meralco",$B46))+ISNUMBER(SEARCH("supplies",$B46))+ISNUMBER(SEARCH("office",$B46))+ISNUMBER(SEARCH("professional",$B46))+ISNUMBER(SEARCH("accountant",$B46))+ISNUMBER(SEARCH("lawyer",$B46))+ISNUMBER(SEARCH("broker",$B46))+ISNUMBER(SEARCH("bank",$B46))+ISNUMBER(SEARCH("charge",$B46))+ISNUMBER(SEARCH("permit",$B46))+ISNUMBER(SEARCH("bir",$B46))+ISNUMBER(SEARCH("ltfrb",$B46))+ISNUMBER(SEARCH("misc",$B46))+ISNUMBER(SEARCH("fee",$B46))&gt;0,"Overhead","Overhead")))))))</f>
        <v/>
      </c>
      <c r="J46">
        <f>IF($A46="","",DATE(YEAR($A46),MONTH($A46),1))</f>
        <v/>
      </c>
      <c r="K46">
        <f>IF($B46="","",IF(COUNTIF(Setup!$A$99:$A$128,$B46)&gt;0,0,1))</f>
        <v/>
      </c>
      <c r="L46">
        <f>IF($B46="","",IF(ISNUMBER(SEARCH("advance",$B46)),"ADV",IF(OR(ISNUMBER(SEARCH("payout",$B46)),ISNUMBER(SEARCH("pay out",$B46)),ISNUMBER(SEARCH("release",$B46))),"PAY","")))</f>
        <v/>
      </c>
      <c r="M46">
        <f>IF($B46="","",IF(ISNUMBER(SEARCH("bulk",$B46)),0,IF(ISNUMBER(SEARCH("fuel",$B46))+ISNUMBER(SEARCH("diesel",$B46))+ISNUMBER(SEARCH("krudo",$B46))+ISNUMBER(SEARCH("gasolina",$B46))&gt;0,1,0)))</f>
        <v/>
      </c>
      <c r="N46">
        <f>IF($B46="","",IF(ISNUMBER(SEARCH("fuel",$B46))+ISNUMBER(SEARCH("diesel",$B46))+ISNUMBER(SEARCH("krudo",$B46))+ISNUMBER(SEARCH("gasolina",$B46))&gt;0,1,0))</f>
        <v/>
      </c>
    </row>
    <row r="47">
      <c r="A47" s="86" t="n"/>
      <c r="B47" s="88" t="n"/>
      <c r="C47" s="88" t="n"/>
      <c r="D47" s="87" t="n"/>
      <c r="E47" s="88" t="n"/>
      <c r="F47" s="92" t="n"/>
      <c r="G47" s="87" t="n"/>
      <c r="H47" s="87" t="n"/>
      <c r="I47" s="101">
        <f>IF($B47="","",IF(COUNTIF(Setup!$A$99:$A$128,$B47)&gt;0,IF(INDEX(Setup!$B$99:$B$128,MATCH($B47,Setup!$A$99:$A$128,0))="","Overhead",INDEX(Setup!$B$99:$B$128,MATCH($B47,Setup!$A$99:$A$128,0))),IF(ISNUMBER(SEARCH("advance",$B47))+ISNUMBER(SEARCH("payout",$B47))+ISNUMBER(SEARCH("pay out",$B47))+ISNUMBER(SEARCH("reimburs",$B47))&gt;0,"Transfer",IF(ISNUMBER(SEARCH("loan",$B47))+ISNUMBER(SEARCH("amort",$B47))+ISNUMBER(SEARCH("installment",$B47))+ISNUMBER(SEARCH("instalment",$B47))&gt;0,"Financing",IF(ISNUMBER(SEARCH("draw",$B47))+ISNUMBER(SEARCH("owner",$B47))+ISNUMBER(SEARCH("asset",$B47))+ISNUMBER(SEARCH("capital",$B47))&gt;0,"Other",IF(ISNUMBER(SEARCH("fuel",$B47))+ISNUMBER(SEARCH("diesel",$B47))+ISNUMBER(SEARCH("krudo",$B47))+ISNUMBER(SEARCH("gasolina",$B47))+ISNUMBER(SEARCH("toll",$B47))+ISNUMBER(SEARCH("parking",$B47))+ISNUMBER(SEARCH("repair",$B47))+ISNUMBER(SEARCH("maintenance",$B47))+ISNUMBER(SEARCH("tire",$B47))+ISNUMBER(SEARCH("tyre",$B47))+ISNUMBER(SEARCH("battery",$B47))+ISNUMBER(SEARCH("oil",$B47))+ISNUMBER(SEARCH("filter",$B47))+ISNUMBER(SEARCH("spare",$B47))+ISNUMBER(SEARCH("insurance",$B47))+ISNUMBER(SEARCH("lto",$B47))+ISNUMBER(SEARCH("registration",$B47))+ISNUMBER(SEARCH("emission",$B47))+ISNUMBER(SEARCH("wash",$B47))+ISNUMBER(SEARCH("weigh",$B47))+ISNUMBER(SEARCH("tarp",$B47))&gt;0,"Vehicle",IF(ISNUMBER(SEARCH("rent",$B47))+ISNUMBER(SEARCH("upa",$B47))+ISNUMBER(SEARCH("salary",$B47))+ISNUMBER(SEARCH("sweldo",$B47))+ISNUMBER(SEARCH("wage",$B47))+ISNUMBER(SEARCH("electric",$B47))+ISNUMBER(SEARCH("kuryente",$B47))+ISNUMBER(SEARCH("water",$B47))+ISNUMBER(SEARCH("tubig",$B47))+ISNUMBER(SEARCH("internet",$B47))+ISNUMBER(SEARCH("pldt",$B47))+ISNUMBER(SEARCH("meralco",$B47))+ISNUMBER(SEARCH("supplies",$B47))+ISNUMBER(SEARCH("office",$B47))+ISNUMBER(SEARCH("professional",$B47))+ISNUMBER(SEARCH("accountant",$B47))+ISNUMBER(SEARCH("lawyer",$B47))+ISNUMBER(SEARCH("broker",$B47))+ISNUMBER(SEARCH("bank",$B47))+ISNUMBER(SEARCH("charge",$B47))+ISNUMBER(SEARCH("permit",$B47))+ISNUMBER(SEARCH("bir",$B47))+ISNUMBER(SEARCH("ltfrb",$B47))+ISNUMBER(SEARCH("misc",$B47))+ISNUMBER(SEARCH("fee",$B47))&gt;0,"Overhead","Overhead")))))))</f>
        <v/>
      </c>
      <c r="J47">
        <f>IF($A47="","",DATE(YEAR($A47),MONTH($A47),1))</f>
        <v/>
      </c>
      <c r="K47">
        <f>IF($B47="","",IF(COUNTIF(Setup!$A$99:$A$128,$B47)&gt;0,0,1))</f>
        <v/>
      </c>
      <c r="L47">
        <f>IF($B47="","",IF(ISNUMBER(SEARCH("advance",$B47)),"ADV",IF(OR(ISNUMBER(SEARCH("payout",$B47)),ISNUMBER(SEARCH("pay out",$B47)),ISNUMBER(SEARCH("release",$B47))),"PAY","")))</f>
        <v/>
      </c>
      <c r="M47">
        <f>IF($B47="","",IF(ISNUMBER(SEARCH("bulk",$B47)),0,IF(ISNUMBER(SEARCH("fuel",$B47))+ISNUMBER(SEARCH("diesel",$B47))+ISNUMBER(SEARCH("krudo",$B47))+ISNUMBER(SEARCH("gasolina",$B47))&gt;0,1,0)))</f>
        <v/>
      </c>
      <c r="N47">
        <f>IF($B47="","",IF(ISNUMBER(SEARCH("fuel",$B47))+ISNUMBER(SEARCH("diesel",$B47))+ISNUMBER(SEARCH("krudo",$B47))+ISNUMBER(SEARCH("gasolina",$B47))&gt;0,1,0))</f>
        <v/>
      </c>
    </row>
    <row r="48">
      <c r="A48" s="94" t="n"/>
      <c r="B48" s="96" t="n"/>
      <c r="C48" s="96" t="n"/>
      <c r="D48" s="95" t="n"/>
      <c r="E48" s="96" t="n"/>
      <c r="F48" s="99" t="n"/>
      <c r="G48" s="95" t="n"/>
      <c r="H48" s="95" t="n"/>
      <c r="I48" s="101">
        <f>IF($B48="","",IF(COUNTIF(Setup!$A$99:$A$128,$B48)&gt;0,IF(INDEX(Setup!$B$99:$B$128,MATCH($B48,Setup!$A$99:$A$128,0))="","Overhead",INDEX(Setup!$B$99:$B$128,MATCH($B48,Setup!$A$99:$A$128,0))),IF(ISNUMBER(SEARCH("advance",$B48))+ISNUMBER(SEARCH("payout",$B48))+ISNUMBER(SEARCH("pay out",$B48))+ISNUMBER(SEARCH("reimburs",$B48))&gt;0,"Transfer",IF(ISNUMBER(SEARCH("loan",$B48))+ISNUMBER(SEARCH("amort",$B48))+ISNUMBER(SEARCH("installment",$B48))+ISNUMBER(SEARCH("instalment",$B48))&gt;0,"Financing",IF(ISNUMBER(SEARCH("draw",$B48))+ISNUMBER(SEARCH("owner",$B48))+ISNUMBER(SEARCH("asset",$B48))+ISNUMBER(SEARCH("capital",$B48))&gt;0,"Other",IF(ISNUMBER(SEARCH("fuel",$B48))+ISNUMBER(SEARCH("diesel",$B48))+ISNUMBER(SEARCH("krudo",$B48))+ISNUMBER(SEARCH("gasolina",$B48))+ISNUMBER(SEARCH("toll",$B48))+ISNUMBER(SEARCH("parking",$B48))+ISNUMBER(SEARCH("repair",$B48))+ISNUMBER(SEARCH("maintenance",$B48))+ISNUMBER(SEARCH("tire",$B48))+ISNUMBER(SEARCH("tyre",$B48))+ISNUMBER(SEARCH("battery",$B48))+ISNUMBER(SEARCH("oil",$B48))+ISNUMBER(SEARCH("filter",$B48))+ISNUMBER(SEARCH("spare",$B48))+ISNUMBER(SEARCH("insurance",$B48))+ISNUMBER(SEARCH("lto",$B48))+ISNUMBER(SEARCH("registration",$B48))+ISNUMBER(SEARCH("emission",$B48))+ISNUMBER(SEARCH("wash",$B48))+ISNUMBER(SEARCH("weigh",$B48))+ISNUMBER(SEARCH("tarp",$B48))&gt;0,"Vehicle",IF(ISNUMBER(SEARCH("rent",$B48))+ISNUMBER(SEARCH("upa",$B48))+ISNUMBER(SEARCH("salary",$B48))+ISNUMBER(SEARCH("sweldo",$B48))+ISNUMBER(SEARCH("wage",$B48))+ISNUMBER(SEARCH("electric",$B48))+ISNUMBER(SEARCH("kuryente",$B48))+ISNUMBER(SEARCH("water",$B48))+ISNUMBER(SEARCH("tubig",$B48))+ISNUMBER(SEARCH("internet",$B48))+ISNUMBER(SEARCH("pldt",$B48))+ISNUMBER(SEARCH("meralco",$B48))+ISNUMBER(SEARCH("supplies",$B48))+ISNUMBER(SEARCH("office",$B48))+ISNUMBER(SEARCH("professional",$B48))+ISNUMBER(SEARCH("accountant",$B48))+ISNUMBER(SEARCH("lawyer",$B48))+ISNUMBER(SEARCH("broker",$B48))+ISNUMBER(SEARCH("bank",$B48))+ISNUMBER(SEARCH("charge",$B48))+ISNUMBER(SEARCH("permit",$B48))+ISNUMBER(SEARCH("bir",$B48))+ISNUMBER(SEARCH("ltfrb",$B48))+ISNUMBER(SEARCH("misc",$B48))+ISNUMBER(SEARCH("fee",$B48))&gt;0,"Overhead","Overhead")))))))</f>
        <v/>
      </c>
      <c r="J48">
        <f>IF($A48="","",DATE(YEAR($A48),MONTH($A48),1))</f>
        <v/>
      </c>
      <c r="K48">
        <f>IF($B48="","",IF(COUNTIF(Setup!$A$99:$A$128,$B48)&gt;0,0,1))</f>
        <v/>
      </c>
      <c r="L48">
        <f>IF($B48="","",IF(ISNUMBER(SEARCH("advance",$B48)),"ADV",IF(OR(ISNUMBER(SEARCH("payout",$B48)),ISNUMBER(SEARCH("pay out",$B48)),ISNUMBER(SEARCH("release",$B48))),"PAY","")))</f>
        <v/>
      </c>
      <c r="M48">
        <f>IF($B48="","",IF(ISNUMBER(SEARCH("bulk",$B48)),0,IF(ISNUMBER(SEARCH("fuel",$B48))+ISNUMBER(SEARCH("diesel",$B48))+ISNUMBER(SEARCH("krudo",$B48))+ISNUMBER(SEARCH("gasolina",$B48))&gt;0,1,0)))</f>
        <v/>
      </c>
      <c r="N48">
        <f>IF($B48="","",IF(ISNUMBER(SEARCH("fuel",$B48))+ISNUMBER(SEARCH("diesel",$B48))+ISNUMBER(SEARCH("krudo",$B48))+ISNUMBER(SEARCH("gasolina",$B48))&gt;0,1,0))</f>
        <v/>
      </c>
    </row>
    <row r="49">
      <c r="A49" s="86" t="n"/>
      <c r="B49" s="88" t="n"/>
      <c r="C49" s="88" t="n"/>
      <c r="D49" s="87" t="n"/>
      <c r="E49" s="88" t="n"/>
      <c r="F49" s="92" t="n"/>
      <c r="G49" s="87" t="n"/>
      <c r="H49" s="87" t="n"/>
      <c r="I49" s="101">
        <f>IF($B49="","",IF(COUNTIF(Setup!$A$99:$A$128,$B49)&gt;0,IF(INDEX(Setup!$B$99:$B$128,MATCH($B49,Setup!$A$99:$A$128,0))="","Overhead",INDEX(Setup!$B$99:$B$128,MATCH($B49,Setup!$A$99:$A$128,0))),IF(ISNUMBER(SEARCH("advance",$B49))+ISNUMBER(SEARCH("payout",$B49))+ISNUMBER(SEARCH("pay out",$B49))+ISNUMBER(SEARCH("reimburs",$B49))&gt;0,"Transfer",IF(ISNUMBER(SEARCH("loan",$B49))+ISNUMBER(SEARCH("amort",$B49))+ISNUMBER(SEARCH("installment",$B49))+ISNUMBER(SEARCH("instalment",$B49))&gt;0,"Financing",IF(ISNUMBER(SEARCH("draw",$B49))+ISNUMBER(SEARCH("owner",$B49))+ISNUMBER(SEARCH("asset",$B49))+ISNUMBER(SEARCH("capital",$B49))&gt;0,"Other",IF(ISNUMBER(SEARCH("fuel",$B49))+ISNUMBER(SEARCH("diesel",$B49))+ISNUMBER(SEARCH("krudo",$B49))+ISNUMBER(SEARCH("gasolina",$B49))+ISNUMBER(SEARCH("toll",$B49))+ISNUMBER(SEARCH("parking",$B49))+ISNUMBER(SEARCH("repair",$B49))+ISNUMBER(SEARCH("maintenance",$B49))+ISNUMBER(SEARCH("tire",$B49))+ISNUMBER(SEARCH("tyre",$B49))+ISNUMBER(SEARCH("battery",$B49))+ISNUMBER(SEARCH("oil",$B49))+ISNUMBER(SEARCH("filter",$B49))+ISNUMBER(SEARCH("spare",$B49))+ISNUMBER(SEARCH("insurance",$B49))+ISNUMBER(SEARCH("lto",$B49))+ISNUMBER(SEARCH("registration",$B49))+ISNUMBER(SEARCH("emission",$B49))+ISNUMBER(SEARCH("wash",$B49))+ISNUMBER(SEARCH("weigh",$B49))+ISNUMBER(SEARCH("tarp",$B49))&gt;0,"Vehicle",IF(ISNUMBER(SEARCH("rent",$B49))+ISNUMBER(SEARCH("upa",$B49))+ISNUMBER(SEARCH("salary",$B49))+ISNUMBER(SEARCH("sweldo",$B49))+ISNUMBER(SEARCH("wage",$B49))+ISNUMBER(SEARCH("electric",$B49))+ISNUMBER(SEARCH("kuryente",$B49))+ISNUMBER(SEARCH("water",$B49))+ISNUMBER(SEARCH("tubig",$B49))+ISNUMBER(SEARCH("internet",$B49))+ISNUMBER(SEARCH("pldt",$B49))+ISNUMBER(SEARCH("meralco",$B49))+ISNUMBER(SEARCH("supplies",$B49))+ISNUMBER(SEARCH("office",$B49))+ISNUMBER(SEARCH("professional",$B49))+ISNUMBER(SEARCH("accountant",$B49))+ISNUMBER(SEARCH("lawyer",$B49))+ISNUMBER(SEARCH("broker",$B49))+ISNUMBER(SEARCH("bank",$B49))+ISNUMBER(SEARCH("charge",$B49))+ISNUMBER(SEARCH("permit",$B49))+ISNUMBER(SEARCH("bir",$B49))+ISNUMBER(SEARCH("ltfrb",$B49))+ISNUMBER(SEARCH("misc",$B49))+ISNUMBER(SEARCH("fee",$B49))&gt;0,"Overhead","Overhead")))))))</f>
        <v/>
      </c>
      <c r="J49">
        <f>IF($A49="","",DATE(YEAR($A49),MONTH($A49),1))</f>
        <v/>
      </c>
      <c r="K49">
        <f>IF($B49="","",IF(COUNTIF(Setup!$A$99:$A$128,$B49)&gt;0,0,1))</f>
        <v/>
      </c>
      <c r="L49">
        <f>IF($B49="","",IF(ISNUMBER(SEARCH("advance",$B49)),"ADV",IF(OR(ISNUMBER(SEARCH("payout",$B49)),ISNUMBER(SEARCH("pay out",$B49)),ISNUMBER(SEARCH("release",$B49))),"PAY","")))</f>
        <v/>
      </c>
      <c r="M49">
        <f>IF($B49="","",IF(ISNUMBER(SEARCH("bulk",$B49)),0,IF(ISNUMBER(SEARCH("fuel",$B49))+ISNUMBER(SEARCH("diesel",$B49))+ISNUMBER(SEARCH("krudo",$B49))+ISNUMBER(SEARCH("gasolina",$B49))&gt;0,1,0)))</f>
        <v/>
      </c>
      <c r="N49">
        <f>IF($B49="","",IF(ISNUMBER(SEARCH("fuel",$B49))+ISNUMBER(SEARCH("diesel",$B49))+ISNUMBER(SEARCH("krudo",$B49))+ISNUMBER(SEARCH("gasolina",$B49))&gt;0,1,0))</f>
        <v/>
      </c>
    </row>
    <row r="50">
      <c r="A50" s="94" t="n"/>
      <c r="B50" s="96" t="n"/>
      <c r="C50" s="96" t="n"/>
      <c r="D50" s="95" t="n"/>
      <c r="E50" s="96" t="n"/>
      <c r="F50" s="99" t="n"/>
      <c r="G50" s="95" t="n"/>
      <c r="H50" s="95" t="n"/>
      <c r="I50" s="101">
        <f>IF($B50="","",IF(COUNTIF(Setup!$A$99:$A$128,$B50)&gt;0,IF(INDEX(Setup!$B$99:$B$128,MATCH($B50,Setup!$A$99:$A$128,0))="","Overhead",INDEX(Setup!$B$99:$B$128,MATCH($B50,Setup!$A$99:$A$128,0))),IF(ISNUMBER(SEARCH("advance",$B50))+ISNUMBER(SEARCH("payout",$B50))+ISNUMBER(SEARCH("pay out",$B50))+ISNUMBER(SEARCH("reimburs",$B50))&gt;0,"Transfer",IF(ISNUMBER(SEARCH("loan",$B50))+ISNUMBER(SEARCH("amort",$B50))+ISNUMBER(SEARCH("installment",$B50))+ISNUMBER(SEARCH("instalment",$B50))&gt;0,"Financing",IF(ISNUMBER(SEARCH("draw",$B50))+ISNUMBER(SEARCH("owner",$B50))+ISNUMBER(SEARCH("asset",$B50))+ISNUMBER(SEARCH("capital",$B50))&gt;0,"Other",IF(ISNUMBER(SEARCH("fuel",$B50))+ISNUMBER(SEARCH("diesel",$B50))+ISNUMBER(SEARCH("krudo",$B50))+ISNUMBER(SEARCH("gasolina",$B50))+ISNUMBER(SEARCH("toll",$B50))+ISNUMBER(SEARCH("parking",$B50))+ISNUMBER(SEARCH("repair",$B50))+ISNUMBER(SEARCH("maintenance",$B50))+ISNUMBER(SEARCH("tire",$B50))+ISNUMBER(SEARCH("tyre",$B50))+ISNUMBER(SEARCH("battery",$B50))+ISNUMBER(SEARCH("oil",$B50))+ISNUMBER(SEARCH("filter",$B50))+ISNUMBER(SEARCH("spare",$B50))+ISNUMBER(SEARCH("insurance",$B50))+ISNUMBER(SEARCH("lto",$B50))+ISNUMBER(SEARCH("registration",$B50))+ISNUMBER(SEARCH("emission",$B50))+ISNUMBER(SEARCH("wash",$B50))+ISNUMBER(SEARCH("weigh",$B50))+ISNUMBER(SEARCH("tarp",$B50))&gt;0,"Vehicle",IF(ISNUMBER(SEARCH("rent",$B50))+ISNUMBER(SEARCH("upa",$B50))+ISNUMBER(SEARCH("salary",$B50))+ISNUMBER(SEARCH("sweldo",$B50))+ISNUMBER(SEARCH("wage",$B50))+ISNUMBER(SEARCH("electric",$B50))+ISNUMBER(SEARCH("kuryente",$B50))+ISNUMBER(SEARCH("water",$B50))+ISNUMBER(SEARCH("tubig",$B50))+ISNUMBER(SEARCH("internet",$B50))+ISNUMBER(SEARCH("pldt",$B50))+ISNUMBER(SEARCH("meralco",$B50))+ISNUMBER(SEARCH("supplies",$B50))+ISNUMBER(SEARCH("office",$B50))+ISNUMBER(SEARCH("professional",$B50))+ISNUMBER(SEARCH("accountant",$B50))+ISNUMBER(SEARCH("lawyer",$B50))+ISNUMBER(SEARCH("broker",$B50))+ISNUMBER(SEARCH("bank",$B50))+ISNUMBER(SEARCH("charge",$B50))+ISNUMBER(SEARCH("permit",$B50))+ISNUMBER(SEARCH("bir",$B50))+ISNUMBER(SEARCH("ltfrb",$B50))+ISNUMBER(SEARCH("misc",$B50))+ISNUMBER(SEARCH("fee",$B50))&gt;0,"Overhead","Overhead")))))))</f>
        <v/>
      </c>
      <c r="J50">
        <f>IF($A50="","",DATE(YEAR($A50),MONTH($A50),1))</f>
        <v/>
      </c>
      <c r="K50">
        <f>IF($B50="","",IF(COUNTIF(Setup!$A$99:$A$128,$B50)&gt;0,0,1))</f>
        <v/>
      </c>
      <c r="L50">
        <f>IF($B50="","",IF(ISNUMBER(SEARCH("advance",$B50)),"ADV",IF(OR(ISNUMBER(SEARCH("payout",$B50)),ISNUMBER(SEARCH("pay out",$B50)),ISNUMBER(SEARCH("release",$B50))),"PAY","")))</f>
        <v/>
      </c>
      <c r="M50">
        <f>IF($B50="","",IF(ISNUMBER(SEARCH("bulk",$B50)),0,IF(ISNUMBER(SEARCH("fuel",$B50))+ISNUMBER(SEARCH("diesel",$B50))+ISNUMBER(SEARCH("krudo",$B50))+ISNUMBER(SEARCH("gasolina",$B50))&gt;0,1,0)))</f>
        <v/>
      </c>
      <c r="N50">
        <f>IF($B50="","",IF(ISNUMBER(SEARCH("fuel",$B50))+ISNUMBER(SEARCH("diesel",$B50))+ISNUMBER(SEARCH("krudo",$B50))+ISNUMBER(SEARCH("gasolina",$B50))&gt;0,1,0))</f>
        <v/>
      </c>
    </row>
    <row r="51">
      <c r="A51" s="86" t="n"/>
      <c r="B51" s="88" t="n"/>
      <c r="C51" s="88" t="n"/>
      <c r="D51" s="87" t="n"/>
      <c r="E51" s="88" t="n"/>
      <c r="F51" s="92" t="n"/>
      <c r="G51" s="87" t="n"/>
      <c r="H51" s="87" t="n"/>
      <c r="I51" s="101">
        <f>IF($B51="","",IF(COUNTIF(Setup!$A$99:$A$128,$B51)&gt;0,IF(INDEX(Setup!$B$99:$B$128,MATCH($B51,Setup!$A$99:$A$128,0))="","Overhead",INDEX(Setup!$B$99:$B$128,MATCH($B51,Setup!$A$99:$A$128,0))),IF(ISNUMBER(SEARCH("advance",$B51))+ISNUMBER(SEARCH("payout",$B51))+ISNUMBER(SEARCH("pay out",$B51))+ISNUMBER(SEARCH("reimburs",$B51))&gt;0,"Transfer",IF(ISNUMBER(SEARCH("loan",$B51))+ISNUMBER(SEARCH("amort",$B51))+ISNUMBER(SEARCH("installment",$B51))+ISNUMBER(SEARCH("instalment",$B51))&gt;0,"Financing",IF(ISNUMBER(SEARCH("draw",$B51))+ISNUMBER(SEARCH("owner",$B51))+ISNUMBER(SEARCH("asset",$B51))+ISNUMBER(SEARCH("capital",$B51))&gt;0,"Other",IF(ISNUMBER(SEARCH("fuel",$B51))+ISNUMBER(SEARCH("diesel",$B51))+ISNUMBER(SEARCH("krudo",$B51))+ISNUMBER(SEARCH("gasolina",$B51))+ISNUMBER(SEARCH("toll",$B51))+ISNUMBER(SEARCH("parking",$B51))+ISNUMBER(SEARCH("repair",$B51))+ISNUMBER(SEARCH("maintenance",$B51))+ISNUMBER(SEARCH("tire",$B51))+ISNUMBER(SEARCH("tyre",$B51))+ISNUMBER(SEARCH("battery",$B51))+ISNUMBER(SEARCH("oil",$B51))+ISNUMBER(SEARCH("filter",$B51))+ISNUMBER(SEARCH("spare",$B51))+ISNUMBER(SEARCH("insurance",$B51))+ISNUMBER(SEARCH("lto",$B51))+ISNUMBER(SEARCH("registration",$B51))+ISNUMBER(SEARCH("emission",$B51))+ISNUMBER(SEARCH("wash",$B51))+ISNUMBER(SEARCH("weigh",$B51))+ISNUMBER(SEARCH("tarp",$B51))&gt;0,"Vehicle",IF(ISNUMBER(SEARCH("rent",$B51))+ISNUMBER(SEARCH("upa",$B51))+ISNUMBER(SEARCH("salary",$B51))+ISNUMBER(SEARCH("sweldo",$B51))+ISNUMBER(SEARCH("wage",$B51))+ISNUMBER(SEARCH("electric",$B51))+ISNUMBER(SEARCH("kuryente",$B51))+ISNUMBER(SEARCH("water",$B51))+ISNUMBER(SEARCH("tubig",$B51))+ISNUMBER(SEARCH("internet",$B51))+ISNUMBER(SEARCH("pldt",$B51))+ISNUMBER(SEARCH("meralco",$B51))+ISNUMBER(SEARCH("supplies",$B51))+ISNUMBER(SEARCH("office",$B51))+ISNUMBER(SEARCH("professional",$B51))+ISNUMBER(SEARCH("accountant",$B51))+ISNUMBER(SEARCH("lawyer",$B51))+ISNUMBER(SEARCH("broker",$B51))+ISNUMBER(SEARCH("bank",$B51))+ISNUMBER(SEARCH("charge",$B51))+ISNUMBER(SEARCH("permit",$B51))+ISNUMBER(SEARCH("bir",$B51))+ISNUMBER(SEARCH("ltfrb",$B51))+ISNUMBER(SEARCH("misc",$B51))+ISNUMBER(SEARCH("fee",$B51))&gt;0,"Overhead","Overhead")))))))</f>
        <v/>
      </c>
      <c r="J51">
        <f>IF($A51="","",DATE(YEAR($A51),MONTH($A51),1))</f>
        <v/>
      </c>
      <c r="K51">
        <f>IF($B51="","",IF(COUNTIF(Setup!$A$99:$A$128,$B51)&gt;0,0,1))</f>
        <v/>
      </c>
      <c r="L51">
        <f>IF($B51="","",IF(ISNUMBER(SEARCH("advance",$B51)),"ADV",IF(OR(ISNUMBER(SEARCH("payout",$B51)),ISNUMBER(SEARCH("pay out",$B51)),ISNUMBER(SEARCH("release",$B51))),"PAY","")))</f>
        <v/>
      </c>
      <c r="M51">
        <f>IF($B51="","",IF(ISNUMBER(SEARCH("bulk",$B51)),0,IF(ISNUMBER(SEARCH("fuel",$B51))+ISNUMBER(SEARCH("diesel",$B51))+ISNUMBER(SEARCH("krudo",$B51))+ISNUMBER(SEARCH("gasolina",$B51))&gt;0,1,0)))</f>
        <v/>
      </c>
      <c r="N51">
        <f>IF($B51="","",IF(ISNUMBER(SEARCH("fuel",$B51))+ISNUMBER(SEARCH("diesel",$B51))+ISNUMBER(SEARCH("krudo",$B51))+ISNUMBER(SEARCH("gasolina",$B51))&gt;0,1,0))</f>
        <v/>
      </c>
    </row>
    <row r="52">
      <c r="A52" s="94" t="n"/>
      <c r="B52" s="96" t="n"/>
      <c r="C52" s="96" t="n"/>
      <c r="D52" s="95" t="n"/>
      <c r="E52" s="96" t="n"/>
      <c r="F52" s="99" t="n"/>
      <c r="G52" s="95" t="n"/>
      <c r="H52" s="95" t="n"/>
      <c r="I52" s="101">
        <f>IF($B52="","",IF(COUNTIF(Setup!$A$99:$A$128,$B52)&gt;0,IF(INDEX(Setup!$B$99:$B$128,MATCH($B52,Setup!$A$99:$A$128,0))="","Overhead",INDEX(Setup!$B$99:$B$128,MATCH($B52,Setup!$A$99:$A$128,0))),IF(ISNUMBER(SEARCH("advance",$B52))+ISNUMBER(SEARCH("payout",$B52))+ISNUMBER(SEARCH("pay out",$B52))+ISNUMBER(SEARCH("reimburs",$B52))&gt;0,"Transfer",IF(ISNUMBER(SEARCH("loan",$B52))+ISNUMBER(SEARCH("amort",$B52))+ISNUMBER(SEARCH("installment",$B52))+ISNUMBER(SEARCH("instalment",$B52))&gt;0,"Financing",IF(ISNUMBER(SEARCH("draw",$B52))+ISNUMBER(SEARCH("owner",$B52))+ISNUMBER(SEARCH("asset",$B52))+ISNUMBER(SEARCH("capital",$B52))&gt;0,"Other",IF(ISNUMBER(SEARCH("fuel",$B52))+ISNUMBER(SEARCH("diesel",$B52))+ISNUMBER(SEARCH("krudo",$B52))+ISNUMBER(SEARCH("gasolina",$B52))+ISNUMBER(SEARCH("toll",$B52))+ISNUMBER(SEARCH("parking",$B52))+ISNUMBER(SEARCH("repair",$B52))+ISNUMBER(SEARCH("maintenance",$B52))+ISNUMBER(SEARCH("tire",$B52))+ISNUMBER(SEARCH("tyre",$B52))+ISNUMBER(SEARCH("battery",$B52))+ISNUMBER(SEARCH("oil",$B52))+ISNUMBER(SEARCH("filter",$B52))+ISNUMBER(SEARCH("spare",$B52))+ISNUMBER(SEARCH("insurance",$B52))+ISNUMBER(SEARCH("lto",$B52))+ISNUMBER(SEARCH("registration",$B52))+ISNUMBER(SEARCH("emission",$B52))+ISNUMBER(SEARCH("wash",$B52))+ISNUMBER(SEARCH("weigh",$B52))+ISNUMBER(SEARCH("tarp",$B52))&gt;0,"Vehicle",IF(ISNUMBER(SEARCH("rent",$B52))+ISNUMBER(SEARCH("upa",$B52))+ISNUMBER(SEARCH("salary",$B52))+ISNUMBER(SEARCH("sweldo",$B52))+ISNUMBER(SEARCH("wage",$B52))+ISNUMBER(SEARCH("electric",$B52))+ISNUMBER(SEARCH("kuryente",$B52))+ISNUMBER(SEARCH("water",$B52))+ISNUMBER(SEARCH("tubig",$B52))+ISNUMBER(SEARCH("internet",$B52))+ISNUMBER(SEARCH("pldt",$B52))+ISNUMBER(SEARCH("meralco",$B52))+ISNUMBER(SEARCH("supplies",$B52))+ISNUMBER(SEARCH("office",$B52))+ISNUMBER(SEARCH("professional",$B52))+ISNUMBER(SEARCH("accountant",$B52))+ISNUMBER(SEARCH("lawyer",$B52))+ISNUMBER(SEARCH("broker",$B52))+ISNUMBER(SEARCH("bank",$B52))+ISNUMBER(SEARCH("charge",$B52))+ISNUMBER(SEARCH("permit",$B52))+ISNUMBER(SEARCH("bir",$B52))+ISNUMBER(SEARCH("ltfrb",$B52))+ISNUMBER(SEARCH("misc",$B52))+ISNUMBER(SEARCH("fee",$B52))&gt;0,"Overhead","Overhead")))))))</f>
        <v/>
      </c>
      <c r="J52">
        <f>IF($A52="","",DATE(YEAR($A52),MONTH($A52),1))</f>
        <v/>
      </c>
      <c r="K52">
        <f>IF($B52="","",IF(COUNTIF(Setup!$A$99:$A$128,$B52)&gt;0,0,1))</f>
        <v/>
      </c>
      <c r="L52">
        <f>IF($B52="","",IF(ISNUMBER(SEARCH("advance",$B52)),"ADV",IF(OR(ISNUMBER(SEARCH("payout",$B52)),ISNUMBER(SEARCH("pay out",$B52)),ISNUMBER(SEARCH("release",$B52))),"PAY","")))</f>
        <v/>
      </c>
      <c r="M52">
        <f>IF($B52="","",IF(ISNUMBER(SEARCH("bulk",$B52)),0,IF(ISNUMBER(SEARCH("fuel",$B52))+ISNUMBER(SEARCH("diesel",$B52))+ISNUMBER(SEARCH("krudo",$B52))+ISNUMBER(SEARCH("gasolina",$B52))&gt;0,1,0)))</f>
        <v/>
      </c>
      <c r="N52">
        <f>IF($B52="","",IF(ISNUMBER(SEARCH("fuel",$B52))+ISNUMBER(SEARCH("diesel",$B52))+ISNUMBER(SEARCH("krudo",$B52))+ISNUMBER(SEARCH("gasolina",$B52))&gt;0,1,0))</f>
        <v/>
      </c>
    </row>
    <row r="53">
      <c r="A53" s="86" t="n"/>
      <c r="B53" s="88" t="n"/>
      <c r="C53" s="88" t="n"/>
      <c r="D53" s="87" t="n"/>
      <c r="E53" s="88" t="n"/>
      <c r="F53" s="92" t="n"/>
      <c r="G53" s="87" t="n"/>
      <c r="H53" s="87" t="n"/>
      <c r="I53" s="101">
        <f>IF($B53="","",IF(COUNTIF(Setup!$A$99:$A$128,$B53)&gt;0,IF(INDEX(Setup!$B$99:$B$128,MATCH($B53,Setup!$A$99:$A$128,0))="","Overhead",INDEX(Setup!$B$99:$B$128,MATCH($B53,Setup!$A$99:$A$128,0))),IF(ISNUMBER(SEARCH("advance",$B53))+ISNUMBER(SEARCH("payout",$B53))+ISNUMBER(SEARCH("pay out",$B53))+ISNUMBER(SEARCH("reimburs",$B53))&gt;0,"Transfer",IF(ISNUMBER(SEARCH("loan",$B53))+ISNUMBER(SEARCH("amort",$B53))+ISNUMBER(SEARCH("installment",$B53))+ISNUMBER(SEARCH("instalment",$B53))&gt;0,"Financing",IF(ISNUMBER(SEARCH("draw",$B53))+ISNUMBER(SEARCH("owner",$B53))+ISNUMBER(SEARCH("asset",$B53))+ISNUMBER(SEARCH("capital",$B53))&gt;0,"Other",IF(ISNUMBER(SEARCH("fuel",$B53))+ISNUMBER(SEARCH("diesel",$B53))+ISNUMBER(SEARCH("krudo",$B53))+ISNUMBER(SEARCH("gasolina",$B53))+ISNUMBER(SEARCH("toll",$B53))+ISNUMBER(SEARCH("parking",$B53))+ISNUMBER(SEARCH("repair",$B53))+ISNUMBER(SEARCH("maintenance",$B53))+ISNUMBER(SEARCH("tire",$B53))+ISNUMBER(SEARCH("tyre",$B53))+ISNUMBER(SEARCH("battery",$B53))+ISNUMBER(SEARCH("oil",$B53))+ISNUMBER(SEARCH("filter",$B53))+ISNUMBER(SEARCH("spare",$B53))+ISNUMBER(SEARCH("insurance",$B53))+ISNUMBER(SEARCH("lto",$B53))+ISNUMBER(SEARCH("registration",$B53))+ISNUMBER(SEARCH("emission",$B53))+ISNUMBER(SEARCH("wash",$B53))+ISNUMBER(SEARCH("weigh",$B53))+ISNUMBER(SEARCH("tarp",$B53))&gt;0,"Vehicle",IF(ISNUMBER(SEARCH("rent",$B53))+ISNUMBER(SEARCH("upa",$B53))+ISNUMBER(SEARCH("salary",$B53))+ISNUMBER(SEARCH("sweldo",$B53))+ISNUMBER(SEARCH("wage",$B53))+ISNUMBER(SEARCH("electric",$B53))+ISNUMBER(SEARCH("kuryente",$B53))+ISNUMBER(SEARCH("water",$B53))+ISNUMBER(SEARCH("tubig",$B53))+ISNUMBER(SEARCH("internet",$B53))+ISNUMBER(SEARCH("pldt",$B53))+ISNUMBER(SEARCH("meralco",$B53))+ISNUMBER(SEARCH("supplies",$B53))+ISNUMBER(SEARCH("office",$B53))+ISNUMBER(SEARCH("professional",$B53))+ISNUMBER(SEARCH("accountant",$B53))+ISNUMBER(SEARCH("lawyer",$B53))+ISNUMBER(SEARCH("broker",$B53))+ISNUMBER(SEARCH("bank",$B53))+ISNUMBER(SEARCH("charge",$B53))+ISNUMBER(SEARCH("permit",$B53))+ISNUMBER(SEARCH("bir",$B53))+ISNUMBER(SEARCH("ltfrb",$B53))+ISNUMBER(SEARCH("misc",$B53))+ISNUMBER(SEARCH("fee",$B53))&gt;0,"Overhead","Overhead")))))))</f>
        <v/>
      </c>
      <c r="J53">
        <f>IF($A53="","",DATE(YEAR($A53),MONTH($A53),1))</f>
        <v/>
      </c>
      <c r="K53">
        <f>IF($B53="","",IF(COUNTIF(Setup!$A$99:$A$128,$B53)&gt;0,0,1))</f>
        <v/>
      </c>
      <c r="L53">
        <f>IF($B53="","",IF(ISNUMBER(SEARCH("advance",$B53)),"ADV",IF(OR(ISNUMBER(SEARCH("payout",$B53)),ISNUMBER(SEARCH("pay out",$B53)),ISNUMBER(SEARCH("release",$B53))),"PAY","")))</f>
        <v/>
      </c>
      <c r="M53">
        <f>IF($B53="","",IF(ISNUMBER(SEARCH("bulk",$B53)),0,IF(ISNUMBER(SEARCH("fuel",$B53))+ISNUMBER(SEARCH("diesel",$B53))+ISNUMBER(SEARCH("krudo",$B53))+ISNUMBER(SEARCH("gasolina",$B53))&gt;0,1,0)))</f>
        <v/>
      </c>
      <c r="N53">
        <f>IF($B53="","",IF(ISNUMBER(SEARCH("fuel",$B53))+ISNUMBER(SEARCH("diesel",$B53))+ISNUMBER(SEARCH("krudo",$B53))+ISNUMBER(SEARCH("gasolina",$B53))&gt;0,1,0))</f>
        <v/>
      </c>
    </row>
    <row r="54">
      <c r="A54" s="94" t="n"/>
      <c r="B54" s="96" t="n"/>
      <c r="C54" s="96" t="n"/>
      <c r="D54" s="95" t="n"/>
      <c r="E54" s="96" t="n"/>
      <c r="F54" s="99" t="n"/>
      <c r="G54" s="95" t="n"/>
      <c r="H54" s="95" t="n"/>
      <c r="I54" s="101">
        <f>IF($B54="","",IF(COUNTIF(Setup!$A$99:$A$128,$B54)&gt;0,IF(INDEX(Setup!$B$99:$B$128,MATCH($B54,Setup!$A$99:$A$128,0))="","Overhead",INDEX(Setup!$B$99:$B$128,MATCH($B54,Setup!$A$99:$A$128,0))),IF(ISNUMBER(SEARCH("advance",$B54))+ISNUMBER(SEARCH("payout",$B54))+ISNUMBER(SEARCH("pay out",$B54))+ISNUMBER(SEARCH("reimburs",$B54))&gt;0,"Transfer",IF(ISNUMBER(SEARCH("loan",$B54))+ISNUMBER(SEARCH("amort",$B54))+ISNUMBER(SEARCH("installment",$B54))+ISNUMBER(SEARCH("instalment",$B54))&gt;0,"Financing",IF(ISNUMBER(SEARCH("draw",$B54))+ISNUMBER(SEARCH("owner",$B54))+ISNUMBER(SEARCH("asset",$B54))+ISNUMBER(SEARCH("capital",$B54))&gt;0,"Other",IF(ISNUMBER(SEARCH("fuel",$B54))+ISNUMBER(SEARCH("diesel",$B54))+ISNUMBER(SEARCH("krudo",$B54))+ISNUMBER(SEARCH("gasolina",$B54))+ISNUMBER(SEARCH("toll",$B54))+ISNUMBER(SEARCH("parking",$B54))+ISNUMBER(SEARCH("repair",$B54))+ISNUMBER(SEARCH("maintenance",$B54))+ISNUMBER(SEARCH("tire",$B54))+ISNUMBER(SEARCH("tyre",$B54))+ISNUMBER(SEARCH("battery",$B54))+ISNUMBER(SEARCH("oil",$B54))+ISNUMBER(SEARCH("filter",$B54))+ISNUMBER(SEARCH("spare",$B54))+ISNUMBER(SEARCH("insurance",$B54))+ISNUMBER(SEARCH("lto",$B54))+ISNUMBER(SEARCH("registration",$B54))+ISNUMBER(SEARCH("emission",$B54))+ISNUMBER(SEARCH("wash",$B54))+ISNUMBER(SEARCH("weigh",$B54))+ISNUMBER(SEARCH("tarp",$B54))&gt;0,"Vehicle",IF(ISNUMBER(SEARCH("rent",$B54))+ISNUMBER(SEARCH("upa",$B54))+ISNUMBER(SEARCH("salary",$B54))+ISNUMBER(SEARCH("sweldo",$B54))+ISNUMBER(SEARCH("wage",$B54))+ISNUMBER(SEARCH("electric",$B54))+ISNUMBER(SEARCH("kuryente",$B54))+ISNUMBER(SEARCH("water",$B54))+ISNUMBER(SEARCH("tubig",$B54))+ISNUMBER(SEARCH("internet",$B54))+ISNUMBER(SEARCH("pldt",$B54))+ISNUMBER(SEARCH("meralco",$B54))+ISNUMBER(SEARCH("supplies",$B54))+ISNUMBER(SEARCH("office",$B54))+ISNUMBER(SEARCH("professional",$B54))+ISNUMBER(SEARCH("accountant",$B54))+ISNUMBER(SEARCH("lawyer",$B54))+ISNUMBER(SEARCH("broker",$B54))+ISNUMBER(SEARCH("bank",$B54))+ISNUMBER(SEARCH("charge",$B54))+ISNUMBER(SEARCH("permit",$B54))+ISNUMBER(SEARCH("bir",$B54))+ISNUMBER(SEARCH("ltfrb",$B54))+ISNUMBER(SEARCH("misc",$B54))+ISNUMBER(SEARCH("fee",$B54))&gt;0,"Overhead","Overhead")))))))</f>
        <v/>
      </c>
      <c r="J54">
        <f>IF($A54="","",DATE(YEAR($A54),MONTH($A54),1))</f>
        <v/>
      </c>
      <c r="K54">
        <f>IF($B54="","",IF(COUNTIF(Setup!$A$99:$A$128,$B54)&gt;0,0,1))</f>
        <v/>
      </c>
      <c r="L54">
        <f>IF($B54="","",IF(ISNUMBER(SEARCH("advance",$B54)),"ADV",IF(OR(ISNUMBER(SEARCH("payout",$B54)),ISNUMBER(SEARCH("pay out",$B54)),ISNUMBER(SEARCH("release",$B54))),"PAY","")))</f>
        <v/>
      </c>
      <c r="M54">
        <f>IF($B54="","",IF(ISNUMBER(SEARCH("bulk",$B54)),0,IF(ISNUMBER(SEARCH("fuel",$B54))+ISNUMBER(SEARCH("diesel",$B54))+ISNUMBER(SEARCH("krudo",$B54))+ISNUMBER(SEARCH("gasolina",$B54))&gt;0,1,0)))</f>
        <v/>
      </c>
      <c r="N54">
        <f>IF($B54="","",IF(ISNUMBER(SEARCH("fuel",$B54))+ISNUMBER(SEARCH("diesel",$B54))+ISNUMBER(SEARCH("krudo",$B54))+ISNUMBER(SEARCH("gasolina",$B54))&gt;0,1,0))</f>
        <v/>
      </c>
    </row>
    <row r="55">
      <c r="A55" s="86" t="n"/>
      <c r="B55" s="88" t="n"/>
      <c r="C55" s="88" t="n"/>
      <c r="D55" s="87" t="n"/>
      <c r="E55" s="88" t="n"/>
      <c r="F55" s="92" t="n"/>
      <c r="G55" s="87" t="n"/>
      <c r="H55" s="87" t="n"/>
      <c r="I55" s="101">
        <f>IF($B55="","",IF(COUNTIF(Setup!$A$99:$A$128,$B55)&gt;0,IF(INDEX(Setup!$B$99:$B$128,MATCH($B55,Setup!$A$99:$A$128,0))="","Overhead",INDEX(Setup!$B$99:$B$128,MATCH($B55,Setup!$A$99:$A$128,0))),IF(ISNUMBER(SEARCH("advance",$B55))+ISNUMBER(SEARCH("payout",$B55))+ISNUMBER(SEARCH("pay out",$B55))+ISNUMBER(SEARCH("reimburs",$B55))&gt;0,"Transfer",IF(ISNUMBER(SEARCH("loan",$B55))+ISNUMBER(SEARCH("amort",$B55))+ISNUMBER(SEARCH("installment",$B55))+ISNUMBER(SEARCH("instalment",$B55))&gt;0,"Financing",IF(ISNUMBER(SEARCH("draw",$B55))+ISNUMBER(SEARCH("owner",$B55))+ISNUMBER(SEARCH("asset",$B55))+ISNUMBER(SEARCH("capital",$B55))&gt;0,"Other",IF(ISNUMBER(SEARCH("fuel",$B55))+ISNUMBER(SEARCH("diesel",$B55))+ISNUMBER(SEARCH("krudo",$B55))+ISNUMBER(SEARCH("gasolina",$B55))+ISNUMBER(SEARCH("toll",$B55))+ISNUMBER(SEARCH("parking",$B55))+ISNUMBER(SEARCH("repair",$B55))+ISNUMBER(SEARCH("maintenance",$B55))+ISNUMBER(SEARCH("tire",$B55))+ISNUMBER(SEARCH("tyre",$B55))+ISNUMBER(SEARCH("battery",$B55))+ISNUMBER(SEARCH("oil",$B55))+ISNUMBER(SEARCH("filter",$B55))+ISNUMBER(SEARCH("spare",$B55))+ISNUMBER(SEARCH("insurance",$B55))+ISNUMBER(SEARCH("lto",$B55))+ISNUMBER(SEARCH("registration",$B55))+ISNUMBER(SEARCH("emission",$B55))+ISNUMBER(SEARCH("wash",$B55))+ISNUMBER(SEARCH("weigh",$B55))+ISNUMBER(SEARCH("tarp",$B55))&gt;0,"Vehicle",IF(ISNUMBER(SEARCH("rent",$B55))+ISNUMBER(SEARCH("upa",$B55))+ISNUMBER(SEARCH("salary",$B55))+ISNUMBER(SEARCH("sweldo",$B55))+ISNUMBER(SEARCH("wage",$B55))+ISNUMBER(SEARCH("electric",$B55))+ISNUMBER(SEARCH("kuryente",$B55))+ISNUMBER(SEARCH("water",$B55))+ISNUMBER(SEARCH("tubig",$B55))+ISNUMBER(SEARCH("internet",$B55))+ISNUMBER(SEARCH("pldt",$B55))+ISNUMBER(SEARCH("meralco",$B55))+ISNUMBER(SEARCH("supplies",$B55))+ISNUMBER(SEARCH("office",$B55))+ISNUMBER(SEARCH("professional",$B55))+ISNUMBER(SEARCH("accountant",$B55))+ISNUMBER(SEARCH("lawyer",$B55))+ISNUMBER(SEARCH("broker",$B55))+ISNUMBER(SEARCH("bank",$B55))+ISNUMBER(SEARCH("charge",$B55))+ISNUMBER(SEARCH("permit",$B55))+ISNUMBER(SEARCH("bir",$B55))+ISNUMBER(SEARCH("ltfrb",$B55))+ISNUMBER(SEARCH("misc",$B55))+ISNUMBER(SEARCH("fee",$B55))&gt;0,"Overhead","Overhead")))))))</f>
        <v/>
      </c>
      <c r="J55">
        <f>IF($A55="","",DATE(YEAR($A55),MONTH($A55),1))</f>
        <v/>
      </c>
      <c r="K55">
        <f>IF($B55="","",IF(COUNTIF(Setup!$A$99:$A$128,$B55)&gt;0,0,1))</f>
        <v/>
      </c>
      <c r="L55">
        <f>IF($B55="","",IF(ISNUMBER(SEARCH("advance",$B55)),"ADV",IF(OR(ISNUMBER(SEARCH("payout",$B55)),ISNUMBER(SEARCH("pay out",$B55)),ISNUMBER(SEARCH("release",$B55))),"PAY","")))</f>
        <v/>
      </c>
      <c r="M55">
        <f>IF($B55="","",IF(ISNUMBER(SEARCH("bulk",$B55)),0,IF(ISNUMBER(SEARCH("fuel",$B55))+ISNUMBER(SEARCH("diesel",$B55))+ISNUMBER(SEARCH("krudo",$B55))+ISNUMBER(SEARCH("gasolina",$B55))&gt;0,1,0)))</f>
        <v/>
      </c>
      <c r="N55">
        <f>IF($B55="","",IF(ISNUMBER(SEARCH("fuel",$B55))+ISNUMBER(SEARCH("diesel",$B55))+ISNUMBER(SEARCH("krudo",$B55))+ISNUMBER(SEARCH("gasolina",$B55))&gt;0,1,0))</f>
        <v/>
      </c>
    </row>
    <row r="56">
      <c r="A56" s="94" t="n"/>
      <c r="B56" s="96" t="n"/>
      <c r="C56" s="96" t="n"/>
      <c r="D56" s="95" t="n"/>
      <c r="E56" s="96" t="n"/>
      <c r="F56" s="99" t="n"/>
      <c r="G56" s="95" t="n"/>
      <c r="H56" s="95" t="n"/>
      <c r="I56" s="101">
        <f>IF($B56="","",IF(COUNTIF(Setup!$A$99:$A$128,$B56)&gt;0,IF(INDEX(Setup!$B$99:$B$128,MATCH($B56,Setup!$A$99:$A$128,0))="","Overhead",INDEX(Setup!$B$99:$B$128,MATCH($B56,Setup!$A$99:$A$128,0))),IF(ISNUMBER(SEARCH("advance",$B56))+ISNUMBER(SEARCH("payout",$B56))+ISNUMBER(SEARCH("pay out",$B56))+ISNUMBER(SEARCH("reimburs",$B56))&gt;0,"Transfer",IF(ISNUMBER(SEARCH("loan",$B56))+ISNUMBER(SEARCH("amort",$B56))+ISNUMBER(SEARCH("installment",$B56))+ISNUMBER(SEARCH("instalment",$B56))&gt;0,"Financing",IF(ISNUMBER(SEARCH("draw",$B56))+ISNUMBER(SEARCH("owner",$B56))+ISNUMBER(SEARCH("asset",$B56))+ISNUMBER(SEARCH("capital",$B56))&gt;0,"Other",IF(ISNUMBER(SEARCH("fuel",$B56))+ISNUMBER(SEARCH("diesel",$B56))+ISNUMBER(SEARCH("krudo",$B56))+ISNUMBER(SEARCH("gasolina",$B56))+ISNUMBER(SEARCH("toll",$B56))+ISNUMBER(SEARCH("parking",$B56))+ISNUMBER(SEARCH("repair",$B56))+ISNUMBER(SEARCH("maintenance",$B56))+ISNUMBER(SEARCH("tire",$B56))+ISNUMBER(SEARCH("tyre",$B56))+ISNUMBER(SEARCH("battery",$B56))+ISNUMBER(SEARCH("oil",$B56))+ISNUMBER(SEARCH("filter",$B56))+ISNUMBER(SEARCH("spare",$B56))+ISNUMBER(SEARCH("insurance",$B56))+ISNUMBER(SEARCH("lto",$B56))+ISNUMBER(SEARCH("registration",$B56))+ISNUMBER(SEARCH("emission",$B56))+ISNUMBER(SEARCH("wash",$B56))+ISNUMBER(SEARCH("weigh",$B56))+ISNUMBER(SEARCH("tarp",$B56))&gt;0,"Vehicle",IF(ISNUMBER(SEARCH("rent",$B56))+ISNUMBER(SEARCH("upa",$B56))+ISNUMBER(SEARCH("salary",$B56))+ISNUMBER(SEARCH("sweldo",$B56))+ISNUMBER(SEARCH("wage",$B56))+ISNUMBER(SEARCH("electric",$B56))+ISNUMBER(SEARCH("kuryente",$B56))+ISNUMBER(SEARCH("water",$B56))+ISNUMBER(SEARCH("tubig",$B56))+ISNUMBER(SEARCH("internet",$B56))+ISNUMBER(SEARCH("pldt",$B56))+ISNUMBER(SEARCH("meralco",$B56))+ISNUMBER(SEARCH("supplies",$B56))+ISNUMBER(SEARCH("office",$B56))+ISNUMBER(SEARCH("professional",$B56))+ISNUMBER(SEARCH("accountant",$B56))+ISNUMBER(SEARCH("lawyer",$B56))+ISNUMBER(SEARCH("broker",$B56))+ISNUMBER(SEARCH("bank",$B56))+ISNUMBER(SEARCH("charge",$B56))+ISNUMBER(SEARCH("permit",$B56))+ISNUMBER(SEARCH("bir",$B56))+ISNUMBER(SEARCH("ltfrb",$B56))+ISNUMBER(SEARCH("misc",$B56))+ISNUMBER(SEARCH("fee",$B56))&gt;0,"Overhead","Overhead")))))))</f>
        <v/>
      </c>
      <c r="J56">
        <f>IF($A56="","",DATE(YEAR($A56),MONTH($A56),1))</f>
        <v/>
      </c>
      <c r="K56">
        <f>IF($B56="","",IF(COUNTIF(Setup!$A$99:$A$128,$B56)&gt;0,0,1))</f>
        <v/>
      </c>
      <c r="L56">
        <f>IF($B56="","",IF(ISNUMBER(SEARCH("advance",$B56)),"ADV",IF(OR(ISNUMBER(SEARCH("payout",$B56)),ISNUMBER(SEARCH("pay out",$B56)),ISNUMBER(SEARCH("release",$B56))),"PAY","")))</f>
        <v/>
      </c>
      <c r="M56">
        <f>IF($B56="","",IF(ISNUMBER(SEARCH("bulk",$B56)),0,IF(ISNUMBER(SEARCH("fuel",$B56))+ISNUMBER(SEARCH("diesel",$B56))+ISNUMBER(SEARCH("krudo",$B56))+ISNUMBER(SEARCH("gasolina",$B56))&gt;0,1,0)))</f>
        <v/>
      </c>
      <c r="N56">
        <f>IF($B56="","",IF(ISNUMBER(SEARCH("fuel",$B56))+ISNUMBER(SEARCH("diesel",$B56))+ISNUMBER(SEARCH("krudo",$B56))+ISNUMBER(SEARCH("gasolina",$B56))&gt;0,1,0))</f>
        <v/>
      </c>
    </row>
    <row r="57">
      <c r="A57" s="86" t="n"/>
      <c r="B57" s="88" t="n"/>
      <c r="C57" s="88" t="n"/>
      <c r="D57" s="87" t="n"/>
      <c r="E57" s="88" t="n"/>
      <c r="F57" s="92" t="n"/>
      <c r="G57" s="87" t="n"/>
      <c r="H57" s="87" t="n"/>
      <c r="I57" s="101">
        <f>IF($B57="","",IF(COUNTIF(Setup!$A$99:$A$128,$B57)&gt;0,IF(INDEX(Setup!$B$99:$B$128,MATCH($B57,Setup!$A$99:$A$128,0))="","Overhead",INDEX(Setup!$B$99:$B$128,MATCH($B57,Setup!$A$99:$A$128,0))),IF(ISNUMBER(SEARCH("advance",$B57))+ISNUMBER(SEARCH("payout",$B57))+ISNUMBER(SEARCH("pay out",$B57))+ISNUMBER(SEARCH("reimburs",$B57))&gt;0,"Transfer",IF(ISNUMBER(SEARCH("loan",$B57))+ISNUMBER(SEARCH("amort",$B57))+ISNUMBER(SEARCH("installment",$B57))+ISNUMBER(SEARCH("instalment",$B57))&gt;0,"Financing",IF(ISNUMBER(SEARCH("draw",$B57))+ISNUMBER(SEARCH("owner",$B57))+ISNUMBER(SEARCH("asset",$B57))+ISNUMBER(SEARCH("capital",$B57))&gt;0,"Other",IF(ISNUMBER(SEARCH("fuel",$B57))+ISNUMBER(SEARCH("diesel",$B57))+ISNUMBER(SEARCH("krudo",$B57))+ISNUMBER(SEARCH("gasolina",$B57))+ISNUMBER(SEARCH("toll",$B57))+ISNUMBER(SEARCH("parking",$B57))+ISNUMBER(SEARCH("repair",$B57))+ISNUMBER(SEARCH("maintenance",$B57))+ISNUMBER(SEARCH("tire",$B57))+ISNUMBER(SEARCH("tyre",$B57))+ISNUMBER(SEARCH("battery",$B57))+ISNUMBER(SEARCH("oil",$B57))+ISNUMBER(SEARCH("filter",$B57))+ISNUMBER(SEARCH("spare",$B57))+ISNUMBER(SEARCH("insurance",$B57))+ISNUMBER(SEARCH("lto",$B57))+ISNUMBER(SEARCH("registration",$B57))+ISNUMBER(SEARCH("emission",$B57))+ISNUMBER(SEARCH("wash",$B57))+ISNUMBER(SEARCH("weigh",$B57))+ISNUMBER(SEARCH("tarp",$B57))&gt;0,"Vehicle",IF(ISNUMBER(SEARCH("rent",$B57))+ISNUMBER(SEARCH("upa",$B57))+ISNUMBER(SEARCH("salary",$B57))+ISNUMBER(SEARCH("sweldo",$B57))+ISNUMBER(SEARCH("wage",$B57))+ISNUMBER(SEARCH("electric",$B57))+ISNUMBER(SEARCH("kuryente",$B57))+ISNUMBER(SEARCH("water",$B57))+ISNUMBER(SEARCH("tubig",$B57))+ISNUMBER(SEARCH("internet",$B57))+ISNUMBER(SEARCH("pldt",$B57))+ISNUMBER(SEARCH("meralco",$B57))+ISNUMBER(SEARCH("supplies",$B57))+ISNUMBER(SEARCH("office",$B57))+ISNUMBER(SEARCH("professional",$B57))+ISNUMBER(SEARCH("accountant",$B57))+ISNUMBER(SEARCH("lawyer",$B57))+ISNUMBER(SEARCH("broker",$B57))+ISNUMBER(SEARCH("bank",$B57))+ISNUMBER(SEARCH("charge",$B57))+ISNUMBER(SEARCH("permit",$B57))+ISNUMBER(SEARCH("bir",$B57))+ISNUMBER(SEARCH("ltfrb",$B57))+ISNUMBER(SEARCH("misc",$B57))+ISNUMBER(SEARCH("fee",$B57))&gt;0,"Overhead","Overhead")))))))</f>
        <v/>
      </c>
      <c r="J57">
        <f>IF($A57="","",DATE(YEAR($A57),MONTH($A57),1))</f>
        <v/>
      </c>
      <c r="K57">
        <f>IF($B57="","",IF(COUNTIF(Setup!$A$99:$A$128,$B57)&gt;0,0,1))</f>
        <v/>
      </c>
      <c r="L57">
        <f>IF($B57="","",IF(ISNUMBER(SEARCH("advance",$B57)),"ADV",IF(OR(ISNUMBER(SEARCH("payout",$B57)),ISNUMBER(SEARCH("pay out",$B57)),ISNUMBER(SEARCH("release",$B57))),"PAY","")))</f>
        <v/>
      </c>
      <c r="M57">
        <f>IF($B57="","",IF(ISNUMBER(SEARCH("bulk",$B57)),0,IF(ISNUMBER(SEARCH("fuel",$B57))+ISNUMBER(SEARCH("diesel",$B57))+ISNUMBER(SEARCH("krudo",$B57))+ISNUMBER(SEARCH("gasolina",$B57))&gt;0,1,0)))</f>
        <v/>
      </c>
      <c r="N57">
        <f>IF($B57="","",IF(ISNUMBER(SEARCH("fuel",$B57))+ISNUMBER(SEARCH("diesel",$B57))+ISNUMBER(SEARCH("krudo",$B57))+ISNUMBER(SEARCH("gasolina",$B57))&gt;0,1,0))</f>
        <v/>
      </c>
    </row>
    <row r="58">
      <c r="A58" s="94" t="n"/>
      <c r="B58" s="96" t="n"/>
      <c r="C58" s="96" t="n"/>
      <c r="D58" s="95" t="n"/>
      <c r="E58" s="96" t="n"/>
      <c r="F58" s="99" t="n"/>
      <c r="G58" s="95" t="n"/>
      <c r="H58" s="95" t="n"/>
      <c r="I58" s="101">
        <f>IF($B58="","",IF(COUNTIF(Setup!$A$99:$A$128,$B58)&gt;0,IF(INDEX(Setup!$B$99:$B$128,MATCH($B58,Setup!$A$99:$A$128,0))="","Overhead",INDEX(Setup!$B$99:$B$128,MATCH($B58,Setup!$A$99:$A$128,0))),IF(ISNUMBER(SEARCH("advance",$B58))+ISNUMBER(SEARCH("payout",$B58))+ISNUMBER(SEARCH("pay out",$B58))+ISNUMBER(SEARCH("reimburs",$B58))&gt;0,"Transfer",IF(ISNUMBER(SEARCH("loan",$B58))+ISNUMBER(SEARCH("amort",$B58))+ISNUMBER(SEARCH("installment",$B58))+ISNUMBER(SEARCH("instalment",$B58))&gt;0,"Financing",IF(ISNUMBER(SEARCH("draw",$B58))+ISNUMBER(SEARCH("owner",$B58))+ISNUMBER(SEARCH("asset",$B58))+ISNUMBER(SEARCH("capital",$B58))&gt;0,"Other",IF(ISNUMBER(SEARCH("fuel",$B58))+ISNUMBER(SEARCH("diesel",$B58))+ISNUMBER(SEARCH("krudo",$B58))+ISNUMBER(SEARCH("gasolina",$B58))+ISNUMBER(SEARCH("toll",$B58))+ISNUMBER(SEARCH("parking",$B58))+ISNUMBER(SEARCH("repair",$B58))+ISNUMBER(SEARCH("maintenance",$B58))+ISNUMBER(SEARCH("tire",$B58))+ISNUMBER(SEARCH("tyre",$B58))+ISNUMBER(SEARCH("battery",$B58))+ISNUMBER(SEARCH("oil",$B58))+ISNUMBER(SEARCH("filter",$B58))+ISNUMBER(SEARCH("spare",$B58))+ISNUMBER(SEARCH("insurance",$B58))+ISNUMBER(SEARCH("lto",$B58))+ISNUMBER(SEARCH("registration",$B58))+ISNUMBER(SEARCH("emission",$B58))+ISNUMBER(SEARCH("wash",$B58))+ISNUMBER(SEARCH("weigh",$B58))+ISNUMBER(SEARCH("tarp",$B58))&gt;0,"Vehicle",IF(ISNUMBER(SEARCH("rent",$B58))+ISNUMBER(SEARCH("upa",$B58))+ISNUMBER(SEARCH("salary",$B58))+ISNUMBER(SEARCH("sweldo",$B58))+ISNUMBER(SEARCH("wage",$B58))+ISNUMBER(SEARCH("electric",$B58))+ISNUMBER(SEARCH("kuryente",$B58))+ISNUMBER(SEARCH("water",$B58))+ISNUMBER(SEARCH("tubig",$B58))+ISNUMBER(SEARCH("internet",$B58))+ISNUMBER(SEARCH("pldt",$B58))+ISNUMBER(SEARCH("meralco",$B58))+ISNUMBER(SEARCH("supplies",$B58))+ISNUMBER(SEARCH("office",$B58))+ISNUMBER(SEARCH("professional",$B58))+ISNUMBER(SEARCH("accountant",$B58))+ISNUMBER(SEARCH("lawyer",$B58))+ISNUMBER(SEARCH("broker",$B58))+ISNUMBER(SEARCH("bank",$B58))+ISNUMBER(SEARCH("charge",$B58))+ISNUMBER(SEARCH("permit",$B58))+ISNUMBER(SEARCH("bir",$B58))+ISNUMBER(SEARCH("ltfrb",$B58))+ISNUMBER(SEARCH("misc",$B58))+ISNUMBER(SEARCH("fee",$B58))&gt;0,"Overhead","Overhead")))))))</f>
        <v/>
      </c>
      <c r="J58">
        <f>IF($A58="","",DATE(YEAR($A58),MONTH($A58),1))</f>
        <v/>
      </c>
      <c r="K58">
        <f>IF($B58="","",IF(COUNTIF(Setup!$A$99:$A$128,$B58)&gt;0,0,1))</f>
        <v/>
      </c>
      <c r="L58">
        <f>IF($B58="","",IF(ISNUMBER(SEARCH("advance",$B58)),"ADV",IF(OR(ISNUMBER(SEARCH("payout",$B58)),ISNUMBER(SEARCH("pay out",$B58)),ISNUMBER(SEARCH("release",$B58))),"PAY","")))</f>
        <v/>
      </c>
      <c r="M58">
        <f>IF($B58="","",IF(ISNUMBER(SEARCH("bulk",$B58)),0,IF(ISNUMBER(SEARCH("fuel",$B58))+ISNUMBER(SEARCH("diesel",$B58))+ISNUMBER(SEARCH("krudo",$B58))+ISNUMBER(SEARCH("gasolina",$B58))&gt;0,1,0)))</f>
        <v/>
      </c>
      <c r="N58">
        <f>IF($B58="","",IF(ISNUMBER(SEARCH("fuel",$B58))+ISNUMBER(SEARCH("diesel",$B58))+ISNUMBER(SEARCH("krudo",$B58))+ISNUMBER(SEARCH("gasolina",$B58))&gt;0,1,0))</f>
        <v/>
      </c>
    </row>
    <row r="59">
      <c r="A59" s="86" t="n"/>
      <c r="B59" s="88" t="n"/>
      <c r="C59" s="88" t="n"/>
      <c r="D59" s="87" t="n"/>
      <c r="E59" s="88" t="n"/>
      <c r="F59" s="92" t="n"/>
      <c r="G59" s="87" t="n"/>
      <c r="H59" s="87" t="n"/>
      <c r="I59" s="101">
        <f>IF($B59="","",IF(COUNTIF(Setup!$A$99:$A$128,$B59)&gt;0,IF(INDEX(Setup!$B$99:$B$128,MATCH($B59,Setup!$A$99:$A$128,0))="","Overhead",INDEX(Setup!$B$99:$B$128,MATCH($B59,Setup!$A$99:$A$128,0))),IF(ISNUMBER(SEARCH("advance",$B59))+ISNUMBER(SEARCH("payout",$B59))+ISNUMBER(SEARCH("pay out",$B59))+ISNUMBER(SEARCH("reimburs",$B59))&gt;0,"Transfer",IF(ISNUMBER(SEARCH("loan",$B59))+ISNUMBER(SEARCH("amort",$B59))+ISNUMBER(SEARCH("installment",$B59))+ISNUMBER(SEARCH("instalment",$B59))&gt;0,"Financing",IF(ISNUMBER(SEARCH("draw",$B59))+ISNUMBER(SEARCH("owner",$B59))+ISNUMBER(SEARCH("asset",$B59))+ISNUMBER(SEARCH("capital",$B59))&gt;0,"Other",IF(ISNUMBER(SEARCH("fuel",$B59))+ISNUMBER(SEARCH("diesel",$B59))+ISNUMBER(SEARCH("krudo",$B59))+ISNUMBER(SEARCH("gasolina",$B59))+ISNUMBER(SEARCH("toll",$B59))+ISNUMBER(SEARCH("parking",$B59))+ISNUMBER(SEARCH("repair",$B59))+ISNUMBER(SEARCH("maintenance",$B59))+ISNUMBER(SEARCH("tire",$B59))+ISNUMBER(SEARCH("tyre",$B59))+ISNUMBER(SEARCH("battery",$B59))+ISNUMBER(SEARCH("oil",$B59))+ISNUMBER(SEARCH("filter",$B59))+ISNUMBER(SEARCH("spare",$B59))+ISNUMBER(SEARCH("insurance",$B59))+ISNUMBER(SEARCH("lto",$B59))+ISNUMBER(SEARCH("registration",$B59))+ISNUMBER(SEARCH("emission",$B59))+ISNUMBER(SEARCH("wash",$B59))+ISNUMBER(SEARCH("weigh",$B59))+ISNUMBER(SEARCH("tarp",$B59))&gt;0,"Vehicle",IF(ISNUMBER(SEARCH("rent",$B59))+ISNUMBER(SEARCH("upa",$B59))+ISNUMBER(SEARCH("salary",$B59))+ISNUMBER(SEARCH("sweldo",$B59))+ISNUMBER(SEARCH("wage",$B59))+ISNUMBER(SEARCH("electric",$B59))+ISNUMBER(SEARCH("kuryente",$B59))+ISNUMBER(SEARCH("water",$B59))+ISNUMBER(SEARCH("tubig",$B59))+ISNUMBER(SEARCH("internet",$B59))+ISNUMBER(SEARCH("pldt",$B59))+ISNUMBER(SEARCH("meralco",$B59))+ISNUMBER(SEARCH("supplies",$B59))+ISNUMBER(SEARCH("office",$B59))+ISNUMBER(SEARCH("professional",$B59))+ISNUMBER(SEARCH("accountant",$B59))+ISNUMBER(SEARCH("lawyer",$B59))+ISNUMBER(SEARCH("broker",$B59))+ISNUMBER(SEARCH("bank",$B59))+ISNUMBER(SEARCH("charge",$B59))+ISNUMBER(SEARCH("permit",$B59))+ISNUMBER(SEARCH("bir",$B59))+ISNUMBER(SEARCH("ltfrb",$B59))+ISNUMBER(SEARCH("misc",$B59))+ISNUMBER(SEARCH("fee",$B59))&gt;0,"Overhead","Overhead")))))))</f>
        <v/>
      </c>
      <c r="J59">
        <f>IF($A59="","",DATE(YEAR($A59),MONTH($A59),1))</f>
        <v/>
      </c>
      <c r="K59">
        <f>IF($B59="","",IF(COUNTIF(Setup!$A$99:$A$128,$B59)&gt;0,0,1))</f>
        <v/>
      </c>
      <c r="L59">
        <f>IF($B59="","",IF(ISNUMBER(SEARCH("advance",$B59)),"ADV",IF(OR(ISNUMBER(SEARCH("payout",$B59)),ISNUMBER(SEARCH("pay out",$B59)),ISNUMBER(SEARCH("release",$B59))),"PAY","")))</f>
        <v/>
      </c>
      <c r="M59">
        <f>IF($B59="","",IF(ISNUMBER(SEARCH("bulk",$B59)),0,IF(ISNUMBER(SEARCH("fuel",$B59))+ISNUMBER(SEARCH("diesel",$B59))+ISNUMBER(SEARCH("krudo",$B59))+ISNUMBER(SEARCH("gasolina",$B59))&gt;0,1,0)))</f>
        <v/>
      </c>
      <c r="N59">
        <f>IF($B59="","",IF(ISNUMBER(SEARCH("fuel",$B59))+ISNUMBER(SEARCH("diesel",$B59))+ISNUMBER(SEARCH("krudo",$B59))+ISNUMBER(SEARCH("gasolina",$B59))&gt;0,1,0))</f>
        <v/>
      </c>
    </row>
    <row r="60">
      <c r="A60" s="94" t="n"/>
      <c r="B60" s="96" t="n"/>
      <c r="C60" s="96" t="n"/>
      <c r="D60" s="95" t="n"/>
      <c r="E60" s="96" t="n"/>
      <c r="F60" s="99" t="n"/>
      <c r="G60" s="95" t="n"/>
      <c r="H60" s="95" t="n"/>
      <c r="I60" s="101">
        <f>IF($B60="","",IF(COUNTIF(Setup!$A$99:$A$128,$B60)&gt;0,IF(INDEX(Setup!$B$99:$B$128,MATCH($B60,Setup!$A$99:$A$128,0))="","Overhead",INDEX(Setup!$B$99:$B$128,MATCH($B60,Setup!$A$99:$A$128,0))),IF(ISNUMBER(SEARCH("advance",$B60))+ISNUMBER(SEARCH("payout",$B60))+ISNUMBER(SEARCH("pay out",$B60))+ISNUMBER(SEARCH("reimburs",$B60))&gt;0,"Transfer",IF(ISNUMBER(SEARCH("loan",$B60))+ISNUMBER(SEARCH("amort",$B60))+ISNUMBER(SEARCH("installment",$B60))+ISNUMBER(SEARCH("instalment",$B60))&gt;0,"Financing",IF(ISNUMBER(SEARCH("draw",$B60))+ISNUMBER(SEARCH("owner",$B60))+ISNUMBER(SEARCH("asset",$B60))+ISNUMBER(SEARCH("capital",$B60))&gt;0,"Other",IF(ISNUMBER(SEARCH("fuel",$B60))+ISNUMBER(SEARCH("diesel",$B60))+ISNUMBER(SEARCH("krudo",$B60))+ISNUMBER(SEARCH("gasolina",$B60))+ISNUMBER(SEARCH("toll",$B60))+ISNUMBER(SEARCH("parking",$B60))+ISNUMBER(SEARCH("repair",$B60))+ISNUMBER(SEARCH("maintenance",$B60))+ISNUMBER(SEARCH("tire",$B60))+ISNUMBER(SEARCH("tyre",$B60))+ISNUMBER(SEARCH("battery",$B60))+ISNUMBER(SEARCH("oil",$B60))+ISNUMBER(SEARCH("filter",$B60))+ISNUMBER(SEARCH("spare",$B60))+ISNUMBER(SEARCH("insurance",$B60))+ISNUMBER(SEARCH("lto",$B60))+ISNUMBER(SEARCH("registration",$B60))+ISNUMBER(SEARCH("emission",$B60))+ISNUMBER(SEARCH("wash",$B60))+ISNUMBER(SEARCH("weigh",$B60))+ISNUMBER(SEARCH("tarp",$B60))&gt;0,"Vehicle",IF(ISNUMBER(SEARCH("rent",$B60))+ISNUMBER(SEARCH("upa",$B60))+ISNUMBER(SEARCH("salary",$B60))+ISNUMBER(SEARCH("sweldo",$B60))+ISNUMBER(SEARCH("wage",$B60))+ISNUMBER(SEARCH("electric",$B60))+ISNUMBER(SEARCH("kuryente",$B60))+ISNUMBER(SEARCH("water",$B60))+ISNUMBER(SEARCH("tubig",$B60))+ISNUMBER(SEARCH("internet",$B60))+ISNUMBER(SEARCH("pldt",$B60))+ISNUMBER(SEARCH("meralco",$B60))+ISNUMBER(SEARCH("supplies",$B60))+ISNUMBER(SEARCH("office",$B60))+ISNUMBER(SEARCH("professional",$B60))+ISNUMBER(SEARCH("accountant",$B60))+ISNUMBER(SEARCH("lawyer",$B60))+ISNUMBER(SEARCH("broker",$B60))+ISNUMBER(SEARCH("bank",$B60))+ISNUMBER(SEARCH("charge",$B60))+ISNUMBER(SEARCH("permit",$B60))+ISNUMBER(SEARCH("bir",$B60))+ISNUMBER(SEARCH("ltfrb",$B60))+ISNUMBER(SEARCH("misc",$B60))+ISNUMBER(SEARCH("fee",$B60))&gt;0,"Overhead","Overhead")))))))</f>
        <v/>
      </c>
      <c r="J60">
        <f>IF($A60="","",DATE(YEAR($A60),MONTH($A60),1))</f>
        <v/>
      </c>
      <c r="K60">
        <f>IF($B60="","",IF(COUNTIF(Setup!$A$99:$A$128,$B60)&gt;0,0,1))</f>
        <v/>
      </c>
      <c r="L60">
        <f>IF($B60="","",IF(ISNUMBER(SEARCH("advance",$B60)),"ADV",IF(OR(ISNUMBER(SEARCH("payout",$B60)),ISNUMBER(SEARCH("pay out",$B60)),ISNUMBER(SEARCH("release",$B60))),"PAY","")))</f>
        <v/>
      </c>
      <c r="M60">
        <f>IF($B60="","",IF(ISNUMBER(SEARCH("bulk",$B60)),0,IF(ISNUMBER(SEARCH("fuel",$B60))+ISNUMBER(SEARCH("diesel",$B60))+ISNUMBER(SEARCH("krudo",$B60))+ISNUMBER(SEARCH("gasolina",$B60))&gt;0,1,0)))</f>
        <v/>
      </c>
      <c r="N60">
        <f>IF($B60="","",IF(ISNUMBER(SEARCH("fuel",$B60))+ISNUMBER(SEARCH("diesel",$B60))+ISNUMBER(SEARCH("krudo",$B60))+ISNUMBER(SEARCH("gasolina",$B60))&gt;0,1,0))</f>
        <v/>
      </c>
    </row>
    <row r="61">
      <c r="A61" s="86" t="n"/>
      <c r="B61" s="88" t="n"/>
      <c r="C61" s="88" t="n"/>
      <c r="D61" s="87" t="n"/>
      <c r="E61" s="88" t="n"/>
      <c r="F61" s="92" t="n"/>
      <c r="G61" s="87" t="n"/>
      <c r="H61" s="87" t="n"/>
      <c r="I61" s="101">
        <f>IF($B61="","",IF(COUNTIF(Setup!$A$99:$A$128,$B61)&gt;0,IF(INDEX(Setup!$B$99:$B$128,MATCH($B61,Setup!$A$99:$A$128,0))="","Overhead",INDEX(Setup!$B$99:$B$128,MATCH($B61,Setup!$A$99:$A$128,0))),IF(ISNUMBER(SEARCH("advance",$B61))+ISNUMBER(SEARCH("payout",$B61))+ISNUMBER(SEARCH("pay out",$B61))+ISNUMBER(SEARCH("reimburs",$B61))&gt;0,"Transfer",IF(ISNUMBER(SEARCH("loan",$B61))+ISNUMBER(SEARCH("amort",$B61))+ISNUMBER(SEARCH("installment",$B61))+ISNUMBER(SEARCH("instalment",$B61))&gt;0,"Financing",IF(ISNUMBER(SEARCH("draw",$B61))+ISNUMBER(SEARCH("owner",$B61))+ISNUMBER(SEARCH("asset",$B61))+ISNUMBER(SEARCH("capital",$B61))&gt;0,"Other",IF(ISNUMBER(SEARCH("fuel",$B61))+ISNUMBER(SEARCH("diesel",$B61))+ISNUMBER(SEARCH("krudo",$B61))+ISNUMBER(SEARCH("gasolina",$B61))+ISNUMBER(SEARCH("toll",$B61))+ISNUMBER(SEARCH("parking",$B61))+ISNUMBER(SEARCH("repair",$B61))+ISNUMBER(SEARCH("maintenance",$B61))+ISNUMBER(SEARCH("tire",$B61))+ISNUMBER(SEARCH("tyre",$B61))+ISNUMBER(SEARCH("battery",$B61))+ISNUMBER(SEARCH("oil",$B61))+ISNUMBER(SEARCH("filter",$B61))+ISNUMBER(SEARCH("spare",$B61))+ISNUMBER(SEARCH("insurance",$B61))+ISNUMBER(SEARCH("lto",$B61))+ISNUMBER(SEARCH("registration",$B61))+ISNUMBER(SEARCH("emission",$B61))+ISNUMBER(SEARCH("wash",$B61))+ISNUMBER(SEARCH("weigh",$B61))+ISNUMBER(SEARCH("tarp",$B61))&gt;0,"Vehicle",IF(ISNUMBER(SEARCH("rent",$B61))+ISNUMBER(SEARCH("upa",$B61))+ISNUMBER(SEARCH("salary",$B61))+ISNUMBER(SEARCH("sweldo",$B61))+ISNUMBER(SEARCH("wage",$B61))+ISNUMBER(SEARCH("electric",$B61))+ISNUMBER(SEARCH("kuryente",$B61))+ISNUMBER(SEARCH("water",$B61))+ISNUMBER(SEARCH("tubig",$B61))+ISNUMBER(SEARCH("internet",$B61))+ISNUMBER(SEARCH("pldt",$B61))+ISNUMBER(SEARCH("meralco",$B61))+ISNUMBER(SEARCH("supplies",$B61))+ISNUMBER(SEARCH("office",$B61))+ISNUMBER(SEARCH("professional",$B61))+ISNUMBER(SEARCH("accountant",$B61))+ISNUMBER(SEARCH("lawyer",$B61))+ISNUMBER(SEARCH("broker",$B61))+ISNUMBER(SEARCH("bank",$B61))+ISNUMBER(SEARCH("charge",$B61))+ISNUMBER(SEARCH("permit",$B61))+ISNUMBER(SEARCH("bir",$B61))+ISNUMBER(SEARCH("ltfrb",$B61))+ISNUMBER(SEARCH("misc",$B61))+ISNUMBER(SEARCH("fee",$B61))&gt;0,"Overhead","Overhead")))))))</f>
        <v/>
      </c>
      <c r="J61">
        <f>IF($A61="","",DATE(YEAR($A61),MONTH($A61),1))</f>
        <v/>
      </c>
      <c r="K61">
        <f>IF($B61="","",IF(COUNTIF(Setup!$A$99:$A$128,$B61)&gt;0,0,1))</f>
        <v/>
      </c>
      <c r="L61">
        <f>IF($B61="","",IF(ISNUMBER(SEARCH("advance",$B61)),"ADV",IF(OR(ISNUMBER(SEARCH("payout",$B61)),ISNUMBER(SEARCH("pay out",$B61)),ISNUMBER(SEARCH("release",$B61))),"PAY","")))</f>
        <v/>
      </c>
      <c r="M61">
        <f>IF($B61="","",IF(ISNUMBER(SEARCH("bulk",$B61)),0,IF(ISNUMBER(SEARCH("fuel",$B61))+ISNUMBER(SEARCH("diesel",$B61))+ISNUMBER(SEARCH("krudo",$B61))+ISNUMBER(SEARCH("gasolina",$B61))&gt;0,1,0)))</f>
        <v/>
      </c>
      <c r="N61">
        <f>IF($B61="","",IF(ISNUMBER(SEARCH("fuel",$B61))+ISNUMBER(SEARCH("diesel",$B61))+ISNUMBER(SEARCH("krudo",$B61))+ISNUMBER(SEARCH("gasolina",$B61))&gt;0,1,0))</f>
        <v/>
      </c>
    </row>
    <row r="62">
      <c r="A62" s="94" t="n"/>
      <c r="B62" s="96" t="n"/>
      <c r="C62" s="96" t="n"/>
      <c r="D62" s="95" t="n"/>
      <c r="E62" s="96" t="n"/>
      <c r="F62" s="99" t="n"/>
      <c r="G62" s="95" t="n"/>
      <c r="H62" s="95" t="n"/>
      <c r="I62" s="101">
        <f>IF($B62="","",IF(COUNTIF(Setup!$A$99:$A$128,$B62)&gt;0,IF(INDEX(Setup!$B$99:$B$128,MATCH($B62,Setup!$A$99:$A$128,0))="","Overhead",INDEX(Setup!$B$99:$B$128,MATCH($B62,Setup!$A$99:$A$128,0))),IF(ISNUMBER(SEARCH("advance",$B62))+ISNUMBER(SEARCH("payout",$B62))+ISNUMBER(SEARCH("pay out",$B62))+ISNUMBER(SEARCH("reimburs",$B62))&gt;0,"Transfer",IF(ISNUMBER(SEARCH("loan",$B62))+ISNUMBER(SEARCH("amort",$B62))+ISNUMBER(SEARCH("installment",$B62))+ISNUMBER(SEARCH("instalment",$B62))&gt;0,"Financing",IF(ISNUMBER(SEARCH("draw",$B62))+ISNUMBER(SEARCH("owner",$B62))+ISNUMBER(SEARCH("asset",$B62))+ISNUMBER(SEARCH("capital",$B62))&gt;0,"Other",IF(ISNUMBER(SEARCH("fuel",$B62))+ISNUMBER(SEARCH("diesel",$B62))+ISNUMBER(SEARCH("krudo",$B62))+ISNUMBER(SEARCH("gasolina",$B62))+ISNUMBER(SEARCH("toll",$B62))+ISNUMBER(SEARCH("parking",$B62))+ISNUMBER(SEARCH("repair",$B62))+ISNUMBER(SEARCH("maintenance",$B62))+ISNUMBER(SEARCH("tire",$B62))+ISNUMBER(SEARCH("tyre",$B62))+ISNUMBER(SEARCH("battery",$B62))+ISNUMBER(SEARCH("oil",$B62))+ISNUMBER(SEARCH("filter",$B62))+ISNUMBER(SEARCH("spare",$B62))+ISNUMBER(SEARCH("insurance",$B62))+ISNUMBER(SEARCH("lto",$B62))+ISNUMBER(SEARCH("registration",$B62))+ISNUMBER(SEARCH("emission",$B62))+ISNUMBER(SEARCH("wash",$B62))+ISNUMBER(SEARCH("weigh",$B62))+ISNUMBER(SEARCH("tarp",$B62))&gt;0,"Vehicle",IF(ISNUMBER(SEARCH("rent",$B62))+ISNUMBER(SEARCH("upa",$B62))+ISNUMBER(SEARCH("salary",$B62))+ISNUMBER(SEARCH("sweldo",$B62))+ISNUMBER(SEARCH("wage",$B62))+ISNUMBER(SEARCH("electric",$B62))+ISNUMBER(SEARCH("kuryente",$B62))+ISNUMBER(SEARCH("water",$B62))+ISNUMBER(SEARCH("tubig",$B62))+ISNUMBER(SEARCH("internet",$B62))+ISNUMBER(SEARCH("pldt",$B62))+ISNUMBER(SEARCH("meralco",$B62))+ISNUMBER(SEARCH("supplies",$B62))+ISNUMBER(SEARCH("office",$B62))+ISNUMBER(SEARCH("professional",$B62))+ISNUMBER(SEARCH("accountant",$B62))+ISNUMBER(SEARCH("lawyer",$B62))+ISNUMBER(SEARCH("broker",$B62))+ISNUMBER(SEARCH("bank",$B62))+ISNUMBER(SEARCH("charge",$B62))+ISNUMBER(SEARCH("permit",$B62))+ISNUMBER(SEARCH("bir",$B62))+ISNUMBER(SEARCH("ltfrb",$B62))+ISNUMBER(SEARCH("misc",$B62))+ISNUMBER(SEARCH("fee",$B62))&gt;0,"Overhead","Overhead")))))))</f>
        <v/>
      </c>
      <c r="J62">
        <f>IF($A62="","",DATE(YEAR($A62),MONTH($A62),1))</f>
        <v/>
      </c>
      <c r="K62">
        <f>IF($B62="","",IF(COUNTIF(Setup!$A$99:$A$128,$B62)&gt;0,0,1))</f>
        <v/>
      </c>
      <c r="L62">
        <f>IF($B62="","",IF(ISNUMBER(SEARCH("advance",$B62)),"ADV",IF(OR(ISNUMBER(SEARCH("payout",$B62)),ISNUMBER(SEARCH("pay out",$B62)),ISNUMBER(SEARCH("release",$B62))),"PAY","")))</f>
        <v/>
      </c>
      <c r="M62">
        <f>IF($B62="","",IF(ISNUMBER(SEARCH("bulk",$B62)),0,IF(ISNUMBER(SEARCH("fuel",$B62))+ISNUMBER(SEARCH("diesel",$B62))+ISNUMBER(SEARCH("krudo",$B62))+ISNUMBER(SEARCH("gasolina",$B62))&gt;0,1,0)))</f>
        <v/>
      </c>
      <c r="N62">
        <f>IF($B62="","",IF(ISNUMBER(SEARCH("fuel",$B62))+ISNUMBER(SEARCH("diesel",$B62))+ISNUMBER(SEARCH("krudo",$B62))+ISNUMBER(SEARCH("gasolina",$B62))&gt;0,1,0))</f>
        <v/>
      </c>
    </row>
    <row r="63">
      <c r="A63" s="86" t="n"/>
      <c r="B63" s="88" t="n"/>
      <c r="C63" s="88" t="n"/>
      <c r="D63" s="87" t="n"/>
      <c r="E63" s="88" t="n"/>
      <c r="F63" s="92" t="n"/>
      <c r="G63" s="87" t="n"/>
      <c r="H63" s="87" t="n"/>
      <c r="I63" s="101">
        <f>IF($B63="","",IF(COUNTIF(Setup!$A$99:$A$128,$B63)&gt;0,IF(INDEX(Setup!$B$99:$B$128,MATCH($B63,Setup!$A$99:$A$128,0))="","Overhead",INDEX(Setup!$B$99:$B$128,MATCH($B63,Setup!$A$99:$A$128,0))),IF(ISNUMBER(SEARCH("advance",$B63))+ISNUMBER(SEARCH("payout",$B63))+ISNUMBER(SEARCH("pay out",$B63))+ISNUMBER(SEARCH("reimburs",$B63))&gt;0,"Transfer",IF(ISNUMBER(SEARCH("loan",$B63))+ISNUMBER(SEARCH("amort",$B63))+ISNUMBER(SEARCH("installment",$B63))+ISNUMBER(SEARCH("instalment",$B63))&gt;0,"Financing",IF(ISNUMBER(SEARCH("draw",$B63))+ISNUMBER(SEARCH("owner",$B63))+ISNUMBER(SEARCH("asset",$B63))+ISNUMBER(SEARCH("capital",$B63))&gt;0,"Other",IF(ISNUMBER(SEARCH("fuel",$B63))+ISNUMBER(SEARCH("diesel",$B63))+ISNUMBER(SEARCH("krudo",$B63))+ISNUMBER(SEARCH("gasolina",$B63))+ISNUMBER(SEARCH("toll",$B63))+ISNUMBER(SEARCH("parking",$B63))+ISNUMBER(SEARCH("repair",$B63))+ISNUMBER(SEARCH("maintenance",$B63))+ISNUMBER(SEARCH("tire",$B63))+ISNUMBER(SEARCH("tyre",$B63))+ISNUMBER(SEARCH("battery",$B63))+ISNUMBER(SEARCH("oil",$B63))+ISNUMBER(SEARCH("filter",$B63))+ISNUMBER(SEARCH("spare",$B63))+ISNUMBER(SEARCH("insurance",$B63))+ISNUMBER(SEARCH("lto",$B63))+ISNUMBER(SEARCH("registration",$B63))+ISNUMBER(SEARCH("emission",$B63))+ISNUMBER(SEARCH("wash",$B63))+ISNUMBER(SEARCH("weigh",$B63))+ISNUMBER(SEARCH("tarp",$B63))&gt;0,"Vehicle",IF(ISNUMBER(SEARCH("rent",$B63))+ISNUMBER(SEARCH("upa",$B63))+ISNUMBER(SEARCH("salary",$B63))+ISNUMBER(SEARCH("sweldo",$B63))+ISNUMBER(SEARCH("wage",$B63))+ISNUMBER(SEARCH("electric",$B63))+ISNUMBER(SEARCH("kuryente",$B63))+ISNUMBER(SEARCH("water",$B63))+ISNUMBER(SEARCH("tubig",$B63))+ISNUMBER(SEARCH("internet",$B63))+ISNUMBER(SEARCH("pldt",$B63))+ISNUMBER(SEARCH("meralco",$B63))+ISNUMBER(SEARCH("supplies",$B63))+ISNUMBER(SEARCH("office",$B63))+ISNUMBER(SEARCH("professional",$B63))+ISNUMBER(SEARCH("accountant",$B63))+ISNUMBER(SEARCH("lawyer",$B63))+ISNUMBER(SEARCH("broker",$B63))+ISNUMBER(SEARCH("bank",$B63))+ISNUMBER(SEARCH("charge",$B63))+ISNUMBER(SEARCH("permit",$B63))+ISNUMBER(SEARCH("bir",$B63))+ISNUMBER(SEARCH("ltfrb",$B63))+ISNUMBER(SEARCH("misc",$B63))+ISNUMBER(SEARCH("fee",$B63))&gt;0,"Overhead","Overhead")))))))</f>
        <v/>
      </c>
      <c r="J63">
        <f>IF($A63="","",DATE(YEAR($A63),MONTH($A63),1))</f>
        <v/>
      </c>
      <c r="K63">
        <f>IF($B63="","",IF(COUNTIF(Setup!$A$99:$A$128,$B63)&gt;0,0,1))</f>
        <v/>
      </c>
      <c r="L63">
        <f>IF($B63="","",IF(ISNUMBER(SEARCH("advance",$B63)),"ADV",IF(OR(ISNUMBER(SEARCH("payout",$B63)),ISNUMBER(SEARCH("pay out",$B63)),ISNUMBER(SEARCH("release",$B63))),"PAY","")))</f>
        <v/>
      </c>
      <c r="M63">
        <f>IF($B63="","",IF(ISNUMBER(SEARCH("bulk",$B63)),0,IF(ISNUMBER(SEARCH("fuel",$B63))+ISNUMBER(SEARCH("diesel",$B63))+ISNUMBER(SEARCH("krudo",$B63))+ISNUMBER(SEARCH("gasolina",$B63))&gt;0,1,0)))</f>
        <v/>
      </c>
      <c r="N63">
        <f>IF($B63="","",IF(ISNUMBER(SEARCH("fuel",$B63))+ISNUMBER(SEARCH("diesel",$B63))+ISNUMBER(SEARCH("krudo",$B63))+ISNUMBER(SEARCH("gasolina",$B63))&gt;0,1,0))</f>
        <v/>
      </c>
    </row>
    <row r="64">
      <c r="A64" s="94" t="n"/>
      <c r="B64" s="96" t="n"/>
      <c r="C64" s="96" t="n"/>
      <c r="D64" s="95" t="n"/>
      <c r="E64" s="96" t="n"/>
      <c r="F64" s="99" t="n"/>
      <c r="G64" s="95" t="n"/>
      <c r="H64" s="95" t="n"/>
      <c r="I64" s="101">
        <f>IF($B64="","",IF(COUNTIF(Setup!$A$99:$A$128,$B64)&gt;0,IF(INDEX(Setup!$B$99:$B$128,MATCH($B64,Setup!$A$99:$A$128,0))="","Overhead",INDEX(Setup!$B$99:$B$128,MATCH($B64,Setup!$A$99:$A$128,0))),IF(ISNUMBER(SEARCH("advance",$B64))+ISNUMBER(SEARCH("payout",$B64))+ISNUMBER(SEARCH("pay out",$B64))+ISNUMBER(SEARCH("reimburs",$B64))&gt;0,"Transfer",IF(ISNUMBER(SEARCH("loan",$B64))+ISNUMBER(SEARCH("amort",$B64))+ISNUMBER(SEARCH("installment",$B64))+ISNUMBER(SEARCH("instalment",$B64))&gt;0,"Financing",IF(ISNUMBER(SEARCH("draw",$B64))+ISNUMBER(SEARCH("owner",$B64))+ISNUMBER(SEARCH("asset",$B64))+ISNUMBER(SEARCH("capital",$B64))&gt;0,"Other",IF(ISNUMBER(SEARCH("fuel",$B64))+ISNUMBER(SEARCH("diesel",$B64))+ISNUMBER(SEARCH("krudo",$B64))+ISNUMBER(SEARCH("gasolina",$B64))+ISNUMBER(SEARCH("toll",$B64))+ISNUMBER(SEARCH("parking",$B64))+ISNUMBER(SEARCH("repair",$B64))+ISNUMBER(SEARCH("maintenance",$B64))+ISNUMBER(SEARCH("tire",$B64))+ISNUMBER(SEARCH("tyre",$B64))+ISNUMBER(SEARCH("battery",$B64))+ISNUMBER(SEARCH("oil",$B64))+ISNUMBER(SEARCH("filter",$B64))+ISNUMBER(SEARCH("spare",$B64))+ISNUMBER(SEARCH("insurance",$B64))+ISNUMBER(SEARCH("lto",$B64))+ISNUMBER(SEARCH("registration",$B64))+ISNUMBER(SEARCH("emission",$B64))+ISNUMBER(SEARCH("wash",$B64))+ISNUMBER(SEARCH("weigh",$B64))+ISNUMBER(SEARCH("tarp",$B64))&gt;0,"Vehicle",IF(ISNUMBER(SEARCH("rent",$B64))+ISNUMBER(SEARCH("upa",$B64))+ISNUMBER(SEARCH("salary",$B64))+ISNUMBER(SEARCH("sweldo",$B64))+ISNUMBER(SEARCH("wage",$B64))+ISNUMBER(SEARCH("electric",$B64))+ISNUMBER(SEARCH("kuryente",$B64))+ISNUMBER(SEARCH("water",$B64))+ISNUMBER(SEARCH("tubig",$B64))+ISNUMBER(SEARCH("internet",$B64))+ISNUMBER(SEARCH("pldt",$B64))+ISNUMBER(SEARCH("meralco",$B64))+ISNUMBER(SEARCH("supplies",$B64))+ISNUMBER(SEARCH("office",$B64))+ISNUMBER(SEARCH("professional",$B64))+ISNUMBER(SEARCH("accountant",$B64))+ISNUMBER(SEARCH("lawyer",$B64))+ISNUMBER(SEARCH("broker",$B64))+ISNUMBER(SEARCH("bank",$B64))+ISNUMBER(SEARCH("charge",$B64))+ISNUMBER(SEARCH("permit",$B64))+ISNUMBER(SEARCH("bir",$B64))+ISNUMBER(SEARCH("ltfrb",$B64))+ISNUMBER(SEARCH("misc",$B64))+ISNUMBER(SEARCH("fee",$B64))&gt;0,"Overhead","Overhead")))))))</f>
        <v/>
      </c>
      <c r="J64">
        <f>IF($A64="","",DATE(YEAR($A64),MONTH($A64),1))</f>
        <v/>
      </c>
      <c r="K64">
        <f>IF($B64="","",IF(COUNTIF(Setup!$A$99:$A$128,$B64)&gt;0,0,1))</f>
        <v/>
      </c>
      <c r="L64">
        <f>IF($B64="","",IF(ISNUMBER(SEARCH("advance",$B64)),"ADV",IF(OR(ISNUMBER(SEARCH("payout",$B64)),ISNUMBER(SEARCH("pay out",$B64)),ISNUMBER(SEARCH("release",$B64))),"PAY","")))</f>
        <v/>
      </c>
      <c r="M64">
        <f>IF($B64="","",IF(ISNUMBER(SEARCH("bulk",$B64)),0,IF(ISNUMBER(SEARCH("fuel",$B64))+ISNUMBER(SEARCH("diesel",$B64))+ISNUMBER(SEARCH("krudo",$B64))+ISNUMBER(SEARCH("gasolina",$B64))&gt;0,1,0)))</f>
        <v/>
      </c>
      <c r="N64">
        <f>IF($B64="","",IF(ISNUMBER(SEARCH("fuel",$B64))+ISNUMBER(SEARCH("diesel",$B64))+ISNUMBER(SEARCH("krudo",$B64))+ISNUMBER(SEARCH("gasolina",$B64))&gt;0,1,0))</f>
        <v/>
      </c>
    </row>
    <row r="65">
      <c r="A65" s="86" t="n"/>
      <c r="B65" s="88" t="n"/>
      <c r="C65" s="88" t="n"/>
      <c r="D65" s="87" t="n"/>
      <c r="E65" s="88" t="n"/>
      <c r="F65" s="92" t="n"/>
      <c r="G65" s="87" t="n"/>
      <c r="H65" s="87" t="n"/>
      <c r="I65" s="101">
        <f>IF($B65="","",IF(COUNTIF(Setup!$A$99:$A$128,$B65)&gt;0,IF(INDEX(Setup!$B$99:$B$128,MATCH($B65,Setup!$A$99:$A$128,0))="","Overhead",INDEX(Setup!$B$99:$B$128,MATCH($B65,Setup!$A$99:$A$128,0))),IF(ISNUMBER(SEARCH("advance",$B65))+ISNUMBER(SEARCH("payout",$B65))+ISNUMBER(SEARCH("pay out",$B65))+ISNUMBER(SEARCH("reimburs",$B65))&gt;0,"Transfer",IF(ISNUMBER(SEARCH("loan",$B65))+ISNUMBER(SEARCH("amort",$B65))+ISNUMBER(SEARCH("installment",$B65))+ISNUMBER(SEARCH("instalment",$B65))&gt;0,"Financing",IF(ISNUMBER(SEARCH("draw",$B65))+ISNUMBER(SEARCH("owner",$B65))+ISNUMBER(SEARCH("asset",$B65))+ISNUMBER(SEARCH("capital",$B65))&gt;0,"Other",IF(ISNUMBER(SEARCH("fuel",$B65))+ISNUMBER(SEARCH("diesel",$B65))+ISNUMBER(SEARCH("krudo",$B65))+ISNUMBER(SEARCH("gasolina",$B65))+ISNUMBER(SEARCH("toll",$B65))+ISNUMBER(SEARCH("parking",$B65))+ISNUMBER(SEARCH("repair",$B65))+ISNUMBER(SEARCH("maintenance",$B65))+ISNUMBER(SEARCH("tire",$B65))+ISNUMBER(SEARCH("tyre",$B65))+ISNUMBER(SEARCH("battery",$B65))+ISNUMBER(SEARCH("oil",$B65))+ISNUMBER(SEARCH("filter",$B65))+ISNUMBER(SEARCH("spare",$B65))+ISNUMBER(SEARCH("insurance",$B65))+ISNUMBER(SEARCH("lto",$B65))+ISNUMBER(SEARCH("registration",$B65))+ISNUMBER(SEARCH("emission",$B65))+ISNUMBER(SEARCH("wash",$B65))+ISNUMBER(SEARCH("weigh",$B65))+ISNUMBER(SEARCH("tarp",$B65))&gt;0,"Vehicle",IF(ISNUMBER(SEARCH("rent",$B65))+ISNUMBER(SEARCH("upa",$B65))+ISNUMBER(SEARCH("salary",$B65))+ISNUMBER(SEARCH("sweldo",$B65))+ISNUMBER(SEARCH("wage",$B65))+ISNUMBER(SEARCH("electric",$B65))+ISNUMBER(SEARCH("kuryente",$B65))+ISNUMBER(SEARCH("water",$B65))+ISNUMBER(SEARCH("tubig",$B65))+ISNUMBER(SEARCH("internet",$B65))+ISNUMBER(SEARCH("pldt",$B65))+ISNUMBER(SEARCH("meralco",$B65))+ISNUMBER(SEARCH("supplies",$B65))+ISNUMBER(SEARCH("office",$B65))+ISNUMBER(SEARCH("professional",$B65))+ISNUMBER(SEARCH("accountant",$B65))+ISNUMBER(SEARCH("lawyer",$B65))+ISNUMBER(SEARCH("broker",$B65))+ISNUMBER(SEARCH("bank",$B65))+ISNUMBER(SEARCH("charge",$B65))+ISNUMBER(SEARCH("permit",$B65))+ISNUMBER(SEARCH("bir",$B65))+ISNUMBER(SEARCH("ltfrb",$B65))+ISNUMBER(SEARCH("misc",$B65))+ISNUMBER(SEARCH("fee",$B65))&gt;0,"Overhead","Overhead")))))))</f>
        <v/>
      </c>
      <c r="J65">
        <f>IF($A65="","",DATE(YEAR($A65),MONTH($A65),1))</f>
        <v/>
      </c>
      <c r="K65">
        <f>IF($B65="","",IF(COUNTIF(Setup!$A$99:$A$128,$B65)&gt;0,0,1))</f>
        <v/>
      </c>
      <c r="L65">
        <f>IF($B65="","",IF(ISNUMBER(SEARCH("advance",$B65)),"ADV",IF(OR(ISNUMBER(SEARCH("payout",$B65)),ISNUMBER(SEARCH("pay out",$B65)),ISNUMBER(SEARCH("release",$B65))),"PAY","")))</f>
        <v/>
      </c>
      <c r="M65">
        <f>IF($B65="","",IF(ISNUMBER(SEARCH("bulk",$B65)),0,IF(ISNUMBER(SEARCH("fuel",$B65))+ISNUMBER(SEARCH("diesel",$B65))+ISNUMBER(SEARCH("krudo",$B65))+ISNUMBER(SEARCH("gasolina",$B65))&gt;0,1,0)))</f>
        <v/>
      </c>
      <c r="N65">
        <f>IF($B65="","",IF(ISNUMBER(SEARCH("fuel",$B65))+ISNUMBER(SEARCH("diesel",$B65))+ISNUMBER(SEARCH("krudo",$B65))+ISNUMBER(SEARCH("gasolina",$B65))&gt;0,1,0))</f>
        <v/>
      </c>
    </row>
    <row r="66">
      <c r="A66" s="94" t="n"/>
      <c r="B66" s="96" t="n"/>
      <c r="C66" s="96" t="n"/>
      <c r="D66" s="95" t="n"/>
      <c r="E66" s="96" t="n"/>
      <c r="F66" s="99" t="n"/>
      <c r="G66" s="95" t="n"/>
      <c r="H66" s="95" t="n"/>
      <c r="I66" s="101">
        <f>IF($B66="","",IF(COUNTIF(Setup!$A$99:$A$128,$B66)&gt;0,IF(INDEX(Setup!$B$99:$B$128,MATCH($B66,Setup!$A$99:$A$128,0))="","Overhead",INDEX(Setup!$B$99:$B$128,MATCH($B66,Setup!$A$99:$A$128,0))),IF(ISNUMBER(SEARCH("advance",$B66))+ISNUMBER(SEARCH("payout",$B66))+ISNUMBER(SEARCH("pay out",$B66))+ISNUMBER(SEARCH("reimburs",$B66))&gt;0,"Transfer",IF(ISNUMBER(SEARCH("loan",$B66))+ISNUMBER(SEARCH("amort",$B66))+ISNUMBER(SEARCH("installment",$B66))+ISNUMBER(SEARCH("instalment",$B66))&gt;0,"Financing",IF(ISNUMBER(SEARCH("draw",$B66))+ISNUMBER(SEARCH("owner",$B66))+ISNUMBER(SEARCH("asset",$B66))+ISNUMBER(SEARCH("capital",$B66))&gt;0,"Other",IF(ISNUMBER(SEARCH("fuel",$B66))+ISNUMBER(SEARCH("diesel",$B66))+ISNUMBER(SEARCH("krudo",$B66))+ISNUMBER(SEARCH("gasolina",$B66))+ISNUMBER(SEARCH("toll",$B66))+ISNUMBER(SEARCH("parking",$B66))+ISNUMBER(SEARCH("repair",$B66))+ISNUMBER(SEARCH("maintenance",$B66))+ISNUMBER(SEARCH("tire",$B66))+ISNUMBER(SEARCH("tyre",$B66))+ISNUMBER(SEARCH("battery",$B66))+ISNUMBER(SEARCH("oil",$B66))+ISNUMBER(SEARCH("filter",$B66))+ISNUMBER(SEARCH("spare",$B66))+ISNUMBER(SEARCH("insurance",$B66))+ISNUMBER(SEARCH("lto",$B66))+ISNUMBER(SEARCH("registration",$B66))+ISNUMBER(SEARCH("emission",$B66))+ISNUMBER(SEARCH("wash",$B66))+ISNUMBER(SEARCH("weigh",$B66))+ISNUMBER(SEARCH("tarp",$B66))&gt;0,"Vehicle",IF(ISNUMBER(SEARCH("rent",$B66))+ISNUMBER(SEARCH("upa",$B66))+ISNUMBER(SEARCH("salary",$B66))+ISNUMBER(SEARCH("sweldo",$B66))+ISNUMBER(SEARCH("wage",$B66))+ISNUMBER(SEARCH("electric",$B66))+ISNUMBER(SEARCH("kuryente",$B66))+ISNUMBER(SEARCH("water",$B66))+ISNUMBER(SEARCH("tubig",$B66))+ISNUMBER(SEARCH("internet",$B66))+ISNUMBER(SEARCH("pldt",$B66))+ISNUMBER(SEARCH("meralco",$B66))+ISNUMBER(SEARCH("supplies",$B66))+ISNUMBER(SEARCH("office",$B66))+ISNUMBER(SEARCH("professional",$B66))+ISNUMBER(SEARCH("accountant",$B66))+ISNUMBER(SEARCH("lawyer",$B66))+ISNUMBER(SEARCH("broker",$B66))+ISNUMBER(SEARCH("bank",$B66))+ISNUMBER(SEARCH("charge",$B66))+ISNUMBER(SEARCH("permit",$B66))+ISNUMBER(SEARCH("bir",$B66))+ISNUMBER(SEARCH("ltfrb",$B66))+ISNUMBER(SEARCH("misc",$B66))+ISNUMBER(SEARCH("fee",$B66))&gt;0,"Overhead","Overhead")))))))</f>
        <v/>
      </c>
      <c r="J66">
        <f>IF($A66="","",DATE(YEAR($A66),MONTH($A66),1))</f>
        <v/>
      </c>
      <c r="K66">
        <f>IF($B66="","",IF(COUNTIF(Setup!$A$99:$A$128,$B66)&gt;0,0,1))</f>
        <v/>
      </c>
      <c r="L66">
        <f>IF($B66="","",IF(ISNUMBER(SEARCH("advance",$B66)),"ADV",IF(OR(ISNUMBER(SEARCH("payout",$B66)),ISNUMBER(SEARCH("pay out",$B66)),ISNUMBER(SEARCH("release",$B66))),"PAY","")))</f>
        <v/>
      </c>
      <c r="M66">
        <f>IF($B66="","",IF(ISNUMBER(SEARCH("bulk",$B66)),0,IF(ISNUMBER(SEARCH("fuel",$B66))+ISNUMBER(SEARCH("diesel",$B66))+ISNUMBER(SEARCH("krudo",$B66))+ISNUMBER(SEARCH("gasolina",$B66))&gt;0,1,0)))</f>
        <v/>
      </c>
      <c r="N66">
        <f>IF($B66="","",IF(ISNUMBER(SEARCH("fuel",$B66))+ISNUMBER(SEARCH("diesel",$B66))+ISNUMBER(SEARCH("krudo",$B66))+ISNUMBER(SEARCH("gasolina",$B66))&gt;0,1,0))</f>
        <v/>
      </c>
    </row>
    <row r="67">
      <c r="A67" s="86" t="n"/>
      <c r="B67" s="88" t="n"/>
      <c r="C67" s="88" t="n"/>
      <c r="D67" s="87" t="n"/>
      <c r="E67" s="88" t="n"/>
      <c r="F67" s="92" t="n"/>
      <c r="G67" s="87" t="n"/>
      <c r="H67" s="87" t="n"/>
      <c r="I67" s="101">
        <f>IF($B67="","",IF(COUNTIF(Setup!$A$99:$A$128,$B67)&gt;0,IF(INDEX(Setup!$B$99:$B$128,MATCH($B67,Setup!$A$99:$A$128,0))="","Overhead",INDEX(Setup!$B$99:$B$128,MATCH($B67,Setup!$A$99:$A$128,0))),IF(ISNUMBER(SEARCH("advance",$B67))+ISNUMBER(SEARCH("payout",$B67))+ISNUMBER(SEARCH("pay out",$B67))+ISNUMBER(SEARCH("reimburs",$B67))&gt;0,"Transfer",IF(ISNUMBER(SEARCH("loan",$B67))+ISNUMBER(SEARCH("amort",$B67))+ISNUMBER(SEARCH("installment",$B67))+ISNUMBER(SEARCH("instalment",$B67))&gt;0,"Financing",IF(ISNUMBER(SEARCH("draw",$B67))+ISNUMBER(SEARCH("owner",$B67))+ISNUMBER(SEARCH("asset",$B67))+ISNUMBER(SEARCH("capital",$B67))&gt;0,"Other",IF(ISNUMBER(SEARCH("fuel",$B67))+ISNUMBER(SEARCH("diesel",$B67))+ISNUMBER(SEARCH("krudo",$B67))+ISNUMBER(SEARCH("gasolina",$B67))+ISNUMBER(SEARCH("toll",$B67))+ISNUMBER(SEARCH("parking",$B67))+ISNUMBER(SEARCH("repair",$B67))+ISNUMBER(SEARCH("maintenance",$B67))+ISNUMBER(SEARCH("tire",$B67))+ISNUMBER(SEARCH("tyre",$B67))+ISNUMBER(SEARCH("battery",$B67))+ISNUMBER(SEARCH("oil",$B67))+ISNUMBER(SEARCH("filter",$B67))+ISNUMBER(SEARCH("spare",$B67))+ISNUMBER(SEARCH("insurance",$B67))+ISNUMBER(SEARCH("lto",$B67))+ISNUMBER(SEARCH("registration",$B67))+ISNUMBER(SEARCH("emission",$B67))+ISNUMBER(SEARCH("wash",$B67))+ISNUMBER(SEARCH("weigh",$B67))+ISNUMBER(SEARCH("tarp",$B67))&gt;0,"Vehicle",IF(ISNUMBER(SEARCH("rent",$B67))+ISNUMBER(SEARCH("upa",$B67))+ISNUMBER(SEARCH("salary",$B67))+ISNUMBER(SEARCH("sweldo",$B67))+ISNUMBER(SEARCH("wage",$B67))+ISNUMBER(SEARCH("electric",$B67))+ISNUMBER(SEARCH("kuryente",$B67))+ISNUMBER(SEARCH("water",$B67))+ISNUMBER(SEARCH("tubig",$B67))+ISNUMBER(SEARCH("internet",$B67))+ISNUMBER(SEARCH("pldt",$B67))+ISNUMBER(SEARCH("meralco",$B67))+ISNUMBER(SEARCH("supplies",$B67))+ISNUMBER(SEARCH("office",$B67))+ISNUMBER(SEARCH("professional",$B67))+ISNUMBER(SEARCH("accountant",$B67))+ISNUMBER(SEARCH("lawyer",$B67))+ISNUMBER(SEARCH("broker",$B67))+ISNUMBER(SEARCH("bank",$B67))+ISNUMBER(SEARCH("charge",$B67))+ISNUMBER(SEARCH("permit",$B67))+ISNUMBER(SEARCH("bir",$B67))+ISNUMBER(SEARCH("ltfrb",$B67))+ISNUMBER(SEARCH("misc",$B67))+ISNUMBER(SEARCH("fee",$B67))&gt;0,"Overhead","Overhead")))))))</f>
        <v/>
      </c>
      <c r="J67">
        <f>IF($A67="","",DATE(YEAR($A67),MONTH($A67),1))</f>
        <v/>
      </c>
      <c r="K67">
        <f>IF($B67="","",IF(COUNTIF(Setup!$A$99:$A$128,$B67)&gt;0,0,1))</f>
        <v/>
      </c>
      <c r="L67">
        <f>IF($B67="","",IF(ISNUMBER(SEARCH("advance",$B67)),"ADV",IF(OR(ISNUMBER(SEARCH("payout",$B67)),ISNUMBER(SEARCH("pay out",$B67)),ISNUMBER(SEARCH("release",$B67))),"PAY","")))</f>
        <v/>
      </c>
      <c r="M67">
        <f>IF($B67="","",IF(ISNUMBER(SEARCH("bulk",$B67)),0,IF(ISNUMBER(SEARCH("fuel",$B67))+ISNUMBER(SEARCH("diesel",$B67))+ISNUMBER(SEARCH("krudo",$B67))+ISNUMBER(SEARCH("gasolina",$B67))&gt;0,1,0)))</f>
        <v/>
      </c>
      <c r="N67">
        <f>IF($B67="","",IF(ISNUMBER(SEARCH("fuel",$B67))+ISNUMBER(SEARCH("diesel",$B67))+ISNUMBER(SEARCH("krudo",$B67))+ISNUMBER(SEARCH("gasolina",$B67))&gt;0,1,0))</f>
        <v/>
      </c>
    </row>
    <row r="68">
      <c r="A68" s="94" t="n"/>
      <c r="B68" s="96" t="n"/>
      <c r="C68" s="96" t="n"/>
      <c r="D68" s="95" t="n"/>
      <c r="E68" s="96" t="n"/>
      <c r="F68" s="99" t="n"/>
      <c r="G68" s="95" t="n"/>
      <c r="H68" s="95" t="n"/>
      <c r="I68" s="101">
        <f>IF($B68="","",IF(COUNTIF(Setup!$A$99:$A$128,$B68)&gt;0,IF(INDEX(Setup!$B$99:$B$128,MATCH($B68,Setup!$A$99:$A$128,0))="","Overhead",INDEX(Setup!$B$99:$B$128,MATCH($B68,Setup!$A$99:$A$128,0))),IF(ISNUMBER(SEARCH("advance",$B68))+ISNUMBER(SEARCH("payout",$B68))+ISNUMBER(SEARCH("pay out",$B68))+ISNUMBER(SEARCH("reimburs",$B68))&gt;0,"Transfer",IF(ISNUMBER(SEARCH("loan",$B68))+ISNUMBER(SEARCH("amort",$B68))+ISNUMBER(SEARCH("installment",$B68))+ISNUMBER(SEARCH("instalment",$B68))&gt;0,"Financing",IF(ISNUMBER(SEARCH("draw",$B68))+ISNUMBER(SEARCH("owner",$B68))+ISNUMBER(SEARCH("asset",$B68))+ISNUMBER(SEARCH("capital",$B68))&gt;0,"Other",IF(ISNUMBER(SEARCH("fuel",$B68))+ISNUMBER(SEARCH("diesel",$B68))+ISNUMBER(SEARCH("krudo",$B68))+ISNUMBER(SEARCH("gasolina",$B68))+ISNUMBER(SEARCH("toll",$B68))+ISNUMBER(SEARCH("parking",$B68))+ISNUMBER(SEARCH("repair",$B68))+ISNUMBER(SEARCH("maintenance",$B68))+ISNUMBER(SEARCH("tire",$B68))+ISNUMBER(SEARCH("tyre",$B68))+ISNUMBER(SEARCH("battery",$B68))+ISNUMBER(SEARCH("oil",$B68))+ISNUMBER(SEARCH("filter",$B68))+ISNUMBER(SEARCH("spare",$B68))+ISNUMBER(SEARCH("insurance",$B68))+ISNUMBER(SEARCH("lto",$B68))+ISNUMBER(SEARCH("registration",$B68))+ISNUMBER(SEARCH("emission",$B68))+ISNUMBER(SEARCH("wash",$B68))+ISNUMBER(SEARCH("weigh",$B68))+ISNUMBER(SEARCH("tarp",$B68))&gt;0,"Vehicle",IF(ISNUMBER(SEARCH("rent",$B68))+ISNUMBER(SEARCH("upa",$B68))+ISNUMBER(SEARCH("salary",$B68))+ISNUMBER(SEARCH("sweldo",$B68))+ISNUMBER(SEARCH("wage",$B68))+ISNUMBER(SEARCH("electric",$B68))+ISNUMBER(SEARCH("kuryente",$B68))+ISNUMBER(SEARCH("water",$B68))+ISNUMBER(SEARCH("tubig",$B68))+ISNUMBER(SEARCH("internet",$B68))+ISNUMBER(SEARCH("pldt",$B68))+ISNUMBER(SEARCH("meralco",$B68))+ISNUMBER(SEARCH("supplies",$B68))+ISNUMBER(SEARCH("office",$B68))+ISNUMBER(SEARCH("professional",$B68))+ISNUMBER(SEARCH("accountant",$B68))+ISNUMBER(SEARCH("lawyer",$B68))+ISNUMBER(SEARCH("broker",$B68))+ISNUMBER(SEARCH("bank",$B68))+ISNUMBER(SEARCH("charge",$B68))+ISNUMBER(SEARCH("permit",$B68))+ISNUMBER(SEARCH("bir",$B68))+ISNUMBER(SEARCH("ltfrb",$B68))+ISNUMBER(SEARCH("misc",$B68))+ISNUMBER(SEARCH("fee",$B68))&gt;0,"Overhead","Overhead")))))))</f>
        <v/>
      </c>
      <c r="J68">
        <f>IF($A68="","",DATE(YEAR($A68),MONTH($A68),1))</f>
        <v/>
      </c>
      <c r="K68">
        <f>IF($B68="","",IF(COUNTIF(Setup!$A$99:$A$128,$B68)&gt;0,0,1))</f>
        <v/>
      </c>
      <c r="L68">
        <f>IF($B68="","",IF(ISNUMBER(SEARCH("advance",$B68)),"ADV",IF(OR(ISNUMBER(SEARCH("payout",$B68)),ISNUMBER(SEARCH("pay out",$B68)),ISNUMBER(SEARCH("release",$B68))),"PAY","")))</f>
        <v/>
      </c>
      <c r="M68">
        <f>IF($B68="","",IF(ISNUMBER(SEARCH("bulk",$B68)),0,IF(ISNUMBER(SEARCH("fuel",$B68))+ISNUMBER(SEARCH("diesel",$B68))+ISNUMBER(SEARCH("krudo",$B68))+ISNUMBER(SEARCH("gasolina",$B68))&gt;0,1,0)))</f>
        <v/>
      </c>
      <c r="N68">
        <f>IF($B68="","",IF(ISNUMBER(SEARCH("fuel",$B68))+ISNUMBER(SEARCH("diesel",$B68))+ISNUMBER(SEARCH("krudo",$B68))+ISNUMBER(SEARCH("gasolina",$B68))&gt;0,1,0))</f>
        <v/>
      </c>
    </row>
    <row r="69">
      <c r="A69" s="86" t="n"/>
      <c r="B69" s="88" t="n"/>
      <c r="C69" s="88" t="n"/>
      <c r="D69" s="87" t="n"/>
      <c r="E69" s="88" t="n"/>
      <c r="F69" s="92" t="n"/>
      <c r="G69" s="87" t="n"/>
      <c r="H69" s="87" t="n"/>
      <c r="I69" s="101">
        <f>IF($B69="","",IF(COUNTIF(Setup!$A$99:$A$128,$B69)&gt;0,IF(INDEX(Setup!$B$99:$B$128,MATCH($B69,Setup!$A$99:$A$128,0))="","Overhead",INDEX(Setup!$B$99:$B$128,MATCH($B69,Setup!$A$99:$A$128,0))),IF(ISNUMBER(SEARCH("advance",$B69))+ISNUMBER(SEARCH("payout",$B69))+ISNUMBER(SEARCH("pay out",$B69))+ISNUMBER(SEARCH("reimburs",$B69))&gt;0,"Transfer",IF(ISNUMBER(SEARCH("loan",$B69))+ISNUMBER(SEARCH("amort",$B69))+ISNUMBER(SEARCH("installment",$B69))+ISNUMBER(SEARCH("instalment",$B69))&gt;0,"Financing",IF(ISNUMBER(SEARCH("draw",$B69))+ISNUMBER(SEARCH("owner",$B69))+ISNUMBER(SEARCH("asset",$B69))+ISNUMBER(SEARCH("capital",$B69))&gt;0,"Other",IF(ISNUMBER(SEARCH("fuel",$B69))+ISNUMBER(SEARCH("diesel",$B69))+ISNUMBER(SEARCH("krudo",$B69))+ISNUMBER(SEARCH("gasolina",$B69))+ISNUMBER(SEARCH("toll",$B69))+ISNUMBER(SEARCH("parking",$B69))+ISNUMBER(SEARCH("repair",$B69))+ISNUMBER(SEARCH("maintenance",$B69))+ISNUMBER(SEARCH("tire",$B69))+ISNUMBER(SEARCH("tyre",$B69))+ISNUMBER(SEARCH("battery",$B69))+ISNUMBER(SEARCH("oil",$B69))+ISNUMBER(SEARCH("filter",$B69))+ISNUMBER(SEARCH("spare",$B69))+ISNUMBER(SEARCH("insurance",$B69))+ISNUMBER(SEARCH("lto",$B69))+ISNUMBER(SEARCH("registration",$B69))+ISNUMBER(SEARCH("emission",$B69))+ISNUMBER(SEARCH("wash",$B69))+ISNUMBER(SEARCH("weigh",$B69))+ISNUMBER(SEARCH("tarp",$B69))&gt;0,"Vehicle",IF(ISNUMBER(SEARCH("rent",$B69))+ISNUMBER(SEARCH("upa",$B69))+ISNUMBER(SEARCH("salary",$B69))+ISNUMBER(SEARCH("sweldo",$B69))+ISNUMBER(SEARCH("wage",$B69))+ISNUMBER(SEARCH("electric",$B69))+ISNUMBER(SEARCH("kuryente",$B69))+ISNUMBER(SEARCH("water",$B69))+ISNUMBER(SEARCH("tubig",$B69))+ISNUMBER(SEARCH("internet",$B69))+ISNUMBER(SEARCH("pldt",$B69))+ISNUMBER(SEARCH("meralco",$B69))+ISNUMBER(SEARCH("supplies",$B69))+ISNUMBER(SEARCH("office",$B69))+ISNUMBER(SEARCH("professional",$B69))+ISNUMBER(SEARCH("accountant",$B69))+ISNUMBER(SEARCH("lawyer",$B69))+ISNUMBER(SEARCH("broker",$B69))+ISNUMBER(SEARCH("bank",$B69))+ISNUMBER(SEARCH("charge",$B69))+ISNUMBER(SEARCH("permit",$B69))+ISNUMBER(SEARCH("bir",$B69))+ISNUMBER(SEARCH("ltfrb",$B69))+ISNUMBER(SEARCH("misc",$B69))+ISNUMBER(SEARCH("fee",$B69))&gt;0,"Overhead","Overhead")))))))</f>
        <v/>
      </c>
      <c r="J69">
        <f>IF($A69="","",DATE(YEAR($A69),MONTH($A69),1))</f>
        <v/>
      </c>
      <c r="K69">
        <f>IF($B69="","",IF(COUNTIF(Setup!$A$99:$A$128,$B69)&gt;0,0,1))</f>
        <v/>
      </c>
      <c r="L69">
        <f>IF($B69="","",IF(ISNUMBER(SEARCH("advance",$B69)),"ADV",IF(OR(ISNUMBER(SEARCH("payout",$B69)),ISNUMBER(SEARCH("pay out",$B69)),ISNUMBER(SEARCH("release",$B69))),"PAY","")))</f>
        <v/>
      </c>
      <c r="M69">
        <f>IF($B69="","",IF(ISNUMBER(SEARCH("bulk",$B69)),0,IF(ISNUMBER(SEARCH("fuel",$B69))+ISNUMBER(SEARCH("diesel",$B69))+ISNUMBER(SEARCH("krudo",$B69))+ISNUMBER(SEARCH("gasolina",$B69))&gt;0,1,0)))</f>
        <v/>
      </c>
      <c r="N69">
        <f>IF($B69="","",IF(ISNUMBER(SEARCH("fuel",$B69))+ISNUMBER(SEARCH("diesel",$B69))+ISNUMBER(SEARCH("krudo",$B69))+ISNUMBER(SEARCH("gasolina",$B69))&gt;0,1,0))</f>
        <v/>
      </c>
    </row>
    <row r="70">
      <c r="A70" s="94" t="n"/>
      <c r="B70" s="96" t="n"/>
      <c r="C70" s="96" t="n"/>
      <c r="D70" s="95" t="n"/>
      <c r="E70" s="96" t="n"/>
      <c r="F70" s="99" t="n"/>
      <c r="G70" s="95" t="n"/>
      <c r="H70" s="95" t="n"/>
      <c r="I70" s="101">
        <f>IF($B70="","",IF(COUNTIF(Setup!$A$99:$A$128,$B70)&gt;0,IF(INDEX(Setup!$B$99:$B$128,MATCH($B70,Setup!$A$99:$A$128,0))="","Overhead",INDEX(Setup!$B$99:$B$128,MATCH($B70,Setup!$A$99:$A$128,0))),IF(ISNUMBER(SEARCH("advance",$B70))+ISNUMBER(SEARCH("payout",$B70))+ISNUMBER(SEARCH("pay out",$B70))+ISNUMBER(SEARCH("reimburs",$B70))&gt;0,"Transfer",IF(ISNUMBER(SEARCH("loan",$B70))+ISNUMBER(SEARCH("amort",$B70))+ISNUMBER(SEARCH("installment",$B70))+ISNUMBER(SEARCH("instalment",$B70))&gt;0,"Financing",IF(ISNUMBER(SEARCH("draw",$B70))+ISNUMBER(SEARCH("owner",$B70))+ISNUMBER(SEARCH("asset",$B70))+ISNUMBER(SEARCH("capital",$B70))&gt;0,"Other",IF(ISNUMBER(SEARCH("fuel",$B70))+ISNUMBER(SEARCH("diesel",$B70))+ISNUMBER(SEARCH("krudo",$B70))+ISNUMBER(SEARCH("gasolina",$B70))+ISNUMBER(SEARCH("toll",$B70))+ISNUMBER(SEARCH("parking",$B70))+ISNUMBER(SEARCH("repair",$B70))+ISNUMBER(SEARCH("maintenance",$B70))+ISNUMBER(SEARCH("tire",$B70))+ISNUMBER(SEARCH("tyre",$B70))+ISNUMBER(SEARCH("battery",$B70))+ISNUMBER(SEARCH("oil",$B70))+ISNUMBER(SEARCH("filter",$B70))+ISNUMBER(SEARCH("spare",$B70))+ISNUMBER(SEARCH("insurance",$B70))+ISNUMBER(SEARCH("lto",$B70))+ISNUMBER(SEARCH("registration",$B70))+ISNUMBER(SEARCH("emission",$B70))+ISNUMBER(SEARCH("wash",$B70))+ISNUMBER(SEARCH("weigh",$B70))+ISNUMBER(SEARCH("tarp",$B70))&gt;0,"Vehicle",IF(ISNUMBER(SEARCH("rent",$B70))+ISNUMBER(SEARCH("upa",$B70))+ISNUMBER(SEARCH("salary",$B70))+ISNUMBER(SEARCH("sweldo",$B70))+ISNUMBER(SEARCH("wage",$B70))+ISNUMBER(SEARCH("electric",$B70))+ISNUMBER(SEARCH("kuryente",$B70))+ISNUMBER(SEARCH("water",$B70))+ISNUMBER(SEARCH("tubig",$B70))+ISNUMBER(SEARCH("internet",$B70))+ISNUMBER(SEARCH("pldt",$B70))+ISNUMBER(SEARCH("meralco",$B70))+ISNUMBER(SEARCH("supplies",$B70))+ISNUMBER(SEARCH("office",$B70))+ISNUMBER(SEARCH("professional",$B70))+ISNUMBER(SEARCH("accountant",$B70))+ISNUMBER(SEARCH("lawyer",$B70))+ISNUMBER(SEARCH("broker",$B70))+ISNUMBER(SEARCH("bank",$B70))+ISNUMBER(SEARCH("charge",$B70))+ISNUMBER(SEARCH("permit",$B70))+ISNUMBER(SEARCH("bir",$B70))+ISNUMBER(SEARCH("ltfrb",$B70))+ISNUMBER(SEARCH("misc",$B70))+ISNUMBER(SEARCH("fee",$B70))&gt;0,"Overhead","Overhead")))))))</f>
        <v/>
      </c>
      <c r="J70">
        <f>IF($A70="","",DATE(YEAR($A70),MONTH($A70),1))</f>
        <v/>
      </c>
      <c r="K70">
        <f>IF($B70="","",IF(COUNTIF(Setup!$A$99:$A$128,$B70)&gt;0,0,1))</f>
        <v/>
      </c>
      <c r="L70">
        <f>IF($B70="","",IF(ISNUMBER(SEARCH("advance",$B70)),"ADV",IF(OR(ISNUMBER(SEARCH("payout",$B70)),ISNUMBER(SEARCH("pay out",$B70)),ISNUMBER(SEARCH("release",$B70))),"PAY","")))</f>
        <v/>
      </c>
      <c r="M70">
        <f>IF($B70="","",IF(ISNUMBER(SEARCH("bulk",$B70)),0,IF(ISNUMBER(SEARCH("fuel",$B70))+ISNUMBER(SEARCH("diesel",$B70))+ISNUMBER(SEARCH("krudo",$B70))+ISNUMBER(SEARCH("gasolina",$B70))&gt;0,1,0)))</f>
        <v/>
      </c>
      <c r="N70">
        <f>IF($B70="","",IF(ISNUMBER(SEARCH("fuel",$B70))+ISNUMBER(SEARCH("diesel",$B70))+ISNUMBER(SEARCH("krudo",$B70))+ISNUMBER(SEARCH("gasolina",$B70))&gt;0,1,0))</f>
        <v/>
      </c>
    </row>
    <row r="71">
      <c r="A71" s="86" t="n"/>
      <c r="B71" s="88" t="n"/>
      <c r="C71" s="88" t="n"/>
      <c r="D71" s="87" t="n"/>
      <c r="E71" s="88" t="n"/>
      <c r="F71" s="92" t="n"/>
      <c r="G71" s="87" t="n"/>
      <c r="H71" s="87" t="n"/>
      <c r="I71" s="101">
        <f>IF($B71="","",IF(COUNTIF(Setup!$A$99:$A$128,$B71)&gt;0,IF(INDEX(Setup!$B$99:$B$128,MATCH($B71,Setup!$A$99:$A$128,0))="","Overhead",INDEX(Setup!$B$99:$B$128,MATCH($B71,Setup!$A$99:$A$128,0))),IF(ISNUMBER(SEARCH("advance",$B71))+ISNUMBER(SEARCH("payout",$B71))+ISNUMBER(SEARCH("pay out",$B71))+ISNUMBER(SEARCH("reimburs",$B71))&gt;0,"Transfer",IF(ISNUMBER(SEARCH("loan",$B71))+ISNUMBER(SEARCH("amort",$B71))+ISNUMBER(SEARCH("installment",$B71))+ISNUMBER(SEARCH("instalment",$B71))&gt;0,"Financing",IF(ISNUMBER(SEARCH("draw",$B71))+ISNUMBER(SEARCH("owner",$B71))+ISNUMBER(SEARCH("asset",$B71))+ISNUMBER(SEARCH("capital",$B71))&gt;0,"Other",IF(ISNUMBER(SEARCH("fuel",$B71))+ISNUMBER(SEARCH("diesel",$B71))+ISNUMBER(SEARCH("krudo",$B71))+ISNUMBER(SEARCH("gasolina",$B71))+ISNUMBER(SEARCH("toll",$B71))+ISNUMBER(SEARCH("parking",$B71))+ISNUMBER(SEARCH("repair",$B71))+ISNUMBER(SEARCH("maintenance",$B71))+ISNUMBER(SEARCH("tire",$B71))+ISNUMBER(SEARCH("tyre",$B71))+ISNUMBER(SEARCH("battery",$B71))+ISNUMBER(SEARCH("oil",$B71))+ISNUMBER(SEARCH("filter",$B71))+ISNUMBER(SEARCH("spare",$B71))+ISNUMBER(SEARCH("insurance",$B71))+ISNUMBER(SEARCH("lto",$B71))+ISNUMBER(SEARCH("registration",$B71))+ISNUMBER(SEARCH("emission",$B71))+ISNUMBER(SEARCH("wash",$B71))+ISNUMBER(SEARCH("weigh",$B71))+ISNUMBER(SEARCH("tarp",$B71))&gt;0,"Vehicle",IF(ISNUMBER(SEARCH("rent",$B71))+ISNUMBER(SEARCH("upa",$B71))+ISNUMBER(SEARCH("salary",$B71))+ISNUMBER(SEARCH("sweldo",$B71))+ISNUMBER(SEARCH("wage",$B71))+ISNUMBER(SEARCH("electric",$B71))+ISNUMBER(SEARCH("kuryente",$B71))+ISNUMBER(SEARCH("water",$B71))+ISNUMBER(SEARCH("tubig",$B71))+ISNUMBER(SEARCH("internet",$B71))+ISNUMBER(SEARCH("pldt",$B71))+ISNUMBER(SEARCH("meralco",$B71))+ISNUMBER(SEARCH("supplies",$B71))+ISNUMBER(SEARCH("office",$B71))+ISNUMBER(SEARCH("professional",$B71))+ISNUMBER(SEARCH("accountant",$B71))+ISNUMBER(SEARCH("lawyer",$B71))+ISNUMBER(SEARCH("broker",$B71))+ISNUMBER(SEARCH("bank",$B71))+ISNUMBER(SEARCH("charge",$B71))+ISNUMBER(SEARCH("permit",$B71))+ISNUMBER(SEARCH("bir",$B71))+ISNUMBER(SEARCH("ltfrb",$B71))+ISNUMBER(SEARCH("misc",$B71))+ISNUMBER(SEARCH("fee",$B71))&gt;0,"Overhead","Overhead")))))))</f>
        <v/>
      </c>
      <c r="J71">
        <f>IF($A71="","",DATE(YEAR($A71),MONTH($A71),1))</f>
        <v/>
      </c>
      <c r="K71">
        <f>IF($B71="","",IF(COUNTIF(Setup!$A$99:$A$128,$B71)&gt;0,0,1))</f>
        <v/>
      </c>
      <c r="L71">
        <f>IF($B71="","",IF(ISNUMBER(SEARCH("advance",$B71)),"ADV",IF(OR(ISNUMBER(SEARCH("payout",$B71)),ISNUMBER(SEARCH("pay out",$B71)),ISNUMBER(SEARCH("release",$B71))),"PAY","")))</f>
        <v/>
      </c>
      <c r="M71">
        <f>IF($B71="","",IF(ISNUMBER(SEARCH("bulk",$B71)),0,IF(ISNUMBER(SEARCH("fuel",$B71))+ISNUMBER(SEARCH("diesel",$B71))+ISNUMBER(SEARCH("krudo",$B71))+ISNUMBER(SEARCH("gasolina",$B71))&gt;0,1,0)))</f>
        <v/>
      </c>
      <c r="N71">
        <f>IF($B71="","",IF(ISNUMBER(SEARCH("fuel",$B71))+ISNUMBER(SEARCH("diesel",$B71))+ISNUMBER(SEARCH("krudo",$B71))+ISNUMBER(SEARCH("gasolina",$B71))&gt;0,1,0))</f>
        <v/>
      </c>
    </row>
    <row r="72">
      <c r="A72" s="94" t="n"/>
      <c r="B72" s="96" t="n"/>
      <c r="C72" s="96" t="n"/>
      <c r="D72" s="95" t="n"/>
      <c r="E72" s="96" t="n"/>
      <c r="F72" s="99" t="n"/>
      <c r="G72" s="95" t="n"/>
      <c r="H72" s="95" t="n"/>
      <c r="I72" s="101">
        <f>IF($B72="","",IF(COUNTIF(Setup!$A$99:$A$128,$B72)&gt;0,IF(INDEX(Setup!$B$99:$B$128,MATCH($B72,Setup!$A$99:$A$128,0))="","Overhead",INDEX(Setup!$B$99:$B$128,MATCH($B72,Setup!$A$99:$A$128,0))),IF(ISNUMBER(SEARCH("advance",$B72))+ISNUMBER(SEARCH("payout",$B72))+ISNUMBER(SEARCH("pay out",$B72))+ISNUMBER(SEARCH("reimburs",$B72))&gt;0,"Transfer",IF(ISNUMBER(SEARCH("loan",$B72))+ISNUMBER(SEARCH("amort",$B72))+ISNUMBER(SEARCH("installment",$B72))+ISNUMBER(SEARCH("instalment",$B72))&gt;0,"Financing",IF(ISNUMBER(SEARCH("draw",$B72))+ISNUMBER(SEARCH("owner",$B72))+ISNUMBER(SEARCH("asset",$B72))+ISNUMBER(SEARCH("capital",$B72))&gt;0,"Other",IF(ISNUMBER(SEARCH("fuel",$B72))+ISNUMBER(SEARCH("diesel",$B72))+ISNUMBER(SEARCH("krudo",$B72))+ISNUMBER(SEARCH("gasolina",$B72))+ISNUMBER(SEARCH("toll",$B72))+ISNUMBER(SEARCH("parking",$B72))+ISNUMBER(SEARCH("repair",$B72))+ISNUMBER(SEARCH("maintenance",$B72))+ISNUMBER(SEARCH("tire",$B72))+ISNUMBER(SEARCH("tyre",$B72))+ISNUMBER(SEARCH("battery",$B72))+ISNUMBER(SEARCH("oil",$B72))+ISNUMBER(SEARCH("filter",$B72))+ISNUMBER(SEARCH("spare",$B72))+ISNUMBER(SEARCH("insurance",$B72))+ISNUMBER(SEARCH("lto",$B72))+ISNUMBER(SEARCH("registration",$B72))+ISNUMBER(SEARCH("emission",$B72))+ISNUMBER(SEARCH("wash",$B72))+ISNUMBER(SEARCH("weigh",$B72))+ISNUMBER(SEARCH("tarp",$B72))&gt;0,"Vehicle",IF(ISNUMBER(SEARCH("rent",$B72))+ISNUMBER(SEARCH("upa",$B72))+ISNUMBER(SEARCH("salary",$B72))+ISNUMBER(SEARCH("sweldo",$B72))+ISNUMBER(SEARCH("wage",$B72))+ISNUMBER(SEARCH("electric",$B72))+ISNUMBER(SEARCH("kuryente",$B72))+ISNUMBER(SEARCH("water",$B72))+ISNUMBER(SEARCH("tubig",$B72))+ISNUMBER(SEARCH("internet",$B72))+ISNUMBER(SEARCH("pldt",$B72))+ISNUMBER(SEARCH("meralco",$B72))+ISNUMBER(SEARCH("supplies",$B72))+ISNUMBER(SEARCH("office",$B72))+ISNUMBER(SEARCH("professional",$B72))+ISNUMBER(SEARCH("accountant",$B72))+ISNUMBER(SEARCH("lawyer",$B72))+ISNUMBER(SEARCH("broker",$B72))+ISNUMBER(SEARCH("bank",$B72))+ISNUMBER(SEARCH("charge",$B72))+ISNUMBER(SEARCH("permit",$B72))+ISNUMBER(SEARCH("bir",$B72))+ISNUMBER(SEARCH("ltfrb",$B72))+ISNUMBER(SEARCH("misc",$B72))+ISNUMBER(SEARCH("fee",$B72))&gt;0,"Overhead","Overhead")))))))</f>
        <v/>
      </c>
      <c r="J72">
        <f>IF($A72="","",DATE(YEAR($A72),MONTH($A72),1))</f>
        <v/>
      </c>
      <c r="K72">
        <f>IF($B72="","",IF(COUNTIF(Setup!$A$99:$A$128,$B72)&gt;0,0,1))</f>
        <v/>
      </c>
      <c r="L72">
        <f>IF($B72="","",IF(ISNUMBER(SEARCH("advance",$B72)),"ADV",IF(OR(ISNUMBER(SEARCH("payout",$B72)),ISNUMBER(SEARCH("pay out",$B72)),ISNUMBER(SEARCH("release",$B72))),"PAY","")))</f>
        <v/>
      </c>
      <c r="M72">
        <f>IF($B72="","",IF(ISNUMBER(SEARCH("bulk",$B72)),0,IF(ISNUMBER(SEARCH("fuel",$B72))+ISNUMBER(SEARCH("diesel",$B72))+ISNUMBER(SEARCH("krudo",$B72))+ISNUMBER(SEARCH("gasolina",$B72))&gt;0,1,0)))</f>
        <v/>
      </c>
      <c r="N72">
        <f>IF($B72="","",IF(ISNUMBER(SEARCH("fuel",$B72))+ISNUMBER(SEARCH("diesel",$B72))+ISNUMBER(SEARCH("krudo",$B72))+ISNUMBER(SEARCH("gasolina",$B72))&gt;0,1,0))</f>
        <v/>
      </c>
    </row>
    <row r="73">
      <c r="A73" s="86" t="n"/>
      <c r="B73" s="88" t="n"/>
      <c r="C73" s="88" t="n"/>
      <c r="D73" s="87" t="n"/>
      <c r="E73" s="88" t="n"/>
      <c r="F73" s="92" t="n"/>
      <c r="G73" s="87" t="n"/>
      <c r="H73" s="87" t="n"/>
      <c r="I73" s="101">
        <f>IF($B73="","",IF(COUNTIF(Setup!$A$99:$A$128,$B73)&gt;0,IF(INDEX(Setup!$B$99:$B$128,MATCH($B73,Setup!$A$99:$A$128,0))="","Overhead",INDEX(Setup!$B$99:$B$128,MATCH($B73,Setup!$A$99:$A$128,0))),IF(ISNUMBER(SEARCH("advance",$B73))+ISNUMBER(SEARCH("payout",$B73))+ISNUMBER(SEARCH("pay out",$B73))+ISNUMBER(SEARCH("reimburs",$B73))&gt;0,"Transfer",IF(ISNUMBER(SEARCH("loan",$B73))+ISNUMBER(SEARCH("amort",$B73))+ISNUMBER(SEARCH("installment",$B73))+ISNUMBER(SEARCH("instalment",$B73))&gt;0,"Financing",IF(ISNUMBER(SEARCH("draw",$B73))+ISNUMBER(SEARCH("owner",$B73))+ISNUMBER(SEARCH("asset",$B73))+ISNUMBER(SEARCH("capital",$B73))&gt;0,"Other",IF(ISNUMBER(SEARCH("fuel",$B73))+ISNUMBER(SEARCH("diesel",$B73))+ISNUMBER(SEARCH("krudo",$B73))+ISNUMBER(SEARCH("gasolina",$B73))+ISNUMBER(SEARCH("toll",$B73))+ISNUMBER(SEARCH("parking",$B73))+ISNUMBER(SEARCH("repair",$B73))+ISNUMBER(SEARCH("maintenance",$B73))+ISNUMBER(SEARCH("tire",$B73))+ISNUMBER(SEARCH("tyre",$B73))+ISNUMBER(SEARCH("battery",$B73))+ISNUMBER(SEARCH("oil",$B73))+ISNUMBER(SEARCH("filter",$B73))+ISNUMBER(SEARCH("spare",$B73))+ISNUMBER(SEARCH("insurance",$B73))+ISNUMBER(SEARCH("lto",$B73))+ISNUMBER(SEARCH("registration",$B73))+ISNUMBER(SEARCH("emission",$B73))+ISNUMBER(SEARCH("wash",$B73))+ISNUMBER(SEARCH("weigh",$B73))+ISNUMBER(SEARCH("tarp",$B73))&gt;0,"Vehicle",IF(ISNUMBER(SEARCH("rent",$B73))+ISNUMBER(SEARCH("upa",$B73))+ISNUMBER(SEARCH("salary",$B73))+ISNUMBER(SEARCH("sweldo",$B73))+ISNUMBER(SEARCH("wage",$B73))+ISNUMBER(SEARCH("electric",$B73))+ISNUMBER(SEARCH("kuryente",$B73))+ISNUMBER(SEARCH("water",$B73))+ISNUMBER(SEARCH("tubig",$B73))+ISNUMBER(SEARCH("internet",$B73))+ISNUMBER(SEARCH("pldt",$B73))+ISNUMBER(SEARCH("meralco",$B73))+ISNUMBER(SEARCH("supplies",$B73))+ISNUMBER(SEARCH("office",$B73))+ISNUMBER(SEARCH("professional",$B73))+ISNUMBER(SEARCH("accountant",$B73))+ISNUMBER(SEARCH("lawyer",$B73))+ISNUMBER(SEARCH("broker",$B73))+ISNUMBER(SEARCH("bank",$B73))+ISNUMBER(SEARCH("charge",$B73))+ISNUMBER(SEARCH("permit",$B73))+ISNUMBER(SEARCH("bir",$B73))+ISNUMBER(SEARCH("ltfrb",$B73))+ISNUMBER(SEARCH("misc",$B73))+ISNUMBER(SEARCH("fee",$B73))&gt;0,"Overhead","Overhead")))))))</f>
        <v/>
      </c>
      <c r="J73">
        <f>IF($A73="","",DATE(YEAR($A73),MONTH($A73),1))</f>
        <v/>
      </c>
      <c r="K73">
        <f>IF($B73="","",IF(COUNTIF(Setup!$A$99:$A$128,$B73)&gt;0,0,1))</f>
        <v/>
      </c>
      <c r="L73">
        <f>IF($B73="","",IF(ISNUMBER(SEARCH("advance",$B73)),"ADV",IF(OR(ISNUMBER(SEARCH("payout",$B73)),ISNUMBER(SEARCH("pay out",$B73)),ISNUMBER(SEARCH("release",$B73))),"PAY","")))</f>
        <v/>
      </c>
      <c r="M73">
        <f>IF($B73="","",IF(ISNUMBER(SEARCH("bulk",$B73)),0,IF(ISNUMBER(SEARCH("fuel",$B73))+ISNUMBER(SEARCH("diesel",$B73))+ISNUMBER(SEARCH("krudo",$B73))+ISNUMBER(SEARCH("gasolina",$B73))&gt;0,1,0)))</f>
        <v/>
      </c>
      <c r="N73">
        <f>IF($B73="","",IF(ISNUMBER(SEARCH("fuel",$B73))+ISNUMBER(SEARCH("diesel",$B73))+ISNUMBER(SEARCH("krudo",$B73))+ISNUMBER(SEARCH("gasolina",$B73))&gt;0,1,0))</f>
        <v/>
      </c>
    </row>
    <row r="74">
      <c r="A74" s="94" t="n"/>
      <c r="B74" s="96" t="n"/>
      <c r="C74" s="96" t="n"/>
      <c r="D74" s="95" t="n"/>
      <c r="E74" s="96" t="n"/>
      <c r="F74" s="99" t="n"/>
      <c r="G74" s="95" t="n"/>
      <c r="H74" s="95" t="n"/>
      <c r="I74" s="101">
        <f>IF($B74="","",IF(COUNTIF(Setup!$A$99:$A$128,$B74)&gt;0,IF(INDEX(Setup!$B$99:$B$128,MATCH($B74,Setup!$A$99:$A$128,0))="","Overhead",INDEX(Setup!$B$99:$B$128,MATCH($B74,Setup!$A$99:$A$128,0))),IF(ISNUMBER(SEARCH("advance",$B74))+ISNUMBER(SEARCH("payout",$B74))+ISNUMBER(SEARCH("pay out",$B74))+ISNUMBER(SEARCH("reimburs",$B74))&gt;0,"Transfer",IF(ISNUMBER(SEARCH("loan",$B74))+ISNUMBER(SEARCH("amort",$B74))+ISNUMBER(SEARCH("installment",$B74))+ISNUMBER(SEARCH("instalment",$B74))&gt;0,"Financing",IF(ISNUMBER(SEARCH("draw",$B74))+ISNUMBER(SEARCH("owner",$B74))+ISNUMBER(SEARCH("asset",$B74))+ISNUMBER(SEARCH("capital",$B74))&gt;0,"Other",IF(ISNUMBER(SEARCH("fuel",$B74))+ISNUMBER(SEARCH("diesel",$B74))+ISNUMBER(SEARCH("krudo",$B74))+ISNUMBER(SEARCH("gasolina",$B74))+ISNUMBER(SEARCH("toll",$B74))+ISNUMBER(SEARCH("parking",$B74))+ISNUMBER(SEARCH("repair",$B74))+ISNUMBER(SEARCH("maintenance",$B74))+ISNUMBER(SEARCH("tire",$B74))+ISNUMBER(SEARCH("tyre",$B74))+ISNUMBER(SEARCH("battery",$B74))+ISNUMBER(SEARCH("oil",$B74))+ISNUMBER(SEARCH("filter",$B74))+ISNUMBER(SEARCH("spare",$B74))+ISNUMBER(SEARCH("insurance",$B74))+ISNUMBER(SEARCH("lto",$B74))+ISNUMBER(SEARCH("registration",$B74))+ISNUMBER(SEARCH("emission",$B74))+ISNUMBER(SEARCH("wash",$B74))+ISNUMBER(SEARCH("weigh",$B74))+ISNUMBER(SEARCH("tarp",$B74))&gt;0,"Vehicle",IF(ISNUMBER(SEARCH("rent",$B74))+ISNUMBER(SEARCH("upa",$B74))+ISNUMBER(SEARCH("salary",$B74))+ISNUMBER(SEARCH("sweldo",$B74))+ISNUMBER(SEARCH("wage",$B74))+ISNUMBER(SEARCH("electric",$B74))+ISNUMBER(SEARCH("kuryente",$B74))+ISNUMBER(SEARCH("water",$B74))+ISNUMBER(SEARCH("tubig",$B74))+ISNUMBER(SEARCH("internet",$B74))+ISNUMBER(SEARCH("pldt",$B74))+ISNUMBER(SEARCH("meralco",$B74))+ISNUMBER(SEARCH("supplies",$B74))+ISNUMBER(SEARCH("office",$B74))+ISNUMBER(SEARCH("professional",$B74))+ISNUMBER(SEARCH("accountant",$B74))+ISNUMBER(SEARCH("lawyer",$B74))+ISNUMBER(SEARCH("broker",$B74))+ISNUMBER(SEARCH("bank",$B74))+ISNUMBER(SEARCH("charge",$B74))+ISNUMBER(SEARCH("permit",$B74))+ISNUMBER(SEARCH("bir",$B74))+ISNUMBER(SEARCH("ltfrb",$B74))+ISNUMBER(SEARCH("misc",$B74))+ISNUMBER(SEARCH("fee",$B74))&gt;0,"Overhead","Overhead")))))))</f>
        <v/>
      </c>
      <c r="J74">
        <f>IF($A74="","",DATE(YEAR($A74),MONTH($A74),1))</f>
        <v/>
      </c>
      <c r="K74">
        <f>IF($B74="","",IF(COUNTIF(Setup!$A$99:$A$128,$B74)&gt;0,0,1))</f>
        <v/>
      </c>
      <c r="L74">
        <f>IF($B74="","",IF(ISNUMBER(SEARCH("advance",$B74)),"ADV",IF(OR(ISNUMBER(SEARCH("payout",$B74)),ISNUMBER(SEARCH("pay out",$B74)),ISNUMBER(SEARCH("release",$B74))),"PAY","")))</f>
        <v/>
      </c>
      <c r="M74">
        <f>IF($B74="","",IF(ISNUMBER(SEARCH("bulk",$B74)),0,IF(ISNUMBER(SEARCH("fuel",$B74))+ISNUMBER(SEARCH("diesel",$B74))+ISNUMBER(SEARCH("krudo",$B74))+ISNUMBER(SEARCH("gasolina",$B74))&gt;0,1,0)))</f>
        <v/>
      </c>
      <c r="N74">
        <f>IF($B74="","",IF(ISNUMBER(SEARCH("fuel",$B74))+ISNUMBER(SEARCH("diesel",$B74))+ISNUMBER(SEARCH("krudo",$B74))+ISNUMBER(SEARCH("gasolina",$B74))&gt;0,1,0))</f>
        <v/>
      </c>
    </row>
    <row r="75">
      <c r="A75" s="86" t="n"/>
      <c r="B75" s="88" t="n"/>
      <c r="C75" s="88" t="n"/>
      <c r="D75" s="87" t="n"/>
      <c r="E75" s="88" t="n"/>
      <c r="F75" s="92" t="n"/>
      <c r="G75" s="87" t="n"/>
      <c r="H75" s="87" t="n"/>
      <c r="I75" s="101">
        <f>IF($B75="","",IF(COUNTIF(Setup!$A$99:$A$128,$B75)&gt;0,IF(INDEX(Setup!$B$99:$B$128,MATCH($B75,Setup!$A$99:$A$128,0))="","Overhead",INDEX(Setup!$B$99:$B$128,MATCH($B75,Setup!$A$99:$A$128,0))),IF(ISNUMBER(SEARCH("advance",$B75))+ISNUMBER(SEARCH("payout",$B75))+ISNUMBER(SEARCH("pay out",$B75))+ISNUMBER(SEARCH("reimburs",$B75))&gt;0,"Transfer",IF(ISNUMBER(SEARCH("loan",$B75))+ISNUMBER(SEARCH("amort",$B75))+ISNUMBER(SEARCH("installment",$B75))+ISNUMBER(SEARCH("instalment",$B75))&gt;0,"Financing",IF(ISNUMBER(SEARCH("draw",$B75))+ISNUMBER(SEARCH("owner",$B75))+ISNUMBER(SEARCH("asset",$B75))+ISNUMBER(SEARCH("capital",$B75))&gt;0,"Other",IF(ISNUMBER(SEARCH("fuel",$B75))+ISNUMBER(SEARCH("diesel",$B75))+ISNUMBER(SEARCH("krudo",$B75))+ISNUMBER(SEARCH("gasolina",$B75))+ISNUMBER(SEARCH("toll",$B75))+ISNUMBER(SEARCH("parking",$B75))+ISNUMBER(SEARCH("repair",$B75))+ISNUMBER(SEARCH("maintenance",$B75))+ISNUMBER(SEARCH("tire",$B75))+ISNUMBER(SEARCH("tyre",$B75))+ISNUMBER(SEARCH("battery",$B75))+ISNUMBER(SEARCH("oil",$B75))+ISNUMBER(SEARCH("filter",$B75))+ISNUMBER(SEARCH("spare",$B75))+ISNUMBER(SEARCH("insurance",$B75))+ISNUMBER(SEARCH("lto",$B75))+ISNUMBER(SEARCH("registration",$B75))+ISNUMBER(SEARCH("emission",$B75))+ISNUMBER(SEARCH("wash",$B75))+ISNUMBER(SEARCH("weigh",$B75))+ISNUMBER(SEARCH("tarp",$B75))&gt;0,"Vehicle",IF(ISNUMBER(SEARCH("rent",$B75))+ISNUMBER(SEARCH("upa",$B75))+ISNUMBER(SEARCH("salary",$B75))+ISNUMBER(SEARCH("sweldo",$B75))+ISNUMBER(SEARCH("wage",$B75))+ISNUMBER(SEARCH("electric",$B75))+ISNUMBER(SEARCH("kuryente",$B75))+ISNUMBER(SEARCH("water",$B75))+ISNUMBER(SEARCH("tubig",$B75))+ISNUMBER(SEARCH("internet",$B75))+ISNUMBER(SEARCH("pldt",$B75))+ISNUMBER(SEARCH("meralco",$B75))+ISNUMBER(SEARCH("supplies",$B75))+ISNUMBER(SEARCH("office",$B75))+ISNUMBER(SEARCH("professional",$B75))+ISNUMBER(SEARCH("accountant",$B75))+ISNUMBER(SEARCH("lawyer",$B75))+ISNUMBER(SEARCH("broker",$B75))+ISNUMBER(SEARCH("bank",$B75))+ISNUMBER(SEARCH("charge",$B75))+ISNUMBER(SEARCH("permit",$B75))+ISNUMBER(SEARCH("bir",$B75))+ISNUMBER(SEARCH("ltfrb",$B75))+ISNUMBER(SEARCH("misc",$B75))+ISNUMBER(SEARCH("fee",$B75))&gt;0,"Overhead","Overhead")))))))</f>
        <v/>
      </c>
      <c r="J75">
        <f>IF($A75="","",DATE(YEAR($A75),MONTH($A75),1))</f>
        <v/>
      </c>
      <c r="K75">
        <f>IF($B75="","",IF(COUNTIF(Setup!$A$99:$A$128,$B75)&gt;0,0,1))</f>
        <v/>
      </c>
      <c r="L75">
        <f>IF($B75="","",IF(ISNUMBER(SEARCH("advance",$B75)),"ADV",IF(OR(ISNUMBER(SEARCH("payout",$B75)),ISNUMBER(SEARCH("pay out",$B75)),ISNUMBER(SEARCH("release",$B75))),"PAY","")))</f>
        <v/>
      </c>
      <c r="M75">
        <f>IF($B75="","",IF(ISNUMBER(SEARCH("bulk",$B75)),0,IF(ISNUMBER(SEARCH("fuel",$B75))+ISNUMBER(SEARCH("diesel",$B75))+ISNUMBER(SEARCH("krudo",$B75))+ISNUMBER(SEARCH("gasolina",$B75))&gt;0,1,0)))</f>
        <v/>
      </c>
      <c r="N75">
        <f>IF($B75="","",IF(ISNUMBER(SEARCH("fuel",$B75))+ISNUMBER(SEARCH("diesel",$B75))+ISNUMBER(SEARCH("krudo",$B75))+ISNUMBER(SEARCH("gasolina",$B75))&gt;0,1,0))</f>
        <v/>
      </c>
    </row>
    <row r="76">
      <c r="A76" s="94" t="n"/>
      <c r="B76" s="96" t="n"/>
      <c r="C76" s="96" t="n"/>
      <c r="D76" s="95" t="n"/>
      <c r="E76" s="96" t="n"/>
      <c r="F76" s="99" t="n"/>
      <c r="G76" s="95" t="n"/>
      <c r="H76" s="95" t="n"/>
      <c r="I76" s="101">
        <f>IF($B76="","",IF(COUNTIF(Setup!$A$99:$A$128,$B76)&gt;0,IF(INDEX(Setup!$B$99:$B$128,MATCH($B76,Setup!$A$99:$A$128,0))="","Overhead",INDEX(Setup!$B$99:$B$128,MATCH($B76,Setup!$A$99:$A$128,0))),IF(ISNUMBER(SEARCH("advance",$B76))+ISNUMBER(SEARCH("payout",$B76))+ISNUMBER(SEARCH("pay out",$B76))+ISNUMBER(SEARCH("reimburs",$B76))&gt;0,"Transfer",IF(ISNUMBER(SEARCH("loan",$B76))+ISNUMBER(SEARCH("amort",$B76))+ISNUMBER(SEARCH("installment",$B76))+ISNUMBER(SEARCH("instalment",$B76))&gt;0,"Financing",IF(ISNUMBER(SEARCH("draw",$B76))+ISNUMBER(SEARCH("owner",$B76))+ISNUMBER(SEARCH("asset",$B76))+ISNUMBER(SEARCH("capital",$B76))&gt;0,"Other",IF(ISNUMBER(SEARCH("fuel",$B76))+ISNUMBER(SEARCH("diesel",$B76))+ISNUMBER(SEARCH("krudo",$B76))+ISNUMBER(SEARCH("gasolina",$B76))+ISNUMBER(SEARCH("toll",$B76))+ISNUMBER(SEARCH("parking",$B76))+ISNUMBER(SEARCH("repair",$B76))+ISNUMBER(SEARCH("maintenance",$B76))+ISNUMBER(SEARCH("tire",$B76))+ISNUMBER(SEARCH("tyre",$B76))+ISNUMBER(SEARCH("battery",$B76))+ISNUMBER(SEARCH("oil",$B76))+ISNUMBER(SEARCH("filter",$B76))+ISNUMBER(SEARCH("spare",$B76))+ISNUMBER(SEARCH("insurance",$B76))+ISNUMBER(SEARCH("lto",$B76))+ISNUMBER(SEARCH("registration",$B76))+ISNUMBER(SEARCH("emission",$B76))+ISNUMBER(SEARCH("wash",$B76))+ISNUMBER(SEARCH("weigh",$B76))+ISNUMBER(SEARCH("tarp",$B76))&gt;0,"Vehicle",IF(ISNUMBER(SEARCH("rent",$B76))+ISNUMBER(SEARCH("upa",$B76))+ISNUMBER(SEARCH("salary",$B76))+ISNUMBER(SEARCH("sweldo",$B76))+ISNUMBER(SEARCH("wage",$B76))+ISNUMBER(SEARCH("electric",$B76))+ISNUMBER(SEARCH("kuryente",$B76))+ISNUMBER(SEARCH("water",$B76))+ISNUMBER(SEARCH("tubig",$B76))+ISNUMBER(SEARCH("internet",$B76))+ISNUMBER(SEARCH("pldt",$B76))+ISNUMBER(SEARCH("meralco",$B76))+ISNUMBER(SEARCH("supplies",$B76))+ISNUMBER(SEARCH("office",$B76))+ISNUMBER(SEARCH("professional",$B76))+ISNUMBER(SEARCH("accountant",$B76))+ISNUMBER(SEARCH("lawyer",$B76))+ISNUMBER(SEARCH("broker",$B76))+ISNUMBER(SEARCH("bank",$B76))+ISNUMBER(SEARCH("charge",$B76))+ISNUMBER(SEARCH("permit",$B76))+ISNUMBER(SEARCH("bir",$B76))+ISNUMBER(SEARCH("ltfrb",$B76))+ISNUMBER(SEARCH("misc",$B76))+ISNUMBER(SEARCH("fee",$B76))&gt;0,"Overhead","Overhead")))))))</f>
        <v/>
      </c>
      <c r="J76">
        <f>IF($A76="","",DATE(YEAR($A76),MONTH($A76),1))</f>
        <v/>
      </c>
      <c r="K76">
        <f>IF($B76="","",IF(COUNTIF(Setup!$A$99:$A$128,$B76)&gt;0,0,1))</f>
        <v/>
      </c>
      <c r="L76">
        <f>IF($B76="","",IF(ISNUMBER(SEARCH("advance",$B76)),"ADV",IF(OR(ISNUMBER(SEARCH("payout",$B76)),ISNUMBER(SEARCH("pay out",$B76)),ISNUMBER(SEARCH("release",$B76))),"PAY","")))</f>
        <v/>
      </c>
      <c r="M76">
        <f>IF($B76="","",IF(ISNUMBER(SEARCH("bulk",$B76)),0,IF(ISNUMBER(SEARCH("fuel",$B76))+ISNUMBER(SEARCH("diesel",$B76))+ISNUMBER(SEARCH("krudo",$B76))+ISNUMBER(SEARCH("gasolina",$B76))&gt;0,1,0)))</f>
        <v/>
      </c>
      <c r="N76">
        <f>IF($B76="","",IF(ISNUMBER(SEARCH("fuel",$B76))+ISNUMBER(SEARCH("diesel",$B76))+ISNUMBER(SEARCH("krudo",$B76))+ISNUMBER(SEARCH("gasolina",$B76))&gt;0,1,0))</f>
        <v/>
      </c>
    </row>
    <row r="77">
      <c r="A77" s="86" t="n"/>
      <c r="B77" s="88" t="n"/>
      <c r="C77" s="88" t="n"/>
      <c r="D77" s="87" t="n"/>
      <c r="E77" s="88" t="n"/>
      <c r="F77" s="92" t="n"/>
      <c r="G77" s="87" t="n"/>
      <c r="H77" s="87" t="n"/>
      <c r="I77" s="101">
        <f>IF($B77="","",IF(COUNTIF(Setup!$A$99:$A$128,$B77)&gt;0,IF(INDEX(Setup!$B$99:$B$128,MATCH($B77,Setup!$A$99:$A$128,0))="","Overhead",INDEX(Setup!$B$99:$B$128,MATCH($B77,Setup!$A$99:$A$128,0))),IF(ISNUMBER(SEARCH("advance",$B77))+ISNUMBER(SEARCH("payout",$B77))+ISNUMBER(SEARCH("pay out",$B77))+ISNUMBER(SEARCH("reimburs",$B77))&gt;0,"Transfer",IF(ISNUMBER(SEARCH("loan",$B77))+ISNUMBER(SEARCH("amort",$B77))+ISNUMBER(SEARCH("installment",$B77))+ISNUMBER(SEARCH("instalment",$B77))&gt;0,"Financing",IF(ISNUMBER(SEARCH("draw",$B77))+ISNUMBER(SEARCH("owner",$B77))+ISNUMBER(SEARCH("asset",$B77))+ISNUMBER(SEARCH("capital",$B77))&gt;0,"Other",IF(ISNUMBER(SEARCH("fuel",$B77))+ISNUMBER(SEARCH("diesel",$B77))+ISNUMBER(SEARCH("krudo",$B77))+ISNUMBER(SEARCH("gasolina",$B77))+ISNUMBER(SEARCH("toll",$B77))+ISNUMBER(SEARCH("parking",$B77))+ISNUMBER(SEARCH("repair",$B77))+ISNUMBER(SEARCH("maintenance",$B77))+ISNUMBER(SEARCH("tire",$B77))+ISNUMBER(SEARCH("tyre",$B77))+ISNUMBER(SEARCH("battery",$B77))+ISNUMBER(SEARCH("oil",$B77))+ISNUMBER(SEARCH("filter",$B77))+ISNUMBER(SEARCH("spare",$B77))+ISNUMBER(SEARCH("insurance",$B77))+ISNUMBER(SEARCH("lto",$B77))+ISNUMBER(SEARCH("registration",$B77))+ISNUMBER(SEARCH("emission",$B77))+ISNUMBER(SEARCH("wash",$B77))+ISNUMBER(SEARCH("weigh",$B77))+ISNUMBER(SEARCH("tarp",$B77))&gt;0,"Vehicle",IF(ISNUMBER(SEARCH("rent",$B77))+ISNUMBER(SEARCH("upa",$B77))+ISNUMBER(SEARCH("salary",$B77))+ISNUMBER(SEARCH("sweldo",$B77))+ISNUMBER(SEARCH("wage",$B77))+ISNUMBER(SEARCH("electric",$B77))+ISNUMBER(SEARCH("kuryente",$B77))+ISNUMBER(SEARCH("water",$B77))+ISNUMBER(SEARCH("tubig",$B77))+ISNUMBER(SEARCH("internet",$B77))+ISNUMBER(SEARCH("pldt",$B77))+ISNUMBER(SEARCH("meralco",$B77))+ISNUMBER(SEARCH("supplies",$B77))+ISNUMBER(SEARCH("office",$B77))+ISNUMBER(SEARCH("professional",$B77))+ISNUMBER(SEARCH("accountant",$B77))+ISNUMBER(SEARCH("lawyer",$B77))+ISNUMBER(SEARCH("broker",$B77))+ISNUMBER(SEARCH("bank",$B77))+ISNUMBER(SEARCH("charge",$B77))+ISNUMBER(SEARCH("permit",$B77))+ISNUMBER(SEARCH("bir",$B77))+ISNUMBER(SEARCH("ltfrb",$B77))+ISNUMBER(SEARCH("misc",$B77))+ISNUMBER(SEARCH("fee",$B77))&gt;0,"Overhead","Overhead")))))))</f>
        <v/>
      </c>
      <c r="J77">
        <f>IF($A77="","",DATE(YEAR($A77),MONTH($A77),1))</f>
        <v/>
      </c>
      <c r="K77">
        <f>IF($B77="","",IF(COUNTIF(Setup!$A$99:$A$128,$B77)&gt;0,0,1))</f>
        <v/>
      </c>
      <c r="L77">
        <f>IF($B77="","",IF(ISNUMBER(SEARCH("advance",$B77)),"ADV",IF(OR(ISNUMBER(SEARCH("payout",$B77)),ISNUMBER(SEARCH("pay out",$B77)),ISNUMBER(SEARCH("release",$B77))),"PAY","")))</f>
        <v/>
      </c>
      <c r="M77">
        <f>IF($B77="","",IF(ISNUMBER(SEARCH("bulk",$B77)),0,IF(ISNUMBER(SEARCH("fuel",$B77))+ISNUMBER(SEARCH("diesel",$B77))+ISNUMBER(SEARCH("krudo",$B77))+ISNUMBER(SEARCH("gasolina",$B77))&gt;0,1,0)))</f>
        <v/>
      </c>
      <c r="N77">
        <f>IF($B77="","",IF(ISNUMBER(SEARCH("fuel",$B77))+ISNUMBER(SEARCH("diesel",$B77))+ISNUMBER(SEARCH("krudo",$B77))+ISNUMBER(SEARCH("gasolina",$B77))&gt;0,1,0))</f>
        <v/>
      </c>
    </row>
    <row r="78">
      <c r="A78" s="94" t="n"/>
      <c r="B78" s="96" t="n"/>
      <c r="C78" s="96" t="n"/>
      <c r="D78" s="95" t="n"/>
      <c r="E78" s="96" t="n"/>
      <c r="F78" s="99" t="n"/>
      <c r="G78" s="95" t="n"/>
      <c r="H78" s="95" t="n"/>
      <c r="I78" s="101">
        <f>IF($B78="","",IF(COUNTIF(Setup!$A$99:$A$128,$B78)&gt;0,IF(INDEX(Setup!$B$99:$B$128,MATCH($B78,Setup!$A$99:$A$128,0))="","Overhead",INDEX(Setup!$B$99:$B$128,MATCH($B78,Setup!$A$99:$A$128,0))),IF(ISNUMBER(SEARCH("advance",$B78))+ISNUMBER(SEARCH("payout",$B78))+ISNUMBER(SEARCH("pay out",$B78))+ISNUMBER(SEARCH("reimburs",$B78))&gt;0,"Transfer",IF(ISNUMBER(SEARCH("loan",$B78))+ISNUMBER(SEARCH("amort",$B78))+ISNUMBER(SEARCH("installment",$B78))+ISNUMBER(SEARCH("instalment",$B78))&gt;0,"Financing",IF(ISNUMBER(SEARCH("draw",$B78))+ISNUMBER(SEARCH("owner",$B78))+ISNUMBER(SEARCH("asset",$B78))+ISNUMBER(SEARCH("capital",$B78))&gt;0,"Other",IF(ISNUMBER(SEARCH("fuel",$B78))+ISNUMBER(SEARCH("diesel",$B78))+ISNUMBER(SEARCH("krudo",$B78))+ISNUMBER(SEARCH("gasolina",$B78))+ISNUMBER(SEARCH("toll",$B78))+ISNUMBER(SEARCH("parking",$B78))+ISNUMBER(SEARCH("repair",$B78))+ISNUMBER(SEARCH("maintenance",$B78))+ISNUMBER(SEARCH("tire",$B78))+ISNUMBER(SEARCH("tyre",$B78))+ISNUMBER(SEARCH("battery",$B78))+ISNUMBER(SEARCH("oil",$B78))+ISNUMBER(SEARCH("filter",$B78))+ISNUMBER(SEARCH("spare",$B78))+ISNUMBER(SEARCH("insurance",$B78))+ISNUMBER(SEARCH("lto",$B78))+ISNUMBER(SEARCH("registration",$B78))+ISNUMBER(SEARCH("emission",$B78))+ISNUMBER(SEARCH("wash",$B78))+ISNUMBER(SEARCH("weigh",$B78))+ISNUMBER(SEARCH("tarp",$B78))&gt;0,"Vehicle",IF(ISNUMBER(SEARCH("rent",$B78))+ISNUMBER(SEARCH("upa",$B78))+ISNUMBER(SEARCH("salary",$B78))+ISNUMBER(SEARCH("sweldo",$B78))+ISNUMBER(SEARCH("wage",$B78))+ISNUMBER(SEARCH("electric",$B78))+ISNUMBER(SEARCH("kuryente",$B78))+ISNUMBER(SEARCH("water",$B78))+ISNUMBER(SEARCH("tubig",$B78))+ISNUMBER(SEARCH("internet",$B78))+ISNUMBER(SEARCH("pldt",$B78))+ISNUMBER(SEARCH("meralco",$B78))+ISNUMBER(SEARCH("supplies",$B78))+ISNUMBER(SEARCH("office",$B78))+ISNUMBER(SEARCH("professional",$B78))+ISNUMBER(SEARCH("accountant",$B78))+ISNUMBER(SEARCH("lawyer",$B78))+ISNUMBER(SEARCH("broker",$B78))+ISNUMBER(SEARCH("bank",$B78))+ISNUMBER(SEARCH("charge",$B78))+ISNUMBER(SEARCH("permit",$B78))+ISNUMBER(SEARCH("bir",$B78))+ISNUMBER(SEARCH("ltfrb",$B78))+ISNUMBER(SEARCH("misc",$B78))+ISNUMBER(SEARCH("fee",$B78))&gt;0,"Overhead","Overhead")))))))</f>
        <v/>
      </c>
      <c r="J78">
        <f>IF($A78="","",DATE(YEAR($A78),MONTH($A78),1))</f>
        <v/>
      </c>
      <c r="K78">
        <f>IF($B78="","",IF(COUNTIF(Setup!$A$99:$A$128,$B78)&gt;0,0,1))</f>
        <v/>
      </c>
      <c r="L78">
        <f>IF($B78="","",IF(ISNUMBER(SEARCH("advance",$B78)),"ADV",IF(OR(ISNUMBER(SEARCH("payout",$B78)),ISNUMBER(SEARCH("pay out",$B78)),ISNUMBER(SEARCH("release",$B78))),"PAY","")))</f>
        <v/>
      </c>
      <c r="M78">
        <f>IF($B78="","",IF(ISNUMBER(SEARCH("bulk",$B78)),0,IF(ISNUMBER(SEARCH("fuel",$B78))+ISNUMBER(SEARCH("diesel",$B78))+ISNUMBER(SEARCH("krudo",$B78))+ISNUMBER(SEARCH("gasolina",$B78))&gt;0,1,0)))</f>
        <v/>
      </c>
      <c r="N78">
        <f>IF($B78="","",IF(ISNUMBER(SEARCH("fuel",$B78))+ISNUMBER(SEARCH("diesel",$B78))+ISNUMBER(SEARCH("krudo",$B78))+ISNUMBER(SEARCH("gasolina",$B78))&gt;0,1,0))</f>
        <v/>
      </c>
    </row>
    <row r="79">
      <c r="A79" s="86" t="n"/>
      <c r="B79" s="88" t="n"/>
      <c r="C79" s="88" t="n"/>
      <c r="D79" s="87" t="n"/>
      <c r="E79" s="88" t="n"/>
      <c r="F79" s="92" t="n"/>
      <c r="G79" s="87" t="n"/>
      <c r="H79" s="87" t="n"/>
      <c r="I79" s="101">
        <f>IF($B79="","",IF(COUNTIF(Setup!$A$99:$A$128,$B79)&gt;0,IF(INDEX(Setup!$B$99:$B$128,MATCH($B79,Setup!$A$99:$A$128,0))="","Overhead",INDEX(Setup!$B$99:$B$128,MATCH($B79,Setup!$A$99:$A$128,0))),IF(ISNUMBER(SEARCH("advance",$B79))+ISNUMBER(SEARCH("payout",$B79))+ISNUMBER(SEARCH("pay out",$B79))+ISNUMBER(SEARCH("reimburs",$B79))&gt;0,"Transfer",IF(ISNUMBER(SEARCH("loan",$B79))+ISNUMBER(SEARCH("amort",$B79))+ISNUMBER(SEARCH("installment",$B79))+ISNUMBER(SEARCH("instalment",$B79))&gt;0,"Financing",IF(ISNUMBER(SEARCH("draw",$B79))+ISNUMBER(SEARCH("owner",$B79))+ISNUMBER(SEARCH("asset",$B79))+ISNUMBER(SEARCH("capital",$B79))&gt;0,"Other",IF(ISNUMBER(SEARCH("fuel",$B79))+ISNUMBER(SEARCH("diesel",$B79))+ISNUMBER(SEARCH("krudo",$B79))+ISNUMBER(SEARCH("gasolina",$B79))+ISNUMBER(SEARCH("toll",$B79))+ISNUMBER(SEARCH("parking",$B79))+ISNUMBER(SEARCH("repair",$B79))+ISNUMBER(SEARCH("maintenance",$B79))+ISNUMBER(SEARCH("tire",$B79))+ISNUMBER(SEARCH("tyre",$B79))+ISNUMBER(SEARCH("battery",$B79))+ISNUMBER(SEARCH("oil",$B79))+ISNUMBER(SEARCH("filter",$B79))+ISNUMBER(SEARCH("spare",$B79))+ISNUMBER(SEARCH("insurance",$B79))+ISNUMBER(SEARCH("lto",$B79))+ISNUMBER(SEARCH("registration",$B79))+ISNUMBER(SEARCH("emission",$B79))+ISNUMBER(SEARCH("wash",$B79))+ISNUMBER(SEARCH("weigh",$B79))+ISNUMBER(SEARCH("tarp",$B79))&gt;0,"Vehicle",IF(ISNUMBER(SEARCH("rent",$B79))+ISNUMBER(SEARCH("upa",$B79))+ISNUMBER(SEARCH("salary",$B79))+ISNUMBER(SEARCH("sweldo",$B79))+ISNUMBER(SEARCH("wage",$B79))+ISNUMBER(SEARCH("electric",$B79))+ISNUMBER(SEARCH("kuryente",$B79))+ISNUMBER(SEARCH("water",$B79))+ISNUMBER(SEARCH("tubig",$B79))+ISNUMBER(SEARCH("internet",$B79))+ISNUMBER(SEARCH("pldt",$B79))+ISNUMBER(SEARCH("meralco",$B79))+ISNUMBER(SEARCH("supplies",$B79))+ISNUMBER(SEARCH("office",$B79))+ISNUMBER(SEARCH("professional",$B79))+ISNUMBER(SEARCH("accountant",$B79))+ISNUMBER(SEARCH("lawyer",$B79))+ISNUMBER(SEARCH("broker",$B79))+ISNUMBER(SEARCH("bank",$B79))+ISNUMBER(SEARCH("charge",$B79))+ISNUMBER(SEARCH("permit",$B79))+ISNUMBER(SEARCH("bir",$B79))+ISNUMBER(SEARCH("ltfrb",$B79))+ISNUMBER(SEARCH("misc",$B79))+ISNUMBER(SEARCH("fee",$B79))&gt;0,"Overhead","Overhead")))))))</f>
        <v/>
      </c>
      <c r="J79">
        <f>IF($A79="","",DATE(YEAR($A79),MONTH($A79),1))</f>
        <v/>
      </c>
      <c r="K79">
        <f>IF($B79="","",IF(COUNTIF(Setup!$A$99:$A$128,$B79)&gt;0,0,1))</f>
        <v/>
      </c>
      <c r="L79">
        <f>IF($B79="","",IF(ISNUMBER(SEARCH("advance",$B79)),"ADV",IF(OR(ISNUMBER(SEARCH("payout",$B79)),ISNUMBER(SEARCH("pay out",$B79)),ISNUMBER(SEARCH("release",$B79))),"PAY","")))</f>
        <v/>
      </c>
      <c r="M79">
        <f>IF($B79="","",IF(ISNUMBER(SEARCH("bulk",$B79)),0,IF(ISNUMBER(SEARCH("fuel",$B79))+ISNUMBER(SEARCH("diesel",$B79))+ISNUMBER(SEARCH("krudo",$B79))+ISNUMBER(SEARCH("gasolina",$B79))&gt;0,1,0)))</f>
        <v/>
      </c>
      <c r="N79">
        <f>IF($B79="","",IF(ISNUMBER(SEARCH("fuel",$B79))+ISNUMBER(SEARCH("diesel",$B79))+ISNUMBER(SEARCH("krudo",$B79))+ISNUMBER(SEARCH("gasolina",$B79))&gt;0,1,0))</f>
        <v/>
      </c>
    </row>
    <row r="80">
      <c r="A80" s="94" t="n"/>
      <c r="B80" s="96" t="n"/>
      <c r="C80" s="96" t="n"/>
      <c r="D80" s="95" t="n"/>
      <c r="E80" s="96" t="n"/>
      <c r="F80" s="99" t="n"/>
      <c r="G80" s="95" t="n"/>
      <c r="H80" s="95" t="n"/>
      <c r="I80" s="101">
        <f>IF($B80="","",IF(COUNTIF(Setup!$A$99:$A$128,$B80)&gt;0,IF(INDEX(Setup!$B$99:$B$128,MATCH($B80,Setup!$A$99:$A$128,0))="","Overhead",INDEX(Setup!$B$99:$B$128,MATCH($B80,Setup!$A$99:$A$128,0))),IF(ISNUMBER(SEARCH("advance",$B80))+ISNUMBER(SEARCH("payout",$B80))+ISNUMBER(SEARCH("pay out",$B80))+ISNUMBER(SEARCH("reimburs",$B80))&gt;0,"Transfer",IF(ISNUMBER(SEARCH("loan",$B80))+ISNUMBER(SEARCH("amort",$B80))+ISNUMBER(SEARCH("installment",$B80))+ISNUMBER(SEARCH("instalment",$B80))&gt;0,"Financing",IF(ISNUMBER(SEARCH("draw",$B80))+ISNUMBER(SEARCH("owner",$B80))+ISNUMBER(SEARCH("asset",$B80))+ISNUMBER(SEARCH("capital",$B80))&gt;0,"Other",IF(ISNUMBER(SEARCH("fuel",$B80))+ISNUMBER(SEARCH("diesel",$B80))+ISNUMBER(SEARCH("krudo",$B80))+ISNUMBER(SEARCH("gasolina",$B80))+ISNUMBER(SEARCH("toll",$B80))+ISNUMBER(SEARCH("parking",$B80))+ISNUMBER(SEARCH("repair",$B80))+ISNUMBER(SEARCH("maintenance",$B80))+ISNUMBER(SEARCH("tire",$B80))+ISNUMBER(SEARCH("tyre",$B80))+ISNUMBER(SEARCH("battery",$B80))+ISNUMBER(SEARCH("oil",$B80))+ISNUMBER(SEARCH("filter",$B80))+ISNUMBER(SEARCH("spare",$B80))+ISNUMBER(SEARCH("insurance",$B80))+ISNUMBER(SEARCH("lto",$B80))+ISNUMBER(SEARCH("registration",$B80))+ISNUMBER(SEARCH("emission",$B80))+ISNUMBER(SEARCH("wash",$B80))+ISNUMBER(SEARCH("weigh",$B80))+ISNUMBER(SEARCH("tarp",$B80))&gt;0,"Vehicle",IF(ISNUMBER(SEARCH("rent",$B80))+ISNUMBER(SEARCH("upa",$B80))+ISNUMBER(SEARCH("salary",$B80))+ISNUMBER(SEARCH("sweldo",$B80))+ISNUMBER(SEARCH("wage",$B80))+ISNUMBER(SEARCH("electric",$B80))+ISNUMBER(SEARCH("kuryente",$B80))+ISNUMBER(SEARCH("water",$B80))+ISNUMBER(SEARCH("tubig",$B80))+ISNUMBER(SEARCH("internet",$B80))+ISNUMBER(SEARCH("pldt",$B80))+ISNUMBER(SEARCH("meralco",$B80))+ISNUMBER(SEARCH("supplies",$B80))+ISNUMBER(SEARCH("office",$B80))+ISNUMBER(SEARCH("professional",$B80))+ISNUMBER(SEARCH("accountant",$B80))+ISNUMBER(SEARCH("lawyer",$B80))+ISNUMBER(SEARCH("broker",$B80))+ISNUMBER(SEARCH("bank",$B80))+ISNUMBER(SEARCH("charge",$B80))+ISNUMBER(SEARCH("permit",$B80))+ISNUMBER(SEARCH("bir",$B80))+ISNUMBER(SEARCH("ltfrb",$B80))+ISNUMBER(SEARCH("misc",$B80))+ISNUMBER(SEARCH("fee",$B80))&gt;0,"Overhead","Overhead")))))))</f>
        <v/>
      </c>
      <c r="J80">
        <f>IF($A80="","",DATE(YEAR($A80),MONTH($A80),1))</f>
        <v/>
      </c>
      <c r="K80">
        <f>IF($B80="","",IF(COUNTIF(Setup!$A$99:$A$128,$B80)&gt;0,0,1))</f>
        <v/>
      </c>
      <c r="L80">
        <f>IF($B80="","",IF(ISNUMBER(SEARCH("advance",$B80)),"ADV",IF(OR(ISNUMBER(SEARCH("payout",$B80)),ISNUMBER(SEARCH("pay out",$B80)),ISNUMBER(SEARCH("release",$B80))),"PAY","")))</f>
        <v/>
      </c>
      <c r="M80">
        <f>IF($B80="","",IF(ISNUMBER(SEARCH("bulk",$B80)),0,IF(ISNUMBER(SEARCH("fuel",$B80))+ISNUMBER(SEARCH("diesel",$B80))+ISNUMBER(SEARCH("krudo",$B80))+ISNUMBER(SEARCH("gasolina",$B80))&gt;0,1,0)))</f>
        <v/>
      </c>
      <c r="N80">
        <f>IF($B80="","",IF(ISNUMBER(SEARCH("fuel",$B80))+ISNUMBER(SEARCH("diesel",$B80))+ISNUMBER(SEARCH("krudo",$B80))+ISNUMBER(SEARCH("gasolina",$B80))&gt;0,1,0))</f>
        <v/>
      </c>
    </row>
    <row r="81">
      <c r="A81" s="86" t="n"/>
      <c r="B81" s="88" t="n"/>
      <c r="C81" s="88" t="n"/>
      <c r="D81" s="87" t="n"/>
      <c r="E81" s="88" t="n"/>
      <c r="F81" s="92" t="n"/>
      <c r="G81" s="87" t="n"/>
      <c r="H81" s="87" t="n"/>
      <c r="I81" s="101">
        <f>IF($B81="","",IF(COUNTIF(Setup!$A$99:$A$128,$B81)&gt;0,IF(INDEX(Setup!$B$99:$B$128,MATCH($B81,Setup!$A$99:$A$128,0))="","Overhead",INDEX(Setup!$B$99:$B$128,MATCH($B81,Setup!$A$99:$A$128,0))),IF(ISNUMBER(SEARCH("advance",$B81))+ISNUMBER(SEARCH("payout",$B81))+ISNUMBER(SEARCH("pay out",$B81))+ISNUMBER(SEARCH("reimburs",$B81))&gt;0,"Transfer",IF(ISNUMBER(SEARCH("loan",$B81))+ISNUMBER(SEARCH("amort",$B81))+ISNUMBER(SEARCH("installment",$B81))+ISNUMBER(SEARCH("instalment",$B81))&gt;0,"Financing",IF(ISNUMBER(SEARCH("draw",$B81))+ISNUMBER(SEARCH("owner",$B81))+ISNUMBER(SEARCH("asset",$B81))+ISNUMBER(SEARCH("capital",$B81))&gt;0,"Other",IF(ISNUMBER(SEARCH("fuel",$B81))+ISNUMBER(SEARCH("diesel",$B81))+ISNUMBER(SEARCH("krudo",$B81))+ISNUMBER(SEARCH("gasolina",$B81))+ISNUMBER(SEARCH("toll",$B81))+ISNUMBER(SEARCH("parking",$B81))+ISNUMBER(SEARCH("repair",$B81))+ISNUMBER(SEARCH("maintenance",$B81))+ISNUMBER(SEARCH("tire",$B81))+ISNUMBER(SEARCH("tyre",$B81))+ISNUMBER(SEARCH("battery",$B81))+ISNUMBER(SEARCH("oil",$B81))+ISNUMBER(SEARCH("filter",$B81))+ISNUMBER(SEARCH("spare",$B81))+ISNUMBER(SEARCH("insurance",$B81))+ISNUMBER(SEARCH("lto",$B81))+ISNUMBER(SEARCH("registration",$B81))+ISNUMBER(SEARCH("emission",$B81))+ISNUMBER(SEARCH("wash",$B81))+ISNUMBER(SEARCH("weigh",$B81))+ISNUMBER(SEARCH("tarp",$B81))&gt;0,"Vehicle",IF(ISNUMBER(SEARCH("rent",$B81))+ISNUMBER(SEARCH("upa",$B81))+ISNUMBER(SEARCH("salary",$B81))+ISNUMBER(SEARCH("sweldo",$B81))+ISNUMBER(SEARCH("wage",$B81))+ISNUMBER(SEARCH("electric",$B81))+ISNUMBER(SEARCH("kuryente",$B81))+ISNUMBER(SEARCH("water",$B81))+ISNUMBER(SEARCH("tubig",$B81))+ISNUMBER(SEARCH("internet",$B81))+ISNUMBER(SEARCH("pldt",$B81))+ISNUMBER(SEARCH("meralco",$B81))+ISNUMBER(SEARCH("supplies",$B81))+ISNUMBER(SEARCH("office",$B81))+ISNUMBER(SEARCH("professional",$B81))+ISNUMBER(SEARCH("accountant",$B81))+ISNUMBER(SEARCH("lawyer",$B81))+ISNUMBER(SEARCH("broker",$B81))+ISNUMBER(SEARCH("bank",$B81))+ISNUMBER(SEARCH("charge",$B81))+ISNUMBER(SEARCH("permit",$B81))+ISNUMBER(SEARCH("bir",$B81))+ISNUMBER(SEARCH("ltfrb",$B81))+ISNUMBER(SEARCH("misc",$B81))+ISNUMBER(SEARCH("fee",$B81))&gt;0,"Overhead","Overhead")))))))</f>
        <v/>
      </c>
      <c r="J81">
        <f>IF($A81="","",DATE(YEAR($A81),MONTH($A81),1))</f>
        <v/>
      </c>
      <c r="K81">
        <f>IF($B81="","",IF(COUNTIF(Setup!$A$99:$A$128,$B81)&gt;0,0,1))</f>
        <v/>
      </c>
      <c r="L81">
        <f>IF($B81="","",IF(ISNUMBER(SEARCH("advance",$B81)),"ADV",IF(OR(ISNUMBER(SEARCH("payout",$B81)),ISNUMBER(SEARCH("pay out",$B81)),ISNUMBER(SEARCH("release",$B81))),"PAY","")))</f>
        <v/>
      </c>
      <c r="M81">
        <f>IF($B81="","",IF(ISNUMBER(SEARCH("bulk",$B81)),0,IF(ISNUMBER(SEARCH("fuel",$B81))+ISNUMBER(SEARCH("diesel",$B81))+ISNUMBER(SEARCH("krudo",$B81))+ISNUMBER(SEARCH("gasolina",$B81))&gt;0,1,0)))</f>
        <v/>
      </c>
      <c r="N81">
        <f>IF($B81="","",IF(ISNUMBER(SEARCH("fuel",$B81))+ISNUMBER(SEARCH("diesel",$B81))+ISNUMBER(SEARCH("krudo",$B81))+ISNUMBER(SEARCH("gasolina",$B81))&gt;0,1,0))</f>
        <v/>
      </c>
    </row>
    <row r="82">
      <c r="A82" s="94" t="n"/>
      <c r="B82" s="96" t="n"/>
      <c r="C82" s="96" t="n"/>
      <c r="D82" s="95" t="n"/>
      <c r="E82" s="96" t="n"/>
      <c r="F82" s="99" t="n"/>
      <c r="G82" s="95" t="n"/>
      <c r="H82" s="95" t="n"/>
      <c r="I82" s="101">
        <f>IF($B82="","",IF(COUNTIF(Setup!$A$99:$A$128,$B82)&gt;0,IF(INDEX(Setup!$B$99:$B$128,MATCH($B82,Setup!$A$99:$A$128,0))="","Overhead",INDEX(Setup!$B$99:$B$128,MATCH($B82,Setup!$A$99:$A$128,0))),IF(ISNUMBER(SEARCH("advance",$B82))+ISNUMBER(SEARCH("payout",$B82))+ISNUMBER(SEARCH("pay out",$B82))+ISNUMBER(SEARCH("reimburs",$B82))&gt;0,"Transfer",IF(ISNUMBER(SEARCH("loan",$B82))+ISNUMBER(SEARCH("amort",$B82))+ISNUMBER(SEARCH("installment",$B82))+ISNUMBER(SEARCH("instalment",$B82))&gt;0,"Financing",IF(ISNUMBER(SEARCH("draw",$B82))+ISNUMBER(SEARCH("owner",$B82))+ISNUMBER(SEARCH("asset",$B82))+ISNUMBER(SEARCH("capital",$B82))&gt;0,"Other",IF(ISNUMBER(SEARCH("fuel",$B82))+ISNUMBER(SEARCH("diesel",$B82))+ISNUMBER(SEARCH("krudo",$B82))+ISNUMBER(SEARCH("gasolina",$B82))+ISNUMBER(SEARCH("toll",$B82))+ISNUMBER(SEARCH("parking",$B82))+ISNUMBER(SEARCH("repair",$B82))+ISNUMBER(SEARCH("maintenance",$B82))+ISNUMBER(SEARCH("tire",$B82))+ISNUMBER(SEARCH("tyre",$B82))+ISNUMBER(SEARCH("battery",$B82))+ISNUMBER(SEARCH("oil",$B82))+ISNUMBER(SEARCH("filter",$B82))+ISNUMBER(SEARCH("spare",$B82))+ISNUMBER(SEARCH("insurance",$B82))+ISNUMBER(SEARCH("lto",$B82))+ISNUMBER(SEARCH("registration",$B82))+ISNUMBER(SEARCH("emission",$B82))+ISNUMBER(SEARCH("wash",$B82))+ISNUMBER(SEARCH("weigh",$B82))+ISNUMBER(SEARCH("tarp",$B82))&gt;0,"Vehicle",IF(ISNUMBER(SEARCH("rent",$B82))+ISNUMBER(SEARCH("upa",$B82))+ISNUMBER(SEARCH("salary",$B82))+ISNUMBER(SEARCH("sweldo",$B82))+ISNUMBER(SEARCH("wage",$B82))+ISNUMBER(SEARCH("electric",$B82))+ISNUMBER(SEARCH("kuryente",$B82))+ISNUMBER(SEARCH("water",$B82))+ISNUMBER(SEARCH("tubig",$B82))+ISNUMBER(SEARCH("internet",$B82))+ISNUMBER(SEARCH("pldt",$B82))+ISNUMBER(SEARCH("meralco",$B82))+ISNUMBER(SEARCH("supplies",$B82))+ISNUMBER(SEARCH("office",$B82))+ISNUMBER(SEARCH("professional",$B82))+ISNUMBER(SEARCH("accountant",$B82))+ISNUMBER(SEARCH("lawyer",$B82))+ISNUMBER(SEARCH("broker",$B82))+ISNUMBER(SEARCH("bank",$B82))+ISNUMBER(SEARCH("charge",$B82))+ISNUMBER(SEARCH("permit",$B82))+ISNUMBER(SEARCH("bir",$B82))+ISNUMBER(SEARCH("ltfrb",$B82))+ISNUMBER(SEARCH("misc",$B82))+ISNUMBER(SEARCH("fee",$B82))&gt;0,"Overhead","Overhead")))))))</f>
        <v/>
      </c>
      <c r="J82">
        <f>IF($A82="","",DATE(YEAR($A82),MONTH($A82),1))</f>
        <v/>
      </c>
      <c r="K82">
        <f>IF($B82="","",IF(COUNTIF(Setup!$A$99:$A$128,$B82)&gt;0,0,1))</f>
        <v/>
      </c>
      <c r="L82">
        <f>IF($B82="","",IF(ISNUMBER(SEARCH("advance",$B82)),"ADV",IF(OR(ISNUMBER(SEARCH("payout",$B82)),ISNUMBER(SEARCH("pay out",$B82)),ISNUMBER(SEARCH("release",$B82))),"PAY","")))</f>
        <v/>
      </c>
      <c r="M82">
        <f>IF($B82="","",IF(ISNUMBER(SEARCH("bulk",$B82)),0,IF(ISNUMBER(SEARCH("fuel",$B82))+ISNUMBER(SEARCH("diesel",$B82))+ISNUMBER(SEARCH("krudo",$B82))+ISNUMBER(SEARCH("gasolina",$B82))&gt;0,1,0)))</f>
        <v/>
      </c>
      <c r="N82">
        <f>IF($B82="","",IF(ISNUMBER(SEARCH("fuel",$B82))+ISNUMBER(SEARCH("diesel",$B82))+ISNUMBER(SEARCH("krudo",$B82))+ISNUMBER(SEARCH("gasolina",$B82))&gt;0,1,0))</f>
        <v/>
      </c>
    </row>
    <row r="83">
      <c r="A83" s="86" t="n"/>
      <c r="B83" s="88" t="n"/>
      <c r="C83" s="88" t="n"/>
      <c r="D83" s="87" t="n"/>
      <c r="E83" s="88" t="n"/>
      <c r="F83" s="92" t="n"/>
      <c r="G83" s="87" t="n"/>
      <c r="H83" s="87" t="n"/>
      <c r="I83" s="101">
        <f>IF($B83="","",IF(COUNTIF(Setup!$A$99:$A$128,$B83)&gt;0,IF(INDEX(Setup!$B$99:$B$128,MATCH($B83,Setup!$A$99:$A$128,0))="","Overhead",INDEX(Setup!$B$99:$B$128,MATCH($B83,Setup!$A$99:$A$128,0))),IF(ISNUMBER(SEARCH("advance",$B83))+ISNUMBER(SEARCH("payout",$B83))+ISNUMBER(SEARCH("pay out",$B83))+ISNUMBER(SEARCH("reimburs",$B83))&gt;0,"Transfer",IF(ISNUMBER(SEARCH("loan",$B83))+ISNUMBER(SEARCH("amort",$B83))+ISNUMBER(SEARCH("installment",$B83))+ISNUMBER(SEARCH("instalment",$B83))&gt;0,"Financing",IF(ISNUMBER(SEARCH("draw",$B83))+ISNUMBER(SEARCH("owner",$B83))+ISNUMBER(SEARCH("asset",$B83))+ISNUMBER(SEARCH("capital",$B83))&gt;0,"Other",IF(ISNUMBER(SEARCH("fuel",$B83))+ISNUMBER(SEARCH("diesel",$B83))+ISNUMBER(SEARCH("krudo",$B83))+ISNUMBER(SEARCH("gasolina",$B83))+ISNUMBER(SEARCH("toll",$B83))+ISNUMBER(SEARCH("parking",$B83))+ISNUMBER(SEARCH("repair",$B83))+ISNUMBER(SEARCH("maintenance",$B83))+ISNUMBER(SEARCH("tire",$B83))+ISNUMBER(SEARCH("tyre",$B83))+ISNUMBER(SEARCH("battery",$B83))+ISNUMBER(SEARCH("oil",$B83))+ISNUMBER(SEARCH("filter",$B83))+ISNUMBER(SEARCH("spare",$B83))+ISNUMBER(SEARCH("insurance",$B83))+ISNUMBER(SEARCH("lto",$B83))+ISNUMBER(SEARCH("registration",$B83))+ISNUMBER(SEARCH("emission",$B83))+ISNUMBER(SEARCH("wash",$B83))+ISNUMBER(SEARCH("weigh",$B83))+ISNUMBER(SEARCH("tarp",$B83))&gt;0,"Vehicle",IF(ISNUMBER(SEARCH("rent",$B83))+ISNUMBER(SEARCH("upa",$B83))+ISNUMBER(SEARCH("salary",$B83))+ISNUMBER(SEARCH("sweldo",$B83))+ISNUMBER(SEARCH("wage",$B83))+ISNUMBER(SEARCH("electric",$B83))+ISNUMBER(SEARCH("kuryente",$B83))+ISNUMBER(SEARCH("water",$B83))+ISNUMBER(SEARCH("tubig",$B83))+ISNUMBER(SEARCH("internet",$B83))+ISNUMBER(SEARCH("pldt",$B83))+ISNUMBER(SEARCH("meralco",$B83))+ISNUMBER(SEARCH("supplies",$B83))+ISNUMBER(SEARCH("office",$B83))+ISNUMBER(SEARCH("professional",$B83))+ISNUMBER(SEARCH("accountant",$B83))+ISNUMBER(SEARCH("lawyer",$B83))+ISNUMBER(SEARCH("broker",$B83))+ISNUMBER(SEARCH("bank",$B83))+ISNUMBER(SEARCH("charge",$B83))+ISNUMBER(SEARCH("permit",$B83))+ISNUMBER(SEARCH("bir",$B83))+ISNUMBER(SEARCH("ltfrb",$B83))+ISNUMBER(SEARCH("misc",$B83))+ISNUMBER(SEARCH("fee",$B83))&gt;0,"Overhead","Overhead")))))))</f>
        <v/>
      </c>
      <c r="J83">
        <f>IF($A83="","",DATE(YEAR($A83),MONTH($A83),1))</f>
        <v/>
      </c>
      <c r="K83">
        <f>IF($B83="","",IF(COUNTIF(Setup!$A$99:$A$128,$B83)&gt;0,0,1))</f>
        <v/>
      </c>
      <c r="L83">
        <f>IF($B83="","",IF(ISNUMBER(SEARCH("advance",$B83)),"ADV",IF(OR(ISNUMBER(SEARCH("payout",$B83)),ISNUMBER(SEARCH("pay out",$B83)),ISNUMBER(SEARCH("release",$B83))),"PAY","")))</f>
        <v/>
      </c>
      <c r="M83">
        <f>IF($B83="","",IF(ISNUMBER(SEARCH("bulk",$B83)),0,IF(ISNUMBER(SEARCH("fuel",$B83))+ISNUMBER(SEARCH("diesel",$B83))+ISNUMBER(SEARCH("krudo",$B83))+ISNUMBER(SEARCH("gasolina",$B83))&gt;0,1,0)))</f>
        <v/>
      </c>
      <c r="N83">
        <f>IF($B83="","",IF(ISNUMBER(SEARCH("fuel",$B83))+ISNUMBER(SEARCH("diesel",$B83))+ISNUMBER(SEARCH("krudo",$B83))+ISNUMBER(SEARCH("gasolina",$B83))&gt;0,1,0))</f>
        <v/>
      </c>
    </row>
    <row r="84">
      <c r="A84" s="94" t="n"/>
      <c r="B84" s="96" t="n"/>
      <c r="C84" s="96" t="n"/>
      <c r="D84" s="95" t="n"/>
      <c r="E84" s="96" t="n"/>
      <c r="F84" s="99" t="n"/>
      <c r="G84" s="95" t="n"/>
      <c r="H84" s="95" t="n"/>
      <c r="I84" s="101">
        <f>IF($B84="","",IF(COUNTIF(Setup!$A$99:$A$128,$B84)&gt;0,IF(INDEX(Setup!$B$99:$B$128,MATCH($B84,Setup!$A$99:$A$128,0))="","Overhead",INDEX(Setup!$B$99:$B$128,MATCH($B84,Setup!$A$99:$A$128,0))),IF(ISNUMBER(SEARCH("advance",$B84))+ISNUMBER(SEARCH("payout",$B84))+ISNUMBER(SEARCH("pay out",$B84))+ISNUMBER(SEARCH("reimburs",$B84))&gt;0,"Transfer",IF(ISNUMBER(SEARCH("loan",$B84))+ISNUMBER(SEARCH("amort",$B84))+ISNUMBER(SEARCH("installment",$B84))+ISNUMBER(SEARCH("instalment",$B84))&gt;0,"Financing",IF(ISNUMBER(SEARCH("draw",$B84))+ISNUMBER(SEARCH("owner",$B84))+ISNUMBER(SEARCH("asset",$B84))+ISNUMBER(SEARCH("capital",$B84))&gt;0,"Other",IF(ISNUMBER(SEARCH("fuel",$B84))+ISNUMBER(SEARCH("diesel",$B84))+ISNUMBER(SEARCH("krudo",$B84))+ISNUMBER(SEARCH("gasolina",$B84))+ISNUMBER(SEARCH("toll",$B84))+ISNUMBER(SEARCH("parking",$B84))+ISNUMBER(SEARCH("repair",$B84))+ISNUMBER(SEARCH("maintenance",$B84))+ISNUMBER(SEARCH("tire",$B84))+ISNUMBER(SEARCH("tyre",$B84))+ISNUMBER(SEARCH("battery",$B84))+ISNUMBER(SEARCH("oil",$B84))+ISNUMBER(SEARCH("filter",$B84))+ISNUMBER(SEARCH("spare",$B84))+ISNUMBER(SEARCH("insurance",$B84))+ISNUMBER(SEARCH("lto",$B84))+ISNUMBER(SEARCH("registration",$B84))+ISNUMBER(SEARCH("emission",$B84))+ISNUMBER(SEARCH("wash",$B84))+ISNUMBER(SEARCH("weigh",$B84))+ISNUMBER(SEARCH("tarp",$B84))&gt;0,"Vehicle",IF(ISNUMBER(SEARCH("rent",$B84))+ISNUMBER(SEARCH("upa",$B84))+ISNUMBER(SEARCH("salary",$B84))+ISNUMBER(SEARCH("sweldo",$B84))+ISNUMBER(SEARCH("wage",$B84))+ISNUMBER(SEARCH("electric",$B84))+ISNUMBER(SEARCH("kuryente",$B84))+ISNUMBER(SEARCH("water",$B84))+ISNUMBER(SEARCH("tubig",$B84))+ISNUMBER(SEARCH("internet",$B84))+ISNUMBER(SEARCH("pldt",$B84))+ISNUMBER(SEARCH("meralco",$B84))+ISNUMBER(SEARCH("supplies",$B84))+ISNUMBER(SEARCH("office",$B84))+ISNUMBER(SEARCH("professional",$B84))+ISNUMBER(SEARCH("accountant",$B84))+ISNUMBER(SEARCH("lawyer",$B84))+ISNUMBER(SEARCH("broker",$B84))+ISNUMBER(SEARCH("bank",$B84))+ISNUMBER(SEARCH("charge",$B84))+ISNUMBER(SEARCH("permit",$B84))+ISNUMBER(SEARCH("bir",$B84))+ISNUMBER(SEARCH("ltfrb",$B84))+ISNUMBER(SEARCH("misc",$B84))+ISNUMBER(SEARCH("fee",$B84))&gt;0,"Overhead","Overhead")))))))</f>
        <v/>
      </c>
      <c r="J84">
        <f>IF($A84="","",DATE(YEAR($A84),MONTH($A84),1))</f>
        <v/>
      </c>
      <c r="K84">
        <f>IF($B84="","",IF(COUNTIF(Setup!$A$99:$A$128,$B84)&gt;0,0,1))</f>
        <v/>
      </c>
      <c r="L84">
        <f>IF($B84="","",IF(ISNUMBER(SEARCH("advance",$B84)),"ADV",IF(OR(ISNUMBER(SEARCH("payout",$B84)),ISNUMBER(SEARCH("pay out",$B84)),ISNUMBER(SEARCH("release",$B84))),"PAY","")))</f>
        <v/>
      </c>
      <c r="M84">
        <f>IF($B84="","",IF(ISNUMBER(SEARCH("bulk",$B84)),0,IF(ISNUMBER(SEARCH("fuel",$B84))+ISNUMBER(SEARCH("diesel",$B84))+ISNUMBER(SEARCH("krudo",$B84))+ISNUMBER(SEARCH("gasolina",$B84))&gt;0,1,0)))</f>
        <v/>
      </c>
      <c r="N84">
        <f>IF($B84="","",IF(ISNUMBER(SEARCH("fuel",$B84))+ISNUMBER(SEARCH("diesel",$B84))+ISNUMBER(SEARCH("krudo",$B84))+ISNUMBER(SEARCH("gasolina",$B84))&gt;0,1,0))</f>
        <v/>
      </c>
    </row>
    <row r="85">
      <c r="A85" s="86" t="n"/>
      <c r="B85" s="88" t="n"/>
      <c r="C85" s="88" t="n"/>
      <c r="D85" s="87" t="n"/>
      <c r="E85" s="88" t="n"/>
      <c r="F85" s="92" t="n"/>
      <c r="G85" s="87" t="n"/>
      <c r="H85" s="87" t="n"/>
      <c r="I85" s="101">
        <f>IF($B85="","",IF(COUNTIF(Setup!$A$99:$A$128,$B85)&gt;0,IF(INDEX(Setup!$B$99:$B$128,MATCH($B85,Setup!$A$99:$A$128,0))="","Overhead",INDEX(Setup!$B$99:$B$128,MATCH($B85,Setup!$A$99:$A$128,0))),IF(ISNUMBER(SEARCH("advance",$B85))+ISNUMBER(SEARCH("payout",$B85))+ISNUMBER(SEARCH("pay out",$B85))+ISNUMBER(SEARCH("reimburs",$B85))&gt;0,"Transfer",IF(ISNUMBER(SEARCH("loan",$B85))+ISNUMBER(SEARCH("amort",$B85))+ISNUMBER(SEARCH("installment",$B85))+ISNUMBER(SEARCH("instalment",$B85))&gt;0,"Financing",IF(ISNUMBER(SEARCH("draw",$B85))+ISNUMBER(SEARCH("owner",$B85))+ISNUMBER(SEARCH("asset",$B85))+ISNUMBER(SEARCH("capital",$B85))&gt;0,"Other",IF(ISNUMBER(SEARCH("fuel",$B85))+ISNUMBER(SEARCH("diesel",$B85))+ISNUMBER(SEARCH("krudo",$B85))+ISNUMBER(SEARCH("gasolina",$B85))+ISNUMBER(SEARCH("toll",$B85))+ISNUMBER(SEARCH("parking",$B85))+ISNUMBER(SEARCH("repair",$B85))+ISNUMBER(SEARCH("maintenance",$B85))+ISNUMBER(SEARCH("tire",$B85))+ISNUMBER(SEARCH("tyre",$B85))+ISNUMBER(SEARCH("battery",$B85))+ISNUMBER(SEARCH("oil",$B85))+ISNUMBER(SEARCH("filter",$B85))+ISNUMBER(SEARCH("spare",$B85))+ISNUMBER(SEARCH("insurance",$B85))+ISNUMBER(SEARCH("lto",$B85))+ISNUMBER(SEARCH("registration",$B85))+ISNUMBER(SEARCH("emission",$B85))+ISNUMBER(SEARCH("wash",$B85))+ISNUMBER(SEARCH("weigh",$B85))+ISNUMBER(SEARCH("tarp",$B85))&gt;0,"Vehicle",IF(ISNUMBER(SEARCH("rent",$B85))+ISNUMBER(SEARCH("upa",$B85))+ISNUMBER(SEARCH("salary",$B85))+ISNUMBER(SEARCH("sweldo",$B85))+ISNUMBER(SEARCH("wage",$B85))+ISNUMBER(SEARCH("electric",$B85))+ISNUMBER(SEARCH("kuryente",$B85))+ISNUMBER(SEARCH("water",$B85))+ISNUMBER(SEARCH("tubig",$B85))+ISNUMBER(SEARCH("internet",$B85))+ISNUMBER(SEARCH("pldt",$B85))+ISNUMBER(SEARCH("meralco",$B85))+ISNUMBER(SEARCH("supplies",$B85))+ISNUMBER(SEARCH("office",$B85))+ISNUMBER(SEARCH("professional",$B85))+ISNUMBER(SEARCH("accountant",$B85))+ISNUMBER(SEARCH("lawyer",$B85))+ISNUMBER(SEARCH("broker",$B85))+ISNUMBER(SEARCH("bank",$B85))+ISNUMBER(SEARCH("charge",$B85))+ISNUMBER(SEARCH("permit",$B85))+ISNUMBER(SEARCH("bir",$B85))+ISNUMBER(SEARCH("ltfrb",$B85))+ISNUMBER(SEARCH("misc",$B85))+ISNUMBER(SEARCH("fee",$B85))&gt;0,"Overhead","Overhead")))))))</f>
        <v/>
      </c>
      <c r="J85">
        <f>IF($A85="","",DATE(YEAR($A85),MONTH($A85),1))</f>
        <v/>
      </c>
      <c r="K85">
        <f>IF($B85="","",IF(COUNTIF(Setup!$A$99:$A$128,$B85)&gt;0,0,1))</f>
        <v/>
      </c>
      <c r="L85">
        <f>IF($B85="","",IF(ISNUMBER(SEARCH("advance",$B85)),"ADV",IF(OR(ISNUMBER(SEARCH("payout",$B85)),ISNUMBER(SEARCH("pay out",$B85)),ISNUMBER(SEARCH("release",$B85))),"PAY","")))</f>
        <v/>
      </c>
      <c r="M85">
        <f>IF($B85="","",IF(ISNUMBER(SEARCH("bulk",$B85)),0,IF(ISNUMBER(SEARCH("fuel",$B85))+ISNUMBER(SEARCH("diesel",$B85))+ISNUMBER(SEARCH("krudo",$B85))+ISNUMBER(SEARCH("gasolina",$B85))&gt;0,1,0)))</f>
        <v/>
      </c>
      <c r="N85">
        <f>IF($B85="","",IF(ISNUMBER(SEARCH("fuel",$B85))+ISNUMBER(SEARCH("diesel",$B85))+ISNUMBER(SEARCH("krudo",$B85))+ISNUMBER(SEARCH("gasolina",$B85))&gt;0,1,0))</f>
        <v/>
      </c>
    </row>
    <row r="86">
      <c r="A86" s="94" t="n"/>
      <c r="B86" s="96" t="n"/>
      <c r="C86" s="96" t="n"/>
      <c r="D86" s="95" t="n"/>
      <c r="E86" s="96" t="n"/>
      <c r="F86" s="99" t="n"/>
      <c r="G86" s="95" t="n"/>
      <c r="H86" s="95" t="n"/>
      <c r="I86" s="101">
        <f>IF($B86="","",IF(COUNTIF(Setup!$A$99:$A$128,$B86)&gt;0,IF(INDEX(Setup!$B$99:$B$128,MATCH($B86,Setup!$A$99:$A$128,0))="","Overhead",INDEX(Setup!$B$99:$B$128,MATCH($B86,Setup!$A$99:$A$128,0))),IF(ISNUMBER(SEARCH("advance",$B86))+ISNUMBER(SEARCH("payout",$B86))+ISNUMBER(SEARCH("pay out",$B86))+ISNUMBER(SEARCH("reimburs",$B86))&gt;0,"Transfer",IF(ISNUMBER(SEARCH("loan",$B86))+ISNUMBER(SEARCH("amort",$B86))+ISNUMBER(SEARCH("installment",$B86))+ISNUMBER(SEARCH("instalment",$B86))&gt;0,"Financing",IF(ISNUMBER(SEARCH("draw",$B86))+ISNUMBER(SEARCH("owner",$B86))+ISNUMBER(SEARCH("asset",$B86))+ISNUMBER(SEARCH("capital",$B86))&gt;0,"Other",IF(ISNUMBER(SEARCH("fuel",$B86))+ISNUMBER(SEARCH("diesel",$B86))+ISNUMBER(SEARCH("krudo",$B86))+ISNUMBER(SEARCH("gasolina",$B86))+ISNUMBER(SEARCH("toll",$B86))+ISNUMBER(SEARCH("parking",$B86))+ISNUMBER(SEARCH("repair",$B86))+ISNUMBER(SEARCH("maintenance",$B86))+ISNUMBER(SEARCH("tire",$B86))+ISNUMBER(SEARCH("tyre",$B86))+ISNUMBER(SEARCH("battery",$B86))+ISNUMBER(SEARCH("oil",$B86))+ISNUMBER(SEARCH("filter",$B86))+ISNUMBER(SEARCH("spare",$B86))+ISNUMBER(SEARCH("insurance",$B86))+ISNUMBER(SEARCH("lto",$B86))+ISNUMBER(SEARCH("registration",$B86))+ISNUMBER(SEARCH("emission",$B86))+ISNUMBER(SEARCH("wash",$B86))+ISNUMBER(SEARCH("weigh",$B86))+ISNUMBER(SEARCH("tarp",$B86))&gt;0,"Vehicle",IF(ISNUMBER(SEARCH("rent",$B86))+ISNUMBER(SEARCH("upa",$B86))+ISNUMBER(SEARCH("salary",$B86))+ISNUMBER(SEARCH("sweldo",$B86))+ISNUMBER(SEARCH("wage",$B86))+ISNUMBER(SEARCH("electric",$B86))+ISNUMBER(SEARCH("kuryente",$B86))+ISNUMBER(SEARCH("water",$B86))+ISNUMBER(SEARCH("tubig",$B86))+ISNUMBER(SEARCH("internet",$B86))+ISNUMBER(SEARCH("pldt",$B86))+ISNUMBER(SEARCH("meralco",$B86))+ISNUMBER(SEARCH("supplies",$B86))+ISNUMBER(SEARCH("office",$B86))+ISNUMBER(SEARCH("professional",$B86))+ISNUMBER(SEARCH("accountant",$B86))+ISNUMBER(SEARCH("lawyer",$B86))+ISNUMBER(SEARCH("broker",$B86))+ISNUMBER(SEARCH("bank",$B86))+ISNUMBER(SEARCH("charge",$B86))+ISNUMBER(SEARCH("permit",$B86))+ISNUMBER(SEARCH("bir",$B86))+ISNUMBER(SEARCH("ltfrb",$B86))+ISNUMBER(SEARCH("misc",$B86))+ISNUMBER(SEARCH("fee",$B86))&gt;0,"Overhead","Overhead")))))))</f>
        <v/>
      </c>
      <c r="J86">
        <f>IF($A86="","",DATE(YEAR($A86),MONTH($A86),1))</f>
        <v/>
      </c>
      <c r="K86">
        <f>IF($B86="","",IF(COUNTIF(Setup!$A$99:$A$128,$B86)&gt;0,0,1))</f>
        <v/>
      </c>
      <c r="L86">
        <f>IF($B86="","",IF(ISNUMBER(SEARCH("advance",$B86)),"ADV",IF(OR(ISNUMBER(SEARCH("payout",$B86)),ISNUMBER(SEARCH("pay out",$B86)),ISNUMBER(SEARCH("release",$B86))),"PAY","")))</f>
        <v/>
      </c>
      <c r="M86">
        <f>IF($B86="","",IF(ISNUMBER(SEARCH("bulk",$B86)),0,IF(ISNUMBER(SEARCH("fuel",$B86))+ISNUMBER(SEARCH("diesel",$B86))+ISNUMBER(SEARCH("krudo",$B86))+ISNUMBER(SEARCH("gasolina",$B86))&gt;0,1,0)))</f>
        <v/>
      </c>
      <c r="N86">
        <f>IF($B86="","",IF(ISNUMBER(SEARCH("fuel",$B86))+ISNUMBER(SEARCH("diesel",$B86))+ISNUMBER(SEARCH("krudo",$B86))+ISNUMBER(SEARCH("gasolina",$B86))&gt;0,1,0))</f>
        <v/>
      </c>
    </row>
    <row r="87">
      <c r="A87" s="86" t="n"/>
      <c r="B87" s="88" t="n"/>
      <c r="C87" s="88" t="n"/>
      <c r="D87" s="87" t="n"/>
      <c r="E87" s="88" t="n"/>
      <c r="F87" s="92" t="n"/>
      <c r="G87" s="87" t="n"/>
      <c r="H87" s="87" t="n"/>
      <c r="I87" s="101">
        <f>IF($B87="","",IF(COUNTIF(Setup!$A$99:$A$128,$B87)&gt;0,IF(INDEX(Setup!$B$99:$B$128,MATCH($B87,Setup!$A$99:$A$128,0))="","Overhead",INDEX(Setup!$B$99:$B$128,MATCH($B87,Setup!$A$99:$A$128,0))),IF(ISNUMBER(SEARCH("advance",$B87))+ISNUMBER(SEARCH("payout",$B87))+ISNUMBER(SEARCH("pay out",$B87))+ISNUMBER(SEARCH("reimburs",$B87))&gt;0,"Transfer",IF(ISNUMBER(SEARCH("loan",$B87))+ISNUMBER(SEARCH("amort",$B87))+ISNUMBER(SEARCH("installment",$B87))+ISNUMBER(SEARCH("instalment",$B87))&gt;0,"Financing",IF(ISNUMBER(SEARCH("draw",$B87))+ISNUMBER(SEARCH("owner",$B87))+ISNUMBER(SEARCH("asset",$B87))+ISNUMBER(SEARCH("capital",$B87))&gt;0,"Other",IF(ISNUMBER(SEARCH("fuel",$B87))+ISNUMBER(SEARCH("diesel",$B87))+ISNUMBER(SEARCH("krudo",$B87))+ISNUMBER(SEARCH("gasolina",$B87))+ISNUMBER(SEARCH("toll",$B87))+ISNUMBER(SEARCH("parking",$B87))+ISNUMBER(SEARCH("repair",$B87))+ISNUMBER(SEARCH("maintenance",$B87))+ISNUMBER(SEARCH("tire",$B87))+ISNUMBER(SEARCH("tyre",$B87))+ISNUMBER(SEARCH("battery",$B87))+ISNUMBER(SEARCH("oil",$B87))+ISNUMBER(SEARCH("filter",$B87))+ISNUMBER(SEARCH("spare",$B87))+ISNUMBER(SEARCH("insurance",$B87))+ISNUMBER(SEARCH("lto",$B87))+ISNUMBER(SEARCH("registration",$B87))+ISNUMBER(SEARCH("emission",$B87))+ISNUMBER(SEARCH("wash",$B87))+ISNUMBER(SEARCH("weigh",$B87))+ISNUMBER(SEARCH("tarp",$B87))&gt;0,"Vehicle",IF(ISNUMBER(SEARCH("rent",$B87))+ISNUMBER(SEARCH("upa",$B87))+ISNUMBER(SEARCH("salary",$B87))+ISNUMBER(SEARCH("sweldo",$B87))+ISNUMBER(SEARCH("wage",$B87))+ISNUMBER(SEARCH("electric",$B87))+ISNUMBER(SEARCH("kuryente",$B87))+ISNUMBER(SEARCH("water",$B87))+ISNUMBER(SEARCH("tubig",$B87))+ISNUMBER(SEARCH("internet",$B87))+ISNUMBER(SEARCH("pldt",$B87))+ISNUMBER(SEARCH("meralco",$B87))+ISNUMBER(SEARCH("supplies",$B87))+ISNUMBER(SEARCH("office",$B87))+ISNUMBER(SEARCH("professional",$B87))+ISNUMBER(SEARCH("accountant",$B87))+ISNUMBER(SEARCH("lawyer",$B87))+ISNUMBER(SEARCH("broker",$B87))+ISNUMBER(SEARCH("bank",$B87))+ISNUMBER(SEARCH("charge",$B87))+ISNUMBER(SEARCH("permit",$B87))+ISNUMBER(SEARCH("bir",$B87))+ISNUMBER(SEARCH("ltfrb",$B87))+ISNUMBER(SEARCH("misc",$B87))+ISNUMBER(SEARCH("fee",$B87))&gt;0,"Overhead","Overhead")))))))</f>
        <v/>
      </c>
      <c r="J87">
        <f>IF($A87="","",DATE(YEAR($A87),MONTH($A87),1))</f>
        <v/>
      </c>
      <c r="K87">
        <f>IF($B87="","",IF(COUNTIF(Setup!$A$99:$A$128,$B87)&gt;0,0,1))</f>
        <v/>
      </c>
      <c r="L87">
        <f>IF($B87="","",IF(ISNUMBER(SEARCH("advance",$B87)),"ADV",IF(OR(ISNUMBER(SEARCH("payout",$B87)),ISNUMBER(SEARCH("pay out",$B87)),ISNUMBER(SEARCH("release",$B87))),"PAY","")))</f>
        <v/>
      </c>
      <c r="M87">
        <f>IF($B87="","",IF(ISNUMBER(SEARCH("bulk",$B87)),0,IF(ISNUMBER(SEARCH("fuel",$B87))+ISNUMBER(SEARCH("diesel",$B87))+ISNUMBER(SEARCH("krudo",$B87))+ISNUMBER(SEARCH("gasolina",$B87))&gt;0,1,0)))</f>
        <v/>
      </c>
      <c r="N87">
        <f>IF($B87="","",IF(ISNUMBER(SEARCH("fuel",$B87))+ISNUMBER(SEARCH("diesel",$B87))+ISNUMBER(SEARCH("krudo",$B87))+ISNUMBER(SEARCH("gasolina",$B87))&gt;0,1,0))</f>
        <v/>
      </c>
    </row>
    <row r="88">
      <c r="A88" s="94" t="n"/>
      <c r="B88" s="96" t="n"/>
      <c r="C88" s="96" t="n"/>
      <c r="D88" s="95" t="n"/>
      <c r="E88" s="96" t="n"/>
      <c r="F88" s="99" t="n"/>
      <c r="G88" s="95" t="n"/>
      <c r="H88" s="95" t="n"/>
      <c r="I88" s="101">
        <f>IF($B88="","",IF(COUNTIF(Setup!$A$99:$A$128,$B88)&gt;0,IF(INDEX(Setup!$B$99:$B$128,MATCH($B88,Setup!$A$99:$A$128,0))="","Overhead",INDEX(Setup!$B$99:$B$128,MATCH($B88,Setup!$A$99:$A$128,0))),IF(ISNUMBER(SEARCH("advance",$B88))+ISNUMBER(SEARCH("payout",$B88))+ISNUMBER(SEARCH("pay out",$B88))+ISNUMBER(SEARCH("reimburs",$B88))&gt;0,"Transfer",IF(ISNUMBER(SEARCH("loan",$B88))+ISNUMBER(SEARCH("amort",$B88))+ISNUMBER(SEARCH("installment",$B88))+ISNUMBER(SEARCH("instalment",$B88))&gt;0,"Financing",IF(ISNUMBER(SEARCH("draw",$B88))+ISNUMBER(SEARCH("owner",$B88))+ISNUMBER(SEARCH("asset",$B88))+ISNUMBER(SEARCH("capital",$B88))&gt;0,"Other",IF(ISNUMBER(SEARCH("fuel",$B88))+ISNUMBER(SEARCH("diesel",$B88))+ISNUMBER(SEARCH("krudo",$B88))+ISNUMBER(SEARCH("gasolina",$B88))+ISNUMBER(SEARCH("toll",$B88))+ISNUMBER(SEARCH("parking",$B88))+ISNUMBER(SEARCH("repair",$B88))+ISNUMBER(SEARCH("maintenance",$B88))+ISNUMBER(SEARCH("tire",$B88))+ISNUMBER(SEARCH("tyre",$B88))+ISNUMBER(SEARCH("battery",$B88))+ISNUMBER(SEARCH("oil",$B88))+ISNUMBER(SEARCH("filter",$B88))+ISNUMBER(SEARCH("spare",$B88))+ISNUMBER(SEARCH("insurance",$B88))+ISNUMBER(SEARCH("lto",$B88))+ISNUMBER(SEARCH("registration",$B88))+ISNUMBER(SEARCH("emission",$B88))+ISNUMBER(SEARCH("wash",$B88))+ISNUMBER(SEARCH("weigh",$B88))+ISNUMBER(SEARCH("tarp",$B88))&gt;0,"Vehicle",IF(ISNUMBER(SEARCH("rent",$B88))+ISNUMBER(SEARCH("upa",$B88))+ISNUMBER(SEARCH("salary",$B88))+ISNUMBER(SEARCH("sweldo",$B88))+ISNUMBER(SEARCH("wage",$B88))+ISNUMBER(SEARCH("electric",$B88))+ISNUMBER(SEARCH("kuryente",$B88))+ISNUMBER(SEARCH("water",$B88))+ISNUMBER(SEARCH("tubig",$B88))+ISNUMBER(SEARCH("internet",$B88))+ISNUMBER(SEARCH("pldt",$B88))+ISNUMBER(SEARCH("meralco",$B88))+ISNUMBER(SEARCH("supplies",$B88))+ISNUMBER(SEARCH("office",$B88))+ISNUMBER(SEARCH("professional",$B88))+ISNUMBER(SEARCH("accountant",$B88))+ISNUMBER(SEARCH("lawyer",$B88))+ISNUMBER(SEARCH("broker",$B88))+ISNUMBER(SEARCH("bank",$B88))+ISNUMBER(SEARCH("charge",$B88))+ISNUMBER(SEARCH("permit",$B88))+ISNUMBER(SEARCH("bir",$B88))+ISNUMBER(SEARCH("ltfrb",$B88))+ISNUMBER(SEARCH("misc",$B88))+ISNUMBER(SEARCH("fee",$B88))&gt;0,"Overhead","Overhead")))))))</f>
        <v/>
      </c>
      <c r="J88">
        <f>IF($A88="","",DATE(YEAR($A88),MONTH($A88),1))</f>
        <v/>
      </c>
      <c r="K88">
        <f>IF($B88="","",IF(COUNTIF(Setup!$A$99:$A$128,$B88)&gt;0,0,1))</f>
        <v/>
      </c>
      <c r="L88">
        <f>IF($B88="","",IF(ISNUMBER(SEARCH("advance",$B88)),"ADV",IF(OR(ISNUMBER(SEARCH("payout",$B88)),ISNUMBER(SEARCH("pay out",$B88)),ISNUMBER(SEARCH("release",$B88))),"PAY","")))</f>
        <v/>
      </c>
      <c r="M88">
        <f>IF($B88="","",IF(ISNUMBER(SEARCH("bulk",$B88)),0,IF(ISNUMBER(SEARCH("fuel",$B88))+ISNUMBER(SEARCH("diesel",$B88))+ISNUMBER(SEARCH("krudo",$B88))+ISNUMBER(SEARCH("gasolina",$B88))&gt;0,1,0)))</f>
        <v/>
      </c>
      <c r="N88">
        <f>IF($B88="","",IF(ISNUMBER(SEARCH("fuel",$B88))+ISNUMBER(SEARCH("diesel",$B88))+ISNUMBER(SEARCH("krudo",$B88))+ISNUMBER(SEARCH("gasolina",$B88))&gt;0,1,0))</f>
        <v/>
      </c>
    </row>
    <row r="89">
      <c r="A89" s="86" t="n"/>
      <c r="B89" s="88" t="n"/>
      <c r="C89" s="88" t="n"/>
      <c r="D89" s="87" t="n"/>
      <c r="E89" s="88" t="n"/>
      <c r="F89" s="92" t="n"/>
      <c r="G89" s="87" t="n"/>
      <c r="H89" s="87" t="n"/>
      <c r="I89" s="101">
        <f>IF($B89="","",IF(COUNTIF(Setup!$A$99:$A$128,$B89)&gt;0,IF(INDEX(Setup!$B$99:$B$128,MATCH($B89,Setup!$A$99:$A$128,0))="","Overhead",INDEX(Setup!$B$99:$B$128,MATCH($B89,Setup!$A$99:$A$128,0))),IF(ISNUMBER(SEARCH("advance",$B89))+ISNUMBER(SEARCH("payout",$B89))+ISNUMBER(SEARCH("pay out",$B89))+ISNUMBER(SEARCH("reimburs",$B89))&gt;0,"Transfer",IF(ISNUMBER(SEARCH("loan",$B89))+ISNUMBER(SEARCH("amort",$B89))+ISNUMBER(SEARCH("installment",$B89))+ISNUMBER(SEARCH("instalment",$B89))&gt;0,"Financing",IF(ISNUMBER(SEARCH("draw",$B89))+ISNUMBER(SEARCH("owner",$B89))+ISNUMBER(SEARCH("asset",$B89))+ISNUMBER(SEARCH("capital",$B89))&gt;0,"Other",IF(ISNUMBER(SEARCH("fuel",$B89))+ISNUMBER(SEARCH("diesel",$B89))+ISNUMBER(SEARCH("krudo",$B89))+ISNUMBER(SEARCH("gasolina",$B89))+ISNUMBER(SEARCH("toll",$B89))+ISNUMBER(SEARCH("parking",$B89))+ISNUMBER(SEARCH("repair",$B89))+ISNUMBER(SEARCH("maintenance",$B89))+ISNUMBER(SEARCH("tire",$B89))+ISNUMBER(SEARCH("tyre",$B89))+ISNUMBER(SEARCH("battery",$B89))+ISNUMBER(SEARCH("oil",$B89))+ISNUMBER(SEARCH("filter",$B89))+ISNUMBER(SEARCH("spare",$B89))+ISNUMBER(SEARCH("insurance",$B89))+ISNUMBER(SEARCH("lto",$B89))+ISNUMBER(SEARCH("registration",$B89))+ISNUMBER(SEARCH("emission",$B89))+ISNUMBER(SEARCH("wash",$B89))+ISNUMBER(SEARCH("weigh",$B89))+ISNUMBER(SEARCH("tarp",$B89))&gt;0,"Vehicle",IF(ISNUMBER(SEARCH("rent",$B89))+ISNUMBER(SEARCH("upa",$B89))+ISNUMBER(SEARCH("salary",$B89))+ISNUMBER(SEARCH("sweldo",$B89))+ISNUMBER(SEARCH("wage",$B89))+ISNUMBER(SEARCH("electric",$B89))+ISNUMBER(SEARCH("kuryente",$B89))+ISNUMBER(SEARCH("water",$B89))+ISNUMBER(SEARCH("tubig",$B89))+ISNUMBER(SEARCH("internet",$B89))+ISNUMBER(SEARCH("pldt",$B89))+ISNUMBER(SEARCH("meralco",$B89))+ISNUMBER(SEARCH("supplies",$B89))+ISNUMBER(SEARCH("office",$B89))+ISNUMBER(SEARCH("professional",$B89))+ISNUMBER(SEARCH("accountant",$B89))+ISNUMBER(SEARCH("lawyer",$B89))+ISNUMBER(SEARCH("broker",$B89))+ISNUMBER(SEARCH("bank",$B89))+ISNUMBER(SEARCH("charge",$B89))+ISNUMBER(SEARCH("permit",$B89))+ISNUMBER(SEARCH("bir",$B89))+ISNUMBER(SEARCH("ltfrb",$B89))+ISNUMBER(SEARCH("misc",$B89))+ISNUMBER(SEARCH("fee",$B89))&gt;0,"Overhead","Overhead")))))))</f>
        <v/>
      </c>
      <c r="J89">
        <f>IF($A89="","",DATE(YEAR($A89),MONTH($A89),1))</f>
        <v/>
      </c>
      <c r="K89">
        <f>IF($B89="","",IF(COUNTIF(Setup!$A$99:$A$128,$B89)&gt;0,0,1))</f>
        <v/>
      </c>
      <c r="L89">
        <f>IF($B89="","",IF(ISNUMBER(SEARCH("advance",$B89)),"ADV",IF(OR(ISNUMBER(SEARCH("payout",$B89)),ISNUMBER(SEARCH("pay out",$B89)),ISNUMBER(SEARCH("release",$B89))),"PAY","")))</f>
        <v/>
      </c>
      <c r="M89">
        <f>IF($B89="","",IF(ISNUMBER(SEARCH("bulk",$B89)),0,IF(ISNUMBER(SEARCH("fuel",$B89))+ISNUMBER(SEARCH("diesel",$B89))+ISNUMBER(SEARCH("krudo",$B89))+ISNUMBER(SEARCH("gasolina",$B89))&gt;0,1,0)))</f>
        <v/>
      </c>
      <c r="N89">
        <f>IF($B89="","",IF(ISNUMBER(SEARCH("fuel",$B89))+ISNUMBER(SEARCH("diesel",$B89))+ISNUMBER(SEARCH("krudo",$B89))+ISNUMBER(SEARCH("gasolina",$B89))&gt;0,1,0))</f>
        <v/>
      </c>
    </row>
    <row r="90">
      <c r="A90" s="94" t="n"/>
      <c r="B90" s="96" t="n"/>
      <c r="C90" s="96" t="n"/>
      <c r="D90" s="95" t="n"/>
      <c r="E90" s="96" t="n"/>
      <c r="F90" s="99" t="n"/>
      <c r="G90" s="95" t="n"/>
      <c r="H90" s="95" t="n"/>
      <c r="I90" s="101">
        <f>IF($B90="","",IF(COUNTIF(Setup!$A$99:$A$128,$B90)&gt;0,IF(INDEX(Setup!$B$99:$B$128,MATCH($B90,Setup!$A$99:$A$128,0))="","Overhead",INDEX(Setup!$B$99:$B$128,MATCH($B90,Setup!$A$99:$A$128,0))),IF(ISNUMBER(SEARCH("advance",$B90))+ISNUMBER(SEARCH("payout",$B90))+ISNUMBER(SEARCH("pay out",$B90))+ISNUMBER(SEARCH("reimburs",$B90))&gt;0,"Transfer",IF(ISNUMBER(SEARCH("loan",$B90))+ISNUMBER(SEARCH("amort",$B90))+ISNUMBER(SEARCH("installment",$B90))+ISNUMBER(SEARCH("instalment",$B90))&gt;0,"Financing",IF(ISNUMBER(SEARCH("draw",$B90))+ISNUMBER(SEARCH("owner",$B90))+ISNUMBER(SEARCH("asset",$B90))+ISNUMBER(SEARCH("capital",$B90))&gt;0,"Other",IF(ISNUMBER(SEARCH("fuel",$B90))+ISNUMBER(SEARCH("diesel",$B90))+ISNUMBER(SEARCH("krudo",$B90))+ISNUMBER(SEARCH("gasolina",$B90))+ISNUMBER(SEARCH("toll",$B90))+ISNUMBER(SEARCH("parking",$B90))+ISNUMBER(SEARCH("repair",$B90))+ISNUMBER(SEARCH("maintenance",$B90))+ISNUMBER(SEARCH("tire",$B90))+ISNUMBER(SEARCH("tyre",$B90))+ISNUMBER(SEARCH("battery",$B90))+ISNUMBER(SEARCH("oil",$B90))+ISNUMBER(SEARCH("filter",$B90))+ISNUMBER(SEARCH("spare",$B90))+ISNUMBER(SEARCH("insurance",$B90))+ISNUMBER(SEARCH("lto",$B90))+ISNUMBER(SEARCH("registration",$B90))+ISNUMBER(SEARCH("emission",$B90))+ISNUMBER(SEARCH("wash",$B90))+ISNUMBER(SEARCH("weigh",$B90))+ISNUMBER(SEARCH("tarp",$B90))&gt;0,"Vehicle",IF(ISNUMBER(SEARCH("rent",$B90))+ISNUMBER(SEARCH("upa",$B90))+ISNUMBER(SEARCH("salary",$B90))+ISNUMBER(SEARCH("sweldo",$B90))+ISNUMBER(SEARCH("wage",$B90))+ISNUMBER(SEARCH("electric",$B90))+ISNUMBER(SEARCH("kuryente",$B90))+ISNUMBER(SEARCH("water",$B90))+ISNUMBER(SEARCH("tubig",$B90))+ISNUMBER(SEARCH("internet",$B90))+ISNUMBER(SEARCH("pldt",$B90))+ISNUMBER(SEARCH("meralco",$B90))+ISNUMBER(SEARCH("supplies",$B90))+ISNUMBER(SEARCH("office",$B90))+ISNUMBER(SEARCH("professional",$B90))+ISNUMBER(SEARCH("accountant",$B90))+ISNUMBER(SEARCH("lawyer",$B90))+ISNUMBER(SEARCH("broker",$B90))+ISNUMBER(SEARCH("bank",$B90))+ISNUMBER(SEARCH("charge",$B90))+ISNUMBER(SEARCH("permit",$B90))+ISNUMBER(SEARCH("bir",$B90))+ISNUMBER(SEARCH("ltfrb",$B90))+ISNUMBER(SEARCH("misc",$B90))+ISNUMBER(SEARCH("fee",$B90))&gt;0,"Overhead","Overhead")))))))</f>
        <v/>
      </c>
      <c r="J90">
        <f>IF($A90="","",DATE(YEAR($A90),MONTH($A90),1))</f>
        <v/>
      </c>
      <c r="K90">
        <f>IF($B90="","",IF(COUNTIF(Setup!$A$99:$A$128,$B90)&gt;0,0,1))</f>
        <v/>
      </c>
      <c r="L90">
        <f>IF($B90="","",IF(ISNUMBER(SEARCH("advance",$B90)),"ADV",IF(OR(ISNUMBER(SEARCH("payout",$B90)),ISNUMBER(SEARCH("pay out",$B90)),ISNUMBER(SEARCH("release",$B90))),"PAY","")))</f>
        <v/>
      </c>
      <c r="M90">
        <f>IF($B90="","",IF(ISNUMBER(SEARCH("bulk",$B90)),0,IF(ISNUMBER(SEARCH("fuel",$B90))+ISNUMBER(SEARCH("diesel",$B90))+ISNUMBER(SEARCH("krudo",$B90))+ISNUMBER(SEARCH("gasolina",$B90))&gt;0,1,0)))</f>
        <v/>
      </c>
      <c r="N90">
        <f>IF($B90="","",IF(ISNUMBER(SEARCH("fuel",$B90))+ISNUMBER(SEARCH("diesel",$B90))+ISNUMBER(SEARCH("krudo",$B90))+ISNUMBER(SEARCH("gasolina",$B90))&gt;0,1,0))</f>
        <v/>
      </c>
    </row>
    <row r="91">
      <c r="A91" s="86" t="n"/>
      <c r="B91" s="88" t="n"/>
      <c r="C91" s="88" t="n"/>
      <c r="D91" s="87" t="n"/>
      <c r="E91" s="88" t="n"/>
      <c r="F91" s="92" t="n"/>
      <c r="G91" s="87" t="n"/>
      <c r="H91" s="87" t="n"/>
      <c r="I91" s="101">
        <f>IF($B91="","",IF(COUNTIF(Setup!$A$99:$A$128,$B91)&gt;0,IF(INDEX(Setup!$B$99:$B$128,MATCH($B91,Setup!$A$99:$A$128,0))="","Overhead",INDEX(Setup!$B$99:$B$128,MATCH($B91,Setup!$A$99:$A$128,0))),IF(ISNUMBER(SEARCH("advance",$B91))+ISNUMBER(SEARCH("payout",$B91))+ISNUMBER(SEARCH("pay out",$B91))+ISNUMBER(SEARCH("reimburs",$B91))&gt;0,"Transfer",IF(ISNUMBER(SEARCH("loan",$B91))+ISNUMBER(SEARCH("amort",$B91))+ISNUMBER(SEARCH("installment",$B91))+ISNUMBER(SEARCH("instalment",$B91))&gt;0,"Financing",IF(ISNUMBER(SEARCH("draw",$B91))+ISNUMBER(SEARCH("owner",$B91))+ISNUMBER(SEARCH("asset",$B91))+ISNUMBER(SEARCH("capital",$B91))&gt;0,"Other",IF(ISNUMBER(SEARCH("fuel",$B91))+ISNUMBER(SEARCH("diesel",$B91))+ISNUMBER(SEARCH("krudo",$B91))+ISNUMBER(SEARCH("gasolina",$B91))+ISNUMBER(SEARCH("toll",$B91))+ISNUMBER(SEARCH("parking",$B91))+ISNUMBER(SEARCH("repair",$B91))+ISNUMBER(SEARCH("maintenance",$B91))+ISNUMBER(SEARCH("tire",$B91))+ISNUMBER(SEARCH("tyre",$B91))+ISNUMBER(SEARCH("battery",$B91))+ISNUMBER(SEARCH("oil",$B91))+ISNUMBER(SEARCH("filter",$B91))+ISNUMBER(SEARCH("spare",$B91))+ISNUMBER(SEARCH("insurance",$B91))+ISNUMBER(SEARCH("lto",$B91))+ISNUMBER(SEARCH("registration",$B91))+ISNUMBER(SEARCH("emission",$B91))+ISNUMBER(SEARCH("wash",$B91))+ISNUMBER(SEARCH("weigh",$B91))+ISNUMBER(SEARCH("tarp",$B91))&gt;0,"Vehicle",IF(ISNUMBER(SEARCH("rent",$B91))+ISNUMBER(SEARCH("upa",$B91))+ISNUMBER(SEARCH("salary",$B91))+ISNUMBER(SEARCH("sweldo",$B91))+ISNUMBER(SEARCH("wage",$B91))+ISNUMBER(SEARCH("electric",$B91))+ISNUMBER(SEARCH("kuryente",$B91))+ISNUMBER(SEARCH("water",$B91))+ISNUMBER(SEARCH("tubig",$B91))+ISNUMBER(SEARCH("internet",$B91))+ISNUMBER(SEARCH("pldt",$B91))+ISNUMBER(SEARCH("meralco",$B91))+ISNUMBER(SEARCH("supplies",$B91))+ISNUMBER(SEARCH("office",$B91))+ISNUMBER(SEARCH("professional",$B91))+ISNUMBER(SEARCH("accountant",$B91))+ISNUMBER(SEARCH("lawyer",$B91))+ISNUMBER(SEARCH("broker",$B91))+ISNUMBER(SEARCH("bank",$B91))+ISNUMBER(SEARCH("charge",$B91))+ISNUMBER(SEARCH("permit",$B91))+ISNUMBER(SEARCH("bir",$B91))+ISNUMBER(SEARCH("ltfrb",$B91))+ISNUMBER(SEARCH("misc",$B91))+ISNUMBER(SEARCH("fee",$B91))&gt;0,"Overhead","Overhead")))))))</f>
        <v/>
      </c>
      <c r="J91">
        <f>IF($A91="","",DATE(YEAR($A91),MONTH($A91),1))</f>
        <v/>
      </c>
      <c r="K91">
        <f>IF($B91="","",IF(COUNTIF(Setup!$A$99:$A$128,$B91)&gt;0,0,1))</f>
        <v/>
      </c>
      <c r="L91">
        <f>IF($B91="","",IF(ISNUMBER(SEARCH("advance",$B91)),"ADV",IF(OR(ISNUMBER(SEARCH("payout",$B91)),ISNUMBER(SEARCH("pay out",$B91)),ISNUMBER(SEARCH("release",$B91))),"PAY","")))</f>
        <v/>
      </c>
      <c r="M91">
        <f>IF($B91="","",IF(ISNUMBER(SEARCH("bulk",$B91)),0,IF(ISNUMBER(SEARCH("fuel",$B91))+ISNUMBER(SEARCH("diesel",$B91))+ISNUMBER(SEARCH("krudo",$B91))+ISNUMBER(SEARCH("gasolina",$B91))&gt;0,1,0)))</f>
        <v/>
      </c>
      <c r="N91">
        <f>IF($B91="","",IF(ISNUMBER(SEARCH("fuel",$B91))+ISNUMBER(SEARCH("diesel",$B91))+ISNUMBER(SEARCH("krudo",$B91))+ISNUMBER(SEARCH("gasolina",$B91))&gt;0,1,0))</f>
        <v/>
      </c>
    </row>
    <row r="92">
      <c r="A92" s="94" t="n"/>
      <c r="B92" s="96" t="n"/>
      <c r="C92" s="96" t="n"/>
      <c r="D92" s="95" t="n"/>
      <c r="E92" s="96" t="n"/>
      <c r="F92" s="99" t="n"/>
      <c r="G92" s="95" t="n"/>
      <c r="H92" s="95" t="n"/>
      <c r="I92" s="101">
        <f>IF($B92="","",IF(COUNTIF(Setup!$A$99:$A$128,$B92)&gt;0,IF(INDEX(Setup!$B$99:$B$128,MATCH($B92,Setup!$A$99:$A$128,0))="","Overhead",INDEX(Setup!$B$99:$B$128,MATCH($B92,Setup!$A$99:$A$128,0))),IF(ISNUMBER(SEARCH("advance",$B92))+ISNUMBER(SEARCH("payout",$B92))+ISNUMBER(SEARCH("pay out",$B92))+ISNUMBER(SEARCH("reimburs",$B92))&gt;0,"Transfer",IF(ISNUMBER(SEARCH("loan",$B92))+ISNUMBER(SEARCH("amort",$B92))+ISNUMBER(SEARCH("installment",$B92))+ISNUMBER(SEARCH("instalment",$B92))&gt;0,"Financing",IF(ISNUMBER(SEARCH("draw",$B92))+ISNUMBER(SEARCH("owner",$B92))+ISNUMBER(SEARCH("asset",$B92))+ISNUMBER(SEARCH("capital",$B92))&gt;0,"Other",IF(ISNUMBER(SEARCH("fuel",$B92))+ISNUMBER(SEARCH("diesel",$B92))+ISNUMBER(SEARCH("krudo",$B92))+ISNUMBER(SEARCH("gasolina",$B92))+ISNUMBER(SEARCH("toll",$B92))+ISNUMBER(SEARCH("parking",$B92))+ISNUMBER(SEARCH("repair",$B92))+ISNUMBER(SEARCH("maintenance",$B92))+ISNUMBER(SEARCH("tire",$B92))+ISNUMBER(SEARCH("tyre",$B92))+ISNUMBER(SEARCH("battery",$B92))+ISNUMBER(SEARCH("oil",$B92))+ISNUMBER(SEARCH("filter",$B92))+ISNUMBER(SEARCH("spare",$B92))+ISNUMBER(SEARCH("insurance",$B92))+ISNUMBER(SEARCH("lto",$B92))+ISNUMBER(SEARCH("registration",$B92))+ISNUMBER(SEARCH("emission",$B92))+ISNUMBER(SEARCH("wash",$B92))+ISNUMBER(SEARCH("weigh",$B92))+ISNUMBER(SEARCH("tarp",$B92))&gt;0,"Vehicle",IF(ISNUMBER(SEARCH("rent",$B92))+ISNUMBER(SEARCH("upa",$B92))+ISNUMBER(SEARCH("salary",$B92))+ISNUMBER(SEARCH("sweldo",$B92))+ISNUMBER(SEARCH("wage",$B92))+ISNUMBER(SEARCH("electric",$B92))+ISNUMBER(SEARCH("kuryente",$B92))+ISNUMBER(SEARCH("water",$B92))+ISNUMBER(SEARCH("tubig",$B92))+ISNUMBER(SEARCH("internet",$B92))+ISNUMBER(SEARCH("pldt",$B92))+ISNUMBER(SEARCH("meralco",$B92))+ISNUMBER(SEARCH("supplies",$B92))+ISNUMBER(SEARCH("office",$B92))+ISNUMBER(SEARCH("professional",$B92))+ISNUMBER(SEARCH("accountant",$B92))+ISNUMBER(SEARCH("lawyer",$B92))+ISNUMBER(SEARCH("broker",$B92))+ISNUMBER(SEARCH("bank",$B92))+ISNUMBER(SEARCH("charge",$B92))+ISNUMBER(SEARCH("permit",$B92))+ISNUMBER(SEARCH("bir",$B92))+ISNUMBER(SEARCH("ltfrb",$B92))+ISNUMBER(SEARCH("misc",$B92))+ISNUMBER(SEARCH("fee",$B92))&gt;0,"Overhead","Overhead")))))))</f>
        <v/>
      </c>
      <c r="J92">
        <f>IF($A92="","",DATE(YEAR($A92),MONTH($A92),1))</f>
        <v/>
      </c>
      <c r="K92">
        <f>IF($B92="","",IF(COUNTIF(Setup!$A$99:$A$128,$B92)&gt;0,0,1))</f>
        <v/>
      </c>
      <c r="L92">
        <f>IF($B92="","",IF(ISNUMBER(SEARCH("advance",$B92)),"ADV",IF(OR(ISNUMBER(SEARCH("payout",$B92)),ISNUMBER(SEARCH("pay out",$B92)),ISNUMBER(SEARCH("release",$B92))),"PAY","")))</f>
        <v/>
      </c>
      <c r="M92">
        <f>IF($B92="","",IF(ISNUMBER(SEARCH("bulk",$B92)),0,IF(ISNUMBER(SEARCH("fuel",$B92))+ISNUMBER(SEARCH("diesel",$B92))+ISNUMBER(SEARCH("krudo",$B92))+ISNUMBER(SEARCH("gasolina",$B92))&gt;0,1,0)))</f>
        <v/>
      </c>
      <c r="N92">
        <f>IF($B92="","",IF(ISNUMBER(SEARCH("fuel",$B92))+ISNUMBER(SEARCH("diesel",$B92))+ISNUMBER(SEARCH("krudo",$B92))+ISNUMBER(SEARCH("gasolina",$B92))&gt;0,1,0))</f>
        <v/>
      </c>
    </row>
    <row r="93">
      <c r="A93" s="86" t="n"/>
      <c r="B93" s="88" t="n"/>
      <c r="C93" s="88" t="n"/>
      <c r="D93" s="87" t="n"/>
      <c r="E93" s="88" t="n"/>
      <c r="F93" s="92" t="n"/>
      <c r="G93" s="87" t="n"/>
      <c r="H93" s="87" t="n"/>
      <c r="I93" s="101">
        <f>IF($B93="","",IF(COUNTIF(Setup!$A$99:$A$128,$B93)&gt;0,IF(INDEX(Setup!$B$99:$B$128,MATCH($B93,Setup!$A$99:$A$128,0))="","Overhead",INDEX(Setup!$B$99:$B$128,MATCH($B93,Setup!$A$99:$A$128,0))),IF(ISNUMBER(SEARCH("advance",$B93))+ISNUMBER(SEARCH("payout",$B93))+ISNUMBER(SEARCH("pay out",$B93))+ISNUMBER(SEARCH("reimburs",$B93))&gt;0,"Transfer",IF(ISNUMBER(SEARCH("loan",$B93))+ISNUMBER(SEARCH("amort",$B93))+ISNUMBER(SEARCH("installment",$B93))+ISNUMBER(SEARCH("instalment",$B93))&gt;0,"Financing",IF(ISNUMBER(SEARCH("draw",$B93))+ISNUMBER(SEARCH("owner",$B93))+ISNUMBER(SEARCH("asset",$B93))+ISNUMBER(SEARCH("capital",$B93))&gt;0,"Other",IF(ISNUMBER(SEARCH("fuel",$B93))+ISNUMBER(SEARCH("diesel",$B93))+ISNUMBER(SEARCH("krudo",$B93))+ISNUMBER(SEARCH("gasolina",$B93))+ISNUMBER(SEARCH("toll",$B93))+ISNUMBER(SEARCH("parking",$B93))+ISNUMBER(SEARCH("repair",$B93))+ISNUMBER(SEARCH("maintenance",$B93))+ISNUMBER(SEARCH("tire",$B93))+ISNUMBER(SEARCH("tyre",$B93))+ISNUMBER(SEARCH("battery",$B93))+ISNUMBER(SEARCH("oil",$B93))+ISNUMBER(SEARCH("filter",$B93))+ISNUMBER(SEARCH("spare",$B93))+ISNUMBER(SEARCH("insurance",$B93))+ISNUMBER(SEARCH("lto",$B93))+ISNUMBER(SEARCH("registration",$B93))+ISNUMBER(SEARCH("emission",$B93))+ISNUMBER(SEARCH("wash",$B93))+ISNUMBER(SEARCH("weigh",$B93))+ISNUMBER(SEARCH("tarp",$B93))&gt;0,"Vehicle",IF(ISNUMBER(SEARCH("rent",$B93))+ISNUMBER(SEARCH("upa",$B93))+ISNUMBER(SEARCH("salary",$B93))+ISNUMBER(SEARCH("sweldo",$B93))+ISNUMBER(SEARCH("wage",$B93))+ISNUMBER(SEARCH("electric",$B93))+ISNUMBER(SEARCH("kuryente",$B93))+ISNUMBER(SEARCH("water",$B93))+ISNUMBER(SEARCH("tubig",$B93))+ISNUMBER(SEARCH("internet",$B93))+ISNUMBER(SEARCH("pldt",$B93))+ISNUMBER(SEARCH("meralco",$B93))+ISNUMBER(SEARCH("supplies",$B93))+ISNUMBER(SEARCH("office",$B93))+ISNUMBER(SEARCH("professional",$B93))+ISNUMBER(SEARCH("accountant",$B93))+ISNUMBER(SEARCH("lawyer",$B93))+ISNUMBER(SEARCH("broker",$B93))+ISNUMBER(SEARCH("bank",$B93))+ISNUMBER(SEARCH("charge",$B93))+ISNUMBER(SEARCH("permit",$B93))+ISNUMBER(SEARCH("bir",$B93))+ISNUMBER(SEARCH("ltfrb",$B93))+ISNUMBER(SEARCH("misc",$B93))+ISNUMBER(SEARCH("fee",$B93))&gt;0,"Overhead","Overhead")))))))</f>
        <v/>
      </c>
      <c r="J93">
        <f>IF($A93="","",DATE(YEAR($A93),MONTH($A93),1))</f>
        <v/>
      </c>
      <c r="K93">
        <f>IF($B93="","",IF(COUNTIF(Setup!$A$99:$A$128,$B93)&gt;0,0,1))</f>
        <v/>
      </c>
      <c r="L93">
        <f>IF($B93="","",IF(ISNUMBER(SEARCH("advance",$B93)),"ADV",IF(OR(ISNUMBER(SEARCH("payout",$B93)),ISNUMBER(SEARCH("pay out",$B93)),ISNUMBER(SEARCH("release",$B93))),"PAY","")))</f>
        <v/>
      </c>
      <c r="M93">
        <f>IF($B93="","",IF(ISNUMBER(SEARCH("bulk",$B93)),0,IF(ISNUMBER(SEARCH("fuel",$B93))+ISNUMBER(SEARCH("diesel",$B93))+ISNUMBER(SEARCH("krudo",$B93))+ISNUMBER(SEARCH("gasolina",$B93))&gt;0,1,0)))</f>
        <v/>
      </c>
      <c r="N93">
        <f>IF($B93="","",IF(ISNUMBER(SEARCH("fuel",$B93))+ISNUMBER(SEARCH("diesel",$B93))+ISNUMBER(SEARCH("krudo",$B93))+ISNUMBER(SEARCH("gasolina",$B93))&gt;0,1,0))</f>
        <v/>
      </c>
    </row>
    <row r="94">
      <c r="A94" s="94" t="n"/>
      <c r="B94" s="96" t="n"/>
      <c r="C94" s="96" t="n"/>
      <c r="D94" s="95" t="n"/>
      <c r="E94" s="96" t="n"/>
      <c r="F94" s="99" t="n"/>
      <c r="G94" s="95" t="n"/>
      <c r="H94" s="95" t="n"/>
      <c r="I94" s="101">
        <f>IF($B94="","",IF(COUNTIF(Setup!$A$99:$A$128,$B94)&gt;0,IF(INDEX(Setup!$B$99:$B$128,MATCH($B94,Setup!$A$99:$A$128,0))="","Overhead",INDEX(Setup!$B$99:$B$128,MATCH($B94,Setup!$A$99:$A$128,0))),IF(ISNUMBER(SEARCH("advance",$B94))+ISNUMBER(SEARCH("payout",$B94))+ISNUMBER(SEARCH("pay out",$B94))+ISNUMBER(SEARCH("reimburs",$B94))&gt;0,"Transfer",IF(ISNUMBER(SEARCH("loan",$B94))+ISNUMBER(SEARCH("amort",$B94))+ISNUMBER(SEARCH("installment",$B94))+ISNUMBER(SEARCH("instalment",$B94))&gt;0,"Financing",IF(ISNUMBER(SEARCH("draw",$B94))+ISNUMBER(SEARCH("owner",$B94))+ISNUMBER(SEARCH("asset",$B94))+ISNUMBER(SEARCH("capital",$B94))&gt;0,"Other",IF(ISNUMBER(SEARCH("fuel",$B94))+ISNUMBER(SEARCH("diesel",$B94))+ISNUMBER(SEARCH("krudo",$B94))+ISNUMBER(SEARCH("gasolina",$B94))+ISNUMBER(SEARCH("toll",$B94))+ISNUMBER(SEARCH("parking",$B94))+ISNUMBER(SEARCH("repair",$B94))+ISNUMBER(SEARCH("maintenance",$B94))+ISNUMBER(SEARCH("tire",$B94))+ISNUMBER(SEARCH("tyre",$B94))+ISNUMBER(SEARCH("battery",$B94))+ISNUMBER(SEARCH("oil",$B94))+ISNUMBER(SEARCH("filter",$B94))+ISNUMBER(SEARCH("spare",$B94))+ISNUMBER(SEARCH("insurance",$B94))+ISNUMBER(SEARCH("lto",$B94))+ISNUMBER(SEARCH("registration",$B94))+ISNUMBER(SEARCH("emission",$B94))+ISNUMBER(SEARCH("wash",$B94))+ISNUMBER(SEARCH("weigh",$B94))+ISNUMBER(SEARCH("tarp",$B94))&gt;0,"Vehicle",IF(ISNUMBER(SEARCH("rent",$B94))+ISNUMBER(SEARCH("upa",$B94))+ISNUMBER(SEARCH("salary",$B94))+ISNUMBER(SEARCH("sweldo",$B94))+ISNUMBER(SEARCH("wage",$B94))+ISNUMBER(SEARCH("electric",$B94))+ISNUMBER(SEARCH("kuryente",$B94))+ISNUMBER(SEARCH("water",$B94))+ISNUMBER(SEARCH("tubig",$B94))+ISNUMBER(SEARCH("internet",$B94))+ISNUMBER(SEARCH("pldt",$B94))+ISNUMBER(SEARCH("meralco",$B94))+ISNUMBER(SEARCH("supplies",$B94))+ISNUMBER(SEARCH("office",$B94))+ISNUMBER(SEARCH("professional",$B94))+ISNUMBER(SEARCH("accountant",$B94))+ISNUMBER(SEARCH("lawyer",$B94))+ISNUMBER(SEARCH("broker",$B94))+ISNUMBER(SEARCH("bank",$B94))+ISNUMBER(SEARCH("charge",$B94))+ISNUMBER(SEARCH("permit",$B94))+ISNUMBER(SEARCH("bir",$B94))+ISNUMBER(SEARCH("ltfrb",$B94))+ISNUMBER(SEARCH("misc",$B94))+ISNUMBER(SEARCH("fee",$B94))&gt;0,"Overhead","Overhead")))))))</f>
        <v/>
      </c>
      <c r="J94">
        <f>IF($A94="","",DATE(YEAR($A94),MONTH($A94),1))</f>
        <v/>
      </c>
      <c r="K94">
        <f>IF($B94="","",IF(COUNTIF(Setup!$A$99:$A$128,$B94)&gt;0,0,1))</f>
        <v/>
      </c>
      <c r="L94">
        <f>IF($B94="","",IF(ISNUMBER(SEARCH("advance",$B94)),"ADV",IF(OR(ISNUMBER(SEARCH("payout",$B94)),ISNUMBER(SEARCH("pay out",$B94)),ISNUMBER(SEARCH("release",$B94))),"PAY","")))</f>
        <v/>
      </c>
      <c r="M94">
        <f>IF($B94="","",IF(ISNUMBER(SEARCH("bulk",$B94)),0,IF(ISNUMBER(SEARCH("fuel",$B94))+ISNUMBER(SEARCH("diesel",$B94))+ISNUMBER(SEARCH("krudo",$B94))+ISNUMBER(SEARCH("gasolina",$B94))&gt;0,1,0)))</f>
        <v/>
      </c>
      <c r="N94">
        <f>IF($B94="","",IF(ISNUMBER(SEARCH("fuel",$B94))+ISNUMBER(SEARCH("diesel",$B94))+ISNUMBER(SEARCH("krudo",$B94))+ISNUMBER(SEARCH("gasolina",$B94))&gt;0,1,0))</f>
        <v/>
      </c>
    </row>
    <row r="95">
      <c r="A95" s="86" t="n"/>
      <c r="B95" s="88" t="n"/>
      <c r="C95" s="88" t="n"/>
      <c r="D95" s="87" t="n"/>
      <c r="E95" s="88" t="n"/>
      <c r="F95" s="92" t="n"/>
      <c r="G95" s="87" t="n"/>
      <c r="H95" s="87" t="n"/>
      <c r="I95" s="101">
        <f>IF($B95="","",IF(COUNTIF(Setup!$A$99:$A$128,$B95)&gt;0,IF(INDEX(Setup!$B$99:$B$128,MATCH($B95,Setup!$A$99:$A$128,0))="","Overhead",INDEX(Setup!$B$99:$B$128,MATCH($B95,Setup!$A$99:$A$128,0))),IF(ISNUMBER(SEARCH("advance",$B95))+ISNUMBER(SEARCH("payout",$B95))+ISNUMBER(SEARCH("pay out",$B95))+ISNUMBER(SEARCH("reimburs",$B95))&gt;0,"Transfer",IF(ISNUMBER(SEARCH("loan",$B95))+ISNUMBER(SEARCH("amort",$B95))+ISNUMBER(SEARCH("installment",$B95))+ISNUMBER(SEARCH("instalment",$B95))&gt;0,"Financing",IF(ISNUMBER(SEARCH("draw",$B95))+ISNUMBER(SEARCH("owner",$B95))+ISNUMBER(SEARCH("asset",$B95))+ISNUMBER(SEARCH("capital",$B95))&gt;0,"Other",IF(ISNUMBER(SEARCH("fuel",$B95))+ISNUMBER(SEARCH("diesel",$B95))+ISNUMBER(SEARCH("krudo",$B95))+ISNUMBER(SEARCH("gasolina",$B95))+ISNUMBER(SEARCH("toll",$B95))+ISNUMBER(SEARCH("parking",$B95))+ISNUMBER(SEARCH("repair",$B95))+ISNUMBER(SEARCH("maintenance",$B95))+ISNUMBER(SEARCH("tire",$B95))+ISNUMBER(SEARCH("tyre",$B95))+ISNUMBER(SEARCH("battery",$B95))+ISNUMBER(SEARCH("oil",$B95))+ISNUMBER(SEARCH("filter",$B95))+ISNUMBER(SEARCH("spare",$B95))+ISNUMBER(SEARCH("insurance",$B95))+ISNUMBER(SEARCH("lto",$B95))+ISNUMBER(SEARCH("registration",$B95))+ISNUMBER(SEARCH("emission",$B95))+ISNUMBER(SEARCH("wash",$B95))+ISNUMBER(SEARCH("weigh",$B95))+ISNUMBER(SEARCH("tarp",$B95))&gt;0,"Vehicle",IF(ISNUMBER(SEARCH("rent",$B95))+ISNUMBER(SEARCH("upa",$B95))+ISNUMBER(SEARCH("salary",$B95))+ISNUMBER(SEARCH("sweldo",$B95))+ISNUMBER(SEARCH("wage",$B95))+ISNUMBER(SEARCH("electric",$B95))+ISNUMBER(SEARCH("kuryente",$B95))+ISNUMBER(SEARCH("water",$B95))+ISNUMBER(SEARCH("tubig",$B95))+ISNUMBER(SEARCH("internet",$B95))+ISNUMBER(SEARCH("pldt",$B95))+ISNUMBER(SEARCH("meralco",$B95))+ISNUMBER(SEARCH("supplies",$B95))+ISNUMBER(SEARCH("office",$B95))+ISNUMBER(SEARCH("professional",$B95))+ISNUMBER(SEARCH("accountant",$B95))+ISNUMBER(SEARCH("lawyer",$B95))+ISNUMBER(SEARCH("broker",$B95))+ISNUMBER(SEARCH("bank",$B95))+ISNUMBER(SEARCH("charge",$B95))+ISNUMBER(SEARCH("permit",$B95))+ISNUMBER(SEARCH("bir",$B95))+ISNUMBER(SEARCH("ltfrb",$B95))+ISNUMBER(SEARCH("misc",$B95))+ISNUMBER(SEARCH("fee",$B95))&gt;0,"Overhead","Overhead")))))))</f>
        <v/>
      </c>
      <c r="J95">
        <f>IF($A95="","",DATE(YEAR($A95),MONTH($A95),1))</f>
        <v/>
      </c>
      <c r="K95">
        <f>IF($B95="","",IF(COUNTIF(Setup!$A$99:$A$128,$B95)&gt;0,0,1))</f>
        <v/>
      </c>
      <c r="L95">
        <f>IF($B95="","",IF(ISNUMBER(SEARCH("advance",$B95)),"ADV",IF(OR(ISNUMBER(SEARCH("payout",$B95)),ISNUMBER(SEARCH("pay out",$B95)),ISNUMBER(SEARCH("release",$B95))),"PAY","")))</f>
        <v/>
      </c>
      <c r="M95">
        <f>IF($B95="","",IF(ISNUMBER(SEARCH("bulk",$B95)),0,IF(ISNUMBER(SEARCH("fuel",$B95))+ISNUMBER(SEARCH("diesel",$B95))+ISNUMBER(SEARCH("krudo",$B95))+ISNUMBER(SEARCH("gasolina",$B95))&gt;0,1,0)))</f>
        <v/>
      </c>
      <c r="N95">
        <f>IF($B95="","",IF(ISNUMBER(SEARCH("fuel",$B95))+ISNUMBER(SEARCH("diesel",$B95))+ISNUMBER(SEARCH("krudo",$B95))+ISNUMBER(SEARCH("gasolina",$B95))&gt;0,1,0))</f>
        <v/>
      </c>
    </row>
    <row r="96">
      <c r="A96" s="94" t="n"/>
      <c r="B96" s="96" t="n"/>
      <c r="C96" s="96" t="n"/>
      <c r="D96" s="95" t="n"/>
      <c r="E96" s="96" t="n"/>
      <c r="F96" s="99" t="n"/>
      <c r="G96" s="95" t="n"/>
      <c r="H96" s="95" t="n"/>
      <c r="I96" s="101">
        <f>IF($B96="","",IF(COUNTIF(Setup!$A$99:$A$128,$B96)&gt;0,IF(INDEX(Setup!$B$99:$B$128,MATCH($B96,Setup!$A$99:$A$128,0))="","Overhead",INDEX(Setup!$B$99:$B$128,MATCH($B96,Setup!$A$99:$A$128,0))),IF(ISNUMBER(SEARCH("advance",$B96))+ISNUMBER(SEARCH("payout",$B96))+ISNUMBER(SEARCH("pay out",$B96))+ISNUMBER(SEARCH("reimburs",$B96))&gt;0,"Transfer",IF(ISNUMBER(SEARCH("loan",$B96))+ISNUMBER(SEARCH("amort",$B96))+ISNUMBER(SEARCH("installment",$B96))+ISNUMBER(SEARCH("instalment",$B96))&gt;0,"Financing",IF(ISNUMBER(SEARCH("draw",$B96))+ISNUMBER(SEARCH("owner",$B96))+ISNUMBER(SEARCH("asset",$B96))+ISNUMBER(SEARCH("capital",$B96))&gt;0,"Other",IF(ISNUMBER(SEARCH("fuel",$B96))+ISNUMBER(SEARCH("diesel",$B96))+ISNUMBER(SEARCH("krudo",$B96))+ISNUMBER(SEARCH("gasolina",$B96))+ISNUMBER(SEARCH("toll",$B96))+ISNUMBER(SEARCH("parking",$B96))+ISNUMBER(SEARCH("repair",$B96))+ISNUMBER(SEARCH("maintenance",$B96))+ISNUMBER(SEARCH("tire",$B96))+ISNUMBER(SEARCH("tyre",$B96))+ISNUMBER(SEARCH("battery",$B96))+ISNUMBER(SEARCH("oil",$B96))+ISNUMBER(SEARCH("filter",$B96))+ISNUMBER(SEARCH("spare",$B96))+ISNUMBER(SEARCH("insurance",$B96))+ISNUMBER(SEARCH("lto",$B96))+ISNUMBER(SEARCH("registration",$B96))+ISNUMBER(SEARCH("emission",$B96))+ISNUMBER(SEARCH("wash",$B96))+ISNUMBER(SEARCH("weigh",$B96))+ISNUMBER(SEARCH("tarp",$B96))&gt;0,"Vehicle",IF(ISNUMBER(SEARCH("rent",$B96))+ISNUMBER(SEARCH("upa",$B96))+ISNUMBER(SEARCH("salary",$B96))+ISNUMBER(SEARCH("sweldo",$B96))+ISNUMBER(SEARCH("wage",$B96))+ISNUMBER(SEARCH("electric",$B96))+ISNUMBER(SEARCH("kuryente",$B96))+ISNUMBER(SEARCH("water",$B96))+ISNUMBER(SEARCH("tubig",$B96))+ISNUMBER(SEARCH("internet",$B96))+ISNUMBER(SEARCH("pldt",$B96))+ISNUMBER(SEARCH("meralco",$B96))+ISNUMBER(SEARCH("supplies",$B96))+ISNUMBER(SEARCH("office",$B96))+ISNUMBER(SEARCH("professional",$B96))+ISNUMBER(SEARCH("accountant",$B96))+ISNUMBER(SEARCH("lawyer",$B96))+ISNUMBER(SEARCH("broker",$B96))+ISNUMBER(SEARCH("bank",$B96))+ISNUMBER(SEARCH("charge",$B96))+ISNUMBER(SEARCH("permit",$B96))+ISNUMBER(SEARCH("bir",$B96))+ISNUMBER(SEARCH("ltfrb",$B96))+ISNUMBER(SEARCH("misc",$B96))+ISNUMBER(SEARCH("fee",$B96))&gt;0,"Overhead","Overhead")))))))</f>
        <v/>
      </c>
      <c r="J96">
        <f>IF($A96="","",DATE(YEAR($A96),MONTH($A96),1))</f>
        <v/>
      </c>
      <c r="K96">
        <f>IF($B96="","",IF(COUNTIF(Setup!$A$99:$A$128,$B96)&gt;0,0,1))</f>
        <v/>
      </c>
      <c r="L96">
        <f>IF($B96="","",IF(ISNUMBER(SEARCH("advance",$B96)),"ADV",IF(OR(ISNUMBER(SEARCH("payout",$B96)),ISNUMBER(SEARCH("pay out",$B96)),ISNUMBER(SEARCH("release",$B96))),"PAY","")))</f>
        <v/>
      </c>
      <c r="M96">
        <f>IF($B96="","",IF(ISNUMBER(SEARCH("bulk",$B96)),0,IF(ISNUMBER(SEARCH("fuel",$B96))+ISNUMBER(SEARCH("diesel",$B96))+ISNUMBER(SEARCH("krudo",$B96))+ISNUMBER(SEARCH("gasolina",$B96))&gt;0,1,0)))</f>
        <v/>
      </c>
      <c r="N96">
        <f>IF($B96="","",IF(ISNUMBER(SEARCH("fuel",$B96))+ISNUMBER(SEARCH("diesel",$B96))+ISNUMBER(SEARCH("krudo",$B96))+ISNUMBER(SEARCH("gasolina",$B96))&gt;0,1,0))</f>
        <v/>
      </c>
    </row>
    <row r="97">
      <c r="A97" s="86" t="n"/>
      <c r="B97" s="88" t="n"/>
      <c r="C97" s="88" t="n"/>
      <c r="D97" s="87" t="n"/>
      <c r="E97" s="88" t="n"/>
      <c r="F97" s="92" t="n"/>
      <c r="G97" s="87" t="n"/>
      <c r="H97" s="87" t="n"/>
      <c r="I97" s="101">
        <f>IF($B97="","",IF(COUNTIF(Setup!$A$99:$A$128,$B97)&gt;0,IF(INDEX(Setup!$B$99:$B$128,MATCH($B97,Setup!$A$99:$A$128,0))="","Overhead",INDEX(Setup!$B$99:$B$128,MATCH($B97,Setup!$A$99:$A$128,0))),IF(ISNUMBER(SEARCH("advance",$B97))+ISNUMBER(SEARCH("payout",$B97))+ISNUMBER(SEARCH("pay out",$B97))+ISNUMBER(SEARCH("reimburs",$B97))&gt;0,"Transfer",IF(ISNUMBER(SEARCH("loan",$B97))+ISNUMBER(SEARCH("amort",$B97))+ISNUMBER(SEARCH("installment",$B97))+ISNUMBER(SEARCH("instalment",$B97))&gt;0,"Financing",IF(ISNUMBER(SEARCH("draw",$B97))+ISNUMBER(SEARCH("owner",$B97))+ISNUMBER(SEARCH("asset",$B97))+ISNUMBER(SEARCH("capital",$B97))&gt;0,"Other",IF(ISNUMBER(SEARCH("fuel",$B97))+ISNUMBER(SEARCH("diesel",$B97))+ISNUMBER(SEARCH("krudo",$B97))+ISNUMBER(SEARCH("gasolina",$B97))+ISNUMBER(SEARCH("toll",$B97))+ISNUMBER(SEARCH("parking",$B97))+ISNUMBER(SEARCH("repair",$B97))+ISNUMBER(SEARCH("maintenance",$B97))+ISNUMBER(SEARCH("tire",$B97))+ISNUMBER(SEARCH("tyre",$B97))+ISNUMBER(SEARCH("battery",$B97))+ISNUMBER(SEARCH("oil",$B97))+ISNUMBER(SEARCH("filter",$B97))+ISNUMBER(SEARCH("spare",$B97))+ISNUMBER(SEARCH("insurance",$B97))+ISNUMBER(SEARCH("lto",$B97))+ISNUMBER(SEARCH("registration",$B97))+ISNUMBER(SEARCH("emission",$B97))+ISNUMBER(SEARCH("wash",$B97))+ISNUMBER(SEARCH("weigh",$B97))+ISNUMBER(SEARCH("tarp",$B97))&gt;0,"Vehicle",IF(ISNUMBER(SEARCH("rent",$B97))+ISNUMBER(SEARCH("upa",$B97))+ISNUMBER(SEARCH("salary",$B97))+ISNUMBER(SEARCH("sweldo",$B97))+ISNUMBER(SEARCH("wage",$B97))+ISNUMBER(SEARCH("electric",$B97))+ISNUMBER(SEARCH("kuryente",$B97))+ISNUMBER(SEARCH("water",$B97))+ISNUMBER(SEARCH("tubig",$B97))+ISNUMBER(SEARCH("internet",$B97))+ISNUMBER(SEARCH("pldt",$B97))+ISNUMBER(SEARCH("meralco",$B97))+ISNUMBER(SEARCH("supplies",$B97))+ISNUMBER(SEARCH("office",$B97))+ISNUMBER(SEARCH("professional",$B97))+ISNUMBER(SEARCH("accountant",$B97))+ISNUMBER(SEARCH("lawyer",$B97))+ISNUMBER(SEARCH("broker",$B97))+ISNUMBER(SEARCH("bank",$B97))+ISNUMBER(SEARCH("charge",$B97))+ISNUMBER(SEARCH("permit",$B97))+ISNUMBER(SEARCH("bir",$B97))+ISNUMBER(SEARCH("ltfrb",$B97))+ISNUMBER(SEARCH("misc",$B97))+ISNUMBER(SEARCH("fee",$B97))&gt;0,"Overhead","Overhead")))))))</f>
        <v/>
      </c>
      <c r="J97">
        <f>IF($A97="","",DATE(YEAR($A97),MONTH($A97),1))</f>
        <v/>
      </c>
      <c r="K97">
        <f>IF($B97="","",IF(COUNTIF(Setup!$A$99:$A$128,$B97)&gt;0,0,1))</f>
        <v/>
      </c>
      <c r="L97">
        <f>IF($B97="","",IF(ISNUMBER(SEARCH("advance",$B97)),"ADV",IF(OR(ISNUMBER(SEARCH("payout",$B97)),ISNUMBER(SEARCH("pay out",$B97)),ISNUMBER(SEARCH("release",$B97))),"PAY","")))</f>
        <v/>
      </c>
      <c r="M97">
        <f>IF($B97="","",IF(ISNUMBER(SEARCH("bulk",$B97)),0,IF(ISNUMBER(SEARCH("fuel",$B97))+ISNUMBER(SEARCH("diesel",$B97))+ISNUMBER(SEARCH("krudo",$B97))+ISNUMBER(SEARCH("gasolina",$B97))&gt;0,1,0)))</f>
        <v/>
      </c>
      <c r="N97">
        <f>IF($B97="","",IF(ISNUMBER(SEARCH("fuel",$B97))+ISNUMBER(SEARCH("diesel",$B97))+ISNUMBER(SEARCH("krudo",$B97))+ISNUMBER(SEARCH("gasolina",$B97))&gt;0,1,0))</f>
        <v/>
      </c>
    </row>
    <row r="98">
      <c r="A98" s="94" t="n"/>
      <c r="B98" s="96" t="n"/>
      <c r="C98" s="96" t="n"/>
      <c r="D98" s="95" t="n"/>
      <c r="E98" s="96" t="n"/>
      <c r="F98" s="99" t="n"/>
      <c r="G98" s="95" t="n"/>
      <c r="H98" s="95" t="n"/>
      <c r="I98" s="101">
        <f>IF($B98="","",IF(COUNTIF(Setup!$A$99:$A$128,$B98)&gt;0,IF(INDEX(Setup!$B$99:$B$128,MATCH($B98,Setup!$A$99:$A$128,0))="","Overhead",INDEX(Setup!$B$99:$B$128,MATCH($B98,Setup!$A$99:$A$128,0))),IF(ISNUMBER(SEARCH("advance",$B98))+ISNUMBER(SEARCH("payout",$B98))+ISNUMBER(SEARCH("pay out",$B98))+ISNUMBER(SEARCH("reimburs",$B98))&gt;0,"Transfer",IF(ISNUMBER(SEARCH("loan",$B98))+ISNUMBER(SEARCH("amort",$B98))+ISNUMBER(SEARCH("installment",$B98))+ISNUMBER(SEARCH("instalment",$B98))&gt;0,"Financing",IF(ISNUMBER(SEARCH("draw",$B98))+ISNUMBER(SEARCH("owner",$B98))+ISNUMBER(SEARCH("asset",$B98))+ISNUMBER(SEARCH("capital",$B98))&gt;0,"Other",IF(ISNUMBER(SEARCH("fuel",$B98))+ISNUMBER(SEARCH("diesel",$B98))+ISNUMBER(SEARCH("krudo",$B98))+ISNUMBER(SEARCH("gasolina",$B98))+ISNUMBER(SEARCH("toll",$B98))+ISNUMBER(SEARCH("parking",$B98))+ISNUMBER(SEARCH("repair",$B98))+ISNUMBER(SEARCH("maintenance",$B98))+ISNUMBER(SEARCH("tire",$B98))+ISNUMBER(SEARCH("tyre",$B98))+ISNUMBER(SEARCH("battery",$B98))+ISNUMBER(SEARCH("oil",$B98))+ISNUMBER(SEARCH("filter",$B98))+ISNUMBER(SEARCH("spare",$B98))+ISNUMBER(SEARCH("insurance",$B98))+ISNUMBER(SEARCH("lto",$B98))+ISNUMBER(SEARCH("registration",$B98))+ISNUMBER(SEARCH("emission",$B98))+ISNUMBER(SEARCH("wash",$B98))+ISNUMBER(SEARCH("weigh",$B98))+ISNUMBER(SEARCH("tarp",$B98))&gt;0,"Vehicle",IF(ISNUMBER(SEARCH("rent",$B98))+ISNUMBER(SEARCH("upa",$B98))+ISNUMBER(SEARCH("salary",$B98))+ISNUMBER(SEARCH("sweldo",$B98))+ISNUMBER(SEARCH("wage",$B98))+ISNUMBER(SEARCH("electric",$B98))+ISNUMBER(SEARCH("kuryente",$B98))+ISNUMBER(SEARCH("water",$B98))+ISNUMBER(SEARCH("tubig",$B98))+ISNUMBER(SEARCH("internet",$B98))+ISNUMBER(SEARCH("pldt",$B98))+ISNUMBER(SEARCH("meralco",$B98))+ISNUMBER(SEARCH("supplies",$B98))+ISNUMBER(SEARCH("office",$B98))+ISNUMBER(SEARCH("professional",$B98))+ISNUMBER(SEARCH("accountant",$B98))+ISNUMBER(SEARCH("lawyer",$B98))+ISNUMBER(SEARCH("broker",$B98))+ISNUMBER(SEARCH("bank",$B98))+ISNUMBER(SEARCH("charge",$B98))+ISNUMBER(SEARCH("permit",$B98))+ISNUMBER(SEARCH("bir",$B98))+ISNUMBER(SEARCH("ltfrb",$B98))+ISNUMBER(SEARCH("misc",$B98))+ISNUMBER(SEARCH("fee",$B98))&gt;0,"Overhead","Overhead")))))))</f>
        <v/>
      </c>
      <c r="J98">
        <f>IF($A98="","",DATE(YEAR($A98),MONTH($A98),1))</f>
        <v/>
      </c>
      <c r="K98">
        <f>IF($B98="","",IF(COUNTIF(Setup!$A$99:$A$128,$B98)&gt;0,0,1))</f>
        <v/>
      </c>
      <c r="L98">
        <f>IF($B98="","",IF(ISNUMBER(SEARCH("advance",$B98)),"ADV",IF(OR(ISNUMBER(SEARCH("payout",$B98)),ISNUMBER(SEARCH("pay out",$B98)),ISNUMBER(SEARCH("release",$B98))),"PAY","")))</f>
        <v/>
      </c>
      <c r="M98">
        <f>IF($B98="","",IF(ISNUMBER(SEARCH("bulk",$B98)),0,IF(ISNUMBER(SEARCH("fuel",$B98))+ISNUMBER(SEARCH("diesel",$B98))+ISNUMBER(SEARCH("krudo",$B98))+ISNUMBER(SEARCH("gasolina",$B98))&gt;0,1,0)))</f>
        <v/>
      </c>
      <c r="N98">
        <f>IF($B98="","",IF(ISNUMBER(SEARCH("fuel",$B98))+ISNUMBER(SEARCH("diesel",$B98))+ISNUMBER(SEARCH("krudo",$B98))+ISNUMBER(SEARCH("gasolina",$B98))&gt;0,1,0))</f>
        <v/>
      </c>
    </row>
    <row r="99">
      <c r="A99" s="86" t="n"/>
      <c r="B99" s="88" t="n"/>
      <c r="C99" s="88" t="n"/>
      <c r="D99" s="87" t="n"/>
      <c r="E99" s="88" t="n"/>
      <c r="F99" s="92" t="n"/>
      <c r="G99" s="87" t="n"/>
      <c r="H99" s="87" t="n"/>
      <c r="I99" s="101">
        <f>IF($B99="","",IF(COUNTIF(Setup!$A$99:$A$128,$B99)&gt;0,IF(INDEX(Setup!$B$99:$B$128,MATCH($B99,Setup!$A$99:$A$128,0))="","Overhead",INDEX(Setup!$B$99:$B$128,MATCH($B99,Setup!$A$99:$A$128,0))),IF(ISNUMBER(SEARCH("advance",$B99))+ISNUMBER(SEARCH("payout",$B99))+ISNUMBER(SEARCH("pay out",$B99))+ISNUMBER(SEARCH("reimburs",$B99))&gt;0,"Transfer",IF(ISNUMBER(SEARCH("loan",$B99))+ISNUMBER(SEARCH("amort",$B99))+ISNUMBER(SEARCH("installment",$B99))+ISNUMBER(SEARCH("instalment",$B99))&gt;0,"Financing",IF(ISNUMBER(SEARCH("draw",$B99))+ISNUMBER(SEARCH("owner",$B99))+ISNUMBER(SEARCH("asset",$B99))+ISNUMBER(SEARCH("capital",$B99))&gt;0,"Other",IF(ISNUMBER(SEARCH("fuel",$B99))+ISNUMBER(SEARCH("diesel",$B99))+ISNUMBER(SEARCH("krudo",$B99))+ISNUMBER(SEARCH("gasolina",$B99))+ISNUMBER(SEARCH("toll",$B99))+ISNUMBER(SEARCH("parking",$B99))+ISNUMBER(SEARCH("repair",$B99))+ISNUMBER(SEARCH("maintenance",$B99))+ISNUMBER(SEARCH("tire",$B99))+ISNUMBER(SEARCH("tyre",$B99))+ISNUMBER(SEARCH("battery",$B99))+ISNUMBER(SEARCH("oil",$B99))+ISNUMBER(SEARCH("filter",$B99))+ISNUMBER(SEARCH("spare",$B99))+ISNUMBER(SEARCH("insurance",$B99))+ISNUMBER(SEARCH("lto",$B99))+ISNUMBER(SEARCH("registration",$B99))+ISNUMBER(SEARCH("emission",$B99))+ISNUMBER(SEARCH("wash",$B99))+ISNUMBER(SEARCH("weigh",$B99))+ISNUMBER(SEARCH("tarp",$B99))&gt;0,"Vehicle",IF(ISNUMBER(SEARCH("rent",$B99))+ISNUMBER(SEARCH("upa",$B99))+ISNUMBER(SEARCH("salary",$B99))+ISNUMBER(SEARCH("sweldo",$B99))+ISNUMBER(SEARCH("wage",$B99))+ISNUMBER(SEARCH("electric",$B99))+ISNUMBER(SEARCH("kuryente",$B99))+ISNUMBER(SEARCH("water",$B99))+ISNUMBER(SEARCH("tubig",$B99))+ISNUMBER(SEARCH("internet",$B99))+ISNUMBER(SEARCH("pldt",$B99))+ISNUMBER(SEARCH("meralco",$B99))+ISNUMBER(SEARCH("supplies",$B99))+ISNUMBER(SEARCH("office",$B99))+ISNUMBER(SEARCH("professional",$B99))+ISNUMBER(SEARCH("accountant",$B99))+ISNUMBER(SEARCH("lawyer",$B99))+ISNUMBER(SEARCH("broker",$B99))+ISNUMBER(SEARCH("bank",$B99))+ISNUMBER(SEARCH("charge",$B99))+ISNUMBER(SEARCH("permit",$B99))+ISNUMBER(SEARCH("bir",$B99))+ISNUMBER(SEARCH("ltfrb",$B99))+ISNUMBER(SEARCH("misc",$B99))+ISNUMBER(SEARCH("fee",$B99))&gt;0,"Overhead","Overhead")))))))</f>
        <v/>
      </c>
      <c r="J99">
        <f>IF($A99="","",DATE(YEAR($A99),MONTH($A99),1))</f>
        <v/>
      </c>
      <c r="K99">
        <f>IF($B99="","",IF(COUNTIF(Setup!$A$99:$A$128,$B99)&gt;0,0,1))</f>
        <v/>
      </c>
      <c r="L99">
        <f>IF($B99="","",IF(ISNUMBER(SEARCH("advance",$B99)),"ADV",IF(OR(ISNUMBER(SEARCH("payout",$B99)),ISNUMBER(SEARCH("pay out",$B99)),ISNUMBER(SEARCH("release",$B99))),"PAY","")))</f>
        <v/>
      </c>
      <c r="M99">
        <f>IF($B99="","",IF(ISNUMBER(SEARCH("bulk",$B99)),0,IF(ISNUMBER(SEARCH("fuel",$B99))+ISNUMBER(SEARCH("diesel",$B99))+ISNUMBER(SEARCH("krudo",$B99))+ISNUMBER(SEARCH("gasolina",$B99))&gt;0,1,0)))</f>
        <v/>
      </c>
      <c r="N99">
        <f>IF($B99="","",IF(ISNUMBER(SEARCH("fuel",$B99))+ISNUMBER(SEARCH("diesel",$B99))+ISNUMBER(SEARCH("krudo",$B99))+ISNUMBER(SEARCH("gasolina",$B99))&gt;0,1,0))</f>
        <v/>
      </c>
    </row>
    <row r="100">
      <c r="A100" s="94" t="n"/>
      <c r="B100" s="96" t="n"/>
      <c r="C100" s="96" t="n"/>
      <c r="D100" s="95" t="n"/>
      <c r="E100" s="96" t="n"/>
      <c r="F100" s="99" t="n"/>
      <c r="G100" s="95" t="n"/>
      <c r="H100" s="95" t="n"/>
      <c r="I100" s="101">
        <f>IF($B100="","",IF(COUNTIF(Setup!$A$99:$A$128,$B100)&gt;0,IF(INDEX(Setup!$B$99:$B$128,MATCH($B100,Setup!$A$99:$A$128,0))="","Overhead",INDEX(Setup!$B$99:$B$128,MATCH($B100,Setup!$A$99:$A$128,0))),IF(ISNUMBER(SEARCH("advance",$B100))+ISNUMBER(SEARCH("payout",$B100))+ISNUMBER(SEARCH("pay out",$B100))+ISNUMBER(SEARCH("reimburs",$B100))&gt;0,"Transfer",IF(ISNUMBER(SEARCH("loan",$B100))+ISNUMBER(SEARCH("amort",$B100))+ISNUMBER(SEARCH("installment",$B100))+ISNUMBER(SEARCH("instalment",$B100))&gt;0,"Financing",IF(ISNUMBER(SEARCH("draw",$B100))+ISNUMBER(SEARCH("owner",$B100))+ISNUMBER(SEARCH("asset",$B100))+ISNUMBER(SEARCH("capital",$B100))&gt;0,"Other",IF(ISNUMBER(SEARCH("fuel",$B100))+ISNUMBER(SEARCH("diesel",$B100))+ISNUMBER(SEARCH("krudo",$B100))+ISNUMBER(SEARCH("gasolina",$B100))+ISNUMBER(SEARCH("toll",$B100))+ISNUMBER(SEARCH("parking",$B100))+ISNUMBER(SEARCH("repair",$B100))+ISNUMBER(SEARCH("maintenance",$B100))+ISNUMBER(SEARCH("tire",$B100))+ISNUMBER(SEARCH("tyre",$B100))+ISNUMBER(SEARCH("battery",$B100))+ISNUMBER(SEARCH("oil",$B100))+ISNUMBER(SEARCH("filter",$B100))+ISNUMBER(SEARCH("spare",$B100))+ISNUMBER(SEARCH("insurance",$B100))+ISNUMBER(SEARCH("lto",$B100))+ISNUMBER(SEARCH("registration",$B100))+ISNUMBER(SEARCH("emission",$B100))+ISNUMBER(SEARCH("wash",$B100))+ISNUMBER(SEARCH("weigh",$B100))+ISNUMBER(SEARCH("tarp",$B100))&gt;0,"Vehicle",IF(ISNUMBER(SEARCH("rent",$B100))+ISNUMBER(SEARCH("upa",$B100))+ISNUMBER(SEARCH("salary",$B100))+ISNUMBER(SEARCH("sweldo",$B100))+ISNUMBER(SEARCH("wage",$B100))+ISNUMBER(SEARCH("electric",$B100))+ISNUMBER(SEARCH("kuryente",$B100))+ISNUMBER(SEARCH("water",$B100))+ISNUMBER(SEARCH("tubig",$B100))+ISNUMBER(SEARCH("internet",$B100))+ISNUMBER(SEARCH("pldt",$B100))+ISNUMBER(SEARCH("meralco",$B100))+ISNUMBER(SEARCH("supplies",$B100))+ISNUMBER(SEARCH("office",$B100))+ISNUMBER(SEARCH("professional",$B100))+ISNUMBER(SEARCH("accountant",$B100))+ISNUMBER(SEARCH("lawyer",$B100))+ISNUMBER(SEARCH("broker",$B100))+ISNUMBER(SEARCH("bank",$B100))+ISNUMBER(SEARCH("charge",$B100))+ISNUMBER(SEARCH("permit",$B100))+ISNUMBER(SEARCH("bir",$B100))+ISNUMBER(SEARCH("ltfrb",$B100))+ISNUMBER(SEARCH("misc",$B100))+ISNUMBER(SEARCH("fee",$B100))&gt;0,"Overhead","Overhead")))))))</f>
        <v/>
      </c>
      <c r="J100">
        <f>IF($A100="","",DATE(YEAR($A100),MONTH($A100),1))</f>
        <v/>
      </c>
      <c r="K100">
        <f>IF($B100="","",IF(COUNTIF(Setup!$A$99:$A$128,$B100)&gt;0,0,1))</f>
        <v/>
      </c>
      <c r="L100">
        <f>IF($B100="","",IF(ISNUMBER(SEARCH("advance",$B100)),"ADV",IF(OR(ISNUMBER(SEARCH("payout",$B100)),ISNUMBER(SEARCH("pay out",$B100)),ISNUMBER(SEARCH("release",$B100))),"PAY","")))</f>
        <v/>
      </c>
      <c r="M100">
        <f>IF($B100="","",IF(ISNUMBER(SEARCH("bulk",$B100)),0,IF(ISNUMBER(SEARCH("fuel",$B100))+ISNUMBER(SEARCH("diesel",$B100))+ISNUMBER(SEARCH("krudo",$B100))+ISNUMBER(SEARCH("gasolina",$B100))&gt;0,1,0)))</f>
        <v/>
      </c>
      <c r="N100">
        <f>IF($B100="","",IF(ISNUMBER(SEARCH("fuel",$B100))+ISNUMBER(SEARCH("diesel",$B100))+ISNUMBER(SEARCH("krudo",$B100))+ISNUMBER(SEARCH("gasolina",$B100))&gt;0,1,0))</f>
        <v/>
      </c>
    </row>
    <row r="101">
      <c r="A101" s="86" t="n"/>
      <c r="B101" s="88" t="n"/>
      <c r="C101" s="88" t="n"/>
      <c r="D101" s="87" t="n"/>
      <c r="E101" s="88" t="n"/>
      <c r="F101" s="92" t="n"/>
      <c r="G101" s="87" t="n"/>
      <c r="H101" s="87" t="n"/>
      <c r="I101" s="101">
        <f>IF($B101="","",IF(COUNTIF(Setup!$A$99:$A$128,$B101)&gt;0,IF(INDEX(Setup!$B$99:$B$128,MATCH($B101,Setup!$A$99:$A$128,0))="","Overhead",INDEX(Setup!$B$99:$B$128,MATCH($B101,Setup!$A$99:$A$128,0))),IF(ISNUMBER(SEARCH("advance",$B101))+ISNUMBER(SEARCH("payout",$B101))+ISNUMBER(SEARCH("pay out",$B101))+ISNUMBER(SEARCH("reimburs",$B101))&gt;0,"Transfer",IF(ISNUMBER(SEARCH("loan",$B101))+ISNUMBER(SEARCH("amort",$B101))+ISNUMBER(SEARCH("installment",$B101))+ISNUMBER(SEARCH("instalment",$B101))&gt;0,"Financing",IF(ISNUMBER(SEARCH("draw",$B101))+ISNUMBER(SEARCH("owner",$B101))+ISNUMBER(SEARCH("asset",$B101))+ISNUMBER(SEARCH("capital",$B101))&gt;0,"Other",IF(ISNUMBER(SEARCH("fuel",$B101))+ISNUMBER(SEARCH("diesel",$B101))+ISNUMBER(SEARCH("krudo",$B101))+ISNUMBER(SEARCH("gasolina",$B101))+ISNUMBER(SEARCH("toll",$B101))+ISNUMBER(SEARCH("parking",$B101))+ISNUMBER(SEARCH("repair",$B101))+ISNUMBER(SEARCH("maintenance",$B101))+ISNUMBER(SEARCH("tire",$B101))+ISNUMBER(SEARCH("tyre",$B101))+ISNUMBER(SEARCH("battery",$B101))+ISNUMBER(SEARCH("oil",$B101))+ISNUMBER(SEARCH("filter",$B101))+ISNUMBER(SEARCH("spare",$B101))+ISNUMBER(SEARCH("insurance",$B101))+ISNUMBER(SEARCH("lto",$B101))+ISNUMBER(SEARCH("registration",$B101))+ISNUMBER(SEARCH("emission",$B101))+ISNUMBER(SEARCH("wash",$B101))+ISNUMBER(SEARCH("weigh",$B101))+ISNUMBER(SEARCH("tarp",$B101))&gt;0,"Vehicle",IF(ISNUMBER(SEARCH("rent",$B101))+ISNUMBER(SEARCH("upa",$B101))+ISNUMBER(SEARCH("salary",$B101))+ISNUMBER(SEARCH("sweldo",$B101))+ISNUMBER(SEARCH("wage",$B101))+ISNUMBER(SEARCH("electric",$B101))+ISNUMBER(SEARCH("kuryente",$B101))+ISNUMBER(SEARCH("water",$B101))+ISNUMBER(SEARCH("tubig",$B101))+ISNUMBER(SEARCH("internet",$B101))+ISNUMBER(SEARCH("pldt",$B101))+ISNUMBER(SEARCH("meralco",$B101))+ISNUMBER(SEARCH("supplies",$B101))+ISNUMBER(SEARCH("office",$B101))+ISNUMBER(SEARCH("professional",$B101))+ISNUMBER(SEARCH("accountant",$B101))+ISNUMBER(SEARCH("lawyer",$B101))+ISNUMBER(SEARCH("broker",$B101))+ISNUMBER(SEARCH("bank",$B101))+ISNUMBER(SEARCH("charge",$B101))+ISNUMBER(SEARCH("permit",$B101))+ISNUMBER(SEARCH("bir",$B101))+ISNUMBER(SEARCH("ltfrb",$B101))+ISNUMBER(SEARCH("misc",$B101))+ISNUMBER(SEARCH("fee",$B101))&gt;0,"Overhead","Overhead")))))))</f>
        <v/>
      </c>
      <c r="J101">
        <f>IF($A101="","",DATE(YEAR($A101),MONTH($A101),1))</f>
        <v/>
      </c>
      <c r="K101">
        <f>IF($B101="","",IF(COUNTIF(Setup!$A$99:$A$128,$B101)&gt;0,0,1))</f>
        <v/>
      </c>
      <c r="L101">
        <f>IF($B101="","",IF(ISNUMBER(SEARCH("advance",$B101)),"ADV",IF(OR(ISNUMBER(SEARCH("payout",$B101)),ISNUMBER(SEARCH("pay out",$B101)),ISNUMBER(SEARCH("release",$B101))),"PAY","")))</f>
        <v/>
      </c>
      <c r="M101">
        <f>IF($B101="","",IF(ISNUMBER(SEARCH("bulk",$B101)),0,IF(ISNUMBER(SEARCH("fuel",$B101))+ISNUMBER(SEARCH("diesel",$B101))+ISNUMBER(SEARCH("krudo",$B101))+ISNUMBER(SEARCH("gasolina",$B101))&gt;0,1,0)))</f>
        <v/>
      </c>
      <c r="N101">
        <f>IF($B101="","",IF(ISNUMBER(SEARCH("fuel",$B101))+ISNUMBER(SEARCH("diesel",$B101))+ISNUMBER(SEARCH("krudo",$B101))+ISNUMBER(SEARCH("gasolina",$B101))&gt;0,1,0))</f>
        <v/>
      </c>
    </row>
    <row r="102">
      <c r="A102" s="94" t="n"/>
      <c r="B102" s="96" t="n"/>
      <c r="C102" s="96" t="n"/>
      <c r="D102" s="95" t="n"/>
      <c r="E102" s="96" t="n"/>
      <c r="F102" s="99" t="n"/>
      <c r="G102" s="95" t="n"/>
      <c r="H102" s="95" t="n"/>
      <c r="I102" s="101">
        <f>IF($B102="","",IF(COUNTIF(Setup!$A$99:$A$128,$B102)&gt;0,IF(INDEX(Setup!$B$99:$B$128,MATCH($B102,Setup!$A$99:$A$128,0))="","Overhead",INDEX(Setup!$B$99:$B$128,MATCH($B102,Setup!$A$99:$A$128,0))),IF(ISNUMBER(SEARCH("advance",$B102))+ISNUMBER(SEARCH("payout",$B102))+ISNUMBER(SEARCH("pay out",$B102))+ISNUMBER(SEARCH("reimburs",$B102))&gt;0,"Transfer",IF(ISNUMBER(SEARCH("loan",$B102))+ISNUMBER(SEARCH("amort",$B102))+ISNUMBER(SEARCH("installment",$B102))+ISNUMBER(SEARCH("instalment",$B102))&gt;0,"Financing",IF(ISNUMBER(SEARCH("draw",$B102))+ISNUMBER(SEARCH("owner",$B102))+ISNUMBER(SEARCH("asset",$B102))+ISNUMBER(SEARCH("capital",$B102))&gt;0,"Other",IF(ISNUMBER(SEARCH("fuel",$B102))+ISNUMBER(SEARCH("diesel",$B102))+ISNUMBER(SEARCH("krudo",$B102))+ISNUMBER(SEARCH("gasolina",$B102))+ISNUMBER(SEARCH("toll",$B102))+ISNUMBER(SEARCH("parking",$B102))+ISNUMBER(SEARCH("repair",$B102))+ISNUMBER(SEARCH("maintenance",$B102))+ISNUMBER(SEARCH("tire",$B102))+ISNUMBER(SEARCH("tyre",$B102))+ISNUMBER(SEARCH("battery",$B102))+ISNUMBER(SEARCH("oil",$B102))+ISNUMBER(SEARCH("filter",$B102))+ISNUMBER(SEARCH("spare",$B102))+ISNUMBER(SEARCH("insurance",$B102))+ISNUMBER(SEARCH("lto",$B102))+ISNUMBER(SEARCH("registration",$B102))+ISNUMBER(SEARCH("emission",$B102))+ISNUMBER(SEARCH("wash",$B102))+ISNUMBER(SEARCH("weigh",$B102))+ISNUMBER(SEARCH("tarp",$B102))&gt;0,"Vehicle",IF(ISNUMBER(SEARCH("rent",$B102))+ISNUMBER(SEARCH("upa",$B102))+ISNUMBER(SEARCH("salary",$B102))+ISNUMBER(SEARCH("sweldo",$B102))+ISNUMBER(SEARCH("wage",$B102))+ISNUMBER(SEARCH("electric",$B102))+ISNUMBER(SEARCH("kuryente",$B102))+ISNUMBER(SEARCH("water",$B102))+ISNUMBER(SEARCH("tubig",$B102))+ISNUMBER(SEARCH("internet",$B102))+ISNUMBER(SEARCH("pldt",$B102))+ISNUMBER(SEARCH("meralco",$B102))+ISNUMBER(SEARCH("supplies",$B102))+ISNUMBER(SEARCH("office",$B102))+ISNUMBER(SEARCH("professional",$B102))+ISNUMBER(SEARCH("accountant",$B102))+ISNUMBER(SEARCH("lawyer",$B102))+ISNUMBER(SEARCH("broker",$B102))+ISNUMBER(SEARCH("bank",$B102))+ISNUMBER(SEARCH("charge",$B102))+ISNUMBER(SEARCH("permit",$B102))+ISNUMBER(SEARCH("bir",$B102))+ISNUMBER(SEARCH("ltfrb",$B102))+ISNUMBER(SEARCH("misc",$B102))+ISNUMBER(SEARCH("fee",$B102))&gt;0,"Overhead","Overhead")))))))</f>
        <v/>
      </c>
      <c r="J102">
        <f>IF($A102="","",DATE(YEAR($A102),MONTH($A102),1))</f>
        <v/>
      </c>
      <c r="K102">
        <f>IF($B102="","",IF(COUNTIF(Setup!$A$99:$A$128,$B102)&gt;0,0,1))</f>
        <v/>
      </c>
      <c r="L102">
        <f>IF($B102="","",IF(ISNUMBER(SEARCH("advance",$B102)),"ADV",IF(OR(ISNUMBER(SEARCH("payout",$B102)),ISNUMBER(SEARCH("pay out",$B102)),ISNUMBER(SEARCH("release",$B102))),"PAY","")))</f>
        <v/>
      </c>
      <c r="M102">
        <f>IF($B102="","",IF(ISNUMBER(SEARCH("bulk",$B102)),0,IF(ISNUMBER(SEARCH("fuel",$B102))+ISNUMBER(SEARCH("diesel",$B102))+ISNUMBER(SEARCH("krudo",$B102))+ISNUMBER(SEARCH("gasolina",$B102))&gt;0,1,0)))</f>
        <v/>
      </c>
      <c r="N102">
        <f>IF($B102="","",IF(ISNUMBER(SEARCH("fuel",$B102))+ISNUMBER(SEARCH("diesel",$B102))+ISNUMBER(SEARCH("krudo",$B102))+ISNUMBER(SEARCH("gasolina",$B102))&gt;0,1,0))</f>
        <v/>
      </c>
    </row>
    <row r="103">
      <c r="A103" s="86" t="n"/>
      <c r="B103" s="88" t="n"/>
      <c r="C103" s="88" t="n"/>
      <c r="D103" s="87" t="n"/>
      <c r="E103" s="88" t="n"/>
      <c r="F103" s="92" t="n"/>
      <c r="G103" s="87" t="n"/>
      <c r="H103" s="87" t="n"/>
      <c r="I103" s="101">
        <f>IF($B103="","",IF(COUNTIF(Setup!$A$99:$A$128,$B103)&gt;0,IF(INDEX(Setup!$B$99:$B$128,MATCH($B103,Setup!$A$99:$A$128,0))="","Overhead",INDEX(Setup!$B$99:$B$128,MATCH($B103,Setup!$A$99:$A$128,0))),IF(ISNUMBER(SEARCH("advance",$B103))+ISNUMBER(SEARCH("payout",$B103))+ISNUMBER(SEARCH("pay out",$B103))+ISNUMBER(SEARCH("reimburs",$B103))&gt;0,"Transfer",IF(ISNUMBER(SEARCH("loan",$B103))+ISNUMBER(SEARCH("amort",$B103))+ISNUMBER(SEARCH("installment",$B103))+ISNUMBER(SEARCH("instalment",$B103))&gt;0,"Financing",IF(ISNUMBER(SEARCH("draw",$B103))+ISNUMBER(SEARCH("owner",$B103))+ISNUMBER(SEARCH("asset",$B103))+ISNUMBER(SEARCH("capital",$B103))&gt;0,"Other",IF(ISNUMBER(SEARCH("fuel",$B103))+ISNUMBER(SEARCH("diesel",$B103))+ISNUMBER(SEARCH("krudo",$B103))+ISNUMBER(SEARCH("gasolina",$B103))+ISNUMBER(SEARCH("toll",$B103))+ISNUMBER(SEARCH("parking",$B103))+ISNUMBER(SEARCH("repair",$B103))+ISNUMBER(SEARCH("maintenance",$B103))+ISNUMBER(SEARCH("tire",$B103))+ISNUMBER(SEARCH("tyre",$B103))+ISNUMBER(SEARCH("battery",$B103))+ISNUMBER(SEARCH("oil",$B103))+ISNUMBER(SEARCH("filter",$B103))+ISNUMBER(SEARCH("spare",$B103))+ISNUMBER(SEARCH("insurance",$B103))+ISNUMBER(SEARCH("lto",$B103))+ISNUMBER(SEARCH("registration",$B103))+ISNUMBER(SEARCH("emission",$B103))+ISNUMBER(SEARCH("wash",$B103))+ISNUMBER(SEARCH("weigh",$B103))+ISNUMBER(SEARCH("tarp",$B103))&gt;0,"Vehicle",IF(ISNUMBER(SEARCH("rent",$B103))+ISNUMBER(SEARCH("upa",$B103))+ISNUMBER(SEARCH("salary",$B103))+ISNUMBER(SEARCH("sweldo",$B103))+ISNUMBER(SEARCH("wage",$B103))+ISNUMBER(SEARCH("electric",$B103))+ISNUMBER(SEARCH("kuryente",$B103))+ISNUMBER(SEARCH("water",$B103))+ISNUMBER(SEARCH("tubig",$B103))+ISNUMBER(SEARCH("internet",$B103))+ISNUMBER(SEARCH("pldt",$B103))+ISNUMBER(SEARCH("meralco",$B103))+ISNUMBER(SEARCH("supplies",$B103))+ISNUMBER(SEARCH("office",$B103))+ISNUMBER(SEARCH("professional",$B103))+ISNUMBER(SEARCH("accountant",$B103))+ISNUMBER(SEARCH("lawyer",$B103))+ISNUMBER(SEARCH("broker",$B103))+ISNUMBER(SEARCH("bank",$B103))+ISNUMBER(SEARCH("charge",$B103))+ISNUMBER(SEARCH("permit",$B103))+ISNUMBER(SEARCH("bir",$B103))+ISNUMBER(SEARCH("ltfrb",$B103))+ISNUMBER(SEARCH("misc",$B103))+ISNUMBER(SEARCH("fee",$B103))&gt;0,"Overhead","Overhead")))))))</f>
        <v/>
      </c>
      <c r="J103">
        <f>IF($A103="","",DATE(YEAR($A103),MONTH($A103),1))</f>
        <v/>
      </c>
      <c r="K103">
        <f>IF($B103="","",IF(COUNTIF(Setup!$A$99:$A$128,$B103)&gt;0,0,1))</f>
        <v/>
      </c>
      <c r="L103">
        <f>IF($B103="","",IF(ISNUMBER(SEARCH("advance",$B103)),"ADV",IF(OR(ISNUMBER(SEARCH("payout",$B103)),ISNUMBER(SEARCH("pay out",$B103)),ISNUMBER(SEARCH("release",$B103))),"PAY","")))</f>
        <v/>
      </c>
      <c r="M103">
        <f>IF($B103="","",IF(ISNUMBER(SEARCH("bulk",$B103)),0,IF(ISNUMBER(SEARCH("fuel",$B103))+ISNUMBER(SEARCH("diesel",$B103))+ISNUMBER(SEARCH("krudo",$B103))+ISNUMBER(SEARCH("gasolina",$B103))&gt;0,1,0)))</f>
        <v/>
      </c>
      <c r="N103">
        <f>IF($B103="","",IF(ISNUMBER(SEARCH("fuel",$B103))+ISNUMBER(SEARCH("diesel",$B103))+ISNUMBER(SEARCH("krudo",$B103))+ISNUMBER(SEARCH("gasolina",$B103))&gt;0,1,0))</f>
        <v/>
      </c>
    </row>
    <row r="104">
      <c r="A104" s="94" t="n"/>
      <c r="B104" s="96" t="n"/>
      <c r="C104" s="96" t="n"/>
      <c r="D104" s="95" t="n"/>
      <c r="E104" s="96" t="n"/>
      <c r="F104" s="99" t="n"/>
      <c r="G104" s="95" t="n"/>
      <c r="H104" s="95" t="n"/>
      <c r="I104" s="101">
        <f>IF($B104="","",IF(COUNTIF(Setup!$A$99:$A$128,$B104)&gt;0,IF(INDEX(Setup!$B$99:$B$128,MATCH($B104,Setup!$A$99:$A$128,0))="","Overhead",INDEX(Setup!$B$99:$B$128,MATCH($B104,Setup!$A$99:$A$128,0))),IF(ISNUMBER(SEARCH("advance",$B104))+ISNUMBER(SEARCH("payout",$B104))+ISNUMBER(SEARCH("pay out",$B104))+ISNUMBER(SEARCH("reimburs",$B104))&gt;0,"Transfer",IF(ISNUMBER(SEARCH("loan",$B104))+ISNUMBER(SEARCH("amort",$B104))+ISNUMBER(SEARCH("installment",$B104))+ISNUMBER(SEARCH("instalment",$B104))&gt;0,"Financing",IF(ISNUMBER(SEARCH("draw",$B104))+ISNUMBER(SEARCH("owner",$B104))+ISNUMBER(SEARCH("asset",$B104))+ISNUMBER(SEARCH("capital",$B104))&gt;0,"Other",IF(ISNUMBER(SEARCH("fuel",$B104))+ISNUMBER(SEARCH("diesel",$B104))+ISNUMBER(SEARCH("krudo",$B104))+ISNUMBER(SEARCH("gasolina",$B104))+ISNUMBER(SEARCH("toll",$B104))+ISNUMBER(SEARCH("parking",$B104))+ISNUMBER(SEARCH("repair",$B104))+ISNUMBER(SEARCH("maintenance",$B104))+ISNUMBER(SEARCH("tire",$B104))+ISNUMBER(SEARCH("tyre",$B104))+ISNUMBER(SEARCH("battery",$B104))+ISNUMBER(SEARCH("oil",$B104))+ISNUMBER(SEARCH("filter",$B104))+ISNUMBER(SEARCH("spare",$B104))+ISNUMBER(SEARCH("insurance",$B104))+ISNUMBER(SEARCH("lto",$B104))+ISNUMBER(SEARCH("registration",$B104))+ISNUMBER(SEARCH("emission",$B104))+ISNUMBER(SEARCH("wash",$B104))+ISNUMBER(SEARCH("weigh",$B104))+ISNUMBER(SEARCH("tarp",$B104))&gt;0,"Vehicle",IF(ISNUMBER(SEARCH("rent",$B104))+ISNUMBER(SEARCH("upa",$B104))+ISNUMBER(SEARCH("salary",$B104))+ISNUMBER(SEARCH("sweldo",$B104))+ISNUMBER(SEARCH("wage",$B104))+ISNUMBER(SEARCH("electric",$B104))+ISNUMBER(SEARCH("kuryente",$B104))+ISNUMBER(SEARCH("water",$B104))+ISNUMBER(SEARCH("tubig",$B104))+ISNUMBER(SEARCH("internet",$B104))+ISNUMBER(SEARCH("pldt",$B104))+ISNUMBER(SEARCH("meralco",$B104))+ISNUMBER(SEARCH("supplies",$B104))+ISNUMBER(SEARCH("office",$B104))+ISNUMBER(SEARCH("professional",$B104))+ISNUMBER(SEARCH("accountant",$B104))+ISNUMBER(SEARCH("lawyer",$B104))+ISNUMBER(SEARCH("broker",$B104))+ISNUMBER(SEARCH("bank",$B104))+ISNUMBER(SEARCH("charge",$B104))+ISNUMBER(SEARCH("permit",$B104))+ISNUMBER(SEARCH("bir",$B104))+ISNUMBER(SEARCH("ltfrb",$B104))+ISNUMBER(SEARCH("misc",$B104))+ISNUMBER(SEARCH("fee",$B104))&gt;0,"Overhead","Overhead")))))))</f>
        <v/>
      </c>
      <c r="J104">
        <f>IF($A104="","",DATE(YEAR($A104),MONTH($A104),1))</f>
        <v/>
      </c>
      <c r="K104">
        <f>IF($B104="","",IF(COUNTIF(Setup!$A$99:$A$128,$B104)&gt;0,0,1))</f>
        <v/>
      </c>
      <c r="L104">
        <f>IF($B104="","",IF(ISNUMBER(SEARCH("advance",$B104)),"ADV",IF(OR(ISNUMBER(SEARCH("payout",$B104)),ISNUMBER(SEARCH("pay out",$B104)),ISNUMBER(SEARCH("release",$B104))),"PAY","")))</f>
        <v/>
      </c>
      <c r="M104">
        <f>IF($B104="","",IF(ISNUMBER(SEARCH("bulk",$B104)),0,IF(ISNUMBER(SEARCH("fuel",$B104))+ISNUMBER(SEARCH("diesel",$B104))+ISNUMBER(SEARCH("krudo",$B104))+ISNUMBER(SEARCH("gasolina",$B104))&gt;0,1,0)))</f>
        <v/>
      </c>
      <c r="N104">
        <f>IF($B104="","",IF(ISNUMBER(SEARCH("fuel",$B104))+ISNUMBER(SEARCH("diesel",$B104))+ISNUMBER(SEARCH("krudo",$B104))+ISNUMBER(SEARCH("gasolina",$B104))&gt;0,1,0))</f>
        <v/>
      </c>
    </row>
    <row r="105">
      <c r="A105" s="86" t="n"/>
      <c r="B105" s="88" t="n"/>
      <c r="C105" s="88" t="n"/>
      <c r="D105" s="87" t="n"/>
      <c r="E105" s="88" t="n"/>
      <c r="F105" s="92" t="n"/>
      <c r="G105" s="87" t="n"/>
      <c r="H105" s="87" t="n"/>
      <c r="I105" s="101">
        <f>IF($B105="","",IF(COUNTIF(Setup!$A$99:$A$128,$B105)&gt;0,IF(INDEX(Setup!$B$99:$B$128,MATCH($B105,Setup!$A$99:$A$128,0))="","Overhead",INDEX(Setup!$B$99:$B$128,MATCH($B105,Setup!$A$99:$A$128,0))),IF(ISNUMBER(SEARCH("advance",$B105))+ISNUMBER(SEARCH("payout",$B105))+ISNUMBER(SEARCH("pay out",$B105))+ISNUMBER(SEARCH("reimburs",$B105))&gt;0,"Transfer",IF(ISNUMBER(SEARCH("loan",$B105))+ISNUMBER(SEARCH("amort",$B105))+ISNUMBER(SEARCH("installment",$B105))+ISNUMBER(SEARCH("instalment",$B105))&gt;0,"Financing",IF(ISNUMBER(SEARCH("draw",$B105))+ISNUMBER(SEARCH("owner",$B105))+ISNUMBER(SEARCH("asset",$B105))+ISNUMBER(SEARCH("capital",$B105))&gt;0,"Other",IF(ISNUMBER(SEARCH("fuel",$B105))+ISNUMBER(SEARCH("diesel",$B105))+ISNUMBER(SEARCH("krudo",$B105))+ISNUMBER(SEARCH("gasolina",$B105))+ISNUMBER(SEARCH("toll",$B105))+ISNUMBER(SEARCH("parking",$B105))+ISNUMBER(SEARCH("repair",$B105))+ISNUMBER(SEARCH("maintenance",$B105))+ISNUMBER(SEARCH("tire",$B105))+ISNUMBER(SEARCH("tyre",$B105))+ISNUMBER(SEARCH("battery",$B105))+ISNUMBER(SEARCH("oil",$B105))+ISNUMBER(SEARCH("filter",$B105))+ISNUMBER(SEARCH("spare",$B105))+ISNUMBER(SEARCH("insurance",$B105))+ISNUMBER(SEARCH("lto",$B105))+ISNUMBER(SEARCH("registration",$B105))+ISNUMBER(SEARCH("emission",$B105))+ISNUMBER(SEARCH("wash",$B105))+ISNUMBER(SEARCH("weigh",$B105))+ISNUMBER(SEARCH("tarp",$B105))&gt;0,"Vehicle",IF(ISNUMBER(SEARCH("rent",$B105))+ISNUMBER(SEARCH("upa",$B105))+ISNUMBER(SEARCH("salary",$B105))+ISNUMBER(SEARCH("sweldo",$B105))+ISNUMBER(SEARCH("wage",$B105))+ISNUMBER(SEARCH("electric",$B105))+ISNUMBER(SEARCH("kuryente",$B105))+ISNUMBER(SEARCH("water",$B105))+ISNUMBER(SEARCH("tubig",$B105))+ISNUMBER(SEARCH("internet",$B105))+ISNUMBER(SEARCH("pldt",$B105))+ISNUMBER(SEARCH("meralco",$B105))+ISNUMBER(SEARCH("supplies",$B105))+ISNUMBER(SEARCH("office",$B105))+ISNUMBER(SEARCH("professional",$B105))+ISNUMBER(SEARCH("accountant",$B105))+ISNUMBER(SEARCH("lawyer",$B105))+ISNUMBER(SEARCH("broker",$B105))+ISNUMBER(SEARCH("bank",$B105))+ISNUMBER(SEARCH("charge",$B105))+ISNUMBER(SEARCH("permit",$B105))+ISNUMBER(SEARCH("bir",$B105))+ISNUMBER(SEARCH("ltfrb",$B105))+ISNUMBER(SEARCH("misc",$B105))+ISNUMBER(SEARCH("fee",$B105))&gt;0,"Overhead","Overhead")))))))</f>
        <v/>
      </c>
      <c r="J105">
        <f>IF($A105="","",DATE(YEAR($A105),MONTH($A105),1))</f>
        <v/>
      </c>
      <c r="K105">
        <f>IF($B105="","",IF(COUNTIF(Setup!$A$99:$A$128,$B105)&gt;0,0,1))</f>
        <v/>
      </c>
      <c r="L105">
        <f>IF($B105="","",IF(ISNUMBER(SEARCH("advance",$B105)),"ADV",IF(OR(ISNUMBER(SEARCH("payout",$B105)),ISNUMBER(SEARCH("pay out",$B105)),ISNUMBER(SEARCH("release",$B105))),"PAY","")))</f>
        <v/>
      </c>
      <c r="M105">
        <f>IF($B105="","",IF(ISNUMBER(SEARCH("bulk",$B105)),0,IF(ISNUMBER(SEARCH("fuel",$B105))+ISNUMBER(SEARCH("diesel",$B105))+ISNUMBER(SEARCH("krudo",$B105))+ISNUMBER(SEARCH("gasolina",$B105))&gt;0,1,0)))</f>
        <v/>
      </c>
      <c r="N105">
        <f>IF($B105="","",IF(ISNUMBER(SEARCH("fuel",$B105))+ISNUMBER(SEARCH("diesel",$B105))+ISNUMBER(SEARCH("krudo",$B105))+ISNUMBER(SEARCH("gasolina",$B105))&gt;0,1,0))</f>
        <v/>
      </c>
    </row>
    <row r="106">
      <c r="A106" s="94" t="n"/>
      <c r="B106" s="96" t="n"/>
      <c r="C106" s="96" t="n"/>
      <c r="D106" s="95" t="n"/>
      <c r="E106" s="96" t="n"/>
      <c r="F106" s="99" t="n"/>
      <c r="G106" s="95" t="n"/>
      <c r="H106" s="95" t="n"/>
      <c r="I106" s="101">
        <f>IF($B106="","",IF(COUNTIF(Setup!$A$99:$A$128,$B106)&gt;0,IF(INDEX(Setup!$B$99:$B$128,MATCH($B106,Setup!$A$99:$A$128,0))="","Overhead",INDEX(Setup!$B$99:$B$128,MATCH($B106,Setup!$A$99:$A$128,0))),IF(ISNUMBER(SEARCH("advance",$B106))+ISNUMBER(SEARCH("payout",$B106))+ISNUMBER(SEARCH("pay out",$B106))+ISNUMBER(SEARCH("reimburs",$B106))&gt;0,"Transfer",IF(ISNUMBER(SEARCH("loan",$B106))+ISNUMBER(SEARCH("amort",$B106))+ISNUMBER(SEARCH("installment",$B106))+ISNUMBER(SEARCH("instalment",$B106))&gt;0,"Financing",IF(ISNUMBER(SEARCH("draw",$B106))+ISNUMBER(SEARCH("owner",$B106))+ISNUMBER(SEARCH("asset",$B106))+ISNUMBER(SEARCH("capital",$B106))&gt;0,"Other",IF(ISNUMBER(SEARCH("fuel",$B106))+ISNUMBER(SEARCH("diesel",$B106))+ISNUMBER(SEARCH("krudo",$B106))+ISNUMBER(SEARCH("gasolina",$B106))+ISNUMBER(SEARCH("toll",$B106))+ISNUMBER(SEARCH("parking",$B106))+ISNUMBER(SEARCH("repair",$B106))+ISNUMBER(SEARCH("maintenance",$B106))+ISNUMBER(SEARCH("tire",$B106))+ISNUMBER(SEARCH("tyre",$B106))+ISNUMBER(SEARCH("battery",$B106))+ISNUMBER(SEARCH("oil",$B106))+ISNUMBER(SEARCH("filter",$B106))+ISNUMBER(SEARCH("spare",$B106))+ISNUMBER(SEARCH("insurance",$B106))+ISNUMBER(SEARCH("lto",$B106))+ISNUMBER(SEARCH("registration",$B106))+ISNUMBER(SEARCH("emission",$B106))+ISNUMBER(SEARCH("wash",$B106))+ISNUMBER(SEARCH("weigh",$B106))+ISNUMBER(SEARCH("tarp",$B106))&gt;0,"Vehicle",IF(ISNUMBER(SEARCH("rent",$B106))+ISNUMBER(SEARCH("upa",$B106))+ISNUMBER(SEARCH("salary",$B106))+ISNUMBER(SEARCH("sweldo",$B106))+ISNUMBER(SEARCH("wage",$B106))+ISNUMBER(SEARCH("electric",$B106))+ISNUMBER(SEARCH("kuryente",$B106))+ISNUMBER(SEARCH("water",$B106))+ISNUMBER(SEARCH("tubig",$B106))+ISNUMBER(SEARCH("internet",$B106))+ISNUMBER(SEARCH("pldt",$B106))+ISNUMBER(SEARCH("meralco",$B106))+ISNUMBER(SEARCH("supplies",$B106))+ISNUMBER(SEARCH("office",$B106))+ISNUMBER(SEARCH("professional",$B106))+ISNUMBER(SEARCH("accountant",$B106))+ISNUMBER(SEARCH("lawyer",$B106))+ISNUMBER(SEARCH("broker",$B106))+ISNUMBER(SEARCH("bank",$B106))+ISNUMBER(SEARCH("charge",$B106))+ISNUMBER(SEARCH("permit",$B106))+ISNUMBER(SEARCH("bir",$B106))+ISNUMBER(SEARCH("ltfrb",$B106))+ISNUMBER(SEARCH("misc",$B106))+ISNUMBER(SEARCH("fee",$B106))&gt;0,"Overhead","Overhead")))))))</f>
        <v/>
      </c>
      <c r="J106">
        <f>IF($A106="","",DATE(YEAR($A106),MONTH($A106),1))</f>
        <v/>
      </c>
      <c r="K106">
        <f>IF($B106="","",IF(COUNTIF(Setup!$A$99:$A$128,$B106)&gt;0,0,1))</f>
        <v/>
      </c>
      <c r="L106">
        <f>IF($B106="","",IF(ISNUMBER(SEARCH("advance",$B106)),"ADV",IF(OR(ISNUMBER(SEARCH("payout",$B106)),ISNUMBER(SEARCH("pay out",$B106)),ISNUMBER(SEARCH("release",$B106))),"PAY","")))</f>
        <v/>
      </c>
      <c r="M106">
        <f>IF($B106="","",IF(ISNUMBER(SEARCH("bulk",$B106)),0,IF(ISNUMBER(SEARCH("fuel",$B106))+ISNUMBER(SEARCH("diesel",$B106))+ISNUMBER(SEARCH("krudo",$B106))+ISNUMBER(SEARCH("gasolina",$B106))&gt;0,1,0)))</f>
        <v/>
      </c>
      <c r="N106">
        <f>IF($B106="","",IF(ISNUMBER(SEARCH("fuel",$B106))+ISNUMBER(SEARCH("diesel",$B106))+ISNUMBER(SEARCH("krudo",$B106))+ISNUMBER(SEARCH("gasolina",$B106))&gt;0,1,0))</f>
        <v/>
      </c>
    </row>
    <row r="107">
      <c r="A107" s="86" t="n"/>
      <c r="B107" s="88" t="n"/>
      <c r="C107" s="88" t="n"/>
      <c r="D107" s="87" t="n"/>
      <c r="E107" s="88" t="n"/>
      <c r="F107" s="92" t="n"/>
      <c r="G107" s="87" t="n"/>
      <c r="H107" s="87" t="n"/>
      <c r="I107" s="101">
        <f>IF($B107="","",IF(COUNTIF(Setup!$A$99:$A$128,$B107)&gt;0,IF(INDEX(Setup!$B$99:$B$128,MATCH($B107,Setup!$A$99:$A$128,0))="","Overhead",INDEX(Setup!$B$99:$B$128,MATCH($B107,Setup!$A$99:$A$128,0))),IF(ISNUMBER(SEARCH("advance",$B107))+ISNUMBER(SEARCH("payout",$B107))+ISNUMBER(SEARCH("pay out",$B107))+ISNUMBER(SEARCH("reimburs",$B107))&gt;0,"Transfer",IF(ISNUMBER(SEARCH("loan",$B107))+ISNUMBER(SEARCH("amort",$B107))+ISNUMBER(SEARCH("installment",$B107))+ISNUMBER(SEARCH("instalment",$B107))&gt;0,"Financing",IF(ISNUMBER(SEARCH("draw",$B107))+ISNUMBER(SEARCH("owner",$B107))+ISNUMBER(SEARCH("asset",$B107))+ISNUMBER(SEARCH("capital",$B107))&gt;0,"Other",IF(ISNUMBER(SEARCH("fuel",$B107))+ISNUMBER(SEARCH("diesel",$B107))+ISNUMBER(SEARCH("krudo",$B107))+ISNUMBER(SEARCH("gasolina",$B107))+ISNUMBER(SEARCH("toll",$B107))+ISNUMBER(SEARCH("parking",$B107))+ISNUMBER(SEARCH("repair",$B107))+ISNUMBER(SEARCH("maintenance",$B107))+ISNUMBER(SEARCH("tire",$B107))+ISNUMBER(SEARCH("tyre",$B107))+ISNUMBER(SEARCH("battery",$B107))+ISNUMBER(SEARCH("oil",$B107))+ISNUMBER(SEARCH("filter",$B107))+ISNUMBER(SEARCH("spare",$B107))+ISNUMBER(SEARCH("insurance",$B107))+ISNUMBER(SEARCH("lto",$B107))+ISNUMBER(SEARCH("registration",$B107))+ISNUMBER(SEARCH("emission",$B107))+ISNUMBER(SEARCH("wash",$B107))+ISNUMBER(SEARCH("weigh",$B107))+ISNUMBER(SEARCH("tarp",$B107))&gt;0,"Vehicle",IF(ISNUMBER(SEARCH("rent",$B107))+ISNUMBER(SEARCH("upa",$B107))+ISNUMBER(SEARCH("salary",$B107))+ISNUMBER(SEARCH("sweldo",$B107))+ISNUMBER(SEARCH("wage",$B107))+ISNUMBER(SEARCH("electric",$B107))+ISNUMBER(SEARCH("kuryente",$B107))+ISNUMBER(SEARCH("water",$B107))+ISNUMBER(SEARCH("tubig",$B107))+ISNUMBER(SEARCH("internet",$B107))+ISNUMBER(SEARCH("pldt",$B107))+ISNUMBER(SEARCH("meralco",$B107))+ISNUMBER(SEARCH("supplies",$B107))+ISNUMBER(SEARCH("office",$B107))+ISNUMBER(SEARCH("professional",$B107))+ISNUMBER(SEARCH("accountant",$B107))+ISNUMBER(SEARCH("lawyer",$B107))+ISNUMBER(SEARCH("broker",$B107))+ISNUMBER(SEARCH("bank",$B107))+ISNUMBER(SEARCH("charge",$B107))+ISNUMBER(SEARCH("permit",$B107))+ISNUMBER(SEARCH("bir",$B107))+ISNUMBER(SEARCH("ltfrb",$B107))+ISNUMBER(SEARCH("misc",$B107))+ISNUMBER(SEARCH("fee",$B107))&gt;0,"Overhead","Overhead")))))))</f>
        <v/>
      </c>
      <c r="J107">
        <f>IF($A107="","",DATE(YEAR($A107),MONTH($A107),1))</f>
        <v/>
      </c>
      <c r="K107">
        <f>IF($B107="","",IF(COUNTIF(Setup!$A$99:$A$128,$B107)&gt;0,0,1))</f>
        <v/>
      </c>
      <c r="L107">
        <f>IF($B107="","",IF(ISNUMBER(SEARCH("advance",$B107)),"ADV",IF(OR(ISNUMBER(SEARCH("payout",$B107)),ISNUMBER(SEARCH("pay out",$B107)),ISNUMBER(SEARCH("release",$B107))),"PAY","")))</f>
        <v/>
      </c>
      <c r="M107">
        <f>IF($B107="","",IF(ISNUMBER(SEARCH("bulk",$B107)),0,IF(ISNUMBER(SEARCH("fuel",$B107))+ISNUMBER(SEARCH("diesel",$B107))+ISNUMBER(SEARCH("krudo",$B107))+ISNUMBER(SEARCH("gasolina",$B107))&gt;0,1,0)))</f>
        <v/>
      </c>
      <c r="N107">
        <f>IF($B107="","",IF(ISNUMBER(SEARCH("fuel",$B107))+ISNUMBER(SEARCH("diesel",$B107))+ISNUMBER(SEARCH("krudo",$B107))+ISNUMBER(SEARCH("gasolina",$B107))&gt;0,1,0))</f>
        <v/>
      </c>
    </row>
    <row r="108">
      <c r="A108" s="94" t="n"/>
      <c r="B108" s="96" t="n"/>
      <c r="C108" s="96" t="n"/>
      <c r="D108" s="95" t="n"/>
      <c r="E108" s="96" t="n"/>
      <c r="F108" s="99" t="n"/>
      <c r="G108" s="95" t="n"/>
      <c r="H108" s="95" t="n"/>
      <c r="I108" s="101">
        <f>IF($B108="","",IF(COUNTIF(Setup!$A$99:$A$128,$B108)&gt;0,IF(INDEX(Setup!$B$99:$B$128,MATCH($B108,Setup!$A$99:$A$128,0))="","Overhead",INDEX(Setup!$B$99:$B$128,MATCH($B108,Setup!$A$99:$A$128,0))),IF(ISNUMBER(SEARCH("advance",$B108))+ISNUMBER(SEARCH("payout",$B108))+ISNUMBER(SEARCH("pay out",$B108))+ISNUMBER(SEARCH("reimburs",$B108))&gt;0,"Transfer",IF(ISNUMBER(SEARCH("loan",$B108))+ISNUMBER(SEARCH("amort",$B108))+ISNUMBER(SEARCH("installment",$B108))+ISNUMBER(SEARCH("instalment",$B108))&gt;0,"Financing",IF(ISNUMBER(SEARCH("draw",$B108))+ISNUMBER(SEARCH("owner",$B108))+ISNUMBER(SEARCH("asset",$B108))+ISNUMBER(SEARCH("capital",$B108))&gt;0,"Other",IF(ISNUMBER(SEARCH("fuel",$B108))+ISNUMBER(SEARCH("diesel",$B108))+ISNUMBER(SEARCH("krudo",$B108))+ISNUMBER(SEARCH("gasolina",$B108))+ISNUMBER(SEARCH("toll",$B108))+ISNUMBER(SEARCH("parking",$B108))+ISNUMBER(SEARCH("repair",$B108))+ISNUMBER(SEARCH("maintenance",$B108))+ISNUMBER(SEARCH("tire",$B108))+ISNUMBER(SEARCH("tyre",$B108))+ISNUMBER(SEARCH("battery",$B108))+ISNUMBER(SEARCH("oil",$B108))+ISNUMBER(SEARCH("filter",$B108))+ISNUMBER(SEARCH("spare",$B108))+ISNUMBER(SEARCH("insurance",$B108))+ISNUMBER(SEARCH("lto",$B108))+ISNUMBER(SEARCH("registration",$B108))+ISNUMBER(SEARCH("emission",$B108))+ISNUMBER(SEARCH("wash",$B108))+ISNUMBER(SEARCH("weigh",$B108))+ISNUMBER(SEARCH("tarp",$B108))&gt;0,"Vehicle",IF(ISNUMBER(SEARCH("rent",$B108))+ISNUMBER(SEARCH("upa",$B108))+ISNUMBER(SEARCH("salary",$B108))+ISNUMBER(SEARCH("sweldo",$B108))+ISNUMBER(SEARCH("wage",$B108))+ISNUMBER(SEARCH("electric",$B108))+ISNUMBER(SEARCH("kuryente",$B108))+ISNUMBER(SEARCH("water",$B108))+ISNUMBER(SEARCH("tubig",$B108))+ISNUMBER(SEARCH("internet",$B108))+ISNUMBER(SEARCH("pldt",$B108))+ISNUMBER(SEARCH("meralco",$B108))+ISNUMBER(SEARCH("supplies",$B108))+ISNUMBER(SEARCH("office",$B108))+ISNUMBER(SEARCH("professional",$B108))+ISNUMBER(SEARCH("accountant",$B108))+ISNUMBER(SEARCH("lawyer",$B108))+ISNUMBER(SEARCH("broker",$B108))+ISNUMBER(SEARCH("bank",$B108))+ISNUMBER(SEARCH("charge",$B108))+ISNUMBER(SEARCH("permit",$B108))+ISNUMBER(SEARCH("bir",$B108))+ISNUMBER(SEARCH("ltfrb",$B108))+ISNUMBER(SEARCH("misc",$B108))+ISNUMBER(SEARCH("fee",$B108))&gt;0,"Overhead","Overhead")))))))</f>
        <v/>
      </c>
      <c r="J108">
        <f>IF($A108="","",DATE(YEAR($A108),MONTH($A108),1))</f>
        <v/>
      </c>
      <c r="K108">
        <f>IF($B108="","",IF(COUNTIF(Setup!$A$99:$A$128,$B108)&gt;0,0,1))</f>
        <v/>
      </c>
      <c r="L108">
        <f>IF($B108="","",IF(ISNUMBER(SEARCH("advance",$B108)),"ADV",IF(OR(ISNUMBER(SEARCH("payout",$B108)),ISNUMBER(SEARCH("pay out",$B108)),ISNUMBER(SEARCH("release",$B108))),"PAY","")))</f>
        <v/>
      </c>
      <c r="M108">
        <f>IF($B108="","",IF(ISNUMBER(SEARCH("bulk",$B108)),0,IF(ISNUMBER(SEARCH("fuel",$B108))+ISNUMBER(SEARCH("diesel",$B108))+ISNUMBER(SEARCH("krudo",$B108))+ISNUMBER(SEARCH("gasolina",$B108))&gt;0,1,0)))</f>
        <v/>
      </c>
      <c r="N108">
        <f>IF($B108="","",IF(ISNUMBER(SEARCH("fuel",$B108))+ISNUMBER(SEARCH("diesel",$B108))+ISNUMBER(SEARCH("krudo",$B108))+ISNUMBER(SEARCH("gasolina",$B108))&gt;0,1,0))</f>
        <v/>
      </c>
    </row>
    <row r="109">
      <c r="A109" s="86" t="n"/>
      <c r="B109" s="88" t="n"/>
      <c r="C109" s="88" t="n"/>
      <c r="D109" s="87" t="n"/>
      <c r="E109" s="88" t="n"/>
      <c r="F109" s="92" t="n"/>
      <c r="G109" s="87" t="n"/>
      <c r="H109" s="87" t="n"/>
      <c r="I109" s="101">
        <f>IF($B109="","",IF(COUNTIF(Setup!$A$99:$A$128,$B109)&gt;0,IF(INDEX(Setup!$B$99:$B$128,MATCH($B109,Setup!$A$99:$A$128,0))="","Overhead",INDEX(Setup!$B$99:$B$128,MATCH($B109,Setup!$A$99:$A$128,0))),IF(ISNUMBER(SEARCH("advance",$B109))+ISNUMBER(SEARCH("payout",$B109))+ISNUMBER(SEARCH("pay out",$B109))+ISNUMBER(SEARCH("reimburs",$B109))&gt;0,"Transfer",IF(ISNUMBER(SEARCH("loan",$B109))+ISNUMBER(SEARCH("amort",$B109))+ISNUMBER(SEARCH("installment",$B109))+ISNUMBER(SEARCH("instalment",$B109))&gt;0,"Financing",IF(ISNUMBER(SEARCH("draw",$B109))+ISNUMBER(SEARCH("owner",$B109))+ISNUMBER(SEARCH("asset",$B109))+ISNUMBER(SEARCH("capital",$B109))&gt;0,"Other",IF(ISNUMBER(SEARCH("fuel",$B109))+ISNUMBER(SEARCH("diesel",$B109))+ISNUMBER(SEARCH("krudo",$B109))+ISNUMBER(SEARCH("gasolina",$B109))+ISNUMBER(SEARCH("toll",$B109))+ISNUMBER(SEARCH("parking",$B109))+ISNUMBER(SEARCH("repair",$B109))+ISNUMBER(SEARCH("maintenance",$B109))+ISNUMBER(SEARCH("tire",$B109))+ISNUMBER(SEARCH("tyre",$B109))+ISNUMBER(SEARCH("battery",$B109))+ISNUMBER(SEARCH("oil",$B109))+ISNUMBER(SEARCH("filter",$B109))+ISNUMBER(SEARCH("spare",$B109))+ISNUMBER(SEARCH("insurance",$B109))+ISNUMBER(SEARCH("lto",$B109))+ISNUMBER(SEARCH("registration",$B109))+ISNUMBER(SEARCH("emission",$B109))+ISNUMBER(SEARCH("wash",$B109))+ISNUMBER(SEARCH("weigh",$B109))+ISNUMBER(SEARCH("tarp",$B109))&gt;0,"Vehicle",IF(ISNUMBER(SEARCH("rent",$B109))+ISNUMBER(SEARCH("upa",$B109))+ISNUMBER(SEARCH("salary",$B109))+ISNUMBER(SEARCH("sweldo",$B109))+ISNUMBER(SEARCH("wage",$B109))+ISNUMBER(SEARCH("electric",$B109))+ISNUMBER(SEARCH("kuryente",$B109))+ISNUMBER(SEARCH("water",$B109))+ISNUMBER(SEARCH("tubig",$B109))+ISNUMBER(SEARCH("internet",$B109))+ISNUMBER(SEARCH("pldt",$B109))+ISNUMBER(SEARCH("meralco",$B109))+ISNUMBER(SEARCH("supplies",$B109))+ISNUMBER(SEARCH("office",$B109))+ISNUMBER(SEARCH("professional",$B109))+ISNUMBER(SEARCH("accountant",$B109))+ISNUMBER(SEARCH("lawyer",$B109))+ISNUMBER(SEARCH("broker",$B109))+ISNUMBER(SEARCH("bank",$B109))+ISNUMBER(SEARCH("charge",$B109))+ISNUMBER(SEARCH("permit",$B109))+ISNUMBER(SEARCH("bir",$B109))+ISNUMBER(SEARCH("ltfrb",$B109))+ISNUMBER(SEARCH("misc",$B109))+ISNUMBER(SEARCH("fee",$B109))&gt;0,"Overhead","Overhead")))))))</f>
        <v/>
      </c>
      <c r="J109">
        <f>IF($A109="","",DATE(YEAR($A109),MONTH($A109),1))</f>
        <v/>
      </c>
      <c r="K109">
        <f>IF($B109="","",IF(COUNTIF(Setup!$A$99:$A$128,$B109)&gt;0,0,1))</f>
        <v/>
      </c>
      <c r="L109">
        <f>IF($B109="","",IF(ISNUMBER(SEARCH("advance",$B109)),"ADV",IF(OR(ISNUMBER(SEARCH("payout",$B109)),ISNUMBER(SEARCH("pay out",$B109)),ISNUMBER(SEARCH("release",$B109))),"PAY","")))</f>
        <v/>
      </c>
      <c r="M109">
        <f>IF($B109="","",IF(ISNUMBER(SEARCH("bulk",$B109)),0,IF(ISNUMBER(SEARCH("fuel",$B109))+ISNUMBER(SEARCH("diesel",$B109))+ISNUMBER(SEARCH("krudo",$B109))+ISNUMBER(SEARCH("gasolina",$B109))&gt;0,1,0)))</f>
        <v/>
      </c>
      <c r="N109">
        <f>IF($B109="","",IF(ISNUMBER(SEARCH("fuel",$B109))+ISNUMBER(SEARCH("diesel",$B109))+ISNUMBER(SEARCH("krudo",$B109))+ISNUMBER(SEARCH("gasolina",$B109))&gt;0,1,0))</f>
        <v/>
      </c>
    </row>
    <row r="110">
      <c r="A110" s="94" t="n"/>
      <c r="B110" s="96" t="n"/>
      <c r="C110" s="96" t="n"/>
      <c r="D110" s="95" t="n"/>
      <c r="E110" s="96" t="n"/>
      <c r="F110" s="99" t="n"/>
      <c r="G110" s="95" t="n"/>
      <c r="H110" s="95" t="n"/>
      <c r="I110" s="101">
        <f>IF($B110="","",IF(COUNTIF(Setup!$A$99:$A$128,$B110)&gt;0,IF(INDEX(Setup!$B$99:$B$128,MATCH($B110,Setup!$A$99:$A$128,0))="","Overhead",INDEX(Setup!$B$99:$B$128,MATCH($B110,Setup!$A$99:$A$128,0))),IF(ISNUMBER(SEARCH("advance",$B110))+ISNUMBER(SEARCH("payout",$B110))+ISNUMBER(SEARCH("pay out",$B110))+ISNUMBER(SEARCH("reimburs",$B110))&gt;0,"Transfer",IF(ISNUMBER(SEARCH("loan",$B110))+ISNUMBER(SEARCH("amort",$B110))+ISNUMBER(SEARCH("installment",$B110))+ISNUMBER(SEARCH("instalment",$B110))&gt;0,"Financing",IF(ISNUMBER(SEARCH("draw",$B110))+ISNUMBER(SEARCH("owner",$B110))+ISNUMBER(SEARCH("asset",$B110))+ISNUMBER(SEARCH("capital",$B110))&gt;0,"Other",IF(ISNUMBER(SEARCH("fuel",$B110))+ISNUMBER(SEARCH("diesel",$B110))+ISNUMBER(SEARCH("krudo",$B110))+ISNUMBER(SEARCH("gasolina",$B110))+ISNUMBER(SEARCH("toll",$B110))+ISNUMBER(SEARCH("parking",$B110))+ISNUMBER(SEARCH("repair",$B110))+ISNUMBER(SEARCH("maintenance",$B110))+ISNUMBER(SEARCH("tire",$B110))+ISNUMBER(SEARCH("tyre",$B110))+ISNUMBER(SEARCH("battery",$B110))+ISNUMBER(SEARCH("oil",$B110))+ISNUMBER(SEARCH("filter",$B110))+ISNUMBER(SEARCH("spare",$B110))+ISNUMBER(SEARCH("insurance",$B110))+ISNUMBER(SEARCH("lto",$B110))+ISNUMBER(SEARCH("registration",$B110))+ISNUMBER(SEARCH("emission",$B110))+ISNUMBER(SEARCH("wash",$B110))+ISNUMBER(SEARCH("weigh",$B110))+ISNUMBER(SEARCH("tarp",$B110))&gt;0,"Vehicle",IF(ISNUMBER(SEARCH("rent",$B110))+ISNUMBER(SEARCH("upa",$B110))+ISNUMBER(SEARCH("salary",$B110))+ISNUMBER(SEARCH("sweldo",$B110))+ISNUMBER(SEARCH("wage",$B110))+ISNUMBER(SEARCH("electric",$B110))+ISNUMBER(SEARCH("kuryente",$B110))+ISNUMBER(SEARCH("water",$B110))+ISNUMBER(SEARCH("tubig",$B110))+ISNUMBER(SEARCH("internet",$B110))+ISNUMBER(SEARCH("pldt",$B110))+ISNUMBER(SEARCH("meralco",$B110))+ISNUMBER(SEARCH("supplies",$B110))+ISNUMBER(SEARCH("office",$B110))+ISNUMBER(SEARCH("professional",$B110))+ISNUMBER(SEARCH("accountant",$B110))+ISNUMBER(SEARCH("lawyer",$B110))+ISNUMBER(SEARCH("broker",$B110))+ISNUMBER(SEARCH("bank",$B110))+ISNUMBER(SEARCH("charge",$B110))+ISNUMBER(SEARCH("permit",$B110))+ISNUMBER(SEARCH("bir",$B110))+ISNUMBER(SEARCH("ltfrb",$B110))+ISNUMBER(SEARCH("misc",$B110))+ISNUMBER(SEARCH("fee",$B110))&gt;0,"Overhead","Overhead")))))))</f>
        <v/>
      </c>
      <c r="J110">
        <f>IF($A110="","",DATE(YEAR($A110),MONTH($A110),1))</f>
        <v/>
      </c>
      <c r="K110">
        <f>IF($B110="","",IF(COUNTIF(Setup!$A$99:$A$128,$B110)&gt;0,0,1))</f>
        <v/>
      </c>
      <c r="L110">
        <f>IF($B110="","",IF(ISNUMBER(SEARCH("advance",$B110)),"ADV",IF(OR(ISNUMBER(SEARCH("payout",$B110)),ISNUMBER(SEARCH("pay out",$B110)),ISNUMBER(SEARCH("release",$B110))),"PAY","")))</f>
        <v/>
      </c>
      <c r="M110">
        <f>IF($B110="","",IF(ISNUMBER(SEARCH("bulk",$B110)),0,IF(ISNUMBER(SEARCH("fuel",$B110))+ISNUMBER(SEARCH("diesel",$B110))+ISNUMBER(SEARCH("krudo",$B110))+ISNUMBER(SEARCH("gasolina",$B110))&gt;0,1,0)))</f>
        <v/>
      </c>
      <c r="N110">
        <f>IF($B110="","",IF(ISNUMBER(SEARCH("fuel",$B110))+ISNUMBER(SEARCH("diesel",$B110))+ISNUMBER(SEARCH("krudo",$B110))+ISNUMBER(SEARCH("gasolina",$B110))&gt;0,1,0))</f>
        <v/>
      </c>
    </row>
    <row r="111">
      <c r="A111" s="86" t="n"/>
      <c r="B111" s="88" t="n"/>
      <c r="C111" s="88" t="n"/>
      <c r="D111" s="87" t="n"/>
      <c r="E111" s="88" t="n"/>
      <c r="F111" s="92" t="n"/>
      <c r="G111" s="87" t="n"/>
      <c r="H111" s="87" t="n"/>
      <c r="I111" s="101">
        <f>IF($B111="","",IF(COUNTIF(Setup!$A$99:$A$128,$B111)&gt;0,IF(INDEX(Setup!$B$99:$B$128,MATCH($B111,Setup!$A$99:$A$128,0))="","Overhead",INDEX(Setup!$B$99:$B$128,MATCH($B111,Setup!$A$99:$A$128,0))),IF(ISNUMBER(SEARCH("advance",$B111))+ISNUMBER(SEARCH("payout",$B111))+ISNUMBER(SEARCH("pay out",$B111))+ISNUMBER(SEARCH("reimburs",$B111))&gt;0,"Transfer",IF(ISNUMBER(SEARCH("loan",$B111))+ISNUMBER(SEARCH("amort",$B111))+ISNUMBER(SEARCH("installment",$B111))+ISNUMBER(SEARCH("instalment",$B111))&gt;0,"Financing",IF(ISNUMBER(SEARCH("draw",$B111))+ISNUMBER(SEARCH("owner",$B111))+ISNUMBER(SEARCH("asset",$B111))+ISNUMBER(SEARCH("capital",$B111))&gt;0,"Other",IF(ISNUMBER(SEARCH("fuel",$B111))+ISNUMBER(SEARCH("diesel",$B111))+ISNUMBER(SEARCH("krudo",$B111))+ISNUMBER(SEARCH("gasolina",$B111))+ISNUMBER(SEARCH("toll",$B111))+ISNUMBER(SEARCH("parking",$B111))+ISNUMBER(SEARCH("repair",$B111))+ISNUMBER(SEARCH("maintenance",$B111))+ISNUMBER(SEARCH("tire",$B111))+ISNUMBER(SEARCH("tyre",$B111))+ISNUMBER(SEARCH("battery",$B111))+ISNUMBER(SEARCH("oil",$B111))+ISNUMBER(SEARCH("filter",$B111))+ISNUMBER(SEARCH("spare",$B111))+ISNUMBER(SEARCH("insurance",$B111))+ISNUMBER(SEARCH("lto",$B111))+ISNUMBER(SEARCH("registration",$B111))+ISNUMBER(SEARCH("emission",$B111))+ISNUMBER(SEARCH("wash",$B111))+ISNUMBER(SEARCH("weigh",$B111))+ISNUMBER(SEARCH("tarp",$B111))&gt;0,"Vehicle",IF(ISNUMBER(SEARCH("rent",$B111))+ISNUMBER(SEARCH("upa",$B111))+ISNUMBER(SEARCH("salary",$B111))+ISNUMBER(SEARCH("sweldo",$B111))+ISNUMBER(SEARCH("wage",$B111))+ISNUMBER(SEARCH("electric",$B111))+ISNUMBER(SEARCH("kuryente",$B111))+ISNUMBER(SEARCH("water",$B111))+ISNUMBER(SEARCH("tubig",$B111))+ISNUMBER(SEARCH("internet",$B111))+ISNUMBER(SEARCH("pldt",$B111))+ISNUMBER(SEARCH("meralco",$B111))+ISNUMBER(SEARCH("supplies",$B111))+ISNUMBER(SEARCH("office",$B111))+ISNUMBER(SEARCH("professional",$B111))+ISNUMBER(SEARCH("accountant",$B111))+ISNUMBER(SEARCH("lawyer",$B111))+ISNUMBER(SEARCH("broker",$B111))+ISNUMBER(SEARCH("bank",$B111))+ISNUMBER(SEARCH("charge",$B111))+ISNUMBER(SEARCH("permit",$B111))+ISNUMBER(SEARCH("bir",$B111))+ISNUMBER(SEARCH("ltfrb",$B111))+ISNUMBER(SEARCH("misc",$B111))+ISNUMBER(SEARCH("fee",$B111))&gt;0,"Overhead","Overhead")))))))</f>
        <v/>
      </c>
      <c r="J111">
        <f>IF($A111="","",DATE(YEAR($A111),MONTH($A111),1))</f>
        <v/>
      </c>
      <c r="K111">
        <f>IF($B111="","",IF(COUNTIF(Setup!$A$99:$A$128,$B111)&gt;0,0,1))</f>
        <v/>
      </c>
      <c r="L111">
        <f>IF($B111="","",IF(ISNUMBER(SEARCH("advance",$B111)),"ADV",IF(OR(ISNUMBER(SEARCH("payout",$B111)),ISNUMBER(SEARCH("pay out",$B111)),ISNUMBER(SEARCH("release",$B111))),"PAY","")))</f>
        <v/>
      </c>
      <c r="M111">
        <f>IF($B111="","",IF(ISNUMBER(SEARCH("bulk",$B111)),0,IF(ISNUMBER(SEARCH("fuel",$B111))+ISNUMBER(SEARCH("diesel",$B111))+ISNUMBER(SEARCH("krudo",$B111))+ISNUMBER(SEARCH("gasolina",$B111))&gt;0,1,0)))</f>
        <v/>
      </c>
      <c r="N111">
        <f>IF($B111="","",IF(ISNUMBER(SEARCH("fuel",$B111))+ISNUMBER(SEARCH("diesel",$B111))+ISNUMBER(SEARCH("krudo",$B111))+ISNUMBER(SEARCH("gasolina",$B111))&gt;0,1,0))</f>
        <v/>
      </c>
    </row>
    <row r="112">
      <c r="A112" s="94" t="n"/>
      <c r="B112" s="96" t="n"/>
      <c r="C112" s="96" t="n"/>
      <c r="D112" s="95" t="n"/>
      <c r="E112" s="96" t="n"/>
      <c r="F112" s="99" t="n"/>
      <c r="G112" s="95" t="n"/>
      <c r="H112" s="95" t="n"/>
      <c r="I112" s="101">
        <f>IF($B112="","",IF(COUNTIF(Setup!$A$99:$A$128,$B112)&gt;0,IF(INDEX(Setup!$B$99:$B$128,MATCH($B112,Setup!$A$99:$A$128,0))="","Overhead",INDEX(Setup!$B$99:$B$128,MATCH($B112,Setup!$A$99:$A$128,0))),IF(ISNUMBER(SEARCH("advance",$B112))+ISNUMBER(SEARCH("payout",$B112))+ISNUMBER(SEARCH("pay out",$B112))+ISNUMBER(SEARCH("reimburs",$B112))&gt;0,"Transfer",IF(ISNUMBER(SEARCH("loan",$B112))+ISNUMBER(SEARCH("amort",$B112))+ISNUMBER(SEARCH("installment",$B112))+ISNUMBER(SEARCH("instalment",$B112))&gt;0,"Financing",IF(ISNUMBER(SEARCH("draw",$B112))+ISNUMBER(SEARCH("owner",$B112))+ISNUMBER(SEARCH("asset",$B112))+ISNUMBER(SEARCH("capital",$B112))&gt;0,"Other",IF(ISNUMBER(SEARCH("fuel",$B112))+ISNUMBER(SEARCH("diesel",$B112))+ISNUMBER(SEARCH("krudo",$B112))+ISNUMBER(SEARCH("gasolina",$B112))+ISNUMBER(SEARCH("toll",$B112))+ISNUMBER(SEARCH("parking",$B112))+ISNUMBER(SEARCH("repair",$B112))+ISNUMBER(SEARCH("maintenance",$B112))+ISNUMBER(SEARCH("tire",$B112))+ISNUMBER(SEARCH("tyre",$B112))+ISNUMBER(SEARCH("battery",$B112))+ISNUMBER(SEARCH("oil",$B112))+ISNUMBER(SEARCH("filter",$B112))+ISNUMBER(SEARCH("spare",$B112))+ISNUMBER(SEARCH("insurance",$B112))+ISNUMBER(SEARCH("lto",$B112))+ISNUMBER(SEARCH("registration",$B112))+ISNUMBER(SEARCH("emission",$B112))+ISNUMBER(SEARCH("wash",$B112))+ISNUMBER(SEARCH("weigh",$B112))+ISNUMBER(SEARCH("tarp",$B112))&gt;0,"Vehicle",IF(ISNUMBER(SEARCH("rent",$B112))+ISNUMBER(SEARCH("upa",$B112))+ISNUMBER(SEARCH("salary",$B112))+ISNUMBER(SEARCH("sweldo",$B112))+ISNUMBER(SEARCH("wage",$B112))+ISNUMBER(SEARCH("electric",$B112))+ISNUMBER(SEARCH("kuryente",$B112))+ISNUMBER(SEARCH("water",$B112))+ISNUMBER(SEARCH("tubig",$B112))+ISNUMBER(SEARCH("internet",$B112))+ISNUMBER(SEARCH("pldt",$B112))+ISNUMBER(SEARCH("meralco",$B112))+ISNUMBER(SEARCH("supplies",$B112))+ISNUMBER(SEARCH("office",$B112))+ISNUMBER(SEARCH("professional",$B112))+ISNUMBER(SEARCH("accountant",$B112))+ISNUMBER(SEARCH("lawyer",$B112))+ISNUMBER(SEARCH("broker",$B112))+ISNUMBER(SEARCH("bank",$B112))+ISNUMBER(SEARCH("charge",$B112))+ISNUMBER(SEARCH("permit",$B112))+ISNUMBER(SEARCH("bir",$B112))+ISNUMBER(SEARCH("ltfrb",$B112))+ISNUMBER(SEARCH("misc",$B112))+ISNUMBER(SEARCH("fee",$B112))&gt;0,"Overhead","Overhead")))))))</f>
        <v/>
      </c>
      <c r="J112">
        <f>IF($A112="","",DATE(YEAR($A112),MONTH($A112),1))</f>
        <v/>
      </c>
      <c r="K112">
        <f>IF($B112="","",IF(COUNTIF(Setup!$A$99:$A$128,$B112)&gt;0,0,1))</f>
        <v/>
      </c>
      <c r="L112">
        <f>IF($B112="","",IF(ISNUMBER(SEARCH("advance",$B112)),"ADV",IF(OR(ISNUMBER(SEARCH("payout",$B112)),ISNUMBER(SEARCH("pay out",$B112)),ISNUMBER(SEARCH("release",$B112))),"PAY","")))</f>
        <v/>
      </c>
      <c r="M112">
        <f>IF($B112="","",IF(ISNUMBER(SEARCH("bulk",$B112)),0,IF(ISNUMBER(SEARCH("fuel",$B112))+ISNUMBER(SEARCH("diesel",$B112))+ISNUMBER(SEARCH("krudo",$B112))+ISNUMBER(SEARCH("gasolina",$B112))&gt;0,1,0)))</f>
        <v/>
      </c>
      <c r="N112">
        <f>IF($B112="","",IF(ISNUMBER(SEARCH("fuel",$B112))+ISNUMBER(SEARCH("diesel",$B112))+ISNUMBER(SEARCH("krudo",$B112))+ISNUMBER(SEARCH("gasolina",$B112))&gt;0,1,0))</f>
        <v/>
      </c>
    </row>
    <row r="113">
      <c r="A113" s="86" t="n"/>
      <c r="B113" s="88" t="n"/>
      <c r="C113" s="88" t="n"/>
      <c r="D113" s="87" t="n"/>
      <c r="E113" s="88" t="n"/>
      <c r="F113" s="92" t="n"/>
      <c r="G113" s="87" t="n"/>
      <c r="H113" s="87" t="n"/>
      <c r="I113" s="101">
        <f>IF($B113="","",IF(COUNTIF(Setup!$A$99:$A$128,$B113)&gt;0,IF(INDEX(Setup!$B$99:$B$128,MATCH($B113,Setup!$A$99:$A$128,0))="","Overhead",INDEX(Setup!$B$99:$B$128,MATCH($B113,Setup!$A$99:$A$128,0))),IF(ISNUMBER(SEARCH("advance",$B113))+ISNUMBER(SEARCH("payout",$B113))+ISNUMBER(SEARCH("pay out",$B113))+ISNUMBER(SEARCH("reimburs",$B113))&gt;0,"Transfer",IF(ISNUMBER(SEARCH("loan",$B113))+ISNUMBER(SEARCH("amort",$B113))+ISNUMBER(SEARCH("installment",$B113))+ISNUMBER(SEARCH("instalment",$B113))&gt;0,"Financing",IF(ISNUMBER(SEARCH("draw",$B113))+ISNUMBER(SEARCH("owner",$B113))+ISNUMBER(SEARCH("asset",$B113))+ISNUMBER(SEARCH("capital",$B113))&gt;0,"Other",IF(ISNUMBER(SEARCH("fuel",$B113))+ISNUMBER(SEARCH("diesel",$B113))+ISNUMBER(SEARCH("krudo",$B113))+ISNUMBER(SEARCH("gasolina",$B113))+ISNUMBER(SEARCH("toll",$B113))+ISNUMBER(SEARCH("parking",$B113))+ISNUMBER(SEARCH("repair",$B113))+ISNUMBER(SEARCH("maintenance",$B113))+ISNUMBER(SEARCH("tire",$B113))+ISNUMBER(SEARCH("tyre",$B113))+ISNUMBER(SEARCH("battery",$B113))+ISNUMBER(SEARCH("oil",$B113))+ISNUMBER(SEARCH("filter",$B113))+ISNUMBER(SEARCH("spare",$B113))+ISNUMBER(SEARCH("insurance",$B113))+ISNUMBER(SEARCH("lto",$B113))+ISNUMBER(SEARCH("registration",$B113))+ISNUMBER(SEARCH("emission",$B113))+ISNUMBER(SEARCH("wash",$B113))+ISNUMBER(SEARCH("weigh",$B113))+ISNUMBER(SEARCH("tarp",$B113))&gt;0,"Vehicle",IF(ISNUMBER(SEARCH("rent",$B113))+ISNUMBER(SEARCH("upa",$B113))+ISNUMBER(SEARCH("salary",$B113))+ISNUMBER(SEARCH("sweldo",$B113))+ISNUMBER(SEARCH("wage",$B113))+ISNUMBER(SEARCH("electric",$B113))+ISNUMBER(SEARCH("kuryente",$B113))+ISNUMBER(SEARCH("water",$B113))+ISNUMBER(SEARCH("tubig",$B113))+ISNUMBER(SEARCH("internet",$B113))+ISNUMBER(SEARCH("pldt",$B113))+ISNUMBER(SEARCH("meralco",$B113))+ISNUMBER(SEARCH("supplies",$B113))+ISNUMBER(SEARCH("office",$B113))+ISNUMBER(SEARCH("professional",$B113))+ISNUMBER(SEARCH("accountant",$B113))+ISNUMBER(SEARCH("lawyer",$B113))+ISNUMBER(SEARCH("broker",$B113))+ISNUMBER(SEARCH("bank",$B113))+ISNUMBER(SEARCH("charge",$B113))+ISNUMBER(SEARCH("permit",$B113))+ISNUMBER(SEARCH("bir",$B113))+ISNUMBER(SEARCH("ltfrb",$B113))+ISNUMBER(SEARCH("misc",$B113))+ISNUMBER(SEARCH("fee",$B113))&gt;0,"Overhead","Overhead")))))))</f>
        <v/>
      </c>
      <c r="J113">
        <f>IF($A113="","",DATE(YEAR($A113),MONTH($A113),1))</f>
        <v/>
      </c>
      <c r="K113">
        <f>IF($B113="","",IF(COUNTIF(Setup!$A$99:$A$128,$B113)&gt;0,0,1))</f>
        <v/>
      </c>
      <c r="L113">
        <f>IF($B113="","",IF(ISNUMBER(SEARCH("advance",$B113)),"ADV",IF(OR(ISNUMBER(SEARCH("payout",$B113)),ISNUMBER(SEARCH("pay out",$B113)),ISNUMBER(SEARCH("release",$B113))),"PAY","")))</f>
        <v/>
      </c>
      <c r="M113">
        <f>IF($B113="","",IF(ISNUMBER(SEARCH("bulk",$B113)),0,IF(ISNUMBER(SEARCH("fuel",$B113))+ISNUMBER(SEARCH("diesel",$B113))+ISNUMBER(SEARCH("krudo",$B113))+ISNUMBER(SEARCH("gasolina",$B113))&gt;0,1,0)))</f>
        <v/>
      </c>
      <c r="N113">
        <f>IF($B113="","",IF(ISNUMBER(SEARCH("fuel",$B113))+ISNUMBER(SEARCH("diesel",$B113))+ISNUMBER(SEARCH("krudo",$B113))+ISNUMBER(SEARCH("gasolina",$B113))&gt;0,1,0))</f>
        <v/>
      </c>
    </row>
    <row r="114">
      <c r="A114" s="94" t="n"/>
      <c r="B114" s="96" t="n"/>
      <c r="C114" s="96" t="n"/>
      <c r="D114" s="95" t="n"/>
      <c r="E114" s="96" t="n"/>
      <c r="F114" s="99" t="n"/>
      <c r="G114" s="95" t="n"/>
      <c r="H114" s="95" t="n"/>
      <c r="I114" s="101">
        <f>IF($B114="","",IF(COUNTIF(Setup!$A$99:$A$128,$B114)&gt;0,IF(INDEX(Setup!$B$99:$B$128,MATCH($B114,Setup!$A$99:$A$128,0))="","Overhead",INDEX(Setup!$B$99:$B$128,MATCH($B114,Setup!$A$99:$A$128,0))),IF(ISNUMBER(SEARCH("advance",$B114))+ISNUMBER(SEARCH("payout",$B114))+ISNUMBER(SEARCH("pay out",$B114))+ISNUMBER(SEARCH("reimburs",$B114))&gt;0,"Transfer",IF(ISNUMBER(SEARCH("loan",$B114))+ISNUMBER(SEARCH("amort",$B114))+ISNUMBER(SEARCH("installment",$B114))+ISNUMBER(SEARCH("instalment",$B114))&gt;0,"Financing",IF(ISNUMBER(SEARCH("draw",$B114))+ISNUMBER(SEARCH("owner",$B114))+ISNUMBER(SEARCH("asset",$B114))+ISNUMBER(SEARCH("capital",$B114))&gt;0,"Other",IF(ISNUMBER(SEARCH("fuel",$B114))+ISNUMBER(SEARCH("diesel",$B114))+ISNUMBER(SEARCH("krudo",$B114))+ISNUMBER(SEARCH("gasolina",$B114))+ISNUMBER(SEARCH("toll",$B114))+ISNUMBER(SEARCH("parking",$B114))+ISNUMBER(SEARCH("repair",$B114))+ISNUMBER(SEARCH("maintenance",$B114))+ISNUMBER(SEARCH("tire",$B114))+ISNUMBER(SEARCH("tyre",$B114))+ISNUMBER(SEARCH("battery",$B114))+ISNUMBER(SEARCH("oil",$B114))+ISNUMBER(SEARCH("filter",$B114))+ISNUMBER(SEARCH("spare",$B114))+ISNUMBER(SEARCH("insurance",$B114))+ISNUMBER(SEARCH("lto",$B114))+ISNUMBER(SEARCH("registration",$B114))+ISNUMBER(SEARCH("emission",$B114))+ISNUMBER(SEARCH("wash",$B114))+ISNUMBER(SEARCH("weigh",$B114))+ISNUMBER(SEARCH("tarp",$B114))&gt;0,"Vehicle",IF(ISNUMBER(SEARCH("rent",$B114))+ISNUMBER(SEARCH("upa",$B114))+ISNUMBER(SEARCH("salary",$B114))+ISNUMBER(SEARCH("sweldo",$B114))+ISNUMBER(SEARCH("wage",$B114))+ISNUMBER(SEARCH("electric",$B114))+ISNUMBER(SEARCH("kuryente",$B114))+ISNUMBER(SEARCH("water",$B114))+ISNUMBER(SEARCH("tubig",$B114))+ISNUMBER(SEARCH("internet",$B114))+ISNUMBER(SEARCH("pldt",$B114))+ISNUMBER(SEARCH("meralco",$B114))+ISNUMBER(SEARCH("supplies",$B114))+ISNUMBER(SEARCH("office",$B114))+ISNUMBER(SEARCH("professional",$B114))+ISNUMBER(SEARCH("accountant",$B114))+ISNUMBER(SEARCH("lawyer",$B114))+ISNUMBER(SEARCH("broker",$B114))+ISNUMBER(SEARCH("bank",$B114))+ISNUMBER(SEARCH("charge",$B114))+ISNUMBER(SEARCH("permit",$B114))+ISNUMBER(SEARCH("bir",$B114))+ISNUMBER(SEARCH("ltfrb",$B114))+ISNUMBER(SEARCH("misc",$B114))+ISNUMBER(SEARCH("fee",$B114))&gt;0,"Overhead","Overhead")))))))</f>
        <v/>
      </c>
      <c r="J114">
        <f>IF($A114="","",DATE(YEAR($A114),MONTH($A114),1))</f>
        <v/>
      </c>
      <c r="K114">
        <f>IF($B114="","",IF(COUNTIF(Setup!$A$99:$A$128,$B114)&gt;0,0,1))</f>
        <v/>
      </c>
      <c r="L114">
        <f>IF($B114="","",IF(ISNUMBER(SEARCH("advance",$B114)),"ADV",IF(OR(ISNUMBER(SEARCH("payout",$B114)),ISNUMBER(SEARCH("pay out",$B114)),ISNUMBER(SEARCH("release",$B114))),"PAY","")))</f>
        <v/>
      </c>
      <c r="M114">
        <f>IF($B114="","",IF(ISNUMBER(SEARCH("bulk",$B114)),0,IF(ISNUMBER(SEARCH("fuel",$B114))+ISNUMBER(SEARCH("diesel",$B114))+ISNUMBER(SEARCH("krudo",$B114))+ISNUMBER(SEARCH("gasolina",$B114))&gt;0,1,0)))</f>
        <v/>
      </c>
      <c r="N114">
        <f>IF($B114="","",IF(ISNUMBER(SEARCH("fuel",$B114))+ISNUMBER(SEARCH("diesel",$B114))+ISNUMBER(SEARCH("krudo",$B114))+ISNUMBER(SEARCH("gasolina",$B114))&gt;0,1,0))</f>
        <v/>
      </c>
    </row>
    <row r="115">
      <c r="A115" s="86" t="n"/>
      <c r="B115" s="88" t="n"/>
      <c r="C115" s="88" t="n"/>
      <c r="D115" s="87" t="n"/>
      <c r="E115" s="88" t="n"/>
      <c r="F115" s="92" t="n"/>
      <c r="G115" s="87" t="n"/>
      <c r="H115" s="87" t="n"/>
      <c r="I115" s="101">
        <f>IF($B115="","",IF(COUNTIF(Setup!$A$99:$A$128,$B115)&gt;0,IF(INDEX(Setup!$B$99:$B$128,MATCH($B115,Setup!$A$99:$A$128,0))="","Overhead",INDEX(Setup!$B$99:$B$128,MATCH($B115,Setup!$A$99:$A$128,0))),IF(ISNUMBER(SEARCH("advance",$B115))+ISNUMBER(SEARCH("payout",$B115))+ISNUMBER(SEARCH("pay out",$B115))+ISNUMBER(SEARCH("reimburs",$B115))&gt;0,"Transfer",IF(ISNUMBER(SEARCH("loan",$B115))+ISNUMBER(SEARCH("amort",$B115))+ISNUMBER(SEARCH("installment",$B115))+ISNUMBER(SEARCH("instalment",$B115))&gt;0,"Financing",IF(ISNUMBER(SEARCH("draw",$B115))+ISNUMBER(SEARCH("owner",$B115))+ISNUMBER(SEARCH("asset",$B115))+ISNUMBER(SEARCH("capital",$B115))&gt;0,"Other",IF(ISNUMBER(SEARCH("fuel",$B115))+ISNUMBER(SEARCH("diesel",$B115))+ISNUMBER(SEARCH("krudo",$B115))+ISNUMBER(SEARCH("gasolina",$B115))+ISNUMBER(SEARCH("toll",$B115))+ISNUMBER(SEARCH("parking",$B115))+ISNUMBER(SEARCH("repair",$B115))+ISNUMBER(SEARCH("maintenance",$B115))+ISNUMBER(SEARCH("tire",$B115))+ISNUMBER(SEARCH("tyre",$B115))+ISNUMBER(SEARCH("battery",$B115))+ISNUMBER(SEARCH("oil",$B115))+ISNUMBER(SEARCH("filter",$B115))+ISNUMBER(SEARCH("spare",$B115))+ISNUMBER(SEARCH("insurance",$B115))+ISNUMBER(SEARCH("lto",$B115))+ISNUMBER(SEARCH("registration",$B115))+ISNUMBER(SEARCH("emission",$B115))+ISNUMBER(SEARCH("wash",$B115))+ISNUMBER(SEARCH("weigh",$B115))+ISNUMBER(SEARCH("tarp",$B115))&gt;0,"Vehicle",IF(ISNUMBER(SEARCH("rent",$B115))+ISNUMBER(SEARCH("upa",$B115))+ISNUMBER(SEARCH("salary",$B115))+ISNUMBER(SEARCH("sweldo",$B115))+ISNUMBER(SEARCH("wage",$B115))+ISNUMBER(SEARCH("electric",$B115))+ISNUMBER(SEARCH("kuryente",$B115))+ISNUMBER(SEARCH("water",$B115))+ISNUMBER(SEARCH("tubig",$B115))+ISNUMBER(SEARCH("internet",$B115))+ISNUMBER(SEARCH("pldt",$B115))+ISNUMBER(SEARCH("meralco",$B115))+ISNUMBER(SEARCH("supplies",$B115))+ISNUMBER(SEARCH("office",$B115))+ISNUMBER(SEARCH("professional",$B115))+ISNUMBER(SEARCH("accountant",$B115))+ISNUMBER(SEARCH("lawyer",$B115))+ISNUMBER(SEARCH("broker",$B115))+ISNUMBER(SEARCH("bank",$B115))+ISNUMBER(SEARCH("charge",$B115))+ISNUMBER(SEARCH("permit",$B115))+ISNUMBER(SEARCH("bir",$B115))+ISNUMBER(SEARCH("ltfrb",$B115))+ISNUMBER(SEARCH("misc",$B115))+ISNUMBER(SEARCH("fee",$B115))&gt;0,"Overhead","Overhead")))))))</f>
        <v/>
      </c>
      <c r="J115">
        <f>IF($A115="","",DATE(YEAR($A115),MONTH($A115),1))</f>
        <v/>
      </c>
      <c r="K115">
        <f>IF($B115="","",IF(COUNTIF(Setup!$A$99:$A$128,$B115)&gt;0,0,1))</f>
        <v/>
      </c>
      <c r="L115">
        <f>IF($B115="","",IF(ISNUMBER(SEARCH("advance",$B115)),"ADV",IF(OR(ISNUMBER(SEARCH("payout",$B115)),ISNUMBER(SEARCH("pay out",$B115)),ISNUMBER(SEARCH("release",$B115))),"PAY","")))</f>
        <v/>
      </c>
      <c r="M115">
        <f>IF($B115="","",IF(ISNUMBER(SEARCH("bulk",$B115)),0,IF(ISNUMBER(SEARCH("fuel",$B115))+ISNUMBER(SEARCH("diesel",$B115))+ISNUMBER(SEARCH("krudo",$B115))+ISNUMBER(SEARCH("gasolina",$B115))&gt;0,1,0)))</f>
        <v/>
      </c>
      <c r="N115">
        <f>IF($B115="","",IF(ISNUMBER(SEARCH("fuel",$B115))+ISNUMBER(SEARCH("diesel",$B115))+ISNUMBER(SEARCH("krudo",$B115))+ISNUMBER(SEARCH("gasolina",$B115))&gt;0,1,0))</f>
        <v/>
      </c>
    </row>
    <row r="116">
      <c r="A116" s="94" t="n"/>
      <c r="B116" s="96" t="n"/>
      <c r="C116" s="96" t="n"/>
      <c r="D116" s="95" t="n"/>
      <c r="E116" s="96" t="n"/>
      <c r="F116" s="99" t="n"/>
      <c r="G116" s="95" t="n"/>
      <c r="H116" s="95" t="n"/>
      <c r="I116" s="101">
        <f>IF($B116="","",IF(COUNTIF(Setup!$A$99:$A$128,$B116)&gt;0,IF(INDEX(Setup!$B$99:$B$128,MATCH($B116,Setup!$A$99:$A$128,0))="","Overhead",INDEX(Setup!$B$99:$B$128,MATCH($B116,Setup!$A$99:$A$128,0))),IF(ISNUMBER(SEARCH("advance",$B116))+ISNUMBER(SEARCH("payout",$B116))+ISNUMBER(SEARCH("pay out",$B116))+ISNUMBER(SEARCH("reimburs",$B116))&gt;0,"Transfer",IF(ISNUMBER(SEARCH("loan",$B116))+ISNUMBER(SEARCH("amort",$B116))+ISNUMBER(SEARCH("installment",$B116))+ISNUMBER(SEARCH("instalment",$B116))&gt;0,"Financing",IF(ISNUMBER(SEARCH("draw",$B116))+ISNUMBER(SEARCH("owner",$B116))+ISNUMBER(SEARCH("asset",$B116))+ISNUMBER(SEARCH("capital",$B116))&gt;0,"Other",IF(ISNUMBER(SEARCH("fuel",$B116))+ISNUMBER(SEARCH("diesel",$B116))+ISNUMBER(SEARCH("krudo",$B116))+ISNUMBER(SEARCH("gasolina",$B116))+ISNUMBER(SEARCH("toll",$B116))+ISNUMBER(SEARCH("parking",$B116))+ISNUMBER(SEARCH("repair",$B116))+ISNUMBER(SEARCH("maintenance",$B116))+ISNUMBER(SEARCH("tire",$B116))+ISNUMBER(SEARCH("tyre",$B116))+ISNUMBER(SEARCH("battery",$B116))+ISNUMBER(SEARCH("oil",$B116))+ISNUMBER(SEARCH("filter",$B116))+ISNUMBER(SEARCH("spare",$B116))+ISNUMBER(SEARCH("insurance",$B116))+ISNUMBER(SEARCH("lto",$B116))+ISNUMBER(SEARCH("registration",$B116))+ISNUMBER(SEARCH("emission",$B116))+ISNUMBER(SEARCH("wash",$B116))+ISNUMBER(SEARCH("weigh",$B116))+ISNUMBER(SEARCH("tarp",$B116))&gt;0,"Vehicle",IF(ISNUMBER(SEARCH("rent",$B116))+ISNUMBER(SEARCH("upa",$B116))+ISNUMBER(SEARCH("salary",$B116))+ISNUMBER(SEARCH("sweldo",$B116))+ISNUMBER(SEARCH("wage",$B116))+ISNUMBER(SEARCH("electric",$B116))+ISNUMBER(SEARCH("kuryente",$B116))+ISNUMBER(SEARCH("water",$B116))+ISNUMBER(SEARCH("tubig",$B116))+ISNUMBER(SEARCH("internet",$B116))+ISNUMBER(SEARCH("pldt",$B116))+ISNUMBER(SEARCH("meralco",$B116))+ISNUMBER(SEARCH("supplies",$B116))+ISNUMBER(SEARCH("office",$B116))+ISNUMBER(SEARCH("professional",$B116))+ISNUMBER(SEARCH("accountant",$B116))+ISNUMBER(SEARCH("lawyer",$B116))+ISNUMBER(SEARCH("broker",$B116))+ISNUMBER(SEARCH("bank",$B116))+ISNUMBER(SEARCH("charge",$B116))+ISNUMBER(SEARCH("permit",$B116))+ISNUMBER(SEARCH("bir",$B116))+ISNUMBER(SEARCH("ltfrb",$B116))+ISNUMBER(SEARCH("misc",$B116))+ISNUMBER(SEARCH("fee",$B116))&gt;0,"Overhead","Overhead")))))))</f>
        <v/>
      </c>
      <c r="J116">
        <f>IF($A116="","",DATE(YEAR($A116),MONTH($A116),1))</f>
        <v/>
      </c>
      <c r="K116">
        <f>IF($B116="","",IF(COUNTIF(Setup!$A$99:$A$128,$B116)&gt;0,0,1))</f>
        <v/>
      </c>
      <c r="L116">
        <f>IF($B116="","",IF(ISNUMBER(SEARCH("advance",$B116)),"ADV",IF(OR(ISNUMBER(SEARCH("payout",$B116)),ISNUMBER(SEARCH("pay out",$B116)),ISNUMBER(SEARCH("release",$B116))),"PAY","")))</f>
        <v/>
      </c>
      <c r="M116">
        <f>IF($B116="","",IF(ISNUMBER(SEARCH("bulk",$B116)),0,IF(ISNUMBER(SEARCH("fuel",$B116))+ISNUMBER(SEARCH("diesel",$B116))+ISNUMBER(SEARCH("krudo",$B116))+ISNUMBER(SEARCH("gasolina",$B116))&gt;0,1,0)))</f>
        <v/>
      </c>
      <c r="N116">
        <f>IF($B116="","",IF(ISNUMBER(SEARCH("fuel",$B116))+ISNUMBER(SEARCH("diesel",$B116))+ISNUMBER(SEARCH("krudo",$B116))+ISNUMBER(SEARCH("gasolina",$B116))&gt;0,1,0))</f>
        <v/>
      </c>
    </row>
    <row r="117">
      <c r="A117" s="86" t="n"/>
      <c r="B117" s="88" t="n"/>
      <c r="C117" s="88" t="n"/>
      <c r="D117" s="87" t="n"/>
      <c r="E117" s="88" t="n"/>
      <c r="F117" s="92" t="n"/>
      <c r="G117" s="87" t="n"/>
      <c r="H117" s="87" t="n"/>
      <c r="I117" s="101">
        <f>IF($B117="","",IF(COUNTIF(Setup!$A$99:$A$128,$B117)&gt;0,IF(INDEX(Setup!$B$99:$B$128,MATCH($B117,Setup!$A$99:$A$128,0))="","Overhead",INDEX(Setup!$B$99:$B$128,MATCH($B117,Setup!$A$99:$A$128,0))),IF(ISNUMBER(SEARCH("advance",$B117))+ISNUMBER(SEARCH("payout",$B117))+ISNUMBER(SEARCH("pay out",$B117))+ISNUMBER(SEARCH("reimburs",$B117))&gt;0,"Transfer",IF(ISNUMBER(SEARCH("loan",$B117))+ISNUMBER(SEARCH("amort",$B117))+ISNUMBER(SEARCH("installment",$B117))+ISNUMBER(SEARCH("instalment",$B117))&gt;0,"Financing",IF(ISNUMBER(SEARCH("draw",$B117))+ISNUMBER(SEARCH("owner",$B117))+ISNUMBER(SEARCH("asset",$B117))+ISNUMBER(SEARCH("capital",$B117))&gt;0,"Other",IF(ISNUMBER(SEARCH("fuel",$B117))+ISNUMBER(SEARCH("diesel",$B117))+ISNUMBER(SEARCH("krudo",$B117))+ISNUMBER(SEARCH("gasolina",$B117))+ISNUMBER(SEARCH("toll",$B117))+ISNUMBER(SEARCH("parking",$B117))+ISNUMBER(SEARCH("repair",$B117))+ISNUMBER(SEARCH("maintenance",$B117))+ISNUMBER(SEARCH("tire",$B117))+ISNUMBER(SEARCH("tyre",$B117))+ISNUMBER(SEARCH("battery",$B117))+ISNUMBER(SEARCH("oil",$B117))+ISNUMBER(SEARCH("filter",$B117))+ISNUMBER(SEARCH("spare",$B117))+ISNUMBER(SEARCH("insurance",$B117))+ISNUMBER(SEARCH("lto",$B117))+ISNUMBER(SEARCH("registration",$B117))+ISNUMBER(SEARCH("emission",$B117))+ISNUMBER(SEARCH("wash",$B117))+ISNUMBER(SEARCH("weigh",$B117))+ISNUMBER(SEARCH("tarp",$B117))&gt;0,"Vehicle",IF(ISNUMBER(SEARCH("rent",$B117))+ISNUMBER(SEARCH("upa",$B117))+ISNUMBER(SEARCH("salary",$B117))+ISNUMBER(SEARCH("sweldo",$B117))+ISNUMBER(SEARCH("wage",$B117))+ISNUMBER(SEARCH("electric",$B117))+ISNUMBER(SEARCH("kuryente",$B117))+ISNUMBER(SEARCH("water",$B117))+ISNUMBER(SEARCH("tubig",$B117))+ISNUMBER(SEARCH("internet",$B117))+ISNUMBER(SEARCH("pldt",$B117))+ISNUMBER(SEARCH("meralco",$B117))+ISNUMBER(SEARCH("supplies",$B117))+ISNUMBER(SEARCH("office",$B117))+ISNUMBER(SEARCH("professional",$B117))+ISNUMBER(SEARCH("accountant",$B117))+ISNUMBER(SEARCH("lawyer",$B117))+ISNUMBER(SEARCH("broker",$B117))+ISNUMBER(SEARCH("bank",$B117))+ISNUMBER(SEARCH("charge",$B117))+ISNUMBER(SEARCH("permit",$B117))+ISNUMBER(SEARCH("bir",$B117))+ISNUMBER(SEARCH("ltfrb",$B117))+ISNUMBER(SEARCH("misc",$B117))+ISNUMBER(SEARCH("fee",$B117))&gt;0,"Overhead","Overhead")))))))</f>
        <v/>
      </c>
      <c r="J117">
        <f>IF($A117="","",DATE(YEAR($A117),MONTH($A117),1))</f>
        <v/>
      </c>
      <c r="K117">
        <f>IF($B117="","",IF(COUNTIF(Setup!$A$99:$A$128,$B117)&gt;0,0,1))</f>
        <v/>
      </c>
      <c r="L117">
        <f>IF($B117="","",IF(ISNUMBER(SEARCH("advance",$B117)),"ADV",IF(OR(ISNUMBER(SEARCH("payout",$B117)),ISNUMBER(SEARCH("pay out",$B117)),ISNUMBER(SEARCH("release",$B117))),"PAY","")))</f>
        <v/>
      </c>
      <c r="M117">
        <f>IF($B117="","",IF(ISNUMBER(SEARCH("bulk",$B117)),0,IF(ISNUMBER(SEARCH("fuel",$B117))+ISNUMBER(SEARCH("diesel",$B117))+ISNUMBER(SEARCH("krudo",$B117))+ISNUMBER(SEARCH("gasolina",$B117))&gt;0,1,0)))</f>
        <v/>
      </c>
      <c r="N117">
        <f>IF($B117="","",IF(ISNUMBER(SEARCH("fuel",$B117))+ISNUMBER(SEARCH("diesel",$B117))+ISNUMBER(SEARCH("krudo",$B117))+ISNUMBER(SEARCH("gasolina",$B117))&gt;0,1,0))</f>
        <v/>
      </c>
    </row>
    <row r="118">
      <c r="A118" s="94" t="n"/>
      <c r="B118" s="96" t="n"/>
      <c r="C118" s="96" t="n"/>
      <c r="D118" s="95" t="n"/>
      <c r="E118" s="96" t="n"/>
      <c r="F118" s="99" t="n"/>
      <c r="G118" s="95" t="n"/>
      <c r="H118" s="95" t="n"/>
      <c r="I118" s="101">
        <f>IF($B118="","",IF(COUNTIF(Setup!$A$99:$A$128,$B118)&gt;0,IF(INDEX(Setup!$B$99:$B$128,MATCH($B118,Setup!$A$99:$A$128,0))="","Overhead",INDEX(Setup!$B$99:$B$128,MATCH($B118,Setup!$A$99:$A$128,0))),IF(ISNUMBER(SEARCH("advance",$B118))+ISNUMBER(SEARCH("payout",$B118))+ISNUMBER(SEARCH("pay out",$B118))+ISNUMBER(SEARCH("reimburs",$B118))&gt;0,"Transfer",IF(ISNUMBER(SEARCH("loan",$B118))+ISNUMBER(SEARCH("amort",$B118))+ISNUMBER(SEARCH("installment",$B118))+ISNUMBER(SEARCH("instalment",$B118))&gt;0,"Financing",IF(ISNUMBER(SEARCH("draw",$B118))+ISNUMBER(SEARCH("owner",$B118))+ISNUMBER(SEARCH("asset",$B118))+ISNUMBER(SEARCH("capital",$B118))&gt;0,"Other",IF(ISNUMBER(SEARCH("fuel",$B118))+ISNUMBER(SEARCH("diesel",$B118))+ISNUMBER(SEARCH("krudo",$B118))+ISNUMBER(SEARCH("gasolina",$B118))+ISNUMBER(SEARCH("toll",$B118))+ISNUMBER(SEARCH("parking",$B118))+ISNUMBER(SEARCH("repair",$B118))+ISNUMBER(SEARCH("maintenance",$B118))+ISNUMBER(SEARCH("tire",$B118))+ISNUMBER(SEARCH("tyre",$B118))+ISNUMBER(SEARCH("battery",$B118))+ISNUMBER(SEARCH("oil",$B118))+ISNUMBER(SEARCH("filter",$B118))+ISNUMBER(SEARCH("spare",$B118))+ISNUMBER(SEARCH("insurance",$B118))+ISNUMBER(SEARCH("lto",$B118))+ISNUMBER(SEARCH("registration",$B118))+ISNUMBER(SEARCH("emission",$B118))+ISNUMBER(SEARCH("wash",$B118))+ISNUMBER(SEARCH("weigh",$B118))+ISNUMBER(SEARCH("tarp",$B118))&gt;0,"Vehicle",IF(ISNUMBER(SEARCH("rent",$B118))+ISNUMBER(SEARCH("upa",$B118))+ISNUMBER(SEARCH("salary",$B118))+ISNUMBER(SEARCH("sweldo",$B118))+ISNUMBER(SEARCH("wage",$B118))+ISNUMBER(SEARCH("electric",$B118))+ISNUMBER(SEARCH("kuryente",$B118))+ISNUMBER(SEARCH("water",$B118))+ISNUMBER(SEARCH("tubig",$B118))+ISNUMBER(SEARCH("internet",$B118))+ISNUMBER(SEARCH("pldt",$B118))+ISNUMBER(SEARCH("meralco",$B118))+ISNUMBER(SEARCH("supplies",$B118))+ISNUMBER(SEARCH("office",$B118))+ISNUMBER(SEARCH("professional",$B118))+ISNUMBER(SEARCH("accountant",$B118))+ISNUMBER(SEARCH("lawyer",$B118))+ISNUMBER(SEARCH("broker",$B118))+ISNUMBER(SEARCH("bank",$B118))+ISNUMBER(SEARCH("charge",$B118))+ISNUMBER(SEARCH("permit",$B118))+ISNUMBER(SEARCH("bir",$B118))+ISNUMBER(SEARCH("ltfrb",$B118))+ISNUMBER(SEARCH("misc",$B118))+ISNUMBER(SEARCH("fee",$B118))&gt;0,"Overhead","Overhead")))))))</f>
        <v/>
      </c>
      <c r="J118">
        <f>IF($A118="","",DATE(YEAR($A118),MONTH($A118),1))</f>
        <v/>
      </c>
      <c r="K118">
        <f>IF($B118="","",IF(COUNTIF(Setup!$A$99:$A$128,$B118)&gt;0,0,1))</f>
        <v/>
      </c>
      <c r="L118">
        <f>IF($B118="","",IF(ISNUMBER(SEARCH("advance",$B118)),"ADV",IF(OR(ISNUMBER(SEARCH("payout",$B118)),ISNUMBER(SEARCH("pay out",$B118)),ISNUMBER(SEARCH("release",$B118))),"PAY","")))</f>
        <v/>
      </c>
      <c r="M118">
        <f>IF($B118="","",IF(ISNUMBER(SEARCH("bulk",$B118)),0,IF(ISNUMBER(SEARCH("fuel",$B118))+ISNUMBER(SEARCH("diesel",$B118))+ISNUMBER(SEARCH("krudo",$B118))+ISNUMBER(SEARCH("gasolina",$B118))&gt;0,1,0)))</f>
        <v/>
      </c>
      <c r="N118">
        <f>IF($B118="","",IF(ISNUMBER(SEARCH("fuel",$B118))+ISNUMBER(SEARCH("diesel",$B118))+ISNUMBER(SEARCH("krudo",$B118))+ISNUMBER(SEARCH("gasolina",$B118))&gt;0,1,0))</f>
        <v/>
      </c>
    </row>
    <row r="119">
      <c r="A119" s="86" t="n"/>
      <c r="B119" s="88" t="n"/>
      <c r="C119" s="88" t="n"/>
      <c r="D119" s="87" t="n"/>
      <c r="E119" s="88" t="n"/>
      <c r="F119" s="92" t="n"/>
      <c r="G119" s="87" t="n"/>
      <c r="H119" s="87" t="n"/>
      <c r="I119" s="101">
        <f>IF($B119="","",IF(COUNTIF(Setup!$A$99:$A$128,$B119)&gt;0,IF(INDEX(Setup!$B$99:$B$128,MATCH($B119,Setup!$A$99:$A$128,0))="","Overhead",INDEX(Setup!$B$99:$B$128,MATCH($B119,Setup!$A$99:$A$128,0))),IF(ISNUMBER(SEARCH("advance",$B119))+ISNUMBER(SEARCH("payout",$B119))+ISNUMBER(SEARCH("pay out",$B119))+ISNUMBER(SEARCH("reimburs",$B119))&gt;0,"Transfer",IF(ISNUMBER(SEARCH("loan",$B119))+ISNUMBER(SEARCH("amort",$B119))+ISNUMBER(SEARCH("installment",$B119))+ISNUMBER(SEARCH("instalment",$B119))&gt;0,"Financing",IF(ISNUMBER(SEARCH("draw",$B119))+ISNUMBER(SEARCH("owner",$B119))+ISNUMBER(SEARCH("asset",$B119))+ISNUMBER(SEARCH("capital",$B119))&gt;0,"Other",IF(ISNUMBER(SEARCH("fuel",$B119))+ISNUMBER(SEARCH("diesel",$B119))+ISNUMBER(SEARCH("krudo",$B119))+ISNUMBER(SEARCH("gasolina",$B119))+ISNUMBER(SEARCH("toll",$B119))+ISNUMBER(SEARCH("parking",$B119))+ISNUMBER(SEARCH("repair",$B119))+ISNUMBER(SEARCH("maintenance",$B119))+ISNUMBER(SEARCH("tire",$B119))+ISNUMBER(SEARCH("tyre",$B119))+ISNUMBER(SEARCH("battery",$B119))+ISNUMBER(SEARCH("oil",$B119))+ISNUMBER(SEARCH("filter",$B119))+ISNUMBER(SEARCH("spare",$B119))+ISNUMBER(SEARCH("insurance",$B119))+ISNUMBER(SEARCH("lto",$B119))+ISNUMBER(SEARCH("registration",$B119))+ISNUMBER(SEARCH("emission",$B119))+ISNUMBER(SEARCH("wash",$B119))+ISNUMBER(SEARCH("weigh",$B119))+ISNUMBER(SEARCH("tarp",$B119))&gt;0,"Vehicle",IF(ISNUMBER(SEARCH("rent",$B119))+ISNUMBER(SEARCH("upa",$B119))+ISNUMBER(SEARCH("salary",$B119))+ISNUMBER(SEARCH("sweldo",$B119))+ISNUMBER(SEARCH("wage",$B119))+ISNUMBER(SEARCH("electric",$B119))+ISNUMBER(SEARCH("kuryente",$B119))+ISNUMBER(SEARCH("water",$B119))+ISNUMBER(SEARCH("tubig",$B119))+ISNUMBER(SEARCH("internet",$B119))+ISNUMBER(SEARCH("pldt",$B119))+ISNUMBER(SEARCH("meralco",$B119))+ISNUMBER(SEARCH("supplies",$B119))+ISNUMBER(SEARCH("office",$B119))+ISNUMBER(SEARCH("professional",$B119))+ISNUMBER(SEARCH("accountant",$B119))+ISNUMBER(SEARCH("lawyer",$B119))+ISNUMBER(SEARCH("broker",$B119))+ISNUMBER(SEARCH("bank",$B119))+ISNUMBER(SEARCH("charge",$B119))+ISNUMBER(SEARCH("permit",$B119))+ISNUMBER(SEARCH("bir",$B119))+ISNUMBER(SEARCH("ltfrb",$B119))+ISNUMBER(SEARCH("misc",$B119))+ISNUMBER(SEARCH("fee",$B119))&gt;0,"Overhead","Overhead")))))))</f>
        <v/>
      </c>
      <c r="J119">
        <f>IF($A119="","",DATE(YEAR($A119),MONTH($A119),1))</f>
        <v/>
      </c>
      <c r="K119">
        <f>IF($B119="","",IF(COUNTIF(Setup!$A$99:$A$128,$B119)&gt;0,0,1))</f>
        <v/>
      </c>
      <c r="L119">
        <f>IF($B119="","",IF(ISNUMBER(SEARCH("advance",$B119)),"ADV",IF(OR(ISNUMBER(SEARCH("payout",$B119)),ISNUMBER(SEARCH("pay out",$B119)),ISNUMBER(SEARCH("release",$B119))),"PAY","")))</f>
        <v/>
      </c>
      <c r="M119">
        <f>IF($B119="","",IF(ISNUMBER(SEARCH("bulk",$B119)),0,IF(ISNUMBER(SEARCH("fuel",$B119))+ISNUMBER(SEARCH("diesel",$B119))+ISNUMBER(SEARCH("krudo",$B119))+ISNUMBER(SEARCH("gasolina",$B119))&gt;0,1,0)))</f>
        <v/>
      </c>
      <c r="N119">
        <f>IF($B119="","",IF(ISNUMBER(SEARCH("fuel",$B119))+ISNUMBER(SEARCH("diesel",$B119))+ISNUMBER(SEARCH("krudo",$B119))+ISNUMBER(SEARCH("gasolina",$B119))&gt;0,1,0))</f>
        <v/>
      </c>
    </row>
    <row r="120">
      <c r="A120" s="94" t="n"/>
      <c r="B120" s="96" t="n"/>
      <c r="C120" s="96" t="n"/>
      <c r="D120" s="95" t="n"/>
      <c r="E120" s="96" t="n"/>
      <c r="F120" s="99" t="n"/>
      <c r="G120" s="95" t="n"/>
      <c r="H120" s="95" t="n"/>
      <c r="I120" s="101">
        <f>IF($B120="","",IF(COUNTIF(Setup!$A$99:$A$128,$B120)&gt;0,IF(INDEX(Setup!$B$99:$B$128,MATCH($B120,Setup!$A$99:$A$128,0))="","Overhead",INDEX(Setup!$B$99:$B$128,MATCH($B120,Setup!$A$99:$A$128,0))),IF(ISNUMBER(SEARCH("advance",$B120))+ISNUMBER(SEARCH("payout",$B120))+ISNUMBER(SEARCH("pay out",$B120))+ISNUMBER(SEARCH("reimburs",$B120))&gt;0,"Transfer",IF(ISNUMBER(SEARCH("loan",$B120))+ISNUMBER(SEARCH("amort",$B120))+ISNUMBER(SEARCH("installment",$B120))+ISNUMBER(SEARCH("instalment",$B120))&gt;0,"Financing",IF(ISNUMBER(SEARCH("draw",$B120))+ISNUMBER(SEARCH("owner",$B120))+ISNUMBER(SEARCH("asset",$B120))+ISNUMBER(SEARCH("capital",$B120))&gt;0,"Other",IF(ISNUMBER(SEARCH("fuel",$B120))+ISNUMBER(SEARCH("diesel",$B120))+ISNUMBER(SEARCH("krudo",$B120))+ISNUMBER(SEARCH("gasolina",$B120))+ISNUMBER(SEARCH("toll",$B120))+ISNUMBER(SEARCH("parking",$B120))+ISNUMBER(SEARCH("repair",$B120))+ISNUMBER(SEARCH("maintenance",$B120))+ISNUMBER(SEARCH("tire",$B120))+ISNUMBER(SEARCH("tyre",$B120))+ISNUMBER(SEARCH("battery",$B120))+ISNUMBER(SEARCH("oil",$B120))+ISNUMBER(SEARCH("filter",$B120))+ISNUMBER(SEARCH("spare",$B120))+ISNUMBER(SEARCH("insurance",$B120))+ISNUMBER(SEARCH("lto",$B120))+ISNUMBER(SEARCH("registration",$B120))+ISNUMBER(SEARCH("emission",$B120))+ISNUMBER(SEARCH("wash",$B120))+ISNUMBER(SEARCH("weigh",$B120))+ISNUMBER(SEARCH("tarp",$B120))&gt;0,"Vehicle",IF(ISNUMBER(SEARCH("rent",$B120))+ISNUMBER(SEARCH("upa",$B120))+ISNUMBER(SEARCH("salary",$B120))+ISNUMBER(SEARCH("sweldo",$B120))+ISNUMBER(SEARCH("wage",$B120))+ISNUMBER(SEARCH("electric",$B120))+ISNUMBER(SEARCH("kuryente",$B120))+ISNUMBER(SEARCH("water",$B120))+ISNUMBER(SEARCH("tubig",$B120))+ISNUMBER(SEARCH("internet",$B120))+ISNUMBER(SEARCH("pldt",$B120))+ISNUMBER(SEARCH("meralco",$B120))+ISNUMBER(SEARCH("supplies",$B120))+ISNUMBER(SEARCH("office",$B120))+ISNUMBER(SEARCH("professional",$B120))+ISNUMBER(SEARCH("accountant",$B120))+ISNUMBER(SEARCH("lawyer",$B120))+ISNUMBER(SEARCH("broker",$B120))+ISNUMBER(SEARCH("bank",$B120))+ISNUMBER(SEARCH("charge",$B120))+ISNUMBER(SEARCH("permit",$B120))+ISNUMBER(SEARCH("bir",$B120))+ISNUMBER(SEARCH("ltfrb",$B120))+ISNUMBER(SEARCH("misc",$B120))+ISNUMBER(SEARCH("fee",$B120))&gt;0,"Overhead","Overhead")))))))</f>
        <v/>
      </c>
      <c r="J120">
        <f>IF($A120="","",DATE(YEAR($A120),MONTH($A120),1))</f>
        <v/>
      </c>
      <c r="K120">
        <f>IF($B120="","",IF(COUNTIF(Setup!$A$99:$A$128,$B120)&gt;0,0,1))</f>
        <v/>
      </c>
      <c r="L120">
        <f>IF($B120="","",IF(ISNUMBER(SEARCH("advance",$B120)),"ADV",IF(OR(ISNUMBER(SEARCH("payout",$B120)),ISNUMBER(SEARCH("pay out",$B120)),ISNUMBER(SEARCH("release",$B120))),"PAY","")))</f>
        <v/>
      </c>
      <c r="M120">
        <f>IF($B120="","",IF(ISNUMBER(SEARCH("bulk",$B120)),0,IF(ISNUMBER(SEARCH("fuel",$B120))+ISNUMBER(SEARCH("diesel",$B120))+ISNUMBER(SEARCH("krudo",$B120))+ISNUMBER(SEARCH("gasolina",$B120))&gt;0,1,0)))</f>
        <v/>
      </c>
      <c r="N120">
        <f>IF($B120="","",IF(ISNUMBER(SEARCH("fuel",$B120))+ISNUMBER(SEARCH("diesel",$B120))+ISNUMBER(SEARCH("krudo",$B120))+ISNUMBER(SEARCH("gasolina",$B120))&gt;0,1,0))</f>
        <v/>
      </c>
    </row>
    <row r="121">
      <c r="A121" s="86" t="n"/>
      <c r="B121" s="88" t="n"/>
      <c r="C121" s="88" t="n"/>
      <c r="D121" s="87" t="n"/>
      <c r="E121" s="88" t="n"/>
      <c r="F121" s="92" t="n"/>
      <c r="G121" s="87" t="n"/>
      <c r="H121" s="87" t="n"/>
      <c r="I121" s="101">
        <f>IF($B121="","",IF(COUNTIF(Setup!$A$99:$A$128,$B121)&gt;0,IF(INDEX(Setup!$B$99:$B$128,MATCH($B121,Setup!$A$99:$A$128,0))="","Overhead",INDEX(Setup!$B$99:$B$128,MATCH($B121,Setup!$A$99:$A$128,0))),IF(ISNUMBER(SEARCH("advance",$B121))+ISNUMBER(SEARCH("payout",$B121))+ISNUMBER(SEARCH("pay out",$B121))+ISNUMBER(SEARCH("reimburs",$B121))&gt;0,"Transfer",IF(ISNUMBER(SEARCH("loan",$B121))+ISNUMBER(SEARCH("amort",$B121))+ISNUMBER(SEARCH("installment",$B121))+ISNUMBER(SEARCH("instalment",$B121))&gt;0,"Financing",IF(ISNUMBER(SEARCH("draw",$B121))+ISNUMBER(SEARCH("owner",$B121))+ISNUMBER(SEARCH("asset",$B121))+ISNUMBER(SEARCH("capital",$B121))&gt;0,"Other",IF(ISNUMBER(SEARCH("fuel",$B121))+ISNUMBER(SEARCH("diesel",$B121))+ISNUMBER(SEARCH("krudo",$B121))+ISNUMBER(SEARCH("gasolina",$B121))+ISNUMBER(SEARCH("toll",$B121))+ISNUMBER(SEARCH("parking",$B121))+ISNUMBER(SEARCH("repair",$B121))+ISNUMBER(SEARCH("maintenance",$B121))+ISNUMBER(SEARCH("tire",$B121))+ISNUMBER(SEARCH("tyre",$B121))+ISNUMBER(SEARCH("battery",$B121))+ISNUMBER(SEARCH("oil",$B121))+ISNUMBER(SEARCH("filter",$B121))+ISNUMBER(SEARCH("spare",$B121))+ISNUMBER(SEARCH("insurance",$B121))+ISNUMBER(SEARCH("lto",$B121))+ISNUMBER(SEARCH("registration",$B121))+ISNUMBER(SEARCH("emission",$B121))+ISNUMBER(SEARCH("wash",$B121))+ISNUMBER(SEARCH("weigh",$B121))+ISNUMBER(SEARCH("tarp",$B121))&gt;0,"Vehicle",IF(ISNUMBER(SEARCH("rent",$B121))+ISNUMBER(SEARCH("upa",$B121))+ISNUMBER(SEARCH("salary",$B121))+ISNUMBER(SEARCH("sweldo",$B121))+ISNUMBER(SEARCH("wage",$B121))+ISNUMBER(SEARCH("electric",$B121))+ISNUMBER(SEARCH("kuryente",$B121))+ISNUMBER(SEARCH("water",$B121))+ISNUMBER(SEARCH("tubig",$B121))+ISNUMBER(SEARCH("internet",$B121))+ISNUMBER(SEARCH("pldt",$B121))+ISNUMBER(SEARCH("meralco",$B121))+ISNUMBER(SEARCH("supplies",$B121))+ISNUMBER(SEARCH("office",$B121))+ISNUMBER(SEARCH("professional",$B121))+ISNUMBER(SEARCH("accountant",$B121))+ISNUMBER(SEARCH("lawyer",$B121))+ISNUMBER(SEARCH("broker",$B121))+ISNUMBER(SEARCH("bank",$B121))+ISNUMBER(SEARCH("charge",$B121))+ISNUMBER(SEARCH("permit",$B121))+ISNUMBER(SEARCH("bir",$B121))+ISNUMBER(SEARCH("ltfrb",$B121))+ISNUMBER(SEARCH("misc",$B121))+ISNUMBER(SEARCH("fee",$B121))&gt;0,"Overhead","Overhead")))))))</f>
        <v/>
      </c>
      <c r="J121">
        <f>IF($A121="","",DATE(YEAR($A121),MONTH($A121),1))</f>
        <v/>
      </c>
      <c r="K121">
        <f>IF($B121="","",IF(COUNTIF(Setup!$A$99:$A$128,$B121)&gt;0,0,1))</f>
        <v/>
      </c>
      <c r="L121">
        <f>IF($B121="","",IF(ISNUMBER(SEARCH("advance",$B121)),"ADV",IF(OR(ISNUMBER(SEARCH("payout",$B121)),ISNUMBER(SEARCH("pay out",$B121)),ISNUMBER(SEARCH("release",$B121))),"PAY","")))</f>
        <v/>
      </c>
      <c r="M121">
        <f>IF($B121="","",IF(ISNUMBER(SEARCH("bulk",$B121)),0,IF(ISNUMBER(SEARCH("fuel",$B121))+ISNUMBER(SEARCH("diesel",$B121))+ISNUMBER(SEARCH("krudo",$B121))+ISNUMBER(SEARCH("gasolina",$B121))&gt;0,1,0)))</f>
        <v/>
      </c>
      <c r="N121">
        <f>IF($B121="","",IF(ISNUMBER(SEARCH("fuel",$B121))+ISNUMBER(SEARCH("diesel",$B121))+ISNUMBER(SEARCH("krudo",$B121))+ISNUMBER(SEARCH("gasolina",$B121))&gt;0,1,0))</f>
        <v/>
      </c>
    </row>
    <row r="122">
      <c r="A122" s="94" t="n"/>
      <c r="B122" s="96" t="n"/>
      <c r="C122" s="96" t="n"/>
      <c r="D122" s="95" t="n"/>
      <c r="E122" s="96" t="n"/>
      <c r="F122" s="99" t="n"/>
      <c r="G122" s="95" t="n"/>
      <c r="H122" s="95" t="n"/>
      <c r="I122" s="101">
        <f>IF($B122="","",IF(COUNTIF(Setup!$A$99:$A$128,$B122)&gt;0,IF(INDEX(Setup!$B$99:$B$128,MATCH($B122,Setup!$A$99:$A$128,0))="","Overhead",INDEX(Setup!$B$99:$B$128,MATCH($B122,Setup!$A$99:$A$128,0))),IF(ISNUMBER(SEARCH("advance",$B122))+ISNUMBER(SEARCH("payout",$B122))+ISNUMBER(SEARCH("pay out",$B122))+ISNUMBER(SEARCH("reimburs",$B122))&gt;0,"Transfer",IF(ISNUMBER(SEARCH("loan",$B122))+ISNUMBER(SEARCH("amort",$B122))+ISNUMBER(SEARCH("installment",$B122))+ISNUMBER(SEARCH("instalment",$B122))&gt;0,"Financing",IF(ISNUMBER(SEARCH("draw",$B122))+ISNUMBER(SEARCH("owner",$B122))+ISNUMBER(SEARCH("asset",$B122))+ISNUMBER(SEARCH("capital",$B122))&gt;0,"Other",IF(ISNUMBER(SEARCH("fuel",$B122))+ISNUMBER(SEARCH("diesel",$B122))+ISNUMBER(SEARCH("krudo",$B122))+ISNUMBER(SEARCH("gasolina",$B122))+ISNUMBER(SEARCH("toll",$B122))+ISNUMBER(SEARCH("parking",$B122))+ISNUMBER(SEARCH("repair",$B122))+ISNUMBER(SEARCH("maintenance",$B122))+ISNUMBER(SEARCH("tire",$B122))+ISNUMBER(SEARCH("tyre",$B122))+ISNUMBER(SEARCH("battery",$B122))+ISNUMBER(SEARCH("oil",$B122))+ISNUMBER(SEARCH("filter",$B122))+ISNUMBER(SEARCH("spare",$B122))+ISNUMBER(SEARCH("insurance",$B122))+ISNUMBER(SEARCH("lto",$B122))+ISNUMBER(SEARCH("registration",$B122))+ISNUMBER(SEARCH("emission",$B122))+ISNUMBER(SEARCH("wash",$B122))+ISNUMBER(SEARCH("weigh",$B122))+ISNUMBER(SEARCH("tarp",$B122))&gt;0,"Vehicle",IF(ISNUMBER(SEARCH("rent",$B122))+ISNUMBER(SEARCH("upa",$B122))+ISNUMBER(SEARCH("salary",$B122))+ISNUMBER(SEARCH("sweldo",$B122))+ISNUMBER(SEARCH("wage",$B122))+ISNUMBER(SEARCH("electric",$B122))+ISNUMBER(SEARCH("kuryente",$B122))+ISNUMBER(SEARCH("water",$B122))+ISNUMBER(SEARCH("tubig",$B122))+ISNUMBER(SEARCH("internet",$B122))+ISNUMBER(SEARCH("pldt",$B122))+ISNUMBER(SEARCH("meralco",$B122))+ISNUMBER(SEARCH("supplies",$B122))+ISNUMBER(SEARCH("office",$B122))+ISNUMBER(SEARCH("professional",$B122))+ISNUMBER(SEARCH("accountant",$B122))+ISNUMBER(SEARCH("lawyer",$B122))+ISNUMBER(SEARCH("broker",$B122))+ISNUMBER(SEARCH("bank",$B122))+ISNUMBER(SEARCH("charge",$B122))+ISNUMBER(SEARCH("permit",$B122))+ISNUMBER(SEARCH("bir",$B122))+ISNUMBER(SEARCH("ltfrb",$B122))+ISNUMBER(SEARCH("misc",$B122))+ISNUMBER(SEARCH("fee",$B122))&gt;0,"Overhead","Overhead")))))))</f>
        <v/>
      </c>
      <c r="J122">
        <f>IF($A122="","",DATE(YEAR($A122),MONTH($A122),1))</f>
        <v/>
      </c>
      <c r="K122">
        <f>IF($B122="","",IF(COUNTIF(Setup!$A$99:$A$128,$B122)&gt;0,0,1))</f>
        <v/>
      </c>
      <c r="L122">
        <f>IF($B122="","",IF(ISNUMBER(SEARCH("advance",$B122)),"ADV",IF(OR(ISNUMBER(SEARCH("payout",$B122)),ISNUMBER(SEARCH("pay out",$B122)),ISNUMBER(SEARCH("release",$B122))),"PAY","")))</f>
        <v/>
      </c>
      <c r="M122">
        <f>IF($B122="","",IF(ISNUMBER(SEARCH("bulk",$B122)),0,IF(ISNUMBER(SEARCH("fuel",$B122))+ISNUMBER(SEARCH("diesel",$B122))+ISNUMBER(SEARCH("krudo",$B122))+ISNUMBER(SEARCH("gasolina",$B122))&gt;0,1,0)))</f>
        <v/>
      </c>
      <c r="N122">
        <f>IF($B122="","",IF(ISNUMBER(SEARCH("fuel",$B122))+ISNUMBER(SEARCH("diesel",$B122))+ISNUMBER(SEARCH("krudo",$B122))+ISNUMBER(SEARCH("gasolina",$B122))&gt;0,1,0))</f>
        <v/>
      </c>
    </row>
    <row r="123">
      <c r="A123" s="86" t="n"/>
      <c r="B123" s="88" t="n"/>
      <c r="C123" s="88" t="n"/>
      <c r="D123" s="87" t="n"/>
      <c r="E123" s="88" t="n"/>
      <c r="F123" s="92" t="n"/>
      <c r="G123" s="87" t="n"/>
      <c r="H123" s="87" t="n"/>
      <c r="I123" s="101">
        <f>IF($B123="","",IF(COUNTIF(Setup!$A$99:$A$128,$B123)&gt;0,IF(INDEX(Setup!$B$99:$B$128,MATCH($B123,Setup!$A$99:$A$128,0))="","Overhead",INDEX(Setup!$B$99:$B$128,MATCH($B123,Setup!$A$99:$A$128,0))),IF(ISNUMBER(SEARCH("advance",$B123))+ISNUMBER(SEARCH("payout",$B123))+ISNUMBER(SEARCH("pay out",$B123))+ISNUMBER(SEARCH("reimburs",$B123))&gt;0,"Transfer",IF(ISNUMBER(SEARCH("loan",$B123))+ISNUMBER(SEARCH("amort",$B123))+ISNUMBER(SEARCH("installment",$B123))+ISNUMBER(SEARCH("instalment",$B123))&gt;0,"Financing",IF(ISNUMBER(SEARCH("draw",$B123))+ISNUMBER(SEARCH("owner",$B123))+ISNUMBER(SEARCH("asset",$B123))+ISNUMBER(SEARCH("capital",$B123))&gt;0,"Other",IF(ISNUMBER(SEARCH("fuel",$B123))+ISNUMBER(SEARCH("diesel",$B123))+ISNUMBER(SEARCH("krudo",$B123))+ISNUMBER(SEARCH("gasolina",$B123))+ISNUMBER(SEARCH("toll",$B123))+ISNUMBER(SEARCH("parking",$B123))+ISNUMBER(SEARCH("repair",$B123))+ISNUMBER(SEARCH("maintenance",$B123))+ISNUMBER(SEARCH("tire",$B123))+ISNUMBER(SEARCH("tyre",$B123))+ISNUMBER(SEARCH("battery",$B123))+ISNUMBER(SEARCH("oil",$B123))+ISNUMBER(SEARCH("filter",$B123))+ISNUMBER(SEARCH("spare",$B123))+ISNUMBER(SEARCH("insurance",$B123))+ISNUMBER(SEARCH("lto",$B123))+ISNUMBER(SEARCH("registration",$B123))+ISNUMBER(SEARCH("emission",$B123))+ISNUMBER(SEARCH("wash",$B123))+ISNUMBER(SEARCH("weigh",$B123))+ISNUMBER(SEARCH("tarp",$B123))&gt;0,"Vehicle",IF(ISNUMBER(SEARCH("rent",$B123))+ISNUMBER(SEARCH("upa",$B123))+ISNUMBER(SEARCH("salary",$B123))+ISNUMBER(SEARCH("sweldo",$B123))+ISNUMBER(SEARCH("wage",$B123))+ISNUMBER(SEARCH("electric",$B123))+ISNUMBER(SEARCH("kuryente",$B123))+ISNUMBER(SEARCH("water",$B123))+ISNUMBER(SEARCH("tubig",$B123))+ISNUMBER(SEARCH("internet",$B123))+ISNUMBER(SEARCH("pldt",$B123))+ISNUMBER(SEARCH("meralco",$B123))+ISNUMBER(SEARCH("supplies",$B123))+ISNUMBER(SEARCH("office",$B123))+ISNUMBER(SEARCH("professional",$B123))+ISNUMBER(SEARCH("accountant",$B123))+ISNUMBER(SEARCH("lawyer",$B123))+ISNUMBER(SEARCH("broker",$B123))+ISNUMBER(SEARCH("bank",$B123))+ISNUMBER(SEARCH("charge",$B123))+ISNUMBER(SEARCH("permit",$B123))+ISNUMBER(SEARCH("bir",$B123))+ISNUMBER(SEARCH("ltfrb",$B123))+ISNUMBER(SEARCH("misc",$B123))+ISNUMBER(SEARCH("fee",$B123))&gt;0,"Overhead","Overhead")))))))</f>
        <v/>
      </c>
      <c r="J123">
        <f>IF($A123="","",DATE(YEAR($A123),MONTH($A123),1))</f>
        <v/>
      </c>
      <c r="K123">
        <f>IF($B123="","",IF(COUNTIF(Setup!$A$99:$A$128,$B123)&gt;0,0,1))</f>
        <v/>
      </c>
      <c r="L123">
        <f>IF($B123="","",IF(ISNUMBER(SEARCH("advance",$B123)),"ADV",IF(OR(ISNUMBER(SEARCH("payout",$B123)),ISNUMBER(SEARCH("pay out",$B123)),ISNUMBER(SEARCH("release",$B123))),"PAY","")))</f>
        <v/>
      </c>
      <c r="M123">
        <f>IF($B123="","",IF(ISNUMBER(SEARCH("bulk",$B123)),0,IF(ISNUMBER(SEARCH("fuel",$B123))+ISNUMBER(SEARCH("diesel",$B123))+ISNUMBER(SEARCH("krudo",$B123))+ISNUMBER(SEARCH("gasolina",$B123))&gt;0,1,0)))</f>
        <v/>
      </c>
      <c r="N123">
        <f>IF($B123="","",IF(ISNUMBER(SEARCH("fuel",$B123))+ISNUMBER(SEARCH("diesel",$B123))+ISNUMBER(SEARCH("krudo",$B123))+ISNUMBER(SEARCH("gasolina",$B123))&gt;0,1,0))</f>
        <v/>
      </c>
    </row>
    <row r="124">
      <c r="A124" s="94" t="n"/>
      <c r="B124" s="96" t="n"/>
      <c r="C124" s="96" t="n"/>
      <c r="D124" s="95" t="n"/>
      <c r="E124" s="96" t="n"/>
      <c r="F124" s="99" t="n"/>
      <c r="G124" s="95" t="n"/>
      <c r="H124" s="95" t="n"/>
      <c r="I124" s="101">
        <f>IF($B124="","",IF(COUNTIF(Setup!$A$99:$A$128,$B124)&gt;0,IF(INDEX(Setup!$B$99:$B$128,MATCH($B124,Setup!$A$99:$A$128,0))="","Overhead",INDEX(Setup!$B$99:$B$128,MATCH($B124,Setup!$A$99:$A$128,0))),IF(ISNUMBER(SEARCH("advance",$B124))+ISNUMBER(SEARCH("payout",$B124))+ISNUMBER(SEARCH("pay out",$B124))+ISNUMBER(SEARCH("reimburs",$B124))&gt;0,"Transfer",IF(ISNUMBER(SEARCH("loan",$B124))+ISNUMBER(SEARCH("amort",$B124))+ISNUMBER(SEARCH("installment",$B124))+ISNUMBER(SEARCH("instalment",$B124))&gt;0,"Financing",IF(ISNUMBER(SEARCH("draw",$B124))+ISNUMBER(SEARCH("owner",$B124))+ISNUMBER(SEARCH("asset",$B124))+ISNUMBER(SEARCH("capital",$B124))&gt;0,"Other",IF(ISNUMBER(SEARCH("fuel",$B124))+ISNUMBER(SEARCH("diesel",$B124))+ISNUMBER(SEARCH("krudo",$B124))+ISNUMBER(SEARCH("gasolina",$B124))+ISNUMBER(SEARCH("toll",$B124))+ISNUMBER(SEARCH("parking",$B124))+ISNUMBER(SEARCH("repair",$B124))+ISNUMBER(SEARCH("maintenance",$B124))+ISNUMBER(SEARCH("tire",$B124))+ISNUMBER(SEARCH("tyre",$B124))+ISNUMBER(SEARCH("battery",$B124))+ISNUMBER(SEARCH("oil",$B124))+ISNUMBER(SEARCH("filter",$B124))+ISNUMBER(SEARCH("spare",$B124))+ISNUMBER(SEARCH("insurance",$B124))+ISNUMBER(SEARCH("lto",$B124))+ISNUMBER(SEARCH("registration",$B124))+ISNUMBER(SEARCH("emission",$B124))+ISNUMBER(SEARCH("wash",$B124))+ISNUMBER(SEARCH("weigh",$B124))+ISNUMBER(SEARCH("tarp",$B124))&gt;0,"Vehicle",IF(ISNUMBER(SEARCH("rent",$B124))+ISNUMBER(SEARCH("upa",$B124))+ISNUMBER(SEARCH("salary",$B124))+ISNUMBER(SEARCH("sweldo",$B124))+ISNUMBER(SEARCH("wage",$B124))+ISNUMBER(SEARCH("electric",$B124))+ISNUMBER(SEARCH("kuryente",$B124))+ISNUMBER(SEARCH("water",$B124))+ISNUMBER(SEARCH("tubig",$B124))+ISNUMBER(SEARCH("internet",$B124))+ISNUMBER(SEARCH("pldt",$B124))+ISNUMBER(SEARCH("meralco",$B124))+ISNUMBER(SEARCH("supplies",$B124))+ISNUMBER(SEARCH("office",$B124))+ISNUMBER(SEARCH("professional",$B124))+ISNUMBER(SEARCH("accountant",$B124))+ISNUMBER(SEARCH("lawyer",$B124))+ISNUMBER(SEARCH("broker",$B124))+ISNUMBER(SEARCH("bank",$B124))+ISNUMBER(SEARCH("charge",$B124))+ISNUMBER(SEARCH("permit",$B124))+ISNUMBER(SEARCH("bir",$B124))+ISNUMBER(SEARCH("ltfrb",$B124))+ISNUMBER(SEARCH("misc",$B124))+ISNUMBER(SEARCH("fee",$B124))&gt;0,"Overhead","Overhead")))))))</f>
        <v/>
      </c>
      <c r="J124">
        <f>IF($A124="","",DATE(YEAR($A124),MONTH($A124),1))</f>
        <v/>
      </c>
      <c r="K124">
        <f>IF($B124="","",IF(COUNTIF(Setup!$A$99:$A$128,$B124)&gt;0,0,1))</f>
        <v/>
      </c>
      <c r="L124">
        <f>IF($B124="","",IF(ISNUMBER(SEARCH("advance",$B124)),"ADV",IF(OR(ISNUMBER(SEARCH("payout",$B124)),ISNUMBER(SEARCH("pay out",$B124)),ISNUMBER(SEARCH("release",$B124))),"PAY","")))</f>
        <v/>
      </c>
      <c r="M124">
        <f>IF($B124="","",IF(ISNUMBER(SEARCH("bulk",$B124)),0,IF(ISNUMBER(SEARCH("fuel",$B124))+ISNUMBER(SEARCH("diesel",$B124))+ISNUMBER(SEARCH("krudo",$B124))+ISNUMBER(SEARCH("gasolina",$B124))&gt;0,1,0)))</f>
        <v/>
      </c>
      <c r="N124">
        <f>IF($B124="","",IF(ISNUMBER(SEARCH("fuel",$B124))+ISNUMBER(SEARCH("diesel",$B124))+ISNUMBER(SEARCH("krudo",$B124))+ISNUMBER(SEARCH("gasolina",$B124))&gt;0,1,0))</f>
        <v/>
      </c>
    </row>
    <row r="125">
      <c r="A125" s="86" t="n"/>
      <c r="B125" s="88" t="n"/>
      <c r="C125" s="88" t="n"/>
      <c r="D125" s="87" t="n"/>
      <c r="E125" s="88" t="n"/>
      <c r="F125" s="92" t="n"/>
      <c r="G125" s="87" t="n"/>
      <c r="H125" s="87" t="n"/>
      <c r="I125" s="101">
        <f>IF($B125="","",IF(COUNTIF(Setup!$A$99:$A$128,$B125)&gt;0,IF(INDEX(Setup!$B$99:$B$128,MATCH($B125,Setup!$A$99:$A$128,0))="","Overhead",INDEX(Setup!$B$99:$B$128,MATCH($B125,Setup!$A$99:$A$128,0))),IF(ISNUMBER(SEARCH("advance",$B125))+ISNUMBER(SEARCH("payout",$B125))+ISNUMBER(SEARCH("pay out",$B125))+ISNUMBER(SEARCH("reimburs",$B125))&gt;0,"Transfer",IF(ISNUMBER(SEARCH("loan",$B125))+ISNUMBER(SEARCH("amort",$B125))+ISNUMBER(SEARCH("installment",$B125))+ISNUMBER(SEARCH("instalment",$B125))&gt;0,"Financing",IF(ISNUMBER(SEARCH("draw",$B125))+ISNUMBER(SEARCH("owner",$B125))+ISNUMBER(SEARCH("asset",$B125))+ISNUMBER(SEARCH("capital",$B125))&gt;0,"Other",IF(ISNUMBER(SEARCH("fuel",$B125))+ISNUMBER(SEARCH("diesel",$B125))+ISNUMBER(SEARCH("krudo",$B125))+ISNUMBER(SEARCH("gasolina",$B125))+ISNUMBER(SEARCH("toll",$B125))+ISNUMBER(SEARCH("parking",$B125))+ISNUMBER(SEARCH("repair",$B125))+ISNUMBER(SEARCH("maintenance",$B125))+ISNUMBER(SEARCH("tire",$B125))+ISNUMBER(SEARCH("tyre",$B125))+ISNUMBER(SEARCH("battery",$B125))+ISNUMBER(SEARCH("oil",$B125))+ISNUMBER(SEARCH("filter",$B125))+ISNUMBER(SEARCH("spare",$B125))+ISNUMBER(SEARCH("insurance",$B125))+ISNUMBER(SEARCH("lto",$B125))+ISNUMBER(SEARCH("registration",$B125))+ISNUMBER(SEARCH("emission",$B125))+ISNUMBER(SEARCH("wash",$B125))+ISNUMBER(SEARCH("weigh",$B125))+ISNUMBER(SEARCH("tarp",$B125))&gt;0,"Vehicle",IF(ISNUMBER(SEARCH("rent",$B125))+ISNUMBER(SEARCH("upa",$B125))+ISNUMBER(SEARCH("salary",$B125))+ISNUMBER(SEARCH("sweldo",$B125))+ISNUMBER(SEARCH("wage",$B125))+ISNUMBER(SEARCH("electric",$B125))+ISNUMBER(SEARCH("kuryente",$B125))+ISNUMBER(SEARCH("water",$B125))+ISNUMBER(SEARCH("tubig",$B125))+ISNUMBER(SEARCH("internet",$B125))+ISNUMBER(SEARCH("pldt",$B125))+ISNUMBER(SEARCH("meralco",$B125))+ISNUMBER(SEARCH("supplies",$B125))+ISNUMBER(SEARCH("office",$B125))+ISNUMBER(SEARCH("professional",$B125))+ISNUMBER(SEARCH("accountant",$B125))+ISNUMBER(SEARCH("lawyer",$B125))+ISNUMBER(SEARCH("broker",$B125))+ISNUMBER(SEARCH("bank",$B125))+ISNUMBER(SEARCH("charge",$B125))+ISNUMBER(SEARCH("permit",$B125))+ISNUMBER(SEARCH("bir",$B125))+ISNUMBER(SEARCH("ltfrb",$B125))+ISNUMBER(SEARCH("misc",$B125))+ISNUMBER(SEARCH("fee",$B125))&gt;0,"Overhead","Overhead")))))))</f>
        <v/>
      </c>
      <c r="J125">
        <f>IF($A125="","",DATE(YEAR($A125),MONTH($A125),1))</f>
        <v/>
      </c>
      <c r="K125">
        <f>IF($B125="","",IF(COUNTIF(Setup!$A$99:$A$128,$B125)&gt;0,0,1))</f>
        <v/>
      </c>
      <c r="L125">
        <f>IF($B125="","",IF(ISNUMBER(SEARCH("advance",$B125)),"ADV",IF(OR(ISNUMBER(SEARCH("payout",$B125)),ISNUMBER(SEARCH("pay out",$B125)),ISNUMBER(SEARCH("release",$B125))),"PAY","")))</f>
        <v/>
      </c>
      <c r="M125">
        <f>IF($B125="","",IF(ISNUMBER(SEARCH("bulk",$B125)),0,IF(ISNUMBER(SEARCH("fuel",$B125))+ISNUMBER(SEARCH("diesel",$B125))+ISNUMBER(SEARCH("krudo",$B125))+ISNUMBER(SEARCH("gasolina",$B125))&gt;0,1,0)))</f>
        <v/>
      </c>
      <c r="N125">
        <f>IF($B125="","",IF(ISNUMBER(SEARCH("fuel",$B125))+ISNUMBER(SEARCH("diesel",$B125))+ISNUMBER(SEARCH("krudo",$B125))+ISNUMBER(SEARCH("gasolina",$B125))&gt;0,1,0))</f>
        <v/>
      </c>
    </row>
    <row r="126">
      <c r="A126" s="94" t="n"/>
      <c r="B126" s="96" t="n"/>
      <c r="C126" s="96" t="n"/>
      <c r="D126" s="95" t="n"/>
      <c r="E126" s="96" t="n"/>
      <c r="F126" s="99" t="n"/>
      <c r="G126" s="95" t="n"/>
      <c r="H126" s="95" t="n"/>
      <c r="I126" s="101">
        <f>IF($B126="","",IF(COUNTIF(Setup!$A$99:$A$128,$B126)&gt;0,IF(INDEX(Setup!$B$99:$B$128,MATCH($B126,Setup!$A$99:$A$128,0))="","Overhead",INDEX(Setup!$B$99:$B$128,MATCH($B126,Setup!$A$99:$A$128,0))),IF(ISNUMBER(SEARCH("advance",$B126))+ISNUMBER(SEARCH("payout",$B126))+ISNUMBER(SEARCH("pay out",$B126))+ISNUMBER(SEARCH("reimburs",$B126))&gt;0,"Transfer",IF(ISNUMBER(SEARCH("loan",$B126))+ISNUMBER(SEARCH("amort",$B126))+ISNUMBER(SEARCH("installment",$B126))+ISNUMBER(SEARCH("instalment",$B126))&gt;0,"Financing",IF(ISNUMBER(SEARCH("draw",$B126))+ISNUMBER(SEARCH("owner",$B126))+ISNUMBER(SEARCH("asset",$B126))+ISNUMBER(SEARCH("capital",$B126))&gt;0,"Other",IF(ISNUMBER(SEARCH("fuel",$B126))+ISNUMBER(SEARCH("diesel",$B126))+ISNUMBER(SEARCH("krudo",$B126))+ISNUMBER(SEARCH("gasolina",$B126))+ISNUMBER(SEARCH("toll",$B126))+ISNUMBER(SEARCH("parking",$B126))+ISNUMBER(SEARCH("repair",$B126))+ISNUMBER(SEARCH("maintenance",$B126))+ISNUMBER(SEARCH("tire",$B126))+ISNUMBER(SEARCH("tyre",$B126))+ISNUMBER(SEARCH("battery",$B126))+ISNUMBER(SEARCH("oil",$B126))+ISNUMBER(SEARCH("filter",$B126))+ISNUMBER(SEARCH("spare",$B126))+ISNUMBER(SEARCH("insurance",$B126))+ISNUMBER(SEARCH("lto",$B126))+ISNUMBER(SEARCH("registration",$B126))+ISNUMBER(SEARCH("emission",$B126))+ISNUMBER(SEARCH("wash",$B126))+ISNUMBER(SEARCH("weigh",$B126))+ISNUMBER(SEARCH("tarp",$B126))&gt;0,"Vehicle",IF(ISNUMBER(SEARCH("rent",$B126))+ISNUMBER(SEARCH("upa",$B126))+ISNUMBER(SEARCH("salary",$B126))+ISNUMBER(SEARCH("sweldo",$B126))+ISNUMBER(SEARCH("wage",$B126))+ISNUMBER(SEARCH("electric",$B126))+ISNUMBER(SEARCH("kuryente",$B126))+ISNUMBER(SEARCH("water",$B126))+ISNUMBER(SEARCH("tubig",$B126))+ISNUMBER(SEARCH("internet",$B126))+ISNUMBER(SEARCH("pldt",$B126))+ISNUMBER(SEARCH("meralco",$B126))+ISNUMBER(SEARCH("supplies",$B126))+ISNUMBER(SEARCH("office",$B126))+ISNUMBER(SEARCH("professional",$B126))+ISNUMBER(SEARCH("accountant",$B126))+ISNUMBER(SEARCH("lawyer",$B126))+ISNUMBER(SEARCH("broker",$B126))+ISNUMBER(SEARCH("bank",$B126))+ISNUMBER(SEARCH("charge",$B126))+ISNUMBER(SEARCH("permit",$B126))+ISNUMBER(SEARCH("bir",$B126))+ISNUMBER(SEARCH("ltfrb",$B126))+ISNUMBER(SEARCH("misc",$B126))+ISNUMBER(SEARCH("fee",$B126))&gt;0,"Overhead","Overhead")))))))</f>
        <v/>
      </c>
      <c r="J126">
        <f>IF($A126="","",DATE(YEAR($A126),MONTH($A126),1))</f>
        <v/>
      </c>
      <c r="K126">
        <f>IF($B126="","",IF(COUNTIF(Setup!$A$99:$A$128,$B126)&gt;0,0,1))</f>
        <v/>
      </c>
      <c r="L126">
        <f>IF($B126="","",IF(ISNUMBER(SEARCH("advance",$B126)),"ADV",IF(OR(ISNUMBER(SEARCH("payout",$B126)),ISNUMBER(SEARCH("pay out",$B126)),ISNUMBER(SEARCH("release",$B126))),"PAY","")))</f>
        <v/>
      </c>
      <c r="M126">
        <f>IF($B126="","",IF(ISNUMBER(SEARCH("bulk",$B126)),0,IF(ISNUMBER(SEARCH("fuel",$B126))+ISNUMBER(SEARCH("diesel",$B126))+ISNUMBER(SEARCH("krudo",$B126))+ISNUMBER(SEARCH("gasolina",$B126))&gt;0,1,0)))</f>
        <v/>
      </c>
      <c r="N126">
        <f>IF($B126="","",IF(ISNUMBER(SEARCH("fuel",$B126))+ISNUMBER(SEARCH("diesel",$B126))+ISNUMBER(SEARCH("krudo",$B126))+ISNUMBER(SEARCH("gasolina",$B126))&gt;0,1,0))</f>
        <v/>
      </c>
    </row>
    <row r="127">
      <c r="A127" s="86" t="n"/>
      <c r="B127" s="88" t="n"/>
      <c r="C127" s="88" t="n"/>
      <c r="D127" s="87" t="n"/>
      <c r="E127" s="88" t="n"/>
      <c r="F127" s="92" t="n"/>
      <c r="G127" s="87" t="n"/>
      <c r="H127" s="87" t="n"/>
      <c r="I127" s="101">
        <f>IF($B127="","",IF(COUNTIF(Setup!$A$99:$A$128,$B127)&gt;0,IF(INDEX(Setup!$B$99:$B$128,MATCH($B127,Setup!$A$99:$A$128,0))="","Overhead",INDEX(Setup!$B$99:$B$128,MATCH($B127,Setup!$A$99:$A$128,0))),IF(ISNUMBER(SEARCH("advance",$B127))+ISNUMBER(SEARCH("payout",$B127))+ISNUMBER(SEARCH("pay out",$B127))+ISNUMBER(SEARCH("reimburs",$B127))&gt;0,"Transfer",IF(ISNUMBER(SEARCH("loan",$B127))+ISNUMBER(SEARCH("amort",$B127))+ISNUMBER(SEARCH("installment",$B127))+ISNUMBER(SEARCH("instalment",$B127))&gt;0,"Financing",IF(ISNUMBER(SEARCH("draw",$B127))+ISNUMBER(SEARCH("owner",$B127))+ISNUMBER(SEARCH("asset",$B127))+ISNUMBER(SEARCH("capital",$B127))&gt;0,"Other",IF(ISNUMBER(SEARCH("fuel",$B127))+ISNUMBER(SEARCH("diesel",$B127))+ISNUMBER(SEARCH("krudo",$B127))+ISNUMBER(SEARCH("gasolina",$B127))+ISNUMBER(SEARCH("toll",$B127))+ISNUMBER(SEARCH("parking",$B127))+ISNUMBER(SEARCH("repair",$B127))+ISNUMBER(SEARCH("maintenance",$B127))+ISNUMBER(SEARCH("tire",$B127))+ISNUMBER(SEARCH("tyre",$B127))+ISNUMBER(SEARCH("battery",$B127))+ISNUMBER(SEARCH("oil",$B127))+ISNUMBER(SEARCH("filter",$B127))+ISNUMBER(SEARCH("spare",$B127))+ISNUMBER(SEARCH("insurance",$B127))+ISNUMBER(SEARCH("lto",$B127))+ISNUMBER(SEARCH("registration",$B127))+ISNUMBER(SEARCH("emission",$B127))+ISNUMBER(SEARCH("wash",$B127))+ISNUMBER(SEARCH("weigh",$B127))+ISNUMBER(SEARCH("tarp",$B127))&gt;0,"Vehicle",IF(ISNUMBER(SEARCH("rent",$B127))+ISNUMBER(SEARCH("upa",$B127))+ISNUMBER(SEARCH("salary",$B127))+ISNUMBER(SEARCH("sweldo",$B127))+ISNUMBER(SEARCH("wage",$B127))+ISNUMBER(SEARCH("electric",$B127))+ISNUMBER(SEARCH("kuryente",$B127))+ISNUMBER(SEARCH("water",$B127))+ISNUMBER(SEARCH("tubig",$B127))+ISNUMBER(SEARCH("internet",$B127))+ISNUMBER(SEARCH("pldt",$B127))+ISNUMBER(SEARCH("meralco",$B127))+ISNUMBER(SEARCH("supplies",$B127))+ISNUMBER(SEARCH("office",$B127))+ISNUMBER(SEARCH("professional",$B127))+ISNUMBER(SEARCH("accountant",$B127))+ISNUMBER(SEARCH("lawyer",$B127))+ISNUMBER(SEARCH("broker",$B127))+ISNUMBER(SEARCH("bank",$B127))+ISNUMBER(SEARCH("charge",$B127))+ISNUMBER(SEARCH("permit",$B127))+ISNUMBER(SEARCH("bir",$B127))+ISNUMBER(SEARCH("ltfrb",$B127))+ISNUMBER(SEARCH("misc",$B127))+ISNUMBER(SEARCH("fee",$B127))&gt;0,"Overhead","Overhead")))))))</f>
        <v/>
      </c>
      <c r="J127">
        <f>IF($A127="","",DATE(YEAR($A127),MONTH($A127),1))</f>
        <v/>
      </c>
      <c r="K127">
        <f>IF($B127="","",IF(COUNTIF(Setup!$A$99:$A$128,$B127)&gt;0,0,1))</f>
        <v/>
      </c>
      <c r="L127">
        <f>IF($B127="","",IF(ISNUMBER(SEARCH("advance",$B127)),"ADV",IF(OR(ISNUMBER(SEARCH("payout",$B127)),ISNUMBER(SEARCH("pay out",$B127)),ISNUMBER(SEARCH("release",$B127))),"PAY","")))</f>
        <v/>
      </c>
      <c r="M127">
        <f>IF($B127="","",IF(ISNUMBER(SEARCH("bulk",$B127)),0,IF(ISNUMBER(SEARCH("fuel",$B127))+ISNUMBER(SEARCH("diesel",$B127))+ISNUMBER(SEARCH("krudo",$B127))+ISNUMBER(SEARCH("gasolina",$B127))&gt;0,1,0)))</f>
        <v/>
      </c>
      <c r="N127">
        <f>IF($B127="","",IF(ISNUMBER(SEARCH("fuel",$B127))+ISNUMBER(SEARCH("diesel",$B127))+ISNUMBER(SEARCH("krudo",$B127))+ISNUMBER(SEARCH("gasolina",$B127))&gt;0,1,0))</f>
        <v/>
      </c>
    </row>
    <row r="128">
      <c r="A128" s="94" t="n"/>
      <c r="B128" s="96" t="n"/>
      <c r="C128" s="96" t="n"/>
      <c r="D128" s="95" t="n"/>
      <c r="E128" s="96" t="n"/>
      <c r="F128" s="99" t="n"/>
      <c r="G128" s="95" t="n"/>
      <c r="H128" s="95" t="n"/>
      <c r="I128" s="101">
        <f>IF($B128="","",IF(COUNTIF(Setup!$A$99:$A$128,$B128)&gt;0,IF(INDEX(Setup!$B$99:$B$128,MATCH($B128,Setup!$A$99:$A$128,0))="","Overhead",INDEX(Setup!$B$99:$B$128,MATCH($B128,Setup!$A$99:$A$128,0))),IF(ISNUMBER(SEARCH("advance",$B128))+ISNUMBER(SEARCH("payout",$B128))+ISNUMBER(SEARCH("pay out",$B128))+ISNUMBER(SEARCH("reimburs",$B128))&gt;0,"Transfer",IF(ISNUMBER(SEARCH("loan",$B128))+ISNUMBER(SEARCH("amort",$B128))+ISNUMBER(SEARCH("installment",$B128))+ISNUMBER(SEARCH("instalment",$B128))&gt;0,"Financing",IF(ISNUMBER(SEARCH("draw",$B128))+ISNUMBER(SEARCH("owner",$B128))+ISNUMBER(SEARCH("asset",$B128))+ISNUMBER(SEARCH("capital",$B128))&gt;0,"Other",IF(ISNUMBER(SEARCH("fuel",$B128))+ISNUMBER(SEARCH("diesel",$B128))+ISNUMBER(SEARCH("krudo",$B128))+ISNUMBER(SEARCH("gasolina",$B128))+ISNUMBER(SEARCH("toll",$B128))+ISNUMBER(SEARCH("parking",$B128))+ISNUMBER(SEARCH("repair",$B128))+ISNUMBER(SEARCH("maintenance",$B128))+ISNUMBER(SEARCH("tire",$B128))+ISNUMBER(SEARCH("tyre",$B128))+ISNUMBER(SEARCH("battery",$B128))+ISNUMBER(SEARCH("oil",$B128))+ISNUMBER(SEARCH("filter",$B128))+ISNUMBER(SEARCH("spare",$B128))+ISNUMBER(SEARCH("insurance",$B128))+ISNUMBER(SEARCH("lto",$B128))+ISNUMBER(SEARCH("registration",$B128))+ISNUMBER(SEARCH("emission",$B128))+ISNUMBER(SEARCH("wash",$B128))+ISNUMBER(SEARCH("weigh",$B128))+ISNUMBER(SEARCH("tarp",$B128))&gt;0,"Vehicle",IF(ISNUMBER(SEARCH("rent",$B128))+ISNUMBER(SEARCH("upa",$B128))+ISNUMBER(SEARCH("salary",$B128))+ISNUMBER(SEARCH("sweldo",$B128))+ISNUMBER(SEARCH("wage",$B128))+ISNUMBER(SEARCH("electric",$B128))+ISNUMBER(SEARCH("kuryente",$B128))+ISNUMBER(SEARCH("water",$B128))+ISNUMBER(SEARCH("tubig",$B128))+ISNUMBER(SEARCH("internet",$B128))+ISNUMBER(SEARCH("pldt",$B128))+ISNUMBER(SEARCH("meralco",$B128))+ISNUMBER(SEARCH("supplies",$B128))+ISNUMBER(SEARCH("office",$B128))+ISNUMBER(SEARCH("professional",$B128))+ISNUMBER(SEARCH("accountant",$B128))+ISNUMBER(SEARCH("lawyer",$B128))+ISNUMBER(SEARCH("broker",$B128))+ISNUMBER(SEARCH("bank",$B128))+ISNUMBER(SEARCH("charge",$B128))+ISNUMBER(SEARCH("permit",$B128))+ISNUMBER(SEARCH("bir",$B128))+ISNUMBER(SEARCH("ltfrb",$B128))+ISNUMBER(SEARCH("misc",$B128))+ISNUMBER(SEARCH("fee",$B128))&gt;0,"Overhead","Overhead")))))))</f>
        <v/>
      </c>
      <c r="J128">
        <f>IF($A128="","",DATE(YEAR($A128),MONTH($A128),1))</f>
        <v/>
      </c>
      <c r="K128">
        <f>IF($B128="","",IF(COUNTIF(Setup!$A$99:$A$128,$B128)&gt;0,0,1))</f>
        <v/>
      </c>
      <c r="L128">
        <f>IF($B128="","",IF(ISNUMBER(SEARCH("advance",$B128)),"ADV",IF(OR(ISNUMBER(SEARCH("payout",$B128)),ISNUMBER(SEARCH("pay out",$B128)),ISNUMBER(SEARCH("release",$B128))),"PAY","")))</f>
        <v/>
      </c>
      <c r="M128">
        <f>IF($B128="","",IF(ISNUMBER(SEARCH("bulk",$B128)),0,IF(ISNUMBER(SEARCH("fuel",$B128))+ISNUMBER(SEARCH("diesel",$B128))+ISNUMBER(SEARCH("krudo",$B128))+ISNUMBER(SEARCH("gasolina",$B128))&gt;0,1,0)))</f>
        <v/>
      </c>
      <c r="N128">
        <f>IF($B128="","",IF(ISNUMBER(SEARCH("fuel",$B128))+ISNUMBER(SEARCH("diesel",$B128))+ISNUMBER(SEARCH("krudo",$B128))+ISNUMBER(SEARCH("gasolina",$B128))&gt;0,1,0))</f>
        <v/>
      </c>
    </row>
    <row r="129">
      <c r="A129" s="86" t="n"/>
      <c r="B129" s="88" t="n"/>
      <c r="C129" s="88" t="n"/>
      <c r="D129" s="87" t="n"/>
      <c r="E129" s="88" t="n"/>
      <c r="F129" s="92" t="n"/>
      <c r="G129" s="87" t="n"/>
      <c r="H129" s="87" t="n"/>
      <c r="I129" s="101">
        <f>IF($B129="","",IF(COUNTIF(Setup!$A$99:$A$128,$B129)&gt;0,IF(INDEX(Setup!$B$99:$B$128,MATCH($B129,Setup!$A$99:$A$128,0))="","Overhead",INDEX(Setup!$B$99:$B$128,MATCH($B129,Setup!$A$99:$A$128,0))),IF(ISNUMBER(SEARCH("advance",$B129))+ISNUMBER(SEARCH("payout",$B129))+ISNUMBER(SEARCH("pay out",$B129))+ISNUMBER(SEARCH("reimburs",$B129))&gt;0,"Transfer",IF(ISNUMBER(SEARCH("loan",$B129))+ISNUMBER(SEARCH("amort",$B129))+ISNUMBER(SEARCH("installment",$B129))+ISNUMBER(SEARCH("instalment",$B129))&gt;0,"Financing",IF(ISNUMBER(SEARCH("draw",$B129))+ISNUMBER(SEARCH("owner",$B129))+ISNUMBER(SEARCH("asset",$B129))+ISNUMBER(SEARCH("capital",$B129))&gt;0,"Other",IF(ISNUMBER(SEARCH("fuel",$B129))+ISNUMBER(SEARCH("diesel",$B129))+ISNUMBER(SEARCH("krudo",$B129))+ISNUMBER(SEARCH("gasolina",$B129))+ISNUMBER(SEARCH("toll",$B129))+ISNUMBER(SEARCH("parking",$B129))+ISNUMBER(SEARCH("repair",$B129))+ISNUMBER(SEARCH("maintenance",$B129))+ISNUMBER(SEARCH("tire",$B129))+ISNUMBER(SEARCH("tyre",$B129))+ISNUMBER(SEARCH("battery",$B129))+ISNUMBER(SEARCH("oil",$B129))+ISNUMBER(SEARCH("filter",$B129))+ISNUMBER(SEARCH("spare",$B129))+ISNUMBER(SEARCH("insurance",$B129))+ISNUMBER(SEARCH("lto",$B129))+ISNUMBER(SEARCH("registration",$B129))+ISNUMBER(SEARCH("emission",$B129))+ISNUMBER(SEARCH("wash",$B129))+ISNUMBER(SEARCH("weigh",$B129))+ISNUMBER(SEARCH("tarp",$B129))&gt;0,"Vehicle",IF(ISNUMBER(SEARCH("rent",$B129))+ISNUMBER(SEARCH("upa",$B129))+ISNUMBER(SEARCH("salary",$B129))+ISNUMBER(SEARCH("sweldo",$B129))+ISNUMBER(SEARCH("wage",$B129))+ISNUMBER(SEARCH("electric",$B129))+ISNUMBER(SEARCH("kuryente",$B129))+ISNUMBER(SEARCH("water",$B129))+ISNUMBER(SEARCH("tubig",$B129))+ISNUMBER(SEARCH("internet",$B129))+ISNUMBER(SEARCH("pldt",$B129))+ISNUMBER(SEARCH("meralco",$B129))+ISNUMBER(SEARCH("supplies",$B129))+ISNUMBER(SEARCH("office",$B129))+ISNUMBER(SEARCH("professional",$B129))+ISNUMBER(SEARCH("accountant",$B129))+ISNUMBER(SEARCH("lawyer",$B129))+ISNUMBER(SEARCH("broker",$B129))+ISNUMBER(SEARCH("bank",$B129))+ISNUMBER(SEARCH("charge",$B129))+ISNUMBER(SEARCH("permit",$B129))+ISNUMBER(SEARCH("bir",$B129))+ISNUMBER(SEARCH("ltfrb",$B129))+ISNUMBER(SEARCH("misc",$B129))+ISNUMBER(SEARCH("fee",$B129))&gt;0,"Overhead","Overhead")))))))</f>
        <v/>
      </c>
      <c r="J129">
        <f>IF($A129="","",DATE(YEAR($A129),MONTH($A129),1))</f>
        <v/>
      </c>
      <c r="K129">
        <f>IF($B129="","",IF(COUNTIF(Setup!$A$99:$A$128,$B129)&gt;0,0,1))</f>
        <v/>
      </c>
      <c r="L129">
        <f>IF($B129="","",IF(ISNUMBER(SEARCH("advance",$B129)),"ADV",IF(OR(ISNUMBER(SEARCH("payout",$B129)),ISNUMBER(SEARCH("pay out",$B129)),ISNUMBER(SEARCH("release",$B129))),"PAY","")))</f>
        <v/>
      </c>
      <c r="M129">
        <f>IF($B129="","",IF(ISNUMBER(SEARCH("bulk",$B129)),0,IF(ISNUMBER(SEARCH("fuel",$B129))+ISNUMBER(SEARCH("diesel",$B129))+ISNUMBER(SEARCH("krudo",$B129))+ISNUMBER(SEARCH("gasolina",$B129))&gt;0,1,0)))</f>
        <v/>
      </c>
      <c r="N129">
        <f>IF($B129="","",IF(ISNUMBER(SEARCH("fuel",$B129))+ISNUMBER(SEARCH("diesel",$B129))+ISNUMBER(SEARCH("krudo",$B129))+ISNUMBER(SEARCH("gasolina",$B129))&gt;0,1,0))</f>
        <v/>
      </c>
    </row>
    <row r="130">
      <c r="A130" s="94" t="n"/>
      <c r="B130" s="96" t="n"/>
      <c r="C130" s="96" t="n"/>
      <c r="D130" s="95" t="n"/>
      <c r="E130" s="96" t="n"/>
      <c r="F130" s="99" t="n"/>
      <c r="G130" s="95" t="n"/>
      <c r="H130" s="95" t="n"/>
      <c r="I130" s="101">
        <f>IF($B130="","",IF(COUNTIF(Setup!$A$99:$A$128,$B130)&gt;0,IF(INDEX(Setup!$B$99:$B$128,MATCH($B130,Setup!$A$99:$A$128,0))="","Overhead",INDEX(Setup!$B$99:$B$128,MATCH($B130,Setup!$A$99:$A$128,0))),IF(ISNUMBER(SEARCH("advance",$B130))+ISNUMBER(SEARCH("payout",$B130))+ISNUMBER(SEARCH("pay out",$B130))+ISNUMBER(SEARCH("reimburs",$B130))&gt;0,"Transfer",IF(ISNUMBER(SEARCH("loan",$B130))+ISNUMBER(SEARCH("amort",$B130))+ISNUMBER(SEARCH("installment",$B130))+ISNUMBER(SEARCH("instalment",$B130))&gt;0,"Financing",IF(ISNUMBER(SEARCH("draw",$B130))+ISNUMBER(SEARCH("owner",$B130))+ISNUMBER(SEARCH("asset",$B130))+ISNUMBER(SEARCH("capital",$B130))&gt;0,"Other",IF(ISNUMBER(SEARCH("fuel",$B130))+ISNUMBER(SEARCH("diesel",$B130))+ISNUMBER(SEARCH("krudo",$B130))+ISNUMBER(SEARCH("gasolina",$B130))+ISNUMBER(SEARCH("toll",$B130))+ISNUMBER(SEARCH("parking",$B130))+ISNUMBER(SEARCH("repair",$B130))+ISNUMBER(SEARCH("maintenance",$B130))+ISNUMBER(SEARCH("tire",$B130))+ISNUMBER(SEARCH("tyre",$B130))+ISNUMBER(SEARCH("battery",$B130))+ISNUMBER(SEARCH("oil",$B130))+ISNUMBER(SEARCH("filter",$B130))+ISNUMBER(SEARCH("spare",$B130))+ISNUMBER(SEARCH("insurance",$B130))+ISNUMBER(SEARCH("lto",$B130))+ISNUMBER(SEARCH("registration",$B130))+ISNUMBER(SEARCH("emission",$B130))+ISNUMBER(SEARCH("wash",$B130))+ISNUMBER(SEARCH("weigh",$B130))+ISNUMBER(SEARCH("tarp",$B130))&gt;0,"Vehicle",IF(ISNUMBER(SEARCH("rent",$B130))+ISNUMBER(SEARCH("upa",$B130))+ISNUMBER(SEARCH("salary",$B130))+ISNUMBER(SEARCH("sweldo",$B130))+ISNUMBER(SEARCH("wage",$B130))+ISNUMBER(SEARCH("electric",$B130))+ISNUMBER(SEARCH("kuryente",$B130))+ISNUMBER(SEARCH("water",$B130))+ISNUMBER(SEARCH("tubig",$B130))+ISNUMBER(SEARCH("internet",$B130))+ISNUMBER(SEARCH("pldt",$B130))+ISNUMBER(SEARCH("meralco",$B130))+ISNUMBER(SEARCH("supplies",$B130))+ISNUMBER(SEARCH("office",$B130))+ISNUMBER(SEARCH("professional",$B130))+ISNUMBER(SEARCH("accountant",$B130))+ISNUMBER(SEARCH("lawyer",$B130))+ISNUMBER(SEARCH("broker",$B130))+ISNUMBER(SEARCH("bank",$B130))+ISNUMBER(SEARCH("charge",$B130))+ISNUMBER(SEARCH("permit",$B130))+ISNUMBER(SEARCH("bir",$B130))+ISNUMBER(SEARCH("ltfrb",$B130))+ISNUMBER(SEARCH("misc",$B130))+ISNUMBER(SEARCH("fee",$B130))&gt;0,"Overhead","Overhead")))))))</f>
        <v/>
      </c>
      <c r="J130">
        <f>IF($A130="","",DATE(YEAR($A130),MONTH($A130),1))</f>
        <v/>
      </c>
      <c r="K130">
        <f>IF($B130="","",IF(COUNTIF(Setup!$A$99:$A$128,$B130)&gt;0,0,1))</f>
        <v/>
      </c>
      <c r="L130">
        <f>IF($B130="","",IF(ISNUMBER(SEARCH("advance",$B130)),"ADV",IF(OR(ISNUMBER(SEARCH("payout",$B130)),ISNUMBER(SEARCH("pay out",$B130)),ISNUMBER(SEARCH("release",$B130))),"PAY","")))</f>
        <v/>
      </c>
      <c r="M130">
        <f>IF($B130="","",IF(ISNUMBER(SEARCH("bulk",$B130)),0,IF(ISNUMBER(SEARCH("fuel",$B130))+ISNUMBER(SEARCH("diesel",$B130))+ISNUMBER(SEARCH("krudo",$B130))+ISNUMBER(SEARCH("gasolina",$B130))&gt;0,1,0)))</f>
        <v/>
      </c>
      <c r="N130">
        <f>IF($B130="","",IF(ISNUMBER(SEARCH("fuel",$B130))+ISNUMBER(SEARCH("diesel",$B130))+ISNUMBER(SEARCH("krudo",$B130))+ISNUMBER(SEARCH("gasolina",$B130))&gt;0,1,0))</f>
        <v/>
      </c>
    </row>
    <row r="131">
      <c r="A131" s="86" t="n"/>
      <c r="B131" s="88" t="n"/>
      <c r="C131" s="88" t="n"/>
      <c r="D131" s="87" t="n"/>
      <c r="E131" s="88" t="n"/>
      <c r="F131" s="92" t="n"/>
      <c r="G131" s="87" t="n"/>
      <c r="H131" s="87" t="n"/>
      <c r="I131" s="101">
        <f>IF($B131="","",IF(COUNTIF(Setup!$A$99:$A$128,$B131)&gt;0,IF(INDEX(Setup!$B$99:$B$128,MATCH($B131,Setup!$A$99:$A$128,0))="","Overhead",INDEX(Setup!$B$99:$B$128,MATCH($B131,Setup!$A$99:$A$128,0))),IF(ISNUMBER(SEARCH("advance",$B131))+ISNUMBER(SEARCH("payout",$B131))+ISNUMBER(SEARCH("pay out",$B131))+ISNUMBER(SEARCH("reimburs",$B131))&gt;0,"Transfer",IF(ISNUMBER(SEARCH("loan",$B131))+ISNUMBER(SEARCH("amort",$B131))+ISNUMBER(SEARCH("installment",$B131))+ISNUMBER(SEARCH("instalment",$B131))&gt;0,"Financing",IF(ISNUMBER(SEARCH("draw",$B131))+ISNUMBER(SEARCH("owner",$B131))+ISNUMBER(SEARCH("asset",$B131))+ISNUMBER(SEARCH("capital",$B131))&gt;0,"Other",IF(ISNUMBER(SEARCH("fuel",$B131))+ISNUMBER(SEARCH("diesel",$B131))+ISNUMBER(SEARCH("krudo",$B131))+ISNUMBER(SEARCH("gasolina",$B131))+ISNUMBER(SEARCH("toll",$B131))+ISNUMBER(SEARCH("parking",$B131))+ISNUMBER(SEARCH("repair",$B131))+ISNUMBER(SEARCH("maintenance",$B131))+ISNUMBER(SEARCH("tire",$B131))+ISNUMBER(SEARCH("tyre",$B131))+ISNUMBER(SEARCH("battery",$B131))+ISNUMBER(SEARCH("oil",$B131))+ISNUMBER(SEARCH("filter",$B131))+ISNUMBER(SEARCH("spare",$B131))+ISNUMBER(SEARCH("insurance",$B131))+ISNUMBER(SEARCH("lto",$B131))+ISNUMBER(SEARCH("registration",$B131))+ISNUMBER(SEARCH("emission",$B131))+ISNUMBER(SEARCH("wash",$B131))+ISNUMBER(SEARCH("weigh",$B131))+ISNUMBER(SEARCH("tarp",$B131))&gt;0,"Vehicle",IF(ISNUMBER(SEARCH("rent",$B131))+ISNUMBER(SEARCH("upa",$B131))+ISNUMBER(SEARCH("salary",$B131))+ISNUMBER(SEARCH("sweldo",$B131))+ISNUMBER(SEARCH("wage",$B131))+ISNUMBER(SEARCH("electric",$B131))+ISNUMBER(SEARCH("kuryente",$B131))+ISNUMBER(SEARCH("water",$B131))+ISNUMBER(SEARCH("tubig",$B131))+ISNUMBER(SEARCH("internet",$B131))+ISNUMBER(SEARCH("pldt",$B131))+ISNUMBER(SEARCH("meralco",$B131))+ISNUMBER(SEARCH("supplies",$B131))+ISNUMBER(SEARCH("office",$B131))+ISNUMBER(SEARCH("professional",$B131))+ISNUMBER(SEARCH("accountant",$B131))+ISNUMBER(SEARCH("lawyer",$B131))+ISNUMBER(SEARCH("broker",$B131))+ISNUMBER(SEARCH("bank",$B131))+ISNUMBER(SEARCH("charge",$B131))+ISNUMBER(SEARCH("permit",$B131))+ISNUMBER(SEARCH("bir",$B131))+ISNUMBER(SEARCH("ltfrb",$B131))+ISNUMBER(SEARCH("misc",$B131))+ISNUMBER(SEARCH("fee",$B131))&gt;0,"Overhead","Overhead")))))))</f>
        <v/>
      </c>
      <c r="J131">
        <f>IF($A131="","",DATE(YEAR($A131),MONTH($A131),1))</f>
        <v/>
      </c>
      <c r="K131">
        <f>IF($B131="","",IF(COUNTIF(Setup!$A$99:$A$128,$B131)&gt;0,0,1))</f>
        <v/>
      </c>
      <c r="L131">
        <f>IF($B131="","",IF(ISNUMBER(SEARCH("advance",$B131)),"ADV",IF(OR(ISNUMBER(SEARCH("payout",$B131)),ISNUMBER(SEARCH("pay out",$B131)),ISNUMBER(SEARCH("release",$B131))),"PAY","")))</f>
        <v/>
      </c>
      <c r="M131">
        <f>IF($B131="","",IF(ISNUMBER(SEARCH("bulk",$B131)),0,IF(ISNUMBER(SEARCH("fuel",$B131))+ISNUMBER(SEARCH("diesel",$B131))+ISNUMBER(SEARCH("krudo",$B131))+ISNUMBER(SEARCH("gasolina",$B131))&gt;0,1,0)))</f>
        <v/>
      </c>
      <c r="N131">
        <f>IF($B131="","",IF(ISNUMBER(SEARCH("fuel",$B131))+ISNUMBER(SEARCH("diesel",$B131))+ISNUMBER(SEARCH("krudo",$B131))+ISNUMBER(SEARCH("gasolina",$B131))&gt;0,1,0))</f>
        <v/>
      </c>
    </row>
    <row r="132">
      <c r="A132" s="94" t="n"/>
      <c r="B132" s="96" t="n"/>
      <c r="C132" s="96" t="n"/>
      <c r="D132" s="95" t="n"/>
      <c r="E132" s="96" t="n"/>
      <c r="F132" s="99" t="n"/>
      <c r="G132" s="95" t="n"/>
      <c r="H132" s="95" t="n"/>
      <c r="I132" s="101">
        <f>IF($B132="","",IF(COUNTIF(Setup!$A$99:$A$128,$B132)&gt;0,IF(INDEX(Setup!$B$99:$B$128,MATCH($B132,Setup!$A$99:$A$128,0))="","Overhead",INDEX(Setup!$B$99:$B$128,MATCH($B132,Setup!$A$99:$A$128,0))),IF(ISNUMBER(SEARCH("advance",$B132))+ISNUMBER(SEARCH("payout",$B132))+ISNUMBER(SEARCH("pay out",$B132))+ISNUMBER(SEARCH("reimburs",$B132))&gt;0,"Transfer",IF(ISNUMBER(SEARCH("loan",$B132))+ISNUMBER(SEARCH("amort",$B132))+ISNUMBER(SEARCH("installment",$B132))+ISNUMBER(SEARCH("instalment",$B132))&gt;0,"Financing",IF(ISNUMBER(SEARCH("draw",$B132))+ISNUMBER(SEARCH("owner",$B132))+ISNUMBER(SEARCH("asset",$B132))+ISNUMBER(SEARCH("capital",$B132))&gt;0,"Other",IF(ISNUMBER(SEARCH("fuel",$B132))+ISNUMBER(SEARCH("diesel",$B132))+ISNUMBER(SEARCH("krudo",$B132))+ISNUMBER(SEARCH("gasolina",$B132))+ISNUMBER(SEARCH("toll",$B132))+ISNUMBER(SEARCH("parking",$B132))+ISNUMBER(SEARCH("repair",$B132))+ISNUMBER(SEARCH("maintenance",$B132))+ISNUMBER(SEARCH("tire",$B132))+ISNUMBER(SEARCH("tyre",$B132))+ISNUMBER(SEARCH("battery",$B132))+ISNUMBER(SEARCH("oil",$B132))+ISNUMBER(SEARCH("filter",$B132))+ISNUMBER(SEARCH("spare",$B132))+ISNUMBER(SEARCH("insurance",$B132))+ISNUMBER(SEARCH("lto",$B132))+ISNUMBER(SEARCH("registration",$B132))+ISNUMBER(SEARCH("emission",$B132))+ISNUMBER(SEARCH("wash",$B132))+ISNUMBER(SEARCH("weigh",$B132))+ISNUMBER(SEARCH("tarp",$B132))&gt;0,"Vehicle",IF(ISNUMBER(SEARCH("rent",$B132))+ISNUMBER(SEARCH("upa",$B132))+ISNUMBER(SEARCH("salary",$B132))+ISNUMBER(SEARCH("sweldo",$B132))+ISNUMBER(SEARCH("wage",$B132))+ISNUMBER(SEARCH("electric",$B132))+ISNUMBER(SEARCH("kuryente",$B132))+ISNUMBER(SEARCH("water",$B132))+ISNUMBER(SEARCH("tubig",$B132))+ISNUMBER(SEARCH("internet",$B132))+ISNUMBER(SEARCH("pldt",$B132))+ISNUMBER(SEARCH("meralco",$B132))+ISNUMBER(SEARCH("supplies",$B132))+ISNUMBER(SEARCH("office",$B132))+ISNUMBER(SEARCH("professional",$B132))+ISNUMBER(SEARCH("accountant",$B132))+ISNUMBER(SEARCH("lawyer",$B132))+ISNUMBER(SEARCH("broker",$B132))+ISNUMBER(SEARCH("bank",$B132))+ISNUMBER(SEARCH("charge",$B132))+ISNUMBER(SEARCH("permit",$B132))+ISNUMBER(SEARCH("bir",$B132))+ISNUMBER(SEARCH("ltfrb",$B132))+ISNUMBER(SEARCH("misc",$B132))+ISNUMBER(SEARCH("fee",$B132))&gt;0,"Overhead","Overhead")))))))</f>
        <v/>
      </c>
      <c r="J132">
        <f>IF($A132="","",DATE(YEAR($A132),MONTH($A132),1))</f>
        <v/>
      </c>
      <c r="K132">
        <f>IF($B132="","",IF(COUNTIF(Setup!$A$99:$A$128,$B132)&gt;0,0,1))</f>
        <v/>
      </c>
      <c r="L132">
        <f>IF($B132="","",IF(ISNUMBER(SEARCH("advance",$B132)),"ADV",IF(OR(ISNUMBER(SEARCH("payout",$B132)),ISNUMBER(SEARCH("pay out",$B132)),ISNUMBER(SEARCH("release",$B132))),"PAY","")))</f>
        <v/>
      </c>
      <c r="M132">
        <f>IF($B132="","",IF(ISNUMBER(SEARCH("bulk",$B132)),0,IF(ISNUMBER(SEARCH("fuel",$B132))+ISNUMBER(SEARCH("diesel",$B132))+ISNUMBER(SEARCH("krudo",$B132))+ISNUMBER(SEARCH("gasolina",$B132))&gt;0,1,0)))</f>
        <v/>
      </c>
      <c r="N132">
        <f>IF($B132="","",IF(ISNUMBER(SEARCH("fuel",$B132))+ISNUMBER(SEARCH("diesel",$B132))+ISNUMBER(SEARCH("krudo",$B132))+ISNUMBER(SEARCH("gasolina",$B132))&gt;0,1,0))</f>
        <v/>
      </c>
    </row>
    <row r="133">
      <c r="A133" s="86" t="n"/>
      <c r="B133" s="88" t="n"/>
      <c r="C133" s="88" t="n"/>
      <c r="D133" s="87" t="n"/>
      <c r="E133" s="88" t="n"/>
      <c r="F133" s="92" t="n"/>
      <c r="G133" s="87" t="n"/>
      <c r="H133" s="87" t="n"/>
      <c r="I133" s="101">
        <f>IF($B133="","",IF(COUNTIF(Setup!$A$99:$A$128,$B133)&gt;0,IF(INDEX(Setup!$B$99:$B$128,MATCH($B133,Setup!$A$99:$A$128,0))="","Overhead",INDEX(Setup!$B$99:$B$128,MATCH($B133,Setup!$A$99:$A$128,0))),IF(ISNUMBER(SEARCH("advance",$B133))+ISNUMBER(SEARCH("payout",$B133))+ISNUMBER(SEARCH("pay out",$B133))+ISNUMBER(SEARCH("reimburs",$B133))&gt;0,"Transfer",IF(ISNUMBER(SEARCH("loan",$B133))+ISNUMBER(SEARCH("amort",$B133))+ISNUMBER(SEARCH("installment",$B133))+ISNUMBER(SEARCH("instalment",$B133))&gt;0,"Financing",IF(ISNUMBER(SEARCH("draw",$B133))+ISNUMBER(SEARCH("owner",$B133))+ISNUMBER(SEARCH("asset",$B133))+ISNUMBER(SEARCH("capital",$B133))&gt;0,"Other",IF(ISNUMBER(SEARCH("fuel",$B133))+ISNUMBER(SEARCH("diesel",$B133))+ISNUMBER(SEARCH("krudo",$B133))+ISNUMBER(SEARCH("gasolina",$B133))+ISNUMBER(SEARCH("toll",$B133))+ISNUMBER(SEARCH("parking",$B133))+ISNUMBER(SEARCH("repair",$B133))+ISNUMBER(SEARCH("maintenance",$B133))+ISNUMBER(SEARCH("tire",$B133))+ISNUMBER(SEARCH("tyre",$B133))+ISNUMBER(SEARCH("battery",$B133))+ISNUMBER(SEARCH("oil",$B133))+ISNUMBER(SEARCH("filter",$B133))+ISNUMBER(SEARCH("spare",$B133))+ISNUMBER(SEARCH("insurance",$B133))+ISNUMBER(SEARCH("lto",$B133))+ISNUMBER(SEARCH("registration",$B133))+ISNUMBER(SEARCH("emission",$B133))+ISNUMBER(SEARCH("wash",$B133))+ISNUMBER(SEARCH("weigh",$B133))+ISNUMBER(SEARCH("tarp",$B133))&gt;0,"Vehicle",IF(ISNUMBER(SEARCH("rent",$B133))+ISNUMBER(SEARCH("upa",$B133))+ISNUMBER(SEARCH("salary",$B133))+ISNUMBER(SEARCH("sweldo",$B133))+ISNUMBER(SEARCH("wage",$B133))+ISNUMBER(SEARCH("electric",$B133))+ISNUMBER(SEARCH("kuryente",$B133))+ISNUMBER(SEARCH("water",$B133))+ISNUMBER(SEARCH("tubig",$B133))+ISNUMBER(SEARCH("internet",$B133))+ISNUMBER(SEARCH("pldt",$B133))+ISNUMBER(SEARCH("meralco",$B133))+ISNUMBER(SEARCH("supplies",$B133))+ISNUMBER(SEARCH("office",$B133))+ISNUMBER(SEARCH("professional",$B133))+ISNUMBER(SEARCH("accountant",$B133))+ISNUMBER(SEARCH("lawyer",$B133))+ISNUMBER(SEARCH("broker",$B133))+ISNUMBER(SEARCH("bank",$B133))+ISNUMBER(SEARCH("charge",$B133))+ISNUMBER(SEARCH("permit",$B133))+ISNUMBER(SEARCH("bir",$B133))+ISNUMBER(SEARCH("ltfrb",$B133))+ISNUMBER(SEARCH("misc",$B133))+ISNUMBER(SEARCH("fee",$B133))&gt;0,"Overhead","Overhead")))))))</f>
        <v/>
      </c>
      <c r="J133">
        <f>IF($A133="","",DATE(YEAR($A133),MONTH($A133),1))</f>
        <v/>
      </c>
      <c r="K133">
        <f>IF($B133="","",IF(COUNTIF(Setup!$A$99:$A$128,$B133)&gt;0,0,1))</f>
        <v/>
      </c>
      <c r="L133">
        <f>IF($B133="","",IF(ISNUMBER(SEARCH("advance",$B133)),"ADV",IF(OR(ISNUMBER(SEARCH("payout",$B133)),ISNUMBER(SEARCH("pay out",$B133)),ISNUMBER(SEARCH("release",$B133))),"PAY","")))</f>
        <v/>
      </c>
      <c r="M133">
        <f>IF($B133="","",IF(ISNUMBER(SEARCH("bulk",$B133)),0,IF(ISNUMBER(SEARCH("fuel",$B133))+ISNUMBER(SEARCH("diesel",$B133))+ISNUMBER(SEARCH("krudo",$B133))+ISNUMBER(SEARCH("gasolina",$B133))&gt;0,1,0)))</f>
        <v/>
      </c>
      <c r="N133">
        <f>IF($B133="","",IF(ISNUMBER(SEARCH("fuel",$B133))+ISNUMBER(SEARCH("diesel",$B133))+ISNUMBER(SEARCH("krudo",$B133))+ISNUMBER(SEARCH("gasolina",$B133))&gt;0,1,0))</f>
        <v/>
      </c>
    </row>
    <row r="134">
      <c r="A134" s="94" t="n"/>
      <c r="B134" s="96" t="n"/>
      <c r="C134" s="96" t="n"/>
      <c r="D134" s="95" t="n"/>
      <c r="E134" s="96" t="n"/>
      <c r="F134" s="99" t="n"/>
      <c r="G134" s="95" t="n"/>
      <c r="H134" s="95" t="n"/>
      <c r="I134" s="101">
        <f>IF($B134="","",IF(COUNTIF(Setup!$A$99:$A$128,$B134)&gt;0,IF(INDEX(Setup!$B$99:$B$128,MATCH($B134,Setup!$A$99:$A$128,0))="","Overhead",INDEX(Setup!$B$99:$B$128,MATCH($B134,Setup!$A$99:$A$128,0))),IF(ISNUMBER(SEARCH("advance",$B134))+ISNUMBER(SEARCH("payout",$B134))+ISNUMBER(SEARCH("pay out",$B134))+ISNUMBER(SEARCH("reimburs",$B134))&gt;0,"Transfer",IF(ISNUMBER(SEARCH("loan",$B134))+ISNUMBER(SEARCH("amort",$B134))+ISNUMBER(SEARCH("installment",$B134))+ISNUMBER(SEARCH("instalment",$B134))&gt;0,"Financing",IF(ISNUMBER(SEARCH("draw",$B134))+ISNUMBER(SEARCH("owner",$B134))+ISNUMBER(SEARCH("asset",$B134))+ISNUMBER(SEARCH("capital",$B134))&gt;0,"Other",IF(ISNUMBER(SEARCH("fuel",$B134))+ISNUMBER(SEARCH("diesel",$B134))+ISNUMBER(SEARCH("krudo",$B134))+ISNUMBER(SEARCH("gasolina",$B134))+ISNUMBER(SEARCH("toll",$B134))+ISNUMBER(SEARCH("parking",$B134))+ISNUMBER(SEARCH("repair",$B134))+ISNUMBER(SEARCH("maintenance",$B134))+ISNUMBER(SEARCH("tire",$B134))+ISNUMBER(SEARCH("tyre",$B134))+ISNUMBER(SEARCH("battery",$B134))+ISNUMBER(SEARCH("oil",$B134))+ISNUMBER(SEARCH("filter",$B134))+ISNUMBER(SEARCH("spare",$B134))+ISNUMBER(SEARCH("insurance",$B134))+ISNUMBER(SEARCH("lto",$B134))+ISNUMBER(SEARCH("registration",$B134))+ISNUMBER(SEARCH("emission",$B134))+ISNUMBER(SEARCH("wash",$B134))+ISNUMBER(SEARCH("weigh",$B134))+ISNUMBER(SEARCH("tarp",$B134))&gt;0,"Vehicle",IF(ISNUMBER(SEARCH("rent",$B134))+ISNUMBER(SEARCH("upa",$B134))+ISNUMBER(SEARCH("salary",$B134))+ISNUMBER(SEARCH("sweldo",$B134))+ISNUMBER(SEARCH("wage",$B134))+ISNUMBER(SEARCH("electric",$B134))+ISNUMBER(SEARCH("kuryente",$B134))+ISNUMBER(SEARCH("water",$B134))+ISNUMBER(SEARCH("tubig",$B134))+ISNUMBER(SEARCH("internet",$B134))+ISNUMBER(SEARCH("pldt",$B134))+ISNUMBER(SEARCH("meralco",$B134))+ISNUMBER(SEARCH("supplies",$B134))+ISNUMBER(SEARCH("office",$B134))+ISNUMBER(SEARCH("professional",$B134))+ISNUMBER(SEARCH("accountant",$B134))+ISNUMBER(SEARCH("lawyer",$B134))+ISNUMBER(SEARCH("broker",$B134))+ISNUMBER(SEARCH("bank",$B134))+ISNUMBER(SEARCH("charge",$B134))+ISNUMBER(SEARCH("permit",$B134))+ISNUMBER(SEARCH("bir",$B134))+ISNUMBER(SEARCH("ltfrb",$B134))+ISNUMBER(SEARCH("misc",$B134))+ISNUMBER(SEARCH("fee",$B134))&gt;0,"Overhead","Overhead")))))))</f>
        <v/>
      </c>
      <c r="J134">
        <f>IF($A134="","",DATE(YEAR($A134),MONTH($A134),1))</f>
        <v/>
      </c>
      <c r="K134">
        <f>IF($B134="","",IF(COUNTIF(Setup!$A$99:$A$128,$B134)&gt;0,0,1))</f>
        <v/>
      </c>
      <c r="L134">
        <f>IF($B134="","",IF(ISNUMBER(SEARCH("advance",$B134)),"ADV",IF(OR(ISNUMBER(SEARCH("payout",$B134)),ISNUMBER(SEARCH("pay out",$B134)),ISNUMBER(SEARCH("release",$B134))),"PAY","")))</f>
        <v/>
      </c>
      <c r="M134">
        <f>IF($B134="","",IF(ISNUMBER(SEARCH("bulk",$B134)),0,IF(ISNUMBER(SEARCH("fuel",$B134))+ISNUMBER(SEARCH("diesel",$B134))+ISNUMBER(SEARCH("krudo",$B134))+ISNUMBER(SEARCH("gasolina",$B134))&gt;0,1,0)))</f>
        <v/>
      </c>
      <c r="N134">
        <f>IF($B134="","",IF(ISNUMBER(SEARCH("fuel",$B134))+ISNUMBER(SEARCH("diesel",$B134))+ISNUMBER(SEARCH("krudo",$B134))+ISNUMBER(SEARCH("gasolina",$B134))&gt;0,1,0))</f>
        <v/>
      </c>
    </row>
    <row r="135">
      <c r="A135" s="86" t="n"/>
      <c r="B135" s="88" t="n"/>
      <c r="C135" s="88" t="n"/>
      <c r="D135" s="87" t="n"/>
      <c r="E135" s="88" t="n"/>
      <c r="F135" s="92" t="n"/>
      <c r="G135" s="87" t="n"/>
      <c r="H135" s="87" t="n"/>
      <c r="I135" s="101">
        <f>IF($B135="","",IF(COUNTIF(Setup!$A$99:$A$128,$B135)&gt;0,IF(INDEX(Setup!$B$99:$B$128,MATCH($B135,Setup!$A$99:$A$128,0))="","Overhead",INDEX(Setup!$B$99:$B$128,MATCH($B135,Setup!$A$99:$A$128,0))),IF(ISNUMBER(SEARCH("advance",$B135))+ISNUMBER(SEARCH("payout",$B135))+ISNUMBER(SEARCH("pay out",$B135))+ISNUMBER(SEARCH("reimburs",$B135))&gt;0,"Transfer",IF(ISNUMBER(SEARCH("loan",$B135))+ISNUMBER(SEARCH("amort",$B135))+ISNUMBER(SEARCH("installment",$B135))+ISNUMBER(SEARCH("instalment",$B135))&gt;0,"Financing",IF(ISNUMBER(SEARCH("draw",$B135))+ISNUMBER(SEARCH("owner",$B135))+ISNUMBER(SEARCH("asset",$B135))+ISNUMBER(SEARCH("capital",$B135))&gt;0,"Other",IF(ISNUMBER(SEARCH("fuel",$B135))+ISNUMBER(SEARCH("diesel",$B135))+ISNUMBER(SEARCH("krudo",$B135))+ISNUMBER(SEARCH("gasolina",$B135))+ISNUMBER(SEARCH("toll",$B135))+ISNUMBER(SEARCH("parking",$B135))+ISNUMBER(SEARCH("repair",$B135))+ISNUMBER(SEARCH("maintenance",$B135))+ISNUMBER(SEARCH("tire",$B135))+ISNUMBER(SEARCH("tyre",$B135))+ISNUMBER(SEARCH("battery",$B135))+ISNUMBER(SEARCH("oil",$B135))+ISNUMBER(SEARCH("filter",$B135))+ISNUMBER(SEARCH("spare",$B135))+ISNUMBER(SEARCH("insurance",$B135))+ISNUMBER(SEARCH("lto",$B135))+ISNUMBER(SEARCH("registration",$B135))+ISNUMBER(SEARCH("emission",$B135))+ISNUMBER(SEARCH("wash",$B135))+ISNUMBER(SEARCH("weigh",$B135))+ISNUMBER(SEARCH("tarp",$B135))&gt;0,"Vehicle",IF(ISNUMBER(SEARCH("rent",$B135))+ISNUMBER(SEARCH("upa",$B135))+ISNUMBER(SEARCH("salary",$B135))+ISNUMBER(SEARCH("sweldo",$B135))+ISNUMBER(SEARCH("wage",$B135))+ISNUMBER(SEARCH("electric",$B135))+ISNUMBER(SEARCH("kuryente",$B135))+ISNUMBER(SEARCH("water",$B135))+ISNUMBER(SEARCH("tubig",$B135))+ISNUMBER(SEARCH("internet",$B135))+ISNUMBER(SEARCH("pldt",$B135))+ISNUMBER(SEARCH("meralco",$B135))+ISNUMBER(SEARCH("supplies",$B135))+ISNUMBER(SEARCH("office",$B135))+ISNUMBER(SEARCH("professional",$B135))+ISNUMBER(SEARCH("accountant",$B135))+ISNUMBER(SEARCH("lawyer",$B135))+ISNUMBER(SEARCH("broker",$B135))+ISNUMBER(SEARCH("bank",$B135))+ISNUMBER(SEARCH("charge",$B135))+ISNUMBER(SEARCH("permit",$B135))+ISNUMBER(SEARCH("bir",$B135))+ISNUMBER(SEARCH("ltfrb",$B135))+ISNUMBER(SEARCH("misc",$B135))+ISNUMBER(SEARCH("fee",$B135))&gt;0,"Overhead","Overhead")))))))</f>
        <v/>
      </c>
      <c r="J135">
        <f>IF($A135="","",DATE(YEAR($A135),MONTH($A135),1))</f>
        <v/>
      </c>
      <c r="K135">
        <f>IF($B135="","",IF(COUNTIF(Setup!$A$99:$A$128,$B135)&gt;0,0,1))</f>
        <v/>
      </c>
      <c r="L135">
        <f>IF($B135="","",IF(ISNUMBER(SEARCH("advance",$B135)),"ADV",IF(OR(ISNUMBER(SEARCH("payout",$B135)),ISNUMBER(SEARCH("pay out",$B135)),ISNUMBER(SEARCH("release",$B135))),"PAY","")))</f>
        <v/>
      </c>
      <c r="M135">
        <f>IF($B135="","",IF(ISNUMBER(SEARCH("bulk",$B135)),0,IF(ISNUMBER(SEARCH("fuel",$B135))+ISNUMBER(SEARCH("diesel",$B135))+ISNUMBER(SEARCH("krudo",$B135))+ISNUMBER(SEARCH("gasolina",$B135))&gt;0,1,0)))</f>
        <v/>
      </c>
      <c r="N135">
        <f>IF($B135="","",IF(ISNUMBER(SEARCH("fuel",$B135))+ISNUMBER(SEARCH("diesel",$B135))+ISNUMBER(SEARCH("krudo",$B135))+ISNUMBER(SEARCH("gasolina",$B135))&gt;0,1,0))</f>
        <v/>
      </c>
    </row>
    <row r="136">
      <c r="A136" s="94" t="n"/>
      <c r="B136" s="96" t="n"/>
      <c r="C136" s="96" t="n"/>
      <c r="D136" s="95" t="n"/>
      <c r="E136" s="96" t="n"/>
      <c r="F136" s="99" t="n"/>
      <c r="G136" s="95" t="n"/>
      <c r="H136" s="95" t="n"/>
      <c r="I136" s="101">
        <f>IF($B136="","",IF(COUNTIF(Setup!$A$99:$A$128,$B136)&gt;0,IF(INDEX(Setup!$B$99:$B$128,MATCH($B136,Setup!$A$99:$A$128,0))="","Overhead",INDEX(Setup!$B$99:$B$128,MATCH($B136,Setup!$A$99:$A$128,0))),IF(ISNUMBER(SEARCH("advance",$B136))+ISNUMBER(SEARCH("payout",$B136))+ISNUMBER(SEARCH("pay out",$B136))+ISNUMBER(SEARCH("reimburs",$B136))&gt;0,"Transfer",IF(ISNUMBER(SEARCH("loan",$B136))+ISNUMBER(SEARCH("amort",$B136))+ISNUMBER(SEARCH("installment",$B136))+ISNUMBER(SEARCH("instalment",$B136))&gt;0,"Financing",IF(ISNUMBER(SEARCH("draw",$B136))+ISNUMBER(SEARCH("owner",$B136))+ISNUMBER(SEARCH("asset",$B136))+ISNUMBER(SEARCH("capital",$B136))&gt;0,"Other",IF(ISNUMBER(SEARCH("fuel",$B136))+ISNUMBER(SEARCH("diesel",$B136))+ISNUMBER(SEARCH("krudo",$B136))+ISNUMBER(SEARCH("gasolina",$B136))+ISNUMBER(SEARCH("toll",$B136))+ISNUMBER(SEARCH("parking",$B136))+ISNUMBER(SEARCH("repair",$B136))+ISNUMBER(SEARCH("maintenance",$B136))+ISNUMBER(SEARCH("tire",$B136))+ISNUMBER(SEARCH("tyre",$B136))+ISNUMBER(SEARCH("battery",$B136))+ISNUMBER(SEARCH("oil",$B136))+ISNUMBER(SEARCH("filter",$B136))+ISNUMBER(SEARCH("spare",$B136))+ISNUMBER(SEARCH("insurance",$B136))+ISNUMBER(SEARCH("lto",$B136))+ISNUMBER(SEARCH("registration",$B136))+ISNUMBER(SEARCH("emission",$B136))+ISNUMBER(SEARCH("wash",$B136))+ISNUMBER(SEARCH("weigh",$B136))+ISNUMBER(SEARCH("tarp",$B136))&gt;0,"Vehicle",IF(ISNUMBER(SEARCH("rent",$B136))+ISNUMBER(SEARCH("upa",$B136))+ISNUMBER(SEARCH("salary",$B136))+ISNUMBER(SEARCH("sweldo",$B136))+ISNUMBER(SEARCH("wage",$B136))+ISNUMBER(SEARCH("electric",$B136))+ISNUMBER(SEARCH("kuryente",$B136))+ISNUMBER(SEARCH("water",$B136))+ISNUMBER(SEARCH("tubig",$B136))+ISNUMBER(SEARCH("internet",$B136))+ISNUMBER(SEARCH("pldt",$B136))+ISNUMBER(SEARCH("meralco",$B136))+ISNUMBER(SEARCH("supplies",$B136))+ISNUMBER(SEARCH("office",$B136))+ISNUMBER(SEARCH("professional",$B136))+ISNUMBER(SEARCH("accountant",$B136))+ISNUMBER(SEARCH("lawyer",$B136))+ISNUMBER(SEARCH("broker",$B136))+ISNUMBER(SEARCH("bank",$B136))+ISNUMBER(SEARCH("charge",$B136))+ISNUMBER(SEARCH("permit",$B136))+ISNUMBER(SEARCH("bir",$B136))+ISNUMBER(SEARCH("ltfrb",$B136))+ISNUMBER(SEARCH("misc",$B136))+ISNUMBER(SEARCH("fee",$B136))&gt;0,"Overhead","Overhead")))))))</f>
        <v/>
      </c>
      <c r="J136">
        <f>IF($A136="","",DATE(YEAR($A136),MONTH($A136),1))</f>
        <v/>
      </c>
      <c r="K136">
        <f>IF($B136="","",IF(COUNTIF(Setup!$A$99:$A$128,$B136)&gt;0,0,1))</f>
        <v/>
      </c>
      <c r="L136">
        <f>IF($B136="","",IF(ISNUMBER(SEARCH("advance",$B136)),"ADV",IF(OR(ISNUMBER(SEARCH("payout",$B136)),ISNUMBER(SEARCH("pay out",$B136)),ISNUMBER(SEARCH("release",$B136))),"PAY","")))</f>
        <v/>
      </c>
      <c r="M136">
        <f>IF($B136="","",IF(ISNUMBER(SEARCH("bulk",$B136)),0,IF(ISNUMBER(SEARCH("fuel",$B136))+ISNUMBER(SEARCH("diesel",$B136))+ISNUMBER(SEARCH("krudo",$B136))+ISNUMBER(SEARCH("gasolina",$B136))&gt;0,1,0)))</f>
        <v/>
      </c>
      <c r="N136">
        <f>IF($B136="","",IF(ISNUMBER(SEARCH("fuel",$B136))+ISNUMBER(SEARCH("diesel",$B136))+ISNUMBER(SEARCH("krudo",$B136))+ISNUMBER(SEARCH("gasolina",$B136))&gt;0,1,0))</f>
        <v/>
      </c>
    </row>
    <row r="137">
      <c r="A137" s="86" t="n"/>
      <c r="B137" s="88" t="n"/>
      <c r="C137" s="88" t="n"/>
      <c r="D137" s="87" t="n"/>
      <c r="E137" s="88" t="n"/>
      <c r="F137" s="92" t="n"/>
      <c r="G137" s="87" t="n"/>
      <c r="H137" s="87" t="n"/>
      <c r="I137" s="101">
        <f>IF($B137="","",IF(COUNTIF(Setup!$A$99:$A$128,$B137)&gt;0,IF(INDEX(Setup!$B$99:$B$128,MATCH($B137,Setup!$A$99:$A$128,0))="","Overhead",INDEX(Setup!$B$99:$B$128,MATCH($B137,Setup!$A$99:$A$128,0))),IF(ISNUMBER(SEARCH("advance",$B137))+ISNUMBER(SEARCH("payout",$B137))+ISNUMBER(SEARCH("pay out",$B137))+ISNUMBER(SEARCH("reimburs",$B137))&gt;0,"Transfer",IF(ISNUMBER(SEARCH("loan",$B137))+ISNUMBER(SEARCH("amort",$B137))+ISNUMBER(SEARCH("installment",$B137))+ISNUMBER(SEARCH("instalment",$B137))&gt;0,"Financing",IF(ISNUMBER(SEARCH("draw",$B137))+ISNUMBER(SEARCH("owner",$B137))+ISNUMBER(SEARCH("asset",$B137))+ISNUMBER(SEARCH("capital",$B137))&gt;0,"Other",IF(ISNUMBER(SEARCH("fuel",$B137))+ISNUMBER(SEARCH("diesel",$B137))+ISNUMBER(SEARCH("krudo",$B137))+ISNUMBER(SEARCH("gasolina",$B137))+ISNUMBER(SEARCH("toll",$B137))+ISNUMBER(SEARCH("parking",$B137))+ISNUMBER(SEARCH("repair",$B137))+ISNUMBER(SEARCH("maintenance",$B137))+ISNUMBER(SEARCH("tire",$B137))+ISNUMBER(SEARCH("tyre",$B137))+ISNUMBER(SEARCH("battery",$B137))+ISNUMBER(SEARCH("oil",$B137))+ISNUMBER(SEARCH("filter",$B137))+ISNUMBER(SEARCH("spare",$B137))+ISNUMBER(SEARCH("insurance",$B137))+ISNUMBER(SEARCH("lto",$B137))+ISNUMBER(SEARCH("registration",$B137))+ISNUMBER(SEARCH("emission",$B137))+ISNUMBER(SEARCH("wash",$B137))+ISNUMBER(SEARCH("weigh",$B137))+ISNUMBER(SEARCH("tarp",$B137))&gt;0,"Vehicle",IF(ISNUMBER(SEARCH("rent",$B137))+ISNUMBER(SEARCH("upa",$B137))+ISNUMBER(SEARCH("salary",$B137))+ISNUMBER(SEARCH("sweldo",$B137))+ISNUMBER(SEARCH("wage",$B137))+ISNUMBER(SEARCH("electric",$B137))+ISNUMBER(SEARCH("kuryente",$B137))+ISNUMBER(SEARCH("water",$B137))+ISNUMBER(SEARCH("tubig",$B137))+ISNUMBER(SEARCH("internet",$B137))+ISNUMBER(SEARCH("pldt",$B137))+ISNUMBER(SEARCH("meralco",$B137))+ISNUMBER(SEARCH("supplies",$B137))+ISNUMBER(SEARCH("office",$B137))+ISNUMBER(SEARCH("professional",$B137))+ISNUMBER(SEARCH("accountant",$B137))+ISNUMBER(SEARCH("lawyer",$B137))+ISNUMBER(SEARCH("broker",$B137))+ISNUMBER(SEARCH("bank",$B137))+ISNUMBER(SEARCH("charge",$B137))+ISNUMBER(SEARCH("permit",$B137))+ISNUMBER(SEARCH("bir",$B137))+ISNUMBER(SEARCH("ltfrb",$B137))+ISNUMBER(SEARCH("misc",$B137))+ISNUMBER(SEARCH("fee",$B137))&gt;0,"Overhead","Overhead")))))))</f>
        <v/>
      </c>
      <c r="J137">
        <f>IF($A137="","",DATE(YEAR($A137),MONTH($A137),1))</f>
        <v/>
      </c>
      <c r="K137">
        <f>IF($B137="","",IF(COUNTIF(Setup!$A$99:$A$128,$B137)&gt;0,0,1))</f>
        <v/>
      </c>
      <c r="L137">
        <f>IF($B137="","",IF(ISNUMBER(SEARCH("advance",$B137)),"ADV",IF(OR(ISNUMBER(SEARCH("payout",$B137)),ISNUMBER(SEARCH("pay out",$B137)),ISNUMBER(SEARCH("release",$B137))),"PAY","")))</f>
        <v/>
      </c>
      <c r="M137">
        <f>IF($B137="","",IF(ISNUMBER(SEARCH("bulk",$B137)),0,IF(ISNUMBER(SEARCH("fuel",$B137))+ISNUMBER(SEARCH("diesel",$B137))+ISNUMBER(SEARCH("krudo",$B137))+ISNUMBER(SEARCH("gasolina",$B137))&gt;0,1,0)))</f>
        <v/>
      </c>
      <c r="N137">
        <f>IF($B137="","",IF(ISNUMBER(SEARCH("fuel",$B137))+ISNUMBER(SEARCH("diesel",$B137))+ISNUMBER(SEARCH("krudo",$B137))+ISNUMBER(SEARCH("gasolina",$B137))&gt;0,1,0))</f>
        <v/>
      </c>
    </row>
    <row r="138">
      <c r="A138" s="94" t="n"/>
      <c r="B138" s="96" t="n"/>
      <c r="C138" s="96" t="n"/>
      <c r="D138" s="95" t="n"/>
      <c r="E138" s="96" t="n"/>
      <c r="F138" s="99" t="n"/>
      <c r="G138" s="95" t="n"/>
      <c r="H138" s="95" t="n"/>
      <c r="I138" s="101">
        <f>IF($B138="","",IF(COUNTIF(Setup!$A$99:$A$128,$B138)&gt;0,IF(INDEX(Setup!$B$99:$B$128,MATCH($B138,Setup!$A$99:$A$128,0))="","Overhead",INDEX(Setup!$B$99:$B$128,MATCH($B138,Setup!$A$99:$A$128,0))),IF(ISNUMBER(SEARCH("advance",$B138))+ISNUMBER(SEARCH("payout",$B138))+ISNUMBER(SEARCH("pay out",$B138))+ISNUMBER(SEARCH("reimburs",$B138))&gt;0,"Transfer",IF(ISNUMBER(SEARCH("loan",$B138))+ISNUMBER(SEARCH("amort",$B138))+ISNUMBER(SEARCH("installment",$B138))+ISNUMBER(SEARCH("instalment",$B138))&gt;0,"Financing",IF(ISNUMBER(SEARCH("draw",$B138))+ISNUMBER(SEARCH("owner",$B138))+ISNUMBER(SEARCH("asset",$B138))+ISNUMBER(SEARCH("capital",$B138))&gt;0,"Other",IF(ISNUMBER(SEARCH("fuel",$B138))+ISNUMBER(SEARCH("diesel",$B138))+ISNUMBER(SEARCH("krudo",$B138))+ISNUMBER(SEARCH("gasolina",$B138))+ISNUMBER(SEARCH("toll",$B138))+ISNUMBER(SEARCH("parking",$B138))+ISNUMBER(SEARCH("repair",$B138))+ISNUMBER(SEARCH("maintenance",$B138))+ISNUMBER(SEARCH("tire",$B138))+ISNUMBER(SEARCH("tyre",$B138))+ISNUMBER(SEARCH("battery",$B138))+ISNUMBER(SEARCH("oil",$B138))+ISNUMBER(SEARCH("filter",$B138))+ISNUMBER(SEARCH("spare",$B138))+ISNUMBER(SEARCH("insurance",$B138))+ISNUMBER(SEARCH("lto",$B138))+ISNUMBER(SEARCH("registration",$B138))+ISNUMBER(SEARCH("emission",$B138))+ISNUMBER(SEARCH("wash",$B138))+ISNUMBER(SEARCH("weigh",$B138))+ISNUMBER(SEARCH("tarp",$B138))&gt;0,"Vehicle",IF(ISNUMBER(SEARCH("rent",$B138))+ISNUMBER(SEARCH("upa",$B138))+ISNUMBER(SEARCH("salary",$B138))+ISNUMBER(SEARCH("sweldo",$B138))+ISNUMBER(SEARCH("wage",$B138))+ISNUMBER(SEARCH("electric",$B138))+ISNUMBER(SEARCH("kuryente",$B138))+ISNUMBER(SEARCH("water",$B138))+ISNUMBER(SEARCH("tubig",$B138))+ISNUMBER(SEARCH("internet",$B138))+ISNUMBER(SEARCH("pldt",$B138))+ISNUMBER(SEARCH("meralco",$B138))+ISNUMBER(SEARCH("supplies",$B138))+ISNUMBER(SEARCH("office",$B138))+ISNUMBER(SEARCH("professional",$B138))+ISNUMBER(SEARCH("accountant",$B138))+ISNUMBER(SEARCH("lawyer",$B138))+ISNUMBER(SEARCH("broker",$B138))+ISNUMBER(SEARCH("bank",$B138))+ISNUMBER(SEARCH("charge",$B138))+ISNUMBER(SEARCH("permit",$B138))+ISNUMBER(SEARCH("bir",$B138))+ISNUMBER(SEARCH("ltfrb",$B138))+ISNUMBER(SEARCH("misc",$B138))+ISNUMBER(SEARCH("fee",$B138))&gt;0,"Overhead","Overhead")))))))</f>
        <v/>
      </c>
      <c r="J138">
        <f>IF($A138="","",DATE(YEAR($A138),MONTH($A138),1))</f>
        <v/>
      </c>
      <c r="K138">
        <f>IF($B138="","",IF(COUNTIF(Setup!$A$99:$A$128,$B138)&gt;0,0,1))</f>
        <v/>
      </c>
      <c r="L138">
        <f>IF($B138="","",IF(ISNUMBER(SEARCH("advance",$B138)),"ADV",IF(OR(ISNUMBER(SEARCH("payout",$B138)),ISNUMBER(SEARCH("pay out",$B138)),ISNUMBER(SEARCH("release",$B138))),"PAY","")))</f>
        <v/>
      </c>
      <c r="M138">
        <f>IF($B138="","",IF(ISNUMBER(SEARCH("bulk",$B138)),0,IF(ISNUMBER(SEARCH("fuel",$B138))+ISNUMBER(SEARCH("diesel",$B138))+ISNUMBER(SEARCH("krudo",$B138))+ISNUMBER(SEARCH("gasolina",$B138))&gt;0,1,0)))</f>
        <v/>
      </c>
      <c r="N138">
        <f>IF($B138="","",IF(ISNUMBER(SEARCH("fuel",$B138))+ISNUMBER(SEARCH("diesel",$B138))+ISNUMBER(SEARCH("krudo",$B138))+ISNUMBER(SEARCH("gasolina",$B138))&gt;0,1,0))</f>
        <v/>
      </c>
    </row>
    <row r="139">
      <c r="A139" s="86" t="n"/>
      <c r="B139" s="88" t="n"/>
      <c r="C139" s="88" t="n"/>
      <c r="D139" s="87" t="n"/>
      <c r="E139" s="88" t="n"/>
      <c r="F139" s="92" t="n"/>
      <c r="G139" s="87" t="n"/>
      <c r="H139" s="87" t="n"/>
      <c r="I139" s="101">
        <f>IF($B139="","",IF(COUNTIF(Setup!$A$99:$A$128,$B139)&gt;0,IF(INDEX(Setup!$B$99:$B$128,MATCH($B139,Setup!$A$99:$A$128,0))="","Overhead",INDEX(Setup!$B$99:$B$128,MATCH($B139,Setup!$A$99:$A$128,0))),IF(ISNUMBER(SEARCH("advance",$B139))+ISNUMBER(SEARCH("payout",$B139))+ISNUMBER(SEARCH("pay out",$B139))+ISNUMBER(SEARCH("reimburs",$B139))&gt;0,"Transfer",IF(ISNUMBER(SEARCH("loan",$B139))+ISNUMBER(SEARCH("amort",$B139))+ISNUMBER(SEARCH("installment",$B139))+ISNUMBER(SEARCH("instalment",$B139))&gt;0,"Financing",IF(ISNUMBER(SEARCH("draw",$B139))+ISNUMBER(SEARCH("owner",$B139))+ISNUMBER(SEARCH("asset",$B139))+ISNUMBER(SEARCH("capital",$B139))&gt;0,"Other",IF(ISNUMBER(SEARCH("fuel",$B139))+ISNUMBER(SEARCH("diesel",$B139))+ISNUMBER(SEARCH("krudo",$B139))+ISNUMBER(SEARCH("gasolina",$B139))+ISNUMBER(SEARCH("toll",$B139))+ISNUMBER(SEARCH("parking",$B139))+ISNUMBER(SEARCH("repair",$B139))+ISNUMBER(SEARCH("maintenance",$B139))+ISNUMBER(SEARCH("tire",$B139))+ISNUMBER(SEARCH("tyre",$B139))+ISNUMBER(SEARCH("battery",$B139))+ISNUMBER(SEARCH("oil",$B139))+ISNUMBER(SEARCH("filter",$B139))+ISNUMBER(SEARCH("spare",$B139))+ISNUMBER(SEARCH("insurance",$B139))+ISNUMBER(SEARCH("lto",$B139))+ISNUMBER(SEARCH("registration",$B139))+ISNUMBER(SEARCH("emission",$B139))+ISNUMBER(SEARCH("wash",$B139))+ISNUMBER(SEARCH("weigh",$B139))+ISNUMBER(SEARCH("tarp",$B139))&gt;0,"Vehicle",IF(ISNUMBER(SEARCH("rent",$B139))+ISNUMBER(SEARCH("upa",$B139))+ISNUMBER(SEARCH("salary",$B139))+ISNUMBER(SEARCH("sweldo",$B139))+ISNUMBER(SEARCH("wage",$B139))+ISNUMBER(SEARCH("electric",$B139))+ISNUMBER(SEARCH("kuryente",$B139))+ISNUMBER(SEARCH("water",$B139))+ISNUMBER(SEARCH("tubig",$B139))+ISNUMBER(SEARCH("internet",$B139))+ISNUMBER(SEARCH("pldt",$B139))+ISNUMBER(SEARCH("meralco",$B139))+ISNUMBER(SEARCH("supplies",$B139))+ISNUMBER(SEARCH("office",$B139))+ISNUMBER(SEARCH("professional",$B139))+ISNUMBER(SEARCH("accountant",$B139))+ISNUMBER(SEARCH("lawyer",$B139))+ISNUMBER(SEARCH("broker",$B139))+ISNUMBER(SEARCH("bank",$B139))+ISNUMBER(SEARCH("charge",$B139))+ISNUMBER(SEARCH("permit",$B139))+ISNUMBER(SEARCH("bir",$B139))+ISNUMBER(SEARCH("ltfrb",$B139))+ISNUMBER(SEARCH("misc",$B139))+ISNUMBER(SEARCH("fee",$B139))&gt;0,"Overhead","Overhead")))))))</f>
        <v/>
      </c>
      <c r="J139">
        <f>IF($A139="","",DATE(YEAR($A139),MONTH($A139),1))</f>
        <v/>
      </c>
      <c r="K139">
        <f>IF($B139="","",IF(COUNTIF(Setup!$A$99:$A$128,$B139)&gt;0,0,1))</f>
        <v/>
      </c>
      <c r="L139">
        <f>IF($B139="","",IF(ISNUMBER(SEARCH("advance",$B139)),"ADV",IF(OR(ISNUMBER(SEARCH("payout",$B139)),ISNUMBER(SEARCH("pay out",$B139)),ISNUMBER(SEARCH("release",$B139))),"PAY","")))</f>
        <v/>
      </c>
      <c r="M139">
        <f>IF($B139="","",IF(ISNUMBER(SEARCH("bulk",$B139)),0,IF(ISNUMBER(SEARCH("fuel",$B139))+ISNUMBER(SEARCH("diesel",$B139))+ISNUMBER(SEARCH("krudo",$B139))+ISNUMBER(SEARCH("gasolina",$B139))&gt;0,1,0)))</f>
        <v/>
      </c>
      <c r="N139">
        <f>IF($B139="","",IF(ISNUMBER(SEARCH("fuel",$B139))+ISNUMBER(SEARCH("diesel",$B139))+ISNUMBER(SEARCH("krudo",$B139))+ISNUMBER(SEARCH("gasolina",$B139))&gt;0,1,0))</f>
        <v/>
      </c>
    </row>
    <row r="140">
      <c r="A140" s="94" t="n"/>
      <c r="B140" s="96" t="n"/>
      <c r="C140" s="96" t="n"/>
      <c r="D140" s="95" t="n"/>
      <c r="E140" s="96" t="n"/>
      <c r="F140" s="99" t="n"/>
      <c r="G140" s="95" t="n"/>
      <c r="H140" s="95" t="n"/>
      <c r="I140" s="101">
        <f>IF($B140="","",IF(COUNTIF(Setup!$A$99:$A$128,$B140)&gt;0,IF(INDEX(Setup!$B$99:$B$128,MATCH($B140,Setup!$A$99:$A$128,0))="","Overhead",INDEX(Setup!$B$99:$B$128,MATCH($B140,Setup!$A$99:$A$128,0))),IF(ISNUMBER(SEARCH("advance",$B140))+ISNUMBER(SEARCH("payout",$B140))+ISNUMBER(SEARCH("pay out",$B140))+ISNUMBER(SEARCH("reimburs",$B140))&gt;0,"Transfer",IF(ISNUMBER(SEARCH("loan",$B140))+ISNUMBER(SEARCH("amort",$B140))+ISNUMBER(SEARCH("installment",$B140))+ISNUMBER(SEARCH("instalment",$B140))&gt;0,"Financing",IF(ISNUMBER(SEARCH("draw",$B140))+ISNUMBER(SEARCH("owner",$B140))+ISNUMBER(SEARCH("asset",$B140))+ISNUMBER(SEARCH("capital",$B140))&gt;0,"Other",IF(ISNUMBER(SEARCH("fuel",$B140))+ISNUMBER(SEARCH("diesel",$B140))+ISNUMBER(SEARCH("krudo",$B140))+ISNUMBER(SEARCH("gasolina",$B140))+ISNUMBER(SEARCH("toll",$B140))+ISNUMBER(SEARCH("parking",$B140))+ISNUMBER(SEARCH("repair",$B140))+ISNUMBER(SEARCH("maintenance",$B140))+ISNUMBER(SEARCH("tire",$B140))+ISNUMBER(SEARCH("tyre",$B140))+ISNUMBER(SEARCH("battery",$B140))+ISNUMBER(SEARCH("oil",$B140))+ISNUMBER(SEARCH("filter",$B140))+ISNUMBER(SEARCH("spare",$B140))+ISNUMBER(SEARCH("insurance",$B140))+ISNUMBER(SEARCH("lto",$B140))+ISNUMBER(SEARCH("registration",$B140))+ISNUMBER(SEARCH("emission",$B140))+ISNUMBER(SEARCH("wash",$B140))+ISNUMBER(SEARCH("weigh",$B140))+ISNUMBER(SEARCH("tarp",$B140))&gt;0,"Vehicle",IF(ISNUMBER(SEARCH("rent",$B140))+ISNUMBER(SEARCH("upa",$B140))+ISNUMBER(SEARCH("salary",$B140))+ISNUMBER(SEARCH("sweldo",$B140))+ISNUMBER(SEARCH("wage",$B140))+ISNUMBER(SEARCH("electric",$B140))+ISNUMBER(SEARCH("kuryente",$B140))+ISNUMBER(SEARCH("water",$B140))+ISNUMBER(SEARCH("tubig",$B140))+ISNUMBER(SEARCH("internet",$B140))+ISNUMBER(SEARCH("pldt",$B140))+ISNUMBER(SEARCH("meralco",$B140))+ISNUMBER(SEARCH("supplies",$B140))+ISNUMBER(SEARCH("office",$B140))+ISNUMBER(SEARCH("professional",$B140))+ISNUMBER(SEARCH("accountant",$B140))+ISNUMBER(SEARCH("lawyer",$B140))+ISNUMBER(SEARCH("broker",$B140))+ISNUMBER(SEARCH("bank",$B140))+ISNUMBER(SEARCH("charge",$B140))+ISNUMBER(SEARCH("permit",$B140))+ISNUMBER(SEARCH("bir",$B140))+ISNUMBER(SEARCH("ltfrb",$B140))+ISNUMBER(SEARCH("misc",$B140))+ISNUMBER(SEARCH("fee",$B140))&gt;0,"Overhead","Overhead")))))))</f>
        <v/>
      </c>
      <c r="J140">
        <f>IF($A140="","",DATE(YEAR($A140),MONTH($A140),1))</f>
        <v/>
      </c>
      <c r="K140">
        <f>IF($B140="","",IF(COUNTIF(Setup!$A$99:$A$128,$B140)&gt;0,0,1))</f>
        <v/>
      </c>
      <c r="L140">
        <f>IF($B140="","",IF(ISNUMBER(SEARCH("advance",$B140)),"ADV",IF(OR(ISNUMBER(SEARCH("payout",$B140)),ISNUMBER(SEARCH("pay out",$B140)),ISNUMBER(SEARCH("release",$B140))),"PAY","")))</f>
        <v/>
      </c>
      <c r="M140">
        <f>IF($B140="","",IF(ISNUMBER(SEARCH("bulk",$B140)),0,IF(ISNUMBER(SEARCH("fuel",$B140))+ISNUMBER(SEARCH("diesel",$B140))+ISNUMBER(SEARCH("krudo",$B140))+ISNUMBER(SEARCH("gasolina",$B140))&gt;0,1,0)))</f>
        <v/>
      </c>
      <c r="N140">
        <f>IF($B140="","",IF(ISNUMBER(SEARCH("fuel",$B140))+ISNUMBER(SEARCH("diesel",$B140))+ISNUMBER(SEARCH("krudo",$B140))+ISNUMBER(SEARCH("gasolina",$B140))&gt;0,1,0))</f>
        <v/>
      </c>
    </row>
    <row r="141">
      <c r="A141" s="86" t="n"/>
      <c r="B141" s="88" t="n"/>
      <c r="C141" s="88" t="n"/>
      <c r="D141" s="87" t="n"/>
      <c r="E141" s="88" t="n"/>
      <c r="F141" s="92" t="n"/>
      <c r="G141" s="87" t="n"/>
      <c r="H141" s="87" t="n"/>
      <c r="I141" s="101">
        <f>IF($B141="","",IF(COUNTIF(Setup!$A$99:$A$128,$B141)&gt;0,IF(INDEX(Setup!$B$99:$B$128,MATCH($B141,Setup!$A$99:$A$128,0))="","Overhead",INDEX(Setup!$B$99:$B$128,MATCH($B141,Setup!$A$99:$A$128,0))),IF(ISNUMBER(SEARCH("advance",$B141))+ISNUMBER(SEARCH("payout",$B141))+ISNUMBER(SEARCH("pay out",$B141))+ISNUMBER(SEARCH("reimburs",$B141))&gt;0,"Transfer",IF(ISNUMBER(SEARCH("loan",$B141))+ISNUMBER(SEARCH("amort",$B141))+ISNUMBER(SEARCH("installment",$B141))+ISNUMBER(SEARCH("instalment",$B141))&gt;0,"Financing",IF(ISNUMBER(SEARCH("draw",$B141))+ISNUMBER(SEARCH("owner",$B141))+ISNUMBER(SEARCH("asset",$B141))+ISNUMBER(SEARCH("capital",$B141))&gt;0,"Other",IF(ISNUMBER(SEARCH("fuel",$B141))+ISNUMBER(SEARCH("diesel",$B141))+ISNUMBER(SEARCH("krudo",$B141))+ISNUMBER(SEARCH("gasolina",$B141))+ISNUMBER(SEARCH("toll",$B141))+ISNUMBER(SEARCH("parking",$B141))+ISNUMBER(SEARCH("repair",$B141))+ISNUMBER(SEARCH("maintenance",$B141))+ISNUMBER(SEARCH("tire",$B141))+ISNUMBER(SEARCH("tyre",$B141))+ISNUMBER(SEARCH("battery",$B141))+ISNUMBER(SEARCH("oil",$B141))+ISNUMBER(SEARCH("filter",$B141))+ISNUMBER(SEARCH("spare",$B141))+ISNUMBER(SEARCH("insurance",$B141))+ISNUMBER(SEARCH("lto",$B141))+ISNUMBER(SEARCH("registration",$B141))+ISNUMBER(SEARCH("emission",$B141))+ISNUMBER(SEARCH("wash",$B141))+ISNUMBER(SEARCH("weigh",$B141))+ISNUMBER(SEARCH("tarp",$B141))&gt;0,"Vehicle",IF(ISNUMBER(SEARCH("rent",$B141))+ISNUMBER(SEARCH("upa",$B141))+ISNUMBER(SEARCH("salary",$B141))+ISNUMBER(SEARCH("sweldo",$B141))+ISNUMBER(SEARCH("wage",$B141))+ISNUMBER(SEARCH("electric",$B141))+ISNUMBER(SEARCH("kuryente",$B141))+ISNUMBER(SEARCH("water",$B141))+ISNUMBER(SEARCH("tubig",$B141))+ISNUMBER(SEARCH("internet",$B141))+ISNUMBER(SEARCH("pldt",$B141))+ISNUMBER(SEARCH("meralco",$B141))+ISNUMBER(SEARCH("supplies",$B141))+ISNUMBER(SEARCH("office",$B141))+ISNUMBER(SEARCH("professional",$B141))+ISNUMBER(SEARCH("accountant",$B141))+ISNUMBER(SEARCH("lawyer",$B141))+ISNUMBER(SEARCH("broker",$B141))+ISNUMBER(SEARCH("bank",$B141))+ISNUMBER(SEARCH("charge",$B141))+ISNUMBER(SEARCH("permit",$B141))+ISNUMBER(SEARCH("bir",$B141))+ISNUMBER(SEARCH("ltfrb",$B141))+ISNUMBER(SEARCH("misc",$B141))+ISNUMBER(SEARCH("fee",$B141))&gt;0,"Overhead","Overhead")))))))</f>
        <v/>
      </c>
      <c r="J141">
        <f>IF($A141="","",DATE(YEAR($A141),MONTH($A141),1))</f>
        <v/>
      </c>
      <c r="K141">
        <f>IF($B141="","",IF(COUNTIF(Setup!$A$99:$A$128,$B141)&gt;0,0,1))</f>
        <v/>
      </c>
      <c r="L141">
        <f>IF($B141="","",IF(ISNUMBER(SEARCH("advance",$B141)),"ADV",IF(OR(ISNUMBER(SEARCH("payout",$B141)),ISNUMBER(SEARCH("pay out",$B141)),ISNUMBER(SEARCH("release",$B141))),"PAY","")))</f>
        <v/>
      </c>
      <c r="M141">
        <f>IF($B141="","",IF(ISNUMBER(SEARCH("bulk",$B141)),0,IF(ISNUMBER(SEARCH("fuel",$B141))+ISNUMBER(SEARCH("diesel",$B141))+ISNUMBER(SEARCH("krudo",$B141))+ISNUMBER(SEARCH("gasolina",$B141))&gt;0,1,0)))</f>
        <v/>
      </c>
      <c r="N141">
        <f>IF($B141="","",IF(ISNUMBER(SEARCH("fuel",$B141))+ISNUMBER(SEARCH("diesel",$B141))+ISNUMBER(SEARCH("krudo",$B141))+ISNUMBER(SEARCH("gasolina",$B141))&gt;0,1,0))</f>
        <v/>
      </c>
    </row>
    <row r="142">
      <c r="A142" s="94" t="n"/>
      <c r="B142" s="96" t="n"/>
      <c r="C142" s="96" t="n"/>
      <c r="D142" s="95" t="n"/>
      <c r="E142" s="96" t="n"/>
      <c r="F142" s="99" t="n"/>
      <c r="G142" s="95" t="n"/>
      <c r="H142" s="95" t="n"/>
      <c r="I142" s="101">
        <f>IF($B142="","",IF(COUNTIF(Setup!$A$99:$A$128,$B142)&gt;0,IF(INDEX(Setup!$B$99:$B$128,MATCH($B142,Setup!$A$99:$A$128,0))="","Overhead",INDEX(Setup!$B$99:$B$128,MATCH($B142,Setup!$A$99:$A$128,0))),IF(ISNUMBER(SEARCH("advance",$B142))+ISNUMBER(SEARCH("payout",$B142))+ISNUMBER(SEARCH("pay out",$B142))+ISNUMBER(SEARCH("reimburs",$B142))&gt;0,"Transfer",IF(ISNUMBER(SEARCH("loan",$B142))+ISNUMBER(SEARCH("amort",$B142))+ISNUMBER(SEARCH("installment",$B142))+ISNUMBER(SEARCH("instalment",$B142))&gt;0,"Financing",IF(ISNUMBER(SEARCH("draw",$B142))+ISNUMBER(SEARCH("owner",$B142))+ISNUMBER(SEARCH("asset",$B142))+ISNUMBER(SEARCH("capital",$B142))&gt;0,"Other",IF(ISNUMBER(SEARCH("fuel",$B142))+ISNUMBER(SEARCH("diesel",$B142))+ISNUMBER(SEARCH("krudo",$B142))+ISNUMBER(SEARCH("gasolina",$B142))+ISNUMBER(SEARCH("toll",$B142))+ISNUMBER(SEARCH("parking",$B142))+ISNUMBER(SEARCH("repair",$B142))+ISNUMBER(SEARCH("maintenance",$B142))+ISNUMBER(SEARCH("tire",$B142))+ISNUMBER(SEARCH("tyre",$B142))+ISNUMBER(SEARCH("battery",$B142))+ISNUMBER(SEARCH("oil",$B142))+ISNUMBER(SEARCH("filter",$B142))+ISNUMBER(SEARCH("spare",$B142))+ISNUMBER(SEARCH("insurance",$B142))+ISNUMBER(SEARCH("lto",$B142))+ISNUMBER(SEARCH("registration",$B142))+ISNUMBER(SEARCH("emission",$B142))+ISNUMBER(SEARCH("wash",$B142))+ISNUMBER(SEARCH("weigh",$B142))+ISNUMBER(SEARCH("tarp",$B142))&gt;0,"Vehicle",IF(ISNUMBER(SEARCH("rent",$B142))+ISNUMBER(SEARCH("upa",$B142))+ISNUMBER(SEARCH("salary",$B142))+ISNUMBER(SEARCH("sweldo",$B142))+ISNUMBER(SEARCH("wage",$B142))+ISNUMBER(SEARCH("electric",$B142))+ISNUMBER(SEARCH("kuryente",$B142))+ISNUMBER(SEARCH("water",$B142))+ISNUMBER(SEARCH("tubig",$B142))+ISNUMBER(SEARCH("internet",$B142))+ISNUMBER(SEARCH("pldt",$B142))+ISNUMBER(SEARCH("meralco",$B142))+ISNUMBER(SEARCH("supplies",$B142))+ISNUMBER(SEARCH("office",$B142))+ISNUMBER(SEARCH("professional",$B142))+ISNUMBER(SEARCH("accountant",$B142))+ISNUMBER(SEARCH("lawyer",$B142))+ISNUMBER(SEARCH("broker",$B142))+ISNUMBER(SEARCH("bank",$B142))+ISNUMBER(SEARCH("charge",$B142))+ISNUMBER(SEARCH("permit",$B142))+ISNUMBER(SEARCH("bir",$B142))+ISNUMBER(SEARCH("ltfrb",$B142))+ISNUMBER(SEARCH("misc",$B142))+ISNUMBER(SEARCH("fee",$B142))&gt;0,"Overhead","Overhead")))))))</f>
        <v/>
      </c>
      <c r="J142">
        <f>IF($A142="","",DATE(YEAR($A142),MONTH($A142),1))</f>
        <v/>
      </c>
      <c r="K142">
        <f>IF($B142="","",IF(COUNTIF(Setup!$A$99:$A$128,$B142)&gt;0,0,1))</f>
        <v/>
      </c>
      <c r="L142">
        <f>IF($B142="","",IF(ISNUMBER(SEARCH("advance",$B142)),"ADV",IF(OR(ISNUMBER(SEARCH("payout",$B142)),ISNUMBER(SEARCH("pay out",$B142)),ISNUMBER(SEARCH("release",$B142))),"PAY","")))</f>
        <v/>
      </c>
      <c r="M142">
        <f>IF($B142="","",IF(ISNUMBER(SEARCH("bulk",$B142)),0,IF(ISNUMBER(SEARCH("fuel",$B142))+ISNUMBER(SEARCH("diesel",$B142))+ISNUMBER(SEARCH("krudo",$B142))+ISNUMBER(SEARCH("gasolina",$B142))&gt;0,1,0)))</f>
        <v/>
      </c>
      <c r="N142">
        <f>IF($B142="","",IF(ISNUMBER(SEARCH("fuel",$B142))+ISNUMBER(SEARCH("diesel",$B142))+ISNUMBER(SEARCH("krudo",$B142))+ISNUMBER(SEARCH("gasolina",$B142))&gt;0,1,0))</f>
        <v/>
      </c>
    </row>
    <row r="143">
      <c r="A143" s="86" t="n"/>
      <c r="B143" s="88" t="n"/>
      <c r="C143" s="88" t="n"/>
      <c r="D143" s="87" t="n"/>
      <c r="E143" s="88" t="n"/>
      <c r="F143" s="92" t="n"/>
      <c r="G143" s="87" t="n"/>
      <c r="H143" s="87" t="n"/>
      <c r="I143" s="101">
        <f>IF($B143="","",IF(COUNTIF(Setup!$A$99:$A$128,$B143)&gt;0,IF(INDEX(Setup!$B$99:$B$128,MATCH($B143,Setup!$A$99:$A$128,0))="","Overhead",INDEX(Setup!$B$99:$B$128,MATCH($B143,Setup!$A$99:$A$128,0))),IF(ISNUMBER(SEARCH("advance",$B143))+ISNUMBER(SEARCH("payout",$B143))+ISNUMBER(SEARCH("pay out",$B143))+ISNUMBER(SEARCH("reimburs",$B143))&gt;0,"Transfer",IF(ISNUMBER(SEARCH("loan",$B143))+ISNUMBER(SEARCH("amort",$B143))+ISNUMBER(SEARCH("installment",$B143))+ISNUMBER(SEARCH("instalment",$B143))&gt;0,"Financing",IF(ISNUMBER(SEARCH("draw",$B143))+ISNUMBER(SEARCH("owner",$B143))+ISNUMBER(SEARCH("asset",$B143))+ISNUMBER(SEARCH("capital",$B143))&gt;0,"Other",IF(ISNUMBER(SEARCH("fuel",$B143))+ISNUMBER(SEARCH("diesel",$B143))+ISNUMBER(SEARCH("krudo",$B143))+ISNUMBER(SEARCH("gasolina",$B143))+ISNUMBER(SEARCH("toll",$B143))+ISNUMBER(SEARCH("parking",$B143))+ISNUMBER(SEARCH("repair",$B143))+ISNUMBER(SEARCH("maintenance",$B143))+ISNUMBER(SEARCH("tire",$B143))+ISNUMBER(SEARCH("tyre",$B143))+ISNUMBER(SEARCH("battery",$B143))+ISNUMBER(SEARCH("oil",$B143))+ISNUMBER(SEARCH("filter",$B143))+ISNUMBER(SEARCH("spare",$B143))+ISNUMBER(SEARCH("insurance",$B143))+ISNUMBER(SEARCH("lto",$B143))+ISNUMBER(SEARCH("registration",$B143))+ISNUMBER(SEARCH("emission",$B143))+ISNUMBER(SEARCH("wash",$B143))+ISNUMBER(SEARCH("weigh",$B143))+ISNUMBER(SEARCH("tarp",$B143))&gt;0,"Vehicle",IF(ISNUMBER(SEARCH("rent",$B143))+ISNUMBER(SEARCH("upa",$B143))+ISNUMBER(SEARCH("salary",$B143))+ISNUMBER(SEARCH("sweldo",$B143))+ISNUMBER(SEARCH("wage",$B143))+ISNUMBER(SEARCH("electric",$B143))+ISNUMBER(SEARCH("kuryente",$B143))+ISNUMBER(SEARCH("water",$B143))+ISNUMBER(SEARCH("tubig",$B143))+ISNUMBER(SEARCH("internet",$B143))+ISNUMBER(SEARCH("pldt",$B143))+ISNUMBER(SEARCH("meralco",$B143))+ISNUMBER(SEARCH("supplies",$B143))+ISNUMBER(SEARCH("office",$B143))+ISNUMBER(SEARCH("professional",$B143))+ISNUMBER(SEARCH("accountant",$B143))+ISNUMBER(SEARCH("lawyer",$B143))+ISNUMBER(SEARCH("broker",$B143))+ISNUMBER(SEARCH("bank",$B143))+ISNUMBER(SEARCH("charge",$B143))+ISNUMBER(SEARCH("permit",$B143))+ISNUMBER(SEARCH("bir",$B143))+ISNUMBER(SEARCH("ltfrb",$B143))+ISNUMBER(SEARCH("misc",$B143))+ISNUMBER(SEARCH("fee",$B143))&gt;0,"Overhead","Overhead")))))))</f>
        <v/>
      </c>
      <c r="J143">
        <f>IF($A143="","",DATE(YEAR($A143),MONTH($A143),1))</f>
        <v/>
      </c>
      <c r="K143">
        <f>IF($B143="","",IF(COUNTIF(Setup!$A$99:$A$128,$B143)&gt;0,0,1))</f>
        <v/>
      </c>
      <c r="L143">
        <f>IF($B143="","",IF(ISNUMBER(SEARCH("advance",$B143)),"ADV",IF(OR(ISNUMBER(SEARCH("payout",$B143)),ISNUMBER(SEARCH("pay out",$B143)),ISNUMBER(SEARCH("release",$B143))),"PAY","")))</f>
        <v/>
      </c>
      <c r="M143">
        <f>IF($B143="","",IF(ISNUMBER(SEARCH("bulk",$B143)),0,IF(ISNUMBER(SEARCH("fuel",$B143))+ISNUMBER(SEARCH("diesel",$B143))+ISNUMBER(SEARCH("krudo",$B143))+ISNUMBER(SEARCH("gasolina",$B143))&gt;0,1,0)))</f>
        <v/>
      </c>
      <c r="N143">
        <f>IF($B143="","",IF(ISNUMBER(SEARCH("fuel",$B143))+ISNUMBER(SEARCH("diesel",$B143))+ISNUMBER(SEARCH("krudo",$B143))+ISNUMBER(SEARCH("gasolina",$B143))&gt;0,1,0))</f>
        <v/>
      </c>
    </row>
    <row r="144">
      <c r="A144" s="94" t="n"/>
      <c r="B144" s="96" t="n"/>
      <c r="C144" s="96" t="n"/>
      <c r="D144" s="95" t="n"/>
      <c r="E144" s="96" t="n"/>
      <c r="F144" s="99" t="n"/>
      <c r="G144" s="95" t="n"/>
      <c r="H144" s="95" t="n"/>
      <c r="I144" s="101">
        <f>IF($B144="","",IF(COUNTIF(Setup!$A$99:$A$128,$B144)&gt;0,IF(INDEX(Setup!$B$99:$B$128,MATCH($B144,Setup!$A$99:$A$128,0))="","Overhead",INDEX(Setup!$B$99:$B$128,MATCH($B144,Setup!$A$99:$A$128,0))),IF(ISNUMBER(SEARCH("advance",$B144))+ISNUMBER(SEARCH("payout",$B144))+ISNUMBER(SEARCH("pay out",$B144))+ISNUMBER(SEARCH("reimburs",$B144))&gt;0,"Transfer",IF(ISNUMBER(SEARCH("loan",$B144))+ISNUMBER(SEARCH("amort",$B144))+ISNUMBER(SEARCH("installment",$B144))+ISNUMBER(SEARCH("instalment",$B144))&gt;0,"Financing",IF(ISNUMBER(SEARCH("draw",$B144))+ISNUMBER(SEARCH("owner",$B144))+ISNUMBER(SEARCH("asset",$B144))+ISNUMBER(SEARCH("capital",$B144))&gt;0,"Other",IF(ISNUMBER(SEARCH("fuel",$B144))+ISNUMBER(SEARCH("diesel",$B144))+ISNUMBER(SEARCH("krudo",$B144))+ISNUMBER(SEARCH("gasolina",$B144))+ISNUMBER(SEARCH("toll",$B144))+ISNUMBER(SEARCH("parking",$B144))+ISNUMBER(SEARCH("repair",$B144))+ISNUMBER(SEARCH("maintenance",$B144))+ISNUMBER(SEARCH("tire",$B144))+ISNUMBER(SEARCH("tyre",$B144))+ISNUMBER(SEARCH("battery",$B144))+ISNUMBER(SEARCH("oil",$B144))+ISNUMBER(SEARCH("filter",$B144))+ISNUMBER(SEARCH("spare",$B144))+ISNUMBER(SEARCH("insurance",$B144))+ISNUMBER(SEARCH("lto",$B144))+ISNUMBER(SEARCH("registration",$B144))+ISNUMBER(SEARCH("emission",$B144))+ISNUMBER(SEARCH("wash",$B144))+ISNUMBER(SEARCH("weigh",$B144))+ISNUMBER(SEARCH("tarp",$B144))&gt;0,"Vehicle",IF(ISNUMBER(SEARCH("rent",$B144))+ISNUMBER(SEARCH("upa",$B144))+ISNUMBER(SEARCH("salary",$B144))+ISNUMBER(SEARCH("sweldo",$B144))+ISNUMBER(SEARCH("wage",$B144))+ISNUMBER(SEARCH("electric",$B144))+ISNUMBER(SEARCH("kuryente",$B144))+ISNUMBER(SEARCH("water",$B144))+ISNUMBER(SEARCH("tubig",$B144))+ISNUMBER(SEARCH("internet",$B144))+ISNUMBER(SEARCH("pldt",$B144))+ISNUMBER(SEARCH("meralco",$B144))+ISNUMBER(SEARCH("supplies",$B144))+ISNUMBER(SEARCH("office",$B144))+ISNUMBER(SEARCH("professional",$B144))+ISNUMBER(SEARCH("accountant",$B144))+ISNUMBER(SEARCH("lawyer",$B144))+ISNUMBER(SEARCH("broker",$B144))+ISNUMBER(SEARCH("bank",$B144))+ISNUMBER(SEARCH("charge",$B144))+ISNUMBER(SEARCH("permit",$B144))+ISNUMBER(SEARCH("bir",$B144))+ISNUMBER(SEARCH("ltfrb",$B144))+ISNUMBER(SEARCH("misc",$B144))+ISNUMBER(SEARCH("fee",$B144))&gt;0,"Overhead","Overhead")))))))</f>
        <v/>
      </c>
      <c r="J144">
        <f>IF($A144="","",DATE(YEAR($A144),MONTH($A144),1))</f>
        <v/>
      </c>
      <c r="K144">
        <f>IF($B144="","",IF(COUNTIF(Setup!$A$99:$A$128,$B144)&gt;0,0,1))</f>
        <v/>
      </c>
      <c r="L144">
        <f>IF($B144="","",IF(ISNUMBER(SEARCH("advance",$B144)),"ADV",IF(OR(ISNUMBER(SEARCH("payout",$B144)),ISNUMBER(SEARCH("pay out",$B144)),ISNUMBER(SEARCH("release",$B144))),"PAY","")))</f>
        <v/>
      </c>
      <c r="M144">
        <f>IF($B144="","",IF(ISNUMBER(SEARCH("bulk",$B144)),0,IF(ISNUMBER(SEARCH("fuel",$B144))+ISNUMBER(SEARCH("diesel",$B144))+ISNUMBER(SEARCH("krudo",$B144))+ISNUMBER(SEARCH("gasolina",$B144))&gt;0,1,0)))</f>
        <v/>
      </c>
      <c r="N144">
        <f>IF($B144="","",IF(ISNUMBER(SEARCH("fuel",$B144))+ISNUMBER(SEARCH("diesel",$B144))+ISNUMBER(SEARCH("krudo",$B144))+ISNUMBER(SEARCH("gasolina",$B144))&gt;0,1,0))</f>
        <v/>
      </c>
    </row>
    <row r="145">
      <c r="A145" s="86" t="n"/>
      <c r="B145" s="88" t="n"/>
      <c r="C145" s="88" t="n"/>
      <c r="D145" s="87" t="n"/>
      <c r="E145" s="88" t="n"/>
      <c r="F145" s="92" t="n"/>
      <c r="G145" s="87" t="n"/>
      <c r="H145" s="87" t="n"/>
      <c r="I145" s="101">
        <f>IF($B145="","",IF(COUNTIF(Setup!$A$99:$A$128,$B145)&gt;0,IF(INDEX(Setup!$B$99:$B$128,MATCH($B145,Setup!$A$99:$A$128,0))="","Overhead",INDEX(Setup!$B$99:$B$128,MATCH($B145,Setup!$A$99:$A$128,0))),IF(ISNUMBER(SEARCH("advance",$B145))+ISNUMBER(SEARCH("payout",$B145))+ISNUMBER(SEARCH("pay out",$B145))+ISNUMBER(SEARCH("reimburs",$B145))&gt;0,"Transfer",IF(ISNUMBER(SEARCH("loan",$B145))+ISNUMBER(SEARCH("amort",$B145))+ISNUMBER(SEARCH("installment",$B145))+ISNUMBER(SEARCH("instalment",$B145))&gt;0,"Financing",IF(ISNUMBER(SEARCH("draw",$B145))+ISNUMBER(SEARCH("owner",$B145))+ISNUMBER(SEARCH("asset",$B145))+ISNUMBER(SEARCH("capital",$B145))&gt;0,"Other",IF(ISNUMBER(SEARCH("fuel",$B145))+ISNUMBER(SEARCH("diesel",$B145))+ISNUMBER(SEARCH("krudo",$B145))+ISNUMBER(SEARCH("gasolina",$B145))+ISNUMBER(SEARCH("toll",$B145))+ISNUMBER(SEARCH("parking",$B145))+ISNUMBER(SEARCH("repair",$B145))+ISNUMBER(SEARCH("maintenance",$B145))+ISNUMBER(SEARCH("tire",$B145))+ISNUMBER(SEARCH("tyre",$B145))+ISNUMBER(SEARCH("battery",$B145))+ISNUMBER(SEARCH("oil",$B145))+ISNUMBER(SEARCH("filter",$B145))+ISNUMBER(SEARCH("spare",$B145))+ISNUMBER(SEARCH("insurance",$B145))+ISNUMBER(SEARCH("lto",$B145))+ISNUMBER(SEARCH("registration",$B145))+ISNUMBER(SEARCH("emission",$B145))+ISNUMBER(SEARCH("wash",$B145))+ISNUMBER(SEARCH("weigh",$B145))+ISNUMBER(SEARCH("tarp",$B145))&gt;0,"Vehicle",IF(ISNUMBER(SEARCH("rent",$B145))+ISNUMBER(SEARCH("upa",$B145))+ISNUMBER(SEARCH("salary",$B145))+ISNUMBER(SEARCH("sweldo",$B145))+ISNUMBER(SEARCH("wage",$B145))+ISNUMBER(SEARCH("electric",$B145))+ISNUMBER(SEARCH("kuryente",$B145))+ISNUMBER(SEARCH("water",$B145))+ISNUMBER(SEARCH("tubig",$B145))+ISNUMBER(SEARCH("internet",$B145))+ISNUMBER(SEARCH("pldt",$B145))+ISNUMBER(SEARCH("meralco",$B145))+ISNUMBER(SEARCH("supplies",$B145))+ISNUMBER(SEARCH("office",$B145))+ISNUMBER(SEARCH("professional",$B145))+ISNUMBER(SEARCH("accountant",$B145))+ISNUMBER(SEARCH("lawyer",$B145))+ISNUMBER(SEARCH("broker",$B145))+ISNUMBER(SEARCH("bank",$B145))+ISNUMBER(SEARCH("charge",$B145))+ISNUMBER(SEARCH("permit",$B145))+ISNUMBER(SEARCH("bir",$B145))+ISNUMBER(SEARCH("ltfrb",$B145))+ISNUMBER(SEARCH("misc",$B145))+ISNUMBER(SEARCH("fee",$B145))&gt;0,"Overhead","Overhead")))))))</f>
        <v/>
      </c>
      <c r="J145">
        <f>IF($A145="","",DATE(YEAR($A145),MONTH($A145),1))</f>
        <v/>
      </c>
      <c r="K145">
        <f>IF($B145="","",IF(COUNTIF(Setup!$A$99:$A$128,$B145)&gt;0,0,1))</f>
        <v/>
      </c>
      <c r="L145">
        <f>IF($B145="","",IF(ISNUMBER(SEARCH("advance",$B145)),"ADV",IF(OR(ISNUMBER(SEARCH("payout",$B145)),ISNUMBER(SEARCH("pay out",$B145)),ISNUMBER(SEARCH("release",$B145))),"PAY","")))</f>
        <v/>
      </c>
      <c r="M145">
        <f>IF($B145="","",IF(ISNUMBER(SEARCH("bulk",$B145)),0,IF(ISNUMBER(SEARCH("fuel",$B145))+ISNUMBER(SEARCH("diesel",$B145))+ISNUMBER(SEARCH("krudo",$B145))+ISNUMBER(SEARCH("gasolina",$B145))&gt;0,1,0)))</f>
        <v/>
      </c>
      <c r="N145">
        <f>IF($B145="","",IF(ISNUMBER(SEARCH("fuel",$B145))+ISNUMBER(SEARCH("diesel",$B145))+ISNUMBER(SEARCH("krudo",$B145))+ISNUMBER(SEARCH("gasolina",$B145))&gt;0,1,0))</f>
        <v/>
      </c>
    </row>
    <row r="146">
      <c r="A146" s="94" t="n"/>
      <c r="B146" s="96" t="n"/>
      <c r="C146" s="96" t="n"/>
      <c r="D146" s="95" t="n"/>
      <c r="E146" s="96" t="n"/>
      <c r="F146" s="99" t="n"/>
      <c r="G146" s="95" t="n"/>
      <c r="H146" s="95" t="n"/>
      <c r="I146" s="101">
        <f>IF($B146="","",IF(COUNTIF(Setup!$A$99:$A$128,$B146)&gt;0,IF(INDEX(Setup!$B$99:$B$128,MATCH($B146,Setup!$A$99:$A$128,0))="","Overhead",INDEX(Setup!$B$99:$B$128,MATCH($B146,Setup!$A$99:$A$128,0))),IF(ISNUMBER(SEARCH("advance",$B146))+ISNUMBER(SEARCH("payout",$B146))+ISNUMBER(SEARCH("pay out",$B146))+ISNUMBER(SEARCH("reimburs",$B146))&gt;0,"Transfer",IF(ISNUMBER(SEARCH("loan",$B146))+ISNUMBER(SEARCH("amort",$B146))+ISNUMBER(SEARCH("installment",$B146))+ISNUMBER(SEARCH("instalment",$B146))&gt;0,"Financing",IF(ISNUMBER(SEARCH("draw",$B146))+ISNUMBER(SEARCH("owner",$B146))+ISNUMBER(SEARCH("asset",$B146))+ISNUMBER(SEARCH("capital",$B146))&gt;0,"Other",IF(ISNUMBER(SEARCH("fuel",$B146))+ISNUMBER(SEARCH("diesel",$B146))+ISNUMBER(SEARCH("krudo",$B146))+ISNUMBER(SEARCH("gasolina",$B146))+ISNUMBER(SEARCH("toll",$B146))+ISNUMBER(SEARCH("parking",$B146))+ISNUMBER(SEARCH("repair",$B146))+ISNUMBER(SEARCH("maintenance",$B146))+ISNUMBER(SEARCH("tire",$B146))+ISNUMBER(SEARCH("tyre",$B146))+ISNUMBER(SEARCH("battery",$B146))+ISNUMBER(SEARCH("oil",$B146))+ISNUMBER(SEARCH("filter",$B146))+ISNUMBER(SEARCH("spare",$B146))+ISNUMBER(SEARCH("insurance",$B146))+ISNUMBER(SEARCH("lto",$B146))+ISNUMBER(SEARCH("registration",$B146))+ISNUMBER(SEARCH("emission",$B146))+ISNUMBER(SEARCH("wash",$B146))+ISNUMBER(SEARCH("weigh",$B146))+ISNUMBER(SEARCH("tarp",$B146))&gt;0,"Vehicle",IF(ISNUMBER(SEARCH("rent",$B146))+ISNUMBER(SEARCH("upa",$B146))+ISNUMBER(SEARCH("salary",$B146))+ISNUMBER(SEARCH("sweldo",$B146))+ISNUMBER(SEARCH("wage",$B146))+ISNUMBER(SEARCH("electric",$B146))+ISNUMBER(SEARCH("kuryente",$B146))+ISNUMBER(SEARCH("water",$B146))+ISNUMBER(SEARCH("tubig",$B146))+ISNUMBER(SEARCH("internet",$B146))+ISNUMBER(SEARCH("pldt",$B146))+ISNUMBER(SEARCH("meralco",$B146))+ISNUMBER(SEARCH("supplies",$B146))+ISNUMBER(SEARCH("office",$B146))+ISNUMBER(SEARCH("professional",$B146))+ISNUMBER(SEARCH("accountant",$B146))+ISNUMBER(SEARCH("lawyer",$B146))+ISNUMBER(SEARCH("broker",$B146))+ISNUMBER(SEARCH("bank",$B146))+ISNUMBER(SEARCH("charge",$B146))+ISNUMBER(SEARCH("permit",$B146))+ISNUMBER(SEARCH("bir",$B146))+ISNUMBER(SEARCH("ltfrb",$B146))+ISNUMBER(SEARCH("misc",$B146))+ISNUMBER(SEARCH("fee",$B146))&gt;0,"Overhead","Overhead")))))))</f>
        <v/>
      </c>
      <c r="J146">
        <f>IF($A146="","",DATE(YEAR($A146),MONTH($A146),1))</f>
        <v/>
      </c>
      <c r="K146">
        <f>IF($B146="","",IF(COUNTIF(Setup!$A$99:$A$128,$B146)&gt;0,0,1))</f>
        <v/>
      </c>
      <c r="L146">
        <f>IF($B146="","",IF(ISNUMBER(SEARCH("advance",$B146)),"ADV",IF(OR(ISNUMBER(SEARCH("payout",$B146)),ISNUMBER(SEARCH("pay out",$B146)),ISNUMBER(SEARCH("release",$B146))),"PAY","")))</f>
        <v/>
      </c>
      <c r="M146">
        <f>IF($B146="","",IF(ISNUMBER(SEARCH("bulk",$B146)),0,IF(ISNUMBER(SEARCH("fuel",$B146))+ISNUMBER(SEARCH("diesel",$B146))+ISNUMBER(SEARCH("krudo",$B146))+ISNUMBER(SEARCH("gasolina",$B146))&gt;0,1,0)))</f>
        <v/>
      </c>
      <c r="N146">
        <f>IF($B146="","",IF(ISNUMBER(SEARCH("fuel",$B146))+ISNUMBER(SEARCH("diesel",$B146))+ISNUMBER(SEARCH("krudo",$B146))+ISNUMBER(SEARCH("gasolina",$B146))&gt;0,1,0))</f>
        <v/>
      </c>
    </row>
    <row r="147">
      <c r="A147" s="86" t="n"/>
      <c r="B147" s="88" t="n"/>
      <c r="C147" s="88" t="n"/>
      <c r="D147" s="87" t="n"/>
      <c r="E147" s="88" t="n"/>
      <c r="F147" s="92" t="n"/>
      <c r="G147" s="87" t="n"/>
      <c r="H147" s="87" t="n"/>
      <c r="I147" s="101">
        <f>IF($B147="","",IF(COUNTIF(Setup!$A$99:$A$128,$B147)&gt;0,IF(INDEX(Setup!$B$99:$B$128,MATCH($B147,Setup!$A$99:$A$128,0))="","Overhead",INDEX(Setup!$B$99:$B$128,MATCH($B147,Setup!$A$99:$A$128,0))),IF(ISNUMBER(SEARCH("advance",$B147))+ISNUMBER(SEARCH("payout",$B147))+ISNUMBER(SEARCH("pay out",$B147))+ISNUMBER(SEARCH("reimburs",$B147))&gt;0,"Transfer",IF(ISNUMBER(SEARCH("loan",$B147))+ISNUMBER(SEARCH("amort",$B147))+ISNUMBER(SEARCH("installment",$B147))+ISNUMBER(SEARCH("instalment",$B147))&gt;0,"Financing",IF(ISNUMBER(SEARCH("draw",$B147))+ISNUMBER(SEARCH("owner",$B147))+ISNUMBER(SEARCH("asset",$B147))+ISNUMBER(SEARCH("capital",$B147))&gt;0,"Other",IF(ISNUMBER(SEARCH("fuel",$B147))+ISNUMBER(SEARCH("diesel",$B147))+ISNUMBER(SEARCH("krudo",$B147))+ISNUMBER(SEARCH("gasolina",$B147))+ISNUMBER(SEARCH("toll",$B147))+ISNUMBER(SEARCH("parking",$B147))+ISNUMBER(SEARCH("repair",$B147))+ISNUMBER(SEARCH("maintenance",$B147))+ISNUMBER(SEARCH("tire",$B147))+ISNUMBER(SEARCH("tyre",$B147))+ISNUMBER(SEARCH("battery",$B147))+ISNUMBER(SEARCH("oil",$B147))+ISNUMBER(SEARCH("filter",$B147))+ISNUMBER(SEARCH("spare",$B147))+ISNUMBER(SEARCH("insurance",$B147))+ISNUMBER(SEARCH("lto",$B147))+ISNUMBER(SEARCH("registration",$B147))+ISNUMBER(SEARCH("emission",$B147))+ISNUMBER(SEARCH("wash",$B147))+ISNUMBER(SEARCH("weigh",$B147))+ISNUMBER(SEARCH("tarp",$B147))&gt;0,"Vehicle",IF(ISNUMBER(SEARCH("rent",$B147))+ISNUMBER(SEARCH("upa",$B147))+ISNUMBER(SEARCH("salary",$B147))+ISNUMBER(SEARCH("sweldo",$B147))+ISNUMBER(SEARCH("wage",$B147))+ISNUMBER(SEARCH("electric",$B147))+ISNUMBER(SEARCH("kuryente",$B147))+ISNUMBER(SEARCH("water",$B147))+ISNUMBER(SEARCH("tubig",$B147))+ISNUMBER(SEARCH("internet",$B147))+ISNUMBER(SEARCH("pldt",$B147))+ISNUMBER(SEARCH("meralco",$B147))+ISNUMBER(SEARCH("supplies",$B147))+ISNUMBER(SEARCH("office",$B147))+ISNUMBER(SEARCH("professional",$B147))+ISNUMBER(SEARCH("accountant",$B147))+ISNUMBER(SEARCH("lawyer",$B147))+ISNUMBER(SEARCH("broker",$B147))+ISNUMBER(SEARCH("bank",$B147))+ISNUMBER(SEARCH("charge",$B147))+ISNUMBER(SEARCH("permit",$B147))+ISNUMBER(SEARCH("bir",$B147))+ISNUMBER(SEARCH("ltfrb",$B147))+ISNUMBER(SEARCH("misc",$B147))+ISNUMBER(SEARCH("fee",$B147))&gt;0,"Overhead","Overhead")))))))</f>
        <v/>
      </c>
      <c r="J147">
        <f>IF($A147="","",DATE(YEAR($A147),MONTH($A147),1))</f>
        <v/>
      </c>
      <c r="K147">
        <f>IF($B147="","",IF(COUNTIF(Setup!$A$99:$A$128,$B147)&gt;0,0,1))</f>
        <v/>
      </c>
      <c r="L147">
        <f>IF($B147="","",IF(ISNUMBER(SEARCH("advance",$B147)),"ADV",IF(OR(ISNUMBER(SEARCH("payout",$B147)),ISNUMBER(SEARCH("pay out",$B147)),ISNUMBER(SEARCH("release",$B147))),"PAY","")))</f>
        <v/>
      </c>
      <c r="M147">
        <f>IF($B147="","",IF(ISNUMBER(SEARCH("bulk",$B147)),0,IF(ISNUMBER(SEARCH("fuel",$B147))+ISNUMBER(SEARCH("diesel",$B147))+ISNUMBER(SEARCH("krudo",$B147))+ISNUMBER(SEARCH("gasolina",$B147))&gt;0,1,0)))</f>
        <v/>
      </c>
      <c r="N147">
        <f>IF($B147="","",IF(ISNUMBER(SEARCH("fuel",$B147))+ISNUMBER(SEARCH("diesel",$B147))+ISNUMBER(SEARCH("krudo",$B147))+ISNUMBER(SEARCH("gasolina",$B147))&gt;0,1,0))</f>
        <v/>
      </c>
    </row>
    <row r="148">
      <c r="A148" s="94" t="n"/>
      <c r="B148" s="96" t="n"/>
      <c r="C148" s="96" t="n"/>
      <c r="D148" s="95" t="n"/>
      <c r="E148" s="96" t="n"/>
      <c r="F148" s="99" t="n"/>
      <c r="G148" s="95" t="n"/>
      <c r="H148" s="95" t="n"/>
      <c r="I148" s="101">
        <f>IF($B148="","",IF(COUNTIF(Setup!$A$99:$A$128,$B148)&gt;0,IF(INDEX(Setup!$B$99:$B$128,MATCH($B148,Setup!$A$99:$A$128,0))="","Overhead",INDEX(Setup!$B$99:$B$128,MATCH($B148,Setup!$A$99:$A$128,0))),IF(ISNUMBER(SEARCH("advance",$B148))+ISNUMBER(SEARCH("payout",$B148))+ISNUMBER(SEARCH("pay out",$B148))+ISNUMBER(SEARCH("reimburs",$B148))&gt;0,"Transfer",IF(ISNUMBER(SEARCH("loan",$B148))+ISNUMBER(SEARCH("amort",$B148))+ISNUMBER(SEARCH("installment",$B148))+ISNUMBER(SEARCH("instalment",$B148))&gt;0,"Financing",IF(ISNUMBER(SEARCH("draw",$B148))+ISNUMBER(SEARCH("owner",$B148))+ISNUMBER(SEARCH("asset",$B148))+ISNUMBER(SEARCH("capital",$B148))&gt;0,"Other",IF(ISNUMBER(SEARCH("fuel",$B148))+ISNUMBER(SEARCH("diesel",$B148))+ISNUMBER(SEARCH("krudo",$B148))+ISNUMBER(SEARCH("gasolina",$B148))+ISNUMBER(SEARCH("toll",$B148))+ISNUMBER(SEARCH("parking",$B148))+ISNUMBER(SEARCH("repair",$B148))+ISNUMBER(SEARCH("maintenance",$B148))+ISNUMBER(SEARCH("tire",$B148))+ISNUMBER(SEARCH("tyre",$B148))+ISNUMBER(SEARCH("battery",$B148))+ISNUMBER(SEARCH("oil",$B148))+ISNUMBER(SEARCH("filter",$B148))+ISNUMBER(SEARCH("spare",$B148))+ISNUMBER(SEARCH("insurance",$B148))+ISNUMBER(SEARCH("lto",$B148))+ISNUMBER(SEARCH("registration",$B148))+ISNUMBER(SEARCH("emission",$B148))+ISNUMBER(SEARCH("wash",$B148))+ISNUMBER(SEARCH("weigh",$B148))+ISNUMBER(SEARCH("tarp",$B148))&gt;0,"Vehicle",IF(ISNUMBER(SEARCH("rent",$B148))+ISNUMBER(SEARCH("upa",$B148))+ISNUMBER(SEARCH("salary",$B148))+ISNUMBER(SEARCH("sweldo",$B148))+ISNUMBER(SEARCH("wage",$B148))+ISNUMBER(SEARCH("electric",$B148))+ISNUMBER(SEARCH("kuryente",$B148))+ISNUMBER(SEARCH("water",$B148))+ISNUMBER(SEARCH("tubig",$B148))+ISNUMBER(SEARCH("internet",$B148))+ISNUMBER(SEARCH("pldt",$B148))+ISNUMBER(SEARCH("meralco",$B148))+ISNUMBER(SEARCH("supplies",$B148))+ISNUMBER(SEARCH("office",$B148))+ISNUMBER(SEARCH("professional",$B148))+ISNUMBER(SEARCH("accountant",$B148))+ISNUMBER(SEARCH("lawyer",$B148))+ISNUMBER(SEARCH("broker",$B148))+ISNUMBER(SEARCH("bank",$B148))+ISNUMBER(SEARCH("charge",$B148))+ISNUMBER(SEARCH("permit",$B148))+ISNUMBER(SEARCH("bir",$B148))+ISNUMBER(SEARCH("ltfrb",$B148))+ISNUMBER(SEARCH("misc",$B148))+ISNUMBER(SEARCH("fee",$B148))&gt;0,"Overhead","Overhead")))))))</f>
        <v/>
      </c>
      <c r="J148">
        <f>IF($A148="","",DATE(YEAR($A148),MONTH($A148),1))</f>
        <v/>
      </c>
      <c r="K148">
        <f>IF($B148="","",IF(COUNTIF(Setup!$A$99:$A$128,$B148)&gt;0,0,1))</f>
        <v/>
      </c>
      <c r="L148">
        <f>IF($B148="","",IF(ISNUMBER(SEARCH("advance",$B148)),"ADV",IF(OR(ISNUMBER(SEARCH("payout",$B148)),ISNUMBER(SEARCH("pay out",$B148)),ISNUMBER(SEARCH("release",$B148))),"PAY","")))</f>
        <v/>
      </c>
      <c r="M148">
        <f>IF($B148="","",IF(ISNUMBER(SEARCH("bulk",$B148)),0,IF(ISNUMBER(SEARCH("fuel",$B148))+ISNUMBER(SEARCH("diesel",$B148))+ISNUMBER(SEARCH("krudo",$B148))+ISNUMBER(SEARCH("gasolina",$B148))&gt;0,1,0)))</f>
        <v/>
      </c>
      <c r="N148">
        <f>IF($B148="","",IF(ISNUMBER(SEARCH("fuel",$B148))+ISNUMBER(SEARCH("diesel",$B148))+ISNUMBER(SEARCH("krudo",$B148))+ISNUMBER(SEARCH("gasolina",$B148))&gt;0,1,0))</f>
        <v/>
      </c>
    </row>
    <row r="149">
      <c r="A149" s="86" t="n"/>
      <c r="B149" s="88" t="n"/>
      <c r="C149" s="88" t="n"/>
      <c r="D149" s="87" t="n"/>
      <c r="E149" s="88" t="n"/>
      <c r="F149" s="92" t="n"/>
      <c r="G149" s="87" t="n"/>
      <c r="H149" s="87" t="n"/>
      <c r="I149" s="101">
        <f>IF($B149="","",IF(COUNTIF(Setup!$A$99:$A$128,$B149)&gt;0,IF(INDEX(Setup!$B$99:$B$128,MATCH($B149,Setup!$A$99:$A$128,0))="","Overhead",INDEX(Setup!$B$99:$B$128,MATCH($B149,Setup!$A$99:$A$128,0))),IF(ISNUMBER(SEARCH("advance",$B149))+ISNUMBER(SEARCH("payout",$B149))+ISNUMBER(SEARCH("pay out",$B149))+ISNUMBER(SEARCH("reimburs",$B149))&gt;0,"Transfer",IF(ISNUMBER(SEARCH("loan",$B149))+ISNUMBER(SEARCH("amort",$B149))+ISNUMBER(SEARCH("installment",$B149))+ISNUMBER(SEARCH("instalment",$B149))&gt;0,"Financing",IF(ISNUMBER(SEARCH("draw",$B149))+ISNUMBER(SEARCH("owner",$B149))+ISNUMBER(SEARCH("asset",$B149))+ISNUMBER(SEARCH("capital",$B149))&gt;0,"Other",IF(ISNUMBER(SEARCH("fuel",$B149))+ISNUMBER(SEARCH("diesel",$B149))+ISNUMBER(SEARCH("krudo",$B149))+ISNUMBER(SEARCH("gasolina",$B149))+ISNUMBER(SEARCH("toll",$B149))+ISNUMBER(SEARCH("parking",$B149))+ISNUMBER(SEARCH("repair",$B149))+ISNUMBER(SEARCH("maintenance",$B149))+ISNUMBER(SEARCH("tire",$B149))+ISNUMBER(SEARCH("tyre",$B149))+ISNUMBER(SEARCH("battery",$B149))+ISNUMBER(SEARCH("oil",$B149))+ISNUMBER(SEARCH("filter",$B149))+ISNUMBER(SEARCH("spare",$B149))+ISNUMBER(SEARCH("insurance",$B149))+ISNUMBER(SEARCH("lto",$B149))+ISNUMBER(SEARCH("registration",$B149))+ISNUMBER(SEARCH("emission",$B149))+ISNUMBER(SEARCH("wash",$B149))+ISNUMBER(SEARCH("weigh",$B149))+ISNUMBER(SEARCH("tarp",$B149))&gt;0,"Vehicle",IF(ISNUMBER(SEARCH("rent",$B149))+ISNUMBER(SEARCH("upa",$B149))+ISNUMBER(SEARCH("salary",$B149))+ISNUMBER(SEARCH("sweldo",$B149))+ISNUMBER(SEARCH("wage",$B149))+ISNUMBER(SEARCH("electric",$B149))+ISNUMBER(SEARCH("kuryente",$B149))+ISNUMBER(SEARCH("water",$B149))+ISNUMBER(SEARCH("tubig",$B149))+ISNUMBER(SEARCH("internet",$B149))+ISNUMBER(SEARCH("pldt",$B149))+ISNUMBER(SEARCH("meralco",$B149))+ISNUMBER(SEARCH("supplies",$B149))+ISNUMBER(SEARCH("office",$B149))+ISNUMBER(SEARCH("professional",$B149))+ISNUMBER(SEARCH("accountant",$B149))+ISNUMBER(SEARCH("lawyer",$B149))+ISNUMBER(SEARCH("broker",$B149))+ISNUMBER(SEARCH("bank",$B149))+ISNUMBER(SEARCH("charge",$B149))+ISNUMBER(SEARCH("permit",$B149))+ISNUMBER(SEARCH("bir",$B149))+ISNUMBER(SEARCH("ltfrb",$B149))+ISNUMBER(SEARCH("misc",$B149))+ISNUMBER(SEARCH("fee",$B149))&gt;0,"Overhead","Overhead")))))))</f>
        <v/>
      </c>
      <c r="J149">
        <f>IF($A149="","",DATE(YEAR($A149),MONTH($A149),1))</f>
        <v/>
      </c>
      <c r="K149">
        <f>IF($B149="","",IF(COUNTIF(Setup!$A$99:$A$128,$B149)&gt;0,0,1))</f>
        <v/>
      </c>
      <c r="L149">
        <f>IF($B149="","",IF(ISNUMBER(SEARCH("advance",$B149)),"ADV",IF(OR(ISNUMBER(SEARCH("payout",$B149)),ISNUMBER(SEARCH("pay out",$B149)),ISNUMBER(SEARCH("release",$B149))),"PAY","")))</f>
        <v/>
      </c>
      <c r="M149">
        <f>IF($B149="","",IF(ISNUMBER(SEARCH("bulk",$B149)),0,IF(ISNUMBER(SEARCH("fuel",$B149))+ISNUMBER(SEARCH("diesel",$B149))+ISNUMBER(SEARCH("krudo",$B149))+ISNUMBER(SEARCH("gasolina",$B149))&gt;0,1,0)))</f>
        <v/>
      </c>
      <c r="N149">
        <f>IF($B149="","",IF(ISNUMBER(SEARCH("fuel",$B149))+ISNUMBER(SEARCH("diesel",$B149))+ISNUMBER(SEARCH("krudo",$B149))+ISNUMBER(SEARCH("gasolina",$B149))&gt;0,1,0))</f>
        <v/>
      </c>
    </row>
    <row r="150">
      <c r="A150" s="94" t="n"/>
      <c r="B150" s="96" t="n"/>
      <c r="C150" s="96" t="n"/>
      <c r="D150" s="95" t="n"/>
      <c r="E150" s="96" t="n"/>
      <c r="F150" s="99" t="n"/>
      <c r="G150" s="95" t="n"/>
      <c r="H150" s="95" t="n"/>
      <c r="I150" s="101">
        <f>IF($B150="","",IF(COUNTIF(Setup!$A$99:$A$128,$B150)&gt;0,IF(INDEX(Setup!$B$99:$B$128,MATCH($B150,Setup!$A$99:$A$128,0))="","Overhead",INDEX(Setup!$B$99:$B$128,MATCH($B150,Setup!$A$99:$A$128,0))),IF(ISNUMBER(SEARCH("advance",$B150))+ISNUMBER(SEARCH("payout",$B150))+ISNUMBER(SEARCH("pay out",$B150))+ISNUMBER(SEARCH("reimburs",$B150))&gt;0,"Transfer",IF(ISNUMBER(SEARCH("loan",$B150))+ISNUMBER(SEARCH("amort",$B150))+ISNUMBER(SEARCH("installment",$B150))+ISNUMBER(SEARCH("instalment",$B150))&gt;0,"Financing",IF(ISNUMBER(SEARCH("draw",$B150))+ISNUMBER(SEARCH("owner",$B150))+ISNUMBER(SEARCH("asset",$B150))+ISNUMBER(SEARCH("capital",$B150))&gt;0,"Other",IF(ISNUMBER(SEARCH("fuel",$B150))+ISNUMBER(SEARCH("diesel",$B150))+ISNUMBER(SEARCH("krudo",$B150))+ISNUMBER(SEARCH("gasolina",$B150))+ISNUMBER(SEARCH("toll",$B150))+ISNUMBER(SEARCH("parking",$B150))+ISNUMBER(SEARCH("repair",$B150))+ISNUMBER(SEARCH("maintenance",$B150))+ISNUMBER(SEARCH("tire",$B150))+ISNUMBER(SEARCH("tyre",$B150))+ISNUMBER(SEARCH("battery",$B150))+ISNUMBER(SEARCH("oil",$B150))+ISNUMBER(SEARCH("filter",$B150))+ISNUMBER(SEARCH("spare",$B150))+ISNUMBER(SEARCH("insurance",$B150))+ISNUMBER(SEARCH("lto",$B150))+ISNUMBER(SEARCH("registration",$B150))+ISNUMBER(SEARCH("emission",$B150))+ISNUMBER(SEARCH("wash",$B150))+ISNUMBER(SEARCH("weigh",$B150))+ISNUMBER(SEARCH("tarp",$B150))&gt;0,"Vehicle",IF(ISNUMBER(SEARCH("rent",$B150))+ISNUMBER(SEARCH("upa",$B150))+ISNUMBER(SEARCH("salary",$B150))+ISNUMBER(SEARCH("sweldo",$B150))+ISNUMBER(SEARCH("wage",$B150))+ISNUMBER(SEARCH("electric",$B150))+ISNUMBER(SEARCH("kuryente",$B150))+ISNUMBER(SEARCH("water",$B150))+ISNUMBER(SEARCH("tubig",$B150))+ISNUMBER(SEARCH("internet",$B150))+ISNUMBER(SEARCH("pldt",$B150))+ISNUMBER(SEARCH("meralco",$B150))+ISNUMBER(SEARCH("supplies",$B150))+ISNUMBER(SEARCH("office",$B150))+ISNUMBER(SEARCH("professional",$B150))+ISNUMBER(SEARCH("accountant",$B150))+ISNUMBER(SEARCH("lawyer",$B150))+ISNUMBER(SEARCH("broker",$B150))+ISNUMBER(SEARCH("bank",$B150))+ISNUMBER(SEARCH("charge",$B150))+ISNUMBER(SEARCH("permit",$B150))+ISNUMBER(SEARCH("bir",$B150))+ISNUMBER(SEARCH("ltfrb",$B150))+ISNUMBER(SEARCH("misc",$B150))+ISNUMBER(SEARCH("fee",$B150))&gt;0,"Overhead","Overhead")))))))</f>
        <v/>
      </c>
      <c r="J150">
        <f>IF($A150="","",DATE(YEAR($A150),MONTH($A150),1))</f>
        <v/>
      </c>
      <c r="K150">
        <f>IF($B150="","",IF(COUNTIF(Setup!$A$99:$A$128,$B150)&gt;0,0,1))</f>
        <v/>
      </c>
      <c r="L150">
        <f>IF($B150="","",IF(ISNUMBER(SEARCH("advance",$B150)),"ADV",IF(OR(ISNUMBER(SEARCH("payout",$B150)),ISNUMBER(SEARCH("pay out",$B150)),ISNUMBER(SEARCH("release",$B150))),"PAY","")))</f>
        <v/>
      </c>
      <c r="M150">
        <f>IF($B150="","",IF(ISNUMBER(SEARCH("bulk",$B150)),0,IF(ISNUMBER(SEARCH("fuel",$B150))+ISNUMBER(SEARCH("diesel",$B150))+ISNUMBER(SEARCH("krudo",$B150))+ISNUMBER(SEARCH("gasolina",$B150))&gt;0,1,0)))</f>
        <v/>
      </c>
      <c r="N150">
        <f>IF($B150="","",IF(ISNUMBER(SEARCH("fuel",$B150))+ISNUMBER(SEARCH("diesel",$B150))+ISNUMBER(SEARCH("krudo",$B150))+ISNUMBER(SEARCH("gasolina",$B150))&gt;0,1,0))</f>
        <v/>
      </c>
    </row>
    <row r="151">
      <c r="A151" s="86" t="n"/>
      <c r="B151" s="88" t="n"/>
      <c r="C151" s="88" t="n"/>
      <c r="D151" s="87" t="n"/>
      <c r="E151" s="88" t="n"/>
      <c r="F151" s="92" t="n"/>
      <c r="G151" s="87" t="n"/>
      <c r="H151" s="87" t="n"/>
      <c r="I151" s="101">
        <f>IF($B151="","",IF(COUNTIF(Setup!$A$99:$A$128,$B151)&gt;0,IF(INDEX(Setup!$B$99:$B$128,MATCH($B151,Setup!$A$99:$A$128,0))="","Overhead",INDEX(Setup!$B$99:$B$128,MATCH($B151,Setup!$A$99:$A$128,0))),IF(ISNUMBER(SEARCH("advance",$B151))+ISNUMBER(SEARCH("payout",$B151))+ISNUMBER(SEARCH("pay out",$B151))+ISNUMBER(SEARCH("reimburs",$B151))&gt;0,"Transfer",IF(ISNUMBER(SEARCH("loan",$B151))+ISNUMBER(SEARCH("amort",$B151))+ISNUMBER(SEARCH("installment",$B151))+ISNUMBER(SEARCH("instalment",$B151))&gt;0,"Financing",IF(ISNUMBER(SEARCH("draw",$B151))+ISNUMBER(SEARCH("owner",$B151))+ISNUMBER(SEARCH("asset",$B151))+ISNUMBER(SEARCH("capital",$B151))&gt;0,"Other",IF(ISNUMBER(SEARCH("fuel",$B151))+ISNUMBER(SEARCH("diesel",$B151))+ISNUMBER(SEARCH("krudo",$B151))+ISNUMBER(SEARCH("gasolina",$B151))+ISNUMBER(SEARCH("toll",$B151))+ISNUMBER(SEARCH("parking",$B151))+ISNUMBER(SEARCH("repair",$B151))+ISNUMBER(SEARCH("maintenance",$B151))+ISNUMBER(SEARCH("tire",$B151))+ISNUMBER(SEARCH("tyre",$B151))+ISNUMBER(SEARCH("battery",$B151))+ISNUMBER(SEARCH("oil",$B151))+ISNUMBER(SEARCH("filter",$B151))+ISNUMBER(SEARCH("spare",$B151))+ISNUMBER(SEARCH("insurance",$B151))+ISNUMBER(SEARCH("lto",$B151))+ISNUMBER(SEARCH("registration",$B151))+ISNUMBER(SEARCH("emission",$B151))+ISNUMBER(SEARCH("wash",$B151))+ISNUMBER(SEARCH("weigh",$B151))+ISNUMBER(SEARCH("tarp",$B151))&gt;0,"Vehicle",IF(ISNUMBER(SEARCH("rent",$B151))+ISNUMBER(SEARCH("upa",$B151))+ISNUMBER(SEARCH("salary",$B151))+ISNUMBER(SEARCH("sweldo",$B151))+ISNUMBER(SEARCH("wage",$B151))+ISNUMBER(SEARCH("electric",$B151))+ISNUMBER(SEARCH("kuryente",$B151))+ISNUMBER(SEARCH("water",$B151))+ISNUMBER(SEARCH("tubig",$B151))+ISNUMBER(SEARCH("internet",$B151))+ISNUMBER(SEARCH("pldt",$B151))+ISNUMBER(SEARCH("meralco",$B151))+ISNUMBER(SEARCH("supplies",$B151))+ISNUMBER(SEARCH("office",$B151))+ISNUMBER(SEARCH("professional",$B151))+ISNUMBER(SEARCH("accountant",$B151))+ISNUMBER(SEARCH("lawyer",$B151))+ISNUMBER(SEARCH("broker",$B151))+ISNUMBER(SEARCH("bank",$B151))+ISNUMBER(SEARCH("charge",$B151))+ISNUMBER(SEARCH("permit",$B151))+ISNUMBER(SEARCH("bir",$B151))+ISNUMBER(SEARCH("ltfrb",$B151))+ISNUMBER(SEARCH("misc",$B151))+ISNUMBER(SEARCH("fee",$B151))&gt;0,"Overhead","Overhead")))))))</f>
        <v/>
      </c>
      <c r="J151">
        <f>IF($A151="","",DATE(YEAR($A151),MONTH($A151),1))</f>
        <v/>
      </c>
      <c r="K151">
        <f>IF($B151="","",IF(COUNTIF(Setup!$A$99:$A$128,$B151)&gt;0,0,1))</f>
        <v/>
      </c>
      <c r="L151">
        <f>IF($B151="","",IF(ISNUMBER(SEARCH("advance",$B151)),"ADV",IF(OR(ISNUMBER(SEARCH("payout",$B151)),ISNUMBER(SEARCH("pay out",$B151)),ISNUMBER(SEARCH("release",$B151))),"PAY","")))</f>
        <v/>
      </c>
      <c r="M151">
        <f>IF($B151="","",IF(ISNUMBER(SEARCH("bulk",$B151)),0,IF(ISNUMBER(SEARCH("fuel",$B151))+ISNUMBER(SEARCH("diesel",$B151))+ISNUMBER(SEARCH("krudo",$B151))+ISNUMBER(SEARCH("gasolina",$B151))&gt;0,1,0)))</f>
        <v/>
      </c>
      <c r="N151">
        <f>IF($B151="","",IF(ISNUMBER(SEARCH("fuel",$B151))+ISNUMBER(SEARCH("diesel",$B151))+ISNUMBER(SEARCH("krudo",$B151))+ISNUMBER(SEARCH("gasolina",$B151))&gt;0,1,0))</f>
        <v/>
      </c>
    </row>
    <row r="152">
      <c r="A152" s="94" t="n"/>
      <c r="B152" s="96" t="n"/>
      <c r="C152" s="96" t="n"/>
      <c r="D152" s="95" t="n"/>
      <c r="E152" s="96" t="n"/>
      <c r="F152" s="99" t="n"/>
      <c r="G152" s="95" t="n"/>
      <c r="H152" s="95" t="n"/>
      <c r="I152" s="101">
        <f>IF($B152="","",IF(COUNTIF(Setup!$A$99:$A$128,$B152)&gt;0,IF(INDEX(Setup!$B$99:$B$128,MATCH($B152,Setup!$A$99:$A$128,0))="","Overhead",INDEX(Setup!$B$99:$B$128,MATCH($B152,Setup!$A$99:$A$128,0))),IF(ISNUMBER(SEARCH("advance",$B152))+ISNUMBER(SEARCH("payout",$B152))+ISNUMBER(SEARCH("pay out",$B152))+ISNUMBER(SEARCH("reimburs",$B152))&gt;0,"Transfer",IF(ISNUMBER(SEARCH("loan",$B152))+ISNUMBER(SEARCH("amort",$B152))+ISNUMBER(SEARCH("installment",$B152))+ISNUMBER(SEARCH("instalment",$B152))&gt;0,"Financing",IF(ISNUMBER(SEARCH("draw",$B152))+ISNUMBER(SEARCH("owner",$B152))+ISNUMBER(SEARCH("asset",$B152))+ISNUMBER(SEARCH("capital",$B152))&gt;0,"Other",IF(ISNUMBER(SEARCH("fuel",$B152))+ISNUMBER(SEARCH("diesel",$B152))+ISNUMBER(SEARCH("krudo",$B152))+ISNUMBER(SEARCH("gasolina",$B152))+ISNUMBER(SEARCH("toll",$B152))+ISNUMBER(SEARCH("parking",$B152))+ISNUMBER(SEARCH("repair",$B152))+ISNUMBER(SEARCH("maintenance",$B152))+ISNUMBER(SEARCH("tire",$B152))+ISNUMBER(SEARCH("tyre",$B152))+ISNUMBER(SEARCH("battery",$B152))+ISNUMBER(SEARCH("oil",$B152))+ISNUMBER(SEARCH("filter",$B152))+ISNUMBER(SEARCH("spare",$B152))+ISNUMBER(SEARCH("insurance",$B152))+ISNUMBER(SEARCH("lto",$B152))+ISNUMBER(SEARCH("registration",$B152))+ISNUMBER(SEARCH("emission",$B152))+ISNUMBER(SEARCH("wash",$B152))+ISNUMBER(SEARCH("weigh",$B152))+ISNUMBER(SEARCH("tarp",$B152))&gt;0,"Vehicle",IF(ISNUMBER(SEARCH("rent",$B152))+ISNUMBER(SEARCH("upa",$B152))+ISNUMBER(SEARCH("salary",$B152))+ISNUMBER(SEARCH("sweldo",$B152))+ISNUMBER(SEARCH("wage",$B152))+ISNUMBER(SEARCH("electric",$B152))+ISNUMBER(SEARCH("kuryente",$B152))+ISNUMBER(SEARCH("water",$B152))+ISNUMBER(SEARCH("tubig",$B152))+ISNUMBER(SEARCH("internet",$B152))+ISNUMBER(SEARCH("pldt",$B152))+ISNUMBER(SEARCH("meralco",$B152))+ISNUMBER(SEARCH("supplies",$B152))+ISNUMBER(SEARCH("office",$B152))+ISNUMBER(SEARCH("professional",$B152))+ISNUMBER(SEARCH("accountant",$B152))+ISNUMBER(SEARCH("lawyer",$B152))+ISNUMBER(SEARCH("broker",$B152))+ISNUMBER(SEARCH("bank",$B152))+ISNUMBER(SEARCH("charge",$B152))+ISNUMBER(SEARCH("permit",$B152))+ISNUMBER(SEARCH("bir",$B152))+ISNUMBER(SEARCH("ltfrb",$B152))+ISNUMBER(SEARCH("misc",$B152))+ISNUMBER(SEARCH("fee",$B152))&gt;0,"Overhead","Overhead")))))))</f>
        <v/>
      </c>
      <c r="J152">
        <f>IF($A152="","",DATE(YEAR($A152),MONTH($A152),1))</f>
        <v/>
      </c>
      <c r="K152">
        <f>IF($B152="","",IF(COUNTIF(Setup!$A$99:$A$128,$B152)&gt;0,0,1))</f>
        <v/>
      </c>
      <c r="L152">
        <f>IF($B152="","",IF(ISNUMBER(SEARCH("advance",$B152)),"ADV",IF(OR(ISNUMBER(SEARCH("payout",$B152)),ISNUMBER(SEARCH("pay out",$B152)),ISNUMBER(SEARCH("release",$B152))),"PAY","")))</f>
        <v/>
      </c>
      <c r="M152">
        <f>IF($B152="","",IF(ISNUMBER(SEARCH("bulk",$B152)),0,IF(ISNUMBER(SEARCH("fuel",$B152))+ISNUMBER(SEARCH("diesel",$B152))+ISNUMBER(SEARCH("krudo",$B152))+ISNUMBER(SEARCH("gasolina",$B152))&gt;0,1,0)))</f>
        <v/>
      </c>
      <c r="N152">
        <f>IF($B152="","",IF(ISNUMBER(SEARCH("fuel",$B152))+ISNUMBER(SEARCH("diesel",$B152))+ISNUMBER(SEARCH("krudo",$B152))+ISNUMBER(SEARCH("gasolina",$B152))&gt;0,1,0))</f>
        <v/>
      </c>
    </row>
    <row r="153">
      <c r="A153" s="86" t="n"/>
      <c r="B153" s="88" t="n"/>
      <c r="C153" s="88" t="n"/>
      <c r="D153" s="87" t="n"/>
      <c r="E153" s="88" t="n"/>
      <c r="F153" s="92" t="n"/>
      <c r="G153" s="87" t="n"/>
      <c r="H153" s="87" t="n"/>
      <c r="I153" s="101">
        <f>IF($B153="","",IF(COUNTIF(Setup!$A$99:$A$128,$B153)&gt;0,IF(INDEX(Setup!$B$99:$B$128,MATCH($B153,Setup!$A$99:$A$128,0))="","Overhead",INDEX(Setup!$B$99:$B$128,MATCH($B153,Setup!$A$99:$A$128,0))),IF(ISNUMBER(SEARCH("advance",$B153))+ISNUMBER(SEARCH("payout",$B153))+ISNUMBER(SEARCH("pay out",$B153))+ISNUMBER(SEARCH("reimburs",$B153))&gt;0,"Transfer",IF(ISNUMBER(SEARCH("loan",$B153))+ISNUMBER(SEARCH("amort",$B153))+ISNUMBER(SEARCH("installment",$B153))+ISNUMBER(SEARCH("instalment",$B153))&gt;0,"Financing",IF(ISNUMBER(SEARCH("draw",$B153))+ISNUMBER(SEARCH("owner",$B153))+ISNUMBER(SEARCH("asset",$B153))+ISNUMBER(SEARCH("capital",$B153))&gt;0,"Other",IF(ISNUMBER(SEARCH("fuel",$B153))+ISNUMBER(SEARCH("diesel",$B153))+ISNUMBER(SEARCH("krudo",$B153))+ISNUMBER(SEARCH("gasolina",$B153))+ISNUMBER(SEARCH("toll",$B153))+ISNUMBER(SEARCH("parking",$B153))+ISNUMBER(SEARCH("repair",$B153))+ISNUMBER(SEARCH("maintenance",$B153))+ISNUMBER(SEARCH("tire",$B153))+ISNUMBER(SEARCH("tyre",$B153))+ISNUMBER(SEARCH("battery",$B153))+ISNUMBER(SEARCH("oil",$B153))+ISNUMBER(SEARCH("filter",$B153))+ISNUMBER(SEARCH("spare",$B153))+ISNUMBER(SEARCH("insurance",$B153))+ISNUMBER(SEARCH("lto",$B153))+ISNUMBER(SEARCH("registration",$B153))+ISNUMBER(SEARCH("emission",$B153))+ISNUMBER(SEARCH("wash",$B153))+ISNUMBER(SEARCH("weigh",$B153))+ISNUMBER(SEARCH("tarp",$B153))&gt;0,"Vehicle",IF(ISNUMBER(SEARCH("rent",$B153))+ISNUMBER(SEARCH("upa",$B153))+ISNUMBER(SEARCH("salary",$B153))+ISNUMBER(SEARCH("sweldo",$B153))+ISNUMBER(SEARCH("wage",$B153))+ISNUMBER(SEARCH("electric",$B153))+ISNUMBER(SEARCH("kuryente",$B153))+ISNUMBER(SEARCH("water",$B153))+ISNUMBER(SEARCH("tubig",$B153))+ISNUMBER(SEARCH("internet",$B153))+ISNUMBER(SEARCH("pldt",$B153))+ISNUMBER(SEARCH("meralco",$B153))+ISNUMBER(SEARCH("supplies",$B153))+ISNUMBER(SEARCH("office",$B153))+ISNUMBER(SEARCH("professional",$B153))+ISNUMBER(SEARCH("accountant",$B153))+ISNUMBER(SEARCH("lawyer",$B153))+ISNUMBER(SEARCH("broker",$B153))+ISNUMBER(SEARCH("bank",$B153))+ISNUMBER(SEARCH("charge",$B153))+ISNUMBER(SEARCH("permit",$B153))+ISNUMBER(SEARCH("bir",$B153))+ISNUMBER(SEARCH("ltfrb",$B153))+ISNUMBER(SEARCH("misc",$B153))+ISNUMBER(SEARCH("fee",$B153))&gt;0,"Overhead","Overhead")))))))</f>
        <v/>
      </c>
      <c r="J153">
        <f>IF($A153="","",DATE(YEAR($A153),MONTH($A153),1))</f>
        <v/>
      </c>
      <c r="K153">
        <f>IF($B153="","",IF(COUNTIF(Setup!$A$99:$A$128,$B153)&gt;0,0,1))</f>
        <v/>
      </c>
      <c r="L153">
        <f>IF($B153="","",IF(ISNUMBER(SEARCH("advance",$B153)),"ADV",IF(OR(ISNUMBER(SEARCH("payout",$B153)),ISNUMBER(SEARCH("pay out",$B153)),ISNUMBER(SEARCH("release",$B153))),"PAY","")))</f>
        <v/>
      </c>
      <c r="M153">
        <f>IF($B153="","",IF(ISNUMBER(SEARCH("bulk",$B153)),0,IF(ISNUMBER(SEARCH("fuel",$B153))+ISNUMBER(SEARCH("diesel",$B153))+ISNUMBER(SEARCH("krudo",$B153))+ISNUMBER(SEARCH("gasolina",$B153))&gt;0,1,0)))</f>
        <v/>
      </c>
      <c r="N153">
        <f>IF($B153="","",IF(ISNUMBER(SEARCH("fuel",$B153))+ISNUMBER(SEARCH("diesel",$B153))+ISNUMBER(SEARCH("krudo",$B153))+ISNUMBER(SEARCH("gasolina",$B153))&gt;0,1,0))</f>
        <v/>
      </c>
    </row>
    <row r="154">
      <c r="A154" s="94" t="n"/>
      <c r="B154" s="96" t="n"/>
      <c r="C154" s="96" t="n"/>
      <c r="D154" s="95" t="n"/>
      <c r="E154" s="96" t="n"/>
      <c r="F154" s="99" t="n"/>
      <c r="G154" s="95" t="n"/>
      <c r="H154" s="95" t="n"/>
      <c r="I154" s="101">
        <f>IF($B154="","",IF(COUNTIF(Setup!$A$99:$A$128,$B154)&gt;0,IF(INDEX(Setup!$B$99:$B$128,MATCH($B154,Setup!$A$99:$A$128,0))="","Overhead",INDEX(Setup!$B$99:$B$128,MATCH($B154,Setup!$A$99:$A$128,0))),IF(ISNUMBER(SEARCH("advance",$B154))+ISNUMBER(SEARCH("payout",$B154))+ISNUMBER(SEARCH("pay out",$B154))+ISNUMBER(SEARCH("reimburs",$B154))&gt;0,"Transfer",IF(ISNUMBER(SEARCH("loan",$B154))+ISNUMBER(SEARCH("amort",$B154))+ISNUMBER(SEARCH("installment",$B154))+ISNUMBER(SEARCH("instalment",$B154))&gt;0,"Financing",IF(ISNUMBER(SEARCH("draw",$B154))+ISNUMBER(SEARCH("owner",$B154))+ISNUMBER(SEARCH("asset",$B154))+ISNUMBER(SEARCH("capital",$B154))&gt;0,"Other",IF(ISNUMBER(SEARCH("fuel",$B154))+ISNUMBER(SEARCH("diesel",$B154))+ISNUMBER(SEARCH("krudo",$B154))+ISNUMBER(SEARCH("gasolina",$B154))+ISNUMBER(SEARCH("toll",$B154))+ISNUMBER(SEARCH("parking",$B154))+ISNUMBER(SEARCH("repair",$B154))+ISNUMBER(SEARCH("maintenance",$B154))+ISNUMBER(SEARCH("tire",$B154))+ISNUMBER(SEARCH("tyre",$B154))+ISNUMBER(SEARCH("battery",$B154))+ISNUMBER(SEARCH("oil",$B154))+ISNUMBER(SEARCH("filter",$B154))+ISNUMBER(SEARCH("spare",$B154))+ISNUMBER(SEARCH("insurance",$B154))+ISNUMBER(SEARCH("lto",$B154))+ISNUMBER(SEARCH("registration",$B154))+ISNUMBER(SEARCH("emission",$B154))+ISNUMBER(SEARCH("wash",$B154))+ISNUMBER(SEARCH("weigh",$B154))+ISNUMBER(SEARCH("tarp",$B154))&gt;0,"Vehicle",IF(ISNUMBER(SEARCH("rent",$B154))+ISNUMBER(SEARCH("upa",$B154))+ISNUMBER(SEARCH("salary",$B154))+ISNUMBER(SEARCH("sweldo",$B154))+ISNUMBER(SEARCH("wage",$B154))+ISNUMBER(SEARCH("electric",$B154))+ISNUMBER(SEARCH("kuryente",$B154))+ISNUMBER(SEARCH("water",$B154))+ISNUMBER(SEARCH("tubig",$B154))+ISNUMBER(SEARCH("internet",$B154))+ISNUMBER(SEARCH("pldt",$B154))+ISNUMBER(SEARCH("meralco",$B154))+ISNUMBER(SEARCH("supplies",$B154))+ISNUMBER(SEARCH("office",$B154))+ISNUMBER(SEARCH("professional",$B154))+ISNUMBER(SEARCH("accountant",$B154))+ISNUMBER(SEARCH("lawyer",$B154))+ISNUMBER(SEARCH("broker",$B154))+ISNUMBER(SEARCH("bank",$B154))+ISNUMBER(SEARCH("charge",$B154))+ISNUMBER(SEARCH("permit",$B154))+ISNUMBER(SEARCH("bir",$B154))+ISNUMBER(SEARCH("ltfrb",$B154))+ISNUMBER(SEARCH("misc",$B154))+ISNUMBER(SEARCH("fee",$B154))&gt;0,"Overhead","Overhead")))))))</f>
        <v/>
      </c>
      <c r="J154">
        <f>IF($A154="","",DATE(YEAR($A154),MONTH($A154),1))</f>
        <v/>
      </c>
      <c r="K154">
        <f>IF($B154="","",IF(COUNTIF(Setup!$A$99:$A$128,$B154)&gt;0,0,1))</f>
        <v/>
      </c>
      <c r="L154">
        <f>IF($B154="","",IF(ISNUMBER(SEARCH("advance",$B154)),"ADV",IF(OR(ISNUMBER(SEARCH("payout",$B154)),ISNUMBER(SEARCH("pay out",$B154)),ISNUMBER(SEARCH("release",$B154))),"PAY","")))</f>
        <v/>
      </c>
      <c r="M154">
        <f>IF($B154="","",IF(ISNUMBER(SEARCH("bulk",$B154)),0,IF(ISNUMBER(SEARCH("fuel",$B154))+ISNUMBER(SEARCH("diesel",$B154))+ISNUMBER(SEARCH("krudo",$B154))+ISNUMBER(SEARCH("gasolina",$B154))&gt;0,1,0)))</f>
        <v/>
      </c>
      <c r="N154">
        <f>IF($B154="","",IF(ISNUMBER(SEARCH("fuel",$B154))+ISNUMBER(SEARCH("diesel",$B154))+ISNUMBER(SEARCH("krudo",$B154))+ISNUMBER(SEARCH("gasolina",$B154))&gt;0,1,0))</f>
        <v/>
      </c>
    </row>
    <row r="155">
      <c r="A155" s="86" t="n"/>
      <c r="B155" s="88" t="n"/>
      <c r="C155" s="88" t="n"/>
      <c r="D155" s="87" t="n"/>
      <c r="E155" s="88" t="n"/>
      <c r="F155" s="92" t="n"/>
      <c r="G155" s="87" t="n"/>
      <c r="H155" s="87" t="n"/>
      <c r="I155" s="101">
        <f>IF($B155="","",IF(COUNTIF(Setup!$A$99:$A$128,$B155)&gt;0,IF(INDEX(Setup!$B$99:$B$128,MATCH($B155,Setup!$A$99:$A$128,0))="","Overhead",INDEX(Setup!$B$99:$B$128,MATCH($B155,Setup!$A$99:$A$128,0))),IF(ISNUMBER(SEARCH("advance",$B155))+ISNUMBER(SEARCH("payout",$B155))+ISNUMBER(SEARCH("pay out",$B155))+ISNUMBER(SEARCH("reimburs",$B155))&gt;0,"Transfer",IF(ISNUMBER(SEARCH("loan",$B155))+ISNUMBER(SEARCH("amort",$B155))+ISNUMBER(SEARCH("installment",$B155))+ISNUMBER(SEARCH("instalment",$B155))&gt;0,"Financing",IF(ISNUMBER(SEARCH("draw",$B155))+ISNUMBER(SEARCH("owner",$B155))+ISNUMBER(SEARCH("asset",$B155))+ISNUMBER(SEARCH("capital",$B155))&gt;0,"Other",IF(ISNUMBER(SEARCH("fuel",$B155))+ISNUMBER(SEARCH("diesel",$B155))+ISNUMBER(SEARCH("krudo",$B155))+ISNUMBER(SEARCH("gasolina",$B155))+ISNUMBER(SEARCH("toll",$B155))+ISNUMBER(SEARCH("parking",$B155))+ISNUMBER(SEARCH("repair",$B155))+ISNUMBER(SEARCH("maintenance",$B155))+ISNUMBER(SEARCH("tire",$B155))+ISNUMBER(SEARCH("tyre",$B155))+ISNUMBER(SEARCH("battery",$B155))+ISNUMBER(SEARCH("oil",$B155))+ISNUMBER(SEARCH("filter",$B155))+ISNUMBER(SEARCH("spare",$B155))+ISNUMBER(SEARCH("insurance",$B155))+ISNUMBER(SEARCH("lto",$B155))+ISNUMBER(SEARCH("registration",$B155))+ISNUMBER(SEARCH("emission",$B155))+ISNUMBER(SEARCH("wash",$B155))+ISNUMBER(SEARCH("weigh",$B155))+ISNUMBER(SEARCH("tarp",$B155))&gt;0,"Vehicle",IF(ISNUMBER(SEARCH("rent",$B155))+ISNUMBER(SEARCH("upa",$B155))+ISNUMBER(SEARCH("salary",$B155))+ISNUMBER(SEARCH("sweldo",$B155))+ISNUMBER(SEARCH("wage",$B155))+ISNUMBER(SEARCH("electric",$B155))+ISNUMBER(SEARCH("kuryente",$B155))+ISNUMBER(SEARCH("water",$B155))+ISNUMBER(SEARCH("tubig",$B155))+ISNUMBER(SEARCH("internet",$B155))+ISNUMBER(SEARCH("pldt",$B155))+ISNUMBER(SEARCH("meralco",$B155))+ISNUMBER(SEARCH("supplies",$B155))+ISNUMBER(SEARCH("office",$B155))+ISNUMBER(SEARCH("professional",$B155))+ISNUMBER(SEARCH("accountant",$B155))+ISNUMBER(SEARCH("lawyer",$B155))+ISNUMBER(SEARCH("broker",$B155))+ISNUMBER(SEARCH("bank",$B155))+ISNUMBER(SEARCH("charge",$B155))+ISNUMBER(SEARCH("permit",$B155))+ISNUMBER(SEARCH("bir",$B155))+ISNUMBER(SEARCH("ltfrb",$B155))+ISNUMBER(SEARCH("misc",$B155))+ISNUMBER(SEARCH("fee",$B155))&gt;0,"Overhead","Overhead")))))))</f>
        <v/>
      </c>
      <c r="J155">
        <f>IF($A155="","",DATE(YEAR($A155),MONTH($A155),1))</f>
        <v/>
      </c>
      <c r="K155">
        <f>IF($B155="","",IF(COUNTIF(Setup!$A$99:$A$128,$B155)&gt;0,0,1))</f>
        <v/>
      </c>
      <c r="L155">
        <f>IF($B155="","",IF(ISNUMBER(SEARCH("advance",$B155)),"ADV",IF(OR(ISNUMBER(SEARCH("payout",$B155)),ISNUMBER(SEARCH("pay out",$B155)),ISNUMBER(SEARCH("release",$B155))),"PAY","")))</f>
        <v/>
      </c>
      <c r="M155">
        <f>IF($B155="","",IF(ISNUMBER(SEARCH("bulk",$B155)),0,IF(ISNUMBER(SEARCH("fuel",$B155))+ISNUMBER(SEARCH("diesel",$B155))+ISNUMBER(SEARCH("krudo",$B155))+ISNUMBER(SEARCH("gasolina",$B155))&gt;0,1,0)))</f>
        <v/>
      </c>
      <c r="N155">
        <f>IF($B155="","",IF(ISNUMBER(SEARCH("fuel",$B155))+ISNUMBER(SEARCH("diesel",$B155))+ISNUMBER(SEARCH("krudo",$B155))+ISNUMBER(SEARCH("gasolina",$B155))&gt;0,1,0))</f>
        <v/>
      </c>
    </row>
    <row r="156">
      <c r="A156" s="94" t="n"/>
      <c r="B156" s="96" t="n"/>
      <c r="C156" s="96" t="n"/>
      <c r="D156" s="95" t="n"/>
      <c r="E156" s="96" t="n"/>
      <c r="F156" s="99" t="n"/>
      <c r="G156" s="95" t="n"/>
      <c r="H156" s="95" t="n"/>
      <c r="I156" s="101">
        <f>IF($B156="","",IF(COUNTIF(Setup!$A$99:$A$128,$B156)&gt;0,IF(INDEX(Setup!$B$99:$B$128,MATCH($B156,Setup!$A$99:$A$128,0))="","Overhead",INDEX(Setup!$B$99:$B$128,MATCH($B156,Setup!$A$99:$A$128,0))),IF(ISNUMBER(SEARCH("advance",$B156))+ISNUMBER(SEARCH("payout",$B156))+ISNUMBER(SEARCH("pay out",$B156))+ISNUMBER(SEARCH("reimburs",$B156))&gt;0,"Transfer",IF(ISNUMBER(SEARCH("loan",$B156))+ISNUMBER(SEARCH("amort",$B156))+ISNUMBER(SEARCH("installment",$B156))+ISNUMBER(SEARCH("instalment",$B156))&gt;0,"Financing",IF(ISNUMBER(SEARCH("draw",$B156))+ISNUMBER(SEARCH("owner",$B156))+ISNUMBER(SEARCH("asset",$B156))+ISNUMBER(SEARCH("capital",$B156))&gt;0,"Other",IF(ISNUMBER(SEARCH("fuel",$B156))+ISNUMBER(SEARCH("diesel",$B156))+ISNUMBER(SEARCH("krudo",$B156))+ISNUMBER(SEARCH("gasolina",$B156))+ISNUMBER(SEARCH("toll",$B156))+ISNUMBER(SEARCH("parking",$B156))+ISNUMBER(SEARCH("repair",$B156))+ISNUMBER(SEARCH("maintenance",$B156))+ISNUMBER(SEARCH("tire",$B156))+ISNUMBER(SEARCH("tyre",$B156))+ISNUMBER(SEARCH("battery",$B156))+ISNUMBER(SEARCH("oil",$B156))+ISNUMBER(SEARCH("filter",$B156))+ISNUMBER(SEARCH("spare",$B156))+ISNUMBER(SEARCH("insurance",$B156))+ISNUMBER(SEARCH("lto",$B156))+ISNUMBER(SEARCH("registration",$B156))+ISNUMBER(SEARCH("emission",$B156))+ISNUMBER(SEARCH("wash",$B156))+ISNUMBER(SEARCH("weigh",$B156))+ISNUMBER(SEARCH("tarp",$B156))&gt;0,"Vehicle",IF(ISNUMBER(SEARCH("rent",$B156))+ISNUMBER(SEARCH("upa",$B156))+ISNUMBER(SEARCH("salary",$B156))+ISNUMBER(SEARCH("sweldo",$B156))+ISNUMBER(SEARCH("wage",$B156))+ISNUMBER(SEARCH("electric",$B156))+ISNUMBER(SEARCH("kuryente",$B156))+ISNUMBER(SEARCH("water",$B156))+ISNUMBER(SEARCH("tubig",$B156))+ISNUMBER(SEARCH("internet",$B156))+ISNUMBER(SEARCH("pldt",$B156))+ISNUMBER(SEARCH("meralco",$B156))+ISNUMBER(SEARCH("supplies",$B156))+ISNUMBER(SEARCH("office",$B156))+ISNUMBER(SEARCH("professional",$B156))+ISNUMBER(SEARCH("accountant",$B156))+ISNUMBER(SEARCH("lawyer",$B156))+ISNUMBER(SEARCH("broker",$B156))+ISNUMBER(SEARCH("bank",$B156))+ISNUMBER(SEARCH("charge",$B156))+ISNUMBER(SEARCH("permit",$B156))+ISNUMBER(SEARCH("bir",$B156))+ISNUMBER(SEARCH("ltfrb",$B156))+ISNUMBER(SEARCH("misc",$B156))+ISNUMBER(SEARCH("fee",$B156))&gt;0,"Overhead","Overhead")))))))</f>
        <v/>
      </c>
      <c r="J156">
        <f>IF($A156="","",DATE(YEAR($A156),MONTH($A156),1))</f>
        <v/>
      </c>
      <c r="K156">
        <f>IF($B156="","",IF(COUNTIF(Setup!$A$99:$A$128,$B156)&gt;0,0,1))</f>
        <v/>
      </c>
      <c r="L156">
        <f>IF($B156="","",IF(ISNUMBER(SEARCH("advance",$B156)),"ADV",IF(OR(ISNUMBER(SEARCH("payout",$B156)),ISNUMBER(SEARCH("pay out",$B156)),ISNUMBER(SEARCH("release",$B156))),"PAY","")))</f>
        <v/>
      </c>
      <c r="M156">
        <f>IF($B156="","",IF(ISNUMBER(SEARCH("bulk",$B156)),0,IF(ISNUMBER(SEARCH("fuel",$B156))+ISNUMBER(SEARCH("diesel",$B156))+ISNUMBER(SEARCH("krudo",$B156))+ISNUMBER(SEARCH("gasolina",$B156))&gt;0,1,0)))</f>
        <v/>
      </c>
      <c r="N156">
        <f>IF($B156="","",IF(ISNUMBER(SEARCH("fuel",$B156))+ISNUMBER(SEARCH("diesel",$B156))+ISNUMBER(SEARCH("krudo",$B156))+ISNUMBER(SEARCH("gasolina",$B156))&gt;0,1,0))</f>
        <v/>
      </c>
    </row>
    <row r="157">
      <c r="A157" s="86" t="n"/>
      <c r="B157" s="88" t="n"/>
      <c r="C157" s="88" t="n"/>
      <c r="D157" s="87" t="n"/>
      <c r="E157" s="88" t="n"/>
      <c r="F157" s="92" t="n"/>
      <c r="G157" s="87" t="n"/>
      <c r="H157" s="87" t="n"/>
      <c r="I157" s="101">
        <f>IF($B157="","",IF(COUNTIF(Setup!$A$99:$A$128,$B157)&gt;0,IF(INDEX(Setup!$B$99:$B$128,MATCH($B157,Setup!$A$99:$A$128,0))="","Overhead",INDEX(Setup!$B$99:$B$128,MATCH($B157,Setup!$A$99:$A$128,0))),IF(ISNUMBER(SEARCH("advance",$B157))+ISNUMBER(SEARCH("payout",$B157))+ISNUMBER(SEARCH("pay out",$B157))+ISNUMBER(SEARCH("reimburs",$B157))&gt;0,"Transfer",IF(ISNUMBER(SEARCH("loan",$B157))+ISNUMBER(SEARCH("amort",$B157))+ISNUMBER(SEARCH("installment",$B157))+ISNUMBER(SEARCH("instalment",$B157))&gt;0,"Financing",IF(ISNUMBER(SEARCH("draw",$B157))+ISNUMBER(SEARCH("owner",$B157))+ISNUMBER(SEARCH("asset",$B157))+ISNUMBER(SEARCH("capital",$B157))&gt;0,"Other",IF(ISNUMBER(SEARCH("fuel",$B157))+ISNUMBER(SEARCH("diesel",$B157))+ISNUMBER(SEARCH("krudo",$B157))+ISNUMBER(SEARCH("gasolina",$B157))+ISNUMBER(SEARCH("toll",$B157))+ISNUMBER(SEARCH("parking",$B157))+ISNUMBER(SEARCH("repair",$B157))+ISNUMBER(SEARCH("maintenance",$B157))+ISNUMBER(SEARCH("tire",$B157))+ISNUMBER(SEARCH("tyre",$B157))+ISNUMBER(SEARCH("battery",$B157))+ISNUMBER(SEARCH("oil",$B157))+ISNUMBER(SEARCH("filter",$B157))+ISNUMBER(SEARCH("spare",$B157))+ISNUMBER(SEARCH("insurance",$B157))+ISNUMBER(SEARCH("lto",$B157))+ISNUMBER(SEARCH("registration",$B157))+ISNUMBER(SEARCH("emission",$B157))+ISNUMBER(SEARCH("wash",$B157))+ISNUMBER(SEARCH("weigh",$B157))+ISNUMBER(SEARCH("tarp",$B157))&gt;0,"Vehicle",IF(ISNUMBER(SEARCH("rent",$B157))+ISNUMBER(SEARCH("upa",$B157))+ISNUMBER(SEARCH("salary",$B157))+ISNUMBER(SEARCH("sweldo",$B157))+ISNUMBER(SEARCH("wage",$B157))+ISNUMBER(SEARCH("electric",$B157))+ISNUMBER(SEARCH("kuryente",$B157))+ISNUMBER(SEARCH("water",$B157))+ISNUMBER(SEARCH("tubig",$B157))+ISNUMBER(SEARCH("internet",$B157))+ISNUMBER(SEARCH("pldt",$B157))+ISNUMBER(SEARCH("meralco",$B157))+ISNUMBER(SEARCH("supplies",$B157))+ISNUMBER(SEARCH("office",$B157))+ISNUMBER(SEARCH("professional",$B157))+ISNUMBER(SEARCH("accountant",$B157))+ISNUMBER(SEARCH("lawyer",$B157))+ISNUMBER(SEARCH("broker",$B157))+ISNUMBER(SEARCH("bank",$B157))+ISNUMBER(SEARCH("charge",$B157))+ISNUMBER(SEARCH("permit",$B157))+ISNUMBER(SEARCH("bir",$B157))+ISNUMBER(SEARCH("ltfrb",$B157))+ISNUMBER(SEARCH("misc",$B157))+ISNUMBER(SEARCH("fee",$B157))&gt;0,"Overhead","Overhead")))))))</f>
        <v/>
      </c>
      <c r="J157">
        <f>IF($A157="","",DATE(YEAR($A157),MONTH($A157),1))</f>
        <v/>
      </c>
      <c r="K157">
        <f>IF($B157="","",IF(COUNTIF(Setup!$A$99:$A$128,$B157)&gt;0,0,1))</f>
        <v/>
      </c>
      <c r="L157">
        <f>IF($B157="","",IF(ISNUMBER(SEARCH("advance",$B157)),"ADV",IF(OR(ISNUMBER(SEARCH("payout",$B157)),ISNUMBER(SEARCH("pay out",$B157)),ISNUMBER(SEARCH("release",$B157))),"PAY","")))</f>
        <v/>
      </c>
      <c r="M157">
        <f>IF($B157="","",IF(ISNUMBER(SEARCH("bulk",$B157)),0,IF(ISNUMBER(SEARCH("fuel",$B157))+ISNUMBER(SEARCH("diesel",$B157))+ISNUMBER(SEARCH("krudo",$B157))+ISNUMBER(SEARCH("gasolina",$B157))&gt;0,1,0)))</f>
        <v/>
      </c>
      <c r="N157">
        <f>IF($B157="","",IF(ISNUMBER(SEARCH("fuel",$B157))+ISNUMBER(SEARCH("diesel",$B157))+ISNUMBER(SEARCH("krudo",$B157))+ISNUMBER(SEARCH("gasolina",$B157))&gt;0,1,0))</f>
        <v/>
      </c>
    </row>
    <row r="158">
      <c r="A158" s="94" t="n"/>
      <c r="B158" s="96" t="n"/>
      <c r="C158" s="96" t="n"/>
      <c r="D158" s="95" t="n"/>
      <c r="E158" s="96" t="n"/>
      <c r="F158" s="99" t="n"/>
      <c r="G158" s="95" t="n"/>
      <c r="H158" s="95" t="n"/>
      <c r="I158" s="101">
        <f>IF($B158="","",IF(COUNTIF(Setup!$A$99:$A$128,$B158)&gt;0,IF(INDEX(Setup!$B$99:$B$128,MATCH($B158,Setup!$A$99:$A$128,0))="","Overhead",INDEX(Setup!$B$99:$B$128,MATCH($B158,Setup!$A$99:$A$128,0))),IF(ISNUMBER(SEARCH("advance",$B158))+ISNUMBER(SEARCH("payout",$B158))+ISNUMBER(SEARCH("pay out",$B158))+ISNUMBER(SEARCH("reimburs",$B158))&gt;0,"Transfer",IF(ISNUMBER(SEARCH("loan",$B158))+ISNUMBER(SEARCH("amort",$B158))+ISNUMBER(SEARCH("installment",$B158))+ISNUMBER(SEARCH("instalment",$B158))&gt;0,"Financing",IF(ISNUMBER(SEARCH("draw",$B158))+ISNUMBER(SEARCH("owner",$B158))+ISNUMBER(SEARCH("asset",$B158))+ISNUMBER(SEARCH("capital",$B158))&gt;0,"Other",IF(ISNUMBER(SEARCH("fuel",$B158))+ISNUMBER(SEARCH("diesel",$B158))+ISNUMBER(SEARCH("krudo",$B158))+ISNUMBER(SEARCH("gasolina",$B158))+ISNUMBER(SEARCH("toll",$B158))+ISNUMBER(SEARCH("parking",$B158))+ISNUMBER(SEARCH("repair",$B158))+ISNUMBER(SEARCH("maintenance",$B158))+ISNUMBER(SEARCH("tire",$B158))+ISNUMBER(SEARCH("tyre",$B158))+ISNUMBER(SEARCH("battery",$B158))+ISNUMBER(SEARCH("oil",$B158))+ISNUMBER(SEARCH("filter",$B158))+ISNUMBER(SEARCH("spare",$B158))+ISNUMBER(SEARCH("insurance",$B158))+ISNUMBER(SEARCH("lto",$B158))+ISNUMBER(SEARCH("registration",$B158))+ISNUMBER(SEARCH("emission",$B158))+ISNUMBER(SEARCH("wash",$B158))+ISNUMBER(SEARCH("weigh",$B158))+ISNUMBER(SEARCH("tarp",$B158))&gt;0,"Vehicle",IF(ISNUMBER(SEARCH("rent",$B158))+ISNUMBER(SEARCH("upa",$B158))+ISNUMBER(SEARCH("salary",$B158))+ISNUMBER(SEARCH("sweldo",$B158))+ISNUMBER(SEARCH("wage",$B158))+ISNUMBER(SEARCH("electric",$B158))+ISNUMBER(SEARCH("kuryente",$B158))+ISNUMBER(SEARCH("water",$B158))+ISNUMBER(SEARCH("tubig",$B158))+ISNUMBER(SEARCH("internet",$B158))+ISNUMBER(SEARCH("pldt",$B158))+ISNUMBER(SEARCH("meralco",$B158))+ISNUMBER(SEARCH("supplies",$B158))+ISNUMBER(SEARCH("office",$B158))+ISNUMBER(SEARCH("professional",$B158))+ISNUMBER(SEARCH("accountant",$B158))+ISNUMBER(SEARCH("lawyer",$B158))+ISNUMBER(SEARCH("broker",$B158))+ISNUMBER(SEARCH("bank",$B158))+ISNUMBER(SEARCH("charge",$B158))+ISNUMBER(SEARCH("permit",$B158))+ISNUMBER(SEARCH("bir",$B158))+ISNUMBER(SEARCH("ltfrb",$B158))+ISNUMBER(SEARCH("misc",$B158))+ISNUMBER(SEARCH("fee",$B158))&gt;0,"Overhead","Overhead")))))))</f>
        <v/>
      </c>
      <c r="J158">
        <f>IF($A158="","",DATE(YEAR($A158),MONTH($A158),1))</f>
        <v/>
      </c>
      <c r="K158">
        <f>IF($B158="","",IF(COUNTIF(Setup!$A$99:$A$128,$B158)&gt;0,0,1))</f>
        <v/>
      </c>
      <c r="L158">
        <f>IF($B158="","",IF(ISNUMBER(SEARCH("advance",$B158)),"ADV",IF(OR(ISNUMBER(SEARCH("payout",$B158)),ISNUMBER(SEARCH("pay out",$B158)),ISNUMBER(SEARCH("release",$B158))),"PAY","")))</f>
        <v/>
      </c>
      <c r="M158">
        <f>IF($B158="","",IF(ISNUMBER(SEARCH("bulk",$B158)),0,IF(ISNUMBER(SEARCH("fuel",$B158))+ISNUMBER(SEARCH("diesel",$B158))+ISNUMBER(SEARCH("krudo",$B158))+ISNUMBER(SEARCH("gasolina",$B158))&gt;0,1,0)))</f>
        <v/>
      </c>
      <c r="N158">
        <f>IF($B158="","",IF(ISNUMBER(SEARCH("fuel",$B158))+ISNUMBER(SEARCH("diesel",$B158))+ISNUMBER(SEARCH("krudo",$B158))+ISNUMBER(SEARCH("gasolina",$B158))&gt;0,1,0))</f>
        <v/>
      </c>
    </row>
    <row r="159">
      <c r="A159" s="86" t="n"/>
      <c r="B159" s="88" t="n"/>
      <c r="C159" s="88" t="n"/>
      <c r="D159" s="87" t="n"/>
      <c r="E159" s="88" t="n"/>
      <c r="F159" s="92" t="n"/>
      <c r="G159" s="87" t="n"/>
      <c r="H159" s="87" t="n"/>
      <c r="I159" s="101">
        <f>IF($B159="","",IF(COUNTIF(Setup!$A$99:$A$128,$B159)&gt;0,IF(INDEX(Setup!$B$99:$B$128,MATCH($B159,Setup!$A$99:$A$128,0))="","Overhead",INDEX(Setup!$B$99:$B$128,MATCH($B159,Setup!$A$99:$A$128,0))),IF(ISNUMBER(SEARCH("advance",$B159))+ISNUMBER(SEARCH("payout",$B159))+ISNUMBER(SEARCH("pay out",$B159))+ISNUMBER(SEARCH("reimburs",$B159))&gt;0,"Transfer",IF(ISNUMBER(SEARCH("loan",$B159))+ISNUMBER(SEARCH("amort",$B159))+ISNUMBER(SEARCH("installment",$B159))+ISNUMBER(SEARCH("instalment",$B159))&gt;0,"Financing",IF(ISNUMBER(SEARCH("draw",$B159))+ISNUMBER(SEARCH("owner",$B159))+ISNUMBER(SEARCH("asset",$B159))+ISNUMBER(SEARCH("capital",$B159))&gt;0,"Other",IF(ISNUMBER(SEARCH("fuel",$B159))+ISNUMBER(SEARCH("diesel",$B159))+ISNUMBER(SEARCH("krudo",$B159))+ISNUMBER(SEARCH("gasolina",$B159))+ISNUMBER(SEARCH("toll",$B159))+ISNUMBER(SEARCH("parking",$B159))+ISNUMBER(SEARCH("repair",$B159))+ISNUMBER(SEARCH("maintenance",$B159))+ISNUMBER(SEARCH("tire",$B159))+ISNUMBER(SEARCH("tyre",$B159))+ISNUMBER(SEARCH("battery",$B159))+ISNUMBER(SEARCH("oil",$B159))+ISNUMBER(SEARCH("filter",$B159))+ISNUMBER(SEARCH("spare",$B159))+ISNUMBER(SEARCH("insurance",$B159))+ISNUMBER(SEARCH("lto",$B159))+ISNUMBER(SEARCH("registration",$B159))+ISNUMBER(SEARCH("emission",$B159))+ISNUMBER(SEARCH("wash",$B159))+ISNUMBER(SEARCH("weigh",$B159))+ISNUMBER(SEARCH("tarp",$B159))&gt;0,"Vehicle",IF(ISNUMBER(SEARCH("rent",$B159))+ISNUMBER(SEARCH("upa",$B159))+ISNUMBER(SEARCH("salary",$B159))+ISNUMBER(SEARCH("sweldo",$B159))+ISNUMBER(SEARCH("wage",$B159))+ISNUMBER(SEARCH("electric",$B159))+ISNUMBER(SEARCH("kuryente",$B159))+ISNUMBER(SEARCH("water",$B159))+ISNUMBER(SEARCH("tubig",$B159))+ISNUMBER(SEARCH("internet",$B159))+ISNUMBER(SEARCH("pldt",$B159))+ISNUMBER(SEARCH("meralco",$B159))+ISNUMBER(SEARCH("supplies",$B159))+ISNUMBER(SEARCH("office",$B159))+ISNUMBER(SEARCH("professional",$B159))+ISNUMBER(SEARCH("accountant",$B159))+ISNUMBER(SEARCH("lawyer",$B159))+ISNUMBER(SEARCH("broker",$B159))+ISNUMBER(SEARCH("bank",$B159))+ISNUMBER(SEARCH("charge",$B159))+ISNUMBER(SEARCH("permit",$B159))+ISNUMBER(SEARCH("bir",$B159))+ISNUMBER(SEARCH("ltfrb",$B159))+ISNUMBER(SEARCH("misc",$B159))+ISNUMBER(SEARCH("fee",$B159))&gt;0,"Overhead","Overhead")))))))</f>
        <v/>
      </c>
      <c r="J159">
        <f>IF($A159="","",DATE(YEAR($A159),MONTH($A159),1))</f>
        <v/>
      </c>
      <c r="K159">
        <f>IF($B159="","",IF(COUNTIF(Setup!$A$99:$A$128,$B159)&gt;0,0,1))</f>
        <v/>
      </c>
      <c r="L159">
        <f>IF($B159="","",IF(ISNUMBER(SEARCH("advance",$B159)),"ADV",IF(OR(ISNUMBER(SEARCH("payout",$B159)),ISNUMBER(SEARCH("pay out",$B159)),ISNUMBER(SEARCH("release",$B159))),"PAY","")))</f>
        <v/>
      </c>
      <c r="M159">
        <f>IF($B159="","",IF(ISNUMBER(SEARCH("bulk",$B159)),0,IF(ISNUMBER(SEARCH("fuel",$B159))+ISNUMBER(SEARCH("diesel",$B159))+ISNUMBER(SEARCH("krudo",$B159))+ISNUMBER(SEARCH("gasolina",$B159))&gt;0,1,0)))</f>
        <v/>
      </c>
      <c r="N159">
        <f>IF($B159="","",IF(ISNUMBER(SEARCH("fuel",$B159))+ISNUMBER(SEARCH("diesel",$B159))+ISNUMBER(SEARCH("krudo",$B159))+ISNUMBER(SEARCH("gasolina",$B159))&gt;0,1,0))</f>
        <v/>
      </c>
    </row>
    <row r="160">
      <c r="A160" s="94" t="n"/>
      <c r="B160" s="96" t="n"/>
      <c r="C160" s="96" t="n"/>
      <c r="D160" s="95" t="n"/>
      <c r="E160" s="96" t="n"/>
      <c r="F160" s="99" t="n"/>
      <c r="G160" s="95" t="n"/>
      <c r="H160" s="95" t="n"/>
      <c r="I160" s="101">
        <f>IF($B160="","",IF(COUNTIF(Setup!$A$99:$A$128,$B160)&gt;0,IF(INDEX(Setup!$B$99:$B$128,MATCH($B160,Setup!$A$99:$A$128,0))="","Overhead",INDEX(Setup!$B$99:$B$128,MATCH($B160,Setup!$A$99:$A$128,0))),IF(ISNUMBER(SEARCH("advance",$B160))+ISNUMBER(SEARCH("payout",$B160))+ISNUMBER(SEARCH("pay out",$B160))+ISNUMBER(SEARCH("reimburs",$B160))&gt;0,"Transfer",IF(ISNUMBER(SEARCH("loan",$B160))+ISNUMBER(SEARCH("amort",$B160))+ISNUMBER(SEARCH("installment",$B160))+ISNUMBER(SEARCH("instalment",$B160))&gt;0,"Financing",IF(ISNUMBER(SEARCH("draw",$B160))+ISNUMBER(SEARCH("owner",$B160))+ISNUMBER(SEARCH("asset",$B160))+ISNUMBER(SEARCH("capital",$B160))&gt;0,"Other",IF(ISNUMBER(SEARCH("fuel",$B160))+ISNUMBER(SEARCH("diesel",$B160))+ISNUMBER(SEARCH("krudo",$B160))+ISNUMBER(SEARCH("gasolina",$B160))+ISNUMBER(SEARCH("toll",$B160))+ISNUMBER(SEARCH("parking",$B160))+ISNUMBER(SEARCH("repair",$B160))+ISNUMBER(SEARCH("maintenance",$B160))+ISNUMBER(SEARCH("tire",$B160))+ISNUMBER(SEARCH("tyre",$B160))+ISNUMBER(SEARCH("battery",$B160))+ISNUMBER(SEARCH("oil",$B160))+ISNUMBER(SEARCH("filter",$B160))+ISNUMBER(SEARCH("spare",$B160))+ISNUMBER(SEARCH("insurance",$B160))+ISNUMBER(SEARCH("lto",$B160))+ISNUMBER(SEARCH("registration",$B160))+ISNUMBER(SEARCH("emission",$B160))+ISNUMBER(SEARCH("wash",$B160))+ISNUMBER(SEARCH("weigh",$B160))+ISNUMBER(SEARCH("tarp",$B160))&gt;0,"Vehicle",IF(ISNUMBER(SEARCH("rent",$B160))+ISNUMBER(SEARCH("upa",$B160))+ISNUMBER(SEARCH("salary",$B160))+ISNUMBER(SEARCH("sweldo",$B160))+ISNUMBER(SEARCH("wage",$B160))+ISNUMBER(SEARCH("electric",$B160))+ISNUMBER(SEARCH("kuryente",$B160))+ISNUMBER(SEARCH("water",$B160))+ISNUMBER(SEARCH("tubig",$B160))+ISNUMBER(SEARCH("internet",$B160))+ISNUMBER(SEARCH("pldt",$B160))+ISNUMBER(SEARCH("meralco",$B160))+ISNUMBER(SEARCH("supplies",$B160))+ISNUMBER(SEARCH("office",$B160))+ISNUMBER(SEARCH("professional",$B160))+ISNUMBER(SEARCH("accountant",$B160))+ISNUMBER(SEARCH("lawyer",$B160))+ISNUMBER(SEARCH("broker",$B160))+ISNUMBER(SEARCH("bank",$B160))+ISNUMBER(SEARCH("charge",$B160))+ISNUMBER(SEARCH("permit",$B160))+ISNUMBER(SEARCH("bir",$B160))+ISNUMBER(SEARCH("ltfrb",$B160))+ISNUMBER(SEARCH("misc",$B160))+ISNUMBER(SEARCH("fee",$B160))&gt;0,"Overhead","Overhead")))))))</f>
        <v/>
      </c>
      <c r="J160">
        <f>IF($A160="","",DATE(YEAR($A160),MONTH($A160),1))</f>
        <v/>
      </c>
      <c r="K160">
        <f>IF($B160="","",IF(COUNTIF(Setup!$A$99:$A$128,$B160)&gt;0,0,1))</f>
        <v/>
      </c>
      <c r="L160">
        <f>IF($B160="","",IF(ISNUMBER(SEARCH("advance",$B160)),"ADV",IF(OR(ISNUMBER(SEARCH("payout",$B160)),ISNUMBER(SEARCH("pay out",$B160)),ISNUMBER(SEARCH("release",$B160))),"PAY","")))</f>
        <v/>
      </c>
      <c r="M160">
        <f>IF($B160="","",IF(ISNUMBER(SEARCH("bulk",$B160)),0,IF(ISNUMBER(SEARCH("fuel",$B160))+ISNUMBER(SEARCH("diesel",$B160))+ISNUMBER(SEARCH("krudo",$B160))+ISNUMBER(SEARCH("gasolina",$B160))&gt;0,1,0)))</f>
        <v/>
      </c>
      <c r="N160">
        <f>IF($B160="","",IF(ISNUMBER(SEARCH("fuel",$B160))+ISNUMBER(SEARCH("diesel",$B160))+ISNUMBER(SEARCH("krudo",$B160))+ISNUMBER(SEARCH("gasolina",$B160))&gt;0,1,0))</f>
        <v/>
      </c>
    </row>
    <row r="161">
      <c r="A161" s="86" t="n"/>
      <c r="B161" s="88" t="n"/>
      <c r="C161" s="88" t="n"/>
      <c r="D161" s="87" t="n"/>
      <c r="E161" s="88" t="n"/>
      <c r="F161" s="92" t="n"/>
      <c r="G161" s="87" t="n"/>
      <c r="H161" s="87" t="n"/>
      <c r="I161" s="101">
        <f>IF($B161="","",IF(COUNTIF(Setup!$A$99:$A$128,$B161)&gt;0,IF(INDEX(Setup!$B$99:$B$128,MATCH($B161,Setup!$A$99:$A$128,0))="","Overhead",INDEX(Setup!$B$99:$B$128,MATCH($B161,Setup!$A$99:$A$128,0))),IF(ISNUMBER(SEARCH("advance",$B161))+ISNUMBER(SEARCH("payout",$B161))+ISNUMBER(SEARCH("pay out",$B161))+ISNUMBER(SEARCH("reimburs",$B161))&gt;0,"Transfer",IF(ISNUMBER(SEARCH("loan",$B161))+ISNUMBER(SEARCH("amort",$B161))+ISNUMBER(SEARCH("installment",$B161))+ISNUMBER(SEARCH("instalment",$B161))&gt;0,"Financing",IF(ISNUMBER(SEARCH("draw",$B161))+ISNUMBER(SEARCH("owner",$B161))+ISNUMBER(SEARCH("asset",$B161))+ISNUMBER(SEARCH("capital",$B161))&gt;0,"Other",IF(ISNUMBER(SEARCH("fuel",$B161))+ISNUMBER(SEARCH("diesel",$B161))+ISNUMBER(SEARCH("krudo",$B161))+ISNUMBER(SEARCH("gasolina",$B161))+ISNUMBER(SEARCH("toll",$B161))+ISNUMBER(SEARCH("parking",$B161))+ISNUMBER(SEARCH("repair",$B161))+ISNUMBER(SEARCH("maintenance",$B161))+ISNUMBER(SEARCH("tire",$B161))+ISNUMBER(SEARCH("tyre",$B161))+ISNUMBER(SEARCH("battery",$B161))+ISNUMBER(SEARCH("oil",$B161))+ISNUMBER(SEARCH("filter",$B161))+ISNUMBER(SEARCH("spare",$B161))+ISNUMBER(SEARCH("insurance",$B161))+ISNUMBER(SEARCH("lto",$B161))+ISNUMBER(SEARCH("registration",$B161))+ISNUMBER(SEARCH("emission",$B161))+ISNUMBER(SEARCH("wash",$B161))+ISNUMBER(SEARCH("weigh",$B161))+ISNUMBER(SEARCH("tarp",$B161))&gt;0,"Vehicle",IF(ISNUMBER(SEARCH("rent",$B161))+ISNUMBER(SEARCH("upa",$B161))+ISNUMBER(SEARCH("salary",$B161))+ISNUMBER(SEARCH("sweldo",$B161))+ISNUMBER(SEARCH("wage",$B161))+ISNUMBER(SEARCH("electric",$B161))+ISNUMBER(SEARCH("kuryente",$B161))+ISNUMBER(SEARCH("water",$B161))+ISNUMBER(SEARCH("tubig",$B161))+ISNUMBER(SEARCH("internet",$B161))+ISNUMBER(SEARCH("pldt",$B161))+ISNUMBER(SEARCH("meralco",$B161))+ISNUMBER(SEARCH("supplies",$B161))+ISNUMBER(SEARCH("office",$B161))+ISNUMBER(SEARCH("professional",$B161))+ISNUMBER(SEARCH("accountant",$B161))+ISNUMBER(SEARCH("lawyer",$B161))+ISNUMBER(SEARCH("broker",$B161))+ISNUMBER(SEARCH("bank",$B161))+ISNUMBER(SEARCH("charge",$B161))+ISNUMBER(SEARCH("permit",$B161))+ISNUMBER(SEARCH("bir",$B161))+ISNUMBER(SEARCH("ltfrb",$B161))+ISNUMBER(SEARCH("misc",$B161))+ISNUMBER(SEARCH("fee",$B161))&gt;0,"Overhead","Overhead")))))))</f>
        <v/>
      </c>
      <c r="J161">
        <f>IF($A161="","",DATE(YEAR($A161),MONTH($A161),1))</f>
        <v/>
      </c>
      <c r="K161">
        <f>IF($B161="","",IF(COUNTIF(Setup!$A$99:$A$128,$B161)&gt;0,0,1))</f>
        <v/>
      </c>
      <c r="L161">
        <f>IF($B161="","",IF(ISNUMBER(SEARCH("advance",$B161)),"ADV",IF(OR(ISNUMBER(SEARCH("payout",$B161)),ISNUMBER(SEARCH("pay out",$B161)),ISNUMBER(SEARCH("release",$B161))),"PAY","")))</f>
        <v/>
      </c>
      <c r="M161">
        <f>IF($B161="","",IF(ISNUMBER(SEARCH("bulk",$B161)),0,IF(ISNUMBER(SEARCH("fuel",$B161))+ISNUMBER(SEARCH("diesel",$B161))+ISNUMBER(SEARCH("krudo",$B161))+ISNUMBER(SEARCH("gasolina",$B161))&gt;0,1,0)))</f>
        <v/>
      </c>
      <c r="N161">
        <f>IF($B161="","",IF(ISNUMBER(SEARCH("fuel",$B161))+ISNUMBER(SEARCH("diesel",$B161))+ISNUMBER(SEARCH("krudo",$B161))+ISNUMBER(SEARCH("gasolina",$B161))&gt;0,1,0))</f>
        <v/>
      </c>
    </row>
    <row r="162">
      <c r="A162" s="94" t="n"/>
      <c r="B162" s="96" t="n"/>
      <c r="C162" s="96" t="n"/>
      <c r="D162" s="95" t="n"/>
      <c r="E162" s="96" t="n"/>
      <c r="F162" s="99" t="n"/>
      <c r="G162" s="95" t="n"/>
      <c r="H162" s="95" t="n"/>
      <c r="I162" s="101">
        <f>IF($B162="","",IF(COUNTIF(Setup!$A$99:$A$128,$B162)&gt;0,IF(INDEX(Setup!$B$99:$B$128,MATCH($B162,Setup!$A$99:$A$128,0))="","Overhead",INDEX(Setup!$B$99:$B$128,MATCH($B162,Setup!$A$99:$A$128,0))),IF(ISNUMBER(SEARCH("advance",$B162))+ISNUMBER(SEARCH("payout",$B162))+ISNUMBER(SEARCH("pay out",$B162))+ISNUMBER(SEARCH("reimburs",$B162))&gt;0,"Transfer",IF(ISNUMBER(SEARCH("loan",$B162))+ISNUMBER(SEARCH("amort",$B162))+ISNUMBER(SEARCH("installment",$B162))+ISNUMBER(SEARCH("instalment",$B162))&gt;0,"Financing",IF(ISNUMBER(SEARCH("draw",$B162))+ISNUMBER(SEARCH("owner",$B162))+ISNUMBER(SEARCH("asset",$B162))+ISNUMBER(SEARCH("capital",$B162))&gt;0,"Other",IF(ISNUMBER(SEARCH("fuel",$B162))+ISNUMBER(SEARCH("diesel",$B162))+ISNUMBER(SEARCH("krudo",$B162))+ISNUMBER(SEARCH("gasolina",$B162))+ISNUMBER(SEARCH("toll",$B162))+ISNUMBER(SEARCH("parking",$B162))+ISNUMBER(SEARCH("repair",$B162))+ISNUMBER(SEARCH("maintenance",$B162))+ISNUMBER(SEARCH("tire",$B162))+ISNUMBER(SEARCH("tyre",$B162))+ISNUMBER(SEARCH("battery",$B162))+ISNUMBER(SEARCH("oil",$B162))+ISNUMBER(SEARCH("filter",$B162))+ISNUMBER(SEARCH("spare",$B162))+ISNUMBER(SEARCH("insurance",$B162))+ISNUMBER(SEARCH("lto",$B162))+ISNUMBER(SEARCH("registration",$B162))+ISNUMBER(SEARCH("emission",$B162))+ISNUMBER(SEARCH("wash",$B162))+ISNUMBER(SEARCH("weigh",$B162))+ISNUMBER(SEARCH("tarp",$B162))&gt;0,"Vehicle",IF(ISNUMBER(SEARCH("rent",$B162))+ISNUMBER(SEARCH("upa",$B162))+ISNUMBER(SEARCH("salary",$B162))+ISNUMBER(SEARCH("sweldo",$B162))+ISNUMBER(SEARCH("wage",$B162))+ISNUMBER(SEARCH("electric",$B162))+ISNUMBER(SEARCH("kuryente",$B162))+ISNUMBER(SEARCH("water",$B162))+ISNUMBER(SEARCH("tubig",$B162))+ISNUMBER(SEARCH("internet",$B162))+ISNUMBER(SEARCH("pldt",$B162))+ISNUMBER(SEARCH("meralco",$B162))+ISNUMBER(SEARCH("supplies",$B162))+ISNUMBER(SEARCH("office",$B162))+ISNUMBER(SEARCH("professional",$B162))+ISNUMBER(SEARCH("accountant",$B162))+ISNUMBER(SEARCH("lawyer",$B162))+ISNUMBER(SEARCH("broker",$B162))+ISNUMBER(SEARCH("bank",$B162))+ISNUMBER(SEARCH("charge",$B162))+ISNUMBER(SEARCH("permit",$B162))+ISNUMBER(SEARCH("bir",$B162))+ISNUMBER(SEARCH("ltfrb",$B162))+ISNUMBER(SEARCH("misc",$B162))+ISNUMBER(SEARCH("fee",$B162))&gt;0,"Overhead","Overhead")))))))</f>
        <v/>
      </c>
      <c r="J162">
        <f>IF($A162="","",DATE(YEAR($A162),MONTH($A162),1))</f>
        <v/>
      </c>
      <c r="K162">
        <f>IF($B162="","",IF(COUNTIF(Setup!$A$99:$A$128,$B162)&gt;0,0,1))</f>
        <v/>
      </c>
      <c r="L162">
        <f>IF($B162="","",IF(ISNUMBER(SEARCH("advance",$B162)),"ADV",IF(OR(ISNUMBER(SEARCH("payout",$B162)),ISNUMBER(SEARCH("pay out",$B162)),ISNUMBER(SEARCH("release",$B162))),"PAY","")))</f>
        <v/>
      </c>
      <c r="M162">
        <f>IF($B162="","",IF(ISNUMBER(SEARCH("bulk",$B162)),0,IF(ISNUMBER(SEARCH("fuel",$B162))+ISNUMBER(SEARCH("diesel",$B162))+ISNUMBER(SEARCH("krudo",$B162))+ISNUMBER(SEARCH("gasolina",$B162))&gt;0,1,0)))</f>
        <v/>
      </c>
      <c r="N162">
        <f>IF($B162="","",IF(ISNUMBER(SEARCH("fuel",$B162))+ISNUMBER(SEARCH("diesel",$B162))+ISNUMBER(SEARCH("krudo",$B162))+ISNUMBER(SEARCH("gasolina",$B162))&gt;0,1,0))</f>
        <v/>
      </c>
    </row>
    <row r="163">
      <c r="A163" s="86" t="n"/>
      <c r="B163" s="88" t="n"/>
      <c r="C163" s="88" t="n"/>
      <c r="D163" s="87" t="n"/>
      <c r="E163" s="88" t="n"/>
      <c r="F163" s="92" t="n"/>
      <c r="G163" s="87" t="n"/>
      <c r="H163" s="87" t="n"/>
      <c r="I163" s="101">
        <f>IF($B163="","",IF(COUNTIF(Setup!$A$99:$A$128,$B163)&gt;0,IF(INDEX(Setup!$B$99:$B$128,MATCH($B163,Setup!$A$99:$A$128,0))="","Overhead",INDEX(Setup!$B$99:$B$128,MATCH($B163,Setup!$A$99:$A$128,0))),IF(ISNUMBER(SEARCH("advance",$B163))+ISNUMBER(SEARCH("payout",$B163))+ISNUMBER(SEARCH("pay out",$B163))+ISNUMBER(SEARCH("reimburs",$B163))&gt;0,"Transfer",IF(ISNUMBER(SEARCH("loan",$B163))+ISNUMBER(SEARCH("amort",$B163))+ISNUMBER(SEARCH("installment",$B163))+ISNUMBER(SEARCH("instalment",$B163))&gt;0,"Financing",IF(ISNUMBER(SEARCH("draw",$B163))+ISNUMBER(SEARCH("owner",$B163))+ISNUMBER(SEARCH("asset",$B163))+ISNUMBER(SEARCH("capital",$B163))&gt;0,"Other",IF(ISNUMBER(SEARCH("fuel",$B163))+ISNUMBER(SEARCH("diesel",$B163))+ISNUMBER(SEARCH("krudo",$B163))+ISNUMBER(SEARCH("gasolina",$B163))+ISNUMBER(SEARCH("toll",$B163))+ISNUMBER(SEARCH("parking",$B163))+ISNUMBER(SEARCH("repair",$B163))+ISNUMBER(SEARCH("maintenance",$B163))+ISNUMBER(SEARCH("tire",$B163))+ISNUMBER(SEARCH("tyre",$B163))+ISNUMBER(SEARCH("battery",$B163))+ISNUMBER(SEARCH("oil",$B163))+ISNUMBER(SEARCH("filter",$B163))+ISNUMBER(SEARCH("spare",$B163))+ISNUMBER(SEARCH("insurance",$B163))+ISNUMBER(SEARCH("lto",$B163))+ISNUMBER(SEARCH("registration",$B163))+ISNUMBER(SEARCH("emission",$B163))+ISNUMBER(SEARCH("wash",$B163))+ISNUMBER(SEARCH("weigh",$B163))+ISNUMBER(SEARCH("tarp",$B163))&gt;0,"Vehicle",IF(ISNUMBER(SEARCH("rent",$B163))+ISNUMBER(SEARCH("upa",$B163))+ISNUMBER(SEARCH("salary",$B163))+ISNUMBER(SEARCH("sweldo",$B163))+ISNUMBER(SEARCH("wage",$B163))+ISNUMBER(SEARCH("electric",$B163))+ISNUMBER(SEARCH("kuryente",$B163))+ISNUMBER(SEARCH("water",$B163))+ISNUMBER(SEARCH("tubig",$B163))+ISNUMBER(SEARCH("internet",$B163))+ISNUMBER(SEARCH("pldt",$B163))+ISNUMBER(SEARCH("meralco",$B163))+ISNUMBER(SEARCH("supplies",$B163))+ISNUMBER(SEARCH("office",$B163))+ISNUMBER(SEARCH("professional",$B163))+ISNUMBER(SEARCH("accountant",$B163))+ISNUMBER(SEARCH("lawyer",$B163))+ISNUMBER(SEARCH("broker",$B163))+ISNUMBER(SEARCH("bank",$B163))+ISNUMBER(SEARCH("charge",$B163))+ISNUMBER(SEARCH("permit",$B163))+ISNUMBER(SEARCH("bir",$B163))+ISNUMBER(SEARCH("ltfrb",$B163))+ISNUMBER(SEARCH("misc",$B163))+ISNUMBER(SEARCH("fee",$B163))&gt;0,"Overhead","Overhead")))))))</f>
        <v/>
      </c>
      <c r="J163">
        <f>IF($A163="","",DATE(YEAR($A163),MONTH($A163),1))</f>
        <v/>
      </c>
      <c r="K163">
        <f>IF($B163="","",IF(COUNTIF(Setup!$A$99:$A$128,$B163)&gt;0,0,1))</f>
        <v/>
      </c>
      <c r="L163">
        <f>IF($B163="","",IF(ISNUMBER(SEARCH("advance",$B163)),"ADV",IF(OR(ISNUMBER(SEARCH("payout",$B163)),ISNUMBER(SEARCH("pay out",$B163)),ISNUMBER(SEARCH("release",$B163))),"PAY","")))</f>
        <v/>
      </c>
      <c r="M163">
        <f>IF($B163="","",IF(ISNUMBER(SEARCH("bulk",$B163)),0,IF(ISNUMBER(SEARCH("fuel",$B163))+ISNUMBER(SEARCH("diesel",$B163))+ISNUMBER(SEARCH("krudo",$B163))+ISNUMBER(SEARCH("gasolina",$B163))&gt;0,1,0)))</f>
        <v/>
      </c>
      <c r="N163">
        <f>IF($B163="","",IF(ISNUMBER(SEARCH("fuel",$B163))+ISNUMBER(SEARCH("diesel",$B163))+ISNUMBER(SEARCH("krudo",$B163))+ISNUMBER(SEARCH("gasolina",$B163))&gt;0,1,0))</f>
        <v/>
      </c>
    </row>
    <row r="164">
      <c r="A164" s="94" t="n"/>
      <c r="B164" s="96" t="n"/>
      <c r="C164" s="96" t="n"/>
      <c r="D164" s="95" t="n"/>
      <c r="E164" s="96" t="n"/>
      <c r="F164" s="99" t="n"/>
      <c r="G164" s="95" t="n"/>
      <c r="H164" s="95" t="n"/>
      <c r="I164" s="101">
        <f>IF($B164="","",IF(COUNTIF(Setup!$A$99:$A$128,$B164)&gt;0,IF(INDEX(Setup!$B$99:$B$128,MATCH($B164,Setup!$A$99:$A$128,0))="","Overhead",INDEX(Setup!$B$99:$B$128,MATCH($B164,Setup!$A$99:$A$128,0))),IF(ISNUMBER(SEARCH("advance",$B164))+ISNUMBER(SEARCH("payout",$B164))+ISNUMBER(SEARCH("pay out",$B164))+ISNUMBER(SEARCH("reimburs",$B164))&gt;0,"Transfer",IF(ISNUMBER(SEARCH("loan",$B164))+ISNUMBER(SEARCH("amort",$B164))+ISNUMBER(SEARCH("installment",$B164))+ISNUMBER(SEARCH("instalment",$B164))&gt;0,"Financing",IF(ISNUMBER(SEARCH("draw",$B164))+ISNUMBER(SEARCH("owner",$B164))+ISNUMBER(SEARCH("asset",$B164))+ISNUMBER(SEARCH("capital",$B164))&gt;0,"Other",IF(ISNUMBER(SEARCH("fuel",$B164))+ISNUMBER(SEARCH("diesel",$B164))+ISNUMBER(SEARCH("krudo",$B164))+ISNUMBER(SEARCH("gasolina",$B164))+ISNUMBER(SEARCH("toll",$B164))+ISNUMBER(SEARCH("parking",$B164))+ISNUMBER(SEARCH("repair",$B164))+ISNUMBER(SEARCH("maintenance",$B164))+ISNUMBER(SEARCH("tire",$B164))+ISNUMBER(SEARCH("tyre",$B164))+ISNUMBER(SEARCH("battery",$B164))+ISNUMBER(SEARCH("oil",$B164))+ISNUMBER(SEARCH("filter",$B164))+ISNUMBER(SEARCH("spare",$B164))+ISNUMBER(SEARCH("insurance",$B164))+ISNUMBER(SEARCH("lto",$B164))+ISNUMBER(SEARCH("registration",$B164))+ISNUMBER(SEARCH("emission",$B164))+ISNUMBER(SEARCH("wash",$B164))+ISNUMBER(SEARCH("weigh",$B164))+ISNUMBER(SEARCH("tarp",$B164))&gt;0,"Vehicle",IF(ISNUMBER(SEARCH("rent",$B164))+ISNUMBER(SEARCH("upa",$B164))+ISNUMBER(SEARCH("salary",$B164))+ISNUMBER(SEARCH("sweldo",$B164))+ISNUMBER(SEARCH("wage",$B164))+ISNUMBER(SEARCH("electric",$B164))+ISNUMBER(SEARCH("kuryente",$B164))+ISNUMBER(SEARCH("water",$B164))+ISNUMBER(SEARCH("tubig",$B164))+ISNUMBER(SEARCH("internet",$B164))+ISNUMBER(SEARCH("pldt",$B164))+ISNUMBER(SEARCH("meralco",$B164))+ISNUMBER(SEARCH("supplies",$B164))+ISNUMBER(SEARCH("office",$B164))+ISNUMBER(SEARCH("professional",$B164))+ISNUMBER(SEARCH("accountant",$B164))+ISNUMBER(SEARCH("lawyer",$B164))+ISNUMBER(SEARCH("broker",$B164))+ISNUMBER(SEARCH("bank",$B164))+ISNUMBER(SEARCH("charge",$B164))+ISNUMBER(SEARCH("permit",$B164))+ISNUMBER(SEARCH("bir",$B164))+ISNUMBER(SEARCH("ltfrb",$B164))+ISNUMBER(SEARCH("misc",$B164))+ISNUMBER(SEARCH("fee",$B164))&gt;0,"Overhead","Overhead")))))))</f>
        <v/>
      </c>
      <c r="J164">
        <f>IF($A164="","",DATE(YEAR($A164),MONTH($A164),1))</f>
        <v/>
      </c>
      <c r="K164">
        <f>IF($B164="","",IF(COUNTIF(Setup!$A$99:$A$128,$B164)&gt;0,0,1))</f>
        <v/>
      </c>
      <c r="L164">
        <f>IF($B164="","",IF(ISNUMBER(SEARCH("advance",$B164)),"ADV",IF(OR(ISNUMBER(SEARCH("payout",$B164)),ISNUMBER(SEARCH("pay out",$B164)),ISNUMBER(SEARCH("release",$B164))),"PAY","")))</f>
        <v/>
      </c>
      <c r="M164">
        <f>IF($B164="","",IF(ISNUMBER(SEARCH("bulk",$B164)),0,IF(ISNUMBER(SEARCH("fuel",$B164))+ISNUMBER(SEARCH("diesel",$B164))+ISNUMBER(SEARCH("krudo",$B164))+ISNUMBER(SEARCH("gasolina",$B164))&gt;0,1,0)))</f>
        <v/>
      </c>
      <c r="N164">
        <f>IF($B164="","",IF(ISNUMBER(SEARCH("fuel",$B164))+ISNUMBER(SEARCH("diesel",$B164))+ISNUMBER(SEARCH("krudo",$B164))+ISNUMBER(SEARCH("gasolina",$B164))&gt;0,1,0))</f>
        <v/>
      </c>
    </row>
    <row r="165">
      <c r="A165" s="86" t="n"/>
      <c r="B165" s="88" t="n"/>
      <c r="C165" s="88" t="n"/>
      <c r="D165" s="87" t="n"/>
      <c r="E165" s="88" t="n"/>
      <c r="F165" s="92" t="n"/>
      <c r="G165" s="87" t="n"/>
      <c r="H165" s="87" t="n"/>
      <c r="I165" s="101">
        <f>IF($B165="","",IF(COUNTIF(Setup!$A$99:$A$128,$B165)&gt;0,IF(INDEX(Setup!$B$99:$B$128,MATCH($B165,Setup!$A$99:$A$128,0))="","Overhead",INDEX(Setup!$B$99:$B$128,MATCH($B165,Setup!$A$99:$A$128,0))),IF(ISNUMBER(SEARCH("advance",$B165))+ISNUMBER(SEARCH("payout",$B165))+ISNUMBER(SEARCH("pay out",$B165))+ISNUMBER(SEARCH("reimburs",$B165))&gt;0,"Transfer",IF(ISNUMBER(SEARCH("loan",$B165))+ISNUMBER(SEARCH("amort",$B165))+ISNUMBER(SEARCH("installment",$B165))+ISNUMBER(SEARCH("instalment",$B165))&gt;0,"Financing",IF(ISNUMBER(SEARCH("draw",$B165))+ISNUMBER(SEARCH("owner",$B165))+ISNUMBER(SEARCH("asset",$B165))+ISNUMBER(SEARCH("capital",$B165))&gt;0,"Other",IF(ISNUMBER(SEARCH("fuel",$B165))+ISNUMBER(SEARCH("diesel",$B165))+ISNUMBER(SEARCH("krudo",$B165))+ISNUMBER(SEARCH("gasolina",$B165))+ISNUMBER(SEARCH("toll",$B165))+ISNUMBER(SEARCH("parking",$B165))+ISNUMBER(SEARCH("repair",$B165))+ISNUMBER(SEARCH("maintenance",$B165))+ISNUMBER(SEARCH("tire",$B165))+ISNUMBER(SEARCH("tyre",$B165))+ISNUMBER(SEARCH("battery",$B165))+ISNUMBER(SEARCH("oil",$B165))+ISNUMBER(SEARCH("filter",$B165))+ISNUMBER(SEARCH("spare",$B165))+ISNUMBER(SEARCH("insurance",$B165))+ISNUMBER(SEARCH("lto",$B165))+ISNUMBER(SEARCH("registration",$B165))+ISNUMBER(SEARCH("emission",$B165))+ISNUMBER(SEARCH("wash",$B165))+ISNUMBER(SEARCH("weigh",$B165))+ISNUMBER(SEARCH("tarp",$B165))&gt;0,"Vehicle",IF(ISNUMBER(SEARCH("rent",$B165))+ISNUMBER(SEARCH("upa",$B165))+ISNUMBER(SEARCH("salary",$B165))+ISNUMBER(SEARCH("sweldo",$B165))+ISNUMBER(SEARCH("wage",$B165))+ISNUMBER(SEARCH("electric",$B165))+ISNUMBER(SEARCH("kuryente",$B165))+ISNUMBER(SEARCH("water",$B165))+ISNUMBER(SEARCH("tubig",$B165))+ISNUMBER(SEARCH("internet",$B165))+ISNUMBER(SEARCH("pldt",$B165))+ISNUMBER(SEARCH("meralco",$B165))+ISNUMBER(SEARCH("supplies",$B165))+ISNUMBER(SEARCH("office",$B165))+ISNUMBER(SEARCH("professional",$B165))+ISNUMBER(SEARCH("accountant",$B165))+ISNUMBER(SEARCH("lawyer",$B165))+ISNUMBER(SEARCH("broker",$B165))+ISNUMBER(SEARCH("bank",$B165))+ISNUMBER(SEARCH("charge",$B165))+ISNUMBER(SEARCH("permit",$B165))+ISNUMBER(SEARCH("bir",$B165))+ISNUMBER(SEARCH("ltfrb",$B165))+ISNUMBER(SEARCH("misc",$B165))+ISNUMBER(SEARCH("fee",$B165))&gt;0,"Overhead","Overhead")))))))</f>
        <v/>
      </c>
      <c r="J165">
        <f>IF($A165="","",DATE(YEAR($A165),MONTH($A165),1))</f>
        <v/>
      </c>
      <c r="K165">
        <f>IF($B165="","",IF(COUNTIF(Setup!$A$99:$A$128,$B165)&gt;0,0,1))</f>
        <v/>
      </c>
      <c r="L165">
        <f>IF($B165="","",IF(ISNUMBER(SEARCH("advance",$B165)),"ADV",IF(OR(ISNUMBER(SEARCH("payout",$B165)),ISNUMBER(SEARCH("pay out",$B165)),ISNUMBER(SEARCH("release",$B165))),"PAY","")))</f>
        <v/>
      </c>
      <c r="M165">
        <f>IF($B165="","",IF(ISNUMBER(SEARCH("bulk",$B165)),0,IF(ISNUMBER(SEARCH("fuel",$B165))+ISNUMBER(SEARCH("diesel",$B165))+ISNUMBER(SEARCH("krudo",$B165))+ISNUMBER(SEARCH("gasolina",$B165))&gt;0,1,0)))</f>
        <v/>
      </c>
      <c r="N165">
        <f>IF($B165="","",IF(ISNUMBER(SEARCH("fuel",$B165))+ISNUMBER(SEARCH("diesel",$B165))+ISNUMBER(SEARCH("krudo",$B165))+ISNUMBER(SEARCH("gasolina",$B165))&gt;0,1,0))</f>
        <v/>
      </c>
    </row>
    <row r="166">
      <c r="A166" s="94" t="n"/>
      <c r="B166" s="96" t="n"/>
      <c r="C166" s="96" t="n"/>
      <c r="D166" s="95" t="n"/>
      <c r="E166" s="96" t="n"/>
      <c r="F166" s="99" t="n"/>
      <c r="G166" s="95" t="n"/>
      <c r="H166" s="95" t="n"/>
      <c r="I166" s="101">
        <f>IF($B166="","",IF(COUNTIF(Setup!$A$99:$A$128,$B166)&gt;0,IF(INDEX(Setup!$B$99:$B$128,MATCH($B166,Setup!$A$99:$A$128,0))="","Overhead",INDEX(Setup!$B$99:$B$128,MATCH($B166,Setup!$A$99:$A$128,0))),IF(ISNUMBER(SEARCH("advance",$B166))+ISNUMBER(SEARCH("payout",$B166))+ISNUMBER(SEARCH("pay out",$B166))+ISNUMBER(SEARCH("reimburs",$B166))&gt;0,"Transfer",IF(ISNUMBER(SEARCH("loan",$B166))+ISNUMBER(SEARCH("amort",$B166))+ISNUMBER(SEARCH("installment",$B166))+ISNUMBER(SEARCH("instalment",$B166))&gt;0,"Financing",IF(ISNUMBER(SEARCH("draw",$B166))+ISNUMBER(SEARCH("owner",$B166))+ISNUMBER(SEARCH("asset",$B166))+ISNUMBER(SEARCH("capital",$B166))&gt;0,"Other",IF(ISNUMBER(SEARCH("fuel",$B166))+ISNUMBER(SEARCH("diesel",$B166))+ISNUMBER(SEARCH("krudo",$B166))+ISNUMBER(SEARCH("gasolina",$B166))+ISNUMBER(SEARCH("toll",$B166))+ISNUMBER(SEARCH("parking",$B166))+ISNUMBER(SEARCH("repair",$B166))+ISNUMBER(SEARCH("maintenance",$B166))+ISNUMBER(SEARCH("tire",$B166))+ISNUMBER(SEARCH("tyre",$B166))+ISNUMBER(SEARCH("battery",$B166))+ISNUMBER(SEARCH("oil",$B166))+ISNUMBER(SEARCH("filter",$B166))+ISNUMBER(SEARCH("spare",$B166))+ISNUMBER(SEARCH("insurance",$B166))+ISNUMBER(SEARCH("lto",$B166))+ISNUMBER(SEARCH("registration",$B166))+ISNUMBER(SEARCH("emission",$B166))+ISNUMBER(SEARCH("wash",$B166))+ISNUMBER(SEARCH("weigh",$B166))+ISNUMBER(SEARCH("tarp",$B166))&gt;0,"Vehicle",IF(ISNUMBER(SEARCH("rent",$B166))+ISNUMBER(SEARCH("upa",$B166))+ISNUMBER(SEARCH("salary",$B166))+ISNUMBER(SEARCH("sweldo",$B166))+ISNUMBER(SEARCH("wage",$B166))+ISNUMBER(SEARCH("electric",$B166))+ISNUMBER(SEARCH("kuryente",$B166))+ISNUMBER(SEARCH("water",$B166))+ISNUMBER(SEARCH("tubig",$B166))+ISNUMBER(SEARCH("internet",$B166))+ISNUMBER(SEARCH("pldt",$B166))+ISNUMBER(SEARCH("meralco",$B166))+ISNUMBER(SEARCH("supplies",$B166))+ISNUMBER(SEARCH("office",$B166))+ISNUMBER(SEARCH("professional",$B166))+ISNUMBER(SEARCH("accountant",$B166))+ISNUMBER(SEARCH("lawyer",$B166))+ISNUMBER(SEARCH("broker",$B166))+ISNUMBER(SEARCH("bank",$B166))+ISNUMBER(SEARCH("charge",$B166))+ISNUMBER(SEARCH("permit",$B166))+ISNUMBER(SEARCH("bir",$B166))+ISNUMBER(SEARCH("ltfrb",$B166))+ISNUMBER(SEARCH("misc",$B166))+ISNUMBER(SEARCH("fee",$B166))&gt;0,"Overhead","Overhead")))))))</f>
        <v/>
      </c>
      <c r="J166">
        <f>IF($A166="","",DATE(YEAR($A166),MONTH($A166),1))</f>
        <v/>
      </c>
      <c r="K166">
        <f>IF($B166="","",IF(COUNTIF(Setup!$A$99:$A$128,$B166)&gt;0,0,1))</f>
        <v/>
      </c>
      <c r="L166">
        <f>IF($B166="","",IF(ISNUMBER(SEARCH("advance",$B166)),"ADV",IF(OR(ISNUMBER(SEARCH("payout",$B166)),ISNUMBER(SEARCH("pay out",$B166)),ISNUMBER(SEARCH("release",$B166))),"PAY","")))</f>
        <v/>
      </c>
      <c r="M166">
        <f>IF($B166="","",IF(ISNUMBER(SEARCH("bulk",$B166)),0,IF(ISNUMBER(SEARCH("fuel",$B166))+ISNUMBER(SEARCH("diesel",$B166))+ISNUMBER(SEARCH("krudo",$B166))+ISNUMBER(SEARCH("gasolina",$B166))&gt;0,1,0)))</f>
        <v/>
      </c>
      <c r="N166">
        <f>IF($B166="","",IF(ISNUMBER(SEARCH("fuel",$B166))+ISNUMBER(SEARCH("diesel",$B166))+ISNUMBER(SEARCH("krudo",$B166))+ISNUMBER(SEARCH("gasolina",$B166))&gt;0,1,0))</f>
        <v/>
      </c>
    </row>
    <row r="167">
      <c r="A167" s="86" t="n"/>
      <c r="B167" s="88" t="n"/>
      <c r="C167" s="88" t="n"/>
      <c r="D167" s="87" t="n"/>
      <c r="E167" s="88" t="n"/>
      <c r="F167" s="92" t="n"/>
      <c r="G167" s="87" t="n"/>
      <c r="H167" s="87" t="n"/>
      <c r="I167" s="101">
        <f>IF($B167="","",IF(COUNTIF(Setup!$A$99:$A$128,$B167)&gt;0,IF(INDEX(Setup!$B$99:$B$128,MATCH($B167,Setup!$A$99:$A$128,0))="","Overhead",INDEX(Setup!$B$99:$B$128,MATCH($B167,Setup!$A$99:$A$128,0))),IF(ISNUMBER(SEARCH("advance",$B167))+ISNUMBER(SEARCH("payout",$B167))+ISNUMBER(SEARCH("pay out",$B167))+ISNUMBER(SEARCH("reimburs",$B167))&gt;0,"Transfer",IF(ISNUMBER(SEARCH("loan",$B167))+ISNUMBER(SEARCH("amort",$B167))+ISNUMBER(SEARCH("installment",$B167))+ISNUMBER(SEARCH("instalment",$B167))&gt;0,"Financing",IF(ISNUMBER(SEARCH("draw",$B167))+ISNUMBER(SEARCH("owner",$B167))+ISNUMBER(SEARCH("asset",$B167))+ISNUMBER(SEARCH("capital",$B167))&gt;0,"Other",IF(ISNUMBER(SEARCH("fuel",$B167))+ISNUMBER(SEARCH("diesel",$B167))+ISNUMBER(SEARCH("krudo",$B167))+ISNUMBER(SEARCH("gasolina",$B167))+ISNUMBER(SEARCH("toll",$B167))+ISNUMBER(SEARCH("parking",$B167))+ISNUMBER(SEARCH("repair",$B167))+ISNUMBER(SEARCH("maintenance",$B167))+ISNUMBER(SEARCH("tire",$B167))+ISNUMBER(SEARCH("tyre",$B167))+ISNUMBER(SEARCH("battery",$B167))+ISNUMBER(SEARCH("oil",$B167))+ISNUMBER(SEARCH("filter",$B167))+ISNUMBER(SEARCH("spare",$B167))+ISNUMBER(SEARCH("insurance",$B167))+ISNUMBER(SEARCH("lto",$B167))+ISNUMBER(SEARCH("registration",$B167))+ISNUMBER(SEARCH("emission",$B167))+ISNUMBER(SEARCH("wash",$B167))+ISNUMBER(SEARCH("weigh",$B167))+ISNUMBER(SEARCH("tarp",$B167))&gt;0,"Vehicle",IF(ISNUMBER(SEARCH("rent",$B167))+ISNUMBER(SEARCH("upa",$B167))+ISNUMBER(SEARCH("salary",$B167))+ISNUMBER(SEARCH("sweldo",$B167))+ISNUMBER(SEARCH("wage",$B167))+ISNUMBER(SEARCH("electric",$B167))+ISNUMBER(SEARCH("kuryente",$B167))+ISNUMBER(SEARCH("water",$B167))+ISNUMBER(SEARCH("tubig",$B167))+ISNUMBER(SEARCH("internet",$B167))+ISNUMBER(SEARCH("pldt",$B167))+ISNUMBER(SEARCH("meralco",$B167))+ISNUMBER(SEARCH("supplies",$B167))+ISNUMBER(SEARCH("office",$B167))+ISNUMBER(SEARCH("professional",$B167))+ISNUMBER(SEARCH("accountant",$B167))+ISNUMBER(SEARCH("lawyer",$B167))+ISNUMBER(SEARCH("broker",$B167))+ISNUMBER(SEARCH("bank",$B167))+ISNUMBER(SEARCH("charge",$B167))+ISNUMBER(SEARCH("permit",$B167))+ISNUMBER(SEARCH("bir",$B167))+ISNUMBER(SEARCH("ltfrb",$B167))+ISNUMBER(SEARCH("misc",$B167))+ISNUMBER(SEARCH("fee",$B167))&gt;0,"Overhead","Overhead")))))))</f>
        <v/>
      </c>
      <c r="J167">
        <f>IF($A167="","",DATE(YEAR($A167),MONTH($A167),1))</f>
        <v/>
      </c>
      <c r="K167">
        <f>IF($B167="","",IF(COUNTIF(Setup!$A$99:$A$128,$B167)&gt;0,0,1))</f>
        <v/>
      </c>
      <c r="L167">
        <f>IF($B167="","",IF(ISNUMBER(SEARCH("advance",$B167)),"ADV",IF(OR(ISNUMBER(SEARCH("payout",$B167)),ISNUMBER(SEARCH("pay out",$B167)),ISNUMBER(SEARCH("release",$B167))),"PAY","")))</f>
        <v/>
      </c>
      <c r="M167">
        <f>IF($B167="","",IF(ISNUMBER(SEARCH("bulk",$B167)),0,IF(ISNUMBER(SEARCH("fuel",$B167))+ISNUMBER(SEARCH("diesel",$B167))+ISNUMBER(SEARCH("krudo",$B167))+ISNUMBER(SEARCH("gasolina",$B167))&gt;0,1,0)))</f>
        <v/>
      </c>
      <c r="N167">
        <f>IF($B167="","",IF(ISNUMBER(SEARCH("fuel",$B167))+ISNUMBER(SEARCH("diesel",$B167))+ISNUMBER(SEARCH("krudo",$B167))+ISNUMBER(SEARCH("gasolina",$B167))&gt;0,1,0))</f>
        <v/>
      </c>
    </row>
    <row r="168">
      <c r="A168" s="94" t="n"/>
      <c r="B168" s="96" t="n"/>
      <c r="C168" s="96" t="n"/>
      <c r="D168" s="95" t="n"/>
      <c r="E168" s="96" t="n"/>
      <c r="F168" s="99" t="n"/>
      <c r="G168" s="95" t="n"/>
      <c r="H168" s="95" t="n"/>
      <c r="I168" s="101">
        <f>IF($B168="","",IF(COUNTIF(Setup!$A$99:$A$128,$B168)&gt;0,IF(INDEX(Setup!$B$99:$B$128,MATCH($B168,Setup!$A$99:$A$128,0))="","Overhead",INDEX(Setup!$B$99:$B$128,MATCH($B168,Setup!$A$99:$A$128,0))),IF(ISNUMBER(SEARCH("advance",$B168))+ISNUMBER(SEARCH("payout",$B168))+ISNUMBER(SEARCH("pay out",$B168))+ISNUMBER(SEARCH("reimburs",$B168))&gt;0,"Transfer",IF(ISNUMBER(SEARCH("loan",$B168))+ISNUMBER(SEARCH("amort",$B168))+ISNUMBER(SEARCH("installment",$B168))+ISNUMBER(SEARCH("instalment",$B168))&gt;0,"Financing",IF(ISNUMBER(SEARCH("draw",$B168))+ISNUMBER(SEARCH("owner",$B168))+ISNUMBER(SEARCH("asset",$B168))+ISNUMBER(SEARCH("capital",$B168))&gt;0,"Other",IF(ISNUMBER(SEARCH("fuel",$B168))+ISNUMBER(SEARCH("diesel",$B168))+ISNUMBER(SEARCH("krudo",$B168))+ISNUMBER(SEARCH("gasolina",$B168))+ISNUMBER(SEARCH("toll",$B168))+ISNUMBER(SEARCH("parking",$B168))+ISNUMBER(SEARCH("repair",$B168))+ISNUMBER(SEARCH("maintenance",$B168))+ISNUMBER(SEARCH("tire",$B168))+ISNUMBER(SEARCH("tyre",$B168))+ISNUMBER(SEARCH("battery",$B168))+ISNUMBER(SEARCH("oil",$B168))+ISNUMBER(SEARCH("filter",$B168))+ISNUMBER(SEARCH("spare",$B168))+ISNUMBER(SEARCH("insurance",$B168))+ISNUMBER(SEARCH("lto",$B168))+ISNUMBER(SEARCH("registration",$B168))+ISNUMBER(SEARCH("emission",$B168))+ISNUMBER(SEARCH("wash",$B168))+ISNUMBER(SEARCH("weigh",$B168))+ISNUMBER(SEARCH("tarp",$B168))&gt;0,"Vehicle",IF(ISNUMBER(SEARCH("rent",$B168))+ISNUMBER(SEARCH("upa",$B168))+ISNUMBER(SEARCH("salary",$B168))+ISNUMBER(SEARCH("sweldo",$B168))+ISNUMBER(SEARCH("wage",$B168))+ISNUMBER(SEARCH("electric",$B168))+ISNUMBER(SEARCH("kuryente",$B168))+ISNUMBER(SEARCH("water",$B168))+ISNUMBER(SEARCH("tubig",$B168))+ISNUMBER(SEARCH("internet",$B168))+ISNUMBER(SEARCH("pldt",$B168))+ISNUMBER(SEARCH("meralco",$B168))+ISNUMBER(SEARCH("supplies",$B168))+ISNUMBER(SEARCH("office",$B168))+ISNUMBER(SEARCH("professional",$B168))+ISNUMBER(SEARCH("accountant",$B168))+ISNUMBER(SEARCH("lawyer",$B168))+ISNUMBER(SEARCH("broker",$B168))+ISNUMBER(SEARCH("bank",$B168))+ISNUMBER(SEARCH("charge",$B168))+ISNUMBER(SEARCH("permit",$B168))+ISNUMBER(SEARCH("bir",$B168))+ISNUMBER(SEARCH("ltfrb",$B168))+ISNUMBER(SEARCH("misc",$B168))+ISNUMBER(SEARCH("fee",$B168))&gt;0,"Overhead","Overhead")))))))</f>
        <v/>
      </c>
      <c r="J168">
        <f>IF($A168="","",DATE(YEAR($A168),MONTH($A168),1))</f>
        <v/>
      </c>
      <c r="K168">
        <f>IF($B168="","",IF(COUNTIF(Setup!$A$99:$A$128,$B168)&gt;0,0,1))</f>
        <v/>
      </c>
      <c r="L168">
        <f>IF($B168="","",IF(ISNUMBER(SEARCH("advance",$B168)),"ADV",IF(OR(ISNUMBER(SEARCH("payout",$B168)),ISNUMBER(SEARCH("pay out",$B168)),ISNUMBER(SEARCH("release",$B168))),"PAY","")))</f>
        <v/>
      </c>
      <c r="M168">
        <f>IF($B168="","",IF(ISNUMBER(SEARCH("bulk",$B168)),0,IF(ISNUMBER(SEARCH("fuel",$B168))+ISNUMBER(SEARCH("diesel",$B168))+ISNUMBER(SEARCH("krudo",$B168))+ISNUMBER(SEARCH("gasolina",$B168))&gt;0,1,0)))</f>
        <v/>
      </c>
      <c r="N168">
        <f>IF($B168="","",IF(ISNUMBER(SEARCH("fuel",$B168))+ISNUMBER(SEARCH("diesel",$B168))+ISNUMBER(SEARCH("krudo",$B168))+ISNUMBER(SEARCH("gasolina",$B168))&gt;0,1,0))</f>
        <v/>
      </c>
    </row>
    <row r="169">
      <c r="A169" s="86" t="n"/>
      <c r="B169" s="88" t="n"/>
      <c r="C169" s="88" t="n"/>
      <c r="D169" s="87" t="n"/>
      <c r="E169" s="88" t="n"/>
      <c r="F169" s="92" t="n"/>
      <c r="G169" s="87" t="n"/>
      <c r="H169" s="87" t="n"/>
      <c r="I169" s="101">
        <f>IF($B169="","",IF(COUNTIF(Setup!$A$99:$A$128,$B169)&gt;0,IF(INDEX(Setup!$B$99:$B$128,MATCH($B169,Setup!$A$99:$A$128,0))="","Overhead",INDEX(Setup!$B$99:$B$128,MATCH($B169,Setup!$A$99:$A$128,0))),IF(ISNUMBER(SEARCH("advance",$B169))+ISNUMBER(SEARCH("payout",$B169))+ISNUMBER(SEARCH("pay out",$B169))+ISNUMBER(SEARCH("reimburs",$B169))&gt;0,"Transfer",IF(ISNUMBER(SEARCH("loan",$B169))+ISNUMBER(SEARCH("amort",$B169))+ISNUMBER(SEARCH("installment",$B169))+ISNUMBER(SEARCH("instalment",$B169))&gt;0,"Financing",IF(ISNUMBER(SEARCH("draw",$B169))+ISNUMBER(SEARCH("owner",$B169))+ISNUMBER(SEARCH("asset",$B169))+ISNUMBER(SEARCH("capital",$B169))&gt;0,"Other",IF(ISNUMBER(SEARCH("fuel",$B169))+ISNUMBER(SEARCH("diesel",$B169))+ISNUMBER(SEARCH("krudo",$B169))+ISNUMBER(SEARCH("gasolina",$B169))+ISNUMBER(SEARCH("toll",$B169))+ISNUMBER(SEARCH("parking",$B169))+ISNUMBER(SEARCH("repair",$B169))+ISNUMBER(SEARCH("maintenance",$B169))+ISNUMBER(SEARCH("tire",$B169))+ISNUMBER(SEARCH("tyre",$B169))+ISNUMBER(SEARCH("battery",$B169))+ISNUMBER(SEARCH("oil",$B169))+ISNUMBER(SEARCH("filter",$B169))+ISNUMBER(SEARCH("spare",$B169))+ISNUMBER(SEARCH("insurance",$B169))+ISNUMBER(SEARCH("lto",$B169))+ISNUMBER(SEARCH("registration",$B169))+ISNUMBER(SEARCH("emission",$B169))+ISNUMBER(SEARCH("wash",$B169))+ISNUMBER(SEARCH("weigh",$B169))+ISNUMBER(SEARCH("tarp",$B169))&gt;0,"Vehicle",IF(ISNUMBER(SEARCH("rent",$B169))+ISNUMBER(SEARCH("upa",$B169))+ISNUMBER(SEARCH("salary",$B169))+ISNUMBER(SEARCH("sweldo",$B169))+ISNUMBER(SEARCH("wage",$B169))+ISNUMBER(SEARCH("electric",$B169))+ISNUMBER(SEARCH("kuryente",$B169))+ISNUMBER(SEARCH("water",$B169))+ISNUMBER(SEARCH("tubig",$B169))+ISNUMBER(SEARCH("internet",$B169))+ISNUMBER(SEARCH("pldt",$B169))+ISNUMBER(SEARCH("meralco",$B169))+ISNUMBER(SEARCH("supplies",$B169))+ISNUMBER(SEARCH("office",$B169))+ISNUMBER(SEARCH("professional",$B169))+ISNUMBER(SEARCH("accountant",$B169))+ISNUMBER(SEARCH("lawyer",$B169))+ISNUMBER(SEARCH("broker",$B169))+ISNUMBER(SEARCH("bank",$B169))+ISNUMBER(SEARCH("charge",$B169))+ISNUMBER(SEARCH("permit",$B169))+ISNUMBER(SEARCH("bir",$B169))+ISNUMBER(SEARCH("ltfrb",$B169))+ISNUMBER(SEARCH("misc",$B169))+ISNUMBER(SEARCH("fee",$B169))&gt;0,"Overhead","Overhead")))))))</f>
        <v/>
      </c>
      <c r="J169">
        <f>IF($A169="","",DATE(YEAR($A169),MONTH($A169),1))</f>
        <v/>
      </c>
      <c r="K169">
        <f>IF($B169="","",IF(COUNTIF(Setup!$A$99:$A$128,$B169)&gt;0,0,1))</f>
        <v/>
      </c>
      <c r="L169">
        <f>IF($B169="","",IF(ISNUMBER(SEARCH("advance",$B169)),"ADV",IF(OR(ISNUMBER(SEARCH("payout",$B169)),ISNUMBER(SEARCH("pay out",$B169)),ISNUMBER(SEARCH("release",$B169))),"PAY","")))</f>
        <v/>
      </c>
      <c r="M169">
        <f>IF($B169="","",IF(ISNUMBER(SEARCH("bulk",$B169)),0,IF(ISNUMBER(SEARCH("fuel",$B169))+ISNUMBER(SEARCH("diesel",$B169))+ISNUMBER(SEARCH("krudo",$B169))+ISNUMBER(SEARCH("gasolina",$B169))&gt;0,1,0)))</f>
        <v/>
      </c>
      <c r="N169">
        <f>IF($B169="","",IF(ISNUMBER(SEARCH("fuel",$B169))+ISNUMBER(SEARCH("diesel",$B169))+ISNUMBER(SEARCH("krudo",$B169))+ISNUMBER(SEARCH("gasolina",$B169))&gt;0,1,0))</f>
        <v/>
      </c>
    </row>
    <row r="170">
      <c r="A170" s="94" t="n"/>
      <c r="B170" s="96" t="n"/>
      <c r="C170" s="96" t="n"/>
      <c r="D170" s="95" t="n"/>
      <c r="E170" s="96" t="n"/>
      <c r="F170" s="99" t="n"/>
      <c r="G170" s="95" t="n"/>
      <c r="H170" s="95" t="n"/>
      <c r="I170" s="101">
        <f>IF($B170="","",IF(COUNTIF(Setup!$A$99:$A$128,$B170)&gt;0,IF(INDEX(Setup!$B$99:$B$128,MATCH($B170,Setup!$A$99:$A$128,0))="","Overhead",INDEX(Setup!$B$99:$B$128,MATCH($B170,Setup!$A$99:$A$128,0))),IF(ISNUMBER(SEARCH("advance",$B170))+ISNUMBER(SEARCH("payout",$B170))+ISNUMBER(SEARCH("pay out",$B170))+ISNUMBER(SEARCH("reimburs",$B170))&gt;0,"Transfer",IF(ISNUMBER(SEARCH("loan",$B170))+ISNUMBER(SEARCH("amort",$B170))+ISNUMBER(SEARCH("installment",$B170))+ISNUMBER(SEARCH("instalment",$B170))&gt;0,"Financing",IF(ISNUMBER(SEARCH("draw",$B170))+ISNUMBER(SEARCH("owner",$B170))+ISNUMBER(SEARCH("asset",$B170))+ISNUMBER(SEARCH("capital",$B170))&gt;0,"Other",IF(ISNUMBER(SEARCH("fuel",$B170))+ISNUMBER(SEARCH("diesel",$B170))+ISNUMBER(SEARCH("krudo",$B170))+ISNUMBER(SEARCH("gasolina",$B170))+ISNUMBER(SEARCH("toll",$B170))+ISNUMBER(SEARCH("parking",$B170))+ISNUMBER(SEARCH("repair",$B170))+ISNUMBER(SEARCH("maintenance",$B170))+ISNUMBER(SEARCH("tire",$B170))+ISNUMBER(SEARCH("tyre",$B170))+ISNUMBER(SEARCH("battery",$B170))+ISNUMBER(SEARCH("oil",$B170))+ISNUMBER(SEARCH("filter",$B170))+ISNUMBER(SEARCH("spare",$B170))+ISNUMBER(SEARCH("insurance",$B170))+ISNUMBER(SEARCH("lto",$B170))+ISNUMBER(SEARCH("registration",$B170))+ISNUMBER(SEARCH("emission",$B170))+ISNUMBER(SEARCH("wash",$B170))+ISNUMBER(SEARCH("weigh",$B170))+ISNUMBER(SEARCH("tarp",$B170))&gt;0,"Vehicle",IF(ISNUMBER(SEARCH("rent",$B170))+ISNUMBER(SEARCH("upa",$B170))+ISNUMBER(SEARCH("salary",$B170))+ISNUMBER(SEARCH("sweldo",$B170))+ISNUMBER(SEARCH("wage",$B170))+ISNUMBER(SEARCH("electric",$B170))+ISNUMBER(SEARCH("kuryente",$B170))+ISNUMBER(SEARCH("water",$B170))+ISNUMBER(SEARCH("tubig",$B170))+ISNUMBER(SEARCH("internet",$B170))+ISNUMBER(SEARCH("pldt",$B170))+ISNUMBER(SEARCH("meralco",$B170))+ISNUMBER(SEARCH("supplies",$B170))+ISNUMBER(SEARCH("office",$B170))+ISNUMBER(SEARCH("professional",$B170))+ISNUMBER(SEARCH("accountant",$B170))+ISNUMBER(SEARCH("lawyer",$B170))+ISNUMBER(SEARCH("broker",$B170))+ISNUMBER(SEARCH("bank",$B170))+ISNUMBER(SEARCH("charge",$B170))+ISNUMBER(SEARCH("permit",$B170))+ISNUMBER(SEARCH("bir",$B170))+ISNUMBER(SEARCH("ltfrb",$B170))+ISNUMBER(SEARCH("misc",$B170))+ISNUMBER(SEARCH("fee",$B170))&gt;0,"Overhead","Overhead")))))))</f>
        <v/>
      </c>
      <c r="J170">
        <f>IF($A170="","",DATE(YEAR($A170),MONTH($A170),1))</f>
        <v/>
      </c>
      <c r="K170">
        <f>IF($B170="","",IF(COUNTIF(Setup!$A$99:$A$128,$B170)&gt;0,0,1))</f>
        <v/>
      </c>
      <c r="L170">
        <f>IF($B170="","",IF(ISNUMBER(SEARCH("advance",$B170)),"ADV",IF(OR(ISNUMBER(SEARCH("payout",$B170)),ISNUMBER(SEARCH("pay out",$B170)),ISNUMBER(SEARCH("release",$B170))),"PAY","")))</f>
        <v/>
      </c>
      <c r="M170">
        <f>IF($B170="","",IF(ISNUMBER(SEARCH("bulk",$B170)),0,IF(ISNUMBER(SEARCH("fuel",$B170))+ISNUMBER(SEARCH("diesel",$B170))+ISNUMBER(SEARCH("krudo",$B170))+ISNUMBER(SEARCH("gasolina",$B170))&gt;0,1,0)))</f>
        <v/>
      </c>
      <c r="N170">
        <f>IF($B170="","",IF(ISNUMBER(SEARCH("fuel",$B170))+ISNUMBER(SEARCH("diesel",$B170))+ISNUMBER(SEARCH("krudo",$B170))+ISNUMBER(SEARCH("gasolina",$B170))&gt;0,1,0))</f>
        <v/>
      </c>
    </row>
    <row r="171">
      <c r="A171" s="86" t="n"/>
      <c r="B171" s="88" t="n"/>
      <c r="C171" s="88" t="n"/>
      <c r="D171" s="87" t="n"/>
      <c r="E171" s="88" t="n"/>
      <c r="F171" s="92" t="n"/>
      <c r="G171" s="87" t="n"/>
      <c r="H171" s="87" t="n"/>
      <c r="I171" s="101">
        <f>IF($B171="","",IF(COUNTIF(Setup!$A$99:$A$128,$B171)&gt;0,IF(INDEX(Setup!$B$99:$B$128,MATCH($B171,Setup!$A$99:$A$128,0))="","Overhead",INDEX(Setup!$B$99:$B$128,MATCH($B171,Setup!$A$99:$A$128,0))),IF(ISNUMBER(SEARCH("advance",$B171))+ISNUMBER(SEARCH("payout",$B171))+ISNUMBER(SEARCH("pay out",$B171))+ISNUMBER(SEARCH("reimburs",$B171))&gt;0,"Transfer",IF(ISNUMBER(SEARCH("loan",$B171))+ISNUMBER(SEARCH("amort",$B171))+ISNUMBER(SEARCH("installment",$B171))+ISNUMBER(SEARCH("instalment",$B171))&gt;0,"Financing",IF(ISNUMBER(SEARCH("draw",$B171))+ISNUMBER(SEARCH("owner",$B171))+ISNUMBER(SEARCH("asset",$B171))+ISNUMBER(SEARCH("capital",$B171))&gt;0,"Other",IF(ISNUMBER(SEARCH("fuel",$B171))+ISNUMBER(SEARCH("diesel",$B171))+ISNUMBER(SEARCH("krudo",$B171))+ISNUMBER(SEARCH("gasolina",$B171))+ISNUMBER(SEARCH("toll",$B171))+ISNUMBER(SEARCH("parking",$B171))+ISNUMBER(SEARCH("repair",$B171))+ISNUMBER(SEARCH("maintenance",$B171))+ISNUMBER(SEARCH("tire",$B171))+ISNUMBER(SEARCH("tyre",$B171))+ISNUMBER(SEARCH("battery",$B171))+ISNUMBER(SEARCH("oil",$B171))+ISNUMBER(SEARCH("filter",$B171))+ISNUMBER(SEARCH("spare",$B171))+ISNUMBER(SEARCH("insurance",$B171))+ISNUMBER(SEARCH("lto",$B171))+ISNUMBER(SEARCH("registration",$B171))+ISNUMBER(SEARCH("emission",$B171))+ISNUMBER(SEARCH("wash",$B171))+ISNUMBER(SEARCH("weigh",$B171))+ISNUMBER(SEARCH("tarp",$B171))&gt;0,"Vehicle",IF(ISNUMBER(SEARCH("rent",$B171))+ISNUMBER(SEARCH("upa",$B171))+ISNUMBER(SEARCH("salary",$B171))+ISNUMBER(SEARCH("sweldo",$B171))+ISNUMBER(SEARCH("wage",$B171))+ISNUMBER(SEARCH("electric",$B171))+ISNUMBER(SEARCH("kuryente",$B171))+ISNUMBER(SEARCH("water",$B171))+ISNUMBER(SEARCH("tubig",$B171))+ISNUMBER(SEARCH("internet",$B171))+ISNUMBER(SEARCH("pldt",$B171))+ISNUMBER(SEARCH("meralco",$B171))+ISNUMBER(SEARCH("supplies",$B171))+ISNUMBER(SEARCH("office",$B171))+ISNUMBER(SEARCH("professional",$B171))+ISNUMBER(SEARCH("accountant",$B171))+ISNUMBER(SEARCH("lawyer",$B171))+ISNUMBER(SEARCH("broker",$B171))+ISNUMBER(SEARCH("bank",$B171))+ISNUMBER(SEARCH("charge",$B171))+ISNUMBER(SEARCH("permit",$B171))+ISNUMBER(SEARCH("bir",$B171))+ISNUMBER(SEARCH("ltfrb",$B171))+ISNUMBER(SEARCH("misc",$B171))+ISNUMBER(SEARCH("fee",$B171))&gt;0,"Overhead","Overhead")))))))</f>
        <v/>
      </c>
      <c r="J171">
        <f>IF($A171="","",DATE(YEAR($A171),MONTH($A171),1))</f>
        <v/>
      </c>
      <c r="K171">
        <f>IF($B171="","",IF(COUNTIF(Setup!$A$99:$A$128,$B171)&gt;0,0,1))</f>
        <v/>
      </c>
      <c r="L171">
        <f>IF($B171="","",IF(ISNUMBER(SEARCH("advance",$B171)),"ADV",IF(OR(ISNUMBER(SEARCH("payout",$B171)),ISNUMBER(SEARCH("pay out",$B171)),ISNUMBER(SEARCH("release",$B171))),"PAY","")))</f>
        <v/>
      </c>
      <c r="M171">
        <f>IF($B171="","",IF(ISNUMBER(SEARCH("bulk",$B171)),0,IF(ISNUMBER(SEARCH("fuel",$B171))+ISNUMBER(SEARCH("diesel",$B171))+ISNUMBER(SEARCH("krudo",$B171))+ISNUMBER(SEARCH("gasolina",$B171))&gt;0,1,0)))</f>
        <v/>
      </c>
      <c r="N171">
        <f>IF($B171="","",IF(ISNUMBER(SEARCH("fuel",$B171))+ISNUMBER(SEARCH("diesel",$B171))+ISNUMBER(SEARCH("krudo",$B171))+ISNUMBER(SEARCH("gasolina",$B171))&gt;0,1,0))</f>
        <v/>
      </c>
    </row>
    <row r="172">
      <c r="A172" s="94" t="n"/>
      <c r="B172" s="96" t="n"/>
      <c r="C172" s="96" t="n"/>
      <c r="D172" s="95" t="n"/>
      <c r="E172" s="96" t="n"/>
      <c r="F172" s="99" t="n"/>
      <c r="G172" s="95" t="n"/>
      <c r="H172" s="95" t="n"/>
      <c r="I172" s="101">
        <f>IF($B172="","",IF(COUNTIF(Setup!$A$99:$A$128,$B172)&gt;0,IF(INDEX(Setup!$B$99:$B$128,MATCH($B172,Setup!$A$99:$A$128,0))="","Overhead",INDEX(Setup!$B$99:$B$128,MATCH($B172,Setup!$A$99:$A$128,0))),IF(ISNUMBER(SEARCH("advance",$B172))+ISNUMBER(SEARCH("payout",$B172))+ISNUMBER(SEARCH("pay out",$B172))+ISNUMBER(SEARCH("reimburs",$B172))&gt;0,"Transfer",IF(ISNUMBER(SEARCH("loan",$B172))+ISNUMBER(SEARCH("amort",$B172))+ISNUMBER(SEARCH("installment",$B172))+ISNUMBER(SEARCH("instalment",$B172))&gt;0,"Financing",IF(ISNUMBER(SEARCH("draw",$B172))+ISNUMBER(SEARCH("owner",$B172))+ISNUMBER(SEARCH("asset",$B172))+ISNUMBER(SEARCH("capital",$B172))&gt;0,"Other",IF(ISNUMBER(SEARCH("fuel",$B172))+ISNUMBER(SEARCH("diesel",$B172))+ISNUMBER(SEARCH("krudo",$B172))+ISNUMBER(SEARCH("gasolina",$B172))+ISNUMBER(SEARCH("toll",$B172))+ISNUMBER(SEARCH("parking",$B172))+ISNUMBER(SEARCH("repair",$B172))+ISNUMBER(SEARCH("maintenance",$B172))+ISNUMBER(SEARCH("tire",$B172))+ISNUMBER(SEARCH("tyre",$B172))+ISNUMBER(SEARCH("battery",$B172))+ISNUMBER(SEARCH("oil",$B172))+ISNUMBER(SEARCH("filter",$B172))+ISNUMBER(SEARCH("spare",$B172))+ISNUMBER(SEARCH("insurance",$B172))+ISNUMBER(SEARCH("lto",$B172))+ISNUMBER(SEARCH("registration",$B172))+ISNUMBER(SEARCH("emission",$B172))+ISNUMBER(SEARCH("wash",$B172))+ISNUMBER(SEARCH("weigh",$B172))+ISNUMBER(SEARCH("tarp",$B172))&gt;0,"Vehicle",IF(ISNUMBER(SEARCH("rent",$B172))+ISNUMBER(SEARCH("upa",$B172))+ISNUMBER(SEARCH("salary",$B172))+ISNUMBER(SEARCH("sweldo",$B172))+ISNUMBER(SEARCH("wage",$B172))+ISNUMBER(SEARCH("electric",$B172))+ISNUMBER(SEARCH("kuryente",$B172))+ISNUMBER(SEARCH("water",$B172))+ISNUMBER(SEARCH("tubig",$B172))+ISNUMBER(SEARCH("internet",$B172))+ISNUMBER(SEARCH("pldt",$B172))+ISNUMBER(SEARCH("meralco",$B172))+ISNUMBER(SEARCH("supplies",$B172))+ISNUMBER(SEARCH("office",$B172))+ISNUMBER(SEARCH("professional",$B172))+ISNUMBER(SEARCH("accountant",$B172))+ISNUMBER(SEARCH("lawyer",$B172))+ISNUMBER(SEARCH("broker",$B172))+ISNUMBER(SEARCH("bank",$B172))+ISNUMBER(SEARCH("charge",$B172))+ISNUMBER(SEARCH("permit",$B172))+ISNUMBER(SEARCH("bir",$B172))+ISNUMBER(SEARCH("ltfrb",$B172))+ISNUMBER(SEARCH("misc",$B172))+ISNUMBER(SEARCH("fee",$B172))&gt;0,"Overhead","Overhead")))))))</f>
        <v/>
      </c>
      <c r="J172">
        <f>IF($A172="","",DATE(YEAR($A172),MONTH($A172),1))</f>
        <v/>
      </c>
      <c r="K172">
        <f>IF($B172="","",IF(COUNTIF(Setup!$A$99:$A$128,$B172)&gt;0,0,1))</f>
        <v/>
      </c>
      <c r="L172">
        <f>IF($B172="","",IF(ISNUMBER(SEARCH("advance",$B172)),"ADV",IF(OR(ISNUMBER(SEARCH("payout",$B172)),ISNUMBER(SEARCH("pay out",$B172)),ISNUMBER(SEARCH("release",$B172))),"PAY","")))</f>
        <v/>
      </c>
      <c r="M172">
        <f>IF($B172="","",IF(ISNUMBER(SEARCH("bulk",$B172)),0,IF(ISNUMBER(SEARCH("fuel",$B172))+ISNUMBER(SEARCH("diesel",$B172))+ISNUMBER(SEARCH("krudo",$B172))+ISNUMBER(SEARCH("gasolina",$B172))&gt;0,1,0)))</f>
        <v/>
      </c>
      <c r="N172">
        <f>IF($B172="","",IF(ISNUMBER(SEARCH("fuel",$B172))+ISNUMBER(SEARCH("diesel",$B172))+ISNUMBER(SEARCH("krudo",$B172))+ISNUMBER(SEARCH("gasolina",$B172))&gt;0,1,0))</f>
        <v/>
      </c>
    </row>
    <row r="173">
      <c r="A173" s="86" t="n"/>
      <c r="B173" s="88" t="n"/>
      <c r="C173" s="88" t="n"/>
      <c r="D173" s="87" t="n"/>
      <c r="E173" s="88" t="n"/>
      <c r="F173" s="92" t="n"/>
      <c r="G173" s="87" t="n"/>
      <c r="H173" s="87" t="n"/>
      <c r="I173" s="101">
        <f>IF($B173="","",IF(COUNTIF(Setup!$A$99:$A$128,$B173)&gt;0,IF(INDEX(Setup!$B$99:$B$128,MATCH($B173,Setup!$A$99:$A$128,0))="","Overhead",INDEX(Setup!$B$99:$B$128,MATCH($B173,Setup!$A$99:$A$128,0))),IF(ISNUMBER(SEARCH("advance",$B173))+ISNUMBER(SEARCH("payout",$B173))+ISNUMBER(SEARCH("pay out",$B173))+ISNUMBER(SEARCH("reimburs",$B173))&gt;0,"Transfer",IF(ISNUMBER(SEARCH("loan",$B173))+ISNUMBER(SEARCH("amort",$B173))+ISNUMBER(SEARCH("installment",$B173))+ISNUMBER(SEARCH("instalment",$B173))&gt;0,"Financing",IF(ISNUMBER(SEARCH("draw",$B173))+ISNUMBER(SEARCH("owner",$B173))+ISNUMBER(SEARCH("asset",$B173))+ISNUMBER(SEARCH("capital",$B173))&gt;0,"Other",IF(ISNUMBER(SEARCH("fuel",$B173))+ISNUMBER(SEARCH("diesel",$B173))+ISNUMBER(SEARCH("krudo",$B173))+ISNUMBER(SEARCH("gasolina",$B173))+ISNUMBER(SEARCH("toll",$B173))+ISNUMBER(SEARCH("parking",$B173))+ISNUMBER(SEARCH("repair",$B173))+ISNUMBER(SEARCH("maintenance",$B173))+ISNUMBER(SEARCH("tire",$B173))+ISNUMBER(SEARCH("tyre",$B173))+ISNUMBER(SEARCH("battery",$B173))+ISNUMBER(SEARCH("oil",$B173))+ISNUMBER(SEARCH("filter",$B173))+ISNUMBER(SEARCH("spare",$B173))+ISNUMBER(SEARCH("insurance",$B173))+ISNUMBER(SEARCH("lto",$B173))+ISNUMBER(SEARCH("registration",$B173))+ISNUMBER(SEARCH("emission",$B173))+ISNUMBER(SEARCH("wash",$B173))+ISNUMBER(SEARCH("weigh",$B173))+ISNUMBER(SEARCH("tarp",$B173))&gt;0,"Vehicle",IF(ISNUMBER(SEARCH("rent",$B173))+ISNUMBER(SEARCH("upa",$B173))+ISNUMBER(SEARCH("salary",$B173))+ISNUMBER(SEARCH("sweldo",$B173))+ISNUMBER(SEARCH("wage",$B173))+ISNUMBER(SEARCH("electric",$B173))+ISNUMBER(SEARCH("kuryente",$B173))+ISNUMBER(SEARCH("water",$B173))+ISNUMBER(SEARCH("tubig",$B173))+ISNUMBER(SEARCH("internet",$B173))+ISNUMBER(SEARCH("pldt",$B173))+ISNUMBER(SEARCH("meralco",$B173))+ISNUMBER(SEARCH("supplies",$B173))+ISNUMBER(SEARCH("office",$B173))+ISNUMBER(SEARCH("professional",$B173))+ISNUMBER(SEARCH("accountant",$B173))+ISNUMBER(SEARCH("lawyer",$B173))+ISNUMBER(SEARCH("broker",$B173))+ISNUMBER(SEARCH("bank",$B173))+ISNUMBER(SEARCH("charge",$B173))+ISNUMBER(SEARCH("permit",$B173))+ISNUMBER(SEARCH("bir",$B173))+ISNUMBER(SEARCH("ltfrb",$B173))+ISNUMBER(SEARCH("misc",$B173))+ISNUMBER(SEARCH("fee",$B173))&gt;0,"Overhead","Overhead")))))))</f>
        <v/>
      </c>
      <c r="J173">
        <f>IF($A173="","",DATE(YEAR($A173),MONTH($A173),1))</f>
        <v/>
      </c>
      <c r="K173">
        <f>IF($B173="","",IF(COUNTIF(Setup!$A$99:$A$128,$B173)&gt;0,0,1))</f>
        <v/>
      </c>
      <c r="L173">
        <f>IF($B173="","",IF(ISNUMBER(SEARCH("advance",$B173)),"ADV",IF(OR(ISNUMBER(SEARCH("payout",$B173)),ISNUMBER(SEARCH("pay out",$B173)),ISNUMBER(SEARCH("release",$B173))),"PAY","")))</f>
        <v/>
      </c>
      <c r="M173">
        <f>IF($B173="","",IF(ISNUMBER(SEARCH("bulk",$B173)),0,IF(ISNUMBER(SEARCH("fuel",$B173))+ISNUMBER(SEARCH("diesel",$B173))+ISNUMBER(SEARCH("krudo",$B173))+ISNUMBER(SEARCH("gasolina",$B173))&gt;0,1,0)))</f>
        <v/>
      </c>
      <c r="N173">
        <f>IF($B173="","",IF(ISNUMBER(SEARCH("fuel",$B173))+ISNUMBER(SEARCH("diesel",$B173))+ISNUMBER(SEARCH("krudo",$B173))+ISNUMBER(SEARCH("gasolina",$B173))&gt;0,1,0))</f>
        <v/>
      </c>
    </row>
    <row r="174">
      <c r="A174" s="94" t="n"/>
      <c r="B174" s="96" t="n"/>
      <c r="C174" s="96" t="n"/>
      <c r="D174" s="95" t="n"/>
      <c r="E174" s="96" t="n"/>
      <c r="F174" s="99" t="n"/>
      <c r="G174" s="95" t="n"/>
      <c r="H174" s="95" t="n"/>
      <c r="I174" s="101">
        <f>IF($B174="","",IF(COUNTIF(Setup!$A$99:$A$128,$B174)&gt;0,IF(INDEX(Setup!$B$99:$B$128,MATCH($B174,Setup!$A$99:$A$128,0))="","Overhead",INDEX(Setup!$B$99:$B$128,MATCH($B174,Setup!$A$99:$A$128,0))),IF(ISNUMBER(SEARCH("advance",$B174))+ISNUMBER(SEARCH("payout",$B174))+ISNUMBER(SEARCH("pay out",$B174))+ISNUMBER(SEARCH("reimburs",$B174))&gt;0,"Transfer",IF(ISNUMBER(SEARCH("loan",$B174))+ISNUMBER(SEARCH("amort",$B174))+ISNUMBER(SEARCH("installment",$B174))+ISNUMBER(SEARCH("instalment",$B174))&gt;0,"Financing",IF(ISNUMBER(SEARCH("draw",$B174))+ISNUMBER(SEARCH("owner",$B174))+ISNUMBER(SEARCH("asset",$B174))+ISNUMBER(SEARCH("capital",$B174))&gt;0,"Other",IF(ISNUMBER(SEARCH("fuel",$B174))+ISNUMBER(SEARCH("diesel",$B174))+ISNUMBER(SEARCH("krudo",$B174))+ISNUMBER(SEARCH("gasolina",$B174))+ISNUMBER(SEARCH("toll",$B174))+ISNUMBER(SEARCH("parking",$B174))+ISNUMBER(SEARCH("repair",$B174))+ISNUMBER(SEARCH("maintenance",$B174))+ISNUMBER(SEARCH("tire",$B174))+ISNUMBER(SEARCH("tyre",$B174))+ISNUMBER(SEARCH("battery",$B174))+ISNUMBER(SEARCH("oil",$B174))+ISNUMBER(SEARCH("filter",$B174))+ISNUMBER(SEARCH("spare",$B174))+ISNUMBER(SEARCH("insurance",$B174))+ISNUMBER(SEARCH("lto",$B174))+ISNUMBER(SEARCH("registration",$B174))+ISNUMBER(SEARCH("emission",$B174))+ISNUMBER(SEARCH("wash",$B174))+ISNUMBER(SEARCH("weigh",$B174))+ISNUMBER(SEARCH("tarp",$B174))&gt;0,"Vehicle",IF(ISNUMBER(SEARCH("rent",$B174))+ISNUMBER(SEARCH("upa",$B174))+ISNUMBER(SEARCH("salary",$B174))+ISNUMBER(SEARCH("sweldo",$B174))+ISNUMBER(SEARCH("wage",$B174))+ISNUMBER(SEARCH("electric",$B174))+ISNUMBER(SEARCH("kuryente",$B174))+ISNUMBER(SEARCH("water",$B174))+ISNUMBER(SEARCH("tubig",$B174))+ISNUMBER(SEARCH("internet",$B174))+ISNUMBER(SEARCH("pldt",$B174))+ISNUMBER(SEARCH("meralco",$B174))+ISNUMBER(SEARCH("supplies",$B174))+ISNUMBER(SEARCH("office",$B174))+ISNUMBER(SEARCH("professional",$B174))+ISNUMBER(SEARCH("accountant",$B174))+ISNUMBER(SEARCH("lawyer",$B174))+ISNUMBER(SEARCH("broker",$B174))+ISNUMBER(SEARCH("bank",$B174))+ISNUMBER(SEARCH("charge",$B174))+ISNUMBER(SEARCH("permit",$B174))+ISNUMBER(SEARCH("bir",$B174))+ISNUMBER(SEARCH("ltfrb",$B174))+ISNUMBER(SEARCH("misc",$B174))+ISNUMBER(SEARCH("fee",$B174))&gt;0,"Overhead","Overhead")))))))</f>
        <v/>
      </c>
      <c r="J174">
        <f>IF($A174="","",DATE(YEAR($A174),MONTH($A174),1))</f>
        <v/>
      </c>
      <c r="K174">
        <f>IF($B174="","",IF(COUNTIF(Setup!$A$99:$A$128,$B174)&gt;0,0,1))</f>
        <v/>
      </c>
      <c r="L174">
        <f>IF($B174="","",IF(ISNUMBER(SEARCH("advance",$B174)),"ADV",IF(OR(ISNUMBER(SEARCH("payout",$B174)),ISNUMBER(SEARCH("pay out",$B174)),ISNUMBER(SEARCH("release",$B174))),"PAY","")))</f>
        <v/>
      </c>
      <c r="M174">
        <f>IF($B174="","",IF(ISNUMBER(SEARCH("bulk",$B174)),0,IF(ISNUMBER(SEARCH("fuel",$B174))+ISNUMBER(SEARCH("diesel",$B174))+ISNUMBER(SEARCH("krudo",$B174))+ISNUMBER(SEARCH("gasolina",$B174))&gt;0,1,0)))</f>
        <v/>
      </c>
      <c r="N174">
        <f>IF($B174="","",IF(ISNUMBER(SEARCH("fuel",$B174))+ISNUMBER(SEARCH("diesel",$B174))+ISNUMBER(SEARCH("krudo",$B174))+ISNUMBER(SEARCH("gasolina",$B174))&gt;0,1,0))</f>
        <v/>
      </c>
    </row>
    <row r="175">
      <c r="A175" s="86" t="n"/>
      <c r="B175" s="88" t="n"/>
      <c r="C175" s="88" t="n"/>
      <c r="D175" s="87" t="n"/>
      <c r="E175" s="88" t="n"/>
      <c r="F175" s="92" t="n"/>
      <c r="G175" s="87" t="n"/>
      <c r="H175" s="87" t="n"/>
      <c r="I175" s="101">
        <f>IF($B175="","",IF(COUNTIF(Setup!$A$99:$A$128,$B175)&gt;0,IF(INDEX(Setup!$B$99:$B$128,MATCH($B175,Setup!$A$99:$A$128,0))="","Overhead",INDEX(Setup!$B$99:$B$128,MATCH($B175,Setup!$A$99:$A$128,0))),IF(ISNUMBER(SEARCH("advance",$B175))+ISNUMBER(SEARCH("payout",$B175))+ISNUMBER(SEARCH("pay out",$B175))+ISNUMBER(SEARCH("reimburs",$B175))&gt;0,"Transfer",IF(ISNUMBER(SEARCH("loan",$B175))+ISNUMBER(SEARCH("amort",$B175))+ISNUMBER(SEARCH("installment",$B175))+ISNUMBER(SEARCH("instalment",$B175))&gt;0,"Financing",IF(ISNUMBER(SEARCH("draw",$B175))+ISNUMBER(SEARCH("owner",$B175))+ISNUMBER(SEARCH("asset",$B175))+ISNUMBER(SEARCH("capital",$B175))&gt;0,"Other",IF(ISNUMBER(SEARCH("fuel",$B175))+ISNUMBER(SEARCH("diesel",$B175))+ISNUMBER(SEARCH("krudo",$B175))+ISNUMBER(SEARCH("gasolina",$B175))+ISNUMBER(SEARCH("toll",$B175))+ISNUMBER(SEARCH("parking",$B175))+ISNUMBER(SEARCH("repair",$B175))+ISNUMBER(SEARCH("maintenance",$B175))+ISNUMBER(SEARCH("tire",$B175))+ISNUMBER(SEARCH("tyre",$B175))+ISNUMBER(SEARCH("battery",$B175))+ISNUMBER(SEARCH("oil",$B175))+ISNUMBER(SEARCH("filter",$B175))+ISNUMBER(SEARCH("spare",$B175))+ISNUMBER(SEARCH("insurance",$B175))+ISNUMBER(SEARCH("lto",$B175))+ISNUMBER(SEARCH("registration",$B175))+ISNUMBER(SEARCH("emission",$B175))+ISNUMBER(SEARCH("wash",$B175))+ISNUMBER(SEARCH("weigh",$B175))+ISNUMBER(SEARCH("tarp",$B175))&gt;0,"Vehicle",IF(ISNUMBER(SEARCH("rent",$B175))+ISNUMBER(SEARCH("upa",$B175))+ISNUMBER(SEARCH("salary",$B175))+ISNUMBER(SEARCH("sweldo",$B175))+ISNUMBER(SEARCH("wage",$B175))+ISNUMBER(SEARCH("electric",$B175))+ISNUMBER(SEARCH("kuryente",$B175))+ISNUMBER(SEARCH("water",$B175))+ISNUMBER(SEARCH("tubig",$B175))+ISNUMBER(SEARCH("internet",$B175))+ISNUMBER(SEARCH("pldt",$B175))+ISNUMBER(SEARCH("meralco",$B175))+ISNUMBER(SEARCH("supplies",$B175))+ISNUMBER(SEARCH("office",$B175))+ISNUMBER(SEARCH("professional",$B175))+ISNUMBER(SEARCH("accountant",$B175))+ISNUMBER(SEARCH("lawyer",$B175))+ISNUMBER(SEARCH("broker",$B175))+ISNUMBER(SEARCH("bank",$B175))+ISNUMBER(SEARCH("charge",$B175))+ISNUMBER(SEARCH("permit",$B175))+ISNUMBER(SEARCH("bir",$B175))+ISNUMBER(SEARCH("ltfrb",$B175))+ISNUMBER(SEARCH("misc",$B175))+ISNUMBER(SEARCH("fee",$B175))&gt;0,"Overhead","Overhead")))))))</f>
        <v/>
      </c>
      <c r="J175">
        <f>IF($A175="","",DATE(YEAR($A175),MONTH($A175),1))</f>
        <v/>
      </c>
      <c r="K175">
        <f>IF($B175="","",IF(COUNTIF(Setup!$A$99:$A$128,$B175)&gt;0,0,1))</f>
        <v/>
      </c>
      <c r="L175">
        <f>IF($B175="","",IF(ISNUMBER(SEARCH("advance",$B175)),"ADV",IF(OR(ISNUMBER(SEARCH("payout",$B175)),ISNUMBER(SEARCH("pay out",$B175)),ISNUMBER(SEARCH("release",$B175))),"PAY","")))</f>
        <v/>
      </c>
      <c r="M175">
        <f>IF($B175="","",IF(ISNUMBER(SEARCH("bulk",$B175)),0,IF(ISNUMBER(SEARCH("fuel",$B175))+ISNUMBER(SEARCH("diesel",$B175))+ISNUMBER(SEARCH("krudo",$B175))+ISNUMBER(SEARCH("gasolina",$B175))&gt;0,1,0)))</f>
        <v/>
      </c>
      <c r="N175">
        <f>IF($B175="","",IF(ISNUMBER(SEARCH("fuel",$B175))+ISNUMBER(SEARCH("diesel",$B175))+ISNUMBER(SEARCH("krudo",$B175))+ISNUMBER(SEARCH("gasolina",$B175))&gt;0,1,0))</f>
        <v/>
      </c>
    </row>
    <row r="176">
      <c r="A176" s="94" t="n"/>
      <c r="B176" s="96" t="n"/>
      <c r="C176" s="96" t="n"/>
      <c r="D176" s="95" t="n"/>
      <c r="E176" s="96" t="n"/>
      <c r="F176" s="99" t="n"/>
      <c r="G176" s="95" t="n"/>
      <c r="H176" s="95" t="n"/>
      <c r="I176" s="101">
        <f>IF($B176="","",IF(COUNTIF(Setup!$A$99:$A$128,$B176)&gt;0,IF(INDEX(Setup!$B$99:$B$128,MATCH($B176,Setup!$A$99:$A$128,0))="","Overhead",INDEX(Setup!$B$99:$B$128,MATCH($B176,Setup!$A$99:$A$128,0))),IF(ISNUMBER(SEARCH("advance",$B176))+ISNUMBER(SEARCH("payout",$B176))+ISNUMBER(SEARCH("pay out",$B176))+ISNUMBER(SEARCH("reimburs",$B176))&gt;0,"Transfer",IF(ISNUMBER(SEARCH("loan",$B176))+ISNUMBER(SEARCH("amort",$B176))+ISNUMBER(SEARCH("installment",$B176))+ISNUMBER(SEARCH("instalment",$B176))&gt;0,"Financing",IF(ISNUMBER(SEARCH("draw",$B176))+ISNUMBER(SEARCH("owner",$B176))+ISNUMBER(SEARCH("asset",$B176))+ISNUMBER(SEARCH("capital",$B176))&gt;0,"Other",IF(ISNUMBER(SEARCH("fuel",$B176))+ISNUMBER(SEARCH("diesel",$B176))+ISNUMBER(SEARCH("krudo",$B176))+ISNUMBER(SEARCH("gasolina",$B176))+ISNUMBER(SEARCH("toll",$B176))+ISNUMBER(SEARCH("parking",$B176))+ISNUMBER(SEARCH("repair",$B176))+ISNUMBER(SEARCH("maintenance",$B176))+ISNUMBER(SEARCH("tire",$B176))+ISNUMBER(SEARCH("tyre",$B176))+ISNUMBER(SEARCH("battery",$B176))+ISNUMBER(SEARCH("oil",$B176))+ISNUMBER(SEARCH("filter",$B176))+ISNUMBER(SEARCH("spare",$B176))+ISNUMBER(SEARCH("insurance",$B176))+ISNUMBER(SEARCH("lto",$B176))+ISNUMBER(SEARCH("registration",$B176))+ISNUMBER(SEARCH("emission",$B176))+ISNUMBER(SEARCH("wash",$B176))+ISNUMBER(SEARCH("weigh",$B176))+ISNUMBER(SEARCH("tarp",$B176))&gt;0,"Vehicle",IF(ISNUMBER(SEARCH("rent",$B176))+ISNUMBER(SEARCH("upa",$B176))+ISNUMBER(SEARCH("salary",$B176))+ISNUMBER(SEARCH("sweldo",$B176))+ISNUMBER(SEARCH("wage",$B176))+ISNUMBER(SEARCH("electric",$B176))+ISNUMBER(SEARCH("kuryente",$B176))+ISNUMBER(SEARCH("water",$B176))+ISNUMBER(SEARCH("tubig",$B176))+ISNUMBER(SEARCH("internet",$B176))+ISNUMBER(SEARCH("pldt",$B176))+ISNUMBER(SEARCH("meralco",$B176))+ISNUMBER(SEARCH("supplies",$B176))+ISNUMBER(SEARCH("office",$B176))+ISNUMBER(SEARCH("professional",$B176))+ISNUMBER(SEARCH("accountant",$B176))+ISNUMBER(SEARCH("lawyer",$B176))+ISNUMBER(SEARCH("broker",$B176))+ISNUMBER(SEARCH("bank",$B176))+ISNUMBER(SEARCH("charge",$B176))+ISNUMBER(SEARCH("permit",$B176))+ISNUMBER(SEARCH("bir",$B176))+ISNUMBER(SEARCH("ltfrb",$B176))+ISNUMBER(SEARCH("misc",$B176))+ISNUMBER(SEARCH("fee",$B176))&gt;0,"Overhead","Overhead")))))))</f>
        <v/>
      </c>
      <c r="J176">
        <f>IF($A176="","",DATE(YEAR($A176),MONTH($A176),1))</f>
        <v/>
      </c>
      <c r="K176">
        <f>IF($B176="","",IF(COUNTIF(Setup!$A$99:$A$128,$B176)&gt;0,0,1))</f>
        <v/>
      </c>
      <c r="L176">
        <f>IF($B176="","",IF(ISNUMBER(SEARCH("advance",$B176)),"ADV",IF(OR(ISNUMBER(SEARCH("payout",$B176)),ISNUMBER(SEARCH("pay out",$B176)),ISNUMBER(SEARCH("release",$B176))),"PAY","")))</f>
        <v/>
      </c>
      <c r="M176">
        <f>IF($B176="","",IF(ISNUMBER(SEARCH("bulk",$B176)),0,IF(ISNUMBER(SEARCH("fuel",$B176))+ISNUMBER(SEARCH("diesel",$B176))+ISNUMBER(SEARCH("krudo",$B176))+ISNUMBER(SEARCH("gasolina",$B176))&gt;0,1,0)))</f>
        <v/>
      </c>
      <c r="N176">
        <f>IF($B176="","",IF(ISNUMBER(SEARCH("fuel",$B176))+ISNUMBER(SEARCH("diesel",$B176))+ISNUMBER(SEARCH("krudo",$B176))+ISNUMBER(SEARCH("gasolina",$B176))&gt;0,1,0))</f>
        <v/>
      </c>
    </row>
    <row r="177">
      <c r="A177" s="86" t="n"/>
      <c r="B177" s="88" t="n"/>
      <c r="C177" s="88" t="n"/>
      <c r="D177" s="87" t="n"/>
      <c r="E177" s="88" t="n"/>
      <c r="F177" s="92" t="n"/>
      <c r="G177" s="87" t="n"/>
      <c r="H177" s="87" t="n"/>
      <c r="I177" s="101">
        <f>IF($B177="","",IF(COUNTIF(Setup!$A$99:$A$128,$B177)&gt;0,IF(INDEX(Setup!$B$99:$B$128,MATCH($B177,Setup!$A$99:$A$128,0))="","Overhead",INDEX(Setup!$B$99:$B$128,MATCH($B177,Setup!$A$99:$A$128,0))),IF(ISNUMBER(SEARCH("advance",$B177))+ISNUMBER(SEARCH("payout",$B177))+ISNUMBER(SEARCH("pay out",$B177))+ISNUMBER(SEARCH("reimburs",$B177))&gt;0,"Transfer",IF(ISNUMBER(SEARCH("loan",$B177))+ISNUMBER(SEARCH("amort",$B177))+ISNUMBER(SEARCH("installment",$B177))+ISNUMBER(SEARCH("instalment",$B177))&gt;0,"Financing",IF(ISNUMBER(SEARCH("draw",$B177))+ISNUMBER(SEARCH("owner",$B177))+ISNUMBER(SEARCH("asset",$B177))+ISNUMBER(SEARCH("capital",$B177))&gt;0,"Other",IF(ISNUMBER(SEARCH("fuel",$B177))+ISNUMBER(SEARCH("diesel",$B177))+ISNUMBER(SEARCH("krudo",$B177))+ISNUMBER(SEARCH("gasolina",$B177))+ISNUMBER(SEARCH("toll",$B177))+ISNUMBER(SEARCH("parking",$B177))+ISNUMBER(SEARCH("repair",$B177))+ISNUMBER(SEARCH("maintenance",$B177))+ISNUMBER(SEARCH("tire",$B177))+ISNUMBER(SEARCH("tyre",$B177))+ISNUMBER(SEARCH("battery",$B177))+ISNUMBER(SEARCH("oil",$B177))+ISNUMBER(SEARCH("filter",$B177))+ISNUMBER(SEARCH("spare",$B177))+ISNUMBER(SEARCH("insurance",$B177))+ISNUMBER(SEARCH("lto",$B177))+ISNUMBER(SEARCH("registration",$B177))+ISNUMBER(SEARCH("emission",$B177))+ISNUMBER(SEARCH("wash",$B177))+ISNUMBER(SEARCH("weigh",$B177))+ISNUMBER(SEARCH("tarp",$B177))&gt;0,"Vehicle",IF(ISNUMBER(SEARCH("rent",$B177))+ISNUMBER(SEARCH("upa",$B177))+ISNUMBER(SEARCH("salary",$B177))+ISNUMBER(SEARCH("sweldo",$B177))+ISNUMBER(SEARCH("wage",$B177))+ISNUMBER(SEARCH("electric",$B177))+ISNUMBER(SEARCH("kuryente",$B177))+ISNUMBER(SEARCH("water",$B177))+ISNUMBER(SEARCH("tubig",$B177))+ISNUMBER(SEARCH("internet",$B177))+ISNUMBER(SEARCH("pldt",$B177))+ISNUMBER(SEARCH("meralco",$B177))+ISNUMBER(SEARCH("supplies",$B177))+ISNUMBER(SEARCH("office",$B177))+ISNUMBER(SEARCH("professional",$B177))+ISNUMBER(SEARCH("accountant",$B177))+ISNUMBER(SEARCH("lawyer",$B177))+ISNUMBER(SEARCH("broker",$B177))+ISNUMBER(SEARCH("bank",$B177))+ISNUMBER(SEARCH("charge",$B177))+ISNUMBER(SEARCH("permit",$B177))+ISNUMBER(SEARCH("bir",$B177))+ISNUMBER(SEARCH("ltfrb",$B177))+ISNUMBER(SEARCH("misc",$B177))+ISNUMBER(SEARCH("fee",$B177))&gt;0,"Overhead","Overhead")))))))</f>
        <v/>
      </c>
      <c r="J177">
        <f>IF($A177="","",DATE(YEAR($A177),MONTH($A177),1))</f>
        <v/>
      </c>
      <c r="K177">
        <f>IF($B177="","",IF(COUNTIF(Setup!$A$99:$A$128,$B177)&gt;0,0,1))</f>
        <v/>
      </c>
      <c r="L177">
        <f>IF($B177="","",IF(ISNUMBER(SEARCH("advance",$B177)),"ADV",IF(OR(ISNUMBER(SEARCH("payout",$B177)),ISNUMBER(SEARCH("pay out",$B177)),ISNUMBER(SEARCH("release",$B177))),"PAY","")))</f>
        <v/>
      </c>
      <c r="M177">
        <f>IF($B177="","",IF(ISNUMBER(SEARCH("bulk",$B177)),0,IF(ISNUMBER(SEARCH("fuel",$B177))+ISNUMBER(SEARCH("diesel",$B177))+ISNUMBER(SEARCH("krudo",$B177))+ISNUMBER(SEARCH("gasolina",$B177))&gt;0,1,0)))</f>
        <v/>
      </c>
      <c r="N177">
        <f>IF($B177="","",IF(ISNUMBER(SEARCH("fuel",$B177))+ISNUMBER(SEARCH("diesel",$B177))+ISNUMBER(SEARCH("krudo",$B177))+ISNUMBER(SEARCH("gasolina",$B177))&gt;0,1,0))</f>
        <v/>
      </c>
    </row>
    <row r="178">
      <c r="A178" s="94" t="n"/>
      <c r="B178" s="96" t="n"/>
      <c r="C178" s="96" t="n"/>
      <c r="D178" s="95" t="n"/>
      <c r="E178" s="96" t="n"/>
      <c r="F178" s="99" t="n"/>
      <c r="G178" s="95" t="n"/>
      <c r="H178" s="95" t="n"/>
      <c r="I178" s="101">
        <f>IF($B178="","",IF(COUNTIF(Setup!$A$99:$A$128,$B178)&gt;0,IF(INDEX(Setup!$B$99:$B$128,MATCH($B178,Setup!$A$99:$A$128,0))="","Overhead",INDEX(Setup!$B$99:$B$128,MATCH($B178,Setup!$A$99:$A$128,0))),IF(ISNUMBER(SEARCH("advance",$B178))+ISNUMBER(SEARCH("payout",$B178))+ISNUMBER(SEARCH("pay out",$B178))+ISNUMBER(SEARCH("reimburs",$B178))&gt;0,"Transfer",IF(ISNUMBER(SEARCH("loan",$B178))+ISNUMBER(SEARCH("amort",$B178))+ISNUMBER(SEARCH("installment",$B178))+ISNUMBER(SEARCH("instalment",$B178))&gt;0,"Financing",IF(ISNUMBER(SEARCH("draw",$B178))+ISNUMBER(SEARCH("owner",$B178))+ISNUMBER(SEARCH("asset",$B178))+ISNUMBER(SEARCH("capital",$B178))&gt;0,"Other",IF(ISNUMBER(SEARCH("fuel",$B178))+ISNUMBER(SEARCH("diesel",$B178))+ISNUMBER(SEARCH("krudo",$B178))+ISNUMBER(SEARCH("gasolina",$B178))+ISNUMBER(SEARCH("toll",$B178))+ISNUMBER(SEARCH("parking",$B178))+ISNUMBER(SEARCH("repair",$B178))+ISNUMBER(SEARCH("maintenance",$B178))+ISNUMBER(SEARCH("tire",$B178))+ISNUMBER(SEARCH("tyre",$B178))+ISNUMBER(SEARCH("battery",$B178))+ISNUMBER(SEARCH("oil",$B178))+ISNUMBER(SEARCH("filter",$B178))+ISNUMBER(SEARCH("spare",$B178))+ISNUMBER(SEARCH("insurance",$B178))+ISNUMBER(SEARCH("lto",$B178))+ISNUMBER(SEARCH("registration",$B178))+ISNUMBER(SEARCH("emission",$B178))+ISNUMBER(SEARCH("wash",$B178))+ISNUMBER(SEARCH("weigh",$B178))+ISNUMBER(SEARCH("tarp",$B178))&gt;0,"Vehicle",IF(ISNUMBER(SEARCH("rent",$B178))+ISNUMBER(SEARCH("upa",$B178))+ISNUMBER(SEARCH("salary",$B178))+ISNUMBER(SEARCH("sweldo",$B178))+ISNUMBER(SEARCH("wage",$B178))+ISNUMBER(SEARCH("electric",$B178))+ISNUMBER(SEARCH("kuryente",$B178))+ISNUMBER(SEARCH("water",$B178))+ISNUMBER(SEARCH("tubig",$B178))+ISNUMBER(SEARCH("internet",$B178))+ISNUMBER(SEARCH("pldt",$B178))+ISNUMBER(SEARCH("meralco",$B178))+ISNUMBER(SEARCH("supplies",$B178))+ISNUMBER(SEARCH("office",$B178))+ISNUMBER(SEARCH("professional",$B178))+ISNUMBER(SEARCH("accountant",$B178))+ISNUMBER(SEARCH("lawyer",$B178))+ISNUMBER(SEARCH("broker",$B178))+ISNUMBER(SEARCH("bank",$B178))+ISNUMBER(SEARCH("charge",$B178))+ISNUMBER(SEARCH("permit",$B178))+ISNUMBER(SEARCH("bir",$B178))+ISNUMBER(SEARCH("ltfrb",$B178))+ISNUMBER(SEARCH("misc",$B178))+ISNUMBER(SEARCH("fee",$B178))&gt;0,"Overhead","Overhead")))))))</f>
        <v/>
      </c>
      <c r="J178">
        <f>IF($A178="","",DATE(YEAR($A178),MONTH($A178),1))</f>
        <v/>
      </c>
      <c r="K178">
        <f>IF($B178="","",IF(COUNTIF(Setup!$A$99:$A$128,$B178)&gt;0,0,1))</f>
        <v/>
      </c>
      <c r="L178">
        <f>IF($B178="","",IF(ISNUMBER(SEARCH("advance",$B178)),"ADV",IF(OR(ISNUMBER(SEARCH("payout",$B178)),ISNUMBER(SEARCH("pay out",$B178)),ISNUMBER(SEARCH("release",$B178))),"PAY","")))</f>
        <v/>
      </c>
      <c r="M178">
        <f>IF($B178="","",IF(ISNUMBER(SEARCH("bulk",$B178)),0,IF(ISNUMBER(SEARCH("fuel",$B178))+ISNUMBER(SEARCH("diesel",$B178))+ISNUMBER(SEARCH("krudo",$B178))+ISNUMBER(SEARCH("gasolina",$B178))&gt;0,1,0)))</f>
        <v/>
      </c>
      <c r="N178">
        <f>IF($B178="","",IF(ISNUMBER(SEARCH("fuel",$B178))+ISNUMBER(SEARCH("diesel",$B178))+ISNUMBER(SEARCH("krudo",$B178))+ISNUMBER(SEARCH("gasolina",$B178))&gt;0,1,0))</f>
        <v/>
      </c>
    </row>
    <row r="179">
      <c r="A179" s="86" t="n"/>
      <c r="B179" s="88" t="n"/>
      <c r="C179" s="88" t="n"/>
      <c r="D179" s="87" t="n"/>
      <c r="E179" s="88" t="n"/>
      <c r="F179" s="92" t="n"/>
      <c r="G179" s="87" t="n"/>
      <c r="H179" s="87" t="n"/>
      <c r="I179" s="101">
        <f>IF($B179="","",IF(COUNTIF(Setup!$A$99:$A$128,$B179)&gt;0,IF(INDEX(Setup!$B$99:$B$128,MATCH($B179,Setup!$A$99:$A$128,0))="","Overhead",INDEX(Setup!$B$99:$B$128,MATCH($B179,Setup!$A$99:$A$128,0))),IF(ISNUMBER(SEARCH("advance",$B179))+ISNUMBER(SEARCH("payout",$B179))+ISNUMBER(SEARCH("pay out",$B179))+ISNUMBER(SEARCH("reimburs",$B179))&gt;0,"Transfer",IF(ISNUMBER(SEARCH("loan",$B179))+ISNUMBER(SEARCH("amort",$B179))+ISNUMBER(SEARCH("installment",$B179))+ISNUMBER(SEARCH("instalment",$B179))&gt;0,"Financing",IF(ISNUMBER(SEARCH("draw",$B179))+ISNUMBER(SEARCH("owner",$B179))+ISNUMBER(SEARCH("asset",$B179))+ISNUMBER(SEARCH("capital",$B179))&gt;0,"Other",IF(ISNUMBER(SEARCH("fuel",$B179))+ISNUMBER(SEARCH("diesel",$B179))+ISNUMBER(SEARCH("krudo",$B179))+ISNUMBER(SEARCH("gasolina",$B179))+ISNUMBER(SEARCH("toll",$B179))+ISNUMBER(SEARCH("parking",$B179))+ISNUMBER(SEARCH("repair",$B179))+ISNUMBER(SEARCH("maintenance",$B179))+ISNUMBER(SEARCH("tire",$B179))+ISNUMBER(SEARCH("tyre",$B179))+ISNUMBER(SEARCH("battery",$B179))+ISNUMBER(SEARCH("oil",$B179))+ISNUMBER(SEARCH("filter",$B179))+ISNUMBER(SEARCH("spare",$B179))+ISNUMBER(SEARCH("insurance",$B179))+ISNUMBER(SEARCH("lto",$B179))+ISNUMBER(SEARCH("registration",$B179))+ISNUMBER(SEARCH("emission",$B179))+ISNUMBER(SEARCH("wash",$B179))+ISNUMBER(SEARCH("weigh",$B179))+ISNUMBER(SEARCH("tarp",$B179))&gt;0,"Vehicle",IF(ISNUMBER(SEARCH("rent",$B179))+ISNUMBER(SEARCH("upa",$B179))+ISNUMBER(SEARCH("salary",$B179))+ISNUMBER(SEARCH("sweldo",$B179))+ISNUMBER(SEARCH("wage",$B179))+ISNUMBER(SEARCH("electric",$B179))+ISNUMBER(SEARCH("kuryente",$B179))+ISNUMBER(SEARCH("water",$B179))+ISNUMBER(SEARCH("tubig",$B179))+ISNUMBER(SEARCH("internet",$B179))+ISNUMBER(SEARCH("pldt",$B179))+ISNUMBER(SEARCH("meralco",$B179))+ISNUMBER(SEARCH("supplies",$B179))+ISNUMBER(SEARCH("office",$B179))+ISNUMBER(SEARCH("professional",$B179))+ISNUMBER(SEARCH("accountant",$B179))+ISNUMBER(SEARCH("lawyer",$B179))+ISNUMBER(SEARCH("broker",$B179))+ISNUMBER(SEARCH("bank",$B179))+ISNUMBER(SEARCH("charge",$B179))+ISNUMBER(SEARCH("permit",$B179))+ISNUMBER(SEARCH("bir",$B179))+ISNUMBER(SEARCH("ltfrb",$B179))+ISNUMBER(SEARCH("misc",$B179))+ISNUMBER(SEARCH("fee",$B179))&gt;0,"Overhead","Overhead")))))))</f>
        <v/>
      </c>
      <c r="J179">
        <f>IF($A179="","",DATE(YEAR($A179),MONTH($A179),1))</f>
        <v/>
      </c>
      <c r="K179">
        <f>IF($B179="","",IF(COUNTIF(Setup!$A$99:$A$128,$B179)&gt;0,0,1))</f>
        <v/>
      </c>
      <c r="L179">
        <f>IF($B179="","",IF(ISNUMBER(SEARCH("advance",$B179)),"ADV",IF(OR(ISNUMBER(SEARCH("payout",$B179)),ISNUMBER(SEARCH("pay out",$B179)),ISNUMBER(SEARCH("release",$B179))),"PAY","")))</f>
        <v/>
      </c>
      <c r="M179">
        <f>IF($B179="","",IF(ISNUMBER(SEARCH("bulk",$B179)),0,IF(ISNUMBER(SEARCH("fuel",$B179))+ISNUMBER(SEARCH("diesel",$B179))+ISNUMBER(SEARCH("krudo",$B179))+ISNUMBER(SEARCH("gasolina",$B179))&gt;0,1,0)))</f>
        <v/>
      </c>
      <c r="N179">
        <f>IF($B179="","",IF(ISNUMBER(SEARCH("fuel",$B179))+ISNUMBER(SEARCH("diesel",$B179))+ISNUMBER(SEARCH("krudo",$B179))+ISNUMBER(SEARCH("gasolina",$B179))&gt;0,1,0))</f>
        <v/>
      </c>
    </row>
    <row r="180">
      <c r="A180" s="94" t="n"/>
      <c r="B180" s="96" t="n"/>
      <c r="C180" s="96" t="n"/>
      <c r="D180" s="95" t="n"/>
      <c r="E180" s="96" t="n"/>
      <c r="F180" s="99" t="n"/>
      <c r="G180" s="95" t="n"/>
      <c r="H180" s="95" t="n"/>
      <c r="I180" s="101">
        <f>IF($B180="","",IF(COUNTIF(Setup!$A$99:$A$128,$B180)&gt;0,IF(INDEX(Setup!$B$99:$B$128,MATCH($B180,Setup!$A$99:$A$128,0))="","Overhead",INDEX(Setup!$B$99:$B$128,MATCH($B180,Setup!$A$99:$A$128,0))),IF(ISNUMBER(SEARCH("advance",$B180))+ISNUMBER(SEARCH("payout",$B180))+ISNUMBER(SEARCH("pay out",$B180))+ISNUMBER(SEARCH("reimburs",$B180))&gt;0,"Transfer",IF(ISNUMBER(SEARCH("loan",$B180))+ISNUMBER(SEARCH("amort",$B180))+ISNUMBER(SEARCH("installment",$B180))+ISNUMBER(SEARCH("instalment",$B180))&gt;0,"Financing",IF(ISNUMBER(SEARCH("draw",$B180))+ISNUMBER(SEARCH("owner",$B180))+ISNUMBER(SEARCH("asset",$B180))+ISNUMBER(SEARCH("capital",$B180))&gt;0,"Other",IF(ISNUMBER(SEARCH("fuel",$B180))+ISNUMBER(SEARCH("diesel",$B180))+ISNUMBER(SEARCH("krudo",$B180))+ISNUMBER(SEARCH("gasolina",$B180))+ISNUMBER(SEARCH("toll",$B180))+ISNUMBER(SEARCH("parking",$B180))+ISNUMBER(SEARCH("repair",$B180))+ISNUMBER(SEARCH("maintenance",$B180))+ISNUMBER(SEARCH("tire",$B180))+ISNUMBER(SEARCH("tyre",$B180))+ISNUMBER(SEARCH("battery",$B180))+ISNUMBER(SEARCH("oil",$B180))+ISNUMBER(SEARCH("filter",$B180))+ISNUMBER(SEARCH("spare",$B180))+ISNUMBER(SEARCH("insurance",$B180))+ISNUMBER(SEARCH("lto",$B180))+ISNUMBER(SEARCH("registration",$B180))+ISNUMBER(SEARCH("emission",$B180))+ISNUMBER(SEARCH("wash",$B180))+ISNUMBER(SEARCH("weigh",$B180))+ISNUMBER(SEARCH("tarp",$B180))&gt;0,"Vehicle",IF(ISNUMBER(SEARCH("rent",$B180))+ISNUMBER(SEARCH("upa",$B180))+ISNUMBER(SEARCH("salary",$B180))+ISNUMBER(SEARCH("sweldo",$B180))+ISNUMBER(SEARCH("wage",$B180))+ISNUMBER(SEARCH("electric",$B180))+ISNUMBER(SEARCH("kuryente",$B180))+ISNUMBER(SEARCH("water",$B180))+ISNUMBER(SEARCH("tubig",$B180))+ISNUMBER(SEARCH("internet",$B180))+ISNUMBER(SEARCH("pldt",$B180))+ISNUMBER(SEARCH("meralco",$B180))+ISNUMBER(SEARCH("supplies",$B180))+ISNUMBER(SEARCH("office",$B180))+ISNUMBER(SEARCH("professional",$B180))+ISNUMBER(SEARCH("accountant",$B180))+ISNUMBER(SEARCH("lawyer",$B180))+ISNUMBER(SEARCH("broker",$B180))+ISNUMBER(SEARCH("bank",$B180))+ISNUMBER(SEARCH("charge",$B180))+ISNUMBER(SEARCH("permit",$B180))+ISNUMBER(SEARCH("bir",$B180))+ISNUMBER(SEARCH("ltfrb",$B180))+ISNUMBER(SEARCH("misc",$B180))+ISNUMBER(SEARCH("fee",$B180))&gt;0,"Overhead","Overhead")))))))</f>
        <v/>
      </c>
      <c r="J180">
        <f>IF($A180="","",DATE(YEAR($A180),MONTH($A180),1))</f>
        <v/>
      </c>
      <c r="K180">
        <f>IF($B180="","",IF(COUNTIF(Setup!$A$99:$A$128,$B180)&gt;0,0,1))</f>
        <v/>
      </c>
      <c r="L180">
        <f>IF($B180="","",IF(ISNUMBER(SEARCH("advance",$B180)),"ADV",IF(OR(ISNUMBER(SEARCH("payout",$B180)),ISNUMBER(SEARCH("pay out",$B180)),ISNUMBER(SEARCH("release",$B180))),"PAY","")))</f>
        <v/>
      </c>
      <c r="M180">
        <f>IF($B180="","",IF(ISNUMBER(SEARCH("bulk",$B180)),0,IF(ISNUMBER(SEARCH("fuel",$B180))+ISNUMBER(SEARCH("diesel",$B180))+ISNUMBER(SEARCH("krudo",$B180))+ISNUMBER(SEARCH("gasolina",$B180))&gt;0,1,0)))</f>
        <v/>
      </c>
      <c r="N180">
        <f>IF($B180="","",IF(ISNUMBER(SEARCH("fuel",$B180))+ISNUMBER(SEARCH("diesel",$B180))+ISNUMBER(SEARCH("krudo",$B180))+ISNUMBER(SEARCH("gasolina",$B180))&gt;0,1,0))</f>
        <v/>
      </c>
    </row>
    <row r="181">
      <c r="A181" s="86" t="n"/>
      <c r="B181" s="88" t="n"/>
      <c r="C181" s="88" t="n"/>
      <c r="D181" s="87" t="n"/>
      <c r="E181" s="88" t="n"/>
      <c r="F181" s="92" t="n"/>
      <c r="G181" s="87" t="n"/>
      <c r="H181" s="87" t="n"/>
      <c r="I181" s="101">
        <f>IF($B181="","",IF(COUNTIF(Setup!$A$99:$A$128,$B181)&gt;0,IF(INDEX(Setup!$B$99:$B$128,MATCH($B181,Setup!$A$99:$A$128,0))="","Overhead",INDEX(Setup!$B$99:$B$128,MATCH($B181,Setup!$A$99:$A$128,0))),IF(ISNUMBER(SEARCH("advance",$B181))+ISNUMBER(SEARCH("payout",$B181))+ISNUMBER(SEARCH("pay out",$B181))+ISNUMBER(SEARCH("reimburs",$B181))&gt;0,"Transfer",IF(ISNUMBER(SEARCH("loan",$B181))+ISNUMBER(SEARCH("amort",$B181))+ISNUMBER(SEARCH("installment",$B181))+ISNUMBER(SEARCH("instalment",$B181))&gt;0,"Financing",IF(ISNUMBER(SEARCH("draw",$B181))+ISNUMBER(SEARCH("owner",$B181))+ISNUMBER(SEARCH("asset",$B181))+ISNUMBER(SEARCH("capital",$B181))&gt;0,"Other",IF(ISNUMBER(SEARCH("fuel",$B181))+ISNUMBER(SEARCH("diesel",$B181))+ISNUMBER(SEARCH("krudo",$B181))+ISNUMBER(SEARCH("gasolina",$B181))+ISNUMBER(SEARCH("toll",$B181))+ISNUMBER(SEARCH("parking",$B181))+ISNUMBER(SEARCH("repair",$B181))+ISNUMBER(SEARCH("maintenance",$B181))+ISNUMBER(SEARCH("tire",$B181))+ISNUMBER(SEARCH("tyre",$B181))+ISNUMBER(SEARCH("battery",$B181))+ISNUMBER(SEARCH("oil",$B181))+ISNUMBER(SEARCH("filter",$B181))+ISNUMBER(SEARCH("spare",$B181))+ISNUMBER(SEARCH("insurance",$B181))+ISNUMBER(SEARCH("lto",$B181))+ISNUMBER(SEARCH("registration",$B181))+ISNUMBER(SEARCH("emission",$B181))+ISNUMBER(SEARCH("wash",$B181))+ISNUMBER(SEARCH("weigh",$B181))+ISNUMBER(SEARCH("tarp",$B181))&gt;0,"Vehicle",IF(ISNUMBER(SEARCH("rent",$B181))+ISNUMBER(SEARCH("upa",$B181))+ISNUMBER(SEARCH("salary",$B181))+ISNUMBER(SEARCH("sweldo",$B181))+ISNUMBER(SEARCH("wage",$B181))+ISNUMBER(SEARCH("electric",$B181))+ISNUMBER(SEARCH("kuryente",$B181))+ISNUMBER(SEARCH("water",$B181))+ISNUMBER(SEARCH("tubig",$B181))+ISNUMBER(SEARCH("internet",$B181))+ISNUMBER(SEARCH("pldt",$B181))+ISNUMBER(SEARCH("meralco",$B181))+ISNUMBER(SEARCH("supplies",$B181))+ISNUMBER(SEARCH("office",$B181))+ISNUMBER(SEARCH("professional",$B181))+ISNUMBER(SEARCH("accountant",$B181))+ISNUMBER(SEARCH("lawyer",$B181))+ISNUMBER(SEARCH("broker",$B181))+ISNUMBER(SEARCH("bank",$B181))+ISNUMBER(SEARCH("charge",$B181))+ISNUMBER(SEARCH("permit",$B181))+ISNUMBER(SEARCH("bir",$B181))+ISNUMBER(SEARCH("ltfrb",$B181))+ISNUMBER(SEARCH("misc",$B181))+ISNUMBER(SEARCH("fee",$B181))&gt;0,"Overhead","Overhead")))))))</f>
        <v/>
      </c>
      <c r="J181">
        <f>IF($A181="","",DATE(YEAR($A181),MONTH($A181),1))</f>
        <v/>
      </c>
      <c r="K181">
        <f>IF($B181="","",IF(COUNTIF(Setup!$A$99:$A$128,$B181)&gt;0,0,1))</f>
        <v/>
      </c>
      <c r="L181">
        <f>IF($B181="","",IF(ISNUMBER(SEARCH("advance",$B181)),"ADV",IF(OR(ISNUMBER(SEARCH("payout",$B181)),ISNUMBER(SEARCH("pay out",$B181)),ISNUMBER(SEARCH("release",$B181))),"PAY","")))</f>
        <v/>
      </c>
      <c r="M181">
        <f>IF($B181="","",IF(ISNUMBER(SEARCH("bulk",$B181)),0,IF(ISNUMBER(SEARCH("fuel",$B181))+ISNUMBER(SEARCH("diesel",$B181))+ISNUMBER(SEARCH("krudo",$B181))+ISNUMBER(SEARCH("gasolina",$B181))&gt;0,1,0)))</f>
        <v/>
      </c>
      <c r="N181">
        <f>IF($B181="","",IF(ISNUMBER(SEARCH("fuel",$B181))+ISNUMBER(SEARCH("diesel",$B181))+ISNUMBER(SEARCH("krudo",$B181))+ISNUMBER(SEARCH("gasolina",$B181))&gt;0,1,0))</f>
        <v/>
      </c>
    </row>
    <row r="182">
      <c r="A182" s="94" t="n"/>
      <c r="B182" s="96" t="n"/>
      <c r="C182" s="96" t="n"/>
      <c r="D182" s="95" t="n"/>
      <c r="E182" s="96" t="n"/>
      <c r="F182" s="99" t="n"/>
      <c r="G182" s="95" t="n"/>
      <c r="H182" s="95" t="n"/>
      <c r="I182" s="101">
        <f>IF($B182="","",IF(COUNTIF(Setup!$A$99:$A$128,$B182)&gt;0,IF(INDEX(Setup!$B$99:$B$128,MATCH($B182,Setup!$A$99:$A$128,0))="","Overhead",INDEX(Setup!$B$99:$B$128,MATCH($B182,Setup!$A$99:$A$128,0))),IF(ISNUMBER(SEARCH("advance",$B182))+ISNUMBER(SEARCH("payout",$B182))+ISNUMBER(SEARCH("pay out",$B182))+ISNUMBER(SEARCH("reimburs",$B182))&gt;0,"Transfer",IF(ISNUMBER(SEARCH("loan",$B182))+ISNUMBER(SEARCH("amort",$B182))+ISNUMBER(SEARCH("installment",$B182))+ISNUMBER(SEARCH("instalment",$B182))&gt;0,"Financing",IF(ISNUMBER(SEARCH("draw",$B182))+ISNUMBER(SEARCH("owner",$B182))+ISNUMBER(SEARCH("asset",$B182))+ISNUMBER(SEARCH("capital",$B182))&gt;0,"Other",IF(ISNUMBER(SEARCH("fuel",$B182))+ISNUMBER(SEARCH("diesel",$B182))+ISNUMBER(SEARCH("krudo",$B182))+ISNUMBER(SEARCH("gasolina",$B182))+ISNUMBER(SEARCH("toll",$B182))+ISNUMBER(SEARCH("parking",$B182))+ISNUMBER(SEARCH("repair",$B182))+ISNUMBER(SEARCH("maintenance",$B182))+ISNUMBER(SEARCH("tire",$B182))+ISNUMBER(SEARCH("tyre",$B182))+ISNUMBER(SEARCH("battery",$B182))+ISNUMBER(SEARCH("oil",$B182))+ISNUMBER(SEARCH("filter",$B182))+ISNUMBER(SEARCH("spare",$B182))+ISNUMBER(SEARCH("insurance",$B182))+ISNUMBER(SEARCH("lto",$B182))+ISNUMBER(SEARCH("registration",$B182))+ISNUMBER(SEARCH("emission",$B182))+ISNUMBER(SEARCH("wash",$B182))+ISNUMBER(SEARCH("weigh",$B182))+ISNUMBER(SEARCH("tarp",$B182))&gt;0,"Vehicle",IF(ISNUMBER(SEARCH("rent",$B182))+ISNUMBER(SEARCH("upa",$B182))+ISNUMBER(SEARCH("salary",$B182))+ISNUMBER(SEARCH("sweldo",$B182))+ISNUMBER(SEARCH("wage",$B182))+ISNUMBER(SEARCH("electric",$B182))+ISNUMBER(SEARCH("kuryente",$B182))+ISNUMBER(SEARCH("water",$B182))+ISNUMBER(SEARCH("tubig",$B182))+ISNUMBER(SEARCH("internet",$B182))+ISNUMBER(SEARCH("pldt",$B182))+ISNUMBER(SEARCH("meralco",$B182))+ISNUMBER(SEARCH("supplies",$B182))+ISNUMBER(SEARCH("office",$B182))+ISNUMBER(SEARCH("professional",$B182))+ISNUMBER(SEARCH("accountant",$B182))+ISNUMBER(SEARCH("lawyer",$B182))+ISNUMBER(SEARCH("broker",$B182))+ISNUMBER(SEARCH("bank",$B182))+ISNUMBER(SEARCH("charge",$B182))+ISNUMBER(SEARCH("permit",$B182))+ISNUMBER(SEARCH("bir",$B182))+ISNUMBER(SEARCH("ltfrb",$B182))+ISNUMBER(SEARCH("misc",$B182))+ISNUMBER(SEARCH("fee",$B182))&gt;0,"Overhead","Overhead")))))))</f>
        <v/>
      </c>
      <c r="J182">
        <f>IF($A182="","",DATE(YEAR($A182),MONTH($A182),1))</f>
        <v/>
      </c>
      <c r="K182">
        <f>IF($B182="","",IF(COUNTIF(Setup!$A$99:$A$128,$B182)&gt;0,0,1))</f>
        <v/>
      </c>
      <c r="L182">
        <f>IF($B182="","",IF(ISNUMBER(SEARCH("advance",$B182)),"ADV",IF(OR(ISNUMBER(SEARCH("payout",$B182)),ISNUMBER(SEARCH("pay out",$B182)),ISNUMBER(SEARCH("release",$B182))),"PAY","")))</f>
        <v/>
      </c>
      <c r="M182">
        <f>IF($B182="","",IF(ISNUMBER(SEARCH("bulk",$B182)),0,IF(ISNUMBER(SEARCH("fuel",$B182))+ISNUMBER(SEARCH("diesel",$B182))+ISNUMBER(SEARCH("krudo",$B182))+ISNUMBER(SEARCH("gasolina",$B182))&gt;0,1,0)))</f>
        <v/>
      </c>
      <c r="N182">
        <f>IF($B182="","",IF(ISNUMBER(SEARCH("fuel",$B182))+ISNUMBER(SEARCH("diesel",$B182))+ISNUMBER(SEARCH("krudo",$B182))+ISNUMBER(SEARCH("gasolina",$B182))&gt;0,1,0))</f>
        <v/>
      </c>
    </row>
    <row r="183">
      <c r="A183" s="86" t="n"/>
      <c r="B183" s="88" t="n"/>
      <c r="C183" s="88" t="n"/>
      <c r="D183" s="87" t="n"/>
      <c r="E183" s="88" t="n"/>
      <c r="F183" s="92" t="n"/>
      <c r="G183" s="87" t="n"/>
      <c r="H183" s="87" t="n"/>
      <c r="I183" s="101">
        <f>IF($B183="","",IF(COUNTIF(Setup!$A$99:$A$128,$B183)&gt;0,IF(INDEX(Setup!$B$99:$B$128,MATCH($B183,Setup!$A$99:$A$128,0))="","Overhead",INDEX(Setup!$B$99:$B$128,MATCH($B183,Setup!$A$99:$A$128,0))),IF(ISNUMBER(SEARCH("advance",$B183))+ISNUMBER(SEARCH("payout",$B183))+ISNUMBER(SEARCH("pay out",$B183))+ISNUMBER(SEARCH("reimburs",$B183))&gt;0,"Transfer",IF(ISNUMBER(SEARCH("loan",$B183))+ISNUMBER(SEARCH("amort",$B183))+ISNUMBER(SEARCH("installment",$B183))+ISNUMBER(SEARCH("instalment",$B183))&gt;0,"Financing",IF(ISNUMBER(SEARCH("draw",$B183))+ISNUMBER(SEARCH("owner",$B183))+ISNUMBER(SEARCH("asset",$B183))+ISNUMBER(SEARCH("capital",$B183))&gt;0,"Other",IF(ISNUMBER(SEARCH("fuel",$B183))+ISNUMBER(SEARCH("diesel",$B183))+ISNUMBER(SEARCH("krudo",$B183))+ISNUMBER(SEARCH("gasolina",$B183))+ISNUMBER(SEARCH("toll",$B183))+ISNUMBER(SEARCH("parking",$B183))+ISNUMBER(SEARCH("repair",$B183))+ISNUMBER(SEARCH("maintenance",$B183))+ISNUMBER(SEARCH("tire",$B183))+ISNUMBER(SEARCH("tyre",$B183))+ISNUMBER(SEARCH("battery",$B183))+ISNUMBER(SEARCH("oil",$B183))+ISNUMBER(SEARCH("filter",$B183))+ISNUMBER(SEARCH("spare",$B183))+ISNUMBER(SEARCH("insurance",$B183))+ISNUMBER(SEARCH("lto",$B183))+ISNUMBER(SEARCH("registration",$B183))+ISNUMBER(SEARCH("emission",$B183))+ISNUMBER(SEARCH("wash",$B183))+ISNUMBER(SEARCH("weigh",$B183))+ISNUMBER(SEARCH("tarp",$B183))&gt;0,"Vehicle",IF(ISNUMBER(SEARCH("rent",$B183))+ISNUMBER(SEARCH("upa",$B183))+ISNUMBER(SEARCH("salary",$B183))+ISNUMBER(SEARCH("sweldo",$B183))+ISNUMBER(SEARCH("wage",$B183))+ISNUMBER(SEARCH("electric",$B183))+ISNUMBER(SEARCH("kuryente",$B183))+ISNUMBER(SEARCH("water",$B183))+ISNUMBER(SEARCH("tubig",$B183))+ISNUMBER(SEARCH("internet",$B183))+ISNUMBER(SEARCH("pldt",$B183))+ISNUMBER(SEARCH("meralco",$B183))+ISNUMBER(SEARCH("supplies",$B183))+ISNUMBER(SEARCH("office",$B183))+ISNUMBER(SEARCH("professional",$B183))+ISNUMBER(SEARCH("accountant",$B183))+ISNUMBER(SEARCH("lawyer",$B183))+ISNUMBER(SEARCH("broker",$B183))+ISNUMBER(SEARCH("bank",$B183))+ISNUMBER(SEARCH("charge",$B183))+ISNUMBER(SEARCH("permit",$B183))+ISNUMBER(SEARCH("bir",$B183))+ISNUMBER(SEARCH("ltfrb",$B183))+ISNUMBER(SEARCH("misc",$B183))+ISNUMBER(SEARCH("fee",$B183))&gt;0,"Overhead","Overhead")))))))</f>
        <v/>
      </c>
      <c r="J183">
        <f>IF($A183="","",DATE(YEAR($A183),MONTH($A183),1))</f>
        <v/>
      </c>
      <c r="K183">
        <f>IF($B183="","",IF(COUNTIF(Setup!$A$99:$A$128,$B183)&gt;0,0,1))</f>
        <v/>
      </c>
      <c r="L183">
        <f>IF($B183="","",IF(ISNUMBER(SEARCH("advance",$B183)),"ADV",IF(OR(ISNUMBER(SEARCH("payout",$B183)),ISNUMBER(SEARCH("pay out",$B183)),ISNUMBER(SEARCH("release",$B183))),"PAY","")))</f>
        <v/>
      </c>
      <c r="M183">
        <f>IF($B183="","",IF(ISNUMBER(SEARCH("bulk",$B183)),0,IF(ISNUMBER(SEARCH("fuel",$B183))+ISNUMBER(SEARCH("diesel",$B183))+ISNUMBER(SEARCH("krudo",$B183))+ISNUMBER(SEARCH("gasolina",$B183))&gt;0,1,0)))</f>
        <v/>
      </c>
      <c r="N183">
        <f>IF($B183="","",IF(ISNUMBER(SEARCH("fuel",$B183))+ISNUMBER(SEARCH("diesel",$B183))+ISNUMBER(SEARCH("krudo",$B183))+ISNUMBER(SEARCH("gasolina",$B183))&gt;0,1,0))</f>
        <v/>
      </c>
    </row>
    <row r="184">
      <c r="A184" s="94" t="n"/>
      <c r="B184" s="96" t="n"/>
      <c r="C184" s="96" t="n"/>
      <c r="D184" s="95" t="n"/>
      <c r="E184" s="96" t="n"/>
      <c r="F184" s="99" t="n"/>
      <c r="G184" s="95" t="n"/>
      <c r="H184" s="95" t="n"/>
      <c r="I184" s="101">
        <f>IF($B184="","",IF(COUNTIF(Setup!$A$99:$A$128,$B184)&gt;0,IF(INDEX(Setup!$B$99:$B$128,MATCH($B184,Setup!$A$99:$A$128,0))="","Overhead",INDEX(Setup!$B$99:$B$128,MATCH($B184,Setup!$A$99:$A$128,0))),IF(ISNUMBER(SEARCH("advance",$B184))+ISNUMBER(SEARCH("payout",$B184))+ISNUMBER(SEARCH("pay out",$B184))+ISNUMBER(SEARCH("reimburs",$B184))&gt;0,"Transfer",IF(ISNUMBER(SEARCH("loan",$B184))+ISNUMBER(SEARCH("amort",$B184))+ISNUMBER(SEARCH("installment",$B184))+ISNUMBER(SEARCH("instalment",$B184))&gt;0,"Financing",IF(ISNUMBER(SEARCH("draw",$B184))+ISNUMBER(SEARCH("owner",$B184))+ISNUMBER(SEARCH("asset",$B184))+ISNUMBER(SEARCH("capital",$B184))&gt;0,"Other",IF(ISNUMBER(SEARCH("fuel",$B184))+ISNUMBER(SEARCH("diesel",$B184))+ISNUMBER(SEARCH("krudo",$B184))+ISNUMBER(SEARCH("gasolina",$B184))+ISNUMBER(SEARCH("toll",$B184))+ISNUMBER(SEARCH("parking",$B184))+ISNUMBER(SEARCH("repair",$B184))+ISNUMBER(SEARCH("maintenance",$B184))+ISNUMBER(SEARCH("tire",$B184))+ISNUMBER(SEARCH("tyre",$B184))+ISNUMBER(SEARCH("battery",$B184))+ISNUMBER(SEARCH("oil",$B184))+ISNUMBER(SEARCH("filter",$B184))+ISNUMBER(SEARCH("spare",$B184))+ISNUMBER(SEARCH("insurance",$B184))+ISNUMBER(SEARCH("lto",$B184))+ISNUMBER(SEARCH("registration",$B184))+ISNUMBER(SEARCH("emission",$B184))+ISNUMBER(SEARCH("wash",$B184))+ISNUMBER(SEARCH("weigh",$B184))+ISNUMBER(SEARCH("tarp",$B184))&gt;0,"Vehicle",IF(ISNUMBER(SEARCH("rent",$B184))+ISNUMBER(SEARCH("upa",$B184))+ISNUMBER(SEARCH("salary",$B184))+ISNUMBER(SEARCH("sweldo",$B184))+ISNUMBER(SEARCH("wage",$B184))+ISNUMBER(SEARCH("electric",$B184))+ISNUMBER(SEARCH("kuryente",$B184))+ISNUMBER(SEARCH("water",$B184))+ISNUMBER(SEARCH("tubig",$B184))+ISNUMBER(SEARCH("internet",$B184))+ISNUMBER(SEARCH("pldt",$B184))+ISNUMBER(SEARCH("meralco",$B184))+ISNUMBER(SEARCH("supplies",$B184))+ISNUMBER(SEARCH("office",$B184))+ISNUMBER(SEARCH("professional",$B184))+ISNUMBER(SEARCH("accountant",$B184))+ISNUMBER(SEARCH("lawyer",$B184))+ISNUMBER(SEARCH("broker",$B184))+ISNUMBER(SEARCH("bank",$B184))+ISNUMBER(SEARCH("charge",$B184))+ISNUMBER(SEARCH("permit",$B184))+ISNUMBER(SEARCH("bir",$B184))+ISNUMBER(SEARCH("ltfrb",$B184))+ISNUMBER(SEARCH("misc",$B184))+ISNUMBER(SEARCH("fee",$B184))&gt;0,"Overhead","Overhead")))))))</f>
        <v/>
      </c>
      <c r="J184">
        <f>IF($A184="","",DATE(YEAR($A184),MONTH($A184),1))</f>
        <v/>
      </c>
      <c r="K184">
        <f>IF($B184="","",IF(COUNTIF(Setup!$A$99:$A$128,$B184)&gt;0,0,1))</f>
        <v/>
      </c>
      <c r="L184">
        <f>IF($B184="","",IF(ISNUMBER(SEARCH("advance",$B184)),"ADV",IF(OR(ISNUMBER(SEARCH("payout",$B184)),ISNUMBER(SEARCH("pay out",$B184)),ISNUMBER(SEARCH("release",$B184))),"PAY","")))</f>
        <v/>
      </c>
      <c r="M184">
        <f>IF($B184="","",IF(ISNUMBER(SEARCH("bulk",$B184)),0,IF(ISNUMBER(SEARCH("fuel",$B184))+ISNUMBER(SEARCH("diesel",$B184))+ISNUMBER(SEARCH("krudo",$B184))+ISNUMBER(SEARCH("gasolina",$B184))&gt;0,1,0)))</f>
        <v/>
      </c>
      <c r="N184">
        <f>IF($B184="","",IF(ISNUMBER(SEARCH("fuel",$B184))+ISNUMBER(SEARCH("diesel",$B184))+ISNUMBER(SEARCH("krudo",$B184))+ISNUMBER(SEARCH("gasolina",$B184))&gt;0,1,0))</f>
        <v/>
      </c>
    </row>
    <row r="185">
      <c r="A185" s="86" t="n"/>
      <c r="B185" s="88" t="n"/>
      <c r="C185" s="88" t="n"/>
      <c r="D185" s="87" t="n"/>
      <c r="E185" s="88" t="n"/>
      <c r="F185" s="92" t="n"/>
      <c r="G185" s="87" t="n"/>
      <c r="H185" s="87" t="n"/>
      <c r="I185" s="101">
        <f>IF($B185="","",IF(COUNTIF(Setup!$A$99:$A$128,$B185)&gt;0,IF(INDEX(Setup!$B$99:$B$128,MATCH($B185,Setup!$A$99:$A$128,0))="","Overhead",INDEX(Setup!$B$99:$B$128,MATCH($B185,Setup!$A$99:$A$128,0))),IF(ISNUMBER(SEARCH("advance",$B185))+ISNUMBER(SEARCH("payout",$B185))+ISNUMBER(SEARCH("pay out",$B185))+ISNUMBER(SEARCH("reimburs",$B185))&gt;0,"Transfer",IF(ISNUMBER(SEARCH("loan",$B185))+ISNUMBER(SEARCH("amort",$B185))+ISNUMBER(SEARCH("installment",$B185))+ISNUMBER(SEARCH("instalment",$B185))&gt;0,"Financing",IF(ISNUMBER(SEARCH("draw",$B185))+ISNUMBER(SEARCH("owner",$B185))+ISNUMBER(SEARCH("asset",$B185))+ISNUMBER(SEARCH("capital",$B185))&gt;0,"Other",IF(ISNUMBER(SEARCH("fuel",$B185))+ISNUMBER(SEARCH("diesel",$B185))+ISNUMBER(SEARCH("krudo",$B185))+ISNUMBER(SEARCH("gasolina",$B185))+ISNUMBER(SEARCH("toll",$B185))+ISNUMBER(SEARCH("parking",$B185))+ISNUMBER(SEARCH("repair",$B185))+ISNUMBER(SEARCH("maintenance",$B185))+ISNUMBER(SEARCH("tire",$B185))+ISNUMBER(SEARCH("tyre",$B185))+ISNUMBER(SEARCH("battery",$B185))+ISNUMBER(SEARCH("oil",$B185))+ISNUMBER(SEARCH("filter",$B185))+ISNUMBER(SEARCH("spare",$B185))+ISNUMBER(SEARCH("insurance",$B185))+ISNUMBER(SEARCH("lto",$B185))+ISNUMBER(SEARCH("registration",$B185))+ISNUMBER(SEARCH("emission",$B185))+ISNUMBER(SEARCH("wash",$B185))+ISNUMBER(SEARCH("weigh",$B185))+ISNUMBER(SEARCH("tarp",$B185))&gt;0,"Vehicle",IF(ISNUMBER(SEARCH("rent",$B185))+ISNUMBER(SEARCH("upa",$B185))+ISNUMBER(SEARCH("salary",$B185))+ISNUMBER(SEARCH("sweldo",$B185))+ISNUMBER(SEARCH("wage",$B185))+ISNUMBER(SEARCH("electric",$B185))+ISNUMBER(SEARCH("kuryente",$B185))+ISNUMBER(SEARCH("water",$B185))+ISNUMBER(SEARCH("tubig",$B185))+ISNUMBER(SEARCH("internet",$B185))+ISNUMBER(SEARCH("pldt",$B185))+ISNUMBER(SEARCH("meralco",$B185))+ISNUMBER(SEARCH("supplies",$B185))+ISNUMBER(SEARCH("office",$B185))+ISNUMBER(SEARCH("professional",$B185))+ISNUMBER(SEARCH("accountant",$B185))+ISNUMBER(SEARCH("lawyer",$B185))+ISNUMBER(SEARCH("broker",$B185))+ISNUMBER(SEARCH("bank",$B185))+ISNUMBER(SEARCH("charge",$B185))+ISNUMBER(SEARCH("permit",$B185))+ISNUMBER(SEARCH("bir",$B185))+ISNUMBER(SEARCH("ltfrb",$B185))+ISNUMBER(SEARCH("misc",$B185))+ISNUMBER(SEARCH("fee",$B185))&gt;0,"Overhead","Overhead")))))))</f>
        <v/>
      </c>
      <c r="J185">
        <f>IF($A185="","",DATE(YEAR($A185),MONTH($A185),1))</f>
        <v/>
      </c>
      <c r="K185">
        <f>IF($B185="","",IF(COUNTIF(Setup!$A$99:$A$128,$B185)&gt;0,0,1))</f>
        <v/>
      </c>
      <c r="L185">
        <f>IF($B185="","",IF(ISNUMBER(SEARCH("advance",$B185)),"ADV",IF(OR(ISNUMBER(SEARCH("payout",$B185)),ISNUMBER(SEARCH("pay out",$B185)),ISNUMBER(SEARCH("release",$B185))),"PAY","")))</f>
        <v/>
      </c>
      <c r="M185">
        <f>IF($B185="","",IF(ISNUMBER(SEARCH("bulk",$B185)),0,IF(ISNUMBER(SEARCH("fuel",$B185))+ISNUMBER(SEARCH("diesel",$B185))+ISNUMBER(SEARCH("krudo",$B185))+ISNUMBER(SEARCH("gasolina",$B185))&gt;0,1,0)))</f>
        <v/>
      </c>
      <c r="N185">
        <f>IF($B185="","",IF(ISNUMBER(SEARCH("fuel",$B185))+ISNUMBER(SEARCH("diesel",$B185))+ISNUMBER(SEARCH("krudo",$B185))+ISNUMBER(SEARCH("gasolina",$B185))&gt;0,1,0))</f>
        <v/>
      </c>
    </row>
    <row r="186">
      <c r="A186" s="94" t="n"/>
      <c r="B186" s="96" t="n"/>
      <c r="C186" s="96" t="n"/>
      <c r="D186" s="95" t="n"/>
      <c r="E186" s="96" t="n"/>
      <c r="F186" s="99" t="n"/>
      <c r="G186" s="95" t="n"/>
      <c r="H186" s="95" t="n"/>
      <c r="I186" s="101">
        <f>IF($B186="","",IF(COUNTIF(Setup!$A$99:$A$128,$B186)&gt;0,IF(INDEX(Setup!$B$99:$B$128,MATCH($B186,Setup!$A$99:$A$128,0))="","Overhead",INDEX(Setup!$B$99:$B$128,MATCH($B186,Setup!$A$99:$A$128,0))),IF(ISNUMBER(SEARCH("advance",$B186))+ISNUMBER(SEARCH("payout",$B186))+ISNUMBER(SEARCH("pay out",$B186))+ISNUMBER(SEARCH("reimburs",$B186))&gt;0,"Transfer",IF(ISNUMBER(SEARCH("loan",$B186))+ISNUMBER(SEARCH("amort",$B186))+ISNUMBER(SEARCH("installment",$B186))+ISNUMBER(SEARCH("instalment",$B186))&gt;0,"Financing",IF(ISNUMBER(SEARCH("draw",$B186))+ISNUMBER(SEARCH("owner",$B186))+ISNUMBER(SEARCH("asset",$B186))+ISNUMBER(SEARCH("capital",$B186))&gt;0,"Other",IF(ISNUMBER(SEARCH("fuel",$B186))+ISNUMBER(SEARCH("diesel",$B186))+ISNUMBER(SEARCH("krudo",$B186))+ISNUMBER(SEARCH("gasolina",$B186))+ISNUMBER(SEARCH("toll",$B186))+ISNUMBER(SEARCH("parking",$B186))+ISNUMBER(SEARCH("repair",$B186))+ISNUMBER(SEARCH("maintenance",$B186))+ISNUMBER(SEARCH("tire",$B186))+ISNUMBER(SEARCH("tyre",$B186))+ISNUMBER(SEARCH("battery",$B186))+ISNUMBER(SEARCH("oil",$B186))+ISNUMBER(SEARCH("filter",$B186))+ISNUMBER(SEARCH("spare",$B186))+ISNUMBER(SEARCH("insurance",$B186))+ISNUMBER(SEARCH("lto",$B186))+ISNUMBER(SEARCH("registration",$B186))+ISNUMBER(SEARCH("emission",$B186))+ISNUMBER(SEARCH("wash",$B186))+ISNUMBER(SEARCH("weigh",$B186))+ISNUMBER(SEARCH("tarp",$B186))&gt;0,"Vehicle",IF(ISNUMBER(SEARCH("rent",$B186))+ISNUMBER(SEARCH("upa",$B186))+ISNUMBER(SEARCH("salary",$B186))+ISNUMBER(SEARCH("sweldo",$B186))+ISNUMBER(SEARCH("wage",$B186))+ISNUMBER(SEARCH("electric",$B186))+ISNUMBER(SEARCH("kuryente",$B186))+ISNUMBER(SEARCH("water",$B186))+ISNUMBER(SEARCH("tubig",$B186))+ISNUMBER(SEARCH("internet",$B186))+ISNUMBER(SEARCH("pldt",$B186))+ISNUMBER(SEARCH("meralco",$B186))+ISNUMBER(SEARCH("supplies",$B186))+ISNUMBER(SEARCH("office",$B186))+ISNUMBER(SEARCH("professional",$B186))+ISNUMBER(SEARCH("accountant",$B186))+ISNUMBER(SEARCH("lawyer",$B186))+ISNUMBER(SEARCH("broker",$B186))+ISNUMBER(SEARCH("bank",$B186))+ISNUMBER(SEARCH("charge",$B186))+ISNUMBER(SEARCH("permit",$B186))+ISNUMBER(SEARCH("bir",$B186))+ISNUMBER(SEARCH("ltfrb",$B186))+ISNUMBER(SEARCH("misc",$B186))+ISNUMBER(SEARCH("fee",$B186))&gt;0,"Overhead","Overhead")))))))</f>
        <v/>
      </c>
      <c r="J186">
        <f>IF($A186="","",DATE(YEAR($A186),MONTH($A186),1))</f>
        <v/>
      </c>
      <c r="K186">
        <f>IF($B186="","",IF(COUNTIF(Setup!$A$99:$A$128,$B186)&gt;0,0,1))</f>
        <v/>
      </c>
      <c r="L186">
        <f>IF($B186="","",IF(ISNUMBER(SEARCH("advance",$B186)),"ADV",IF(OR(ISNUMBER(SEARCH("payout",$B186)),ISNUMBER(SEARCH("pay out",$B186)),ISNUMBER(SEARCH("release",$B186))),"PAY","")))</f>
        <v/>
      </c>
      <c r="M186">
        <f>IF($B186="","",IF(ISNUMBER(SEARCH("bulk",$B186)),0,IF(ISNUMBER(SEARCH("fuel",$B186))+ISNUMBER(SEARCH("diesel",$B186))+ISNUMBER(SEARCH("krudo",$B186))+ISNUMBER(SEARCH("gasolina",$B186))&gt;0,1,0)))</f>
        <v/>
      </c>
      <c r="N186">
        <f>IF($B186="","",IF(ISNUMBER(SEARCH("fuel",$B186))+ISNUMBER(SEARCH("diesel",$B186))+ISNUMBER(SEARCH("krudo",$B186))+ISNUMBER(SEARCH("gasolina",$B186))&gt;0,1,0))</f>
        <v/>
      </c>
    </row>
    <row r="187">
      <c r="A187" s="86" t="n"/>
      <c r="B187" s="88" t="n"/>
      <c r="C187" s="88" t="n"/>
      <c r="D187" s="87" t="n"/>
      <c r="E187" s="88" t="n"/>
      <c r="F187" s="92" t="n"/>
      <c r="G187" s="87" t="n"/>
      <c r="H187" s="87" t="n"/>
      <c r="I187" s="101">
        <f>IF($B187="","",IF(COUNTIF(Setup!$A$99:$A$128,$B187)&gt;0,IF(INDEX(Setup!$B$99:$B$128,MATCH($B187,Setup!$A$99:$A$128,0))="","Overhead",INDEX(Setup!$B$99:$B$128,MATCH($B187,Setup!$A$99:$A$128,0))),IF(ISNUMBER(SEARCH("advance",$B187))+ISNUMBER(SEARCH("payout",$B187))+ISNUMBER(SEARCH("pay out",$B187))+ISNUMBER(SEARCH("reimburs",$B187))&gt;0,"Transfer",IF(ISNUMBER(SEARCH("loan",$B187))+ISNUMBER(SEARCH("amort",$B187))+ISNUMBER(SEARCH("installment",$B187))+ISNUMBER(SEARCH("instalment",$B187))&gt;0,"Financing",IF(ISNUMBER(SEARCH("draw",$B187))+ISNUMBER(SEARCH("owner",$B187))+ISNUMBER(SEARCH("asset",$B187))+ISNUMBER(SEARCH("capital",$B187))&gt;0,"Other",IF(ISNUMBER(SEARCH("fuel",$B187))+ISNUMBER(SEARCH("diesel",$B187))+ISNUMBER(SEARCH("krudo",$B187))+ISNUMBER(SEARCH("gasolina",$B187))+ISNUMBER(SEARCH("toll",$B187))+ISNUMBER(SEARCH("parking",$B187))+ISNUMBER(SEARCH("repair",$B187))+ISNUMBER(SEARCH("maintenance",$B187))+ISNUMBER(SEARCH("tire",$B187))+ISNUMBER(SEARCH("tyre",$B187))+ISNUMBER(SEARCH("battery",$B187))+ISNUMBER(SEARCH("oil",$B187))+ISNUMBER(SEARCH("filter",$B187))+ISNUMBER(SEARCH("spare",$B187))+ISNUMBER(SEARCH("insurance",$B187))+ISNUMBER(SEARCH("lto",$B187))+ISNUMBER(SEARCH("registration",$B187))+ISNUMBER(SEARCH("emission",$B187))+ISNUMBER(SEARCH("wash",$B187))+ISNUMBER(SEARCH("weigh",$B187))+ISNUMBER(SEARCH("tarp",$B187))&gt;0,"Vehicle",IF(ISNUMBER(SEARCH("rent",$B187))+ISNUMBER(SEARCH("upa",$B187))+ISNUMBER(SEARCH("salary",$B187))+ISNUMBER(SEARCH("sweldo",$B187))+ISNUMBER(SEARCH("wage",$B187))+ISNUMBER(SEARCH("electric",$B187))+ISNUMBER(SEARCH("kuryente",$B187))+ISNUMBER(SEARCH("water",$B187))+ISNUMBER(SEARCH("tubig",$B187))+ISNUMBER(SEARCH("internet",$B187))+ISNUMBER(SEARCH("pldt",$B187))+ISNUMBER(SEARCH("meralco",$B187))+ISNUMBER(SEARCH("supplies",$B187))+ISNUMBER(SEARCH("office",$B187))+ISNUMBER(SEARCH("professional",$B187))+ISNUMBER(SEARCH("accountant",$B187))+ISNUMBER(SEARCH("lawyer",$B187))+ISNUMBER(SEARCH("broker",$B187))+ISNUMBER(SEARCH("bank",$B187))+ISNUMBER(SEARCH("charge",$B187))+ISNUMBER(SEARCH("permit",$B187))+ISNUMBER(SEARCH("bir",$B187))+ISNUMBER(SEARCH("ltfrb",$B187))+ISNUMBER(SEARCH("misc",$B187))+ISNUMBER(SEARCH("fee",$B187))&gt;0,"Overhead","Overhead")))))))</f>
        <v/>
      </c>
      <c r="J187">
        <f>IF($A187="","",DATE(YEAR($A187),MONTH($A187),1))</f>
        <v/>
      </c>
      <c r="K187">
        <f>IF($B187="","",IF(COUNTIF(Setup!$A$99:$A$128,$B187)&gt;0,0,1))</f>
        <v/>
      </c>
      <c r="L187">
        <f>IF($B187="","",IF(ISNUMBER(SEARCH("advance",$B187)),"ADV",IF(OR(ISNUMBER(SEARCH("payout",$B187)),ISNUMBER(SEARCH("pay out",$B187)),ISNUMBER(SEARCH("release",$B187))),"PAY","")))</f>
        <v/>
      </c>
      <c r="M187">
        <f>IF($B187="","",IF(ISNUMBER(SEARCH("bulk",$B187)),0,IF(ISNUMBER(SEARCH("fuel",$B187))+ISNUMBER(SEARCH("diesel",$B187))+ISNUMBER(SEARCH("krudo",$B187))+ISNUMBER(SEARCH("gasolina",$B187))&gt;0,1,0)))</f>
        <v/>
      </c>
      <c r="N187">
        <f>IF($B187="","",IF(ISNUMBER(SEARCH("fuel",$B187))+ISNUMBER(SEARCH("diesel",$B187))+ISNUMBER(SEARCH("krudo",$B187))+ISNUMBER(SEARCH("gasolina",$B187))&gt;0,1,0))</f>
        <v/>
      </c>
    </row>
    <row r="188">
      <c r="A188" s="94" t="n"/>
      <c r="B188" s="96" t="n"/>
      <c r="C188" s="96" t="n"/>
      <c r="D188" s="95" t="n"/>
      <c r="E188" s="96" t="n"/>
      <c r="F188" s="99" t="n"/>
      <c r="G188" s="95" t="n"/>
      <c r="H188" s="95" t="n"/>
      <c r="I188" s="101">
        <f>IF($B188="","",IF(COUNTIF(Setup!$A$99:$A$128,$B188)&gt;0,IF(INDEX(Setup!$B$99:$B$128,MATCH($B188,Setup!$A$99:$A$128,0))="","Overhead",INDEX(Setup!$B$99:$B$128,MATCH($B188,Setup!$A$99:$A$128,0))),IF(ISNUMBER(SEARCH("advance",$B188))+ISNUMBER(SEARCH("payout",$B188))+ISNUMBER(SEARCH("pay out",$B188))+ISNUMBER(SEARCH("reimburs",$B188))&gt;0,"Transfer",IF(ISNUMBER(SEARCH("loan",$B188))+ISNUMBER(SEARCH("amort",$B188))+ISNUMBER(SEARCH("installment",$B188))+ISNUMBER(SEARCH("instalment",$B188))&gt;0,"Financing",IF(ISNUMBER(SEARCH("draw",$B188))+ISNUMBER(SEARCH("owner",$B188))+ISNUMBER(SEARCH("asset",$B188))+ISNUMBER(SEARCH("capital",$B188))&gt;0,"Other",IF(ISNUMBER(SEARCH("fuel",$B188))+ISNUMBER(SEARCH("diesel",$B188))+ISNUMBER(SEARCH("krudo",$B188))+ISNUMBER(SEARCH("gasolina",$B188))+ISNUMBER(SEARCH("toll",$B188))+ISNUMBER(SEARCH("parking",$B188))+ISNUMBER(SEARCH("repair",$B188))+ISNUMBER(SEARCH("maintenance",$B188))+ISNUMBER(SEARCH("tire",$B188))+ISNUMBER(SEARCH("tyre",$B188))+ISNUMBER(SEARCH("battery",$B188))+ISNUMBER(SEARCH("oil",$B188))+ISNUMBER(SEARCH("filter",$B188))+ISNUMBER(SEARCH("spare",$B188))+ISNUMBER(SEARCH("insurance",$B188))+ISNUMBER(SEARCH("lto",$B188))+ISNUMBER(SEARCH("registration",$B188))+ISNUMBER(SEARCH("emission",$B188))+ISNUMBER(SEARCH("wash",$B188))+ISNUMBER(SEARCH("weigh",$B188))+ISNUMBER(SEARCH("tarp",$B188))&gt;0,"Vehicle",IF(ISNUMBER(SEARCH("rent",$B188))+ISNUMBER(SEARCH("upa",$B188))+ISNUMBER(SEARCH("salary",$B188))+ISNUMBER(SEARCH("sweldo",$B188))+ISNUMBER(SEARCH("wage",$B188))+ISNUMBER(SEARCH("electric",$B188))+ISNUMBER(SEARCH("kuryente",$B188))+ISNUMBER(SEARCH("water",$B188))+ISNUMBER(SEARCH("tubig",$B188))+ISNUMBER(SEARCH("internet",$B188))+ISNUMBER(SEARCH("pldt",$B188))+ISNUMBER(SEARCH("meralco",$B188))+ISNUMBER(SEARCH("supplies",$B188))+ISNUMBER(SEARCH("office",$B188))+ISNUMBER(SEARCH("professional",$B188))+ISNUMBER(SEARCH("accountant",$B188))+ISNUMBER(SEARCH("lawyer",$B188))+ISNUMBER(SEARCH("broker",$B188))+ISNUMBER(SEARCH("bank",$B188))+ISNUMBER(SEARCH("charge",$B188))+ISNUMBER(SEARCH("permit",$B188))+ISNUMBER(SEARCH("bir",$B188))+ISNUMBER(SEARCH("ltfrb",$B188))+ISNUMBER(SEARCH("misc",$B188))+ISNUMBER(SEARCH("fee",$B188))&gt;0,"Overhead","Overhead")))))))</f>
        <v/>
      </c>
      <c r="J188">
        <f>IF($A188="","",DATE(YEAR($A188),MONTH($A188),1))</f>
        <v/>
      </c>
      <c r="K188">
        <f>IF($B188="","",IF(COUNTIF(Setup!$A$99:$A$128,$B188)&gt;0,0,1))</f>
        <v/>
      </c>
      <c r="L188">
        <f>IF($B188="","",IF(ISNUMBER(SEARCH("advance",$B188)),"ADV",IF(OR(ISNUMBER(SEARCH("payout",$B188)),ISNUMBER(SEARCH("pay out",$B188)),ISNUMBER(SEARCH("release",$B188))),"PAY","")))</f>
        <v/>
      </c>
      <c r="M188">
        <f>IF($B188="","",IF(ISNUMBER(SEARCH("bulk",$B188)),0,IF(ISNUMBER(SEARCH("fuel",$B188))+ISNUMBER(SEARCH("diesel",$B188))+ISNUMBER(SEARCH("krudo",$B188))+ISNUMBER(SEARCH("gasolina",$B188))&gt;0,1,0)))</f>
        <v/>
      </c>
      <c r="N188">
        <f>IF($B188="","",IF(ISNUMBER(SEARCH("fuel",$B188))+ISNUMBER(SEARCH("diesel",$B188))+ISNUMBER(SEARCH("krudo",$B188))+ISNUMBER(SEARCH("gasolina",$B188))&gt;0,1,0))</f>
        <v/>
      </c>
    </row>
    <row r="189">
      <c r="A189" s="86" t="n"/>
      <c r="B189" s="88" t="n"/>
      <c r="C189" s="88" t="n"/>
      <c r="D189" s="87" t="n"/>
      <c r="E189" s="88" t="n"/>
      <c r="F189" s="92" t="n"/>
      <c r="G189" s="87" t="n"/>
      <c r="H189" s="87" t="n"/>
      <c r="I189" s="101">
        <f>IF($B189="","",IF(COUNTIF(Setup!$A$99:$A$128,$B189)&gt;0,IF(INDEX(Setup!$B$99:$B$128,MATCH($B189,Setup!$A$99:$A$128,0))="","Overhead",INDEX(Setup!$B$99:$B$128,MATCH($B189,Setup!$A$99:$A$128,0))),IF(ISNUMBER(SEARCH("advance",$B189))+ISNUMBER(SEARCH("payout",$B189))+ISNUMBER(SEARCH("pay out",$B189))+ISNUMBER(SEARCH("reimburs",$B189))&gt;0,"Transfer",IF(ISNUMBER(SEARCH("loan",$B189))+ISNUMBER(SEARCH("amort",$B189))+ISNUMBER(SEARCH("installment",$B189))+ISNUMBER(SEARCH("instalment",$B189))&gt;0,"Financing",IF(ISNUMBER(SEARCH("draw",$B189))+ISNUMBER(SEARCH("owner",$B189))+ISNUMBER(SEARCH("asset",$B189))+ISNUMBER(SEARCH("capital",$B189))&gt;0,"Other",IF(ISNUMBER(SEARCH("fuel",$B189))+ISNUMBER(SEARCH("diesel",$B189))+ISNUMBER(SEARCH("krudo",$B189))+ISNUMBER(SEARCH("gasolina",$B189))+ISNUMBER(SEARCH("toll",$B189))+ISNUMBER(SEARCH("parking",$B189))+ISNUMBER(SEARCH("repair",$B189))+ISNUMBER(SEARCH("maintenance",$B189))+ISNUMBER(SEARCH("tire",$B189))+ISNUMBER(SEARCH("tyre",$B189))+ISNUMBER(SEARCH("battery",$B189))+ISNUMBER(SEARCH("oil",$B189))+ISNUMBER(SEARCH("filter",$B189))+ISNUMBER(SEARCH("spare",$B189))+ISNUMBER(SEARCH("insurance",$B189))+ISNUMBER(SEARCH("lto",$B189))+ISNUMBER(SEARCH("registration",$B189))+ISNUMBER(SEARCH("emission",$B189))+ISNUMBER(SEARCH("wash",$B189))+ISNUMBER(SEARCH("weigh",$B189))+ISNUMBER(SEARCH("tarp",$B189))&gt;0,"Vehicle",IF(ISNUMBER(SEARCH("rent",$B189))+ISNUMBER(SEARCH("upa",$B189))+ISNUMBER(SEARCH("salary",$B189))+ISNUMBER(SEARCH("sweldo",$B189))+ISNUMBER(SEARCH("wage",$B189))+ISNUMBER(SEARCH("electric",$B189))+ISNUMBER(SEARCH("kuryente",$B189))+ISNUMBER(SEARCH("water",$B189))+ISNUMBER(SEARCH("tubig",$B189))+ISNUMBER(SEARCH("internet",$B189))+ISNUMBER(SEARCH("pldt",$B189))+ISNUMBER(SEARCH("meralco",$B189))+ISNUMBER(SEARCH("supplies",$B189))+ISNUMBER(SEARCH("office",$B189))+ISNUMBER(SEARCH("professional",$B189))+ISNUMBER(SEARCH("accountant",$B189))+ISNUMBER(SEARCH("lawyer",$B189))+ISNUMBER(SEARCH("broker",$B189))+ISNUMBER(SEARCH("bank",$B189))+ISNUMBER(SEARCH("charge",$B189))+ISNUMBER(SEARCH("permit",$B189))+ISNUMBER(SEARCH("bir",$B189))+ISNUMBER(SEARCH("ltfrb",$B189))+ISNUMBER(SEARCH("misc",$B189))+ISNUMBER(SEARCH("fee",$B189))&gt;0,"Overhead","Overhead")))))))</f>
        <v/>
      </c>
      <c r="J189">
        <f>IF($A189="","",DATE(YEAR($A189),MONTH($A189),1))</f>
        <v/>
      </c>
      <c r="K189">
        <f>IF($B189="","",IF(COUNTIF(Setup!$A$99:$A$128,$B189)&gt;0,0,1))</f>
        <v/>
      </c>
      <c r="L189">
        <f>IF($B189="","",IF(ISNUMBER(SEARCH("advance",$B189)),"ADV",IF(OR(ISNUMBER(SEARCH("payout",$B189)),ISNUMBER(SEARCH("pay out",$B189)),ISNUMBER(SEARCH("release",$B189))),"PAY","")))</f>
        <v/>
      </c>
      <c r="M189">
        <f>IF($B189="","",IF(ISNUMBER(SEARCH("bulk",$B189)),0,IF(ISNUMBER(SEARCH("fuel",$B189))+ISNUMBER(SEARCH("diesel",$B189))+ISNUMBER(SEARCH("krudo",$B189))+ISNUMBER(SEARCH("gasolina",$B189))&gt;0,1,0)))</f>
        <v/>
      </c>
      <c r="N189">
        <f>IF($B189="","",IF(ISNUMBER(SEARCH("fuel",$B189))+ISNUMBER(SEARCH("diesel",$B189))+ISNUMBER(SEARCH("krudo",$B189))+ISNUMBER(SEARCH("gasolina",$B189))&gt;0,1,0))</f>
        <v/>
      </c>
    </row>
    <row r="190">
      <c r="A190" s="94" t="n"/>
      <c r="B190" s="96" t="n"/>
      <c r="C190" s="96" t="n"/>
      <c r="D190" s="95" t="n"/>
      <c r="E190" s="96" t="n"/>
      <c r="F190" s="99" t="n"/>
      <c r="G190" s="95" t="n"/>
      <c r="H190" s="95" t="n"/>
      <c r="I190" s="101">
        <f>IF($B190="","",IF(COUNTIF(Setup!$A$99:$A$128,$B190)&gt;0,IF(INDEX(Setup!$B$99:$B$128,MATCH($B190,Setup!$A$99:$A$128,0))="","Overhead",INDEX(Setup!$B$99:$B$128,MATCH($B190,Setup!$A$99:$A$128,0))),IF(ISNUMBER(SEARCH("advance",$B190))+ISNUMBER(SEARCH("payout",$B190))+ISNUMBER(SEARCH("pay out",$B190))+ISNUMBER(SEARCH("reimburs",$B190))&gt;0,"Transfer",IF(ISNUMBER(SEARCH("loan",$B190))+ISNUMBER(SEARCH("amort",$B190))+ISNUMBER(SEARCH("installment",$B190))+ISNUMBER(SEARCH("instalment",$B190))&gt;0,"Financing",IF(ISNUMBER(SEARCH("draw",$B190))+ISNUMBER(SEARCH("owner",$B190))+ISNUMBER(SEARCH("asset",$B190))+ISNUMBER(SEARCH("capital",$B190))&gt;0,"Other",IF(ISNUMBER(SEARCH("fuel",$B190))+ISNUMBER(SEARCH("diesel",$B190))+ISNUMBER(SEARCH("krudo",$B190))+ISNUMBER(SEARCH("gasolina",$B190))+ISNUMBER(SEARCH("toll",$B190))+ISNUMBER(SEARCH("parking",$B190))+ISNUMBER(SEARCH("repair",$B190))+ISNUMBER(SEARCH("maintenance",$B190))+ISNUMBER(SEARCH("tire",$B190))+ISNUMBER(SEARCH("tyre",$B190))+ISNUMBER(SEARCH("battery",$B190))+ISNUMBER(SEARCH("oil",$B190))+ISNUMBER(SEARCH("filter",$B190))+ISNUMBER(SEARCH("spare",$B190))+ISNUMBER(SEARCH("insurance",$B190))+ISNUMBER(SEARCH("lto",$B190))+ISNUMBER(SEARCH("registration",$B190))+ISNUMBER(SEARCH("emission",$B190))+ISNUMBER(SEARCH("wash",$B190))+ISNUMBER(SEARCH("weigh",$B190))+ISNUMBER(SEARCH("tarp",$B190))&gt;0,"Vehicle",IF(ISNUMBER(SEARCH("rent",$B190))+ISNUMBER(SEARCH("upa",$B190))+ISNUMBER(SEARCH("salary",$B190))+ISNUMBER(SEARCH("sweldo",$B190))+ISNUMBER(SEARCH("wage",$B190))+ISNUMBER(SEARCH("electric",$B190))+ISNUMBER(SEARCH("kuryente",$B190))+ISNUMBER(SEARCH("water",$B190))+ISNUMBER(SEARCH("tubig",$B190))+ISNUMBER(SEARCH("internet",$B190))+ISNUMBER(SEARCH("pldt",$B190))+ISNUMBER(SEARCH("meralco",$B190))+ISNUMBER(SEARCH("supplies",$B190))+ISNUMBER(SEARCH("office",$B190))+ISNUMBER(SEARCH("professional",$B190))+ISNUMBER(SEARCH("accountant",$B190))+ISNUMBER(SEARCH("lawyer",$B190))+ISNUMBER(SEARCH("broker",$B190))+ISNUMBER(SEARCH("bank",$B190))+ISNUMBER(SEARCH("charge",$B190))+ISNUMBER(SEARCH("permit",$B190))+ISNUMBER(SEARCH("bir",$B190))+ISNUMBER(SEARCH("ltfrb",$B190))+ISNUMBER(SEARCH("misc",$B190))+ISNUMBER(SEARCH("fee",$B190))&gt;0,"Overhead","Overhead")))))))</f>
        <v/>
      </c>
      <c r="J190">
        <f>IF($A190="","",DATE(YEAR($A190),MONTH($A190),1))</f>
        <v/>
      </c>
      <c r="K190">
        <f>IF($B190="","",IF(COUNTIF(Setup!$A$99:$A$128,$B190)&gt;0,0,1))</f>
        <v/>
      </c>
      <c r="L190">
        <f>IF($B190="","",IF(ISNUMBER(SEARCH("advance",$B190)),"ADV",IF(OR(ISNUMBER(SEARCH("payout",$B190)),ISNUMBER(SEARCH("pay out",$B190)),ISNUMBER(SEARCH("release",$B190))),"PAY","")))</f>
        <v/>
      </c>
      <c r="M190">
        <f>IF($B190="","",IF(ISNUMBER(SEARCH("bulk",$B190)),0,IF(ISNUMBER(SEARCH("fuel",$B190))+ISNUMBER(SEARCH("diesel",$B190))+ISNUMBER(SEARCH("krudo",$B190))+ISNUMBER(SEARCH("gasolina",$B190))&gt;0,1,0)))</f>
        <v/>
      </c>
      <c r="N190">
        <f>IF($B190="","",IF(ISNUMBER(SEARCH("fuel",$B190))+ISNUMBER(SEARCH("diesel",$B190))+ISNUMBER(SEARCH("krudo",$B190))+ISNUMBER(SEARCH("gasolina",$B190))&gt;0,1,0))</f>
        <v/>
      </c>
    </row>
    <row r="191">
      <c r="A191" s="86" t="n"/>
      <c r="B191" s="88" t="n"/>
      <c r="C191" s="88" t="n"/>
      <c r="D191" s="87" t="n"/>
      <c r="E191" s="88" t="n"/>
      <c r="F191" s="92" t="n"/>
      <c r="G191" s="87" t="n"/>
      <c r="H191" s="87" t="n"/>
      <c r="I191" s="101">
        <f>IF($B191="","",IF(COUNTIF(Setup!$A$99:$A$128,$B191)&gt;0,IF(INDEX(Setup!$B$99:$B$128,MATCH($B191,Setup!$A$99:$A$128,0))="","Overhead",INDEX(Setup!$B$99:$B$128,MATCH($B191,Setup!$A$99:$A$128,0))),IF(ISNUMBER(SEARCH("advance",$B191))+ISNUMBER(SEARCH("payout",$B191))+ISNUMBER(SEARCH("pay out",$B191))+ISNUMBER(SEARCH("reimburs",$B191))&gt;0,"Transfer",IF(ISNUMBER(SEARCH("loan",$B191))+ISNUMBER(SEARCH("amort",$B191))+ISNUMBER(SEARCH("installment",$B191))+ISNUMBER(SEARCH("instalment",$B191))&gt;0,"Financing",IF(ISNUMBER(SEARCH("draw",$B191))+ISNUMBER(SEARCH("owner",$B191))+ISNUMBER(SEARCH("asset",$B191))+ISNUMBER(SEARCH("capital",$B191))&gt;0,"Other",IF(ISNUMBER(SEARCH("fuel",$B191))+ISNUMBER(SEARCH("diesel",$B191))+ISNUMBER(SEARCH("krudo",$B191))+ISNUMBER(SEARCH("gasolina",$B191))+ISNUMBER(SEARCH("toll",$B191))+ISNUMBER(SEARCH("parking",$B191))+ISNUMBER(SEARCH("repair",$B191))+ISNUMBER(SEARCH("maintenance",$B191))+ISNUMBER(SEARCH("tire",$B191))+ISNUMBER(SEARCH("tyre",$B191))+ISNUMBER(SEARCH("battery",$B191))+ISNUMBER(SEARCH("oil",$B191))+ISNUMBER(SEARCH("filter",$B191))+ISNUMBER(SEARCH("spare",$B191))+ISNUMBER(SEARCH("insurance",$B191))+ISNUMBER(SEARCH("lto",$B191))+ISNUMBER(SEARCH("registration",$B191))+ISNUMBER(SEARCH("emission",$B191))+ISNUMBER(SEARCH("wash",$B191))+ISNUMBER(SEARCH("weigh",$B191))+ISNUMBER(SEARCH("tarp",$B191))&gt;0,"Vehicle",IF(ISNUMBER(SEARCH("rent",$B191))+ISNUMBER(SEARCH("upa",$B191))+ISNUMBER(SEARCH("salary",$B191))+ISNUMBER(SEARCH("sweldo",$B191))+ISNUMBER(SEARCH("wage",$B191))+ISNUMBER(SEARCH("electric",$B191))+ISNUMBER(SEARCH("kuryente",$B191))+ISNUMBER(SEARCH("water",$B191))+ISNUMBER(SEARCH("tubig",$B191))+ISNUMBER(SEARCH("internet",$B191))+ISNUMBER(SEARCH("pldt",$B191))+ISNUMBER(SEARCH("meralco",$B191))+ISNUMBER(SEARCH("supplies",$B191))+ISNUMBER(SEARCH("office",$B191))+ISNUMBER(SEARCH("professional",$B191))+ISNUMBER(SEARCH("accountant",$B191))+ISNUMBER(SEARCH("lawyer",$B191))+ISNUMBER(SEARCH("broker",$B191))+ISNUMBER(SEARCH("bank",$B191))+ISNUMBER(SEARCH("charge",$B191))+ISNUMBER(SEARCH("permit",$B191))+ISNUMBER(SEARCH("bir",$B191))+ISNUMBER(SEARCH("ltfrb",$B191))+ISNUMBER(SEARCH("misc",$B191))+ISNUMBER(SEARCH("fee",$B191))&gt;0,"Overhead","Overhead")))))))</f>
        <v/>
      </c>
      <c r="J191">
        <f>IF($A191="","",DATE(YEAR($A191),MONTH($A191),1))</f>
        <v/>
      </c>
      <c r="K191">
        <f>IF($B191="","",IF(COUNTIF(Setup!$A$99:$A$128,$B191)&gt;0,0,1))</f>
        <v/>
      </c>
      <c r="L191">
        <f>IF($B191="","",IF(ISNUMBER(SEARCH("advance",$B191)),"ADV",IF(OR(ISNUMBER(SEARCH("payout",$B191)),ISNUMBER(SEARCH("pay out",$B191)),ISNUMBER(SEARCH("release",$B191))),"PAY","")))</f>
        <v/>
      </c>
      <c r="M191">
        <f>IF($B191="","",IF(ISNUMBER(SEARCH("bulk",$B191)),0,IF(ISNUMBER(SEARCH("fuel",$B191))+ISNUMBER(SEARCH("diesel",$B191))+ISNUMBER(SEARCH("krudo",$B191))+ISNUMBER(SEARCH("gasolina",$B191))&gt;0,1,0)))</f>
        <v/>
      </c>
      <c r="N191">
        <f>IF($B191="","",IF(ISNUMBER(SEARCH("fuel",$B191))+ISNUMBER(SEARCH("diesel",$B191))+ISNUMBER(SEARCH("krudo",$B191))+ISNUMBER(SEARCH("gasolina",$B191))&gt;0,1,0))</f>
        <v/>
      </c>
    </row>
    <row r="192">
      <c r="A192" s="94" t="n"/>
      <c r="B192" s="96" t="n"/>
      <c r="C192" s="96" t="n"/>
      <c r="D192" s="95" t="n"/>
      <c r="E192" s="96" t="n"/>
      <c r="F192" s="99" t="n"/>
      <c r="G192" s="95" t="n"/>
      <c r="H192" s="95" t="n"/>
      <c r="I192" s="101">
        <f>IF($B192="","",IF(COUNTIF(Setup!$A$99:$A$128,$B192)&gt;0,IF(INDEX(Setup!$B$99:$B$128,MATCH($B192,Setup!$A$99:$A$128,0))="","Overhead",INDEX(Setup!$B$99:$B$128,MATCH($B192,Setup!$A$99:$A$128,0))),IF(ISNUMBER(SEARCH("advance",$B192))+ISNUMBER(SEARCH("payout",$B192))+ISNUMBER(SEARCH("pay out",$B192))+ISNUMBER(SEARCH("reimburs",$B192))&gt;0,"Transfer",IF(ISNUMBER(SEARCH("loan",$B192))+ISNUMBER(SEARCH("amort",$B192))+ISNUMBER(SEARCH("installment",$B192))+ISNUMBER(SEARCH("instalment",$B192))&gt;0,"Financing",IF(ISNUMBER(SEARCH("draw",$B192))+ISNUMBER(SEARCH("owner",$B192))+ISNUMBER(SEARCH("asset",$B192))+ISNUMBER(SEARCH("capital",$B192))&gt;0,"Other",IF(ISNUMBER(SEARCH("fuel",$B192))+ISNUMBER(SEARCH("diesel",$B192))+ISNUMBER(SEARCH("krudo",$B192))+ISNUMBER(SEARCH("gasolina",$B192))+ISNUMBER(SEARCH("toll",$B192))+ISNUMBER(SEARCH("parking",$B192))+ISNUMBER(SEARCH("repair",$B192))+ISNUMBER(SEARCH("maintenance",$B192))+ISNUMBER(SEARCH("tire",$B192))+ISNUMBER(SEARCH("tyre",$B192))+ISNUMBER(SEARCH("battery",$B192))+ISNUMBER(SEARCH("oil",$B192))+ISNUMBER(SEARCH("filter",$B192))+ISNUMBER(SEARCH("spare",$B192))+ISNUMBER(SEARCH("insurance",$B192))+ISNUMBER(SEARCH("lto",$B192))+ISNUMBER(SEARCH("registration",$B192))+ISNUMBER(SEARCH("emission",$B192))+ISNUMBER(SEARCH("wash",$B192))+ISNUMBER(SEARCH("weigh",$B192))+ISNUMBER(SEARCH("tarp",$B192))&gt;0,"Vehicle",IF(ISNUMBER(SEARCH("rent",$B192))+ISNUMBER(SEARCH("upa",$B192))+ISNUMBER(SEARCH("salary",$B192))+ISNUMBER(SEARCH("sweldo",$B192))+ISNUMBER(SEARCH("wage",$B192))+ISNUMBER(SEARCH("electric",$B192))+ISNUMBER(SEARCH("kuryente",$B192))+ISNUMBER(SEARCH("water",$B192))+ISNUMBER(SEARCH("tubig",$B192))+ISNUMBER(SEARCH("internet",$B192))+ISNUMBER(SEARCH("pldt",$B192))+ISNUMBER(SEARCH("meralco",$B192))+ISNUMBER(SEARCH("supplies",$B192))+ISNUMBER(SEARCH("office",$B192))+ISNUMBER(SEARCH("professional",$B192))+ISNUMBER(SEARCH("accountant",$B192))+ISNUMBER(SEARCH("lawyer",$B192))+ISNUMBER(SEARCH("broker",$B192))+ISNUMBER(SEARCH("bank",$B192))+ISNUMBER(SEARCH("charge",$B192))+ISNUMBER(SEARCH("permit",$B192))+ISNUMBER(SEARCH("bir",$B192))+ISNUMBER(SEARCH("ltfrb",$B192))+ISNUMBER(SEARCH("misc",$B192))+ISNUMBER(SEARCH("fee",$B192))&gt;0,"Overhead","Overhead")))))))</f>
        <v/>
      </c>
      <c r="J192">
        <f>IF($A192="","",DATE(YEAR($A192),MONTH($A192),1))</f>
        <v/>
      </c>
      <c r="K192">
        <f>IF($B192="","",IF(COUNTIF(Setup!$A$99:$A$128,$B192)&gt;0,0,1))</f>
        <v/>
      </c>
      <c r="L192">
        <f>IF($B192="","",IF(ISNUMBER(SEARCH("advance",$B192)),"ADV",IF(OR(ISNUMBER(SEARCH("payout",$B192)),ISNUMBER(SEARCH("pay out",$B192)),ISNUMBER(SEARCH("release",$B192))),"PAY","")))</f>
        <v/>
      </c>
      <c r="M192">
        <f>IF($B192="","",IF(ISNUMBER(SEARCH("bulk",$B192)),0,IF(ISNUMBER(SEARCH("fuel",$B192))+ISNUMBER(SEARCH("diesel",$B192))+ISNUMBER(SEARCH("krudo",$B192))+ISNUMBER(SEARCH("gasolina",$B192))&gt;0,1,0)))</f>
        <v/>
      </c>
      <c r="N192">
        <f>IF($B192="","",IF(ISNUMBER(SEARCH("fuel",$B192))+ISNUMBER(SEARCH("diesel",$B192))+ISNUMBER(SEARCH("krudo",$B192))+ISNUMBER(SEARCH("gasolina",$B192))&gt;0,1,0))</f>
        <v/>
      </c>
    </row>
    <row r="193">
      <c r="A193" s="86" t="n"/>
      <c r="B193" s="88" t="n"/>
      <c r="C193" s="88" t="n"/>
      <c r="D193" s="87" t="n"/>
      <c r="E193" s="88" t="n"/>
      <c r="F193" s="92" t="n"/>
      <c r="G193" s="87" t="n"/>
      <c r="H193" s="87" t="n"/>
      <c r="I193" s="101">
        <f>IF($B193="","",IF(COUNTIF(Setup!$A$99:$A$128,$B193)&gt;0,IF(INDEX(Setup!$B$99:$B$128,MATCH($B193,Setup!$A$99:$A$128,0))="","Overhead",INDEX(Setup!$B$99:$B$128,MATCH($B193,Setup!$A$99:$A$128,0))),IF(ISNUMBER(SEARCH("advance",$B193))+ISNUMBER(SEARCH("payout",$B193))+ISNUMBER(SEARCH("pay out",$B193))+ISNUMBER(SEARCH("reimburs",$B193))&gt;0,"Transfer",IF(ISNUMBER(SEARCH("loan",$B193))+ISNUMBER(SEARCH("amort",$B193))+ISNUMBER(SEARCH("installment",$B193))+ISNUMBER(SEARCH("instalment",$B193))&gt;0,"Financing",IF(ISNUMBER(SEARCH("draw",$B193))+ISNUMBER(SEARCH("owner",$B193))+ISNUMBER(SEARCH("asset",$B193))+ISNUMBER(SEARCH("capital",$B193))&gt;0,"Other",IF(ISNUMBER(SEARCH("fuel",$B193))+ISNUMBER(SEARCH("diesel",$B193))+ISNUMBER(SEARCH("krudo",$B193))+ISNUMBER(SEARCH("gasolina",$B193))+ISNUMBER(SEARCH("toll",$B193))+ISNUMBER(SEARCH("parking",$B193))+ISNUMBER(SEARCH("repair",$B193))+ISNUMBER(SEARCH("maintenance",$B193))+ISNUMBER(SEARCH("tire",$B193))+ISNUMBER(SEARCH("tyre",$B193))+ISNUMBER(SEARCH("battery",$B193))+ISNUMBER(SEARCH("oil",$B193))+ISNUMBER(SEARCH("filter",$B193))+ISNUMBER(SEARCH("spare",$B193))+ISNUMBER(SEARCH("insurance",$B193))+ISNUMBER(SEARCH("lto",$B193))+ISNUMBER(SEARCH("registration",$B193))+ISNUMBER(SEARCH("emission",$B193))+ISNUMBER(SEARCH("wash",$B193))+ISNUMBER(SEARCH("weigh",$B193))+ISNUMBER(SEARCH("tarp",$B193))&gt;0,"Vehicle",IF(ISNUMBER(SEARCH("rent",$B193))+ISNUMBER(SEARCH("upa",$B193))+ISNUMBER(SEARCH("salary",$B193))+ISNUMBER(SEARCH("sweldo",$B193))+ISNUMBER(SEARCH("wage",$B193))+ISNUMBER(SEARCH("electric",$B193))+ISNUMBER(SEARCH("kuryente",$B193))+ISNUMBER(SEARCH("water",$B193))+ISNUMBER(SEARCH("tubig",$B193))+ISNUMBER(SEARCH("internet",$B193))+ISNUMBER(SEARCH("pldt",$B193))+ISNUMBER(SEARCH("meralco",$B193))+ISNUMBER(SEARCH("supplies",$B193))+ISNUMBER(SEARCH("office",$B193))+ISNUMBER(SEARCH("professional",$B193))+ISNUMBER(SEARCH("accountant",$B193))+ISNUMBER(SEARCH("lawyer",$B193))+ISNUMBER(SEARCH("broker",$B193))+ISNUMBER(SEARCH("bank",$B193))+ISNUMBER(SEARCH("charge",$B193))+ISNUMBER(SEARCH("permit",$B193))+ISNUMBER(SEARCH("bir",$B193))+ISNUMBER(SEARCH("ltfrb",$B193))+ISNUMBER(SEARCH("misc",$B193))+ISNUMBER(SEARCH("fee",$B193))&gt;0,"Overhead","Overhead")))))))</f>
        <v/>
      </c>
      <c r="J193">
        <f>IF($A193="","",DATE(YEAR($A193),MONTH($A193),1))</f>
        <v/>
      </c>
      <c r="K193">
        <f>IF($B193="","",IF(COUNTIF(Setup!$A$99:$A$128,$B193)&gt;0,0,1))</f>
        <v/>
      </c>
      <c r="L193">
        <f>IF($B193="","",IF(ISNUMBER(SEARCH("advance",$B193)),"ADV",IF(OR(ISNUMBER(SEARCH("payout",$B193)),ISNUMBER(SEARCH("pay out",$B193)),ISNUMBER(SEARCH("release",$B193))),"PAY","")))</f>
        <v/>
      </c>
      <c r="M193">
        <f>IF($B193="","",IF(ISNUMBER(SEARCH("bulk",$B193)),0,IF(ISNUMBER(SEARCH("fuel",$B193))+ISNUMBER(SEARCH("diesel",$B193))+ISNUMBER(SEARCH("krudo",$B193))+ISNUMBER(SEARCH("gasolina",$B193))&gt;0,1,0)))</f>
        <v/>
      </c>
      <c r="N193">
        <f>IF($B193="","",IF(ISNUMBER(SEARCH("fuel",$B193))+ISNUMBER(SEARCH("diesel",$B193))+ISNUMBER(SEARCH("krudo",$B193))+ISNUMBER(SEARCH("gasolina",$B193))&gt;0,1,0))</f>
        <v/>
      </c>
    </row>
    <row r="194">
      <c r="A194" s="94" t="n"/>
      <c r="B194" s="96" t="n"/>
      <c r="C194" s="96" t="n"/>
      <c r="D194" s="95" t="n"/>
      <c r="E194" s="96" t="n"/>
      <c r="F194" s="99" t="n"/>
      <c r="G194" s="95" t="n"/>
      <c r="H194" s="95" t="n"/>
      <c r="I194" s="101">
        <f>IF($B194="","",IF(COUNTIF(Setup!$A$99:$A$128,$B194)&gt;0,IF(INDEX(Setup!$B$99:$B$128,MATCH($B194,Setup!$A$99:$A$128,0))="","Overhead",INDEX(Setup!$B$99:$B$128,MATCH($B194,Setup!$A$99:$A$128,0))),IF(ISNUMBER(SEARCH("advance",$B194))+ISNUMBER(SEARCH("payout",$B194))+ISNUMBER(SEARCH("pay out",$B194))+ISNUMBER(SEARCH("reimburs",$B194))&gt;0,"Transfer",IF(ISNUMBER(SEARCH("loan",$B194))+ISNUMBER(SEARCH("amort",$B194))+ISNUMBER(SEARCH("installment",$B194))+ISNUMBER(SEARCH("instalment",$B194))&gt;0,"Financing",IF(ISNUMBER(SEARCH("draw",$B194))+ISNUMBER(SEARCH("owner",$B194))+ISNUMBER(SEARCH("asset",$B194))+ISNUMBER(SEARCH("capital",$B194))&gt;0,"Other",IF(ISNUMBER(SEARCH("fuel",$B194))+ISNUMBER(SEARCH("diesel",$B194))+ISNUMBER(SEARCH("krudo",$B194))+ISNUMBER(SEARCH("gasolina",$B194))+ISNUMBER(SEARCH("toll",$B194))+ISNUMBER(SEARCH("parking",$B194))+ISNUMBER(SEARCH("repair",$B194))+ISNUMBER(SEARCH("maintenance",$B194))+ISNUMBER(SEARCH("tire",$B194))+ISNUMBER(SEARCH("tyre",$B194))+ISNUMBER(SEARCH("battery",$B194))+ISNUMBER(SEARCH("oil",$B194))+ISNUMBER(SEARCH("filter",$B194))+ISNUMBER(SEARCH("spare",$B194))+ISNUMBER(SEARCH("insurance",$B194))+ISNUMBER(SEARCH("lto",$B194))+ISNUMBER(SEARCH("registration",$B194))+ISNUMBER(SEARCH("emission",$B194))+ISNUMBER(SEARCH("wash",$B194))+ISNUMBER(SEARCH("weigh",$B194))+ISNUMBER(SEARCH("tarp",$B194))&gt;0,"Vehicle",IF(ISNUMBER(SEARCH("rent",$B194))+ISNUMBER(SEARCH("upa",$B194))+ISNUMBER(SEARCH("salary",$B194))+ISNUMBER(SEARCH("sweldo",$B194))+ISNUMBER(SEARCH("wage",$B194))+ISNUMBER(SEARCH("electric",$B194))+ISNUMBER(SEARCH("kuryente",$B194))+ISNUMBER(SEARCH("water",$B194))+ISNUMBER(SEARCH("tubig",$B194))+ISNUMBER(SEARCH("internet",$B194))+ISNUMBER(SEARCH("pldt",$B194))+ISNUMBER(SEARCH("meralco",$B194))+ISNUMBER(SEARCH("supplies",$B194))+ISNUMBER(SEARCH("office",$B194))+ISNUMBER(SEARCH("professional",$B194))+ISNUMBER(SEARCH("accountant",$B194))+ISNUMBER(SEARCH("lawyer",$B194))+ISNUMBER(SEARCH("broker",$B194))+ISNUMBER(SEARCH("bank",$B194))+ISNUMBER(SEARCH("charge",$B194))+ISNUMBER(SEARCH("permit",$B194))+ISNUMBER(SEARCH("bir",$B194))+ISNUMBER(SEARCH("ltfrb",$B194))+ISNUMBER(SEARCH("misc",$B194))+ISNUMBER(SEARCH("fee",$B194))&gt;0,"Overhead","Overhead")))))))</f>
        <v/>
      </c>
      <c r="J194">
        <f>IF($A194="","",DATE(YEAR($A194),MONTH($A194),1))</f>
        <v/>
      </c>
      <c r="K194">
        <f>IF($B194="","",IF(COUNTIF(Setup!$A$99:$A$128,$B194)&gt;0,0,1))</f>
        <v/>
      </c>
      <c r="L194">
        <f>IF($B194="","",IF(ISNUMBER(SEARCH("advance",$B194)),"ADV",IF(OR(ISNUMBER(SEARCH("payout",$B194)),ISNUMBER(SEARCH("pay out",$B194)),ISNUMBER(SEARCH("release",$B194))),"PAY","")))</f>
        <v/>
      </c>
      <c r="M194">
        <f>IF($B194="","",IF(ISNUMBER(SEARCH("bulk",$B194)),0,IF(ISNUMBER(SEARCH("fuel",$B194))+ISNUMBER(SEARCH("diesel",$B194))+ISNUMBER(SEARCH("krudo",$B194))+ISNUMBER(SEARCH("gasolina",$B194))&gt;0,1,0)))</f>
        <v/>
      </c>
      <c r="N194">
        <f>IF($B194="","",IF(ISNUMBER(SEARCH("fuel",$B194))+ISNUMBER(SEARCH("diesel",$B194))+ISNUMBER(SEARCH("krudo",$B194))+ISNUMBER(SEARCH("gasolina",$B194))&gt;0,1,0))</f>
        <v/>
      </c>
    </row>
    <row r="195">
      <c r="A195" s="86" t="n"/>
      <c r="B195" s="88" t="n"/>
      <c r="C195" s="88" t="n"/>
      <c r="D195" s="87" t="n"/>
      <c r="E195" s="88" t="n"/>
      <c r="F195" s="92" t="n"/>
      <c r="G195" s="87" t="n"/>
      <c r="H195" s="87" t="n"/>
      <c r="I195" s="101">
        <f>IF($B195="","",IF(COUNTIF(Setup!$A$99:$A$128,$B195)&gt;0,IF(INDEX(Setup!$B$99:$B$128,MATCH($B195,Setup!$A$99:$A$128,0))="","Overhead",INDEX(Setup!$B$99:$B$128,MATCH($B195,Setup!$A$99:$A$128,0))),IF(ISNUMBER(SEARCH("advance",$B195))+ISNUMBER(SEARCH("payout",$B195))+ISNUMBER(SEARCH("pay out",$B195))+ISNUMBER(SEARCH("reimburs",$B195))&gt;0,"Transfer",IF(ISNUMBER(SEARCH("loan",$B195))+ISNUMBER(SEARCH("amort",$B195))+ISNUMBER(SEARCH("installment",$B195))+ISNUMBER(SEARCH("instalment",$B195))&gt;0,"Financing",IF(ISNUMBER(SEARCH("draw",$B195))+ISNUMBER(SEARCH("owner",$B195))+ISNUMBER(SEARCH("asset",$B195))+ISNUMBER(SEARCH("capital",$B195))&gt;0,"Other",IF(ISNUMBER(SEARCH("fuel",$B195))+ISNUMBER(SEARCH("diesel",$B195))+ISNUMBER(SEARCH("krudo",$B195))+ISNUMBER(SEARCH("gasolina",$B195))+ISNUMBER(SEARCH("toll",$B195))+ISNUMBER(SEARCH("parking",$B195))+ISNUMBER(SEARCH("repair",$B195))+ISNUMBER(SEARCH("maintenance",$B195))+ISNUMBER(SEARCH("tire",$B195))+ISNUMBER(SEARCH("tyre",$B195))+ISNUMBER(SEARCH("battery",$B195))+ISNUMBER(SEARCH("oil",$B195))+ISNUMBER(SEARCH("filter",$B195))+ISNUMBER(SEARCH("spare",$B195))+ISNUMBER(SEARCH("insurance",$B195))+ISNUMBER(SEARCH("lto",$B195))+ISNUMBER(SEARCH("registration",$B195))+ISNUMBER(SEARCH("emission",$B195))+ISNUMBER(SEARCH("wash",$B195))+ISNUMBER(SEARCH("weigh",$B195))+ISNUMBER(SEARCH("tarp",$B195))&gt;0,"Vehicle",IF(ISNUMBER(SEARCH("rent",$B195))+ISNUMBER(SEARCH("upa",$B195))+ISNUMBER(SEARCH("salary",$B195))+ISNUMBER(SEARCH("sweldo",$B195))+ISNUMBER(SEARCH("wage",$B195))+ISNUMBER(SEARCH("electric",$B195))+ISNUMBER(SEARCH("kuryente",$B195))+ISNUMBER(SEARCH("water",$B195))+ISNUMBER(SEARCH("tubig",$B195))+ISNUMBER(SEARCH("internet",$B195))+ISNUMBER(SEARCH("pldt",$B195))+ISNUMBER(SEARCH("meralco",$B195))+ISNUMBER(SEARCH("supplies",$B195))+ISNUMBER(SEARCH("office",$B195))+ISNUMBER(SEARCH("professional",$B195))+ISNUMBER(SEARCH("accountant",$B195))+ISNUMBER(SEARCH("lawyer",$B195))+ISNUMBER(SEARCH("broker",$B195))+ISNUMBER(SEARCH("bank",$B195))+ISNUMBER(SEARCH("charge",$B195))+ISNUMBER(SEARCH("permit",$B195))+ISNUMBER(SEARCH("bir",$B195))+ISNUMBER(SEARCH("ltfrb",$B195))+ISNUMBER(SEARCH("misc",$B195))+ISNUMBER(SEARCH("fee",$B195))&gt;0,"Overhead","Overhead")))))))</f>
        <v/>
      </c>
      <c r="J195">
        <f>IF($A195="","",DATE(YEAR($A195),MONTH($A195),1))</f>
        <v/>
      </c>
      <c r="K195">
        <f>IF($B195="","",IF(COUNTIF(Setup!$A$99:$A$128,$B195)&gt;0,0,1))</f>
        <v/>
      </c>
      <c r="L195">
        <f>IF($B195="","",IF(ISNUMBER(SEARCH("advance",$B195)),"ADV",IF(OR(ISNUMBER(SEARCH("payout",$B195)),ISNUMBER(SEARCH("pay out",$B195)),ISNUMBER(SEARCH("release",$B195))),"PAY","")))</f>
        <v/>
      </c>
      <c r="M195">
        <f>IF($B195="","",IF(ISNUMBER(SEARCH("bulk",$B195)),0,IF(ISNUMBER(SEARCH("fuel",$B195))+ISNUMBER(SEARCH("diesel",$B195))+ISNUMBER(SEARCH("krudo",$B195))+ISNUMBER(SEARCH("gasolina",$B195))&gt;0,1,0)))</f>
        <v/>
      </c>
      <c r="N195">
        <f>IF($B195="","",IF(ISNUMBER(SEARCH("fuel",$B195))+ISNUMBER(SEARCH("diesel",$B195))+ISNUMBER(SEARCH("krudo",$B195))+ISNUMBER(SEARCH("gasolina",$B195))&gt;0,1,0))</f>
        <v/>
      </c>
    </row>
    <row r="196">
      <c r="A196" s="94" t="n"/>
      <c r="B196" s="96" t="n"/>
      <c r="C196" s="96" t="n"/>
      <c r="D196" s="95" t="n"/>
      <c r="E196" s="96" t="n"/>
      <c r="F196" s="99" t="n"/>
      <c r="G196" s="95" t="n"/>
      <c r="H196" s="95" t="n"/>
      <c r="I196" s="101">
        <f>IF($B196="","",IF(COUNTIF(Setup!$A$99:$A$128,$B196)&gt;0,IF(INDEX(Setup!$B$99:$B$128,MATCH($B196,Setup!$A$99:$A$128,0))="","Overhead",INDEX(Setup!$B$99:$B$128,MATCH($B196,Setup!$A$99:$A$128,0))),IF(ISNUMBER(SEARCH("advance",$B196))+ISNUMBER(SEARCH("payout",$B196))+ISNUMBER(SEARCH("pay out",$B196))+ISNUMBER(SEARCH("reimburs",$B196))&gt;0,"Transfer",IF(ISNUMBER(SEARCH("loan",$B196))+ISNUMBER(SEARCH("amort",$B196))+ISNUMBER(SEARCH("installment",$B196))+ISNUMBER(SEARCH("instalment",$B196))&gt;0,"Financing",IF(ISNUMBER(SEARCH("draw",$B196))+ISNUMBER(SEARCH("owner",$B196))+ISNUMBER(SEARCH("asset",$B196))+ISNUMBER(SEARCH("capital",$B196))&gt;0,"Other",IF(ISNUMBER(SEARCH("fuel",$B196))+ISNUMBER(SEARCH("diesel",$B196))+ISNUMBER(SEARCH("krudo",$B196))+ISNUMBER(SEARCH("gasolina",$B196))+ISNUMBER(SEARCH("toll",$B196))+ISNUMBER(SEARCH("parking",$B196))+ISNUMBER(SEARCH("repair",$B196))+ISNUMBER(SEARCH("maintenance",$B196))+ISNUMBER(SEARCH("tire",$B196))+ISNUMBER(SEARCH("tyre",$B196))+ISNUMBER(SEARCH("battery",$B196))+ISNUMBER(SEARCH("oil",$B196))+ISNUMBER(SEARCH("filter",$B196))+ISNUMBER(SEARCH("spare",$B196))+ISNUMBER(SEARCH("insurance",$B196))+ISNUMBER(SEARCH("lto",$B196))+ISNUMBER(SEARCH("registration",$B196))+ISNUMBER(SEARCH("emission",$B196))+ISNUMBER(SEARCH("wash",$B196))+ISNUMBER(SEARCH("weigh",$B196))+ISNUMBER(SEARCH("tarp",$B196))&gt;0,"Vehicle",IF(ISNUMBER(SEARCH("rent",$B196))+ISNUMBER(SEARCH("upa",$B196))+ISNUMBER(SEARCH("salary",$B196))+ISNUMBER(SEARCH("sweldo",$B196))+ISNUMBER(SEARCH("wage",$B196))+ISNUMBER(SEARCH("electric",$B196))+ISNUMBER(SEARCH("kuryente",$B196))+ISNUMBER(SEARCH("water",$B196))+ISNUMBER(SEARCH("tubig",$B196))+ISNUMBER(SEARCH("internet",$B196))+ISNUMBER(SEARCH("pldt",$B196))+ISNUMBER(SEARCH("meralco",$B196))+ISNUMBER(SEARCH("supplies",$B196))+ISNUMBER(SEARCH("office",$B196))+ISNUMBER(SEARCH("professional",$B196))+ISNUMBER(SEARCH("accountant",$B196))+ISNUMBER(SEARCH("lawyer",$B196))+ISNUMBER(SEARCH("broker",$B196))+ISNUMBER(SEARCH("bank",$B196))+ISNUMBER(SEARCH("charge",$B196))+ISNUMBER(SEARCH("permit",$B196))+ISNUMBER(SEARCH("bir",$B196))+ISNUMBER(SEARCH("ltfrb",$B196))+ISNUMBER(SEARCH("misc",$B196))+ISNUMBER(SEARCH("fee",$B196))&gt;0,"Overhead","Overhead")))))))</f>
        <v/>
      </c>
      <c r="J196">
        <f>IF($A196="","",DATE(YEAR($A196),MONTH($A196),1))</f>
        <v/>
      </c>
      <c r="K196">
        <f>IF($B196="","",IF(COUNTIF(Setup!$A$99:$A$128,$B196)&gt;0,0,1))</f>
        <v/>
      </c>
      <c r="L196">
        <f>IF($B196="","",IF(ISNUMBER(SEARCH("advance",$B196)),"ADV",IF(OR(ISNUMBER(SEARCH("payout",$B196)),ISNUMBER(SEARCH("pay out",$B196)),ISNUMBER(SEARCH("release",$B196))),"PAY","")))</f>
        <v/>
      </c>
      <c r="M196">
        <f>IF($B196="","",IF(ISNUMBER(SEARCH("bulk",$B196)),0,IF(ISNUMBER(SEARCH("fuel",$B196))+ISNUMBER(SEARCH("diesel",$B196))+ISNUMBER(SEARCH("krudo",$B196))+ISNUMBER(SEARCH("gasolina",$B196))&gt;0,1,0)))</f>
        <v/>
      </c>
      <c r="N196">
        <f>IF($B196="","",IF(ISNUMBER(SEARCH("fuel",$B196))+ISNUMBER(SEARCH("diesel",$B196))+ISNUMBER(SEARCH("krudo",$B196))+ISNUMBER(SEARCH("gasolina",$B196))&gt;0,1,0))</f>
        <v/>
      </c>
    </row>
    <row r="197">
      <c r="A197" s="86" t="n"/>
      <c r="B197" s="88" t="n"/>
      <c r="C197" s="88" t="n"/>
      <c r="D197" s="87" t="n"/>
      <c r="E197" s="88" t="n"/>
      <c r="F197" s="92" t="n"/>
      <c r="G197" s="87" t="n"/>
      <c r="H197" s="87" t="n"/>
      <c r="I197" s="101">
        <f>IF($B197="","",IF(COUNTIF(Setup!$A$99:$A$128,$B197)&gt;0,IF(INDEX(Setup!$B$99:$B$128,MATCH($B197,Setup!$A$99:$A$128,0))="","Overhead",INDEX(Setup!$B$99:$B$128,MATCH($B197,Setup!$A$99:$A$128,0))),IF(ISNUMBER(SEARCH("advance",$B197))+ISNUMBER(SEARCH("payout",$B197))+ISNUMBER(SEARCH("pay out",$B197))+ISNUMBER(SEARCH("reimburs",$B197))&gt;0,"Transfer",IF(ISNUMBER(SEARCH("loan",$B197))+ISNUMBER(SEARCH("amort",$B197))+ISNUMBER(SEARCH("installment",$B197))+ISNUMBER(SEARCH("instalment",$B197))&gt;0,"Financing",IF(ISNUMBER(SEARCH("draw",$B197))+ISNUMBER(SEARCH("owner",$B197))+ISNUMBER(SEARCH("asset",$B197))+ISNUMBER(SEARCH("capital",$B197))&gt;0,"Other",IF(ISNUMBER(SEARCH("fuel",$B197))+ISNUMBER(SEARCH("diesel",$B197))+ISNUMBER(SEARCH("krudo",$B197))+ISNUMBER(SEARCH("gasolina",$B197))+ISNUMBER(SEARCH("toll",$B197))+ISNUMBER(SEARCH("parking",$B197))+ISNUMBER(SEARCH("repair",$B197))+ISNUMBER(SEARCH("maintenance",$B197))+ISNUMBER(SEARCH("tire",$B197))+ISNUMBER(SEARCH("tyre",$B197))+ISNUMBER(SEARCH("battery",$B197))+ISNUMBER(SEARCH("oil",$B197))+ISNUMBER(SEARCH("filter",$B197))+ISNUMBER(SEARCH("spare",$B197))+ISNUMBER(SEARCH("insurance",$B197))+ISNUMBER(SEARCH("lto",$B197))+ISNUMBER(SEARCH("registration",$B197))+ISNUMBER(SEARCH("emission",$B197))+ISNUMBER(SEARCH("wash",$B197))+ISNUMBER(SEARCH("weigh",$B197))+ISNUMBER(SEARCH("tarp",$B197))&gt;0,"Vehicle",IF(ISNUMBER(SEARCH("rent",$B197))+ISNUMBER(SEARCH("upa",$B197))+ISNUMBER(SEARCH("salary",$B197))+ISNUMBER(SEARCH("sweldo",$B197))+ISNUMBER(SEARCH("wage",$B197))+ISNUMBER(SEARCH("electric",$B197))+ISNUMBER(SEARCH("kuryente",$B197))+ISNUMBER(SEARCH("water",$B197))+ISNUMBER(SEARCH("tubig",$B197))+ISNUMBER(SEARCH("internet",$B197))+ISNUMBER(SEARCH("pldt",$B197))+ISNUMBER(SEARCH("meralco",$B197))+ISNUMBER(SEARCH("supplies",$B197))+ISNUMBER(SEARCH("office",$B197))+ISNUMBER(SEARCH("professional",$B197))+ISNUMBER(SEARCH("accountant",$B197))+ISNUMBER(SEARCH("lawyer",$B197))+ISNUMBER(SEARCH("broker",$B197))+ISNUMBER(SEARCH("bank",$B197))+ISNUMBER(SEARCH("charge",$B197))+ISNUMBER(SEARCH("permit",$B197))+ISNUMBER(SEARCH("bir",$B197))+ISNUMBER(SEARCH("ltfrb",$B197))+ISNUMBER(SEARCH("misc",$B197))+ISNUMBER(SEARCH("fee",$B197))&gt;0,"Overhead","Overhead")))))))</f>
        <v/>
      </c>
      <c r="J197">
        <f>IF($A197="","",DATE(YEAR($A197),MONTH($A197),1))</f>
        <v/>
      </c>
      <c r="K197">
        <f>IF($B197="","",IF(COUNTIF(Setup!$A$99:$A$128,$B197)&gt;0,0,1))</f>
        <v/>
      </c>
      <c r="L197">
        <f>IF($B197="","",IF(ISNUMBER(SEARCH("advance",$B197)),"ADV",IF(OR(ISNUMBER(SEARCH("payout",$B197)),ISNUMBER(SEARCH("pay out",$B197)),ISNUMBER(SEARCH("release",$B197))),"PAY","")))</f>
        <v/>
      </c>
      <c r="M197">
        <f>IF($B197="","",IF(ISNUMBER(SEARCH("bulk",$B197)),0,IF(ISNUMBER(SEARCH("fuel",$B197))+ISNUMBER(SEARCH("diesel",$B197))+ISNUMBER(SEARCH("krudo",$B197))+ISNUMBER(SEARCH("gasolina",$B197))&gt;0,1,0)))</f>
        <v/>
      </c>
      <c r="N197">
        <f>IF($B197="","",IF(ISNUMBER(SEARCH("fuel",$B197))+ISNUMBER(SEARCH("diesel",$B197))+ISNUMBER(SEARCH("krudo",$B197))+ISNUMBER(SEARCH("gasolina",$B197))&gt;0,1,0))</f>
        <v/>
      </c>
    </row>
    <row r="198">
      <c r="A198" s="94" t="n"/>
      <c r="B198" s="96" t="n"/>
      <c r="C198" s="96" t="n"/>
      <c r="D198" s="95" t="n"/>
      <c r="E198" s="96" t="n"/>
      <c r="F198" s="99" t="n"/>
      <c r="G198" s="95" t="n"/>
      <c r="H198" s="95" t="n"/>
      <c r="I198" s="101">
        <f>IF($B198="","",IF(COUNTIF(Setup!$A$99:$A$128,$B198)&gt;0,IF(INDEX(Setup!$B$99:$B$128,MATCH($B198,Setup!$A$99:$A$128,0))="","Overhead",INDEX(Setup!$B$99:$B$128,MATCH($B198,Setup!$A$99:$A$128,0))),IF(ISNUMBER(SEARCH("advance",$B198))+ISNUMBER(SEARCH("payout",$B198))+ISNUMBER(SEARCH("pay out",$B198))+ISNUMBER(SEARCH("reimburs",$B198))&gt;0,"Transfer",IF(ISNUMBER(SEARCH("loan",$B198))+ISNUMBER(SEARCH("amort",$B198))+ISNUMBER(SEARCH("installment",$B198))+ISNUMBER(SEARCH("instalment",$B198))&gt;0,"Financing",IF(ISNUMBER(SEARCH("draw",$B198))+ISNUMBER(SEARCH("owner",$B198))+ISNUMBER(SEARCH("asset",$B198))+ISNUMBER(SEARCH("capital",$B198))&gt;0,"Other",IF(ISNUMBER(SEARCH("fuel",$B198))+ISNUMBER(SEARCH("diesel",$B198))+ISNUMBER(SEARCH("krudo",$B198))+ISNUMBER(SEARCH("gasolina",$B198))+ISNUMBER(SEARCH("toll",$B198))+ISNUMBER(SEARCH("parking",$B198))+ISNUMBER(SEARCH("repair",$B198))+ISNUMBER(SEARCH("maintenance",$B198))+ISNUMBER(SEARCH("tire",$B198))+ISNUMBER(SEARCH("tyre",$B198))+ISNUMBER(SEARCH("battery",$B198))+ISNUMBER(SEARCH("oil",$B198))+ISNUMBER(SEARCH("filter",$B198))+ISNUMBER(SEARCH("spare",$B198))+ISNUMBER(SEARCH("insurance",$B198))+ISNUMBER(SEARCH("lto",$B198))+ISNUMBER(SEARCH("registration",$B198))+ISNUMBER(SEARCH("emission",$B198))+ISNUMBER(SEARCH("wash",$B198))+ISNUMBER(SEARCH("weigh",$B198))+ISNUMBER(SEARCH("tarp",$B198))&gt;0,"Vehicle",IF(ISNUMBER(SEARCH("rent",$B198))+ISNUMBER(SEARCH("upa",$B198))+ISNUMBER(SEARCH("salary",$B198))+ISNUMBER(SEARCH("sweldo",$B198))+ISNUMBER(SEARCH("wage",$B198))+ISNUMBER(SEARCH("electric",$B198))+ISNUMBER(SEARCH("kuryente",$B198))+ISNUMBER(SEARCH("water",$B198))+ISNUMBER(SEARCH("tubig",$B198))+ISNUMBER(SEARCH("internet",$B198))+ISNUMBER(SEARCH("pldt",$B198))+ISNUMBER(SEARCH("meralco",$B198))+ISNUMBER(SEARCH("supplies",$B198))+ISNUMBER(SEARCH("office",$B198))+ISNUMBER(SEARCH("professional",$B198))+ISNUMBER(SEARCH("accountant",$B198))+ISNUMBER(SEARCH("lawyer",$B198))+ISNUMBER(SEARCH("broker",$B198))+ISNUMBER(SEARCH("bank",$B198))+ISNUMBER(SEARCH("charge",$B198))+ISNUMBER(SEARCH("permit",$B198))+ISNUMBER(SEARCH("bir",$B198))+ISNUMBER(SEARCH("ltfrb",$B198))+ISNUMBER(SEARCH("misc",$B198))+ISNUMBER(SEARCH("fee",$B198))&gt;0,"Overhead","Overhead")))))))</f>
        <v/>
      </c>
      <c r="J198">
        <f>IF($A198="","",DATE(YEAR($A198),MONTH($A198),1))</f>
        <v/>
      </c>
      <c r="K198">
        <f>IF($B198="","",IF(COUNTIF(Setup!$A$99:$A$128,$B198)&gt;0,0,1))</f>
        <v/>
      </c>
      <c r="L198">
        <f>IF($B198="","",IF(ISNUMBER(SEARCH("advance",$B198)),"ADV",IF(OR(ISNUMBER(SEARCH("payout",$B198)),ISNUMBER(SEARCH("pay out",$B198)),ISNUMBER(SEARCH("release",$B198))),"PAY","")))</f>
        <v/>
      </c>
      <c r="M198">
        <f>IF($B198="","",IF(ISNUMBER(SEARCH("bulk",$B198)),0,IF(ISNUMBER(SEARCH("fuel",$B198))+ISNUMBER(SEARCH("diesel",$B198))+ISNUMBER(SEARCH("krudo",$B198))+ISNUMBER(SEARCH("gasolina",$B198))&gt;0,1,0)))</f>
        <v/>
      </c>
      <c r="N198">
        <f>IF($B198="","",IF(ISNUMBER(SEARCH("fuel",$B198))+ISNUMBER(SEARCH("diesel",$B198))+ISNUMBER(SEARCH("krudo",$B198))+ISNUMBER(SEARCH("gasolina",$B198))&gt;0,1,0))</f>
        <v/>
      </c>
    </row>
    <row r="199">
      <c r="A199" s="86" t="n"/>
      <c r="B199" s="88" t="n"/>
      <c r="C199" s="88" t="n"/>
      <c r="D199" s="87" t="n"/>
      <c r="E199" s="88" t="n"/>
      <c r="F199" s="92" t="n"/>
      <c r="G199" s="87" t="n"/>
      <c r="H199" s="87" t="n"/>
      <c r="I199" s="101">
        <f>IF($B199="","",IF(COUNTIF(Setup!$A$99:$A$128,$B199)&gt;0,IF(INDEX(Setup!$B$99:$B$128,MATCH($B199,Setup!$A$99:$A$128,0))="","Overhead",INDEX(Setup!$B$99:$B$128,MATCH($B199,Setup!$A$99:$A$128,0))),IF(ISNUMBER(SEARCH("advance",$B199))+ISNUMBER(SEARCH("payout",$B199))+ISNUMBER(SEARCH("pay out",$B199))+ISNUMBER(SEARCH("reimburs",$B199))&gt;0,"Transfer",IF(ISNUMBER(SEARCH("loan",$B199))+ISNUMBER(SEARCH("amort",$B199))+ISNUMBER(SEARCH("installment",$B199))+ISNUMBER(SEARCH("instalment",$B199))&gt;0,"Financing",IF(ISNUMBER(SEARCH("draw",$B199))+ISNUMBER(SEARCH("owner",$B199))+ISNUMBER(SEARCH("asset",$B199))+ISNUMBER(SEARCH("capital",$B199))&gt;0,"Other",IF(ISNUMBER(SEARCH("fuel",$B199))+ISNUMBER(SEARCH("diesel",$B199))+ISNUMBER(SEARCH("krudo",$B199))+ISNUMBER(SEARCH("gasolina",$B199))+ISNUMBER(SEARCH("toll",$B199))+ISNUMBER(SEARCH("parking",$B199))+ISNUMBER(SEARCH("repair",$B199))+ISNUMBER(SEARCH("maintenance",$B199))+ISNUMBER(SEARCH("tire",$B199))+ISNUMBER(SEARCH("tyre",$B199))+ISNUMBER(SEARCH("battery",$B199))+ISNUMBER(SEARCH("oil",$B199))+ISNUMBER(SEARCH("filter",$B199))+ISNUMBER(SEARCH("spare",$B199))+ISNUMBER(SEARCH("insurance",$B199))+ISNUMBER(SEARCH("lto",$B199))+ISNUMBER(SEARCH("registration",$B199))+ISNUMBER(SEARCH("emission",$B199))+ISNUMBER(SEARCH("wash",$B199))+ISNUMBER(SEARCH("weigh",$B199))+ISNUMBER(SEARCH("tarp",$B199))&gt;0,"Vehicle",IF(ISNUMBER(SEARCH("rent",$B199))+ISNUMBER(SEARCH("upa",$B199))+ISNUMBER(SEARCH("salary",$B199))+ISNUMBER(SEARCH("sweldo",$B199))+ISNUMBER(SEARCH("wage",$B199))+ISNUMBER(SEARCH("electric",$B199))+ISNUMBER(SEARCH("kuryente",$B199))+ISNUMBER(SEARCH("water",$B199))+ISNUMBER(SEARCH("tubig",$B199))+ISNUMBER(SEARCH("internet",$B199))+ISNUMBER(SEARCH("pldt",$B199))+ISNUMBER(SEARCH("meralco",$B199))+ISNUMBER(SEARCH("supplies",$B199))+ISNUMBER(SEARCH("office",$B199))+ISNUMBER(SEARCH("professional",$B199))+ISNUMBER(SEARCH("accountant",$B199))+ISNUMBER(SEARCH("lawyer",$B199))+ISNUMBER(SEARCH("broker",$B199))+ISNUMBER(SEARCH("bank",$B199))+ISNUMBER(SEARCH("charge",$B199))+ISNUMBER(SEARCH("permit",$B199))+ISNUMBER(SEARCH("bir",$B199))+ISNUMBER(SEARCH("ltfrb",$B199))+ISNUMBER(SEARCH("misc",$B199))+ISNUMBER(SEARCH("fee",$B199))&gt;0,"Overhead","Overhead")))))))</f>
        <v/>
      </c>
      <c r="J199">
        <f>IF($A199="","",DATE(YEAR($A199),MONTH($A199),1))</f>
        <v/>
      </c>
      <c r="K199">
        <f>IF($B199="","",IF(COUNTIF(Setup!$A$99:$A$128,$B199)&gt;0,0,1))</f>
        <v/>
      </c>
      <c r="L199">
        <f>IF($B199="","",IF(ISNUMBER(SEARCH("advance",$B199)),"ADV",IF(OR(ISNUMBER(SEARCH("payout",$B199)),ISNUMBER(SEARCH("pay out",$B199)),ISNUMBER(SEARCH("release",$B199))),"PAY","")))</f>
        <v/>
      </c>
      <c r="M199">
        <f>IF($B199="","",IF(ISNUMBER(SEARCH("bulk",$B199)),0,IF(ISNUMBER(SEARCH("fuel",$B199))+ISNUMBER(SEARCH("diesel",$B199))+ISNUMBER(SEARCH("krudo",$B199))+ISNUMBER(SEARCH("gasolina",$B199))&gt;0,1,0)))</f>
        <v/>
      </c>
      <c r="N199">
        <f>IF($B199="","",IF(ISNUMBER(SEARCH("fuel",$B199))+ISNUMBER(SEARCH("diesel",$B199))+ISNUMBER(SEARCH("krudo",$B199))+ISNUMBER(SEARCH("gasolina",$B199))&gt;0,1,0))</f>
        <v/>
      </c>
    </row>
    <row r="200">
      <c r="A200" s="94" t="n"/>
      <c r="B200" s="96" t="n"/>
      <c r="C200" s="96" t="n"/>
      <c r="D200" s="95" t="n"/>
      <c r="E200" s="96" t="n"/>
      <c r="F200" s="99" t="n"/>
      <c r="G200" s="95" t="n"/>
      <c r="H200" s="95" t="n"/>
      <c r="I200" s="101">
        <f>IF($B200="","",IF(COUNTIF(Setup!$A$99:$A$128,$B200)&gt;0,IF(INDEX(Setup!$B$99:$B$128,MATCH($B200,Setup!$A$99:$A$128,0))="","Overhead",INDEX(Setup!$B$99:$B$128,MATCH($B200,Setup!$A$99:$A$128,0))),IF(ISNUMBER(SEARCH("advance",$B200))+ISNUMBER(SEARCH("payout",$B200))+ISNUMBER(SEARCH("pay out",$B200))+ISNUMBER(SEARCH("reimburs",$B200))&gt;0,"Transfer",IF(ISNUMBER(SEARCH("loan",$B200))+ISNUMBER(SEARCH("amort",$B200))+ISNUMBER(SEARCH("installment",$B200))+ISNUMBER(SEARCH("instalment",$B200))&gt;0,"Financing",IF(ISNUMBER(SEARCH("draw",$B200))+ISNUMBER(SEARCH("owner",$B200))+ISNUMBER(SEARCH("asset",$B200))+ISNUMBER(SEARCH("capital",$B200))&gt;0,"Other",IF(ISNUMBER(SEARCH("fuel",$B200))+ISNUMBER(SEARCH("diesel",$B200))+ISNUMBER(SEARCH("krudo",$B200))+ISNUMBER(SEARCH("gasolina",$B200))+ISNUMBER(SEARCH("toll",$B200))+ISNUMBER(SEARCH("parking",$B200))+ISNUMBER(SEARCH("repair",$B200))+ISNUMBER(SEARCH("maintenance",$B200))+ISNUMBER(SEARCH("tire",$B200))+ISNUMBER(SEARCH("tyre",$B200))+ISNUMBER(SEARCH("battery",$B200))+ISNUMBER(SEARCH("oil",$B200))+ISNUMBER(SEARCH("filter",$B200))+ISNUMBER(SEARCH("spare",$B200))+ISNUMBER(SEARCH("insurance",$B200))+ISNUMBER(SEARCH("lto",$B200))+ISNUMBER(SEARCH("registration",$B200))+ISNUMBER(SEARCH("emission",$B200))+ISNUMBER(SEARCH("wash",$B200))+ISNUMBER(SEARCH("weigh",$B200))+ISNUMBER(SEARCH("tarp",$B200))&gt;0,"Vehicle",IF(ISNUMBER(SEARCH("rent",$B200))+ISNUMBER(SEARCH("upa",$B200))+ISNUMBER(SEARCH("salary",$B200))+ISNUMBER(SEARCH("sweldo",$B200))+ISNUMBER(SEARCH("wage",$B200))+ISNUMBER(SEARCH("electric",$B200))+ISNUMBER(SEARCH("kuryente",$B200))+ISNUMBER(SEARCH("water",$B200))+ISNUMBER(SEARCH("tubig",$B200))+ISNUMBER(SEARCH("internet",$B200))+ISNUMBER(SEARCH("pldt",$B200))+ISNUMBER(SEARCH("meralco",$B200))+ISNUMBER(SEARCH("supplies",$B200))+ISNUMBER(SEARCH("office",$B200))+ISNUMBER(SEARCH("professional",$B200))+ISNUMBER(SEARCH("accountant",$B200))+ISNUMBER(SEARCH("lawyer",$B200))+ISNUMBER(SEARCH("broker",$B200))+ISNUMBER(SEARCH("bank",$B200))+ISNUMBER(SEARCH("charge",$B200))+ISNUMBER(SEARCH("permit",$B200))+ISNUMBER(SEARCH("bir",$B200))+ISNUMBER(SEARCH("ltfrb",$B200))+ISNUMBER(SEARCH("misc",$B200))+ISNUMBER(SEARCH("fee",$B200))&gt;0,"Overhead","Overhead")))))))</f>
        <v/>
      </c>
      <c r="J200">
        <f>IF($A200="","",DATE(YEAR($A200),MONTH($A200),1))</f>
        <v/>
      </c>
      <c r="K200">
        <f>IF($B200="","",IF(COUNTIF(Setup!$A$99:$A$128,$B200)&gt;0,0,1))</f>
        <v/>
      </c>
      <c r="L200">
        <f>IF($B200="","",IF(ISNUMBER(SEARCH("advance",$B200)),"ADV",IF(OR(ISNUMBER(SEARCH("payout",$B200)),ISNUMBER(SEARCH("pay out",$B200)),ISNUMBER(SEARCH("release",$B200))),"PAY","")))</f>
        <v/>
      </c>
      <c r="M200">
        <f>IF($B200="","",IF(ISNUMBER(SEARCH("bulk",$B200)),0,IF(ISNUMBER(SEARCH("fuel",$B200))+ISNUMBER(SEARCH("diesel",$B200))+ISNUMBER(SEARCH("krudo",$B200))+ISNUMBER(SEARCH("gasolina",$B200))&gt;0,1,0)))</f>
        <v/>
      </c>
      <c r="N200">
        <f>IF($B200="","",IF(ISNUMBER(SEARCH("fuel",$B200))+ISNUMBER(SEARCH("diesel",$B200))+ISNUMBER(SEARCH("krudo",$B200))+ISNUMBER(SEARCH("gasolina",$B200))&gt;0,1,0))</f>
        <v/>
      </c>
    </row>
    <row r="201">
      <c r="A201" s="86" t="n"/>
      <c r="B201" s="88" t="n"/>
      <c r="C201" s="88" t="n"/>
      <c r="D201" s="87" t="n"/>
      <c r="E201" s="88" t="n"/>
      <c r="F201" s="92" t="n"/>
      <c r="G201" s="87" t="n"/>
      <c r="H201" s="87" t="n"/>
      <c r="I201" s="101">
        <f>IF($B201="","",IF(COUNTIF(Setup!$A$99:$A$128,$B201)&gt;0,IF(INDEX(Setup!$B$99:$B$128,MATCH($B201,Setup!$A$99:$A$128,0))="","Overhead",INDEX(Setup!$B$99:$B$128,MATCH($B201,Setup!$A$99:$A$128,0))),IF(ISNUMBER(SEARCH("advance",$B201))+ISNUMBER(SEARCH("payout",$B201))+ISNUMBER(SEARCH("pay out",$B201))+ISNUMBER(SEARCH("reimburs",$B201))&gt;0,"Transfer",IF(ISNUMBER(SEARCH("loan",$B201))+ISNUMBER(SEARCH("amort",$B201))+ISNUMBER(SEARCH("installment",$B201))+ISNUMBER(SEARCH("instalment",$B201))&gt;0,"Financing",IF(ISNUMBER(SEARCH("draw",$B201))+ISNUMBER(SEARCH("owner",$B201))+ISNUMBER(SEARCH("asset",$B201))+ISNUMBER(SEARCH("capital",$B201))&gt;0,"Other",IF(ISNUMBER(SEARCH("fuel",$B201))+ISNUMBER(SEARCH("diesel",$B201))+ISNUMBER(SEARCH("krudo",$B201))+ISNUMBER(SEARCH("gasolina",$B201))+ISNUMBER(SEARCH("toll",$B201))+ISNUMBER(SEARCH("parking",$B201))+ISNUMBER(SEARCH("repair",$B201))+ISNUMBER(SEARCH("maintenance",$B201))+ISNUMBER(SEARCH("tire",$B201))+ISNUMBER(SEARCH("tyre",$B201))+ISNUMBER(SEARCH("battery",$B201))+ISNUMBER(SEARCH("oil",$B201))+ISNUMBER(SEARCH("filter",$B201))+ISNUMBER(SEARCH("spare",$B201))+ISNUMBER(SEARCH("insurance",$B201))+ISNUMBER(SEARCH("lto",$B201))+ISNUMBER(SEARCH("registration",$B201))+ISNUMBER(SEARCH("emission",$B201))+ISNUMBER(SEARCH("wash",$B201))+ISNUMBER(SEARCH("weigh",$B201))+ISNUMBER(SEARCH("tarp",$B201))&gt;0,"Vehicle",IF(ISNUMBER(SEARCH("rent",$B201))+ISNUMBER(SEARCH("upa",$B201))+ISNUMBER(SEARCH("salary",$B201))+ISNUMBER(SEARCH("sweldo",$B201))+ISNUMBER(SEARCH("wage",$B201))+ISNUMBER(SEARCH("electric",$B201))+ISNUMBER(SEARCH("kuryente",$B201))+ISNUMBER(SEARCH("water",$B201))+ISNUMBER(SEARCH("tubig",$B201))+ISNUMBER(SEARCH("internet",$B201))+ISNUMBER(SEARCH("pldt",$B201))+ISNUMBER(SEARCH("meralco",$B201))+ISNUMBER(SEARCH("supplies",$B201))+ISNUMBER(SEARCH("office",$B201))+ISNUMBER(SEARCH("professional",$B201))+ISNUMBER(SEARCH("accountant",$B201))+ISNUMBER(SEARCH("lawyer",$B201))+ISNUMBER(SEARCH("broker",$B201))+ISNUMBER(SEARCH("bank",$B201))+ISNUMBER(SEARCH("charge",$B201))+ISNUMBER(SEARCH("permit",$B201))+ISNUMBER(SEARCH("bir",$B201))+ISNUMBER(SEARCH("ltfrb",$B201))+ISNUMBER(SEARCH("misc",$B201))+ISNUMBER(SEARCH("fee",$B201))&gt;0,"Overhead","Overhead")))))))</f>
        <v/>
      </c>
      <c r="J201">
        <f>IF($A201="","",DATE(YEAR($A201),MONTH($A201),1))</f>
        <v/>
      </c>
      <c r="K201">
        <f>IF($B201="","",IF(COUNTIF(Setup!$A$99:$A$128,$B201)&gt;0,0,1))</f>
        <v/>
      </c>
      <c r="L201">
        <f>IF($B201="","",IF(ISNUMBER(SEARCH("advance",$B201)),"ADV",IF(OR(ISNUMBER(SEARCH("payout",$B201)),ISNUMBER(SEARCH("pay out",$B201)),ISNUMBER(SEARCH("release",$B201))),"PAY","")))</f>
        <v/>
      </c>
      <c r="M201">
        <f>IF($B201="","",IF(ISNUMBER(SEARCH("bulk",$B201)),0,IF(ISNUMBER(SEARCH("fuel",$B201))+ISNUMBER(SEARCH("diesel",$B201))+ISNUMBER(SEARCH("krudo",$B201))+ISNUMBER(SEARCH("gasolina",$B201))&gt;0,1,0)))</f>
        <v/>
      </c>
      <c r="N201">
        <f>IF($B201="","",IF(ISNUMBER(SEARCH("fuel",$B201))+ISNUMBER(SEARCH("diesel",$B201))+ISNUMBER(SEARCH("krudo",$B201))+ISNUMBER(SEARCH("gasolina",$B201))&gt;0,1,0))</f>
        <v/>
      </c>
    </row>
    <row r="202">
      <c r="A202" s="94" t="n"/>
      <c r="B202" s="96" t="n"/>
      <c r="C202" s="96" t="n"/>
      <c r="D202" s="95" t="n"/>
      <c r="E202" s="96" t="n"/>
      <c r="F202" s="99" t="n"/>
      <c r="G202" s="95" t="n"/>
      <c r="H202" s="95" t="n"/>
      <c r="I202" s="101">
        <f>IF($B202="","",IF(COUNTIF(Setup!$A$99:$A$128,$B202)&gt;0,IF(INDEX(Setup!$B$99:$B$128,MATCH($B202,Setup!$A$99:$A$128,0))="","Overhead",INDEX(Setup!$B$99:$B$128,MATCH($B202,Setup!$A$99:$A$128,0))),IF(ISNUMBER(SEARCH("advance",$B202))+ISNUMBER(SEARCH("payout",$B202))+ISNUMBER(SEARCH("pay out",$B202))+ISNUMBER(SEARCH("reimburs",$B202))&gt;0,"Transfer",IF(ISNUMBER(SEARCH("loan",$B202))+ISNUMBER(SEARCH("amort",$B202))+ISNUMBER(SEARCH("installment",$B202))+ISNUMBER(SEARCH("instalment",$B202))&gt;0,"Financing",IF(ISNUMBER(SEARCH("draw",$B202))+ISNUMBER(SEARCH("owner",$B202))+ISNUMBER(SEARCH("asset",$B202))+ISNUMBER(SEARCH("capital",$B202))&gt;0,"Other",IF(ISNUMBER(SEARCH("fuel",$B202))+ISNUMBER(SEARCH("diesel",$B202))+ISNUMBER(SEARCH("krudo",$B202))+ISNUMBER(SEARCH("gasolina",$B202))+ISNUMBER(SEARCH("toll",$B202))+ISNUMBER(SEARCH("parking",$B202))+ISNUMBER(SEARCH("repair",$B202))+ISNUMBER(SEARCH("maintenance",$B202))+ISNUMBER(SEARCH("tire",$B202))+ISNUMBER(SEARCH("tyre",$B202))+ISNUMBER(SEARCH("battery",$B202))+ISNUMBER(SEARCH("oil",$B202))+ISNUMBER(SEARCH("filter",$B202))+ISNUMBER(SEARCH("spare",$B202))+ISNUMBER(SEARCH("insurance",$B202))+ISNUMBER(SEARCH("lto",$B202))+ISNUMBER(SEARCH("registration",$B202))+ISNUMBER(SEARCH("emission",$B202))+ISNUMBER(SEARCH("wash",$B202))+ISNUMBER(SEARCH("weigh",$B202))+ISNUMBER(SEARCH("tarp",$B202))&gt;0,"Vehicle",IF(ISNUMBER(SEARCH("rent",$B202))+ISNUMBER(SEARCH("upa",$B202))+ISNUMBER(SEARCH("salary",$B202))+ISNUMBER(SEARCH("sweldo",$B202))+ISNUMBER(SEARCH("wage",$B202))+ISNUMBER(SEARCH("electric",$B202))+ISNUMBER(SEARCH("kuryente",$B202))+ISNUMBER(SEARCH("water",$B202))+ISNUMBER(SEARCH("tubig",$B202))+ISNUMBER(SEARCH("internet",$B202))+ISNUMBER(SEARCH("pldt",$B202))+ISNUMBER(SEARCH("meralco",$B202))+ISNUMBER(SEARCH("supplies",$B202))+ISNUMBER(SEARCH("office",$B202))+ISNUMBER(SEARCH("professional",$B202))+ISNUMBER(SEARCH("accountant",$B202))+ISNUMBER(SEARCH("lawyer",$B202))+ISNUMBER(SEARCH("broker",$B202))+ISNUMBER(SEARCH("bank",$B202))+ISNUMBER(SEARCH("charge",$B202))+ISNUMBER(SEARCH("permit",$B202))+ISNUMBER(SEARCH("bir",$B202))+ISNUMBER(SEARCH("ltfrb",$B202))+ISNUMBER(SEARCH("misc",$B202))+ISNUMBER(SEARCH("fee",$B202))&gt;0,"Overhead","Overhead")))))))</f>
        <v/>
      </c>
      <c r="J202">
        <f>IF($A202="","",DATE(YEAR($A202),MONTH($A202),1))</f>
        <v/>
      </c>
      <c r="K202">
        <f>IF($B202="","",IF(COUNTIF(Setup!$A$99:$A$128,$B202)&gt;0,0,1))</f>
        <v/>
      </c>
      <c r="L202">
        <f>IF($B202="","",IF(ISNUMBER(SEARCH("advance",$B202)),"ADV",IF(OR(ISNUMBER(SEARCH("payout",$B202)),ISNUMBER(SEARCH("pay out",$B202)),ISNUMBER(SEARCH("release",$B202))),"PAY","")))</f>
        <v/>
      </c>
      <c r="M202">
        <f>IF($B202="","",IF(ISNUMBER(SEARCH("bulk",$B202)),0,IF(ISNUMBER(SEARCH("fuel",$B202))+ISNUMBER(SEARCH("diesel",$B202))+ISNUMBER(SEARCH("krudo",$B202))+ISNUMBER(SEARCH("gasolina",$B202))&gt;0,1,0)))</f>
        <v/>
      </c>
      <c r="N202">
        <f>IF($B202="","",IF(ISNUMBER(SEARCH("fuel",$B202))+ISNUMBER(SEARCH("diesel",$B202))+ISNUMBER(SEARCH("krudo",$B202))+ISNUMBER(SEARCH("gasolina",$B202))&gt;0,1,0))</f>
        <v/>
      </c>
    </row>
    <row r="203">
      <c r="A203" s="86" t="n"/>
      <c r="B203" s="88" t="n"/>
      <c r="C203" s="88" t="n"/>
      <c r="D203" s="87" t="n"/>
      <c r="E203" s="88" t="n"/>
      <c r="F203" s="92" t="n"/>
      <c r="G203" s="87" t="n"/>
      <c r="H203" s="87" t="n"/>
      <c r="I203" s="101">
        <f>IF($B203="","",IF(COUNTIF(Setup!$A$99:$A$128,$B203)&gt;0,IF(INDEX(Setup!$B$99:$B$128,MATCH($B203,Setup!$A$99:$A$128,0))="","Overhead",INDEX(Setup!$B$99:$B$128,MATCH($B203,Setup!$A$99:$A$128,0))),IF(ISNUMBER(SEARCH("advance",$B203))+ISNUMBER(SEARCH("payout",$B203))+ISNUMBER(SEARCH("pay out",$B203))+ISNUMBER(SEARCH("reimburs",$B203))&gt;0,"Transfer",IF(ISNUMBER(SEARCH("loan",$B203))+ISNUMBER(SEARCH("amort",$B203))+ISNUMBER(SEARCH("installment",$B203))+ISNUMBER(SEARCH("instalment",$B203))&gt;0,"Financing",IF(ISNUMBER(SEARCH("draw",$B203))+ISNUMBER(SEARCH("owner",$B203))+ISNUMBER(SEARCH("asset",$B203))+ISNUMBER(SEARCH("capital",$B203))&gt;0,"Other",IF(ISNUMBER(SEARCH("fuel",$B203))+ISNUMBER(SEARCH("diesel",$B203))+ISNUMBER(SEARCH("krudo",$B203))+ISNUMBER(SEARCH("gasolina",$B203))+ISNUMBER(SEARCH("toll",$B203))+ISNUMBER(SEARCH("parking",$B203))+ISNUMBER(SEARCH("repair",$B203))+ISNUMBER(SEARCH("maintenance",$B203))+ISNUMBER(SEARCH("tire",$B203))+ISNUMBER(SEARCH("tyre",$B203))+ISNUMBER(SEARCH("battery",$B203))+ISNUMBER(SEARCH("oil",$B203))+ISNUMBER(SEARCH("filter",$B203))+ISNUMBER(SEARCH("spare",$B203))+ISNUMBER(SEARCH("insurance",$B203))+ISNUMBER(SEARCH("lto",$B203))+ISNUMBER(SEARCH("registration",$B203))+ISNUMBER(SEARCH("emission",$B203))+ISNUMBER(SEARCH("wash",$B203))+ISNUMBER(SEARCH("weigh",$B203))+ISNUMBER(SEARCH("tarp",$B203))&gt;0,"Vehicle",IF(ISNUMBER(SEARCH("rent",$B203))+ISNUMBER(SEARCH("upa",$B203))+ISNUMBER(SEARCH("salary",$B203))+ISNUMBER(SEARCH("sweldo",$B203))+ISNUMBER(SEARCH("wage",$B203))+ISNUMBER(SEARCH("electric",$B203))+ISNUMBER(SEARCH("kuryente",$B203))+ISNUMBER(SEARCH("water",$B203))+ISNUMBER(SEARCH("tubig",$B203))+ISNUMBER(SEARCH("internet",$B203))+ISNUMBER(SEARCH("pldt",$B203))+ISNUMBER(SEARCH("meralco",$B203))+ISNUMBER(SEARCH("supplies",$B203))+ISNUMBER(SEARCH("office",$B203))+ISNUMBER(SEARCH("professional",$B203))+ISNUMBER(SEARCH("accountant",$B203))+ISNUMBER(SEARCH("lawyer",$B203))+ISNUMBER(SEARCH("broker",$B203))+ISNUMBER(SEARCH("bank",$B203))+ISNUMBER(SEARCH("charge",$B203))+ISNUMBER(SEARCH("permit",$B203))+ISNUMBER(SEARCH("bir",$B203))+ISNUMBER(SEARCH("ltfrb",$B203))+ISNUMBER(SEARCH("misc",$B203))+ISNUMBER(SEARCH("fee",$B203))&gt;0,"Overhead","Overhead")))))))</f>
        <v/>
      </c>
      <c r="J203">
        <f>IF($A203="","",DATE(YEAR($A203),MONTH($A203),1))</f>
        <v/>
      </c>
      <c r="K203">
        <f>IF($B203="","",IF(COUNTIF(Setup!$A$99:$A$128,$B203)&gt;0,0,1))</f>
        <v/>
      </c>
      <c r="L203">
        <f>IF($B203="","",IF(ISNUMBER(SEARCH("advance",$B203)),"ADV",IF(OR(ISNUMBER(SEARCH("payout",$B203)),ISNUMBER(SEARCH("pay out",$B203)),ISNUMBER(SEARCH("release",$B203))),"PAY","")))</f>
        <v/>
      </c>
      <c r="M203">
        <f>IF($B203="","",IF(ISNUMBER(SEARCH("bulk",$B203)),0,IF(ISNUMBER(SEARCH("fuel",$B203))+ISNUMBER(SEARCH("diesel",$B203))+ISNUMBER(SEARCH("krudo",$B203))+ISNUMBER(SEARCH("gasolina",$B203))&gt;0,1,0)))</f>
        <v/>
      </c>
      <c r="N203">
        <f>IF($B203="","",IF(ISNUMBER(SEARCH("fuel",$B203))+ISNUMBER(SEARCH("diesel",$B203))+ISNUMBER(SEARCH("krudo",$B203))+ISNUMBER(SEARCH("gasolina",$B203))&gt;0,1,0))</f>
        <v/>
      </c>
    </row>
    <row r="204">
      <c r="A204" s="94" t="n"/>
      <c r="B204" s="96" t="n"/>
      <c r="C204" s="96" t="n"/>
      <c r="D204" s="95" t="n"/>
      <c r="E204" s="96" t="n"/>
      <c r="F204" s="99" t="n"/>
      <c r="G204" s="95" t="n"/>
      <c r="H204" s="95" t="n"/>
      <c r="I204" s="101">
        <f>IF($B204="","",IF(COUNTIF(Setup!$A$99:$A$128,$B204)&gt;0,IF(INDEX(Setup!$B$99:$B$128,MATCH($B204,Setup!$A$99:$A$128,0))="","Overhead",INDEX(Setup!$B$99:$B$128,MATCH($B204,Setup!$A$99:$A$128,0))),IF(ISNUMBER(SEARCH("advance",$B204))+ISNUMBER(SEARCH("payout",$B204))+ISNUMBER(SEARCH("pay out",$B204))+ISNUMBER(SEARCH("reimburs",$B204))&gt;0,"Transfer",IF(ISNUMBER(SEARCH("loan",$B204))+ISNUMBER(SEARCH("amort",$B204))+ISNUMBER(SEARCH("installment",$B204))+ISNUMBER(SEARCH("instalment",$B204))&gt;0,"Financing",IF(ISNUMBER(SEARCH("draw",$B204))+ISNUMBER(SEARCH("owner",$B204))+ISNUMBER(SEARCH("asset",$B204))+ISNUMBER(SEARCH("capital",$B204))&gt;0,"Other",IF(ISNUMBER(SEARCH("fuel",$B204))+ISNUMBER(SEARCH("diesel",$B204))+ISNUMBER(SEARCH("krudo",$B204))+ISNUMBER(SEARCH("gasolina",$B204))+ISNUMBER(SEARCH("toll",$B204))+ISNUMBER(SEARCH("parking",$B204))+ISNUMBER(SEARCH("repair",$B204))+ISNUMBER(SEARCH("maintenance",$B204))+ISNUMBER(SEARCH("tire",$B204))+ISNUMBER(SEARCH("tyre",$B204))+ISNUMBER(SEARCH("battery",$B204))+ISNUMBER(SEARCH("oil",$B204))+ISNUMBER(SEARCH("filter",$B204))+ISNUMBER(SEARCH("spare",$B204))+ISNUMBER(SEARCH("insurance",$B204))+ISNUMBER(SEARCH("lto",$B204))+ISNUMBER(SEARCH("registration",$B204))+ISNUMBER(SEARCH("emission",$B204))+ISNUMBER(SEARCH("wash",$B204))+ISNUMBER(SEARCH("weigh",$B204))+ISNUMBER(SEARCH("tarp",$B204))&gt;0,"Vehicle",IF(ISNUMBER(SEARCH("rent",$B204))+ISNUMBER(SEARCH("upa",$B204))+ISNUMBER(SEARCH("salary",$B204))+ISNUMBER(SEARCH("sweldo",$B204))+ISNUMBER(SEARCH("wage",$B204))+ISNUMBER(SEARCH("electric",$B204))+ISNUMBER(SEARCH("kuryente",$B204))+ISNUMBER(SEARCH("water",$B204))+ISNUMBER(SEARCH("tubig",$B204))+ISNUMBER(SEARCH("internet",$B204))+ISNUMBER(SEARCH("pldt",$B204))+ISNUMBER(SEARCH("meralco",$B204))+ISNUMBER(SEARCH("supplies",$B204))+ISNUMBER(SEARCH("office",$B204))+ISNUMBER(SEARCH("professional",$B204))+ISNUMBER(SEARCH("accountant",$B204))+ISNUMBER(SEARCH("lawyer",$B204))+ISNUMBER(SEARCH("broker",$B204))+ISNUMBER(SEARCH("bank",$B204))+ISNUMBER(SEARCH("charge",$B204))+ISNUMBER(SEARCH("permit",$B204))+ISNUMBER(SEARCH("bir",$B204))+ISNUMBER(SEARCH("ltfrb",$B204))+ISNUMBER(SEARCH("misc",$B204))+ISNUMBER(SEARCH("fee",$B204))&gt;0,"Overhead","Overhead")))))))</f>
        <v/>
      </c>
      <c r="J204">
        <f>IF($A204="","",DATE(YEAR($A204),MONTH($A204),1))</f>
        <v/>
      </c>
      <c r="K204">
        <f>IF($B204="","",IF(COUNTIF(Setup!$A$99:$A$128,$B204)&gt;0,0,1))</f>
        <v/>
      </c>
      <c r="L204">
        <f>IF($B204="","",IF(ISNUMBER(SEARCH("advance",$B204)),"ADV",IF(OR(ISNUMBER(SEARCH("payout",$B204)),ISNUMBER(SEARCH("pay out",$B204)),ISNUMBER(SEARCH("release",$B204))),"PAY","")))</f>
        <v/>
      </c>
      <c r="M204">
        <f>IF($B204="","",IF(ISNUMBER(SEARCH("bulk",$B204)),0,IF(ISNUMBER(SEARCH("fuel",$B204))+ISNUMBER(SEARCH("diesel",$B204))+ISNUMBER(SEARCH("krudo",$B204))+ISNUMBER(SEARCH("gasolina",$B204))&gt;0,1,0)))</f>
        <v/>
      </c>
      <c r="N204">
        <f>IF($B204="","",IF(ISNUMBER(SEARCH("fuel",$B204))+ISNUMBER(SEARCH("diesel",$B204))+ISNUMBER(SEARCH("krudo",$B204))+ISNUMBER(SEARCH("gasolina",$B204))&gt;0,1,0))</f>
        <v/>
      </c>
    </row>
    <row r="205">
      <c r="A205" s="86" t="n"/>
      <c r="B205" s="88" t="n"/>
      <c r="C205" s="88" t="n"/>
      <c r="D205" s="87" t="n"/>
      <c r="E205" s="88" t="n"/>
      <c r="F205" s="92" t="n"/>
      <c r="G205" s="87" t="n"/>
      <c r="H205" s="87" t="n"/>
      <c r="I205" s="101">
        <f>IF($B205="","",IF(COUNTIF(Setup!$A$99:$A$128,$B205)&gt;0,IF(INDEX(Setup!$B$99:$B$128,MATCH($B205,Setup!$A$99:$A$128,0))="","Overhead",INDEX(Setup!$B$99:$B$128,MATCH($B205,Setup!$A$99:$A$128,0))),IF(ISNUMBER(SEARCH("advance",$B205))+ISNUMBER(SEARCH("payout",$B205))+ISNUMBER(SEARCH("pay out",$B205))+ISNUMBER(SEARCH("reimburs",$B205))&gt;0,"Transfer",IF(ISNUMBER(SEARCH("loan",$B205))+ISNUMBER(SEARCH("amort",$B205))+ISNUMBER(SEARCH("installment",$B205))+ISNUMBER(SEARCH("instalment",$B205))&gt;0,"Financing",IF(ISNUMBER(SEARCH("draw",$B205))+ISNUMBER(SEARCH("owner",$B205))+ISNUMBER(SEARCH("asset",$B205))+ISNUMBER(SEARCH("capital",$B205))&gt;0,"Other",IF(ISNUMBER(SEARCH("fuel",$B205))+ISNUMBER(SEARCH("diesel",$B205))+ISNUMBER(SEARCH("krudo",$B205))+ISNUMBER(SEARCH("gasolina",$B205))+ISNUMBER(SEARCH("toll",$B205))+ISNUMBER(SEARCH("parking",$B205))+ISNUMBER(SEARCH("repair",$B205))+ISNUMBER(SEARCH("maintenance",$B205))+ISNUMBER(SEARCH("tire",$B205))+ISNUMBER(SEARCH("tyre",$B205))+ISNUMBER(SEARCH("battery",$B205))+ISNUMBER(SEARCH("oil",$B205))+ISNUMBER(SEARCH("filter",$B205))+ISNUMBER(SEARCH("spare",$B205))+ISNUMBER(SEARCH("insurance",$B205))+ISNUMBER(SEARCH("lto",$B205))+ISNUMBER(SEARCH("registration",$B205))+ISNUMBER(SEARCH("emission",$B205))+ISNUMBER(SEARCH("wash",$B205))+ISNUMBER(SEARCH("weigh",$B205))+ISNUMBER(SEARCH("tarp",$B205))&gt;0,"Vehicle",IF(ISNUMBER(SEARCH("rent",$B205))+ISNUMBER(SEARCH("upa",$B205))+ISNUMBER(SEARCH("salary",$B205))+ISNUMBER(SEARCH("sweldo",$B205))+ISNUMBER(SEARCH("wage",$B205))+ISNUMBER(SEARCH("electric",$B205))+ISNUMBER(SEARCH("kuryente",$B205))+ISNUMBER(SEARCH("water",$B205))+ISNUMBER(SEARCH("tubig",$B205))+ISNUMBER(SEARCH("internet",$B205))+ISNUMBER(SEARCH("pldt",$B205))+ISNUMBER(SEARCH("meralco",$B205))+ISNUMBER(SEARCH("supplies",$B205))+ISNUMBER(SEARCH("office",$B205))+ISNUMBER(SEARCH("professional",$B205))+ISNUMBER(SEARCH("accountant",$B205))+ISNUMBER(SEARCH("lawyer",$B205))+ISNUMBER(SEARCH("broker",$B205))+ISNUMBER(SEARCH("bank",$B205))+ISNUMBER(SEARCH("charge",$B205))+ISNUMBER(SEARCH("permit",$B205))+ISNUMBER(SEARCH("bir",$B205))+ISNUMBER(SEARCH("ltfrb",$B205))+ISNUMBER(SEARCH("misc",$B205))+ISNUMBER(SEARCH("fee",$B205))&gt;0,"Overhead","Overhead")))))))</f>
        <v/>
      </c>
      <c r="J205">
        <f>IF($A205="","",DATE(YEAR($A205),MONTH($A205),1))</f>
        <v/>
      </c>
      <c r="K205">
        <f>IF($B205="","",IF(COUNTIF(Setup!$A$99:$A$128,$B205)&gt;0,0,1))</f>
        <v/>
      </c>
      <c r="L205">
        <f>IF($B205="","",IF(ISNUMBER(SEARCH("advance",$B205)),"ADV",IF(OR(ISNUMBER(SEARCH("payout",$B205)),ISNUMBER(SEARCH("pay out",$B205)),ISNUMBER(SEARCH("release",$B205))),"PAY","")))</f>
        <v/>
      </c>
      <c r="M205">
        <f>IF($B205="","",IF(ISNUMBER(SEARCH("bulk",$B205)),0,IF(ISNUMBER(SEARCH("fuel",$B205))+ISNUMBER(SEARCH("diesel",$B205))+ISNUMBER(SEARCH("krudo",$B205))+ISNUMBER(SEARCH("gasolina",$B205))&gt;0,1,0)))</f>
        <v/>
      </c>
      <c r="N205">
        <f>IF($B205="","",IF(ISNUMBER(SEARCH("fuel",$B205))+ISNUMBER(SEARCH("diesel",$B205))+ISNUMBER(SEARCH("krudo",$B205))+ISNUMBER(SEARCH("gasolina",$B205))&gt;0,1,0))</f>
        <v/>
      </c>
    </row>
    <row r="206">
      <c r="A206" s="94" t="n"/>
      <c r="B206" s="96" t="n"/>
      <c r="C206" s="96" t="n"/>
      <c r="D206" s="95" t="n"/>
      <c r="E206" s="96" t="n"/>
      <c r="F206" s="99" t="n"/>
      <c r="G206" s="95" t="n"/>
      <c r="H206" s="95" t="n"/>
      <c r="I206" s="101">
        <f>IF($B206="","",IF(COUNTIF(Setup!$A$99:$A$128,$B206)&gt;0,IF(INDEX(Setup!$B$99:$B$128,MATCH($B206,Setup!$A$99:$A$128,0))="","Overhead",INDEX(Setup!$B$99:$B$128,MATCH($B206,Setup!$A$99:$A$128,0))),IF(ISNUMBER(SEARCH("advance",$B206))+ISNUMBER(SEARCH("payout",$B206))+ISNUMBER(SEARCH("pay out",$B206))+ISNUMBER(SEARCH("reimburs",$B206))&gt;0,"Transfer",IF(ISNUMBER(SEARCH("loan",$B206))+ISNUMBER(SEARCH("amort",$B206))+ISNUMBER(SEARCH("installment",$B206))+ISNUMBER(SEARCH("instalment",$B206))&gt;0,"Financing",IF(ISNUMBER(SEARCH("draw",$B206))+ISNUMBER(SEARCH("owner",$B206))+ISNUMBER(SEARCH("asset",$B206))+ISNUMBER(SEARCH("capital",$B206))&gt;0,"Other",IF(ISNUMBER(SEARCH("fuel",$B206))+ISNUMBER(SEARCH("diesel",$B206))+ISNUMBER(SEARCH("krudo",$B206))+ISNUMBER(SEARCH("gasolina",$B206))+ISNUMBER(SEARCH("toll",$B206))+ISNUMBER(SEARCH("parking",$B206))+ISNUMBER(SEARCH("repair",$B206))+ISNUMBER(SEARCH("maintenance",$B206))+ISNUMBER(SEARCH("tire",$B206))+ISNUMBER(SEARCH("tyre",$B206))+ISNUMBER(SEARCH("battery",$B206))+ISNUMBER(SEARCH("oil",$B206))+ISNUMBER(SEARCH("filter",$B206))+ISNUMBER(SEARCH("spare",$B206))+ISNUMBER(SEARCH("insurance",$B206))+ISNUMBER(SEARCH("lto",$B206))+ISNUMBER(SEARCH("registration",$B206))+ISNUMBER(SEARCH("emission",$B206))+ISNUMBER(SEARCH("wash",$B206))+ISNUMBER(SEARCH("weigh",$B206))+ISNUMBER(SEARCH("tarp",$B206))&gt;0,"Vehicle",IF(ISNUMBER(SEARCH("rent",$B206))+ISNUMBER(SEARCH("upa",$B206))+ISNUMBER(SEARCH("salary",$B206))+ISNUMBER(SEARCH("sweldo",$B206))+ISNUMBER(SEARCH("wage",$B206))+ISNUMBER(SEARCH("electric",$B206))+ISNUMBER(SEARCH("kuryente",$B206))+ISNUMBER(SEARCH("water",$B206))+ISNUMBER(SEARCH("tubig",$B206))+ISNUMBER(SEARCH("internet",$B206))+ISNUMBER(SEARCH("pldt",$B206))+ISNUMBER(SEARCH("meralco",$B206))+ISNUMBER(SEARCH("supplies",$B206))+ISNUMBER(SEARCH("office",$B206))+ISNUMBER(SEARCH("professional",$B206))+ISNUMBER(SEARCH("accountant",$B206))+ISNUMBER(SEARCH("lawyer",$B206))+ISNUMBER(SEARCH("broker",$B206))+ISNUMBER(SEARCH("bank",$B206))+ISNUMBER(SEARCH("charge",$B206))+ISNUMBER(SEARCH("permit",$B206))+ISNUMBER(SEARCH("bir",$B206))+ISNUMBER(SEARCH("ltfrb",$B206))+ISNUMBER(SEARCH("misc",$B206))+ISNUMBER(SEARCH("fee",$B206))&gt;0,"Overhead","Overhead")))))))</f>
        <v/>
      </c>
      <c r="J206">
        <f>IF($A206="","",DATE(YEAR($A206),MONTH($A206),1))</f>
        <v/>
      </c>
      <c r="K206">
        <f>IF($B206="","",IF(COUNTIF(Setup!$A$99:$A$128,$B206)&gt;0,0,1))</f>
        <v/>
      </c>
      <c r="L206">
        <f>IF($B206="","",IF(ISNUMBER(SEARCH("advance",$B206)),"ADV",IF(OR(ISNUMBER(SEARCH("payout",$B206)),ISNUMBER(SEARCH("pay out",$B206)),ISNUMBER(SEARCH("release",$B206))),"PAY","")))</f>
        <v/>
      </c>
      <c r="M206">
        <f>IF($B206="","",IF(ISNUMBER(SEARCH("bulk",$B206)),0,IF(ISNUMBER(SEARCH("fuel",$B206))+ISNUMBER(SEARCH("diesel",$B206))+ISNUMBER(SEARCH("krudo",$B206))+ISNUMBER(SEARCH("gasolina",$B206))&gt;0,1,0)))</f>
        <v/>
      </c>
      <c r="N206">
        <f>IF($B206="","",IF(ISNUMBER(SEARCH("fuel",$B206))+ISNUMBER(SEARCH("diesel",$B206))+ISNUMBER(SEARCH("krudo",$B206))+ISNUMBER(SEARCH("gasolina",$B206))&gt;0,1,0))</f>
        <v/>
      </c>
    </row>
    <row r="207">
      <c r="A207" s="86" t="n"/>
      <c r="B207" s="88" t="n"/>
      <c r="C207" s="88" t="n"/>
      <c r="D207" s="87" t="n"/>
      <c r="E207" s="88" t="n"/>
      <c r="F207" s="92" t="n"/>
      <c r="G207" s="87" t="n"/>
      <c r="H207" s="87" t="n"/>
      <c r="I207" s="101">
        <f>IF($B207="","",IF(COUNTIF(Setup!$A$99:$A$128,$B207)&gt;0,IF(INDEX(Setup!$B$99:$B$128,MATCH($B207,Setup!$A$99:$A$128,0))="","Overhead",INDEX(Setup!$B$99:$B$128,MATCH($B207,Setup!$A$99:$A$128,0))),IF(ISNUMBER(SEARCH("advance",$B207))+ISNUMBER(SEARCH("payout",$B207))+ISNUMBER(SEARCH("pay out",$B207))+ISNUMBER(SEARCH("reimburs",$B207))&gt;0,"Transfer",IF(ISNUMBER(SEARCH("loan",$B207))+ISNUMBER(SEARCH("amort",$B207))+ISNUMBER(SEARCH("installment",$B207))+ISNUMBER(SEARCH("instalment",$B207))&gt;0,"Financing",IF(ISNUMBER(SEARCH("draw",$B207))+ISNUMBER(SEARCH("owner",$B207))+ISNUMBER(SEARCH("asset",$B207))+ISNUMBER(SEARCH("capital",$B207))&gt;0,"Other",IF(ISNUMBER(SEARCH("fuel",$B207))+ISNUMBER(SEARCH("diesel",$B207))+ISNUMBER(SEARCH("krudo",$B207))+ISNUMBER(SEARCH("gasolina",$B207))+ISNUMBER(SEARCH("toll",$B207))+ISNUMBER(SEARCH("parking",$B207))+ISNUMBER(SEARCH("repair",$B207))+ISNUMBER(SEARCH("maintenance",$B207))+ISNUMBER(SEARCH("tire",$B207))+ISNUMBER(SEARCH("tyre",$B207))+ISNUMBER(SEARCH("battery",$B207))+ISNUMBER(SEARCH("oil",$B207))+ISNUMBER(SEARCH("filter",$B207))+ISNUMBER(SEARCH("spare",$B207))+ISNUMBER(SEARCH("insurance",$B207))+ISNUMBER(SEARCH("lto",$B207))+ISNUMBER(SEARCH("registration",$B207))+ISNUMBER(SEARCH("emission",$B207))+ISNUMBER(SEARCH("wash",$B207))+ISNUMBER(SEARCH("weigh",$B207))+ISNUMBER(SEARCH("tarp",$B207))&gt;0,"Vehicle",IF(ISNUMBER(SEARCH("rent",$B207))+ISNUMBER(SEARCH("upa",$B207))+ISNUMBER(SEARCH("salary",$B207))+ISNUMBER(SEARCH("sweldo",$B207))+ISNUMBER(SEARCH("wage",$B207))+ISNUMBER(SEARCH("electric",$B207))+ISNUMBER(SEARCH("kuryente",$B207))+ISNUMBER(SEARCH("water",$B207))+ISNUMBER(SEARCH("tubig",$B207))+ISNUMBER(SEARCH("internet",$B207))+ISNUMBER(SEARCH("pldt",$B207))+ISNUMBER(SEARCH("meralco",$B207))+ISNUMBER(SEARCH("supplies",$B207))+ISNUMBER(SEARCH("office",$B207))+ISNUMBER(SEARCH("professional",$B207))+ISNUMBER(SEARCH("accountant",$B207))+ISNUMBER(SEARCH("lawyer",$B207))+ISNUMBER(SEARCH("broker",$B207))+ISNUMBER(SEARCH("bank",$B207))+ISNUMBER(SEARCH("charge",$B207))+ISNUMBER(SEARCH("permit",$B207))+ISNUMBER(SEARCH("bir",$B207))+ISNUMBER(SEARCH("ltfrb",$B207))+ISNUMBER(SEARCH("misc",$B207))+ISNUMBER(SEARCH("fee",$B207))&gt;0,"Overhead","Overhead")))))))</f>
        <v/>
      </c>
      <c r="J207">
        <f>IF($A207="","",DATE(YEAR($A207),MONTH($A207),1))</f>
        <v/>
      </c>
      <c r="K207">
        <f>IF($B207="","",IF(COUNTIF(Setup!$A$99:$A$128,$B207)&gt;0,0,1))</f>
        <v/>
      </c>
      <c r="L207">
        <f>IF($B207="","",IF(ISNUMBER(SEARCH("advance",$B207)),"ADV",IF(OR(ISNUMBER(SEARCH("payout",$B207)),ISNUMBER(SEARCH("pay out",$B207)),ISNUMBER(SEARCH("release",$B207))),"PAY","")))</f>
        <v/>
      </c>
      <c r="M207">
        <f>IF($B207="","",IF(ISNUMBER(SEARCH("bulk",$B207)),0,IF(ISNUMBER(SEARCH("fuel",$B207))+ISNUMBER(SEARCH("diesel",$B207))+ISNUMBER(SEARCH("krudo",$B207))+ISNUMBER(SEARCH("gasolina",$B207))&gt;0,1,0)))</f>
        <v/>
      </c>
      <c r="N207">
        <f>IF($B207="","",IF(ISNUMBER(SEARCH("fuel",$B207))+ISNUMBER(SEARCH("diesel",$B207))+ISNUMBER(SEARCH("krudo",$B207))+ISNUMBER(SEARCH("gasolina",$B207))&gt;0,1,0))</f>
        <v/>
      </c>
    </row>
    <row r="208">
      <c r="A208" s="94" t="n"/>
      <c r="B208" s="96" t="n"/>
      <c r="C208" s="96" t="n"/>
      <c r="D208" s="95" t="n"/>
      <c r="E208" s="96" t="n"/>
      <c r="F208" s="99" t="n"/>
      <c r="G208" s="95" t="n"/>
      <c r="H208" s="95" t="n"/>
      <c r="I208" s="101">
        <f>IF($B208="","",IF(COUNTIF(Setup!$A$99:$A$128,$B208)&gt;0,IF(INDEX(Setup!$B$99:$B$128,MATCH($B208,Setup!$A$99:$A$128,0))="","Overhead",INDEX(Setup!$B$99:$B$128,MATCH($B208,Setup!$A$99:$A$128,0))),IF(ISNUMBER(SEARCH("advance",$B208))+ISNUMBER(SEARCH("payout",$B208))+ISNUMBER(SEARCH("pay out",$B208))+ISNUMBER(SEARCH("reimburs",$B208))&gt;0,"Transfer",IF(ISNUMBER(SEARCH("loan",$B208))+ISNUMBER(SEARCH("amort",$B208))+ISNUMBER(SEARCH("installment",$B208))+ISNUMBER(SEARCH("instalment",$B208))&gt;0,"Financing",IF(ISNUMBER(SEARCH("draw",$B208))+ISNUMBER(SEARCH("owner",$B208))+ISNUMBER(SEARCH("asset",$B208))+ISNUMBER(SEARCH("capital",$B208))&gt;0,"Other",IF(ISNUMBER(SEARCH("fuel",$B208))+ISNUMBER(SEARCH("diesel",$B208))+ISNUMBER(SEARCH("krudo",$B208))+ISNUMBER(SEARCH("gasolina",$B208))+ISNUMBER(SEARCH("toll",$B208))+ISNUMBER(SEARCH("parking",$B208))+ISNUMBER(SEARCH("repair",$B208))+ISNUMBER(SEARCH("maintenance",$B208))+ISNUMBER(SEARCH("tire",$B208))+ISNUMBER(SEARCH("tyre",$B208))+ISNUMBER(SEARCH("battery",$B208))+ISNUMBER(SEARCH("oil",$B208))+ISNUMBER(SEARCH("filter",$B208))+ISNUMBER(SEARCH("spare",$B208))+ISNUMBER(SEARCH("insurance",$B208))+ISNUMBER(SEARCH("lto",$B208))+ISNUMBER(SEARCH("registration",$B208))+ISNUMBER(SEARCH("emission",$B208))+ISNUMBER(SEARCH("wash",$B208))+ISNUMBER(SEARCH("weigh",$B208))+ISNUMBER(SEARCH("tarp",$B208))&gt;0,"Vehicle",IF(ISNUMBER(SEARCH("rent",$B208))+ISNUMBER(SEARCH("upa",$B208))+ISNUMBER(SEARCH("salary",$B208))+ISNUMBER(SEARCH("sweldo",$B208))+ISNUMBER(SEARCH("wage",$B208))+ISNUMBER(SEARCH("electric",$B208))+ISNUMBER(SEARCH("kuryente",$B208))+ISNUMBER(SEARCH("water",$B208))+ISNUMBER(SEARCH("tubig",$B208))+ISNUMBER(SEARCH("internet",$B208))+ISNUMBER(SEARCH("pldt",$B208))+ISNUMBER(SEARCH("meralco",$B208))+ISNUMBER(SEARCH("supplies",$B208))+ISNUMBER(SEARCH("office",$B208))+ISNUMBER(SEARCH("professional",$B208))+ISNUMBER(SEARCH("accountant",$B208))+ISNUMBER(SEARCH("lawyer",$B208))+ISNUMBER(SEARCH("broker",$B208))+ISNUMBER(SEARCH("bank",$B208))+ISNUMBER(SEARCH("charge",$B208))+ISNUMBER(SEARCH("permit",$B208))+ISNUMBER(SEARCH("bir",$B208))+ISNUMBER(SEARCH("ltfrb",$B208))+ISNUMBER(SEARCH("misc",$B208))+ISNUMBER(SEARCH("fee",$B208))&gt;0,"Overhead","Overhead")))))))</f>
        <v/>
      </c>
      <c r="J208">
        <f>IF($A208="","",DATE(YEAR($A208),MONTH($A208),1))</f>
        <v/>
      </c>
      <c r="K208">
        <f>IF($B208="","",IF(COUNTIF(Setup!$A$99:$A$128,$B208)&gt;0,0,1))</f>
        <v/>
      </c>
      <c r="L208">
        <f>IF($B208="","",IF(ISNUMBER(SEARCH("advance",$B208)),"ADV",IF(OR(ISNUMBER(SEARCH("payout",$B208)),ISNUMBER(SEARCH("pay out",$B208)),ISNUMBER(SEARCH("release",$B208))),"PAY","")))</f>
        <v/>
      </c>
      <c r="M208">
        <f>IF($B208="","",IF(ISNUMBER(SEARCH("bulk",$B208)),0,IF(ISNUMBER(SEARCH("fuel",$B208))+ISNUMBER(SEARCH("diesel",$B208))+ISNUMBER(SEARCH("krudo",$B208))+ISNUMBER(SEARCH("gasolina",$B208))&gt;0,1,0)))</f>
        <v/>
      </c>
      <c r="N208">
        <f>IF($B208="","",IF(ISNUMBER(SEARCH("fuel",$B208))+ISNUMBER(SEARCH("diesel",$B208))+ISNUMBER(SEARCH("krudo",$B208))+ISNUMBER(SEARCH("gasolina",$B208))&gt;0,1,0))</f>
        <v/>
      </c>
    </row>
    <row r="209">
      <c r="A209" s="86" t="n"/>
      <c r="B209" s="88" t="n"/>
      <c r="C209" s="88" t="n"/>
      <c r="D209" s="87" t="n"/>
      <c r="E209" s="88" t="n"/>
      <c r="F209" s="92" t="n"/>
      <c r="G209" s="87" t="n"/>
      <c r="H209" s="87" t="n"/>
      <c r="I209" s="101">
        <f>IF($B209="","",IF(COUNTIF(Setup!$A$99:$A$128,$B209)&gt;0,IF(INDEX(Setup!$B$99:$B$128,MATCH($B209,Setup!$A$99:$A$128,0))="","Overhead",INDEX(Setup!$B$99:$B$128,MATCH($B209,Setup!$A$99:$A$128,0))),IF(ISNUMBER(SEARCH("advance",$B209))+ISNUMBER(SEARCH("payout",$B209))+ISNUMBER(SEARCH("pay out",$B209))+ISNUMBER(SEARCH("reimburs",$B209))&gt;0,"Transfer",IF(ISNUMBER(SEARCH("loan",$B209))+ISNUMBER(SEARCH("amort",$B209))+ISNUMBER(SEARCH("installment",$B209))+ISNUMBER(SEARCH("instalment",$B209))&gt;0,"Financing",IF(ISNUMBER(SEARCH("draw",$B209))+ISNUMBER(SEARCH("owner",$B209))+ISNUMBER(SEARCH("asset",$B209))+ISNUMBER(SEARCH("capital",$B209))&gt;0,"Other",IF(ISNUMBER(SEARCH("fuel",$B209))+ISNUMBER(SEARCH("diesel",$B209))+ISNUMBER(SEARCH("krudo",$B209))+ISNUMBER(SEARCH("gasolina",$B209))+ISNUMBER(SEARCH("toll",$B209))+ISNUMBER(SEARCH("parking",$B209))+ISNUMBER(SEARCH("repair",$B209))+ISNUMBER(SEARCH("maintenance",$B209))+ISNUMBER(SEARCH("tire",$B209))+ISNUMBER(SEARCH("tyre",$B209))+ISNUMBER(SEARCH("battery",$B209))+ISNUMBER(SEARCH("oil",$B209))+ISNUMBER(SEARCH("filter",$B209))+ISNUMBER(SEARCH("spare",$B209))+ISNUMBER(SEARCH("insurance",$B209))+ISNUMBER(SEARCH("lto",$B209))+ISNUMBER(SEARCH("registration",$B209))+ISNUMBER(SEARCH("emission",$B209))+ISNUMBER(SEARCH("wash",$B209))+ISNUMBER(SEARCH("weigh",$B209))+ISNUMBER(SEARCH("tarp",$B209))&gt;0,"Vehicle",IF(ISNUMBER(SEARCH("rent",$B209))+ISNUMBER(SEARCH("upa",$B209))+ISNUMBER(SEARCH("salary",$B209))+ISNUMBER(SEARCH("sweldo",$B209))+ISNUMBER(SEARCH("wage",$B209))+ISNUMBER(SEARCH("electric",$B209))+ISNUMBER(SEARCH("kuryente",$B209))+ISNUMBER(SEARCH("water",$B209))+ISNUMBER(SEARCH("tubig",$B209))+ISNUMBER(SEARCH("internet",$B209))+ISNUMBER(SEARCH("pldt",$B209))+ISNUMBER(SEARCH("meralco",$B209))+ISNUMBER(SEARCH("supplies",$B209))+ISNUMBER(SEARCH("office",$B209))+ISNUMBER(SEARCH("professional",$B209))+ISNUMBER(SEARCH("accountant",$B209))+ISNUMBER(SEARCH("lawyer",$B209))+ISNUMBER(SEARCH("broker",$B209))+ISNUMBER(SEARCH("bank",$B209))+ISNUMBER(SEARCH("charge",$B209))+ISNUMBER(SEARCH("permit",$B209))+ISNUMBER(SEARCH("bir",$B209))+ISNUMBER(SEARCH("ltfrb",$B209))+ISNUMBER(SEARCH("misc",$B209))+ISNUMBER(SEARCH("fee",$B209))&gt;0,"Overhead","Overhead")))))))</f>
        <v/>
      </c>
      <c r="J209">
        <f>IF($A209="","",DATE(YEAR($A209),MONTH($A209),1))</f>
        <v/>
      </c>
      <c r="K209">
        <f>IF($B209="","",IF(COUNTIF(Setup!$A$99:$A$128,$B209)&gt;0,0,1))</f>
        <v/>
      </c>
      <c r="L209">
        <f>IF($B209="","",IF(ISNUMBER(SEARCH("advance",$B209)),"ADV",IF(OR(ISNUMBER(SEARCH("payout",$B209)),ISNUMBER(SEARCH("pay out",$B209)),ISNUMBER(SEARCH("release",$B209))),"PAY","")))</f>
        <v/>
      </c>
      <c r="M209">
        <f>IF($B209="","",IF(ISNUMBER(SEARCH("bulk",$B209)),0,IF(ISNUMBER(SEARCH("fuel",$B209))+ISNUMBER(SEARCH("diesel",$B209))+ISNUMBER(SEARCH("krudo",$B209))+ISNUMBER(SEARCH("gasolina",$B209))&gt;0,1,0)))</f>
        <v/>
      </c>
      <c r="N209">
        <f>IF($B209="","",IF(ISNUMBER(SEARCH("fuel",$B209))+ISNUMBER(SEARCH("diesel",$B209))+ISNUMBER(SEARCH("krudo",$B209))+ISNUMBER(SEARCH("gasolina",$B209))&gt;0,1,0))</f>
        <v/>
      </c>
    </row>
    <row r="210">
      <c r="A210" s="94" t="n"/>
      <c r="B210" s="96" t="n"/>
      <c r="C210" s="96" t="n"/>
      <c r="D210" s="95" t="n"/>
      <c r="E210" s="96" t="n"/>
      <c r="F210" s="99" t="n"/>
      <c r="G210" s="95" t="n"/>
      <c r="H210" s="95" t="n"/>
      <c r="I210" s="101">
        <f>IF($B210="","",IF(COUNTIF(Setup!$A$99:$A$128,$B210)&gt;0,IF(INDEX(Setup!$B$99:$B$128,MATCH($B210,Setup!$A$99:$A$128,0))="","Overhead",INDEX(Setup!$B$99:$B$128,MATCH($B210,Setup!$A$99:$A$128,0))),IF(ISNUMBER(SEARCH("advance",$B210))+ISNUMBER(SEARCH("payout",$B210))+ISNUMBER(SEARCH("pay out",$B210))+ISNUMBER(SEARCH("reimburs",$B210))&gt;0,"Transfer",IF(ISNUMBER(SEARCH("loan",$B210))+ISNUMBER(SEARCH("amort",$B210))+ISNUMBER(SEARCH("installment",$B210))+ISNUMBER(SEARCH("instalment",$B210))&gt;0,"Financing",IF(ISNUMBER(SEARCH("draw",$B210))+ISNUMBER(SEARCH("owner",$B210))+ISNUMBER(SEARCH("asset",$B210))+ISNUMBER(SEARCH("capital",$B210))&gt;0,"Other",IF(ISNUMBER(SEARCH("fuel",$B210))+ISNUMBER(SEARCH("diesel",$B210))+ISNUMBER(SEARCH("krudo",$B210))+ISNUMBER(SEARCH("gasolina",$B210))+ISNUMBER(SEARCH("toll",$B210))+ISNUMBER(SEARCH("parking",$B210))+ISNUMBER(SEARCH("repair",$B210))+ISNUMBER(SEARCH("maintenance",$B210))+ISNUMBER(SEARCH("tire",$B210))+ISNUMBER(SEARCH("tyre",$B210))+ISNUMBER(SEARCH("battery",$B210))+ISNUMBER(SEARCH("oil",$B210))+ISNUMBER(SEARCH("filter",$B210))+ISNUMBER(SEARCH("spare",$B210))+ISNUMBER(SEARCH("insurance",$B210))+ISNUMBER(SEARCH("lto",$B210))+ISNUMBER(SEARCH("registration",$B210))+ISNUMBER(SEARCH("emission",$B210))+ISNUMBER(SEARCH("wash",$B210))+ISNUMBER(SEARCH("weigh",$B210))+ISNUMBER(SEARCH("tarp",$B210))&gt;0,"Vehicle",IF(ISNUMBER(SEARCH("rent",$B210))+ISNUMBER(SEARCH("upa",$B210))+ISNUMBER(SEARCH("salary",$B210))+ISNUMBER(SEARCH("sweldo",$B210))+ISNUMBER(SEARCH("wage",$B210))+ISNUMBER(SEARCH("electric",$B210))+ISNUMBER(SEARCH("kuryente",$B210))+ISNUMBER(SEARCH("water",$B210))+ISNUMBER(SEARCH("tubig",$B210))+ISNUMBER(SEARCH("internet",$B210))+ISNUMBER(SEARCH("pldt",$B210))+ISNUMBER(SEARCH("meralco",$B210))+ISNUMBER(SEARCH("supplies",$B210))+ISNUMBER(SEARCH("office",$B210))+ISNUMBER(SEARCH("professional",$B210))+ISNUMBER(SEARCH("accountant",$B210))+ISNUMBER(SEARCH("lawyer",$B210))+ISNUMBER(SEARCH("broker",$B210))+ISNUMBER(SEARCH("bank",$B210))+ISNUMBER(SEARCH("charge",$B210))+ISNUMBER(SEARCH("permit",$B210))+ISNUMBER(SEARCH("bir",$B210))+ISNUMBER(SEARCH("ltfrb",$B210))+ISNUMBER(SEARCH("misc",$B210))+ISNUMBER(SEARCH("fee",$B210))&gt;0,"Overhead","Overhead")))))))</f>
        <v/>
      </c>
      <c r="J210">
        <f>IF($A210="","",DATE(YEAR($A210),MONTH($A210),1))</f>
        <v/>
      </c>
      <c r="K210">
        <f>IF($B210="","",IF(COUNTIF(Setup!$A$99:$A$128,$B210)&gt;0,0,1))</f>
        <v/>
      </c>
      <c r="L210">
        <f>IF($B210="","",IF(ISNUMBER(SEARCH("advance",$B210)),"ADV",IF(OR(ISNUMBER(SEARCH("payout",$B210)),ISNUMBER(SEARCH("pay out",$B210)),ISNUMBER(SEARCH("release",$B210))),"PAY","")))</f>
        <v/>
      </c>
      <c r="M210">
        <f>IF($B210="","",IF(ISNUMBER(SEARCH("bulk",$B210)),0,IF(ISNUMBER(SEARCH("fuel",$B210))+ISNUMBER(SEARCH("diesel",$B210))+ISNUMBER(SEARCH("krudo",$B210))+ISNUMBER(SEARCH("gasolina",$B210))&gt;0,1,0)))</f>
        <v/>
      </c>
      <c r="N210">
        <f>IF($B210="","",IF(ISNUMBER(SEARCH("fuel",$B210))+ISNUMBER(SEARCH("diesel",$B210))+ISNUMBER(SEARCH("krudo",$B210))+ISNUMBER(SEARCH("gasolina",$B210))&gt;0,1,0))</f>
        <v/>
      </c>
    </row>
    <row r="211">
      <c r="A211" s="86" t="n"/>
      <c r="B211" s="88" t="n"/>
      <c r="C211" s="88" t="n"/>
      <c r="D211" s="87" t="n"/>
      <c r="E211" s="88" t="n"/>
      <c r="F211" s="92" t="n"/>
      <c r="G211" s="87" t="n"/>
      <c r="H211" s="87" t="n"/>
      <c r="I211" s="101">
        <f>IF($B211="","",IF(COUNTIF(Setup!$A$99:$A$128,$B211)&gt;0,IF(INDEX(Setup!$B$99:$B$128,MATCH($B211,Setup!$A$99:$A$128,0))="","Overhead",INDEX(Setup!$B$99:$B$128,MATCH($B211,Setup!$A$99:$A$128,0))),IF(ISNUMBER(SEARCH("advance",$B211))+ISNUMBER(SEARCH("payout",$B211))+ISNUMBER(SEARCH("pay out",$B211))+ISNUMBER(SEARCH("reimburs",$B211))&gt;0,"Transfer",IF(ISNUMBER(SEARCH("loan",$B211))+ISNUMBER(SEARCH("amort",$B211))+ISNUMBER(SEARCH("installment",$B211))+ISNUMBER(SEARCH("instalment",$B211))&gt;0,"Financing",IF(ISNUMBER(SEARCH("draw",$B211))+ISNUMBER(SEARCH("owner",$B211))+ISNUMBER(SEARCH("asset",$B211))+ISNUMBER(SEARCH("capital",$B211))&gt;0,"Other",IF(ISNUMBER(SEARCH("fuel",$B211))+ISNUMBER(SEARCH("diesel",$B211))+ISNUMBER(SEARCH("krudo",$B211))+ISNUMBER(SEARCH("gasolina",$B211))+ISNUMBER(SEARCH("toll",$B211))+ISNUMBER(SEARCH("parking",$B211))+ISNUMBER(SEARCH("repair",$B211))+ISNUMBER(SEARCH("maintenance",$B211))+ISNUMBER(SEARCH("tire",$B211))+ISNUMBER(SEARCH("tyre",$B211))+ISNUMBER(SEARCH("battery",$B211))+ISNUMBER(SEARCH("oil",$B211))+ISNUMBER(SEARCH("filter",$B211))+ISNUMBER(SEARCH("spare",$B211))+ISNUMBER(SEARCH("insurance",$B211))+ISNUMBER(SEARCH("lto",$B211))+ISNUMBER(SEARCH("registration",$B211))+ISNUMBER(SEARCH("emission",$B211))+ISNUMBER(SEARCH("wash",$B211))+ISNUMBER(SEARCH("weigh",$B211))+ISNUMBER(SEARCH("tarp",$B211))&gt;0,"Vehicle",IF(ISNUMBER(SEARCH("rent",$B211))+ISNUMBER(SEARCH("upa",$B211))+ISNUMBER(SEARCH("salary",$B211))+ISNUMBER(SEARCH("sweldo",$B211))+ISNUMBER(SEARCH("wage",$B211))+ISNUMBER(SEARCH("electric",$B211))+ISNUMBER(SEARCH("kuryente",$B211))+ISNUMBER(SEARCH("water",$B211))+ISNUMBER(SEARCH("tubig",$B211))+ISNUMBER(SEARCH("internet",$B211))+ISNUMBER(SEARCH("pldt",$B211))+ISNUMBER(SEARCH("meralco",$B211))+ISNUMBER(SEARCH("supplies",$B211))+ISNUMBER(SEARCH("office",$B211))+ISNUMBER(SEARCH("professional",$B211))+ISNUMBER(SEARCH("accountant",$B211))+ISNUMBER(SEARCH("lawyer",$B211))+ISNUMBER(SEARCH("broker",$B211))+ISNUMBER(SEARCH("bank",$B211))+ISNUMBER(SEARCH("charge",$B211))+ISNUMBER(SEARCH("permit",$B211))+ISNUMBER(SEARCH("bir",$B211))+ISNUMBER(SEARCH("ltfrb",$B211))+ISNUMBER(SEARCH("misc",$B211))+ISNUMBER(SEARCH("fee",$B211))&gt;0,"Overhead","Overhead")))))))</f>
        <v/>
      </c>
      <c r="J211">
        <f>IF($A211="","",DATE(YEAR($A211),MONTH($A211),1))</f>
        <v/>
      </c>
      <c r="K211">
        <f>IF($B211="","",IF(COUNTIF(Setup!$A$99:$A$128,$B211)&gt;0,0,1))</f>
        <v/>
      </c>
      <c r="L211">
        <f>IF($B211="","",IF(ISNUMBER(SEARCH("advance",$B211)),"ADV",IF(OR(ISNUMBER(SEARCH("payout",$B211)),ISNUMBER(SEARCH("pay out",$B211)),ISNUMBER(SEARCH("release",$B211))),"PAY","")))</f>
        <v/>
      </c>
      <c r="M211">
        <f>IF($B211="","",IF(ISNUMBER(SEARCH("bulk",$B211)),0,IF(ISNUMBER(SEARCH("fuel",$B211))+ISNUMBER(SEARCH("diesel",$B211))+ISNUMBER(SEARCH("krudo",$B211))+ISNUMBER(SEARCH("gasolina",$B211))&gt;0,1,0)))</f>
        <v/>
      </c>
      <c r="N211">
        <f>IF($B211="","",IF(ISNUMBER(SEARCH("fuel",$B211))+ISNUMBER(SEARCH("diesel",$B211))+ISNUMBER(SEARCH("krudo",$B211))+ISNUMBER(SEARCH("gasolina",$B211))&gt;0,1,0))</f>
        <v/>
      </c>
    </row>
    <row r="212">
      <c r="A212" s="94" t="n"/>
      <c r="B212" s="96" t="n"/>
      <c r="C212" s="96" t="n"/>
      <c r="D212" s="95" t="n"/>
      <c r="E212" s="96" t="n"/>
      <c r="F212" s="99" t="n"/>
      <c r="G212" s="95" t="n"/>
      <c r="H212" s="95" t="n"/>
      <c r="I212" s="101">
        <f>IF($B212="","",IF(COUNTIF(Setup!$A$99:$A$128,$B212)&gt;0,IF(INDEX(Setup!$B$99:$B$128,MATCH($B212,Setup!$A$99:$A$128,0))="","Overhead",INDEX(Setup!$B$99:$B$128,MATCH($B212,Setup!$A$99:$A$128,0))),IF(ISNUMBER(SEARCH("advance",$B212))+ISNUMBER(SEARCH("payout",$B212))+ISNUMBER(SEARCH("pay out",$B212))+ISNUMBER(SEARCH("reimburs",$B212))&gt;0,"Transfer",IF(ISNUMBER(SEARCH("loan",$B212))+ISNUMBER(SEARCH("amort",$B212))+ISNUMBER(SEARCH("installment",$B212))+ISNUMBER(SEARCH("instalment",$B212))&gt;0,"Financing",IF(ISNUMBER(SEARCH("draw",$B212))+ISNUMBER(SEARCH("owner",$B212))+ISNUMBER(SEARCH("asset",$B212))+ISNUMBER(SEARCH("capital",$B212))&gt;0,"Other",IF(ISNUMBER(SEARCH("fuel",$B212))+ISNUMBER(SEARCH("diesel",$B212))+ISNUMBER(SEARCH("krudo",$B212))+ISNUMBER(SEARCH("gasolina",$B212))+ISNUMBER(SEARCH("toll",$B212))+ISNUMBER(SEARCH("parking",$B212))+ISNUMBER(SEARCH("repair",$B212))+ISNUMBER(SEARCH("maintenance",$B212))+ISNUMBER(SEARCH("tire",$B212))+ISNUMBER(SEARCH("tyre",$B212))+ISNUMBER(SEARCH("battery",$B212))+ISNUMBER(SEARCH("oil",$B212))+ISNUMBER(SEARCH("filter",$B212))+ISNUMBER(SEARCH("spare",$B212))+ISNUMBER(SEARCH("insurance",$B212))+ISNUMBER(SEARCH("lto",$B212))+ISNUMBER(SEARCH("registration",$B212))+ISNUMBER(SEARCH("emission",$B212))+ISNUMBER(SEARCH("wash",$B212))+ISNUMBER(SEARCH("weigh",$B212))+ISNUMBER(SEARCH("tarp",$B212))&gt;0,"Vehicle",IF(ISNUMBER(SEARCH("rent",$B212))+ISNUMBER(SEARCH("upa",$B212))+ISNUMBER(SEARCH("salary",$B212))+ISNUMBER(SEARCH("sweldo",$B212))+ISNUMBER(SEARCH("wage",$B212))+ISNUMBER(SEARCH("electric",$B212))+ISNUMBER(SEARCH("kuryente",$B212))+ISNUMBER(SEARCH("water",$B212))+ISNUMBER(SEARCH("tubig",$B212))+ISNUMBER(SEARCH("internet",$B212))+ISNUMBER(SEARCH("pldt",$B212))+ISNUMBER(SEARCH("meralco",$B212))+ISNUMBER(SEARCH("supplies",$B212))+ISNUMBER(SEARCH("office",$B212))+ISNUMBER(SEARCH("professional",$B212))+ISNUMBER(SEARCH("accountant",$B212))+ISNUMBER(SEARCH("lawyer",$B212))+ISNUMBER(SEARCH("broker",$B212))+ISNUMBER(SEARCH("bank",$B212))+ISNUMBER(SEARCH("charge",$B212))+ISNUMBER(SEARCH("permit",$B212))+ISNUMBER(SEARCH("bir",$B212))+ISNUMBER(SEARCH("ltfrb",$B212))+ISNUMBER(SEARCH("misc",$B212))+ISNUMBER(SEARCH("fee",$B212))&gt;0,"Overhead","Overhead")))))))</f>
        <v/>
      </c>
      <c r="J212">
        <f>IF($A212="","",DATE(YEAR($A212),MONTH($A212),1))</f>
        <v/>
      </c>
      <c r="K212">
        <f>IF($B212="","",IF(COUNTIF(Setup!$A$99:$A$128,$B212)&gt;0,0,1))</f>
        <v/>
      </c>
      <c r="L212">
        <f>IF($B212="","",IF(ISNUMBER(SEARCH("advance",$B212)),"ADV",IF(OR(ISNUMBER(SEARCH("payout",$B212)),ISNUMBER(SEARCH("pay out",$B212)),ISNUMBER(SEARCH("release",$B212))),"PAY","")))</f>
        <v/>
      </c>
      <c r="M212">
        <f>IF($B212="","",IF(ISNUMBER(SEARCH("bulk",$B212)),0,IF(ISNUMBER(SEARCH("fuel",$B212))+ISNUMBER(SEARCH("diesel",$B212))+ISNUMBER(SEARCH("krudo",$B212))+ISNUMBER(SEARCH("gasolina",$B212))&gt;0,1,0)))</f>
        <v/>
      </c>
      <c r="N212">
        <f>IF($B212="","",IF(ISNUMBER(SEARCH("fuel",$B212))+ISNUMBER(SEARCH("diesel",$B212))+ISNUMBER(SEARCH("krudo",$B212))+ISNUMBER(SEARCH("gasolina",$B212))&gt;0,1,0))</f>
        <v/>
      </c>
    </row>
    <row r="213">
      <c r="A213" s="86" t="n"/>
      <c r="B213" s="88" t="n"/>
      <c r="C213" s="88" t="n"/>
      <c r="D213" s="87" t="n"/>
      <c r="E213" s="88" t="n"/>
      <c r="F213" s="92" t="n"/>
      <c r="G213" s="87" t="n"/>
      <c r="H213" s="87" t="n"/>
      <c r="I213" s="101">
        <f>IF($B213="","",IF(COUNTIF(Setup!$A$99:$A$128,$B213)&gt;0,IF(INDEX(Setup!$B$99:$B$128,MATCH($B213,Setup!$A$99:$A$128,0))="","Overhead",INDEX(Setup!$B$99:$B$128,MATCH($B213,Setup!$A$99:$A$128,0))),IF(ISNUMBER(SEARCH("advance",$B213))+ISNUMBER(SEARCH("payout",$B213))+ISNUMBER(SEARCH("pay out",$B213))+ISNUMBER(SEARCH("reimburs",$B213))&gt;0,"Transfer",IF(ISNUMBER(SEARCH("loan",$B213))+ISNUMBER(SEARCH("amort",$B213))+ISNUMBER(SEARCH("installment",$B213))+ISNUMBER(SEARCH("instalment",$B213))&gt;0,"Financing",IF(ISNUMBER(SEARCH("draw",$B213))+ISNUMBER(SEARCH("owner",$B213))+ISNUMBER(SEARCH("asset",$B213))+ISNUMBER(SEARCH("capital",$B213))&gt;0,"Other",IF(ISNUMBER(SEARCH("fuel",$B213))+ISNUMBER(SEARCH("diesel",$B213))+ISNUMBER(SEARCH("krudo",$B213))+ISNUMBER(SEARCH("gasolina",$B213))+ISNUMBER(SEARCH("toll",$B213))+ISNUMBER(SEARCH("parking",$B213))+ISNUMBER(SEARCH("repair",$B213))+ISNUMBER(SEARCH("maintenance",$B213))+ISNUMBER(SEARCH("tire",$B213))+ISNUMBER(SEARCH("tyre",$B213))+ISNUMBER(SEARCH("battery",$B213))+ISNUMBER(SEARCH("oil",$B213))+ISNUMBER(SEARCH("filter",$B213))+ISNUMBER(SEARCH("spare",$B213))+ISNUMBER(SEARCH("insurance",$B213))+ISNUMBER(SEARCH("lto",$B213))+ISNUMBER(SEARCH("registration",$B213))+ISNUMBER(SEARCH("emission",$B213))+ISNUMBER(SEARCH("wash",$B213))+ISNUMBER(SEARCH("weigh",$B213))+ISNUMBER(SEARCH("tarp",$B213))&gt;0,"Vehicle",IF(ISNUMBER(SEARCH("rent",$B213))+ISNUMBER(SEARCH("upa",$B213))+ISNUMBER(SEARCH("salary",$B213))+ISNUMBER(SEARCH("sweldo",$B213))+ISNUMBER(SEARCH("wage",$B213))+ISNUMBER(SEARCH("electric",$B213))+ISNUMBER(SEARCH("kuryente",$B213))+ISNUMBER(SEARCH("water",$B213))+ISNUMBER(SEARCH("tubig",$B213))+ISNUMBER(SEARCH("internet",$B213))+ISNUMBER(SEARCH("pldt",$B213))+ISNUMBER(SEARCH("meralco",$B213))+ISNUMBER(SEARCH("supplies",$B213))+ISNUMBER(SEARCH("office",$B213))+ISNUMBER(SEARCH("professional",$B213))+ISNUMBER(SEARCH("accountant",$B213))+ISNUMBER(SEARCH("lawyer",$B213))+ISNUMBER(SEARCH("broker",$B213))+ISNUMBER(SEARCH("bank",$B213))+ISNUMBER(SEARCH("charge",$B213))+ISNUMBER(SEARCH("permit",$B213))+ISNUMBER(SEARCH("bir",$B213))+ISNUMBER(SEARCH("ltfrb",$B213))+ISNUMBER(SEARCH("misc",$B213))+ISNUMBER(SEARCH("fee",$B213))&gt;0,"Overhead","Overhead")))))))</f>
        <v/>
      </c>
      <c r="J213">
        <f>IF($A213="","",DATE(YEAR($A213),MONTH($A213),1))</f>
        <v/>
      </c>
      <c r="K213">
        <f>IF($B213="","",IF(COUNTIF(Setup!$A$99:$A$128,$B213)&gt;0,0,1))</f>
        <v/>
      </c>
      <c r="L213">
        <f>IF($B213="","",IF(ISNUMBER(SEARCH("advance",$B213)),"ADV",IF(OR(ISNUMBER(SEARCH("payout",$B213)),ISNUMBER(SEARCH("pay out",$B213)),ISNUMBER(SEARCH("release",$B213))),"PAY","")))</f>
        <v/>
      </c>
      <c r="M213">
        <f>IF($B213="","",IF(ISNUMBER(SEARCH("bulk",$B213)),0,IF(ISNUMBER(SEARCH("fuel",$B213))+ISNUMBER(SEARCH("diesel",$B213))+ISNUMBER(SEARCH("krudo",$B213))+ISNUMBER(SEARCH("gasolina",$B213))&gt;0,1,0)))</f>
        <v/>
      </c>
      <c r="N213">
        <f>IF($B213="","",IF(ISNUMBER(SEARCH("fuel",$B213))+ISNUMBER(SEARCH("diesel",$B213))+ISNUMBER(SEARCH("krudo",$B213))+ISNUMBER(SEARCH("gasolina",$B213))&gt;0,1,0))</f>
        <v/>
      </c>
    </row>
    <row r="214">
      <c r="A214" s="94" t="n"/>
      <c r="B214" s="96" t="n"/>
      <c r="C214" s="96" t="n"/>
      <c r="D214" s="95" t="n"/>
      <c r="E214" s="96" t="n"/>
      <c r="F214" s="99" t="n"/>
      <c r="G214" s="95" t="n"/>
      <c r="H214" s="95" t="n"/>
      <c r="I214" s="101">
        <f>IF($B214="","",IF(COUNTIF(Setup!$A$99:$A$128,$B214)&gt;0,IF(INDEX(Setup!$B$99:$B$128,MATCH($B214,Setup!$A$99:$A$128,0))="","Overhead",INDEX(Setup!$B$99:$B$128,MATCH($B214,Setup!$A$99:$A$128,0))),IF(ISNUMBER(SEARCH("advance",$B214))+ISNUMBER(SEARCH("payout",$B214))+ISNUMBER(SEARCH("pay out",$B214))+ISNUMBER(SEARCH("reimburs",$B214))&gt;0,"Transfer",IF(ISNUMBER(SEARCH("loan",$B214))+ISNUMBER(SEARCH("amort",$B214))+ISNUMBER(SEARCH("installment",$B214))+ISNUMBER(SEARCH("instalment",$B214))&gt;0,"Financing",IF(ISNUMBER(SEARCH("draw",$B214))+ISNUMBER(SEARCH("owner",$B214))+ISNUMBER(SEARCH("asset",$B214))+ISNUMBER(SEARCH("capital",$B214))&gt;0,"Other",IF(ISNUMBER(SEARCH("fuel",$B214))+ISNUMBER(SEARCH("diesel",$B214))+ISNUMBER(SEARCH("krudo",$B214))+ISNUMBER(SEARCH("gasolina",$B214))+ISNUMBER(SEARCH("toll",$B214))+ISNUMBER(SEARCH("parking",$B214))+ISNUMBER(SEARCH("repair",$B214))+ISNUMBER(SEARCH("maintenance",$B214))+ISNUMBER(SEARCH("tire",$B214))+ISNUMBER(SEARCH("tyre",$B214))+ISNUMBER(SEARCH("battery",$B214))+ISNUMBER(SEARCH("oil",$B214))+ISNUMBER(SEARCH("filter",$B214))+ISNUMBER(SEARCH("spare",$B214))+ISNUMBER(SEARCH("insurance",$B214))+ISNUMBER(SEARCH("lto",$B214))+ISNUMBER(SEARCH("registration",$B214))+ISNUMBER(SEARCH("emission",$B214))+ISNUMBER(SEARCH("wash",$B214))+ISNUMBER(SEARCH("weigh",$B214))+ISNUMBER(SEARCH("tarp",$B214))&gt;0,"Vehicle",IF(ISNUMBER(SEARCH("rent",$B214))+ISNUMBER(SEARCH("upa",$B214))+ISNUMBER(SEARCH("salary",$B214))+ISNUMBER(SEARCH("sweldo",$B214))+ISNUMBER(SEARCH("wage",$B214))+ISNUMBER(SEARCH("electric",$B214))+ISNUMBER(SEARCH("kuryente",$B214))+ISNUMBER(SEARCH("water",$B214))+ISNUMBER(SEARCH("tubig",$B214))+ISNUMBER(SEARCH("internet",$B214))+ISNUMBER(SEARCH("pldt",$B214))+ISNUMBER(SEARCH("meralco",$B214))+ISNUMBER(SEARCH("supplies",$B214))+ISNUMBER(SEARCH("office",$B214))+ISNUMBER(SEARCH("professional",$B214))+ISNUMBER(SEARCH("accountant",$B214))+ISNUMBER(SEARCH("lawyer",$B214))+ISNUMBER(SEARCH("broker",$B214))+ISNUMBER(SEARCH("bank",$B214))+ISNUMBER(SEARCH("charge",$B214))+ISNUMBER(SEARCH("permit",$B214))+ISNUMBER(SEARCH("bir",$B214))+ISNUMBER(SEARCH("ltfrb",$B214))+ISNUMBER(SEARCH("misc",$B214))+ISNUMBER(SEARCH("fee",$B214))&gt;0,"Overhead","Overhead")))))))</f>
        <v/>
      </c>
      <c r="J214">
        <f>IF($A214="","",DATE(YEAR($A214),MONTH($A214),1))</f>
        <v/>
      </c>
      <c r="K214">
        <f>IF($B214="","",IF(COUNTIF(Setup!$A$99:$A$128,$B214)&gt;0,0,1))</f>
        <v/>
      </c>
      <c r="L214">
        <f>IF($B214="","",IF(ISNUMBER(SEARCH("advance",$B214)),"ADV",IF(OR(ISNUMBER(SEARCH("payout",$B214)),ISNUMBER(SEARCH("pay out",$B214)),ISNUMBER(SEARCH("release",$B214))),"PAY","")))</f>
        <v/>
      </c>
      <c r="M214">
        <f>IF($B214="","",IF(ISNUMBER(SEARCH("bulk",$B214)),0,IF(ISNUMBER(SEARCH("fuel",$B214))+ISNUMBER(SEARCH("diesel",$B214))+ISNUMBER(SEARCH("krudo",$B214))+ISNUMBER(SEARCH("gasolina",$B214))&gt;0,1,0)))</f>
        <v/>
      </c>
      <c r="N214">
        <f>IF($B214="","",IF(ISNUMBER(SEARCH("fuel",$B214))+ISNUMBER(SEARCH("diesel",$B214))+ISNUMBER(SEARCH("krudo",$B214))+ISNUMBER(SEARCH("gasolina",$B214))&gt;0,1,0))</f>
        <v/>
      </c>
    </row>
    <row r="215">
      <c r="A215" s="86" t="n"/>
      <c r="B215" s="88" t="n"/>
      <c r="C215" s="88" t="n"/>
      <c r="D215" s="87" t="n"/>
      <c r="E215" s="88" t="n"/>
      <c r="F215" s="92" t="n"/>
      <c r="G215" s="87" t="n"/>
      <c r="H215" s="87" t="n"/>
      <c r="I215" s="101">
        <f>IF($B215="","",IF(COUNTIF(Setup!$A$99:$A$128,$B215)&gt;0,IF(INDEX(Setup!$B$99:$B$128,MATCH($B215,Setup!$A$99:$A$128,0))="","Overhead",INDEX(Setup!$B$99:$B$128,MATCH($B215,Setup!$A$99:$A$128,0))),IF(ISNUMBER(SEARCH("advance",$B215))+ISNUMBER(SEARCH("payout",$B215))+ISNUMBER(SEARCH("pay out",$B215))+ISNUMBER(SEARCH("reimburs",$B215))&gt;0,"Transfer",IF(ISNUMBER(SEARCH("loan",$B215))+ISNUMBER(SEARCH("amort",$B215))+ISNUMBER(SEARCH("installment",$B215))+ISNUMBER(SEARCH("instalment",$B215))&gt;0,"Financing",IF(ISNUMBER(SEARCH("draw",$B215))+ISNUMBER(SEARCH("owner",$B215))+ISNUMBER(SEARCH("asset",$B215))+ISNUMBER(SEARCH("capital",$B215))&gt;0,"Other",IF(ISNUMBER(SEARCH("fuel",$B215))+ISNUMBER(SEARCH("diesel",$B215))+ISNUMBER(SEARCH("krudo",$B215))+ISNUMBER(SEARCH("gasolina",$B215))+ISNUMBER(SEARCH("toll",$B215))+ISNUMBER(SEARCH("parking",$B215))+ISNUMBER(SEARCH("repair",$B215))+ISNUMBER(SEARCH("maintenance",$B215))+ISNUMBER(SEARCH("tire",$B215))+ISNUMBER(SEARCH("tyre",$B215))+ISNUMBER(SEARCH("battery",$B215))+ISNUMBER(SEARCH("oil",$B215))+ISNUMBER(SEARCH("filter",$B215))+ISNUMBER(SEARCH("spare",$B215))+ISNUMBER(SEARCH("insurance",$B215))+ISNUMBER(SEARCH("lto",$B215))+ISNUMBER(SEARCH("registration",$B215))+ISNUMBER(SEARCH("emission",$B215))+ISNUMBER(SEARCH("wash",$B215))+ISNUMBER(SEARCH("weigh",$B215))+ISNUMBER(SEARCH("tarp",$B215))&gt;0,"Vehicle",IF(ISNUMBER(SEARCH("rent",$B215))+ISNUMBER(SEARCH("upa",$B215))+ISNUMBER(SEARCH("salary",$B215))+ISNUMBER(SEARCH("sweldo",$B215))+ISNUMBER(SEARCH("wage",$B215))+ISNUMBER(SEARCH("electric",$B215))+ISNUMBER(SEARCH("kuryente",$B215))+ISNUMBER(SEARCH("water",$B215))+ISNUMBER(SEARCH("tubig",$B215))+ISNUMBER(SEARCH("internet",$B215))+ISNUMBER(SEARCH("pldt",$B215))+ISNUMBER(SEARCH("meralco",$B215))+ISNUMBER(SEARCH("supplies",$B215))+ISNUMBER(SEARCH("office",$B215))+ISNUMBER(SEARCH("professional",$B215))+ISNUMBER(SEARCH("accountant",$B215))+ISNUMBER(SEARCH("lawyer",$B215))+ISNUMBER(SEARCH("broker",$B215))+ISNUMBER(SEARCH("bank",$B215))+ISNUMBER(SEARCH("charge",$B215))+ISNUMBER(SEARCH("permit",$B215))+ISNUMBER(SEARCH("bir",$B215))+ISNUMBER(SEARCH("ltfrb",$B215))+ISNUMBER(SEARCH("misc",$B215))+ISNUMBER(SEARCH("fee",$B215))&gt;0,"Overhead","Overhead")))))))</f>
        <v/>
      </c>
      <c r="J215">
        <f>IF($A215="","",DATE(YEAR($A215),MONTH($A215),1))</f>
        <v/>
      </c>
      <c r="K215">
        <f>IF($B215="","",IF(COUNTIF(Setup!$A$99:$A$128,$B215)&gt;0,0,1))</f>
        <v/>
      </c>
      <c r="L215">
        <f>IF($B215="","",IF(ISNUMBER(SEARCH("advance",$B215)),"ADV",IF(OR(ISNUMBER(SEARCH("payout",$B215)),ISNUMBER(SEARCH("pay out",$B215)),ISNUMBER(SEARCH("release",$B215))),"PAY","")))</f>
        <v/>
      </c>
      <c r="M215">
        <f>IF($B215="","",IF(ISNUMBER(SEARCH("bulk",$B215)),0,IF(ISNUMBER(SEARCH("fuel",$B215))+ISNUMBER(SEARCH("diesel",$B215))+ISNUMBER(SEARCH("krudo",$B215))+ISNUMBER(SEARCH("gasolina",$B215))&gt;0,1,0)))</f>
        <v/>
      </c>
      <c r="N215">
        <f>IF($B215="","",IF(ISNUMBER(SEARCH("fuel",$B215))+ISNUMBER(SEARCH("diesel",$B215))+ISNUMBER(SEARCH("krudo",$B215))+ISNUMBER(SEARCH("gasolina",$B215))&gt;0,1,0))</f>
        <v/>
      </c>
    </row>
    <row r="216">
      <c r="A216" s="94" t="n"/>
      <c r="B216" s="96" t="n"/>
      <c r="C216" s="96" t="n"/>
      <c r="D216" s="95" t="n"/>
      <c r="E216" s="96" t="n"/>
      <c r="F216" s="99" t="n"/>
      <c r="G216" s="95" t="n"/>
      <c r="H216" s="95" t="n"/>
      <c r="I216" s="101">
        <f>IF($B216="","",IF(COUNTIF(Setup!$A$99:$A$128,$B216)&gt;0,IF(INDEX(Setup!$B$99:$B$128,MATCH($B216,Setup!$A$99:$A$128,0))="","Overhead",INDEX(Setup!$B$99:$B$128,MATCH($B216,Setup!$A$99:$A$128,0))),IF(ISNUMBER(SEARCH("advance",$B216))+ISNUMBER(SEARCH("payout",$B216))+ISNUMBER(SEARCH("pay out",$B216))+ISNUMBER(SEARCH("reimburs",$B216))&gt;0,"Transfer",IF(ISNUMBER(SEARCH("loan",$B216))+ISNUMBER(SEARCH("amort",$B216))+ISNUMBER(SEARCH("installment",$B216))+ISNUMBER(SEARCH("instalment",$B216))&gt;0,"Financing",IF(ISNUMBER(SEARCH("draw",$B216))+ISNUMBER(SEARCH("owner",$B216))+ISNUMBER(SEARCH("asset",$B216))+ISNUMBER(SEARCH("capital",$B216))&gt;0,"Other",IF(ISNUMBER(SEARCH("fuel",$B216))+ISNUMBER(SEARCH("diesel",$B216))+ISNUMBER(SEARCH("krudo",$B216))+ISNUMBER(SEARCH("gasolina",$B216))+ISNUMBER(SEARCH("toll",$B216))+ISNUMBER(SEARCH("parking",$B216))+ISNUMBER(SEARCH("repair",$B216))+ISNUMBER(SEARCH("maintenance",$B216))+ISNUMBER(SEARCH("tire",$B216))+ISNUMBER(SEARCH("tyre",$B216))+ISNUMBER(SEARCH("battery",$B216))+ISNUMBER(SEARCH("oil",$B216))+ISNUMBER(SEARCH("filter",$B216))+ISNUMBER(SEARCH("spare",$B216))+ISNUMBER(SEARCH("insurance",$B216))+ISNUMBER(SEARCH("lto",$B216))+ISNUMBER(SEARCH("registration",$B216))+ISNUMBER(SEARCH("emission",$B216))+ISNUMBER(SEARCH("wash",$B216))+ISNUMBER(SEARCH("weigh",$B216))+ISNUMBER(SEARCH("tarp",$B216))&gt;0,"Vehicle",IF(ISNUMBER(SEARCH("rent",$B216))+ISNUMBER(SEARCH("upa",$B216))+ISNUMBER(SEARCH("salary",$B216))+ISNUMBER(SEARCH("sweldo",$B216))+ISNUMBER(SEARCH("wage",$B216))+ISNUMBER(SEARCH("electric",$B216))+ISNUMBER(SEARCH("kuryente",$B216))+ISNUMBER(SEARCH("water",$B216))+ISNUMBER(SEARCH("tubig",$B216))+ISNUMBER(SEARCH("internet",$B216))+ISNUMBER(SEARCH("pldt",$B216))+ISNUMBER(SEARCH("meralco",$B216))+ISNUMBER(SEARCH("supplies",$B216))+ISNUMBER(SEARCH("office",$B216))+ISNUMBER(SEARCH("professional",$B216))+ISNUMBER(SEARCH("accountant",$B216))+ISNUMBER(SEARCH("lawyer",$B216))+ISNUMBER(SEARCH("broker",$B216))+ISNUMBER(SEARCH("bank",$B216))+ISNUMBER(SEARCH("charge",$B216))+ISNUMBER(SEARCH("permit",$B216))+ISNUMBER(SEARCH("bir",$B216))+ISNUMBER(SEARCH("ltfrb",$B216))+ISNUMBER(SEARCH("misc",$B216))+ISNUMBER(SEARCH("fee",$B216))&gt;0,"Overhead","Overhead")))))))</f>
        <v/>
      </c>
      <c r="J216">
        <f>IF($A216="","",DATE(YEAR($A216),MONTH($A216),1))</f>
        <v/>
      </c>
      <c r="K216">
        <f>IF($B216="","",IF(COUNTIF(Setup!$A$99:$A$128,$B216)&gt;0,0,1))</f>
        <v/>
      </c>
      <c r="L216">
        <f>IF($B216="","",IF(ISNUMBER(SEARCH("advance",$B216)),"ADV",IF(OR(ISNUMBER(SEARCH("payout",$B216)),ISNUMBER(SEARCH("pay out",$B216)),ISNUMBER(SEARCH("release",$B216))),"PAY","")))</f>
        <v/>
      </c>
      <c r="M216">
        <f>IF($B216="","",IF(ISNUMBER(SEARCH("bulk",$B216)),0,IF(ISNUMBER(SEARCH("fuel",$B216))+ISNUMBER(SEARCH("diesel",$B216))+ISNUMBER(SEARCH("krudo",$B216))+ISNUMBER(SEARCH("gasolina",$B216))&gt;0,1,0)))</f>
        <v/>
      </c>
      <c r="N216">
        <f>IF($B216="","",IF(ISNUMBER(SEARCH("fuel",$B216))+ISNUMBER(SEARCH("diesel",$B216))+ISNUMBER(SEARCH("krudo",$B216))+ISNUMBER(SEARCH("gasolina",$B216))&gt;0,1,0))</f>
        <v/>
      </c>
    </row>
    <row r="217">
      <c r="A217" s="86" t="n"/>
      <c r="B217" s="88" t="n"/>
      <c r="C217" s="88" t="n"/>
      <c r="D217" s="87" t="n"/>
      <c r="E217" s="88" t="n"/>
      <c r="F217" s="92" t="n"/>
      <c r="G217" s="87" t="n"/>
      <c r="H217" s="87" t="n"/>
      <c r="I217" s="101">
        <f>IF($B217="","",IF(COUNTIF(Setup!$A$99:$A$128,$B217)&gt;0,IF(INDEX(Setup!$B$99:$B$128,MATCH($B217,Setup!$A$99:$A$128,0))="","Overhead",INDEX(Setup!$B$99:$B$128,MATCH($B217,Setup!$A$99:$A$128,0))),IF(ISNUMBER(SEARCH("advance",$B217))+ISNUMBER(SEARCH("payout",$B217))+ISNUMBER(SEARCH("pay out",$B217))+ISNUMBER(SEARCH("reimburs",$B217))&gt;0,"Transfer",IF(ISNUMBER(SEARCH("loan",$B217))+ISNUMBER(SEARCH("amort",$B217))+ISNUMBER(SEARCH("installment",$B217))+ISNUMBER(SEARCH("instalment",$B217))&gt;0,"Financing",IF(ISNUMBER(SEARCH("draw",$B217))+ISNUMBER(SEARCH("owner",$B217))+ISNUMBER(SEARCH("asset",$B217))+ISNUMBER(SEARCH("capital",$B217))&gt;0,"Other",IF(ISNUMBER(SEARCH("fuel",$B217))+ISNUMBER(SEARCH("diesel",$B217))+ISNUMBER(SEARCH("krudo",$B217))+ISNUMBER(SEARCH("gasolina",$B217))+ISNUMBER(SEARCH("toll",$B217))+ISNUMBER(SEARCH("parking",$B217))+ISNUMBER(SEARCH("repair",$B217))+ISNUMBER(SEARCH("maintenance",$B217))+ISNUMBER(SEARCH("tire",$B217))+ISNUMBER(SEARCH("tyre",$B217))+ISNUMBER(SEARCH("battery",$B217))+ISNUMBER(SEARCH("oil",$B217))+ISNUMBER(SEARCH("filter",$B217))+ISNUMBER(SEARCH("spare",$B217))+ISNUMBER(SEARCH("insurance",$B217))+ISNUMBER(SEARCH("lto",$B217))+ISNUMBER(SEARCH("registration",$B217))+ISNUMBER(SEARCH("emission",$B217))+ISNUMBER(SEARCH("wash",$B217))+ISNUMBER(SEARCH("weigh",$B217))+ISNUMBER(SEARCH("tarp",$B217))&gt;0,"Vehicle",IF(ISNUMBER(SEARCH("rent",$B217))+ISNUMBER(SEARCH("upa",$B217))+ISNUMBER(SEARCH("salary",$B217))+ISNUMBER(SEARCH("sweldo",$B217))+ISNUMBER(SEARCH("wage",$B217))+ISNUMBER(SEARCH("electric",$B217))+ISNUMBER(SEARCH("kuryente",$B217))+ISNUMBER(SEARCH("water",$B217))+ISNUMBER(SEARCH("tubig",$B217))+ISNUMBER(SEARCH("internet",$B217))+ISNUMBER(SEARCH("pldt",$B217))+ISNUMBER(SEARCH("meralco",$B217))+ISNUMBER(SEARCH("supplies",$B217))+ISNUMBER(SEARCH("office",$B217))+ISNUMBER(SEARCH("professional",$B217))+ISNUMBER(SEARCH("accountant",$B217))+ISNUMBER(SEARCH("lawyer",$B217))+ISNUMBER(SEARCH("broker",$B217))+ISNUMBER(SEARCH("bank",$B217))+ISNUMBER(SEARCH("charge",$B217))+ISNUMBER(SEARCH("permit",$B217))+ISNUMBER(SEARCH("bir",$B217))+ISNUMBER(SEARCH("ltfrb",$B217))+ISNUMBER(SEARCH("misc",$B217))+ISNUMBER(SEARCH("fee",$B217))&gt;0,"Overhead","Overhead")))))))</f>
        <v/>
      </c>
      <c r="J217">
        <f>IF($A217="","",DATE(YEAR($A217),MONTH($A217),1))</f>
        <v/>
      </c>
      <c r="K217">
        <f>IF($B217="","",IF(COUNTIF(Setup!$A$99:$A$128,$B217)&gt;0,0,1))</f>
        <v/>
      </c>
      <c r="L217">
        <f>IF($B217="","",IF(ISNUMBER(SEARCH("advance",$B217)),"ADV",IF(OR(ISNUMBER(SEARCH("payout",$B217)),ISNUMBER(SEARCH("pay out",$B217)),ISNUMBER(SEARCH("release",$B217))),"PAY","")))</f>
        <v/>
      </c>
      <c r="M217">
        <f>IF($B217="","",IF(ISNUMBER(SEARCH("bulk",$B217)),0,IF(ISNUMBER(SEARCH("fuel",$B217))+ISNUMBER(SEARCH("diesel",$B217))+ISNUMBER(SEARCH("krudo",$B217))+ISNUMBER(SEARCH("gasolina",$B217))&gt;0,1,0)))</f>
        <v/>
      </c>
      <c r="N217">
        <f>IF($B217="","",IF(ISNUMBER(SEARCH("fuel",$B217))+ISNUMBER(SEARCH("diesel",$B217))+ISNUMBER(SEARCH("krudo",$B217))+ISNUMBER(SEARCH("gasolina",$B217))&gt;0,1,0))</f>
        <v/>
      </c>
    </row>
    <row r="218">
      <c r="A218" s="94" t="n"/>
      <c r="B218" s="96" t="n"/>
      <c r="C218" s="96" t="n"/>
      <c r="D218" s="95" t="n"/>
      <c r="E218" s="96" t="n"/>
      <c r="F218" s="99" t="n"/>
      <c r="G218" s="95" t="n"/>
      <c r="H218" s="95" t="n"/>
      <c r="I218" s="101">
        <f>IF($B218="","",IF(COUNTIF(Setup!$A$99:$A$128,$B218)&gt;0,IF(INDEX(Setup!$B$99:$B$128,MATCH($B218,Setup!$A$99:$A$128,0))="","Overhead",INDEX(Setup!$B$99:$B$128,MATCH($B218,Setup!$A$99:$A$128,0))),IF(ISNUMBER(SEARCH("advance",$B218))+ISNUMBER(SEARCH("payout",$B218))+ISNUMBER(SEARCH("pay out",$B218))+ISNUMBER(SEARCH("reimburs",$B218))&gt;0,"Transfer",IF(ISNUMBER(SEARCH("loan",$B218))+ISNUMBER(SEARCH("amort",$B218))+ISNUMBER(SEARCH("installment",$B218))+ISNUMBER(SEARCH("instalment",$B218))&gt;0,"Financing",IF(ISNUMBER(SEARCH("draw",$B218))+ISNUMBER(SEARCH("owner",$B218))+ISNUMBER(SEARCH("asset",$B218))+ISNUMBER(SEARCH("capital",$B218))&gt;0,"Other",IF(ISNUMBER(SEARCH("fuel",$B218))+ISNUMBER(SEARCH("diesel",$B218))+ISNUMBER(SEARCH("krudo",$B218))+ISNUMBER(SEARCH("gasolina",$B218))+ISNUMBER(SEARCH("toll",$B218))+ISNUMBER(SEARCH("parking",$B218))+ISNUMBER(SEARCH("repair",$B218))+ISNUMBER(SEARCH("maintenance",$B218))+ISNUMBER(SEARCH("tire",$B218))+ISNUMBER(SEARCH("tyre",$B218))+ISNUMBER(SEARCH("battery",$B218))+ISNUMBER(SEARCH("oil",$B218))+ISNUMBER(SEARCH("filter",$B218))+ISNUMBER(SEARCH("spare",$B218))+ISNUMBER(SEARCH("insurance",$B218))+ISNUMBER(SEARCH("lto",$B218))+ISNUMBER(SEARCH("registration",$B218))+ISNUMBER(SEARCH("emission",$B218))+ISNUMBER(SEARCH("wash",$B218))+ISNUMBER(SEARCH("weigh",$B218))+ISNUMBER(SEARCH("tarp",$B218))&gt;0,"Vehicle",IF(ISNUMBER(SEARCH("rent",$B218))+ISNUMBER(SEARCH("upa",$B218))+ISNUMBER(SEARCH("salary",$B218))+ISNUMBER(SEARCH("sweldo",$B218))+ISNUMBER(SEARCH("wage",$B218))+ISNUMBER(SEARCH("electric",$B218))+ISNUMBER(SEARCH("kuryente",$B218))+ISNUMBER(SEARCH("water",$B218))+ISNUMBER(SEARCH("tubig",$B218))+ISNUMBER(SEARCH("internet",$B218))+ISNUMBER(SEARCH("pldt",$B218))+ISNUMBER(SEARCH("meralco",$B218))+ISNUMBER(SEARCH("supplies",$B218))+ISNUMBER(SEARCH("office",$B218))+ISNUMBER(SEARCH("professional",$B218))+ISNUMBER(SEARCH("accountant",$B218))+ISNUMBER(SEARCH("lawyer",$B218))+ISNUMBER(SEARCH("broker",$B218))+ISNUMBER(SEARCH("bank",$B218))+ISNUMBER(SEARCH("charge",$B218))+ISNUMBER(SEARCH("permit",$B218))+ISNUMBER(SEARCH("bir",$B218))+ISNUMBER(SEARCH("ltfrb",$B218))+ISNUMBER(SEARCH("misc",$B218))+ISNUMBER(SEARCH("fee",$B218))&gt;0,"Overhead","Overhead")))))))</f>
        <v/>
      </c>
      <c r="J218">
        <f>IF($A218="","",DATE(YEAR($A218),MONTH($A218),1))</f>
        <v/>
      </c>
      <c r="K218">
        <f>IF($B218="","",IF(COUNTIF(Setup!$A$99:$A$128,$B218)&gt;0,0,1))</f>
        <v/>
      </c>
      <c r="L218">
        <f>IF($B218="","",IF(ISNUMBER(SEARCH("advance",$B218)),"ADV",IF(OR(ISNUMBER(SEARCH("payout",$B218)),ISNUMBER(SEARCH("pay out",$B218)),ISNUMBER(SEARCH("release",$B218))),"PAY","")))</f>
        <v/>
      </c>
      <c r="M218">
        <f>IF($B218="","",IF(ISNUMBER(SEARCH("bulk",$B218)),0,IF(ISNUMBER(SEARCH("fuel",$B218))+ISNUMBER(SEARCH("diesel",$B218))+ISNUMBER(SEARCH("krudo",$B218))+ISNUMBER(SEARCH("gasolina",$B218))&gt;0,1,0)))</f>
        <v/>
      </c>
      <c r="N218">
        <f>IF($B218="","",IF(ISNUMBER(SEARCH("fuel",$B218))+ISNUMBER(SEARCH("diesel",$B218))+ISNUMBER(SEARCH("krudo",$B218))+ISNUMBER(SEARCH("gasolina",$B218))&gt;0,1,0))</f>
        <v/>
      </c>
    </row>
    <row r="219">
      <c r="A219" s="86" t="n"/>
      <c r="B219" s="88" t="n"/>
      <c r="C219" s="88" t="n"/>
      <c r="D219" s="87" t="n"/>
      <c r="E219" s="88" t="n"/>
      <c r="F219" s="92" t="n"/>
      <c r="G219" s="87" t="n"/>
      <c r="H219" s="87" t="n"/>
      <c r="I219" s="101">
        <f>IF($B219="","",IF(COUNTIF(Setup!$A$99:$A$128,$B219)&gt;0,IF(INDEX(Setup!$B$99:$B$128,MATCH($B219,Setup!$A$99:$A$128,0))="","Overhead",INDEX(Setup!$B$99:$B$128,MATCH($B219,Setup!$A$99:$A$128,0))),IF(ISNUMBER(SEARCH("advance",$B219))+ISNUMBER(SEARCH("payout",$B219))+ISNUMBER(SEARCH("pay out",$B219))+ISNUMBER(SEARCH("reimburs",$B219))&gt;0,"Transfer",IF(ISNUMBER(SEARCH("loan",$B219))+ISNUMBER(SEARCH("amort",$B219))+ISNUMBER(SEARCH("installment",$B219))+ISNUMBER(SEARCH("instalment",$B219))&gt;0,"Financing",IF(ISNUMBER(SEARCH("draw",$B219))+ISNUMBER(SEARCH("owner",$B219))+ISNUMBER(SEARCH("asset",$B219))+ISNUMBER(SEARCH("capital",$B219))&gt;0,"Other",IF(ISNUMBER(SEARCH("fuel",$B219))+ISNUMBER(SEARCH("diesel",$B219))+ISNUMBER(SEARCH("krudo",$B219))+ISNUMBER(SEARCH("gasolina",$B219))+ISNUMBER(SEARCH("toll",$B219))+ISNUMBER(SEARCH("parking",$B219))+ISNUMBER(SEARCH("repair",$B219))+ISNUMBER(SEARCH("maintenance",$B219))+ISNUMBER(SEARCH("tire",$B219))+ISNUMBER(SEARCH("tyre",$B219))+ISNUMBER(SEARCH("battery",$B219))+ISNUMBER(SEARCH("oil",$B219))+ISNUMBER(SEARCH("filter",$B219))+ISNUMBER(SEARCH("spare",$B219))+ISNUMBER(SEARCH("insurance",$B219))+ISNUMBER(SEARCH("lto",$B219))+ISNUMBER(SEARCH("registration",$B219))+ISNUMBER(SEARCH("emission",$B219))+ISNUMBER(SEARCH("wash",$B219))+ISNUMBER(SEARCH("weigh",$B219))+ISNUMBER(SEARCH("tarp",$B219))&gt;0,"Vehicle",IF(ISNUMBER(SEARCH("rent",$B219))+ISNUMBER(SEARCH("upa",$B219))+ISNUMBER(SEARCH("salary",$B219))+ISNUMBER(SEARCH("sweldo",$B219))+ISNUMBER(SEARCH("wage",$B219))+ISNUMBER(SEARCH("electric",$B219))+ISNUMBER(SEARCH("kuryente",$B219))+ISNUMBER(SEARCH("water",$B219))+ISNUMBER(SEARCH("tubig",$B219))+ISNUMBER(SEARCH("internet",$B219))+ISNUMBER(SEARCH("pldt",$B219))+ISNUMBER(SEARCH("meralco",$B219))+ISNUMBER(SEARCH("supplies",$B219))+ISNUMBER(SEARCH("office",$B219))+ISNUMBER(SEARCH("professional",$B219))+ISNUMBER(SEARCH("accountant",$B219))+ISNUMBER(SEARCH("lawyer",$B219))+ISNUMBER(SEARCH("broker",$B219))+ISNUMBER(SEARCH("bank",$B219))+ISNUMBER(SEARCH("charge",$B219))+ISNUMBER(SEARCH("permit",$B219))+ISNUMBER(SEARCH("bir",$B219))+ISNUMBER(SEARCH("ltfrb",$B219))+ISNUMBER(SEARCH("misc",$B219))+ISNUMBER(SEARCH("fee",$B219))&gt;0,"Overhead","Overhead")))))))</f>
        <v/>
      </c>
      <c r="J219">
        <f>IF($A219="","",DATE(YEAR($A219),MONTH($A219),1))</f>
        <v/>
      </c>
      <c r="K219">
        <f>IF($B219="","",IF(COUNTIF(Setup!$A$99:$A$128,$B219)&gt;0,0,1))</f>
        <v/>
      </c>
      <c r="L219">
        <f>IF($B219="","",IF(ISNUMBER(SEARCH("advance",$B219)),"ADV",IF(OR(ISNUMBER(SEARCH("payout",$B219)),ISNUMBER(SEARCH("pay out",$B219)),ISNUMBER(SEARCH("release",$B219))),"PAY","")))</f>
        <v/>
      </c>
      <c r="M219">
        <f>IF($B219="","",IF(ISNUMBER(SEARCH("bulk",$B219)),0,IF(ISNUMBER(SEARCH("fuel",$B219))+ISNUMBER(SEARCH("diesel",$B219))+ISNUMBER(SEARCH("krudo",$B219))+ISNUMBER(SEARCH("gasolina",$B219))&gt;0,1,0)))</f>
        <v/>
      </c>
      <c r="N219">
        <f>IF($B219="","",IF(ISNUMBER(SEARCH("fuel",$B219))+ISNUMBER(SEARCH("diesel",$B219))+ISNUMBER(SEARCH("krudo",$B219))+ISNUMBER(SEARCH("gasolina",$B219))&gt;0,1,0))</f>
        <v/>
      </c>
    </row>
    <row r="220">
      <c r="A220" s="94" t="n"/>
      <c r="B220" s="96" t="n"/>
      <c r="C220" s="96" t="n"/>
      <c r="D220" s="95" t="n"/>
      <c r="E220" s="96" t="n"/>
      <c r="F220" s="99" t="n"/>
      <c r="G220" s="95" t="n"/>
      <c r="H220" s="95" t="n"/>
      <c r="I220" s="101">
        <f>IF($B220="","",IF(COUNTIF(Setup!$A$99:$A$128,$B220)&gt;0,IF(INDEX(Setup!$B$99:$B$128,MATCH($B220,Setup!$A$99:$A$128,0))="","Overhead",INDEX(Setup!$B$99:$B$128,MATCH($B220,Setup!$A$99:$A$128,0))),IF(ISNUMBER(SEARCH("advance",$B220))+ISNUMBER(SEARCH("payout",$B220))+ISNUMBER(SEARCH("pay out",$B220))+ISNUMBER(SEARCH("reimburs",$B220))&gt;0,"Transfer",IF(ISNUMBER(SEARCH("loan",$B220))+ISNUMBER(SEARCH("amort",$B220))+ISNUMBER(SEARCH("installment",$B220))+ISNUMBER(SEARCH("instalment",$B220))&gt;0,"Financing",IF(ISNUMBER(SEARCH("draw",$B220))+ISNUMBER(SEARCH("owner",$B220))+ISNUMBER(SEARCH("asset",$B220))+ISNUMBER(SEARCH("capital",$B220))&gt;0,"Other",IF(ISNUMBER(SEARCH("fuel",$B220))+ISNUMBER(SEARCH("diesel",$B220))+ISNUMBER(SEARCH("krudo",$B220))+ISNUMBER(SEARCH("gasolina",$B220))+ISNUMBER(SEARCH("toll",$B220))+ISNUMBER(SEARCH("parking",$B220))+ISNUMBER(SEARCH("repair",$B220))+ISNUMBER(SEARCH("maintenance",$B220))+ISNUMBER(SEARCH("tire",$B220))+ISNUMBER(SEARCH("tyre",$B220))+ISNUMBER(SEARCH("battery",$B220))+ISNUMBER(SEARCH("oil",$B220))+ISNUMBER(SEARCH("filter",$B220))+ISNUMBER(SEARCH("spare",$B220))+ISNUMBER(SEARCH("insurance",$B220))+ISNUMBER(SEARCH("lto",$B220))+ISNUMBER(SEARCH("registration",$B220))+ISNUMBER(SEARCH("emission",$B220))+ISNUMBER(SEARCH("wash",$B220))+ISNUMBER(SEARCH("weigh",$B220))+ISNUMBER(SEARCH("tarp",$B220))&gt;0,"Vehicle",IF(ISNUMBER(SEARCH("rent",$B220))+ISNUMBER(SEARCH("upa",$B220))+ISNUMBER(SEARCH("salary",$B220))+ISNUMBER(SEARCH("sweldo",$B220))+ISNUMBER(SEARCH("wage",$B220))+ISNUMBER(SEARCH("electric",$B220))+ISNUMBER(SEARCH("kuryente",$B220))+ISNUMBER(SEARCH("water",$B220))+ISNUMBER(SEARCH("tubig",$B220))+ISNUMBER(SEARCH("internet",$B220))+ISNUMBER(SEARCH("pldt",$B220))+ISNUMBER(SEARCH("meralco",$B220))+ISNUMBER(SEARCH("supplies",$B220))+ISNUMBER(SEARCH("office",$B220))+ISNUMBER(SEARCH("professional",$B220))+ISNUMBER(SEARCH("accountant",$B220))+ISNUMBER(SEARCH("lawyer",$B220))+ISNUMBER(SEARCH("broker",$B220))+ISNUMBER(SEARCH("bank",$B220))+ISNUMBER(SEARCH("charge",$B220))+ISNUMBER(SEARCH("permit",$B220))+ISNUMBER(SEARCH("bir",$B220))+ISNUMBER(SEARCH("ltfrb",$B220))+ISNUMBER(SEARCH("misc",$B220))+ISNUMBER(SEARCH("fee",$B220))&gt;0,"Overhead","Overhead")))))))</f>
        <v/>
      </c>
      <c r="J220">
        <f>IF($A220="","",DATE(YEAR($A220),MONTH($A220),1))</f>
        <v/>
      </c>
      <c r="K220">
        <f>IF($B220="","",IF(COUNTIF(Setup!$A$99:$A$128,$B220)&gt;0,0,1))</f>
        <v/>
      </c>
      <c r="L220">
        <f>IF($B220="","",IF(ISNUMBER(SEARCH("advance",$B220)),"ADV",IF(OR(ISNUMBER(SEARCH("payout",$B220)),ISNUMBER(SEARCH("pay out",$B220)),ISNUMBER(SEARCH("release",$B220))),"PAY","")))</f>
        <v/>
      </c>
      <c r="M220">
        <f>IF($B220="","",IF(ISNUMBER(SEARCH("bulk",$B220)),0,IF(ISNUMBER(SEARCH("fuel",$B220))+ISNUMBER(SEARCH("diesel",$B220))+ISNUMBER(SEARCH("krudo",$B220))+ISNUMBER(SEARCH("gasolina",$B220))&gt;0,1,0)))</f>
        <v/>
      </c>
      <c r="N220">
        <f>IF($B220="","",IF(ISNUMBER(SEARCH("fuel",$B220))+ISNUMBER(SEARCH("diesel",$B220))+ISNUMBER(SEARCH("krudo",$B220))+ISNUMBER(SEARCH("gasolina",$B220))&gt;0,1,0))</f>
        <v/>
      </c>
    </row>
    <row r="221">
      <c r="A221" s="86" t="n"/>
      <c r="B221" s="88" t="n"/>
      <c r="C221" s="88" t="n"/>
      <c r="D221" s="87" t="n"/>
      <c r="E221" s="88" t="n"/>
      <c r="F221" s="92" t="n"/>
      <c r="G221" s="87" t="n"/>
      <c r="H221" s="87" t="n"/>
      <c r="I221" s="101">
        <f>IF($B221="","",IF(COUNTIF(Setup!$A$99:$A$128,$B221)&gt;0,IF(INDEX(Setup!$B$99:$B$128,MATCH($B221,Setup!$A$99:$A$128,0))="","Overhead",INDEX(Setup!$B$99:$B$128,MATCH($B221,Setup!$A$99:$A$128,0))),IF(ISNUMBER(SEARCH("advance",$B221))+ISNUMBER(SEARCH("payout",$B221))+ISNUMBER(SEARCH("pay out",$B221))+ISNUMBER(SEARCH("reimburs",$B221))&gt;0,"Transfer",IF(ISNUMBER(SEARCH("loan",$B221))+ISNUMBER(SEARCH("amort",$B221))+ISNUMBER(SEARCH("installment",$B221))+ISNUMBER(SEARCH("instalment",$B221))&gt;0,"Financing",IF(ISNUMBER(SEARCH("draw",$B221))+ISNUMBER(SEARCH("owner",$B221))+ISNUMBER(SEARCH("asset",$B221))+ISNUMBER(SEARCH("capital",$B221))&gt;0,"Other",IF(ISNUMBER(SEARCH("fuel",$B221))+ISNUMBER(SEARCH("diesel",$B221))+ISNUMBER(SEARCH("krudo",$B221))+ISNUMBER(SEARCH("gasolina",$B221))+ISNUMBER(SEARCH("toll",$B221))+ISNUMBER(SEARCH("parking",$B221))+ISNUMBER(SEARCH("repair",$B221))+ISNUMBER(SEARCH("maintenance",$B221))+ISNUMBER(SEARCH("tire",$B221))+ISNUMBER(SEARCH("tyre",$B221))+ISNUMBER(SEARCH("battery",$B221))+ISNUMBER(SEARCH("oil",$B221))+ISNUMBER(SEARCH("filter",$B221))+ISNUMBER(SEARCH("spare",$B221))+ISNUMBER(SEARCH("insurance",$B221))+ISNUMBER(SEARCH("lto",$B221))+ISNUMBER(SEARCH("registration",$B221))+ISNUMBER(SEARCH("emission",$B221))+ISNUMBER(SEARCH("wash",$B221))+ISNUMBER(SEARCH("weigh",$B221))+ISNUMBER(SEARCH("tarp",$B221))&gt;0,"Vehicle",IF(ISNUMBER(SEARCH("rent",$B221))+ISNUMBER(SEARCH("upa",$B221))+ISNUMBER(SEARCH("salary",$B221))+ISNUMBER(SEARCH("sweldo",$B221))+ISNUMBER(SEARCH("wage",$B221))+ISNUMBER(SEARCH("electric",$B221))+ISNUMBER(SEARCH("kuryente",$B221))+ISNUMBER(SEARCH("water",$B221))+ISNUMBER(SEARCH("tubig",$B221))+ISNUMBER(SEARCH("internet",$B221))+ISNUMBER(SEARCH("pldt",$B221))+ISNUMBER(SEARCH("meralco",$B221))+ISNUMBER(SEARCH("supplies",$B221))+ISNUMBER(SEARCH("office",$B221))+ISNUMBER(SEARCH("professional",$B221))+ISNUMBER(SEARCH("accountant",$B221))+ISNUMBER(SEARCH("lawyer",$B221))+ISNUMBER(SEARCH("broker",$B221))+ISNUMBER(SEARCH("bank",$B221))+ISNUMBER(SEARCH("charge",$B221))+ISNUMBER(SEARCH("permit",$B221))+ISNUMBER(SEARCH("bir",$B221))+ISNUMBER(SEARCH("ltfrb",$B221))+ISNUMBER(SEARCH("misc",$B221))+ISNUMBER(SEARCH("fee",$B221))&gt;0,"Overhead","Overhead")))))))</f>
        <v/>
      </c>
      <c r="J221">
        <f>IF($A221="","",DATE(YEAR($A221),MONTH($A221),1))</f>
        <v/>
      </c>
      <c r="K221">
        <f>IF($B221="","",IF(COUNTIF(Setup!$A$99:$A$128,$B221)&gt;0,0,1))</f>
        <v/>
      </c>
      <c r="L221">
        <f>IF($B221="","",IF(ISNUMBER(SEARCH("advance",$B221)),"ADV",IF(OR(ISNUMBER(SEARCH("payout",$B221)),ISNUMBER(SEARCH("pay out",$B221)),ISNUMBER(SEARCH("release",$B221))),"PAY","")))</f>
        <v/>
      </c>
      <c r="M221">
        <f>IF($B221="","",IF(ISNUMBER(SEARCH("bulk",$B221)),0,IF(ISNUMBER(SEARCH("fuel",$B221))+ISNUMBER(SEARCH("diesel",$B221))+ISNUMBER(SEARCH("krudo",$B221))+ISNUMBER(SEARCH("gasolina",$B221))&gt;0,1,0)))</f>
        <v/>
      </c>
      <c r="N221">
        <f>IF($B221="","",IF(ISNUMBER(SEARCH("fuel",$B221))+ISNUMBER(SEARCH("diesel",$B221))+ISNUMBER(SEARCH("krudo",$B221))+ISNUMBER(SEARCH("gasolina",$B221))&gt;0,1,0))</f>
        <v/>
      </c>
    </row>
    <row r="222">
      <c r="A222" s="94" t="n"/>
      <c r="B222" s="96" t="n"/>
      <c r="C222" s="96" t="n"/>
      <c r="D222" s="95" t="n"/>
      <c r="E222" s="96" t="n"/>
      <c r="F222" s="99" t="n"/>
      <c r="G222" s="95" t="n"/>
      <c r="H222" s="95" t="n"/>
      <c r="I222" s="101">
        <f>IF($B222="","",IF(COUNTIF(Setup!$A$99:$A$128,$B222)&gt;0,IF(INDEX(Setup!$B$99:$B$128,MATCH($B222,Setup!$A$99:$A$128,0))="","Overhead",INDEX(Setup!$B$99:$B$128,MATCH($B222,Setup!$A$99:$A$128,0))),IF(ISNUMBER(SEARCH("advance",$B222))+ISNUMBER(SEARCH("payout",$B222))+ISNUMBER(SEARCH("pay out",$B222))+ISNUMBER(SEARCH("reimburs",$B222))&gt;0,"Transfer",IF(ISNUMBER(SEARCH("loan",$B222))+ISNUMBER(SEARCH("amort",$B222))+ISNUMBER(SEARCH("installment",$B222))+ISNUMBER(SEARCH("instalment",$B222))&gt;0,"Financing",IF(ISNUMBER(SEARCH("draw",$B222))+ISNUMBER(SEARCH("owner",$B222))+ISNUMBER(SEARCH("asset",$B222))+ISNUMBER(SEARCH("capital",$B222))&gt;0,"Other",IF(ISNUMBER(SEARCH("fuel",$B222))+ISNUMBER(SEARCH("diesel",$B222))+ISNUMBER(SEARCH("krudo",$B222))+ISNUMBER(SEARCH("gasolina",$B222))+ISNUMBER(SEARCH("toll",$B222))+ISNUMBER(SEARCH("parking",$B222))+ISNUMBER(SEARCH("repair",$B222))+ISNUMBER(SEARCH("maintenance",$B222))+ISNUMBER(SEARCH("tire",$B222))+ISNUMBER(SEARCH("tyre",$B222))+ISNUMBER(SEARCH("battery",$B222))+ISNUMBER(SEARCH("oil",$B222))+ISNUMBER(SEARCH("filter",$B222))+ISNUMBER(SEARCH("spare",$B222))+ISNUMBER(SEARCH("insurance",$B222))+ISNUMBER(SEARCH("lto",$B222))+ISNUMBER(SEARCH("registration",$B222))+ISNUMBER(SEARCH("emission",$B222))+ISNUMBER(SEARCH("wash",$B222))+ISNUMBER(SEARCH("weigh",$B222))+ISNUMBER(SEARCH("tarp",$B222))&gt;0,"Vehicle",IF(ISNUMBER(SEARCH("rent",$B222))+ISNUMBER(SEARCH("upa",$B222))+ISNUMBER(SEARCH("salary",$B222))+ISNUMBER(SEARCH("sweldo",$B222))+ISNUMBER(SEARCH("wage",$B222))+ISNUMBER(SEARCH("electric",$B222))+ISNUMBER(SEARCH("kuryente",$B222))+ISNUMBER(SEARCH("water",$B222))+ISNUMBER(SEARCH("tubig",$B222))+ISNUMBER(SEARCH("internet",$B222))+ISNUMBER(SEARCH("pldt",$B222))+ISNUMBER(SEARCH("meralco",$B222))+ISNUMBER(SEARCH("supplies",$B222))+ISNUMBER(SEARCH("office",$B222))+ISNUMBER(SEARCH("professional",$B222))+ISNUMBER(SEARCH("accountant",$B222))+ISNUMBER(SEARCH("lawyer",$B222))+ISNUMBER(SEARCH("broker",$B222))+ISNUMBER(SEARCH("bank",$B222))+ISNUMBER(SEARCH("charge",$B222))+ISNUMBER(SEARCH("permit",$B222))+ISNUMBER(SEARCH("bir",$B222))+ISNUMBER(SEARCH("ltfrb",$B222))+ISNUMBER(SEARCH("misc",$B222))+ISNUMBER(SEARCH("fee",$B222))&gt;0,"Overhead","Overhead")))))))</f>
        <v/>
      </c>
      <c r="J222">
        <f>IF($A222="","",DATE(YEAR($A222),MONTH($A222),1))</f>
        <v/>
      </c>
      <c r="K222">
        <f>IF($B222="","",IF(COUNTIF(Setup!$A$99:$A$128,$B222)&gt;0,0,1))</f>
        <v/>
      </c>
      <c r="L222">
        <f>IF($B222="","",IF(ISNUMBER(SEARCH("advance",$B222)),"ADV",IF(OR(ISNUMBER(SEARCH("payout",$B222)),ISNUMBER(SEARCH("pay out",$B222)),ISNUMBER(SEARCH("release",$B222))),"PAY","")))</f>
        <v/>
      </c>
      <c r="M222">
        <f>IF($B222="","",IF(ISNUMBER(SEARCH("bulk",$B222)),0,IF(ISNUMBER(SEARCH("fuel",$B222))+ISNUMBER(SEARCH("diesel",$B222))+ISNUMBER(SEARCH("krudo",$B222))+ISNUMBER(SEARCH("gasolina",$B222))&gt;0,1,0)))</f>
        <v/>
      </c>
      <c r="N222">
        <f>IF($B222="","",IF(ISNUMBER(SEARCH("fuel",$B222))+ISNUMBER(SEARCH("diesel",$B222))+ISNUMBER(SEARCH("krudo",$B222))+ISNUMBER(SEARCH("gasolina",$B222))&gt;0,1,0))</f>
        <v/>
      </c>
    </row>
    <row r="223">
      <c r="A223" s="86" t="n"/>
      <c r="B223" s="88" t="n"/>
      <c r="C223" s="88" t="n"/>
      <c r="D223" s="87" t="n"/>
      <c r="E223" s="88" t="n"/>
      <c r="F223" s="92" t="n"/>
      <c r="G223" s="87" t="n"/>
      <c r="H223" s="87" t="n"/>
      <c r="I223" s="101">
        <f>IF($B223="","",IF(COUNTIF(Setup!$A$99:$A$128,$B223)&gt;0,IF(INDEX(Setup!$B$99:$B$128,MATCH($B223,Setup!$A$99:$A$128,0))="","Overhead",INDEX(Setup!$B$99:$B$128,MATCH($B223,Setup!$A$99:$A$128,0))),IF(ISNUMBER(SEARCH("advance",$B223))+ISNUMBER(SEARCH("payout",$B223))+ISNUMBER(SEARCH("pay out",$B223))+ISNUMBER(SEARCH("reimburs",$B223))&gt;0,"Transfer",IF(ISNUMBER(SEARCH("loan",$B223))+ISNUMBER(SEARCH("amort",$B223))+ISNUMBER(SEARCH("installment",$B223))+ISNUMBER(SEARCH("instalment",$B223))&gt;0,"Financing",IF(ISNUMBER(SEARCH("draw",$B223))+ISNUMBER(SEARCH("owner",$B223))+ISNUMBER(SEARCH("asset",$B223))+ISNUMBER(SEARCH("capital",$B223))&gt;0,"Other",IF(ISNUMBER(SEARCH("fuel",$B223))+ISNUMBER(SEARCH("diesel",$B223))+ISNUMBER(SEARCH("krudo",$B223))+ISNUMBER(SEARCH("gasolina",$B223))+ISNUMBER(SEARCH("toll",$B223))+ISNUMBER(SEARCH("parking",$B223))+ISNUMBER(SEARCH("repair",$B223))+ISNUMBER(SEARCH("maintenance",$B223))+ISNUMBER(SEARCH("tire",$B223))+ISNUMBER(SEARCH("tyre",$B223))+ISNUMBER(SEARCH("battery",$B223))+ISNUMBER(SEARCH("oil",$B223))+ISNUMBER(SEARCH("filter",$B223))+ISNUMBER(SEARCH("spare",$B223))+ISNUMBER(SEARCH("insurance",$B223))+ISNUMBER(SEARCH("lto",$B223))+ISNUMBER(SEARCH("registration",$B223))+ISNUMBER(SEARCH("emission",$B223))+ISNUMBER(SEARCH("wash",$B223))+ISNUMBER(SEARCH("weigh",$B223))+ISNUMBER(SEARCH("tarp",$B223))&gt;0,"Vehicle",IF(ISNUMBER(SEARCH("rent",$B223))+ISNUMBER(SEARCH("upa",$B223))+ISNUMBER(SEARCH("salary",$B223))+ISNUMBER(SEARCH("sweldo",$B223))+ISNUMBER(SEARCH("wage",$B223))+ISNUMBER(SEARCH("electric",$B223))+ISNUMBER(SEARCH("kuryente",$B223))+ISNUMBER(SEARCH("water",$B223))+ISNUMBER(SEARCH("tubig",$B223))+ISNUMBER(SEARCH("internet",$B223))+ISNUMBER(SEARCH("pldt",$B223))+ISNUMBER(SEARCH("meralco",$B223))+ISNUMBER(SEARCH("supplies",$B223))+ISNUMBER(SEARCH("office",$B223))+ISNUMBER(SEARCH("professional",$B223))+ISNUMBER(SEARCH("accountant",$B223))+ISNUMBER(SEARCH("lawyer",$B223))+ISNUMBER(SEARCH("broker",$B223))+ISNUMBER(SEARCH("bank",$B223))+ISNUMBER(SEARCH("charge",$B223))+ISNUMBER(SEARCH("permit",$B223))+ISNUMBER(SEARCH("bir",$B223))+ISNUMBER(SEARCH("ltfrb",$B223))+ISNUMBER(SEARCH("misc",$B223))+ISNUMBER(SEARCH("fee",$B223))&gt;0,"Overhead","Overhead")))))))</f>
        <v/>
      </c>
      <c r="J223">
        <f>IF($A223="","",DATE(YEAR($A223),MONTH($A223),1))</f>
        <v/>
      </c>
      <c r="K223">
        <f>IF($B223="","",IF(COUNTIF(Setup!$A$99:$A$128,$B223)&gt;0,0,1))</f>
        <v/>
      </c>
      <c r="L223">
        <f>IF($B223="","",IF(ISNUMBER(SEARCH("advance",$B223)),"ADV",IF(OR(ISNUMBER(SEARCH("payout",$B223)),ISNUMBER(SEARCH("pay out",$B223)),ISNUMBER(SEARCH("release",$B223))),"PAY","")))</f>
        <v/>
      </c>
      <c r="M223">
        <f>IF($B223="","",IF(ISNUMBER(SEARCH("bulk",$B223)),0,IF(ISNUMBER(SEARCH("fuel",$B223))+ISNUMBER(SEARCH("diesel",$B223))+ISNUMBER(SEARCH("krudo",$B223))+ISNUMBER(SEARCH("gasolina",$B223))&gt;0,1,0)))</f>
        <v/>
      </c>
      <c r="N223">
        <f>IF($B223="","",IF(ISNUMBER(SEARCH("fuel",$B223))+ISNUMBER(SEARCH("diesel",$B223))+ISNUMBER(SEARCH("krudo",$B223))+ISNUMBER(SEARCH("gasolina",$B223))&gt;0,1,0))</f>
        <v/>
      </c>
    </row>
    <row r="224">
      <c r="A224" s="94" t="n"/>
      <c r="B224" s="96" t="n"/>
      <c r="C224" s="96" t="n"/>
      <c r="D224" s="95" t="n"/>
      <c r="E224" s="96" t="n"/>
      <c r="F224" s="99" t="n"/>
      <c r="G224" s="95" t="n"/>
      <c r="H224" s="95" t="n"/>
      <c r="I224" s="101">
        <f>IF($B224="","",IF(COUNTIF(Setup!$A$99:$A$128,$B224)&gt;0,IF(INDEX(Setup!$B$99:$B$128,MATCH($B224,Setup!$A$99:$A$128,0))="","Overhead",INDEX(Setup!$B$99:$B$128,MATCH($B224,Setup!$A$99:$A$128,0))),IF(ISNUMBER(SEARCH("advance",$B224))+ISNUMBER(SEARCH("payout",$B224))+ISNUMBER(SEARCH("pay out",$B224))+ISNUMBER(SEARCH("reimburs",$B224))&gt;0,"Transfer",IF(ISNUMBER(SEARCH("loan",$B224))+ISNUMBER(SEARCH("amort",$B224))+ISNUMBER(SEARCH("installment",$B224))+ISNUMBER(SEARCH("instalment",$B224))&gt;0,"Financing",IF(ISNUMBER(SEARCH("draw",$B224))+ISNUMBER(SEARCH("owner",$B224))+ISNUMBER(SEARCH("asset",$B224))+ISNUMBER(SEARCH("capital",$B224))&gt;0,"Other",IF(ISNUMBER(SEARCH("fuel",$B224))+ISNUMBER(SEARCH("diesel",$B224))+ISNUMBER(SEARCH("krudo",$B224))+ISNUMBER(SEARCH("gasolina",$B224))+ISNUMBER(SEARCH("toll",$B224))+ISNUMBER(SEARCH("parking",$B224))+ISNUMBER(SEARCH("repair",$B224))+ISNUMBER(SEARCH("maintenance",$B224))+ISNUMBER(SEARCH("tire",$B224))+ISNUMBER(SEARCH("tyre",$B224))+ISNUMBER(SEARCH("battery",$B224))+ISNUMBER(SEARCH("oil",$B224))+ISNUMBER(SEARCH("filter",$B224))+ISNUMBER(SEARCH("spare",$B224))+ISNUMBER(SEARCH("insurance",$B224))+ISNUMBER(SEARCH("lto",$B224))+ISNUMBER(SEARCH("registration",$B224))+ISNUMBER(SEARCH("emission",$B224))+ISNUMBER(SEARCH("wash",$B224))+ISNUMBER(SEARCH("weigh",$B224))+ISNUMBER(SEARCH("tarp",$B224))&gt;0,"Vehicle",IF(ISNUMBER(SEARCH("rent",$B224))+ISNUMBER(SEARCH("upa",$B224))+ISNUMBER(SEARCH("salary",$B224))+ISNUMBER(SEARCH("sweldo",$B224))+ISNUMBER(SEARCH("wage",$B224))+ISNUMBER(SEARCH("electric",$B224))+ISNUMBER(SEARCH("kuryente",$B224))+ISNUMBER(SEARCH("water",$B224))+ISNUMBER(SEARCH("tubig",$B224))+ISNUMBER(SEARCH("internet",$B224))+ISNUMBER(SEARCH("pldt",$B224))+ISNUMBER(SEARCH("meralco",$B224))+ISNUMBER(SEARCH("supplies",$B224))+ISNUMBER(SEARCH("office",$B224))+ISNUMBER(SEARCH("professional",$B224))+ISNUMBER(SEARCH("accountant",$B224))+ISNUMBER(SEARCH("lawyer",$B224))+ISNUMBER(SEARCH("broker",$B224))+ISNUMBER(SEARCH("bank",$B224))+ISNUMBER(SEARCH("charge",$B224))+ISNUMBER(SEARCH("permit",$B224))+ISNUMBER(SEARCH("bir",$B224))+ISNUMBER(SEARCH("ltfrb",$B224))+ISNUMBER(SEARCH("misc",$B224))+ISNUMBER(SEARCH("fee",$B224))&gt;0,"Overhead","Overhead")))))))</f>
        <v/>
      </c>
      <c r="J224">
        <f>IF($A224="","",DATE(YEAR($A224),MONTH($A224),1))</f>
        <v/>
      </c>
      <c r="K224">
        <f>IF($B224="","",IF(COUNTIF(Setup!$A$99:$A$128,$B224)&gt;0,0,1))</f>
        <v/>
      </c>
      <c r="L224">
        <f>IF($B224="","",IF(ISNUMBER(SEARCH("advance",$B224)),"ADV",IF(OR(ISNUMBER(SEARCH("payout",$B224)),ISNUMBER(SEARCH("pay out",$B224)),ISNUMBER(SEARCH("release",$B224))),"PAY","")))</f>
        <v/>
      </c>
      <c r="M224">
        <f>IF($B224="","",IF(ISNUMBER(SEARCH("bulk",$B224)),0,IF(ISNUMBER(SEARCH("fuel",$B224))+ISNUMBER(SEARCH("diesel",$B224))+ISNUMBER(SEARCH("krudo",$B224))+ISNUMBER(SEARCH("gasolina",$B224))&gt;0,1,0)))</f>
        <v/>
      </c>
      <c r="N224">
        <f>IF($B224="","",IF(ISNUMBER(SEARCH("fuel",$B224))+ISNUMBER(SEARCH("diesel",$B224))+ISNUMBER(SEARCH("krudo",$B224))+ISNUMBER(SEARCH("gasolina",$B224))&gt;0,1,0))</f>
        <v/>
      </c>
    </row>
    <row r="225">
      <c r="A225" s="86" t="n"/>
      <c r="B225" s="88" t="n"/>
      <c r="C225" s="88" t="n"/>
      <c r="D225" s="87" t="n"/>
      <c r="E225" s="88" t="n"/>
      <c r="F225" s="92" t="n"/>
      <c r="G225" s="87" t="n"/>
      <c r="H225" s="87" t="n"/>
      <c r="I225" s="101">
        <f>IF($B225="","",IF(COUNTIF(Setup!$A$99:$A$128,$B225)&gt;0,IF(INDEX(Setup!$B$99:$B$128,MATCH($B225,Setup!$A$99:$A$128,0))="","Overhead",INDEX(Setup!$B$99:$B$128,MATCH($B225,Setup!$A$99:$A$128,0))),IF(ISNUMBER(SEARCH("advance",$B225))+ISNUMBER(SEARCH("payout",$B225))+ISNUMBER(SEARCH("pay out",$B225))+ISNUMBER(SEARCH("reimburs",$B225))&gt;0,"Transfer",IF(ISNUMBER(SEARCH("loan",$B225))+ISNUMBER(SEARCH("amort",$B225))+ISNUMBER(SEARCH("installment",$B225))+ISNUMBER(SEARCH("instalment",$B225))&gt;0,"Financing",IF(ISNUMBER(SEARCH("draw",$B225))+ISNUMBER(SEARCH("owner",$B225))+ISNUMBER(SEARCH("asset",$B225))+ISNUMBER(SEARCH("capital",$B225))&gt;0,"Other",IF(ISNUMBER(SEARCH("fuel",$B225))+ISNUMBER(SEARCH("diesel",$B225))+ISNUMBER(SEARCH("krudo",$B225))+ISNUMBER(SEARCH("gasolina",$B225))+ISNUMBER(SEARCH("toll",$B225))+ISNUMBER(SEARCH("parking",$B225))+ISNUMBER(SEARCH("repair",$B225))+ISNUMBER(SEARCH("maintenance",$B225))+ISNUMBER(SEARCH("tire",$B225))+ISNUMBER(SEARCH("tyre",$B225))+ISNUMBER(SEARCH("battery",$B225))+ISNUMBER(SEARCH("oil",$B225))+ISNUMBER(SEARCH("filter",$B225))+ISNUMBER(SEARCH("spare",$B225))+ISNUMBER(SEARCH("insurance",$B225))+ISNUMBER(SEARCH("lto",$B225))+ISNUMBER(SEARCH("registration",$B225))+ISNUMBER(SEARCH("emission",$B225))+ISNUMBER(SEARCH("wash",$B225))+ISNUMBER(SEARCH("weigh",$B225))+ISNUMBER(SEARCH("tarp",$B225))&gt;0,"Vehicle",IF(ISNUMBER(SEARCH("rent",$B225))+ISNUMBER(SEARCH("upa",$B225))+ISNUMBER(SEARCH("salary",$B225))+ISNUMBER(SEARCH("sweldo",$B225))+ISNUMBER(SEARCH("wage",$B225))+ISNUMBER(SEARCH("electric",$B225))+ISNUMBER(SEARCH("kuryente",$B225))+ISNUMBER(SEARCH("water",$B225))+ISNUMBER(SEARCH("tubig",$B225))+ISNUMBER(SEARCH("internet",$B225))+ISNUMBER(SEARCH("pldt",$B225))+ISNUMBER(SEARCH("meralco",$B225))+ISNUMBER(SEARCH("supplies",$B225))+ISNUMBER(SEARCH("office",$B225))+ISNUMBER(SEARCH("professional",$B225))+ISNUMBER(SEARCH("accountant",$B225))+ISNUMBER(SEARCH("lawyer",$B225))+ISNUMBER(SEARCH("broker",$B225))+ISNUMBER(SEARCH("bank",$B225))+ISNUMBER(SEARCH("charge",$B225))+ISNUMBER(SEARCH("permit",$B225))+ISNUMBER(SEARCH("bir",$B225))+ISNUMBER(SEARCH("ltfrb",$B225))+ISNUMBER(SEARCH("misc",$B225))+ISNUMBER(SEARCH("fee",$B225))&gt;0,"Overhead","Overhead")))))))</f>
        <v/>
      </c>
      <c r="J225">
        <f>IF($A225="","",DATE(YEAR($A225),MONTH($A225),1))</f>
        <v/>
      </c>
      <c r="K225">
        <f>IF($B225="","",IF(COUNTIF(Setup!$A$99:$A$128,$B225)&gt;0,0,1))</f>
        <v/>
      </c>
      <c r="L225">
        <f>IF($B225="","",IF(ISNUMBER(SEARCH("advance",$B225)),"ADV",IF(OR(ISNUMBER(SEARCH("payout",$B225)),ISNUMBER(SEARCH("pay out",$B225)),ISNUMBER(SEARCH("release",$B225))),"PAY","")))</f>
        <v/>
      </c>
      <c r="M225">
        <f>IF($B225="","",IF(ISNUMBER(SEARCH("bulk",$B225)),0,IF(ISNUMBER(SEARCH("fuel",$B225))+ISNUMBER(SEARCH("diesel",$B225))+ISNUMBER(SEARCH("krudo",$B225))+ISNUMBER(SEARCH("gasolina",$B225))&gt;0,1,0)))</f>
        <v/>
      </c>
      <c r="N225">
        <f>IF($B225="","",IF(ISNUMBER(SEARCH("fuel",$B225))+ISNUMBER(SEARCH("diesel",$B225))+ISNUMBER(SEARCH("krudo",$B225))+ISNUMBER(SEARCH("gasolina",$B225))&gt;0,1,0))</f>
        <v/>
      </c>
    </row>
    <row r="226">
      <c r="A226" s="94" t="n"/>
      <c r="B226" s="96" t="n"/>
      <c r="C226" s="96" t="n"/>
      <c r="D226" s="95" t="n"/>
      <c r="E226" s="96" t="n"/>
      <c r="F226" s="99" t="n"/>
      <c r="G226" s="95" t="n"/>
      <c r="H226" s="95" t="n"/>
      <c r="I226" s="101">
        <f>IF($B226="","",IF(COUNTIF(Setup!$A$99:$A$128,$B226)&gt;0,IF(INDEX(Setup!$B$99:$B$128,MATCH($B226,Setup!$A$99:$A$128,0))="","Overhead",INDEX(Setup!$B$99:$B$128,MATCH($B226,Setup!$A$99:$A$128,0))),IF(ISNUMBER(SEARCH("advance",$B226))+ISNUMBER(SEARCH("payout",$B226))+ISNUMBER(SEARCH("pay out",$B226))+ISNUMBER(SEARCH("reimburs",$B226))&gt;0,"Transfer",IF(ISNUMBER(SEARCH("loan",$B226))+ISNUMBER(SEARCH("amort",$B226))+ISNUMBER(SEARCH("installment",$B226))+ISNUMBER(SEARCH("instalment",$B226))&gt;0,"Financing",IF(ISNUMBER(SEARCH("draw",$B226))+ISNUMBER(SEARCH("owner",$B226))+ISNUMBER(SEARCH("asset",$B226))+ISNUMBER(SEARCH("capital",$B226))&gt;0,"Other",IF(ISNUMBER(SEARCH("fuel",$B226))+ISNUMBER(SEARCH("diesel",$B226))+ISNUMBER(SEARCH("krudo",$B226))+ISNUMBER(SEARCH("gasolina",$B226))+ISNUMBER(SEARCH("toll",$B226))+ISNUMBER(SEARCH("parking",$B226))+ISNUMBER(SEARCH("repair",$B226))+ISNUMBER(SEARCH("maintenance",$B226))+ISNUMBER(SEARCH("tire",$B226))+ISNUMBER(SEARCH("tyre",$B226))+ISNUMBER(SEARCH("battery",$B226))+ISNUMBER(SEARCH("oil",$B226))+ISNUMBER(SEARCH("filter",$B226))+ISNUMBER(SEARCH("spare",$B226))+ISNUMBER(SEARCH("insurance",$B226))+ISNUMBER(SEARCH("lto",$B226))+ISNUMBER(SEARCH("registration",$B226))+ISNUMBER(SEARCH("emission",$B226))+ISNUMBER(SEARCH("wash",$B226))+ISNUMBER(SEARCH("weigh",$B226))+ISNUMBER(SEARCH("tarp",$B226))&gt;0,"Vehicle",IF(ISNUMBER(SEARCH("rent",$B226))+ISNUMBER(SEARCH("upa",$B226))+ISNUMBER(SEARCH("salary",$B226))+ISNUMBER(SEARCH("sweldo",$B226))+ISNUMBER(SEARCH("wage",$B226))+ISNUMBER(SEARCH("electric",$B226))+ISNUMBER(SEARCH("kuryente",$B226))+ISNUMBER(SEARCH("water",$B226))+ISNUMBER(SEARCH("tubig",$B226))+ISNUMBER(SEARCH("internet",$B226))+ISNUMBER(SEARCH("pldt",$B226))+ISNUMBER(SEARCH("meralco",$B226))+ISNUMBER(SEARCH("supplies",$B226))+ISNUMBER(SEARCH("office",$B226))+ISNUMBER(SEARCH("professional",$B226))+ISNUMBER(SEARCH("accountant",$B226))+ISNUMBER(SEARCH("lawyer",$B226))+ISNUMBER(SEARCH("broker",$B226))+ISNUMBER(SEARCH("bank",$B226))+ISNUMBER(SEARCH("charge",$B226))+ISNUMBER(SEARCH("permit",$B226))+ISNUMBER(SEARCH("bir",$B226))+ISNUMBER(SEARCH("ltfrb",$B226))+ISNUMBER(SEARCH("misc",$B226))+ISNUMBER(SEARCH("fee",$B226))&gt;0,"Overhead","Overhead")))))))</f>
        <v/>
      </c>
      <c r="J226">
        <f>IF($A226="","",DATE(YEAR($A226),MONTH($A226),1))</f>
        <v/>
      </c>
      <c r="K226">
        <f>IF($B226="","",IF(COUNTIF(Setup!$A$99:$A$128,$B226)&gt;0,0,1))</f>
        <v/>
      </c>
      <c r="L226">
        <f>IF($B226="","",IF(ISNUMBER(SEARCH("advance",$B226)),"ADV",IF(OR(ISNUMBER(SEARCH("payout",$B226)),ISNUMBER(SEARCH("pay out",$B226)),ISNUMBER(SEARCH("release",$B226))),"PAY","")))</f>
        <v/>
      </c>
      <c r="M226">
        <f>IF($B226="","",IF(ISNUMBER(SEARCH("bulk",$B226)),0,IF(ISNUMBER(SEARCH("fuel",$B226))+ISNUMBER(SEARCH("diesel",$B226))+ISNUMBER(SEARCH("krudo",$B226))+ISNUMBER(SEARCH("gasolina",$B226))&gt;0,1,0)))</f>
        <v/>
      </c>
      <c r="N226">
        <f>IF($B226="","",IF(ISNUMBER(SEARCH("fuel",$B226))+ISNUMBER(SEARCH("diesel",$B226))+ISNUMBER(SEARCH("krudo",$B226))+ISNUMBER(SEARCH("gasolina",$B226))&gt;0,1,0))</f>
        <v/>
      </c>
    </row>
    <row r="227">
      <c r="A227" s="86" t="n"/>
      <c r="B227" s="88" t="n"/>
      <c r="C227" s="88" t="n"/>
      <c r="D227" s="87" t="n"/>
      <c r="E227" s="88" t="n"/>
      <c r="F227" s="92" t="n"/>
      <c r="G227" s="87" t="n"/>
      <c r="H227" s="87" t="n"/>
      <c r="I227" s="101">
        <f>IF($B227="","",IF(COUNTIF(Setup!$A$99:$A$128,$B227)&gt;0,IF(INDEX(Setup!$B$99:$B$128,MATCH($B227,Setup!$A$99:$A$128,0))="","Overhead",INDEX(Setup!$B$99:$B$128,MATCH($B227,Setup!$A$99:$A$128,0))),IF(ISNUMBER(SEARCH("advance",$B227))+ISNUMBER(SEARCH("payout",$B227))+ISNUMBER(SEARCH("pay out",$B227))+ISNUMBER(SEARCH("reimburs",$B227))&gt;0,"Transfer",IF(ISNUMBER(SEARCH("loan",$B227))+ISNUMBER(SEARCH("amort",$B227))+ISNUMBER(SEARCH("installment",$B227))+ISNUMBER(SEARCH("instalment",$B227))&gt;0,"Financing",IF(ISNUMBER(SEARCH("draw",$B227))+ISNUMBER(SEARCH("owner",$B227))+ISNUMBER(SEARCH("asset",$B227))+ISNUMBER(SEARCH("capital",$B227))&gt;0,"Other",IF(ISNUMBER(SEARCH("fuel",$B227))+ISNUMBER(SEARCH("diesel",$B227))+ISNUMBER(SEARCH("krudo",$B227))+ISNUMBER(SEARCH("gasolina",$B227))+ISNUMBER(SEARCH("toll",$B227))+ISNUMBER(SEARCH("parking",$B227))+ISNUMBER(SEARCH("repair",$B227))+ISNUMBER(SEARCH("maintenance",$B227))+ISNUMBER(SEARCH("tire",$B227))+ISNUMBER(SEARCH("tyre",$B227))+ISNUMBER(SEARCH("battery",$B227))+ISNUMBER(SEARCH("oil",$B227))+ISNUMBER(SEARCH("filter",$B227))+ISNUMBER(SEARCH("spare",$B227))+ISNUMBER(SEARCH("insurance",$B227))+ISNUMBER(SEARCH("lto",$B227))+ISNUMBER(SEARCH("registration",$B227))+ISNUMBER(SEARCH("emission",$B227))+ISNUMBER(SEARCH("wash",$B227))+ISNUMBER(SEARCH("weigh",$B227))+ISNUMBER(SEARCH("tarp",$B227))&gt;0,"Vehicle",IF(ISNUMBER(SEARCH("rent",$B227))+ISNUMBER(SEARCH("upa",$B227))+ISNUMBER(SEARCH("salary",$B227))+ISNUMBER(SEARCH("sweldo",$B227))+ISNUMBER(SEARCH("wage",$B227))+ISNUMBER(SEARCH("electric",$B227))+ISNUMBER(SEARCH("kuryente",$B227))+ISNUMBER(SEARCH("water",$B227))+ISNUMBER(SEARCH("tubig",$B227))+ISNUMBER(SEARCH("internet",$B227))+ISNUMBER(SEARCH("pldt",$B227))+ISNUMBER(SEARCH("meralco",$B227))+ISNUMBER(SEARCH("supplies",$B227))+ISNUMBER(SEARCH("office",$B227))+ISNUMBER(SEARCH("professional",$B227))+ISNUMBER(SEARCH("accountant",$B227))+ISNUMBER(SEARCH("lawyer",$B227))+ISNUMBER(SEARCH("broker",$B227))+ISNUMBER(SEARCH("bank",$B227))+ISNUMBER(SEARCH("charge",$B227))+ISNUMBER(SEARCH("permit",$B227))+ISNUMBER(SEARCH("bir",$B227))+ISNUMBER(SEARCH("ltfrb",$B227))+ISNUMBER(SEARCH("misc",$B227))+ISNUMBER(SEARCH("fee",$B227))&gt;0,"Overhead","Overhead")))))))</f>
        <v/>
      </c>
      <c r="J227">
        <f>IF($A227="","",DATE(YEAR($A227),MONTH($A227),1))</f>
        <v/>
      </c>
      <c r="K227">
        <f>IF($B227="","",IF(COUNTIF(Setup!$A$99:$A$128,$B227)&gt;0,0,1))</f>
        <v/>
      </c>
      <c r="L227">
        <f>IF($B227="","",IF(ISNUMBER(SEARCH("advance",$B227)),"ADV",IF(OR(ISNUMBER(SEARCH("payout",$B227)),ISNUMBER(SEARCH("pay out",$B227)),ISNUMBER(SEARCH("release",$B227))),"PAY","")))</f>
        <v/>
      </c>
      <c r="M227">
        <f>IF($B227="","",IF(ISNUMBER(SEARCH("bulk",$B227)),0,IF(ISNUMBER(SEARCH("fuel",$B227))+ISNUMBER(SEARCH("diesel",$B227))+ISNUMBER(SEARCH("krudo",$B227))+ISNUMBER(SEARCH("gasolina",$B227))&gt;0,1,0)))</f>
        <v/>
      </c>
      <c r="N227">
        <f>IF($B227="","",IF(ISNUMBER(SEARCH("fuel",$B227))+ISNUMBER(SEARCH("diesel",$B227))+ISNUMBER(SEARCH("krudo",$B227))+ISNUMBER(SEARCH("gasolina",$B227))&gt;0,1,0))</f>
        <v/>
      </c>
    </row>
    <row r="228">
      <c r="A228" s="94" t="n"/>
      <c r="B228" s="96" t="n"/>
      <c r="C228" s="96" t="n"/>
      <c r="D228" s="95" t="n"/>
      <c r="E228" s="96" t="n"/>
      <c r="F228" s="99" t="n"/>
      <c r="G228" s="95" t="n"/>
      <c r="H228" s="95" t="n"/>
      <c r="I228" s="101">
        <f>IF($B228="","",IF(COUNTIF(Setup!$A$99:$A$128,$B228)&gt;0,IF(INDEX(Setup!$B$99:$B$128,MATCH($B228,Setup!$A$99:$A$128,0))="","Overhead",INDEX(Setup!$B$99:$B$128,MATCH($B228,Setup!$A$99:$A$128,0))),IF(ISNUMBER(SEARCH("advance",$B228))+ISNUMBER(SEARCH("payout",$B228))+ISNUMBER(SEARCH("pay out",$B228))+ISNUMBER(SEARCH("reimburs",$B228))&gt;0,"Transfer",IF(ISNUMBER(SEARCH("loan",$B228))+ISNUMBER(SEARCH("amort",$B228))+ISNUMBER(SEARCH("installment",$B228))+ISNUMBER(SEARCH("instalment",$B228))&gt;0,"Financing",IF(ISNUMBER(SEARCH("draw",$B228))+ISNUMBER(SEARCH("owner",$B228))+ISNUMBER(SEARCH("asset",$B228))+ISNUMBER(SEARCH("capital",$B228))&gt;0,"Other",IF(ISNUMBER(SEARCH("fuel",$B228))+ISNUMBER(SEARCH("diesel",$B228))+ISNUMBER(SEARCH("krudo",$B228))+ISNUMBER(SEARCH("gasolina",$B228))+ISNUMBER(SEARCH("toll",$B228))+ISNUMBER(SEARCH("parking",$B228))+ISNUMBER(SEARCH("repair",$B228))+ISNUMBER(SEARCH("maintenance",$B228))+ISNUMBER(SEARCH("tire",$B228))+ISNUMBER(SEARCH("tyre",$B228))+ISNUMBER(SEARCH("battery",$B228))+ISNUMBER(SEARCH("oil",$B228))+ISNUMBER(SEARCH("filter",$B228))+ISNUMBER(SEARCH("spare",$B228))+ISNUMBER(SEARCH("insurance",$B228))+ISNUMBER(SEARCH("lto",$B228))+ISNUMBER(SEARCH("registration",$B228))+ISNUMBER(SEARCH("emission",$B228))+ISNUMBER(SEARCH("wash",$B228))+ISNUMBER(SEARCH("weigh",$B228))+ISNUMBER(SEARCH("tarp",$B228))&gt;0,"Vehicle",IF(ISNUMBER(SEARCH("rent",$B228))+ISNUMBER(SEARCH("upa",$B228))+ISNUMBER(SEARCH("salary",$B228))+ISNUMBER(SEARCH("sweldo",$B228))+ISNUMBER(SEARCH("wage",$B228))+ISNUMBER(SEARCH("electric",$B228))+ISNUMBER(SEARCH("kuryente",$B228))+ISNUMBER(SEARCH("water",$B228))+ISNUMBER(SEARCH("tubig",$B228))+ISNUMBER(SEARCH("internet",$B228))+ISNUMBER(SEARCH("pldt",$B228))+ISNUMBER(SEARCH("meralco",$B228))+ISNUMBER(SEARCH("supplies",$B228))+ISNUMBER(SEARCH("office",$B228))+ISNUMBER(SEARCH("professional",$B228))+ISNUMBER(SEARCH("accountant",$B228))+ISNUMBER(SEARCH("lawyer",$B228))+ISNUMBER(SEARCH("broker",$B228))+ISNUMBER(SEARCH("bank",$B228))+ISNUMBER(SEARCH("charge",$B228))+ISNUMBER(SEARCH("permit",$B228))+ISNUMBER(SEARCH("bir",$B228))+ISNUMBER(SEARCH("ltfrb",$B228))+ISNUMBER(SEARCH("misc",$B228))+ISNUMBER(SEARCH("fee",$B228))&gt;0,"Overhead","Overhead")))))))</f>
        <v/>
      </c>
      <c r="J228">
        <f>IF($A228="","",DATE(YEAR($A228),MONTH($A228),1))</f>
        <v/>
      </c>
      <c r="K228">
        <f>IF($B228="","",IF(COUNTIF(Setup!$A$99:$A$128,$B228)&gt;0,0,1))</f>
        <v/>
      </c>
      <c r="L228">
        <f>IF($B228="","",IF(ISNUMBER(SEARCH("advance",$B228)),"ADV",IF(OR(ISNUMBER(SEARCH("payout",$B228)),ISNUMBER(SEARCH("pay out",$B228)),ISNUMBER(SEARCH("release",$B228))),"PAY","")))</f>
        <v/>
      </c>
      <c r="M228">
        <f>IF($B228="","",IF(ISNUMBER(SEARCH("bulk",$B228)),0,IF(ISNUMBER(SEARCH("fuel",$B228))+ISNUMBER(SEARCH("diesel",$B228))+ISNUMBER(SEARCH("krudo",$B228))+ISNUMBER(SEARCH("gasolina",$B228))&gt;0,1,0)))</f>
        <v/>
      </c>
      <c r="N228">
        <f>IF($B228="","",IF(ISNUMBER(SEARCH("fuel",$B228))+ISNUMBER(SEARCH("diesel",$B228))+ISNUMBER(SEARCH("krudo",$B228))+ISNUMBER(SEARCH("gasolina",$B228))&gt;0,1,0))</f>
        <v/>
      </c>
    </row>
    <row r="229">
      <c r="A229" s="86" t="n"/>
      <c r="B229" s="88" t="n"/>
      <c r="C229" s="88" t="n"/>
      <c r="D229" s="87" t="n"/>
      <c r="E229" s="88" t="n"/>
      <c r="F229" s="92" t="n"/>
      <c r="G229" s="87" t="n"/>
      <c r="H229" s="87" t="n"/>
      <c r="I229" s="101">
        <f>IF($B229="","",IF(COUNTIF(Setup!$A$99:$A$128,$B229)&gt;0,IF(INDEX(Setup!$B$99:$B$128,MATCH($B229,Setup!$A$99:$A$128,0))="","Overhead",INDEX(Setup!$B$99:$B$128,MATCH($B229,Setup!$A$99:$A$128,0))),IF(ISNUMBER(SEARCH("advance",$B229))+ISNUMBER(SEARCH("payout",$B229))+ISNUMBER(SEARCH("pay out",$B229))+ISNUMBER(SEARCH("reimburs",$B229))&gt;0,"Transfer",IF(ISNUMBER(SEARCH("loan",$B229))+ISNUMBER(SEARCH("amort",$B229))+ISNUMBER(SEARCH("installment",$B229))+ISNUMBER(SEARCH("instalment",$B229))&gt;0,"Financing",IF(ISNUMBER(SEARCH("draw",$B229))+ISNUMBER(SEARCH("owner",$B229))+ISNUMBER(SEARCH("asset",$B229))+ISNUMBER(SEARCH("capital",$B229))&gt;0,"Other",IF(ISNUMBER(SEARCH("fuel",$B229))+ISNUMBER(SEARCH("diesel",$B229))+ISNUMBER(SEARCH("krudo",$B229))+ISNUMBER(SEARCH("gasolina",$B229))+ISNUMBER(SEARCH("toll",$B229))+ISNUMBER(SEARCH("parking",$B229))+ISNUMBER(SEARCH("repair",$B229))+ISNUMBER(SEARCH("maintenance",$B229))+ISNUMBER(SEARCH("tire",$B229))+ISNUMBER(SEARCH("tyre",$B229))+ISNUMBER(SEARCH("battery",$B229))+ISNUMBER(SEARCH("oil",$B229))+ISNUMBER(SEARCH("filter",$B229))+ISNUMBER(SEARCH("spare",$B229))+ISNUMBER(SEARCH("insurance",$B229))+ISNUMBER(SEARCH("lto",$B229))+ISNUMBER(SEARCH("registration",$B229))+ISNUMBER(SEARCH("emission",$B229))+ISNUMBER(SEARCH("wash",$B229))+ISNUMBER(SEARCH("weigh",$B229))+ISNUMBER(SEARCH("tarp",$B229))&gt;0,"Vehicle",IF(ISNUMBER(SEARCH("rent",$B229))+ISNUMBER(SEARCH("upa",$B229))+ISNUMBER(SEARCH("salary",$B229))+ISNUMBER(SEARCH("sweldo",$B229))+ISNUMBER(SEARCH("wage",$B229))+ISNUMBER(SEARCH("electric",$B229))+ISNUMBER(SEARCH("kuryente",$B229))+ISNUMBER(SEARCH("water",$B229))+ISNUMBER(SEARCH("tubig",$B229))+ISNUMBER(SEARCH("internet",$B229))+ISNUMBER(SEARCH("pldt",$B229))+ISNUMBER(SEARCH("meralco",$B229))+ISNUMBER(SEARCH("supplies",$B229))+ISNUMBER(SEARCH("office",$B229))+ISNUMBER(SEARCH("professional",$B229))+ISNUMBER(SEARCH("accountant",$B229))+ISNUMBER(SEARCH("lawyer",$B229))+ISNUMBER(SEARCH("broker",$B229))+ISNUMBER(SEARCH("bank",$B229))+ISNUMBER(SEARCH("charge",$B229))+ISNUMBER(SEARCH("permit",$B229))+ISNUMBER(SEARCH("bir",$B229))+ISNUMBER(SEARCH("ltfrb",$B229))+ISNUMBER(SEARCH("misc",$B229))+ISNUMBER(SEARCH("fee",$B229))&gt;0,"Overhead","Overhead")))))))</f>
        <v/>
      </c>
      <c r="J229">
        <f>IF($A229="","",DATE(YEAR($A229),MONTH($A229),1))</f>
        <v/>
      </c>
      <c r="K229">
        <f>IF($B229="","",IF(COUNTIF(Setup!$A$99:$A$128,$B229)&gt;0,0,1))</f>
        <v/>
      </c>
      <c r="L229">
        <f>IF($B229="","",IF(ISNUMBER(SEARCH("advance",$B229)),"ADV",IF(OR(ISNUMBER(SEARCH("payout",$B229)),ISNUMBER(SEARCH("pay out",$B229)),ISNUMBER(SEARCH("release",$B229))),"PAY","")))</f>
        <v/>
      </c>
      <c r="M229">
        <f>IF($B229="","",IF(ISNUMBER(SEARCH("bulk",$B229)),0,IF(ISNUMBER(SEARCH("fuel",$B229))+ISNUMBER(SEARCH("diesel",$B229))+ISNUMBER(SEARCH("krudo",$B229))+ISNUMBER(SEARCH("gasolina",$B229))&gt;0,1,0)))</f>
        <v/>
      </c>
      <c r="N229">
        <f>IF($B229="","",IF(ISNUMBER(SEARCH("fuel",$B229))+ISNUMBER(SEARCH("diesel",$B229))+ISNUMBER(SEARCH("krudo",$B229))+ISNUMBER(SEARCH("gasolina",$B229))&gt;0,1,0))</f>
        <v/>
      </c>
    </row>
    <row r="230">
      <c r="A230" s="94" t="n"/>
      <c r="B230" s="96" t="n"/>
      <c r="C230" s="96" t="n"/>
      <c r="D230" s="95" t="n"/>
      <c r="E230" s="96" t="n"/>
      <c r="F230" s="99" t="n"/>
      <c r="G230" s="95" t="n"/>
      <c r="H230" s="95" t="n"/>
      <c r="I230" s="101">
        <f>IF($B230="","",IF(COUNTIF(Setup!$A$99:$A$128,$B230)&gt;0,IF(INDEX(Setup!$B$99:$B$128,MATCH($B230,Setup!$A$99:$A$128,0))="","Overhead",INDEX(Setup!$B$99:$B$128,MATCH($B230,Setup!$A$99:$A$128,0))),IF(ISNUMBER(SEARCH("advance",$B230))+ISNUMBER(SEARCH("payout",$B230))+ISNUMBER(SEARCH("pay out",$B230))+ISNUMBER(SEARCH("reimburs",$B230))&gt;0,"Transfer",IF(ISNUMBER(SEARCH("loan",$B230))+ISNUMBER(SEARCH("amort",$B230))+ISNUMBER(SEARCH("installment",$B230))+ISNUMBER(SEARCH("instalment",$B230))&gt;0,"Financing",IF(ISNUMBER(SEARCH("draw",$B230))+ISNUMBER(SEARCH("owner",$B230))+ISNUMBER(SEARCH("asset",$B230))+ISNUMBER(SEARCH("capital",$B230))&gt;0,"Other",IF(ISNUMBER(SEARCH("fuel",$B230))+ISNUMBER(SEARCH("diesel",$B230))+ISNUMBER(SEARCH("krudo",$B230))+ISNUMBER(SEARCH("gasolina",$B230))+ISNUMBER(SEARCH("toll",$B230))+ISNUMBER(SEARCH("parking",$B230))+ISNUMBER(SEARCH("repair",$B230))+ISNUMBER(SEARCH("maintenance",$B230))+ISNUMBER(SEARCH("tire",$B230))+ISNUMBER(SEARCH("tyre",$B230))+ISNUMBER(SEARCH("battery",$B230))+ISNUMBER(SEARCH("oil",$B230))+ISNUMBER(SEARCH("filter",$B230))+ISNUMBER(SEARCH("spare",$B230))+ISNUMBER(SEARCH("insurance",$B230))+ISNUMBER(SEARCH("lto",$B230))+ISNUMBER(SEARCH("registration",$B230))+ISNUMBER(SEARCH("emission",$B230))+ISNUMBER(SEARCH("wash",$B230))+ISNUMBER(SEARCH("weigh",$B230))+ISNUMBER(SEARCH("tarp",$B230))&gt;0,"Vehicle",IF(ISNUMBER(SEARCH("rent",$B230))+ISNUMBER(SEARCH("upa",$B230))+ISNUMBER(SEARCH("salary",$B230))+ISNUMBER(SEARCH("sweldo",$B230))+ISNUMBER(SEARCH("wage",$B230))+ISNUMBER(SEARCH("electric",$B230))+ISNUMBER(SEARCH("kuryente",$B230))+ISNUMBER(SEARCH("water",$B230))+ISNUMBER(SEARCH("tubig",$B230))+ISNUMBER(SEARCH("internet",$B230))+ISNUMBER(SEARCH("pldt",$B230))+ISNUMBER(SEARCH("meralco",$B230))+ISNUMBER(SEARCH("supplies",$B230))+ISNUMBER(SEARCH("office",$B230))+ISNUMBER(SEARCH("professional",$B230))+ISNUMBER(SEARCH("accountant",$B230))+ISNUMBER(SEARCH("lawyer",$B230))+ISNUMBER(SEARCH("broker",$B230))+ISNUMBER(SEARCH("bank",$B230))+ISNUMBER(SEARCH("charge",$B230))+ISNUMBER(SEARCH("permit",$B230))+ISNUMBER(SEARCH("bir",$B230))+ISNUMBER(SEARCH("ltfrb",$B230))+ISNUMBER(SEARCH("misc",$B230))+ISNUMBER(SEARCH("fee",$B230))&gt;0,"Overhead","Overhead")))))))</f>
        <v/>
      </c>
      <c r="J230">
        <f>IF($A230="","",DATE(YEAR($A230),MONTH($A230),1))</f>
        <v/>
      </c>
      <c r="K230">
        <f>IF($B230="","",IF(COUNTIF(Setup!$A$99:$A$128,$B230)&gt;0,0,1))</f>
        <v/>
      </c>
      <c r="L230">
        <f>IF($B230="","",IF(ISNUMBER(SEARCH("advance",$B230)),"ADV",IF(OR(ISNUMBER(SEARCH("payout",$B230)),ISNUMBER(SEARCH("pay out",$B230)),ISNUMBER(SEARCH("release",$B230))),"PAY","")))</f>
        <v/>
      </c>
      <c r="M230">
        <f>IF($B230="","",IF(ISNUMBER(SEARCH("bulk",$B230)),0,IF(ISNUMBER(SEARCH("fuel",$B230))+ISNUMBER(SEARCH("diesel",$B230))+ISNUMBER(SEARCH("krudo",$B230))+ISNUMBER(SEARCH("gasolina",$B230))&gt;0,1,0)))</f>
        <v/>
      </c>
      <c r="N230">
        <f>IF($B230="","",IF(ISNUMBER(SEARCH("fuel",$B230))+ISNUMBER(SEARCH("diesel",$B230))+ISNUMBER(SEARCH("krudo",$B230))+ISNUMBER(SEARCH("gasolina",$B230))&gt;0,1,0))</f>
        <v/>
      </c>
    </row>
    <row r="231">
      <c r="A231" s="86" t="n"/>
      <c r="B231" s="88" t="n"/>
      <c r="C231" s="88" t="n"/>
      <c r="D231" s="87" t="n"/>
      <c r="E231" s="88" t="n"/>
      <c r="F231" s="92" t="n"/>
      <c r="G231" s="87" t="n"/>
      <c r="H231" s="87" t="n"/>
      <c r="I231" s="101">
        <f>IF($B231="","",IF(COUNTIF(Setup!$A$99:$A$128,$B231)&gt;0,IF(INDEX(Setup!$B$99:$B$128,MATCH($B231,Setup!$A$99:$A$128,0))="","Overhead",INDEX(Setup!$B$99:$B$128,MATCH($B231,Setup!$A$99:$A$128,0))),IF(ISNUMBER(SEARCH("advance",$B231))+ISNUMBER(SEARCH("payout",$B231))+ISNUMBER(SEARCH("pay out",$B231))+ISNUMBER(SEARCH("reimburs",$B231))&gt;0,"Transfer",IF(ISNUMBER(SEARCH("loan",$B231))+ISNUMBER(SEARCH("amort",$B231))+ISNUMBER(SEARCH("installment",$B231))+ISNUMBER(SEARCH("instalment",$B231))&gt;0,"Financing",IF(ISNUMBER(SEARCH("draw",$B231))+ISNUMBER(SEARCH("owner",$B231))+ISNUMBER(SEARCH("asset",$B231))+ISNUMBER(SEARCH("capital",$B231))&gt;0,"Other",IF(ISNUMBER(SEARCH("fuel",$B231))+ISNUMBER(SEARCH("diesel",$B231))+ISNUMBER(SEARCH("krudo",$B231))+ISNUMBER(SEARCH("gasolina",$B231))+ISNUMBER(SEARCH("toll",$B231))+ISNUMBER(SEARCH("parking",$B231))+ISNUMBER(SEARCH("repair",$B231))+ISNUMBER(SEARCH("maintenance",$B231))+ISNUMBER(SEARCH("tire",$B231))+ISNUMBER(SEARCH("tyre",$B231))+ISNUMBER(SEARCH("battery",$B231))+ISNUMBER(SEARCH("oil",$B231))+ISNUMBER(SEARCH("filter",$B231))+ISNUMBER(SEARCH("spare",$B231))+ISNUMBER(SEARCH("insurance",$B231))+ISNUMBER(SEARCH("lto",$B231))+ISNUMBER(SEARCH("registration",$B231))+ISNUMBER(SEARCH("emission",$B231))+ISNUMBER(SEARCH("wash",$B231))+ISNUMBER(SEARCH("weigh",$B231))+ISNUMBER(SEARCH("tarp",$B231))&gt;0,"Vehicle",IF(ISNUMBER(SEARCH("rent",$B231))+ISNUMBER(SEARCH("upa",$B231))+ISNUMBER(SEARCH("salary",$B231))+ISNUMBER(SEARCH("sweldo",$B231))+ISNUMBER(SEARCH("wage",$B231))+ISNUMBER(SEARCH("electric",$B231))+ISNUMBER(SEARCH("kuryente",$B231))+ISNUMBER(SEARCH("water",$B231))+ISNUMBER(SEARCH("tubig",$B231))+ISNUMBER(SEARCH("internet",$B231))+ISNUMBER(SEARCH("pldt",$B231))+ISNUMBER(SEARCH("meralco",$B231))+ISNUMBER(SEARCH("supplies",$B231))+ISNUMBER(SEARCH("office",$B231))+ISNUMBER(SEARCH("professional",$B231))+ISNUMBER(SEARCH("accountant",$B231))+ISNUMBER(SEARCH("lawyer",$B231))+ISNUMBER(SEARCH("broker",$B231))+ISNUMBER(SEARCH("bank",$B231))+ISNUMBER(SEARCH("charge",$B231))+ISNUMBER(SEARCH("permit",$B231))+ISNUMBER(SEARCH("bir",$B231))+ISNUMBER(SEARCH("ltfrb",$B231))+ISNUMBER(SEARCH("misc",$B231))+ISNUMBER(SEARCH("fee",$B231))&gt;0,"Overhead","Overhead")))))))</f>
        <v/>
      </c>
      <c r="J231">
        <f>IF($A231="","",DATE(YEAR($A231),MONTH($A231),1))</f>
        <v/>
      </c>
      <c r="K231">
        <f>IF($B231="","",IF(COUNTIF(Setup!$A$99:$A$128,$B231)&gt;0,0,1))</f>
        <v/>
      </c>
      <c r="L231">
        <f>IF($B231="","",IF(ISNUMBER(SEARCH("advance",$B231)),"ADV",IF(OR(ISNUMBER(SEARCH("payout",$B231)),ISNUMBER(SEARCH("pay out",$B231)),ISNUMBER(SEARCH("release",$B231))),"PAY","")))</f>
        <v/>
      </c>
      <c r="M231">
        <f>IF($B231="","",IF(ISNUMBER(SEARCH("bulk",$B231)),0,IF(ISNUMBER(SEARCH("fuel",$B231))+ISNUMBER(SEARCH("diesel",$B231))+ISNUMBER(SEARCH("krudo",$B231))+ISNUMBER(SEARCH("gasolina",$B231))&gt;0,1,0)))</f>
        <v/>
      </c>
      <c r="N231">
        <f>IF($B231="","",IF(ISNUMBER(SEARCH("fuel",$B231))+ISNUMBER(SEARCH("diesel",$B231))+ISNUMBER(SEARCH("krudo",$B231))+ISNUMBER(SEARCH("gasolina",$B231))&gt;0,1,0))</f>
        <v/>
      </c>
    </row>
    <row r="232">
      <c r="A232" s="94" t="n"/>
      <c r="B232" s="96" t="n"/>
      <c r="C232" s="96" t="n"/>
      <c r="D232" s="95" t="n"/>
      <c r="E232" s="96" t="n"/>
      <c r="F232" s="99" t="n"/>
      <c r="G232" s="95" t="n"/>
      <c r="H232" s="95" t="n"/>
      <c r="I232" s="101">
        <f>IF($B232="","",IF(COUNTIF(Setup!$A$99:$A$128,$B232)&gt;0,IF(INDEX(Setup!$B$99:$B$128,MATCH($B232,Setup!$A$99:$A$128,0))="","Overhead",INDEX(Setup!$B$99:$B$128,MATCH($B232,Setup!$A$99:$A$128,0))),IF(ISNUMBER(SEARCH("advance",$B232))+ISNUMBER(SEARCH("payout",$B232))+ISNUMBER(SEARCH("pay out",$B232))+ISNUMBER(SEARCH("reimburs",$B232))&gt;0,"Transfer",IF(ISNUMBER(SEARCH("loan",$B232))+ISNUMBER(SEARCH("amort",$B232))+ISNUMBER(SEARCH("installment",$B232))+ISNUMBER(SEARCH("instalment",$B232))&gt;0,"Financing",IF(ISNUMBER(SEARCH("draw",$B232))+ISNUMBER(SEARCH("owner",$B232))+ISNUMBER(SEARCH("asset",$B232))+ISNUMBER(SEARCH("capital",$B232))&gt;0,"Other",IF(ISNUMBER(SEARCH("fuel",$B232))+ISNUMBER(SEARCH("diesel",$B232))+ISNUMBER(SEARCH("krudo",$B232))+ISNUMBER(SEARCH("gasolina",$B232))+ISNUMBER(SEARCH("toll",$B232))+ISNUMBER(SEARCH("parking",$B232))+ISNUMBER(SEARCH("repair",$B232))+ISNUMBER(SEARCH("maintenance",$B232))+ISNUMBER(SEARCH("tire",$B232))+ISNUMBER(SEARCH("tyre",$B232))+ISNUMBER(SEARCH("battery",$B232))+ISNUMBER(SEARCH("oil",$B232))+ISNUMBER(SEARCH("filter",$B232))+ISNUMBER(SEARCH("spare",$B232))+ISNUMBER(SEARCH("insurance",$B232))+ISNUMBER(SEARCH("lto",$B232))+ISNUMBER(SEARCH("registration",$B232))+ISNUMBER(SEARCH("emission",$B232))+ISNUMBER(SEARCH("wash",$B232))+ISNUMBER(SEARCH("weigh",$B232))+ISNUMBER(SEARCH("tarp",$B232))&gt;0,"Vehicle",IF(ISNUMBER(SEARCH("rent",$B232))+ISNUMBER(SEARCH("upa",$B232))+ISNUMBER(SEARCH("salary",$B232))+ISNUMBER(SEARCH("sweldo",$B232))+ISNUMBER(SEARCH("wage",$B232))+ISNUMBER(SEARCH("electric",$B232))+ISNUMBER(SEARCH("kuryente",$B232))+ISNUMBER(SEARCH("water",$B232))+ISNUMBER(SEARCH("tubig",$B232))+ISNUMBER(SEARCH("internet",$B232))+ISNUMBER(SEARCH("pldt",$B232))+ISNUMBER(SEARCH("meralco",$B232))+ISNUMBER(SEARCH("supplies",$B232))+ISNUMBER(SEARCH("office",$B232))+ISNUMBER(SEARCH("professional",$B232))+ISNUMBER(SEARCH("accountant",$B232))+ISNUMBER(SEARCH("lawyer",$B232))+ISNUMBER(SEARCH("broker",$B232))+ISNUMBER(SEARCH("bank",$B232))+ISNUMBER(SEARCH("charge",$B232))+ISNUMBER(SEARCH("permit",$B232))+ISNUMBER(SEARCH("bir",$B232))+ISNUMBER(SEARCH("ltfrb",$B232))+ISNUMBER(SEARCH("misc",$B232))+ISNUMBER(SEARCH("fee",$B232))&gt;0,"Overhead","Overhead")))))))</f>
        <v/>
      </c>
      <c r="J232">
        <f>IF($A232="","",DATE(YEAR($A232),MONTH($A232),1))</f>
        <v/>
      </c>
      <c r="K232">
        <f>IF($B232="","",IF(COUNTIF(Setup!$A$99:$A$128,$B232)&gt;0,0,1))</f>
        <v/>
      </c>
      <c r="L232">
        <f>IF($B232="","",IF(ISNUMBER(SEARCH("advance",$B232)),"ADV",IF(OR(ISNUMBER(SEARCH("payout",$B232)),ISNUMBER(SEARCH("pay out",$B232)),ISNUMBER(SEARCH("release",$B232))),"PAY","")))</f>
        <v/>
      </c>
      <c r="M232">
        <f>IF($B232="","",IF(ISNUMBER(SEARCH("bulk",$B232)),0,IF(ISNUMBER(SEARCH("fuel",$B232))+ISNUMBER(SEARCH("diesel",$B232))+ISNUMBER(SEARCH("krudo",$B232))+ISNUMBER(SEARCH("gasolina",$B232))&gt;0,1,0)))</f>
        <v/>
      </c>
      <c r="N232">
        <f>IF($B232="","",IF(ISNUMBER(SEARCH("fuel",$B232))+ISNUMBER(SEARCH("diesel",$B232))+ISNUMBER(SEARCH("krudo",$B232))+ISNUMBER(SEARCH("gasolina",$B232))&gt;0,1,0))</f>
        <v/>
      </c>
    </row>
    <row r="233">
      <c r="A233" s="86" t="n"/>
      <c r="B233" s="88" t="n"/>
      <c r="C233" s="88" t="n"/>
      <c r="D233" s="87" t="n"/>
      <c r="E233" s="88" t="n"/>
      <c r="F233" s="92" t="n"/>
      <c r="G233" s="87" t="n"/>
      <c r="H233" s="87" t="n"/>
      <c r="I233" s="101">
        <f>IF($B233="","",IF(COUNTIF(Setup!$A$99:$A$128,$B233)&gt;0,IF(INDEX(Setup!$B$99:$B$128,MATCH($B233,Setup!$A$99:$A$128,0))="","Overhead",INDEX(Setup!$B$99:$B$128,MATCH($B233,Setup!$A$99:$A$128,0))),IF(ISNUMBER(SEARCH("advance",$B233))+ISNUMBER(SEARCH("payout",$B233))+ISNUMBER(SEARCH("pay out",$B233))+ISNUMBER(SEARCH("reimburs",$B233))&gt;0,"Transfer",IF(ISNUMBER(SEARCH("loan",$B233))+ISNUMBER(SEARCH("amort",$B233))+ISNUMBER(SEARCH("installment",$B233))+ISNUMBER(SEARCH("instalment",$B233))&gt;0,"Financing",IF(ISNUMBER(SEARCH("draw",$B233))+ISNUMBER(SEARCH("owner",$B233))+ISNUMBER(SEARCH("asset",$B233))+ISNUMBER(SEARCH("capital",$B233))&gt;0,"Other",IF(ISNUMBER(SEARCH("fuel",$B233))+ISNUMBER(SEARCH("diesel",$B233))+ISNUMBER(SEARCH("krudo",$B233))+ISNUMBER(SEARCH("gasolina",$B233))+ISNUMBER(SEARCH("toll",$B233))+ISNUMBER(SEARCH("parking",$B233))+ISNUMBER(SEARCH("repair",$B233))+ISNUMBER(SEARCH("maintenance",$B233))+ISNUMBER(SEARCH("tire",$B233))+ISNUMBER(SEARCH("tyre",$B233))+ISNUMBER(SEARCH("battery",$B233))+ISNUMBER(SEARCH("oil",$B233))+ISNUMBER(SEARCH("filter",$B233))+ISNUMBER(SEARCH("spare",$B233))+ISNUMBER(SEARCH("insurance",$B233))+ISNUMBER(SEARCH("lto",$B233))+ISNUMBER(SEARCH("registration",$B233))+ISNUMBER(SEARCH("emission",$B233))+ISNUMBER(SEARCH("wash",$B233))+ISNUMBER(SEARCH("weigh",$B233))+ISNUMBER(SEARCH("tarp",$B233))&gt;0,"Vehicle",IF(ISNUMBER(SEARCH("rent",$B233))+ISNUMBER(SEARCH("upa",$B233))+ISNUMBER(SEARCH("salary",$B233))+ISNUMBER(SEARCH("sweldo",$B233))+ISNUMBER(SEARCH("wage",$B233))+ISNUMBER(SEARCH("electric",$B233))+ISNUMBER(SEARCH("kuryente",$B233))+ISNUMBER(SEARCH("water",$B233))+ISNUMBER(SEARCH("tubig",$B233))+ISNUMBER(SEARCH("internet",$B233))+ISNUMBER(SEARCH("pldt",$B233))+ISNUMBER(SEARCH("meralco",$B233))+ISNUMBER(SEARCH("supplies",$B233))+ISNUMBER(SEARCH("office",$B233))+ISNUMBER(SEARCH("professional",$B233))+ISNUMBER(SEARCH("accountant",$B233))+ISNUMBER(SEARCH("lawyer",$B233))+ISNUMBER(SEARCH("broker",$B233))+ISNUMBER(SEARCH("bank",$B233))+ISNUMBER(SEARCH("charge",$B233))+ISNUMBER(SEARCH("permit",$B233))+ISNUMBER(SEARCH("bir",$B233))+ISNUMBER(SEARCH("ltfrb",$B233))+ISNUMBER(SEARCH("misc",$B233))+ISNUMBER(SEARCH("fee",$B233))&gt;0,"Overhead","Overhead")))))))</f>
        <v/>
      </c>
      <c r="J233">
        <f>IF($A233="","",DATE(YEAR($A233),MONTH($A233),1))</f>
        <v/>
      </c>
      <c r="K233">
        <f>IF($B233="","",IF(COUNTIF(Setup!$A$99:$A$128,$B233)&gt;0,0,1))</f>
        <v/>
      </c>
      <c r="L233">
        <f>IF($B233="","",IF(ISNUMBER(SEARCH("advance",$B233)),"ADV",IF(OR(ISNUMBER(SEARCH("payout",$B233)),ISNUMBER(SEARCH("pay out",$B233)),ISNUMBER(SEARCH("release",$B233))),"PAY","")))</f>
        <v/>
      </c>
      <c r="M233">
        <f>IF($B233="","",IF(ISNUMBER(SEARCH("bulk",$B233)),0,IF(ISNUMBER(SEARCH("fuel",$B233))+ISNUMBER(SEARCH("diesel",$B233))+ISNUMBER(SEARCH("krudo",$B233))+ISNUMBER(SEARCH("gasolina",$B233))&gt;0,1,0)))</f>
        <v/>
      </c>
      <c r="N233">
        <f>IF($B233="","",IF(ISNUMBER(SEARCH("fuel",$B233))+ISNUMBER(SEARCH("diesel",$B233))+ISNUMBER(SEARCH("krudo",$B233))+ISNUMBER(SEARCH("gasolina",$B233))&gt;0,1,0))</f>
        <v/>
      </c>
    </row>
    <row r="234">
      <c r="A234" s="94" t="n"/>
      <c r="B234" s="96" t="n"/>
      <c r="C234" s="96" t="n"/>
      <c r="D234" s="95" t="n"/>
      <c r="E234" s="96" t="n"/>
      <c r="F234" s="99" t="n"/>
      <c r="G234" s="95" t="n"/>
      <c r="H234" s="95" t="n"/>
      <c r="I234" s="101">
        <f>IF($B234="","",IF(COUNTIF(Setup!$A$99:$A$128,$B234)&gt;0,IF(INDEX(Setup!$B$99:$B$128,MATCH($B234,Setup!$A$99:$A$128,0))="","Overhead",INDEX(Setup!$B$99:$B$128,MATCH($B234,Setup!$A$99:$A$128,0))),IF(ISNUMBER(SEARCH("advance",$B234))+ISNUMBER(SEARCH("payout",$B234))+ISNUMBER(SEARCH("pay out",$B234))+ISNUMBER(SEARCH("reimburs",$B234))&gt;0,"Transfer",IF(ISNUMBER(SEARCH("loan",$B234))+ISNUMBER(SEARCH("amort",$B234))+ISNUMBER(SEARCH("installment",$B234))+ISNUMBER(SEARCH("instalment",$B234))&gt;0,"Financing",IF(ISNUMBER(SEARCH("draw",$B234))+ISNUMBER(SEARCH("owner",$B234))+ISNUMBER(SEARCH("asset",$B234))+ISNUMBER(SEARCH("capital",$B234))&gt;0,"Other",IF(ISNUMBER(SEARCH("fuel",$B234))+ISNUMBER(SEARCH("diesel",$B234))+ISNUMBER(SEARCH("krudo",$B234))+ISNUMBER(SEARCH("gasolina",$B234))+ISNUMBER(SEARCH("toll",$B234))+ISNUMBER(SEARCH("parking",$B234))+ISNUMBER(SEARCH("repair",$B234))+ISNUMBER(SEARCH("maintenance",$B234))+ISNUMBER(SEARCH("tire",$B234))+ISNUMBER(SEARCH("tyre",$B234))+ISNUMBER(SEARCH("battery",$B234))+ISNUMBER(SEARCH("oil",$B234))+ISNUMBER(SEARCH("filter",$B234))+ISNUMBER(SEARCH("spare",$B234))+ISNUMBER(SEARCH("insurance",$B234))+ISNUMBER(SEARCH("lto",$B234))+ISNUMBER(SEARCH("registration",$B234))+ISNUMBER(SEARCH("emission",$B234))+ISNUMBER(SEARCH("wash",$B234))+ISNUMBER(SEARCH("weigh",$B234))+ISNUMBER(SEARCH("tarp",$B234))&gt;0,"Vehicle",IF(ISNUMBER(SEARCH("rent",$B234))+ISNUMBER(SEARCH("upa",$B234))+ISNUMBER(SEARCH("salary",$B234))+ISNUMBER(SEARCH("sweldo",$B234))+ISNUMBER(SEARCH("wage",$B234))+ISNUMBER(SEARCH("electric",$B234))+ISNUMBER(SEARCH("kuryente",$B234))+ISNUMBER(SEARCH("water",$B234))+ISNUMBER(SEARCH("tubig",$B234))+ISNUMBER(SEARCH("internet",$B234))+ISNUMBER(SEARCH("pldt",$B234))+ISNUMBER(SEARCH("meralco",$B234))+ISNUMBER(SEARCH("supplies",$B234))+ISNUMBER(SEARCH("office",$B234))+ISNUMBER(SEARCH("professional",$B234))+ISNUMBER(SEARCH("accountant",$B234))+ISNUMBER(SEARCH("lawyer",$B234))+ISNUMBER(SEARCH("broker",$B234))+ISNUMBER(SEARCH("bank",$B234))+ISNUMBER(SEARCH("charge",$B234))+ISNUMBER(SEARCH("permit",$B234))+ISNUMBER(SEARCH("bir",$B234))+ISNUMBER(SEARCH("ltfrb",$B234))+ISNUMBER(SEARCH("misc",$B234))+ISNUMBER(SEARCH("fee",$B234))&gt;0,"Overhead","Overhead")))))))</f>
        <v/>
      </c>
      <c r="J234">
        <f>IF($A234="","",DATE(YEAR($A234),MONTH($A234),1))</f>
        <v/>
      </c>
      <c r="K234">
        <f>IF($B234="","",IF(COUNTIF(Setup!$A$99:$A$128,$B234)&gt;0,0,1))</f>
        <v/>
      </c>
      <c r="L234">
        <f>IF($B234="","",IF(ISNUMBER(SEARCH("advance",$B234)),"ADV",IF(OR(ISNUMBER(SEARCH("payout",$B234)),ISNUMBER(SEARCH("pay out",$B234)),ISNUMBER(SEARCH("release",$B234))),"PAY","")))</f>
        <v/>
      </c>
      <c r="M234">
        <f>IF($B234="","",IF(ISNUMBER(SEARCH("bulk",$B234)),0,IF(ISNUMBER(SEARCH("fuel",$B234))+ISNUMBER(SEARCH("diesel",$B234))+ISNUMBER(SEARCH("krudo",$B234))+ISNUMBER(SEARCH("gasolina",$B234))&gt;0,1,0)))</f>
        <v/>
      </c>
      <c r="N234">
        <f>IF($B234="","",IF(ISNUMBER(SEARCH("fuel",$B234))+ISNUMBER(SEARCH("diesel",$B234))+ISNUMBER(SEARCH("krudo",$B234))+ISNUMBER(SEARCH("gasolina",$B234))&gt;0,1,0))</f>
        <v/>
      </c>
    </row>
    <row r="235">
      <c r="A235" s="86" t="n"/>
      <c r="B235" s="88" t="n"/>
      <c r="C235" s="88" t="n"/>
      <c r="D235" s="87" t="n"/>
      <c r="E235" s="88" t="n"/>
      <c r="F235" s="92" t="n"/>
      <c r="G235" s="87" t="n"/>
      <c r="H235" s="87" t="n"/>
      <c r="I235" s="101">
        <f>IF($B235="","",IF(COUNTIF(Setup!$A$99:$A$128,$B235)&gt;0,IF(INDEX(Setup!$B$99:$B$128,MATCH($B235,Setup!$A$99:$A$128,0))="","Overhead",INDEX(Setup!$B$99:$B$128,MATCH($B235,Setup!$A$99:$A$128,0))),IF(ISNUMBER(SEARCH("advance",$B235))+ISNUMBER(SEARCH("payout",$B235))+ISNUMBER(SEARCH("pay out",$B235))+ISNUMBER(SEARCH("reimburs",$B235))&gt;0,"Transfer",IF(ISNUMBER(SEARCH("loan",$B235))+ISNUMBER(SEARCH("amort",$B235))+ISNUMBER(SEARCH("installment",$B235))+ISNUMBER(SEARCH("instalment",$B235))&gt;0,"Financing",IF(ISNUMBER(SEARCH("draw",$B235))+ISNUMBER(SEARCH("owner",$B235))+ISNUMBER(SEARCH("asset",$B235))+ISNUMBER(SEARCH("capital",$B235))&gt;0,"Other",IF(ISNUMBER(SEARCH("fuel",$B235))+ISNUMBER(SEARCH("diesel",$B235))+ISNUMBER(SEARCH("krudo",$B235))+ISNUMBER(SEARCH("gasolina",$B235))+ISNUMBER(SEARCH("toll",$B235))+ISNUMBER(SEARCH("parking",$B235))+ISNUMBER(SEARCH("repair",$B235))+ISNUMBER(SEARCH("maintenance",$B235))+ISNUMBER(SEARCH("tire",$B235))+ISNUMBER(SEARCH("tyre",$B235))+ISNUMBER(SEARCH("battery",$B235))+ISNUMBER(SEARCH("oil",$B235))+ISNUMBER(SEARCH("filter",$B235))+ISNUMBER(SEARCH("spare",$B235))+ISNUMBER(SEARCH("insurance",$B235))+ISNUMBER(SEARCH("lto",$B235))+ISNUMBER(SEARCH("registration",$B235))+ISNUMBER(SEARCH("emission",$B235))+ISNUMBER(SEARCH("wash",$B235))+ISNUMBER(SEARCH("weigh",$B235))+ISNUMBER(SEARCH("tarp",$B235))&gt;0,"Vehicle",IF(ISNUMBER(SEARCH("rent",$B235))+ISNUMBER(SEARCH("upa",$B235))+ISNUMBER(SEARCH("salary",$B235))+ISNUMBER(SEARCH("sweldo",$B235))+ISNUMBER(SEARCH("wage",$B235))+ISNUMBER(SEARCH("electric",$B235))+ISNUMBER(SEARCH("kuryente",$B235))+ISNUMBER(SEARCH("water",$B235))+ISNUMBER(SEARCH("tubig",$B235))+ISNUMBER(SEARCH("internet",$B235))+ISNUMBER(SEARCH("pldt",$B235))+ISNUMBER(SEARCH("meralco",$B235))+ISNUMBER(SEARCH("supplies",$B235))+ISNUMBER(SEARCH("office",$B235))+ISNUMBER(SEARCH("professional",$B235))+ISNUMBER(SEARCH("accountant",$B235))+ISNUMBER(SEARCH("lawyer",$B235))+ISNUMBER(SEARCH("broker",$B235))+ISNUMBER(SEARCH("bank",$B235))+ISNUMBER(SEARCH("charge",$B235))+ISNUMBER(SEARCH("permit",$B235))+ISNUMBER(SEARCH("bir",$B235))+ISNUMBER(SEARCH("ltfrb",$B235))+ISNUMBER(SEARCH("misc",$B235))+ISNUMBER(SEARCH("fee",$B235))&gt;0,"Overhead","Overhead")))))))</f>
        <v/>
      </c>
      <c r="J235">
        <f>IF($A235="","",DATE(YEAR($A235),MONTH($A235),1))</f>
        <v/>
      </c>
      <c r="K235">
        <f>IF($B235="","",IF(COUNTIF(Setup!$A$99:$A$128,$B235)&gt;0,0,1))</f>
        <v/>
      </c>
      <c r="L235">
        <f>IF($B235="","",IF(ISNUMBER(SEARCH("advance",$B235)),"ADV",IF(OR(ISNUMBER(SEARCH("payout",$B235)),ISNUMBER(SEARCH("pay out",$B235)),ISNUMBER(SEARCH("release",$B235))),"PAY","")))</f>
        <v/>
      </c>
      <c r="M235">
        <f>IF($B235="","",IF(ISNUMBER(SEARCH("bulk",$B235)),0,IF(ISNUMBER(SEARCH("fuel",$B235))+ISNUMBER(SEARCH("diesel",$B235))+ISNUMBER(SEARCH("krudo",$B235))+ISNUMBER(SEARCH("gasolina",$B235))&gt;0,1,0)))</f>
        <v/>
      </c>
      <c r="N235">
        <f>IF($B235="","",IF(ISNUMBER(SEARCH("fuel",$B235))+ISNUMBER(SEARCH("diesel",$B235))+ISNUMBER(SEARCH("krudo",$B235))+ISNUMBER(SEARCH("gasolina",$B235))&gt;0,1,0))</f>
        <v/>
      </c>
    </row>
    <row r="236">
      <c r="A236" s="94" t="n"/>
      <c r="B236" s="96" t="n"/>
      <c r="C236" s="96" t="n"/>
      <c r="D236" s="95" t="n"/>
      <c r="E236" s="96" t="n"/>
      <c r="F236" s="99" t="n"/>
      <c r="G236" s="95" t="n"/>
      <c r="H236" s="95" t="n"/>
      <c r="I236" s="101">
        <f>IF($B236="","",IF(COUNTIF(Setup!$A$99:$A$128,$B236)&gt;0,IF(INDEX(Setup!$B$99:$B$128,MATCH($B236,Setup!$A$99:$A$128,0))="","Overhead",INDEX(Setup!$B$99:$B$128,MATCH($B236,Setup!$A$99:$A$128,0))),IF(ISNUMBER(SEARCH("advance",$B236))+ISNUMBER(SEARCH("payout",$B236))+ISNUMBER(SEARCH("pay out",$B236))+ISNUMBER(SEARCH("reimburs",$B236))&gt;0,"Transfer",IF(ISNUMBER(SEARCH("loan",$B236))+ISNUMBER(SEARCH("amort",$B236))+ISNUMBER(SEARCH("installment",$B236))+ISNUMBER(SEARCH("instalment",$B236))&gt;0,"Financing",IF(ISNUMBER(SEARCH("draw",$B236))+ISNUMBER(SEARCH("owner",$B236))+ISNUMBER(SEARCH("asset",$B236))+ISNUMBER(SEARCH("capital",$B236))&gt;0,"Other",IF(ISNUMBER(SEARCH("fuel",$B236))+ISNUMBER(SEARCH("diesel",$B236))+ISNUMBER(SEARCH("krudo",$B236))+ISNUMBER(SEARCH("gasolina",$B236))+ISNUMBER(SEARCH("toll",$B236))+ISNUMBER(SEARCH("parking",$B236))+ISNUMBER(SEARCH("repair",$B236))+ISNUMBER(SEARCH("maintenance",$B236))+ISNUMBER(SEARCH("tire",$B236))+ISNUMBER(SEARCH("tyre",$B236))+ISNUMBER(SEARCH("battery",$B236))+ISNUMBER(SEARCH("oil",$B236))+ISNUMBER(SEARCH("filter",$B236))+ISNUMBER(SEARCH("spare",$B236))+ISNUMBER(SEARCH("insurance",$B236))+ISNUMBER(SEARCH("lto",$B236))+ISNUMBER(SEARCH("registration",$B236))+ISNUMBER(SEARCH("emission",$B236))+ISNUMBER(SEARCH("wash",$B236))+ISNUMBER(SEARCH("weigh",$B236))+ISNUMBER(SEARCH("tarp",$B236))&gt;0,"Vehicle",IF(ISNUMBER(SEARCH("rent",$B236))+ISNUMBER(SEARCH("upa",$B236))+ISNUMBER(SEARCH("salary",$B236))+ISNUMBER(SEARCH("sweldo",$B236))+ISNUMBER(SEARCH("wage",$B236))+ISNUMBER(SEARCH("electric",$B236))+ISNUMBER(SEARCH("kuryente",$B236))+ISNUMBER(SEARCH("water",$B236))+ISNUMBER(SEARCH("tubig",$B236))+ISNUMBER(SEARCH("internet",$B236))+ISNUMBER(SEARCH("pldt",$B236))+ISNUMBER(SEARCH("meralco",$B236))+ISNUMBER(SEARCH("supplies",$B236))+ISNUMBER(SEARCH("office",$B236))+ISNUMBER(SEARCH("professional",$B236))+ISNUMBER(SEARCH("accountant",$B236))+ISNUMBER(SEARCH("lawyer",$B236))+ISNUMBER(SEARCH("broker",$B236))+ISNUMBER(SEARCH("bank",$B236))+ISNUMBER(SEARCH("charge",$B236))+ISNUMBER(SEARCH("permit",$B236))+ISNUMBER(SEARCH("bir",$B236))+ISNUMBER(SEARCH("ltfrb",$B236))+ISNUMBER(SEARCH("misc",$B236))+ISNUMBER(SEARCH("fee",$B236))&gt;0,"Overhead","Overhead")))))))</f>
        <v/>
      </c>
      <c r="J236">
        <f>IF($A236="","",DATE(YEAR($A236),MONTH($A236),1))</f>
        <v/>
      </c>
      <c r="K236">
        <f>IF($B236="","",IF(COUNTIF(Setup!$A$99:$A$128,$B236)&gt;0,0,1))</f>
        <v/>
      </c>
      <c r="L236">
        <f>IF($B236="","",IF(ISNUMBER(SEARCH("advance",$B236)),"ADV",IF(OR(ISNUMBER(SEARCH("payout",$B236)),ISNUMBER(SEARCH("pay out",$B236)),ISNUMBER(SEARCH("release",$B236))),"PAY","")))</f>
        <v/>
      </c>
      <c r="M236">
        <f>IF($B236="","",IF(ISNUMBER(SEARCH("bulk",$B236)),0,IF(ISNUMBER(SEARCH("fuel",$B236))+ISNUMBER(SEARCH("diesel",$B236))+ISNUMBER(SEARCH("krudo",$B236))+ISNUMBER(SEARCH("gasolina",$B236))&gt;0,1,0)))</f>
        <v/>
      </c>
      <c r="N236">
        <f>IF($B236="","",IF(ISNUMBER(SEARCH("fuel",$B236))+ISNUMBER(SEARCH("diesel",$B236))+ISNUMBER(SEARCH("krudo",$B236))+ISNUMBER(SEARCH("gasolina",$B236))&gt;0,1,0))</f>
        <v/>
      </c>
    </row>
    <row r="237">
      <c r="A237" s="86" t="n"/>
      <c r="B237" s="88" t="n"/>
      <c r="C237" s="88" t="n"/>
      <c r="D237" s="87" t="n"/>
      <c r="E237" s="88" t="n"/>
      <c r="F237" s="92" t="n"/>
      <c r="G237" s="87" t="n"/>
      <c r="H237" s="87" t="n"/>
      <c r="I237" s="101">
        <f>IF($B237="","",IF(COUNTIF(Setup!$A$99:$A$128,$B237)&gt;0,IF(INDEX(Setup!$B$99:$B$128,MATCH($B237,Setup!$A$99:$A$128,0))="","Overhead",INDEX(Setup!$B$99:$B$128,MATCH($B237,Setup!$A$99:$A$128,0))),IF(ISNUMBER(SEARCH("advance",$B237))+ISNUMBER(SEARCH("payout",$B237))+ISNUMBER(SEARCH("pay out",$B237))+ISNUMBER(SEARCH("reimburs",$B237))&gt;0,"Transfer",IF(ISNUMBER(SEARCH("loan",$B237))+ISNUMBER(SEARCH("amort",$B237))+ISNUMBER(SEARCH("installment",$B237))+ISNUMBER(SEARCH("instalment",$B237))&gt;0,"Financing",IF(ISNUMBER(SEARCH("draw",$B237))+ISNUMBER(SEARCH("owner",$B237))+ISNUMBER(SEARCH("asset",$B237))+ISNUMBER(SEARCH("capital",$B237))&gt;0,"Other",IF(ISNUMBER(SEARCH("fuel",$B237))+ISNUMBER(SEARCH("diesel",$B237))+ISNUMBER(SEARCH("krudo",$B237))+ISNUMBER(SEARCH("gasolina",$B237))+ISNUMBER(SEARCH("toll",$B237))+ISNUMBER(SEARCH("parking",$B237))+ISNUMBER(SEARCH("repair",$B237))+ISNUMBER(SEARCH("maintenance",$B237))+ISNUMBER(SEARCH("tire",$B237))+ISNUMBER(SEARCH("tyre",$B237))+ISNUMBER(SEARCH("battery",$B237))+ISNUMBER(SEARCH("oil",$B237))+ISNUMBER(SEARCH("filter",$B237))+ISNUMBER(SEARCH("spare",$B237))+ISNUMBER(SEARCH("insurance",$B237))+ISNUMBER(SEARCH("lto",$B237))+ISNUMBER(SEARCH("registration",$B237))+ISNUMBER(SEARCH("emission",$B237))+ISNUMBER(SEARCH("wash",$B237))+ISNUMBER(SEARCH("weigh",$B237))+ISNUMBER(SEARCH("tarp",$B237))&gt;0,"Vehicle",IF(ISNUMBER(SEARCH("rent",$B237))+ISNUMBER(SEARCH("upa",$B237))+ISNUMBER(SEARCH("salary",$B237))+ISNUMBER(SEARCH("sweldo",$B237))+ISNUMBER(SEARCH("wage",$B237))+ISNUMBER(SEARCH("electric",$B237))+ISNUMBER(SEARCH("kuryente",$B237))+ISNUMBER(SEARCH("water",$B237))+ISNUMBER(SEARCH("tubig",$B237))+ISNUMBER(SEARCH("internet",$B237))+ISNUMBER(SEARCH("pldt",$B237))+ISNUMBER(SEARCH("meralco",$B237))+ISNUMBER(SEARCH("supplies",$B237))+ISNUMBER(SEARCH("office",$B237))+ISNUMBER(SEARCH("professional",$B237))+ISNUMBER(SEARCH("accountant",$B237))+ISNUMBER(SEARCH("lawyer",$B237))+ISNUMBER(SEARCH("broker",$B237))+ISNUMBER(SEARCH("bank",$B237))+ISNUMBER(SEARCH("charge",$B237))+ISNUMBER(SEARCH("permit",$B237))+ISNUMBER(SEARCH("bir",$B237))+ISNUMBER(SEARCH("ltfrb",$B237))+ISNUMBER(SEARCH("misc",$B237))+ISNUMBER(SEARCH("fee",$B237))&gt;0,"Overhead","Overhead")))))))</f>
        <v/>
      </c>
      <c r="J237">
        <f>IF($A237="","",DATE(YEAR($A237),MONTH($A237),1))</f>
        <v/>
      </c>
      <c r="K237">
        <f>IF($B237="","",IF(COUNTIF(Setup!$A$99:$A$128,$B237)&gt;0,0,1))</f>
        <v/>
      </c>
      <c r="L237">
        <f>IF($B237="","",IF(ISNUMBER(SEARCH("advance",$B237)),"ADV",IF(OR(ISNUMBER(SEARCH("payout",$B237)),ISNUMBER(SEARCH("pay out",$B237)),ISNUMBER(SEARCH("release",$B237))),"PAY","")))</f>
        <v/>
      </c>
      <c r="M237">
        <f>IF($B237="","",IF(ISNUMBER(SEARCH("bulk",$B237)),0,IF(ISNUMBER(SEARCH("fuel",$B237))+ISNUMBER(SEARCH("diesel",$B237))+ISNUMBER(SEARCH("krudo",$B237))+ISNUMBER(SEARCH("gasolina",$B237))&gt;0,1,0)))</f>
        <v/>
      </c>
      <c r="N237">
        <f>IF($B237="","",IF(ISNUMBER(SEARCH("fuel",$B237))+ISNUMBER(SEARCH("diesel",$B237))+ISNUMBER(SEARCH("krudo",$B237))+ISNUMBER(SEARCH("gasolina",$B237))&gt;0,1,0))</f>
        <v/>
      </c>
    </row>
    <row r="238">
      <c r="A238" s="94" t="n"/>
      <c r="B238" s="96" t="n"/>
      <c r="C238" s="96" t="n"/>
      <c r="D238" s="95" t="n"/>
      <c r="E238" s="96" t="n"/>
      <c r="F238" s="99" t="n"/>
      <c r="G238" s="95" t="n"/>
      <c r="H238" s="95" t="n"/>
      <c r="I238" s="101">
        <f>IF($B238="","",IF(COUNTIF(Setup!$A$99:$A$128,$B238)&gt;0,IF(INDEX(Setup!$B$99:$B$128,MATCH($B238,Setup!$A$99:$A$128,0))="","Overhead",INDEX(Setup!$B$99:$B$128,MATCH($B238,Setup!$A$99:$A$128,0))),IF(ISNUMBER(SEARCH("advance",$B238))+ISNUMBER(SEARCH("payout",$B238))+ISNUMBER(SEARCH("pay out",$B238))+ISNUMBER(SEARCH("reimburs",$B238))&gt;0,"Transfer",IF(ISNUMBER(SEARCH("loan",$B238))+ISNUMBER(SEARCH("amort",$B238))+ISNUMBER(SEARCH("installment",$B238))+ISNUMBER(SEARCH("instalment",$B238))&gt;0,"Financing",IF(ISNUMBER(SEARCH("draw",$B238))+ISNUMBER(SEARCH("owner",$B238))+ISNUMBER(SEARCH("asset",$B238))+ISNUMBER(SEARCH("capital",$B238))&gt;0,"Other",IF(ISNUMBER(SEARCH("fuel",$B238))+ISNUMBER(SEARCH("diesel",$B238))+ISNUMBER(SEARCH("krudo",$B238))+ISNUMBER(SEARCH("gasolina",$B238))+ISNUMBER(SEARCH("toll",$B238))+ISNUMBER(SEARCH("parking",$B238))+ISNUMBER(SEARCH("repair",$B238))+ISNUMBER(SEARCH("maintenance",$B238))+ISNUMBER(SEARCH("tire",$B238))+ISNUMBER(SEARCH("tyre",$B238))+ISNUMBER(SEARCH("battery",$B238))+ISNUMBER(SEARCH("oil",$B238))+ISNUMBER(SEARCH("filter",$B238))+ISNUMBER(SEARCH("spare",$B238))+ISNUMBER(SEARCH("insurance",$B238))+ISNUMBER(SEARCH("lto",$B238))+ISNUMBER(SEARCH("registration",$B238))+ISNUMBER(SEARCH("emission",$B238))+ISNUMBER(SEARCH("wash",$B238))+ISNUMBER(SEARCH("weigh",$B238))+ISNUMBER(SEARCH("tarp",$B238))&gt;0,"Vehicle",IF(ISNUMBER(SEARCH("rent",$B238))+ISNUMBER(SEARCH("upa",$B238))+ISNUMBER(SEARCH("salary",$B238))+ISNUMBER(SEARCH("sweldo",$B238))+ISNUMBER(SEARCH("wage",$B238))+ISNUMBER(SEARCH("electric",$B238))+ISNUMBER(SEARCH("kuryente",$B238))+ISNUMBER(SEARCH("water",$B238))+ISNUMBER(SEARCH("tubig",$B238))+ISNUMBER(SEARCH("internet",$B238))+ISNUMBER(SEARCH("pldt",$B238))+ISNUMBER(SEARCH("meralco",$B238))+ISNUMBER(SEARCH("supplies",$B238))+ISNUMBER(SEARCH("office",$B238))+ISNUMBER(SEARCH("professional",$B238))+ISNUMBER(SEARCH("accountant",$B238))+ISNUMBER(SEARCH("lawyer",$B238))+ISNUMBER(SEARCH("broker",$B238))+ISNUMBER(SEARCH("bank",$B238))+ISNUMBER(SEARCH("charge",$B238))+ISNUMBER(SEARCH("permit",$B238))+ISNUMBER(SEARCH("bir",$B238))+ISNUMBER(SEARCH("ltfrb",$B238))+ISNUMBER(SEARCH("misc",$B238))+ISNUMBER(SEARCH("fee",$B238))&gt;0,"Overhead","Overhead")))))))</f>
        <v/>
      </c>
      <c r="J238">
        <f>IF($A238="","",DATE(YEAR($A238),MONTH($A238),1))</f>
        <v/>
      </c>
      <c r="K238">
        <f>IF($B238="","",IF(COUNTIF(Setup!$A$99:$A$128,$B238)&gt;0,0,1))</f>
        <v/>
      </c>
      <c r="L238">
        <f>IF($B238="","",IF(ISNUMBER(SEARCH("advance",$B238)),"ADV",IF(OR(ISNUMBER(SEARCH("payout",$B238)),ISNUMBER(SEARCH("pay out",$B238)),ISNUMBER(SEARCH("release",$B238))),"PAY","")))</f>
        <v/>
      </c>
      <c r="M238">
        <f>IF($B238="","",IF(ISNUMBER(SEARCH("bulk",$B238)),0,IF(ISNUMBER(SEARCH("fuel",$B238))+ISNUMBER(SEARCH("diesel",$B238))+ISNUMBER(SEARCH("krudo",$B238))+ISNUMBER(SEARCH("gasolina",$B238))&gt;0,1,0)))</f>
        <v/>
      </c>
      <c r="N238">
        <f>IF($B238="","",IF(ISNUMBER(SEARCH("fuel",$B238))+ISNUMBER(SEARCH("diesel",$B238))+ISNUMBER(SEARCH("krudo",$B238))+ISNUMBER(SEARCH("gasolina",$B238))&gt;0,1,0))</f>
        <v/>
      </c>
    </row>
    <row r="239">
      <c r="A239" s="86" t="n"/>
      <c r="B239" s="88" t="n"/>
      <c r="C239" s="88" t="n"/>
      <c r="D239" s="87" t="n"/>
      <c r="E239" s="88" t="n"/>
      <c r="F239" s="92" t="n"/>
      <c r="G239" s="87" t="n"/>
      <c r="H239" s="87" t="n"/>
      <c r="I239" s="101">
        <f>IF($B239="","",IF(COUNTIF(Setup!$A$99:$A$128,$B239)&gt;0,IF(INDEX(Setup!$B$99:$B$128,MATCH($B239,Setup!$A$99:$A$128,0))="","Overhead",INDEX(Setup!$B$99:$B$128,MATCH($B239,Setup!$A$99:$A$128,0))),IF(ISNUMBER(SEARCH("advance",$B239))+ISNUMBER(SEARCH("payout",$B239))+ISNUMBER(SEARCH("pay out",$B239))+ISNUMBER(SEARCH("reimburs",$B239))&gt;0,"Transfer",IF(ISNUMBER(SEARCH("loan",$B239))+ISNUMBER(SEARCH("amort",$B239))+ISNUMBER(SEARCH("installment",$B239))+ISNUMBER(SEARCH("instalment",$B239))&gt;0,"Financing",IF(ISNUMBER(SEARCH("draw",$B239))+ISNUMBER(SEARCH("owner",$B239))+ISNUMBER(SEARCH("asset",$B239))+ISNUMBER(SEARCH("capital",$B239))&gt;0,"Other",IF(ISNUMBER(SEARCH("fuel",$B239))+ISNUMBER(SEARCH("diesel",$B239))+ISNUMBER(SEARCH("krudo",$B239))+ISNUMBER(SEARCH("gasolina",$B239))+ISNUMBER(SEARCH("toll",$B239))+ISNUMBER(SEARCH("parking",$B239))+ISNUMBER(SEARCH("repair",$B239))+ISNUMBER(SEARCH("maintenance",$B239))+ISNUMBER(SEARCH("tire",$B239))+ISNUMBER(SEARCH("tyre",$B239))+ISNUMBER(SEARCH("battery",$B239))+ISNUMBER(SEARCH("oil",$B239))+ISNUMBER(SEARCH("filter",$B239))+ISNUMBER(SEARCH("spare",$B239))+ISNUMBER(SEARCH("insurance",$B239))+ISNUMBER(SEARCH("lto",$B239))+ISNUMBER(SEARCH("registration",$B239))+ISNUMBER(SEARCH("emission",$B239))+ISNUMBER(SEARCH("wash",$B239))+ISNUMBER(SEARCH("weigh",$B239))+ISNUMBER(SEARCH("tarp",$B239))&gt;0,"Vehicle",IF(ISNUMBER(SEARCH("rent",$B239))+ISNUMBER(SEARCH("upa",$B239))+ISNUMBER(SEARCH("salary",$B239))+ISNUMBER(SEARCH("sweldo",$B239))+ISNUMBER(SEARCH("wage",$B239))+ISNUMBER(SEARCH("electric",$B239))+ISNUMBER(SEARCH("kuryente",$B239))+ISNUMBER(SEARCH("water",$B239))+ISNUMBER(SEARCH("tubig",$B239))+ISNUMBER(SEARCH("internet",$B239))+ISNUMBER(SEARCH("pldt",$B239))+ISNUMBER(SEARCH("meralco",$B239))+ISNUMBER(SEARCH("supplies",$B239))+ISNUMBER(SEARCH("office",$B239))+ISNUMBER(SEARCH("professional",$B239))+ISNUMBER(SEARCH("accountant",$B239))+ISNUMBER(SEARCH("lawyer",$B239))+ISNUMBER(SEARCH("broker",$B239))+ISNUMBER(SEARCH("bank",$B239))+ISNUMBER(SEARCH("charge",$B239))+ISNUMBER(SEARCH("permit",$B239))+ISNUMBER(SEARCH("bir",$B239))+ISNUMBER(SEARCH("ltfrb",$B239))+ISNUMBER(SEARCH("misc",$B239))+ISNUMBER(SEARCH("fee",$B239))&gt;0,"Overhead","Overhead")))))))</f>
        <v/>
      </c>
      <c r="J239">
        <f>IF($A239="","",DATE(YEAR($A239),MONTH($A239),1))</f>
        <v/>
      </c>
      <c r="K239">
        <f>IF($B239="","",IF(COUNTIF(Setup!$A$99:$A$128,$B239)&gt;0,0,1))</f>
        <v/>
      </c>
      <c r="L239">
        <f>IF($B239="","",IF(ISNUMBER(SEARCH("advance",$B239)),"ADV",IF(OR(ISNUMBER(SEARCH("payout",$B239)),ISNUMBER(SEARCH("pay out",$B239)),ISNUMBER(SEARCH("release",$B239))),"PAY","")))</f>
        <v/>
      </c>
      <c r="M239">
        <f>IF($B239="","",IF(ISNUMBER(SEARCH("bulk",$B239)),0,IF(ISNUMBER(SEARCH("fuel",$B239))+ISNUMBER(SEARCH("diesel",$B239))+ISNUMBER(SEARCH("krudo",$B239))+ISNUMBER(SEARCH("gasolina",$B239))&gt;0,1,0)))</f>
        <v/>
      </c>
      <c r="N239">
        <f>IF($B239="","",IF(ISNUMBER(SEARCH("fuel",$B239))+ISNUMBER(SEARCH("diesel",$B239))+ISNUMBER(SEARCH("krudo",$B239))+ISNUMBER(SEARCH("gasolina",$B239))&gt;0,1,0))</f>
        <v/>
      </c>
    </row>
    <row r="240">
      <c r="A240" s="94" t="n"/>
      <c r="B240" s="96" t="n"/>
      <c r="C240" s="96" t="n"/>
      <c r="D240" s="95" t="n"/>
      <c r="E240" s="96" t="n"/>
      <c r="F240" s="99" t="n"/>
      <c r="G240" s="95" t="n"/>
      <c r="H240" s="95" t="n"/>
      <c r="I240" s="101">
        <f>IF($B240="","",IF(COUNTIF(Setup!$A$99:$A$128,$B240)&gt;0,IF(INDEX(Setup!$B$99:$B$128,MATCH($B240,Setup!$A$99:$A$128,0))="","Overhead",INDEX(Setup!$B$99:$B$128,MATCH($B240,Setup!$A$99:$A$128,0))),IF(ISNUMBER(SEARCH("advance",$B240))+ISNUMBER(SEARCH("payout",$B240))+ISNUMBER(SEARCH("pay out",$B240))+ISNUMBER(SEARCH("reimburs",$B240))&gt;0,"Transfer",IF(ISNUMBER(SEARCH("loan",$B240))+ISNUMBER(SEARCH("amort",$B240))+ISNUMBER(SEARCH("installment",$B240))+ISNUMBER(SEARCH("instalment",$B240))&gt;0,"Financing",IF(ISNUMBER(SEARCH("draw",$B240))+ISNUMBER(SEARCH("owner",$B240))+ISNUMBER(SEARCH("asset",$B240))+ISNUMBER(SEARCH("capital",$B240))&gt;0,"Other",IF(ISNUMBER(SEARCH("fuel",$B240))+ISNUMBER(SEARCH("diesel",$B240))+ISNUMBER(SEARCH("krudo",$B240))+ISNUMBER(SEARCH("gasolina",$B240))+ISNUMBER(SEARCH("toll",$B240))+ISNUMBER(SEARCH("parking",$B240))+ISNUMBER(SEARCH("repair",$B240))+ISNUMBER(SEARCH("maintenance",$B240))+ISNUMBER(SEARCH("tire",$B240))+ISNUMBER(SEARCH("tyre",$B240))+ISNUMBER(SEARCH("battery",$B240))+ISNUMBER(SEARCH("oil",$B240))+ISNUMBER(SEARCH("filter",$B240))+ISNUMBER(SEARCH("spare",$B240))+ISNUMBER(SEARCH("insurance",$B240))+ISNUMBER(SEARCH("lto",$B240))+ISNUMBER(SEARCH("registration",$B240))+ISNUMBER(SEARCH("emission",$B240))+ISNUMBER(SEARCH("wash",$B240))+ISNUMBER(SEARCH("weigh",$B240))+ISNUMBER(SEARCH("tarp",$B240))&gt;0,"Vehicle",IF(ISNUMBER(SEARCH("rent",$B240))+ISNUMBER(SEARCH("upa",$B240))+ISNUMBER(SEARCH("salary",$B240))+ISNUMBER(SEARCH("sweldo",$B240))+ISNUMBER(SEARCH("wage",$B240))+ISNUMBER(SEARCH("electric",$B240))+ISNUMBER(SEARCH("kuryente",$B240))+ISNUMBER(SEARCH("water",$B240))+ISNUMBER(SEARCH("tubig",$B240))+ISNUMBER(SEARCH("internet",$B240))+ISNUMBER(SEARCH("pldt",$B240))+ISNUMBER(SEARCH("meralco",$B240))+ISNUMBER(SEARCH("supplies",$B240))+ISNUMBER(SEARCH("office",$B240))+ISNUMBER(SEARCH("professional",$B240))+ISNUMBER(SEARCH("accountant",$B240))+ISNUMBER(SEARCH("lawyer",$B240))+ISNUMBER(SEARCH("broker",$B240))+ISNUMBER(SEARCH("bank",$B240))+ISNUMBER(SEARCH("charge",$B240))+ISNUMBER(SEARCH("permit",$B240))+ISNUMBER(SEARCH("bir",$B240))+ISNUMBER(SEARCH("ltfrb",$B240))+ISNUMBER(SEARCH("misc",$B240))+ISNUMBER(SEARCH("fee",$B240))&gt;0,"Overhead","Overhead")))))))</f>
        <v/>
      </c>
      <c r="J240">
        <f>IF($A240="","",DATE(YEAR($A240),MONTH($A240),1))</f>
        <v/>
      </c>
      <c r="K240">
        <f>IF($B240="","",IF(COUNTIF(Setup!$A$99:$A$128,$B240)&gt;0,0,1))</f>
        <v/>
      </c>
      <c r="L240">
        <f>IF($B240="","",IF(ISNUMBER(SEARCH("advance",$B240)),"ADV",IF(OR(ISNUMBER(SEARCH("payout",$B240)),ISNUMBER(SEARCH("pay out",$B240)),ISNUMBER(SEARCH("release",$B240))),"PAY","")))</f>
        <v/>
      </c>
      <c r="M240">
        <f>IF($B240="","",IF(ISNUMBER(SEARCH("bulk",$B240)),0,IF(ISNUMBER(SEARCH("fuel",$B240))+ISNUMBER(SEARCH("diesel",$B240))+ISNUMBER(SEARCH("krudo",$B240))+ISNUMBER(SEARCH("gasolina",$B240))&gt;0,1,0)))</f>
        <v/>
      </c>
      <c r="N240">
        <f>IF($B240="","",IF(ISNUMBER(SEARCH("fuel",$B240))+ISNUMBER(SEARCH("diesel",$B240))+ISNUMBER(SEARCH("krudo",$B240))+ISNUMBER(SEARCH("gasolina",$B240))&gt;0,1,0))</f>
        <v/>
      </c>
    </row>
    <row r="241">
      <c r="A241" s="86" t="n"/>
      <c r="B241" s="88" t="n"/>
      <c r="C241" s="88" t="n"/>
      <c r="D241" s="87" t="n"/>
      <c r="E241" s="88" t="n"/>
      <c r="F241" s="92" t="n"/>
      <c r="G241" s="87" t="n"/>
      <c r="H241" s="87" t="n"/>
      <c r="I241" s="101">
        <f>IF($B241="","",IF(COUNTIF(Setup!$A$99:$A$128,$B241)&gt;0,IF(INDEX(Setup!$B$99:$B$128,MATCH($B241,Setup!$A$99:$A$128,0))="","Overhead",INDEX(Setup!$B$99:$B$128,MATCH($B241,Setup!$A$99:$A$128,0))),IF(ISNUMBER(SEARCH("advance",$B241))+ISNUMBER(SEARCH("payout",$B241))+ISNUMBER(SEARCH("pay out",$B241))+ISNUMBER(SEARCH("reimburs",$B241))&gt;0,"Transfer",IF(ISNUMBER(SEARCH("loan",$B241))+ISNUMBER(SEARCH("amort",$B241))+ISNUMBER(SEARCH("installment",$B241))+ISNUMBER(SEARCH("instalment",$B241))&gt;0,"Financing",IF(ISNUMBER(SEARCH("draw",$B241))+ISNUMBER(SEARCH("owner",$B241))+ISNUMBER(SEARCH("asset",$B241))+ISNUMBER(SEARCH("capital",$B241))&gt;0,"Other",IF(ISNUMBER(SEARCH("fuel",$B241))+ISNUMBER(SEARCH("diesel",$B241))+ISNUMBER(SEARCH("krudo",$B241))+ISNUMBER(SEARCH("gasolina",$B241))+ISNUMBER(SEARCH("toll",$B241))+ISNUMBER(SEARCH("parking",$B241))+ISNUMBER(SEARCH("repair",$B241))+ISNUMBER(SEARCH("maintenance",$B241))+ISNUMBER(SEARCH("tire",$B241))+ISNUMBER(SEARCH("tyre",$B241))+ISNUMBER(SEARCH("battery",$B241))+ISNUMBER(SEARCH("oil",$B241))+ISNUMBER(SEARCH("filter",$B241))+ISNUMBER(SEARCH("spare",$B241))+ISNUMBER(SEARCH("insurance",$B241))+ISNUMBER(SEARCH("lto",$B241))+ISNUMBER(SEARCH("registration",$B241))+ISNUMBER(SEARCH("emission",$B241))+ISNUMBER(SEARCH("wash",$B241))+ISNUMBER(SEARCH("weigh",$B241))+ISNUMBER(SEARCH("tarp",$B241))&gt;0,"Vehicle",IF(ISNUMBER(SEARCH("rent",$B241))+ISNUMBER(SEARCH("upa",$B241))+ISNUMBER(SEARCH("salary",$B241))+ISNUMBER(SEARCH("sweldo",$B241))+ISNUMBER(SEARCH("wage",$B241))+ISNUMBER(SEARCH("electric",$B241))+ISNUMBER(SEARCH("kuryente",$B241))+ISNUMBER(SEARCH("water",$B241))+ISNUMBER(SEARCH("tubig",$B241))+ISNUMBER(SEARCH("internet",$B241))+ISNUMBER(SEARCH("pldt",$B241))+ISNUMBER(SEARCH("meralco",$B241))+ISNUMBER(SEARCH("supplies",$B241))+ISNUMBER(SEARCH("office",$B241))+ISNUMBER(SEARCH("professional",$B241))+ISNUMBER(SEARCH("accountant",$B241))+ISNUMBER(SEARCH("lawyer",$B241))+ISNUMBER(SEARCH("broker",$B241))+ISNUMBER(SEARCH("bank",$B241))+ISNUMBER(SEARCH("charge",$B241))+ISNUMBER(SEARCH("permit",$B241))+ISNUMBER(SEARCH("bir",$B241))+ISNUMBER(SEARCH("ltfrb",$B241))+ISNUMBER(SEARCH("misc",$B241))+ISNUMBER(SEARCH("fee",$B241))&gt;0,"Overhead","Overhead")))))))</f>
        <v/>
      </c>
      <c r="J241">
        <f>IF($A241="","",DATE(YEAR($A241),MONTH($A241),1))</f>
        <v/>
      </c>
      <c r="K241">
        <f>IF($B241="","",IF(COUNTIF(Setup!$A$99:$A$128,$B241)&gt;0,0,1))</f>
        <v/>
      </c>
      <c r="L241">
        <f>IF($B241="","",IF(ISNUMBER(SEARCH("advance",$B241)),"ADV",IF(OR(ISNUMBER(SEARCH("payout",$B241)),ISNUMBER(SEARCH("pay out",$B241)),ISNUMBER(SEARCH("release",$B241))),"PAY","")))</f>
        <v/>
      </c>
      <c r="M241">
        <f>IF($B241="","",IF(ISNUMBER(SEARCH("bulk",$B241)),0,IF(ISNUMBER(SEARCH("fuel",$B241))+ISNUMBER(SEARCH("diesel",$B241))+ISNUMBER(SEARCH("krudo",$B241))+ISNUMBER(SEARCH("gasolina",$B241))&gt;0,1,0)))</f>
        <v/>
      </c>
      <c r="N241">
        <f>IF($B241="","",IF(ISNUMBER(SEARCH("fuel",$B241))+ISNUMBER(SEARCH("diesel",$B241))+ISNUMBER(SEARCH("krudo",$B241))+ISNUMBER(SEARCH("gasolina",$B241))&gt;0,1,0))</f>
        <v/>
      </c>
    </row>
    <row r="242">
      <c r="A242" s="94" t="n"/>
      <c r="B242" s="96" t="n"/>
      <c r="C242" s="96" t="n"/>
      <c r="D242" s="95" t="n"/>
      <c r="E242" s="96" t="n"/>
      <c r="F242" s="99" t="n"/>
      <c r="G242" s="95" t="n"/>
      <c r="H242" s="95" t="n"/>
      <c r="I242" s="101">
        <f>IF($B242="","",IF(COUNTIF(Setup!$A$99:$A$128,$B242)&gt;0,IF(INDEX(Setup!$B$99:$B$128,MATCH($B242,Setup!$A$99:$A$128,0))="","Overhead",INDEX(Setup!$B$99:$B$128,MATCH($B242,Setup!$A$99:$A$128,0))),IF(ISNUMBER(SEARCH("advance",$B242))+ISNUMBER(SEARCH("payout",$B242))+ISNUMBER(SEARCH("pay out",$B242))+ISNUMBER(SEARCH("reimburs",$B242))&gt;0,"Transfer",IF(ISNUMBER(SEARCH("loan",$B242))+ISNUMBER(SEARCH("amort",$B242))+ISNUMBER(SEARCH("installment",$B242))+ISNUMBER(SEARCH("instalment",$B242))&gt;0,"Financing",IF(ISNUMBER(SEARCH("draw",$B242))+ISNUMBER(SEARCH("owner",$B242))+ISNUMBER(SEARCH("asset",$B242))+ISNUMBER(SEARCH("capital",$B242))&gt;0,"Other",IF(ISNUMBER(SEARCH("fuel",$B242))+ISNUMBER(SEARCH("diesel",$B242))+ISNUMBER(SEARCH("krudo",$B242))+ISNUMBER(SEARCH("gasolina",$B242))+ISNUMBER(SEARCH("toll",$B242))+ISNUMBER(SEARCH("parking",$B242))+ISNUMBER(SEARCH("repair",$B242))+ISNUMBER(SEARCH("maintenance",$B242))+ISNUMBER(SEARCH("tire",$B242))+ISNUMBER(SEARCH("tyre",$B242))+ISNUMBER(SEARCH("battery",$B242))+ISNUMBER(SEARCH("oil",$B242))+ISNUMBER(SEARCH("filter",$B242))+ISNUMBER(SEARCH("spare",$B242))+ISNUMBER(SEARCH("insurance",$B242))+ISNUMBER(SEARCH("lto",$B242))+ISNUMBER(SEARCH("registration",$B242))+ISNUMBER(SEARCH("emission",$B242))+ISNUMBER(SEARCH("wash",$B242))+ISNUMBER(SEARCH("weigh",$B242))+ISNUMBER(SEARCH("tarp",$B242))&gt;0,"Vehicle",IF(ISNUMBER(SEARCH("rent",$B242))+ISNUMBER(SEARCH("upa",$B242))+ISNUMBER(SEARCH("salary",$B242))+ISNUMBER(SEARCH("sweldo",$B242))+ISNUMBER(SEARCH("wage",$B242))+ISNUMBER(SEARCH("electric",$B242))+ISNUMBER(SEARCH("kuryente",$B242))+ISNUMBER(SEARCH("water",$B242))+ISNUMBER(SEARCH("tubig",$B242))+ISNUMBER(SEARCH("internet",$B242))+ISNUMBER(SEARCH("pldt",$B242))+ISNUMBER(SEARCH("meralco",$B242))+ISNUMBER(SEARCH("supplies",$B242))+ISNUMBER(SEARCH("office",$B242))+ISNUMBER(SEARCH("professional",$B242))+ISNUMBER(SEARCH("accountant",$B242))+ISNUMBER(SEARCH("lawyer",$B242))+ISNUMBER(SEARCH("broker",$B242))+ISNUMBER(SEARCH("bank",$B242))+ISNUMBER(SEARCH("charge",$B242))+ISNUMBER(SEARCH("permit",$B242))+ISNUMBER(SEARCH("bir",$B242))+ISNUMBER(SEARCH("ltfrb",$B242))+ISNUMBER(SEARCH("misc",$B242))+ISNUMBER(SEARCH("fee",$B242))&gt;0,"Overhead","Overhead")))))))</f>
        <v/>
      </c>
      <c r="J242">
        <f>IF($A242="","",DATE(YEAR($A242),MONTH($A242),1))</f>
        <v/>
      </c>
      <c r="K242">
        <f>IF($B242="","",IF(COUNTIF(Setup!$A$99:$A$128,$B242)&gt;0,0,1))</f>
        <v/>
      </c>
      <c r="L242">
        <f>IF($B242="","",IF(ISNUMBER(SEARCH("advance",$B242)),"ADV",IF(OR(ISNUMBER(SEARCH("payout",$B242)),ISNUMBER(SEARCH("pay out",$B242)),ISNUMBER(SEARCH("release",$B242))),"PAY","")))</f>
        <v/>
      </c>
      <c r="M242">
        <f>IF($B242="","",IF(ISNUMBER(SEARCH("bulk",$B242)),0,IF(ISNUMBER(SEARCH("fuel",$B242))+ISNUMBER(SEARCH("diesel",$B242))+ISNUMBER(SEARCH("krudo",$B242))+ISNUMBER(SEARCH("gasolina",$B242))&gt;0,1,0)))</f>
        <v/>
      </c>
      <c r="N242">
        <f>IF($B242="","",IF(ISNUMBER(SEARCH("fuel",$B242))+ISNUMBER(SEARCH("diesel",$B242))+ISNUMBER(SEARCH("krudo",$B242))+ISNUMBER(SEARCH("gasolina",$B242))&gt;0,1,0))</f>
        <v/>
      </c>
    </row>
    <row r="243">
      <c r="A243" s="86" t="n"/>
      <c r="B243" s="88" t="n"/>
      <c r="C243" s="88" t="n"/>
      <c r="D243" s="87" t="n"/>
      <c r="E243" s="88" t="n"/>
      <c r="F243" s="92" t="n"/>
      <c r="G243" s="87" t="n"/>
      <c r="H243" s="87" t="n"/>
      <c r="I243" s="101">
        <f>IF($B243="","",IF(COUNTIF(Setup!$A$99:$A$128,$B243)&gt;0,IF(INDEX(Setup!$B$99:$B$128,MATCH($B243,Setup!$A$99:$A$128,0))="","Overhead",INDEX(Setup!$B$99:$B$128,MATCH($B243,Setup!$A$99:$A$128,0))),IF(ISNUMBER(SEARCH("advance",$B243))+ISNUMBER(SEARCH("payout",$B243))+ISNUMBER(SEARCH("pay out",$B243))+ISNUMBER(SEARCH("reimburs",$B243))&gt;0,"Transfer",IF(ISNUMBER(SEARCH("loan",$B243))+ISNUMBER(SEARCH("amort",$B243))+ISNUMBER(SEARCH("installment",$B243))+ISNUMBER(SEARCH("instalment",$B243))&gt;0,"Financing",IF(ISNUMBER(SEARCH("draw",$B243))+ISNUMBER(SEARCH("owner",$B243))+ISNUMBER(SEARCH("asset",$B243))+ISNUMBER(SEARCH("capital",$B243))&gt;0,"Other",IF(ISNUMBER(SEARCH("fuel",$B243))+ISNUMBER(SEARCH("diesel",$B243))+ISNUMBER(SEARCH("krudo",$B243))+ISNUMBER(SEARCH("gasolina",$B243))+ISNUMBER(SEARCH("toll",$B243))+ISNUMBER(SEARCH("parking",$B243))+ISNUMBER(SEARCH("repair",$B243))+ISNUMBER(SEARCH("maintenance",$B243))+ISNUMBER(SEARCH("tire",$B243))+ISNUMBER(SEARCH("tyre",$B243))+ISNUMBER(SEARCH("battery",$B243))+ISNUMBER(SEARCH("oil",$B243))+ISNUMBER(SEARCH("filter",$B243))+ISNUMBER(SEARCH("spare",$B243))+ISNUMBER(SEARCH("insurance",$B243))+ISNUMBER(SEARCH("lto",$B243))+ISNUMBER(SEARCH("registration",$B243))+ISNUMBER(SEARCH("emission",$B243))+ISNUMBER(SEARCH("wash",$B243))+ISNUMBER(SEARCH("weigh",$B243))+ISNUMBER(SEARCH("tarp",$B243))&gt;0,"Vehicle",IF(ISNUMBER(SEARCH("rent",$B243))+ISNUMBER(SEARCH("upa",$B243))+ISNUMBER(SEARCH("salary",$B243))+ISNUMBER(SEARCH("sweldo",$B243))+ISNUMBER(SEARCH("wage",$B243))+ISNUMBER(SEARCH("electric",$B243))+ISNUMBER(SEARCH("kuryente",$B243))+ISNUMBER(SEARCH("water",$B243))+ISNUMBER(SEARCH("tubig",$B243))+ISNUMBER(SEARCH("internet",$B243))+ISNUMBER(SEARCH("pldt",$B243))+ISNUMBER(SEARCH("meralco",$B243))+ISNUMBER(SEARCH("supplies",$B243))+ISNUMBER(SEARCH("office",$B243))+ISNUMBER(SEARCH("professional",$B243))+ISNUMBER(SEARCH("accountant",$B243))+ISNUMBER(SEARCH("lawyer",$B243))+ISNUMBER(SEARCH("broker",$B243))+ISNUMBER(SEARCH("bank",$B243))+ISNUMBER(SEARCH("charge",$B243))+ISNUMBER(SEARCH("permit",$B243))+ISNUMBER(SEARCH("bir",$B243))+ISNUMBER(SEARCH("ltfrb",$B243))+ISNUMBER(SEARCH("misc",$B243))+ISNUMBER(SEARCH("fee",$B243))&gt;0,"Overhead","Overhead")))))))</f>
        <v/>
      </c>
      <c r="J243">
        <f>IF($A243="","",DATE(YEAR($A243),MONTH($A243),1))</f>
        <v/>
      </c>
      <c r="K243">
        <f>IF($B243="","",IF(COUNTIF(Setup!$A$99:$A$128,$B243)&gt;0,0,1))</f>
        <v/>
      </c>
      <c r="L243">
        <f>IF($B243="","",IF(ISNUMBER(SEARCH("advance",$B243)),"ADV",IF(OR(ISNUMBER(SEARCH("payout",$B243)),ISNUMBER(SEARCH("pay out",$B243)),ISNUMBER(SEARCH("release",$B243))),"PAY","")))</f>
        <v/>
      </c>
      <c r="M243">
        <f>IF($B243="","",IF(ISNUMBER(SEARCH("bulk",$B243)),0,IF(ISNUMBER(SEARCH("fuel",$B243))+ISNUMBER(SEARCH("diesel",$B243))+ISNUMBER(SEARCH("krudo",$B243))+ISNUMBER(SEARCH("gasolina",$B243))&gt;0,1,0)))</f>
        <v/>
      </c>
      <c r="N243">
        <f>IF($B243="","",IF(ISNUMBER(SEARCH("fuel",$B243))+ISNUMBER(SEARCH("diesel",$B243))+ISNUMBER(SEARCH("krudo",$B243))+ISNUMBER(SEARCH("gasolina",$B243))&gt;0,1,0))</f>
        <v/>
      </c>
    </row>
    <row r="244">
      <c r="A244" s="94" t="n"/>
      <c r="B244" s="96" t="n"/>
      <c r="C244" s="96" t="n"/>
      <c r="D244" s="95" t="n"/>
      <c r="E244" s="96" t="n"/>
      <c r="F244" s="99" t="n"/>
      <c r="G244" s="95" t="n"/>
      <c r="H244" s="95" t="n"/>
      <c r="I244" s="101">
        <f>IF($B244="","",IF(COUNTIF(Setup!$A$99:$A$128,$B244)&gt;0,IF(INDEX(Setup!$B$99:$B$128,MATCH($B244,Setup!$A$99:$A$128,0))="","Overhead",INDEX(Setup!$B$99:$B$128,MATCH($B244,Setup!$A$99:$A$128,0))),IF(ISNUMBER(SEARCH("advance",$B244))+ISNUMBER(SEARCH("payout",$B244))+ISNUMBER(SEARCH("pay out",$B244))+ISNUMBER(SEARCH("reimburs",$B244))&gt;0,"Transfer",IF(ISNUMBER(SEARCH("loan",$B244))+ISNUMBER(SEARCH("amort",$B244))+ISNUMBER(SEARCH("installment",$B244))+ISNUMBER(SEARCH("instalment",$B244))&gt;0,"Financing",IF(ISNUMBER(SEARCH("draw",$B244))+ISNUMBER(SEARCH("owner",$B244))+ISNUMBER(SEARCH("asset",$B244))+ISNUMBER(SEARCH("capital",$B244))&gt;0,"Other",IF(ISNUMBER(SEARCH("fuel",$B244))+ISNUMBER(SEARCH("diesel",$B244))+ISNUMBER(SEARCH("krudo",$B244))+ISNUMBER(SEARCH("gasolina",$B244))+ISNUMBER(SEARCH("toll",$B244))+ISNUMBER(SEARCH("parking",$B244))+ISNUMBER(SEARCH("repair",$B244))+ISNUMBER(SEARCH("maintenance",$B244))+ISNUMBER(SEARCH("tire",$B244))+ISNUMBER(SEARCH("tyre",$B244))+ISNUMBER(SEARCH("battery",$B244))+ISNUMBER(SEARCH("oil",$B244))+ISNUMBER(SEARCH("filter",$B244))+ISNUMBER(SEARCH("spare",$B244))+ISNUMBER(SEARCH("insurance",$B244))+ISNUMBER(SEARCH("lto",$B244))+ISNUMBER(SEARCH("registration",$B244))+ISNUMBER(SEARCH("emission",$B244))+ISNUMBER(SEARCH("wash",$B244))+ISNUMBER(SEARCH("weigh",$B244))+ISNUMBER(SEARCH("tarp",$B244))&gt;0,"Vehicle",IF(ISNUMBER(SEARCH("rent",$B244))+ISNUMBER(SEARCH("upa",$B244))+ISNUMBER(SEARCH("salary",$B244))+ISNUMBER(SEARCH("sweldo",$B244))+ISNUMBER(SEARCH("wage",$B244))+ISNUMBER(SEARCH("electric",$B244))+ISNUMBER(SEARCH("kuryente",$B244))+ISNUMBER(SEARCH("water",$B244))+ISNUMBER(SEARCH("tubig",$B244))+ISNUMBER(SEARCH("internet",$B244))+ISNUMBER(SEARCH("pldt",$B244))+ISNUMBER(SEARCH("meralco",$B244))+ISNUMBER(SEARCH("supplies",$B244))+ISNUMBER(SEARCH("office",$B244))+ISNUMBER(SEARCH("professional",$B244))+ISNUMBER(SEARCH("accountant",$B244))+ISNUMBER(SEARCH("lawyer",$B244))+ISNUMBER(SEARCH("broker",$B244))+ISNUMBER(SEARCH("bank",$B244))+ISNUMBER(SEARCH("charge",$B244))+ISNUMBER(SEARCH("permit",$B244))+ISNUMBER(SEARCH("bir",$B244))+ISNUMBER(SEARCH("ltfrb",$B244))+ISNUMBER(SEARCH("misc",$B244))+ISNUMBER(SEARCH("fee",$B244))&gt;0,"Overhead","Overhead")))))))</f>
        <v/>
      </c>
      <c r="J244">
        <f>IF($A244="","",DATE(YEAR($A244),MONTH($A244),1))</f>
        <v/>
      </c>
      <c r="K244">
        <f>IF($B244="","",IF(COUNTIF(Setup!$A$99:$A$128,$B244)&gt;0,0,1))</f>
        <v/>
      </c>
      <c r="L244">
        <f>IF($B244="","",IF(ISNUMBER(SEARCH("advance",$B244)),"ADV",IF(OR(ISNUMBER(SEARCH("payout",$B244)),ISNUMBER(SEARCH("pay out",$B244)),ISNUMBER(SEARCH("release",$B244))),"PAY","")))</f>
        <v/>
      </c>
      <c r="M244">
        <f>IF($B244="","",IF(ISNUMBER(SEARCH("bulk",$B244)),0,IF(ISNUMBER(SEARCH("fuel",$B244))+ISNUMBER(SEARCH("diesel",$B244))+ISNUMBER(SEARCH("krudo",$B244))+ISNUMBER(SEARCH("gasolina",$B244))&gt;0,1,0)))</f>
        <v/>
      </c>
      <c r="N244">
        <f>IF($B244="","",IF(ISNUMBER(SEARCH("fuel",$B244))+ISNUMBER(SEARCH("diesel",$B244))+ISNUMBER(SEARCH("krudo",$B244))+ISNUMBER(SEARCH("gasolina",$B244))&gt;0,1,0))</f>
        <v/>
      </c>
    </row>
    <row r="245">
      <c r="A245" s="86" t="n"/>
      <c r="B245" s="88" t="n"/>
      <c r="C245" s="88" t="n"/>
      <c r="D245" s="87" t="n"/>
      <c r="E245" s="88" t="n"/>
      <c r="F245" s="92" t="n"/>
      <c r="G245" s="87" t="n"/>
      <c r="H245" s="87" t="n"/>
      <c r="I245" s="101">
        <f>IF($B245="","",IF(COUNTIF(Setup!$A$99:$A$128,$B245)&gt;0,IF(INDEX(Setup!$B$99:$B$128,MATCH($B245,Setup!$A$99:$A$128,0))="","Overhead",INDEX(Setup!$B$99:$B$128,MATCH($B245,Setup!$A$99:$A$128,0))),IF(ISNUMBER(SEARCH("advance",$B245))+ISNUMBER(SEARCH("payout",$B245))+ISNUMBER(SEARCH("pay out",$B245))+ISNUMBER(SEARCH("reimburs",$B245))&gt;0,"Transfer",IF(ISNUMBER(SEARCH("loan",$B245))+ISNUMBER(SEARCH("amort",$B245))+ISNUMBER(SEARCH("installment",$B245))+ISNUMBER(SEARCH("instalment",$B245))&gt;0,"Financing",IF(ISNUMBER(SEARCH("draw",$B245))+ISNUMBER(SEARCH("owner",$B245))+ISNUMBER(SEARCH("asset",$B245))+ISNUMBER(SEARCH("capital",$B245))&gt;0,"Other",IF(ISNUMBER(SEARCH("fuel",$B245))+ISNUMBER(SEARCH("diesel",$B245))+ISNUMBER(SEARCH("krudo",$B245))+ISNUMBER(SEARCH("gasolina",$B245))+ISNUMBER(SEARCH("toll",$B245))+ISNUMBER(SEARCH("parking",$B245))+ISNUMBER(SEARCH("repair",$B245))+ISNUMBER(SEARCH("maintenance",$B245))+ISNUMBER(SEARCH("tire",$B245))+ISNUMBER(SEARCH("tyre",$B245))+ISNUMBER(SEARCH("battery",$B245))+ISNUMBER(SEARCH("oil",$B245))+ISNUMBER(SEARCH("filter",$B245))+ISNUMBER(SEARCH("spare",$B245))+ISNUMBER(SEARCH("insurance",$B245))+ISNUMBER(SEARCH("lto",$B245))+ISNUMBER(SEARCH("registration",$B245))+ISNUMBER(SEARCH("emission",$B245))+ISNUMBER(SEARCH("wash",$B245))+ISNUMBER(SEARCH("weigh",$B245))+ISNUMBER(SEARCH("tarp",$B245))&gt;0,"Vehicle",IF(ISNUMBER(SEARCH("rent",$B245))+ISNUMBER(SEARCH("upa",$B245))+ISNUMBER(SEARCH("salary",$B245))+ISNUMBER(SEARCH("sweldo",$B245))+ISNUMBER(SEARCH("wage",$B245))+ISNUMBER(SEARCH("electric",$B245))+ISNUMBER(SEARCH("kuryente",$B245))+ISNUMBER(SEARCH("water",$B245))+ISNUMBER(SEARCH("tubig",$B245))+ISNUMBER(SEARCH("internet",$B245))+ISNUMBER(SEARCH("pldt",$B245))+ISNUMBER(SEARCH("meralco",$B245))+ISNUMBER(SEARCH("supplies",$B245))+ISNUMBER(SEARCH("office",$B245))+ISNUMBER(SEARCH("professional",$B245))+ISNUMBER(SEARCH("accountant",$B245))+ISNUMBER(SEARCH("lawyer",$B245))+ISNUMBER(SEARCH("broker",$B245))+ISNUMBER(SEARCH("bank",$B245))+ISNUMBER(SEARCH("charge",$B245))+ISNUMBER(SEARCH("permit",$B245))+ISNUMBER(SEARCH("bir",$B245))+ISNUMBER(SEARCH("ltfrb",$B245))+ISNUMBER(SEARCH("misc",$B245))+ISNUMBER(SEARCH("fee",$B245))&gt;0,"Overhead","Overhead")))))))</f>
        <v/>
      </c>
      <c r="J245">
        <f>IF($A245="","",DATE(YEAR($A245),MONTH($A245),1))</f>
        <v/>
      </c>
      <c r="K245">
        <f>IF($B245="","",IF(COUNTIF(Setup!$A$99:$A$128,$B245)&gt;0,0,1))</f>
        <v/>
      </c>
      <c r="L245">
        <f>IF($B245="","",IF(ISNUMBER(SEARCH("advance",$B245)),"ADV",IF(OR(ISNUMBER(SEARCH("payout",$B245)),ISNUMBER(SEARCH("pay out",$B245)),ISNUMBER(SEARCH("release",$B245))),"PAY","")))</f>
        <v/>
      </c>
      <c r="M245">
        <f>IF($B245="","",IF(ISNUMBER(SEARCH("bulk",$B245)),0,IF(ISNUMBER(SEARCH("fuel",$B245))+ISNUMBER(SEARCH("diesel",$B245))+ISNUMBER(SEARCH("krudo",$B245))+ISNUMBER(SEARCH("gasolina",$B245))&gt;0,1,0)))</f>
        <v/>
      </c>
      <c r="N245">
        <f>IF($B245="","",IF(ISNUMBER(SEARCH("fuel",$B245))+ISNUMBER(SEARCH("diesel",$B245))+ISNUMBER(SEARCH("krudo",$B245))+ISNUMBER(SEARCH("gasolina",$B245))&gt;0,1,0))</f>
        <v/>
      </c>
    </row>
    <row r="246">
      <c r="A246" s="94" t="n"/>
      <c r="B246" s="96" t="n"/>
      <c r="C246" s="96" t="n"/>
      <c r="D246" s="95" t="n"/>
      <c r="E246" s="96" t="n"/>
      <c r="F246" s="99" t="n"/>
      <c r="G246" s="95" t="n"/>
      <c r="H246" s="95" t="n"/>
      <c r="I246" s="101">
        <f>IF($B246="","",IF(COUNTIF(Setup!$A$99:$A$128,$B246)&gt;0,IF(INDEX(Setup!$B$99:$B$128,MATCH($B246,Setup!$A$99:$A$128,0))="","Overhead",INDEX(Setup!$B$99:$B$128,MATCH($B246,Setup!$A$99:$A$128,0))),IF(ISNUMBER(SEARCH("advance",$B246))+ISNUMBER(SEARCH("payout",$B246))+ISNUMBER(SEARCH("pay out",$B246))+ISNUMBER(SEARCH("reimburs",$B246))&gt;0,"Transfer",IF(ISNUMBER(SEARCH("loan",$B246))+ISNUMBER(SEARCH("amort",$B246))+ISNUMBER(SEARCH("installment",$B246))+ISNUMBER(SEARCH("instalment",$B246))&gt;0,"Financing",IF(ISNUMBER(SEARCH("draw",$B246))+ISNUMBER(SEARCH("owner",$B246))+ISNUMBER(SEARCH("asset",$B246))+ISNUMBER(SEARCH("capital",$B246))&gt;0,"Other",IF(ISNUMBER(SEARCH("fuel",$B246))+ISNUMBER(SEARCH("diesel",$B246))+ISNUMBER(SEARCH("krudo",$B246))+ISNUMBER(SEARCH("gasolina",$B246))+ISNUMBER(SEARCH("toll",$B246))+ISNUMBER(SEARCH("parking",$B246))+ISNUMBER(SEARCH("repair",$B246))+ISNUMBER(SEARCH("maintenance",$B246))+ISNUMBER(SEARCH("tire",$B246))+ISNUMBER(SEARCH("tyre",$B246))+ISNUMBER(SEARCH("battery",$B246))+ISNUMBER(SEARCH("oil",$B246))+ISNUMBER(SEARCH("filter",$B246))+ISNUMBER(SEARCH("spare",$B246))+ISNUMBER(SEARCH("insurance",$B246))+ISNUMBER(SEARCH("lto",$B246))+ISNUMBER(SEARCH("registration",$B246))+ISNUMBER(SEARCH("emission",$B246))+ISNUMBER(SEARCH("wash",$B246))+ISNUMBER(SEARCH("weigh",$B246))+ISNUMBER(SEARCH("tarp",$B246))&gt;0,"Vehicle",IF(ISNUMBER(SEARCH("rent",$B246))+ISNUMBER(SEARCH("upa",$B246))+ISNUMBER(SEARCH("salary",$B246))+ISNUMBER(SEARCH("sweldo",$B246))+ISNUMBER(SEARCH("wage",$B246))+ISNUMBER(SEARCH("electric",$B246))+ISNUMBER(SEARCH("kuryente",$B246))+ISNUMBER(SEARCH("water",$B246))+ISNUMBER(SEARCH("tubig",$B246))+ISNUMBER(SEARCH("internet",$B246))+ISNUMBER(SEARCH("pldt",$B246))+ISNUMBER(SEARCH("meralco",$B246))+ISNUMBER(SEARCH("supplies",$B246))+ISNUMBER(SEARCH("office",$B246))+ISNUMBER(SEARCH("professional",$B246))+ISNUMBER(SEARCH("accountant",$B246))+ISNUMBER(SEARCH("lawyer",$B246))+ISNUMBER(SEARCH("broker",$B246))+ISNUMBER(SEARCH("bank",$B246))+ISNUMBER(SEARCH("charge",$B246))+ISNUMBER(SEARCH("permit",$B246))+ISNUMBER(SEARCH("bir",$B246))+ISNUMBER(SEARCH("ltfrb",$B246))+ISNUMBER(SEARCH("misc",$B246))+ISNUMBER(SEARCH("fee",$B246))&gt;0,"Overhead","Overhead")))))))</f>
        <v/>
      </c>
      <c r="J246">
        <f>IF($A246="","",DATE(YEAR($A246),MONTH($A246),1))</f>
        <v/>
      </c>
      <c r="K246">
        <f>IF($B246="","",IF(COUNTIF(Setup!$A$99:$A$128,$B246)&gt;0,0,1))</f>
        <v/>
      </c>
      <c r="L246">
        <f>IF($B246="","",IF(ISNUMBER(SEARCH("advance",$B246)),"ADV",IF(OR(ISNUMBER(SEARCH("payout",$B246)),ISNUMBER(SEARCH("pay out",$B246)),ISNUMBER(SEARCH("release",$B246))),"PAY","")))</f>
        <v/>
      </c>
      <c r="M246">
        <f>IF($B246="","",IF(ISNUMBER(SEARCH("bulk",$B246)),0,IF(ISNUMBER(SEARCH("fuel",$B246))+ISNUMBER(SEARCH("diesel",$B246))+ISNUMBER(SEARCH("krudo",$B246))+ISNUMBER(SEARCH("gasolina",$B246))&gt;0,1,0)))</f>
        <v/>
      </c>
      <c r="N246">
        <f>IF($B246="","",IF(ISNUMBER(SEARCH("fuel",$B246))+ISNUMBER(SEARCH("diesel",$B246))+ISNUMBER(SEARCH("krudo",$B246))+ISNUMBER(SEARCH("gasolina",$B246))&gt;0,1,0))</f>
        <v/>
      </c>
    </row>
    <row r="247">
      <c r="A247" s="86" t="n"/>
      <c r="B247" s="88" t="n"/>
      <c r="C247" s="88" t="n"/>
      <c r="D247" s="87" t="n"/>
      <c r="E247" s="88" t="n"/>
      <c r="F247" s="92" t="n"/>
      <c r="G247" s="87" t="n"/>
      <c r="H247" s="87" t="n"/>
      <c r="I247" s="101">
        <f>IF($B247="","",IF(COUNTIF(Setup!$A$99:$A$128,$B247)&gt;0,IF(INDEX(Setup!$B$99:$B$128,MATCH($B247,Setup!$A$99:$A$128,0))="","Overhead",INDEX(Setup!$B$99:$B$128,MATCH($B247,Setup!$A$99:$A$128,0))),IF(ISNUMBER(SEARCH("advance",$B247))+ISNUMBER(SEARCH("payout",$B247))+ISNUMBER(SEARCH("pay out",$B247))+ISNUMBER(SEARCH("reimburs",$B247))&gt;0,"Transfer",IF(ISNUMBER(SEARCH("loan",$B247))+ISNUMBER(SEARCH("amort",$B247))+ISNUMBER(SEARCH("installment",$B247))+ISNUMBER(SEARCH("instalment",$B247))&gt;0,"Financing",IF(ISNUMBER(SEARCH("draw",$B247))+ISNUMBER(SEARCH("owner",$B247))+ISNUMBER(SEARCH("asset",$B247))+ISNUMBER(SEARCH("capital",$B247))&gt;0,"Other",IF(ISNUMBER(SEARCH("fuel",$B247))+ISNUMBER(SEARCH("diesel",$B247))+ISNUMBER(SEARCH("krudo",$B247))+ISNUMBER(SEARCH("gasolina",$B247))+ISNUMBER(SEARCH("toll",$B247))+ISNUMBER(SEARCH("parking",$B247))+ISNUMBER(SEARCH("repair",$B247))+ISNUMBER(SEARCH("maintenance",$B247))+ISNUMBER(SEARCH("tire",$B247))+ISNUMBER(SEARCH("tyre",$B247))+ISNUMBER(SEARCH("battery",$B247))+ISNUMBER(SEARCH("oil",$B247))+ISNUMBER(SEARCH("filter",$B247))+ISNUMBER(SEARCH("spare",$B247))+ISNUMBER(SEARCH("insurance",$B247))+ISNUMBER(SEARCH("lto",$B247))+ISNUMBER(SEARCH("registration",$B247))+ISNUMBER(SEARCH("emission",$B247))+ISNUMBER(SEARCH("wash",$B247))+ISNUMBER(SEARCH("weigh",$B247))+ISNUMBER(SEARCH("tarp",$B247))&gt;0,"Vehicle",IF(ISNUMBER(SEARCH("rent",$B247))+ISNUMBER(SEARCH("upa",$B247))+ISNUMBER(SEARCH("salary",$B247))+ISNUMBER(SEARCH("sweldo",$B247))+ISNUMBER(SEARCH("wage",$B247))+ISNUMBER(SEARCH("electric",$B247))+ISNUMBER(SEARCH("kuryente",$B247))+ISNUMBER(SEARCH("water",$B247))+ISNUMBER(SEARCH("tubig",$B247))+ISNUMBER(SEARCH("internet",$B247))+ISNUMBER(SEARCH("pldt",$B247))+ISNUMBER(SEARCH("meralco",$B247))+ISNUMBER(SEARCH("supplies",$B247))+ISNUMBER(SEARCH("office",$B247))+ISNUMBER(SEARCH("professional",$B247))+ISNUMBER(SEARCH("accountant",$B247))+ISNUMBER(SEARCH("lawyer",$B247))+ISNUMBER(SEARCH("broker",$B247))+ISNUMBER(SEARCH("bank",$B247))+ISNUMBER(SEARCH("charge",$B247))+ISNUMBER(SEARCH("permit",$B247))+ISNUMBER(SEARCH("bir",$B247))+ISNUMBER(SEARCH("ltfrb",$B247))+ISNUMBER(SEARCH("misc",$B247))+ISNUMBER(SEARCH("fee",$B247))&gt;0,"Overhead","Overhead")))))))</f>
        <v/>
      </c>
      <c r="J247">
        <f>IF($A247="","",DATE(YEAR($A247),MONTH($A247),1))</f>
        <v/>
      </c>
      <c r="K247">
        <f>IF($B247="","",IF(COUNTIF(Setup!$A$99:$A$128,$B247)&gt;0,0,1))</f>
        <v/>
      </c>
      <c r="L247">
        <f>IF($B247="","",IF(ISNUMBER(SEARCH("advance",$B247)),"ADV",IF(OR(ISNUMBER(SEARCH("payout",$B247)),ISNUMBER(SEARCH("pay out",$B247)),ISNUMBER(SEARCH("release",$B247))),"PAY","")))</f>
        <v/>
      </c>
      <c r="M247">
        <f>IF($B247="","",IF(ISNUMBER(SEARCH("bulk",$B247)),0,IF(ISNUMBER(SEARCH("fuel",$B247))+ISNUMBER(SEARCH("diesel",$B247))+ISNUMBER(SEARCH("krudo",$B247))+ISNUMBER(SEARCH("gasolina",$B247))&gt;0,1,0)))</f>
        <v/>
      </c>
      <c r="N247">
        <f>IF($B247="","",IF(ISNUMBER(SEARCH("fuel",$B247))+ISNUMBER(SEARCH("diesel",$B247))+ISNUMBER(SEARCH("krudo",$B247))+ISNUMBER(SEARCH("gasolina",$B247))&gt;0,1,0))</f>
        <v/>
      </c>
    </row>
    <row r="248">
      <c r="A248" s="94" t="n"/>
      <c r="B248" s="96" t="n"/>
      <c r="C248" s="96" t="n"/>
      <c r="D248" s="95" t="n"/>
      <c r="E248" s="96" t="n"/>
      <c r="F248" s="99" t="n"/>
      <c r="G248" s="95" t="n"/>
      <c r="H248" s="95" t="n"/>
      <c r="I248" s="101">
        <f>IF($B248="","",IF(COUNTIF(Setup!$A$99:$A$128,$B248)&gt;0,IF(INDEX(Setup!$B$99:$B$128,MATCH($B248,Setup!$A$99:$A$128,0))="","Overhead",INDEX(Setup!$B$99:$B$128,MATCH($B248,Setup!$A$99:$A$128,0))),IF(ISNUMBER(SEARCH("advance",$B248))+ISNUMBER(SEARCH("payout",$B248))+ISNUMBER(SEARCH("pay out",$B248))+ISNUMBER(SEARCH("reimburs",$B248))&gt;0,"Transfer",IF(ISNUMBER(SEARCH("loan",$B248))+ISNUMBER(SEARCH("amort",$B248))+ISNUMBER(SEARCH("installment",$B248))+ISNUMBER(SEARCH("instalment",$B248))&gt;0,"Financing",IF(ISNUMBER(SEARCH("draw",$B248))+ISNUMBER(SEARCH("owner",$B248))+ISNUMBER(SEARCH("asset",$B248))+ISNUMBER(SEARCH("capital",$B248))&gt;0,"Other",IF(ISNUMBER(SEARCH("fuel",$B248))+ISNUMBER(SEARCH("diesel",$B248))+ISNUMBER(SEARCH("krudo",$B248))+ISNUMBER(SEARCH("gasolina",$B248))+ISNUMBER(SEARCH("toll",$B248))+ISNUMBER(SEARCH("parking",$B248))+ISNUMBER(SEARCH("repair",$B248))+ISNUMBER(SEARCH("maintenance",$B248))+ISNUMBER(SEARCH("tire",$B248))+ISNUMBER(SEARCH("tyre",$B248))+ISNUMBER(SEARCH("battery",$B248))+ISNUMBER(SEARCH("oil",$B248))+ISNUMBER(SEARCH("filter",$B248))+ISNUMBER(SEARCH("spare",$B248))+ISNUMBER(SEARCH("insurance",$B248))+ISNUMBER(SEARCH("lto",$B248))+ISNUMBER(SEARCH("registration",$B248))+ISNUMBER(SEARCH("emission",$B248))+ISNUMBER(SEARCH("wash",$B248))+ISNUMBER(SEARCH("weigh",$B248))+ISNUMBER(SEARCH("tarp",$B248))&gt;0,"Vehicle",IF(ISNUMBER(SEARCH("rent",$B248))+ISNUMBER(SEARCH("upa",$B248))+ISNUMBER(SEARCH("salary",$B248))+ISNUMBER(SEARCH("sweldo",$B248))+ISNUMBER(SEARCH("wage",$B248))+ISNUMBER(SEARCH("electric",$B248))+ISNUMBER(SEARCH("kuryente",$B248))+ISNUMBER(SEARCH("water",$B248))+ISNUMBER(SEARCH("tubig",$B248))+ISNUMBER(SEARCH("internet",$B248))+ISNUMBER(SEARCH("pldt",$B248))+ISNUMBER(SEARCH("meralco",$B248))+ISNUMBER(SEARCH("supplies",$B248))+ISNUMBER(SEARCH("office",$B248))+ISNUMBER(SEARCH("professional",$B248))+ISNUMBER(SEARCH("accountant",$B248))+ISNUMBER(SEARCH("lawyer",$B248))+ISNUMBER(SEARCH("broker",$B248))+ISNUMBER(SEARCH("bank",$B248))+ISNUMBER(SEARCH("charge",$B248))+ISNUMBER(SEARCH("permit",$B248))+ISNUMBER(SEARCH("bir",$B248))+ISNUMBER(SEARCH("ltfrb",$B248))+ISNUMBER(SEARCH("misc",$B248))+ISNUMBER(SEARCH("fee",$B248))&gt;0,"Overhead","Overhead")))))))</f>
        <v/>
      </c>
      <c r="J248">
        <f>IF($A248="","",DATE(YEAR($A248),MONTH($A248),1))</f>
        <v/>
      </c>
      <c r="K248">
        <f>IF($B248="","",IF(COUNTIF(Setup!$A$99:$A$128,$B248)&gt;0,0,1))</f>
        <v/>
      </c>
      <c r="L248">
        <f>IF($B248="","",IF(ISNUMBER(SEARCH("advance",$B248)),"ADV",IF(OR(ISNUMBER(SEARCH("payout",$B248)),ISNUMBER(SEARCH("pay out",$B248)),ISNUMBER(SEARCH("release",$B248))),"PAY","")))</f>
        <v/>
      </c>
      <c r="M248">
        <f>IF($B248="","",IF(ISNUMBER(SEARCH("bulk",$B248)),0,IF(ISNUMBER(SEARCH("fuel",$B248))+ISNUMBER(SEARCH("diesel",$B248))+ISNUMBER(SEARCH("krudo",$B248))+ISNUMBER(SEARCH("gasolina",$B248))&gt;0,1,0)))</f>
        <v/>
      </c>
      <c r="N248">
        <f>IF($B248="","",IF(ISNUMBER(SEARCH("fuel",$B248))+ISNUMBER(SEARCH("diesel",$B248))+ISNUMBER(SEARCH("krudo",$B248))+ISNUMBER(SEARCH("gasolina",$B248))&gt;0,1,0))</f>
        <v/>
      </c>
    </row>
    <row r="249">
      <c r="A249" s="86" t="n"/>
      <c r="B249" s="88" t="n"/>
      <c r="C249" s="88" t="n"/>
      <c r="D249" s="87" t="n"/>
      <c r="E249" s="88" t="n"/>
      <c r="F249" s="92" t="n"/>
      <c r="G249" s="87" t="n"/>
      <c r="H249" s="87" t="n"/>
      <c r="I249" s="101">
        <f>IF($B249="","",IF(COUNTIF(Setup!$A$99:$A$128,$B249)&gt;0,IF(INDEX(Setup!$B$99:$B$128,MATCH($B249,Setup!$A$99:$A$128,0))="","Overhead",INDEX(Setup!$B$99:$B$128,MATCH($B249,Setup!$A$99:$A$128,0))),IF(ISNUMBER(SEARCH("advance",$B249))+ISNUMBER(SEARCH("payout",$B249))+ISNUMBER(SEARCH("pay out",$B249))+ISNUMBER(SEARCH("reimburs",$B249))&gt;0,"Transfer",IF(ISNUMBER(SEARCH("loan",$B249))+ISNUMBER(SEARCH("amort",$B249))+ISNUMBER(SEARCH("installment",$B249))+ISNUMBER(SEARCH("instalment",$B249))&gt;0,"Financing",IF(ISNUMBER(SEARCH("draw",$B249))+ISNUMBER(SEARCH("owner",$B249))+ISNUMBER(SEARCH("asset",$B249))+ISNUMBER(SEARCH("capital",$B249))&gt;0,"Other",IF(ISNUMBER(SEARCH("fuel",$B249))+ISNUMBER(SEARCH("diesel",$B249))+ISNUMBER(SEARCH("krudo",$B249))+ISNUMBER(SEARCH("gasolina",$B249))+ISNUMBER(SEARCH("toll",$B249))+ISNUMBER(SEARCH("parking",$B249))+ISNUMBER(SEARCH("repair",$B249))+ISNUMBER(SEARCH("maintenance",$B249))+ISNUMBER(SEARCH("tire",$B249))+ISNUMBER(SEARCH("tyre",$B249))+ISNUMBER(SEARCH("battery",$B249))+ISNUMBER(SEARCH("oil",$B249))+ISNUMBER(SEARCH("filter",$B249))+ISNUMBER(SEARCH("spare",$B249))+ISNUMBER(SEARCH("insurance",$B249))+ISNUMBER(SEARCH("lto",$B249))+ISNUMBER(SEARCH("registration",$B249))+ISNUMBER(SEARCH("emission",$B249))+ISNUMBER(SEARCH("wash",$B249))+ISNUMBER(SEARCH("weigh",$B249))+ISNUMBER(SEARCH("tarp",$B249))&gt;0,"Vehicle",IF(ISNUMBER(SEARCH("rent",$B249))+ISNUMBER(SEARCH("upa",$B249))+ISNUMBER(SEARCH("salary",$B249))+ISNUMBER(SEARCH("sweldo",$B249))+ISNUMBER(SEARCH("wage",$B249))+ISNUMBER(SEARCH("electric",$B249))+ISNUMBER(SEARCH("kuryente",$B249))+ISNUMBER(SEARCH("water",$B249))+ISNUMBER(SEARCH("tubig",$B249))+ISNUMBER(SEARCH("internet",$B249))+ISNUMBER(SEARCH("pldt",$B249))+ISNUMBER(SEARCH("meralco",$B249))+ISNUMBER(SEARCH("supplies",$B249))+ISNUMBER(SEARCH("office",$B249))+ISNUMBER(SEARCH("professional",$B249))+ISNUMBER(SEARCH("accountant",$B249))+ISNUMBER(SEARCH("lawyer",$B249))+ISNUMBER(SEARCH("broker",$B249))+ISNUMBER(SEARCH("bank",$B249))+ISNUMBER(SEARCH("charge",$B249))+ISNUMBER(SEARCH("permit",$B249))+ISNUMBER(SEARCH("bir",$B249))+ISNUMBER(SEARCH("ltfrb",$B249))+ISNUMBER(SEARCH("misc",$B249))+ISNUMBER(SEARCH("fee",$B249))&gt;0,"Overhead","Overhead")))))))</f>
        <v/>
      </c>
      <c r="J249">
        <f>IF($A249="","",DATE(YEAR($A249),MONTH($A249),1))</f>
        <v/>
      </c>
      <c r="K249">
        <f>IF($B249="","",IF(COUNTIF(Setup!$A$99:$A$128,$B249)&gt;0,0,1))</f>
        <v/>
      </c>
      <c r="L249">
        <f>IF($B249="","",IF(ISNUMBER(SEARCH("advance",$B249)),"ADV",IF(OR(ISNUMBER(SEARCH("payout",$B249)),ISNUMBER(SEARCH("pay out",$B249)),ISNUMBER(SEARCH("release",$B249))),"PAY","")))</f>
        <v/>
      </c>
      <c r="M249">
        <f>IF($B249="","",IF(ISNUMBER(SEARCH("bulk",$B249)),0,IF(ISNUMBER(SEARCH("fuel",$B249))+ISNUMBER(SEARCH("diesel",$B249))+ISNUMBER(SEARCH("krudo",$B249))+ISNUMBER(SEARCH("gasolina",$B249))&gt;0,1,0)))</f>
        <v/>
      </c>
      <c r="N249">
        <f>IF($B249="","",IF(ISNUMBER(SEARCH("fuel",$B249))+ISNUMBER(SEARCH("diesel",$B249))+ISNUMBER(SEARCH("krudo",$B249))+ISNUMBER(SEARCH("gasolina",$B249))&gt;0,1,0))</f>
        <v/>
      </c>
    </row>
    <row r="250">
      <c r="A250" s="94" t="n"/>
      <c r="B250" s="96" t="n"/>
      <c r="C250" s="96" t="n"/>
      <c r="D250" s="95" t="n"/>
      <c r="E250" s="96" t="n"/>
      <c r="F250" s="99" t="n"/>
      <c r="G250" s="95" t="n"/>
      <c r="H250" s="95" t="n"/>
      <c r="I250" s="101">
        <f>IF($B250="","",IF(COUNTIF(Setup!$A$99:$A$128,$B250)&gt;0,IF(INDEX(Setup!$B$99:$B$128,MATCH($B250,Setup!$A$99:$A$128,0))="","Overhead",INDEX(Setup!$B$99:$B$128,MATCH($B250,Setup!$A$99:$A$128,0))),IF(ISNUMBER(SEARCH("advance",$B250))+ISNUMBER(SEARCH("payout",$B250))+ISNUMBER(SEARCH("pay out",$B250))+ISNUMBER(SEARCH("reimburs",$B250))&gt;0,"Transfer",IF(ISNUMBER(SEARCH("loan",$B250))+ISNUMBER(SEARCH("amort",$B250))+ISNUMBER(SEARCH("installment",$B250))+ISNUMBER(SEARCH("instalment",$B250))&gt;0,"Financing",IF(ISNUMBER(SEARCH("draw",$B250))+ISNUMBER(SEARCH("owner",$B250))+ISNUMBER(SEARCH("asset",$B250))+ISNUMBER(SEARCH("capital",$B250))&gt;0,"Other",IF(ISNUMBER(SEARCH("fuel",$B250))+ISNUMBER(SEARCH("diesel",$B250))+ISNUMBER(SEARCH("krudo",$B250))+ISNUMBER(SEARCH("gasolina",$B250))+ISNUMBER(SEARCH("toll",$B250))+ISNUMBER(SEARCH("parking",$B250))+ISNUMBER(SEARCH("repair",$B250))+ISNUMBER(SEARCH("maintenance",$B250))+ISNUMBER(SEARCH("tire",$B250))+ISNUMBER(SEARCH("tyre",$B250))+ISNUMBER(SEARCH("battery",$B250))+ISNUMBER(SEARCH("oil",$B250))+ISNUMBER(SEARCH("filter",$B250))+ISNUMBER(SEARCH("spare",$B250))+ISNUMBER(SEARCH("insurance",$B250))+ISNUMBER(SEARCH("lto",$B250))+ISNUMBER(SEARCH("registration",$B250))+ISNUMBER(SEARCH("emission",$B250))+ISNUMBER(SEARCH("wash",$B250))+ISNUMBER(SEARCH("weigh",$B250))+ISNUMBER(SEARCH("tarp",$B250))&gt;0,"Vehicle",IF(ISNUMBER(SEARCH("rent",$B250))+ISNUMBER(SEARCH("upa",$B250))+ISNUMBER(SEARCH("salary",$B250))+ISNUMBER(SEARCH("sweldo",$B250))+ISNUMBER(SEARCH("wage",$B250))+ISNUMBER(SEARCH("electric",$B250))+ISNUMBER(SEARCH("kuryente",$B250))+ISNUMBER(SEARCH("water",$B250))+ISNUMBER(SEARCH("tubig",$B250))+ISNUMBER(SEARCH("internet",$B250))+ISNUMBER(SEARCH("pldt",$B250))+ISNUMBER(SEARCH("meralco",$B250))+ISNUMBER(SEARCH("supplies",$B250))+ISNUMBER(SEARCH("office",$B250))+ISNUMBER(SEARCH("professional",$B250))+ISNUMBER(SEARCH("accountant",$B250))+ISNUMBER(SEARCH("lawyer",$B250))+ISNUMBER(SEARCH("broker",$B250))+ISNUMBER(SEARCH("bank",$B250))+ISNUMBER(SEARCH("charge",$B250))+ISNUMBER(SEARCH("permit",$B250))+ISNUMBER(SEARCH("bir",$B250))+ISNUMBER(SEARCH("ltfrb",$B250))+ISNUMBER(SEARCH("misc",$B250))+ISNUMBER(SEARCH("fee",$B250))&gt;0,"Overhead","Overhead")))))))</f>
        <v/>
      </c>
      <c r="J250">
        <f>IF($A250="","",DATE(YEAR($A250),MONTH($A250),1))</f>
        <v/>
      </c>
      <c r="K250">
        <f>IF($B250="","",IF(COUNTIF(Setup!$A$99:$A$128,$B250)&gt;0,0,1))</f>
        <v/>
      </c>
      <c r="L250">
        <f>IF($B250="","",IF(ISNUMBER(SEARCH("advance",$B250)),"ADV",IF(OR(ISNUMBER(SEARCH("payout",$B250)),ISNUMBER(SEARCH("pay out",$B250)),ISNUMBER(SEARCH("release",$B250))),"PAY","")))</f>
        <v/>
      </c>
      <c r="M250">
        <f>IF($B250="","",IF(ISNUMBER(SEARCH("bulk",$B250)),0,IF(ISNUMBER(SEARCH("fuel",$B250))+ISNUMBER(SEARCH("diesel",$B250))+ISNUMBER(SEARCH("krudo",$B250))+ISNUMBER(SEARCH("gasolina",$B250))&gt;0,1,0)))</f>
        <v/>
      </c>
      <c r="N250">
        <f>IF($B250="","",IF(ISNUMBER(SEARCH("fuel",$B250))+ISNUMBER(SEARCH("diesel",$B250))+ISNUMBER(SEARCH("krudo",$B250))+ISNUMBER(SEARCH("gasolina",$B250))&gt;0,1,0))</f>
        <v/>
      </c>
    </row>
    <row r="251">
      <c r="A251" s="86" t="n"/>
      <c r="B251" s="88" t="n"/>
      <c r="C251" s="88" t="n"/>
      <c r="D251" s="87" t="n"/>
      <c r="E251" s="88" t="n"/>
      <c r="F251" s="92" t="n"/>
      <c r="G251" s="87" t="n"/>
      <c r="H251" s="87" t="n"/>
      <c r="I251" s="101">
        <f>IF($B251="","",IF(COUNTIF(Setup!$A$99:$A$128,$B251)&gt;0,IF(INDEX(Setup!$B$99:$B$128,MATCH($B251,Setup!$A$99:$A$128,0))="","Overhead",INDEX(Setup!$B$99:$B$128,MATCH($B251,Setup!$A$99:$A$128,0))),IF(ISNUMBER(SEARCH("advance",$B251))+ISNUMBER(SEARCH("payout",$B251))+ISNUMBER(SEARCH("pay out",$B251))+ISNUMBER(SEARCH("reimburs",$B251))&gt;0,"Transfer",IF(ISNUMBER(SEARCH("loan",$B251))+ISNUMBER(SEARCH("amort",$B251))+ISNUMBER(SEARCH("installment",$B251))+ISNUMBER(SEARCH("instalment",$B251))&gt;0,"Financing",IF(ISNUMBER(SEARCH("draw",$B251))+ISNUMBER(SEARCH("owner",$B251))+ISNUMBER(SEARCH("asset",$B251))+ISNUMBER(SEARCH("capital",$B251))&gt;0,"Other",IF(ISNUMBER(SEARCH("fuel",$B251))+ISNUMBER(SEARCH("diesel",$B251))+ISNUMBER(SEARCH("krudo",$B251))+ISNUMBER(SEARCH("gasolina",$B251))+ISNUMBER(SEARCH("toll",$B251))+ISNUMBER(SEARCH("parking",$B251))+ISNUMBER(SEARCH("repair",$B251))+ISNUMBER(SEARCH("maintenance",$B251))+ISNUMBER(SEARCH("tire",$B251))+ISNUMBER(SEARCH("tyre",$B251))+ISNUMBER(SEARCH("battery",$B251))+ISNUMBER(SEARCH("oil",$B251))+ISNUMBER(SEARCH("filter",$B251))+ISNUMBER(SEARCH("spare",$B251))+ISNUMBER(SEARCH("insurance",$B251))+ISNUMBER(SEARCH("lto",$B251))+ISNUMBER(SEARCH("registration",$B251))+ISNUMBER(SEARCH("emission",$B251))+ISNUMBER(SEARCH("wash",$B251))+ISNUMBER(SEARCH("weigh",$B251))+ISNUMBER(SEARCH("tarp",$B251))&gt;0,"Vehicle",IF(ISNUMBER(SEARCH("rent",$B251))+ISNUMBER(SEARCH("upa",$B251))+ISNUMBER(SEARCH("salary",$B251))+ISNUMBER(SEARCH("sweldo",$B251))+ISNUMBER(SEARCH("wage",$B251))+ISNUMBER(SEARCH("electric",$B251))+ISNUMBER(SEARCH("kuryente",$B251))+ISNUMBER(SEARCH("water",$B251))+ISNUMBER(SEARCH("tubig",$B251))+ISNUMBER(SEARCH("internet",$B251))+ISNUMBER(SEARCH("pldt",$B251))+ISNUMBER(SEARCH("meralco",$B251))+ISNUMBER(SEARCH("supplies",$B251))+ISNUMBER(SEARCH("office",$B251))+ISNUMBER(SEARCH("professional",$B251))+ISNUMBER(SEARCH("accountant",$B251))+ISNUMBER(SEARCH("lawyer",$B251))+ISNUMBER(SEARCH("broker",$B251))+ISNUMBER(SEARCH("bank",$B251))+ISNUMBER(SEARCH("charge",$B251))+ISNUMBER(SEARCH("permit",$B251))+ISNUMBER(SEARCH("bir",$B251))+ISNUMBER(SEARCH("ltfrb",$B251))+ISNUMBER(SEARCH("misc",$B251))+ISNUMBER(SEARCH("fee",$B251))&gt;0,"Overhead","Overhead")))))))</f>
        <v/>
      </c>
      <c r="J251">
        <f>IF($A251="","",DATE(YEAR($A251),MONTH($A251),1))</f>
        <v/>
      </c>
      <c r="K251">
        <f>IF($B251="","",IF(COUNTIF(Setup!$A$99:$A$128,$B251)&gt;0,0,1))</f>
        <v/>
      </c>
      <c r="L251">
        <f>IF($B251="","",IF(ISNUMBER(SEARCH("advance",$B251)),"ADV",IF(OR(ISNUMBER(SEARCH("payout",$B251)),ISNUMBER(SEARCH("pay out",$B251)),ISNUMBER(SEARCH("release",$B251))),"PAY","")))</f>
        <v/>
      </c>
      <c r="M251">
        <f>IF($B251="","",IF(ISNUMBER(SEARCH("bulk",$B251)),0,IF(ISNUMBER(SEARCH("fuel",$B251))+ISNUMBER(SEARCH("diesel",$B251))+ISNUMBER(SEARCH("krudo",$B251))+ISNUMBER(SEARCH("gasolina",$B251))&gt;0,1,0)))</f>
        <v/>
      </c>
      <c r="N251">
        <f>IF($B251="","",IF(ISNUMBER(SEARCH("fuel",$B251))+ISNUMBER(SEARCH("diesel",$B251))+ISNUMBER(SEARCH("krudo",$B251))+ISNUMBER(SEARCH("gasolina",$B251))&gt;0,1,0))</f>
        <v/>
      </c>
    </row>
    <row r="252">
      <c r="A252" s="94" t="n"/>
      <c r="B252" s="96" t="n"/>
      <c r="C252" s="96" t="n"/>
      <c r="D252" s="95" t="n"/>
      <c r="E252" s="96" t="n"/>
      <c r="F252" s="99" t="n"/>
      <c r="G252" s="95" t="n"/>
      <c r="H252" s="95" t="n"/>
      <c r="I252" s="101">
        <f>IF($B252="","",IF(COUNTIF(Setup!$A$99:$A$128,$B252)&gt;0,IF(INDEX(Setup!$B$99:$B$128,MATCH($B252,Setup!$A$99:$A$128,0))="","Overhead",INDEX(Setup!$B$99:$B$128,MATCH($B252,Setup!$A$99:$A$128,0))),IF(ISNUMBER(SEARCH("advance",$B252))+ISNUMBER(SEARCH("payout",$B252))+ISNUMBER(SEARCH("pay out",$B252))+ISNUMBER(SEARCH("reimburs",$B252))&gt;0,"Transfer",IF(ISNUMBER(SEARCH("loan",$B252))+ISNUMBER(SEARCH("amort",$B252))+ISNUMBER(SEARCH("installment",$B252))+ISNUMBER(SEARCH("instalment",$B252))&gt;0,"Financing",IF(ISNUMBER(SEARCH("draw",$B252))+ISNUMBER(SEARCH("owner",$B252))+ISNUMBER(SEARCH("asset",$B252))+ISNUMBER(SEARCH("capital",$B252))&gt;0,"Other",IF(ISNUMBER(SEARCH("fuel",$B252))+ISNUMBER(SEARCH("diesel",$B252))+ISNUMBER(SEARCH("krudo",$B252))+ISNUMBER(SEARCH("gasolina",$B252))+ISNUMBER(SEARCH("toll",$B252))+ISNUMBER(SEARCH("parking",$B252))+ISNUMBER(SEARCH("repair",$B252))+ISNUMBER(SEARCH("maintenance",$B252))+ISNUMBER(SEARCH("tire",$B252))+ISNUMBER(SEARCH("tyre",$B252))+ISNUMBER(SEARCH("battery",$B252))+ISNUMBER(SEARCH("oil",$B252))+ISNUMBER(SEARCH("filter",$B252))+ISNUMBER(SEARCH("spare",$B252))+ISNUMBER(SEARCH("insurance",$B252))+ISNUMBER(SEARCH("lto",$B252))+ISNUMBER(SEARCH("registration",$B252))+ISNUMBER(SEARCH("emission",$B252))+ISNUMBER(SEARCH("wash",$B252))+ISNUMBER(SEARCH("weigh",$B252))+ISNUMBER(SEARCH("tarp",$B252))&gt;0,"Vehicle",IF(ISNUMBER(SEARCH("rent",$B252))+ISNUMBER(SEARCH("upa",$B252))+ISNUMBER(SEARCH("salary",$B252))+ISNUMBER(SEARCH("sweldo",$B252))+ISNUMBER(SEARCH("wage",$B252))+ISNUMBER(SEARCH("electric",$B252))+ISNUMBER(SEARCH("kuryente",$B252))+ISNUMBER(SEARCH("water",$B252))+ISNUMBER(SEARCH("tubig",$B252))+ISNUMBER(SEARCH("internet",$B252))+ISNUMBER(SEARCH("pldt",$B252))+ISNUMBER(SEARCH("meralco",$B252))+ISNUMBER(SEARCH("supplies",$B252))+ISNUMBER(SEARCH("office",$B252))+ISNUMBER(SEARCH("professional",$B252))+ISNUMBER(SEARCH("accountant",$B252))+ISNUMBER(SEARCH("lawyer",$B252))+ISNUMBER(SEARCH("broker",$B252))+ISNUMBER(SEARCH("bank",$B252))+ISNUMBER(SEARCH("charge",$B252))+ISNUMBER(SEARCH("permit",$B252))+ISNUMBER(SEARCH("bir",$B252))+ISNUMBER(SEARCH("ltfrb",$B252))+ISNUMBER(SEARCH("misc",$B252))+ISNUMBER(SEARCH("fee",$B252))&gt;0,"Overhead","Overhead")))))))</f>
        <v/>
      </c>
      <c r="J252">
        <f>IF($A252="","",DATE(YEAR($A252),MONTH($A252),1))</f>
        <v/>
      </c>
      <c r="K252">
        <f>IF($B252="","",IF(COUNTIF(Setup!$A$99:$A$128,$B252)&gt;0,0,1))</f>
        <v/>
      </c>
      <c r="L252">
        <f>IF($B252="","",IF(ISNUMBER(SEARCH("advance",$B252)),"ADV",IF(OR(ISNUMBER(SEARCH("payout",$B252)),ISNUMBER(SEARCH("pay out",$B252)),ISNUMBER(SEARCH("release",$B252))),"PAY","")))</f>
        <v/>
      </c>
      <c r="M252">
        <f>IF($B252="","",IF(ISNUMBER(SEARCH("bulk",$B252)),0,IF(ISNUMBER(SEARCH("fuel",$B252))+ISNUMBER(SEARCH("diesel",$B252))+ISNUMBER(SEARCH("krudo",$B252))+ISNUMBER(SEARCH("gasolina",$B252))&gt;0,1,0)))</f>
        <v/>
      </c>
      <c r="N252">
        <f>IF($B252="","",IF(ISNUMBER(SEARCH("fuel",$B252))+ISNUMBER(SEARCH("diesel",$B252))+ISNUMBER(SEARCH("krudo",$B252))+ISNUMBER(SEARCH("gasolina",$B252))&gt;0,1,0))</f>
        <v/>
      </c>
    </row>
    <row r="253">
      <c r="A253" s="86" t="n"/>
      <c r="B253" s="88" t="n"/>
      <c r="C253" s="88" t="n"/>
      <c r="D253" s="87" t="n"/>
      <c r="E253" s="88" t="n"/>
      <c r="F253" s="92" t="n"/>
      <c r="G253" s="87" t="n"/>
      <c r="H253" s="87" t="n"/>
      <c r="I253" s="101">
        <f>IF($B253="","",IF(COUNTIF(Setup!$A$99:$A$128,$B253)&gt;0,IF(INDEX(Setup!$B$99:$B$128,MATCH($B253,Setup!$A$99:$A$128,0))="","Overhead",INDEX(Setup!$B$99:$B$128,MATCH($B253,Setup!$A$99:$A$128,0))),IF(ISNUMBER(SEARCH("advance",$B253))+ISNUMBER(SEARCH("payout",$B253))+ISNUMBER(SEARCH("pay out",$B253))+ISNUMBER(SEARCH("reimburs",$B253))&gt;0,"Transfer",IF(ISNUMBER(SEARCH("loan",$B253))+ISNUMBER(SEARCH("amort",$B253))+ISNUMBER(SEARCH("installment",$B253))+ISNUMBER(SEARCH("instalment",$B253))&gt;0,"Financing",IF(ISNUMBER(SEARCH("draw",$B253))+ISNUMBER(SEARCH("owner",$B253))+ISNUMBER(SEARCH("asset",$B253))+ISNUMBER(SEARCH("capital",$B253))&gt;0,"Other",IF(ISNUMBER(SEARCH("fuel",$B253))+ISNUMBER(SEARCH("diesel",$B253))+ISNUMBER(SEARCH("krudo",$B253))+ISNUMBER(SEARCH("gasolina",$B253))+ISNUMBER(SEARCH("toll",$B253))+ISNUMBER(SEARCH("parking",$B253))+ISNUMBER(SEARCH("repair",$B253))+ISNUMBER(SEARCH("maintenance",$B253))+ISNUMBER(SEARCH("tire",$B253))+ISNUMBER(SEARCH("tyre",$B253))+ISNUMBER(SEARCH("battery",$B253))+ISNUMBER(SEARCH("oil",$B253))+ISNUMBER(SEARCH("filter",$B253))+ISNUMBER(SEARCH("spare",$B253))+ISNUMBER(SEARCH("insurance",$B253))+ISNUMBER(SEARCH("lto",$B253))+ISNUMBER(SEARCH("registration",$B253))+ISNUMBER(SEARCH("emission",$B253))+ISNUMBER(SEARCH("wash",$B253))+ISNUMBER(SEARCH("weigh",$B253))+ISNUMBER(SEARCH("tarp",$B253))&gt;0,"Vehicle",IF(ISNUMBER(SEARCH("rent",$B253))+ISNUMBER(SEARCH("upa",$B253))+ISNUMBER(SEARCH("salary",$B253))+ISNUMBER(SEARCH("sweldo",$B253))+ISNUMBER(SEARCH("wage",$B253))+ISNUMBER(SEARCH("electric",$B253))+ISNUMBER(SEARCH("kuryente",$B253))+ISNUMBER(SEARCH("water",$B253))+ISNUMBER(SEARCH("tubig",$B253))+ISNUMBER(SEARCH("internet",$B253))+ISNUMBER(SEARCH("pldt",$B253))+ISNUMBER(SEARCH("meralco",$B253))+ISNUMBER(SEARCH("supplies",$B253))+ISNUMBER(SEARCH("office",$B253))+ISNUMBER(SEARCH("professional",$B253))+ISNUMBER(SEARCH("accountant",$B253))+ISNUMBER(SEARCH("lawyer",$B253))+ISNUMBER(SEARCH("broker",$B253))+ISNUMBER(SEARCH("bank",$B253))+ISNUMBER(SEARCH("charge",$B253))+ISNUMBER(SEARCH("permit",$B253))+ISNUMBER(SEARCH("bir",$B253))+ISNUMBER(SEARCH("ltfrb",$B253))+ISNUMBER(SEARCH("misc",$B253))+ISNUMBER(SEARCH("fee",$B253))&gt;0,"Overhead","Overhead")))))))</f>
        <v/>
      </c>
      <c r="J253">
        <f>IF($A253="","",DATE(YEAR($A253),MONTH($A253),1))</f>
        <v/>
      </c>
      <c r="K253">
        <f>IF($B253="","",IF(COUNTIF(Setup!$A$99:$A$128,$B253)&gt;0,0,1))</f>
        <v/>
      </c>
      <c r="L253">
        <f>IF($B253="","",IF(ISNUMBER(SEARCH("advance",$B253)),"ADV",IF(OR(ISNUMBER(SEARCH("payout",$B253)),ISNUMBER(SEARCH("pay out",$B253)),ISNUMBER(SEARCH("release",$B253))),"PAY","")))</f>
        <v/>
      </c>
      <c r="M253">
        <f>IF($B253="","",IF(ISNUMBER(SEARCH("bulk",$B253)),0,IF(ISNUMBER(SEARCH("fuel",$B253))+ISNUMBER(SEARCH("diesel",$B253))+ISNUMBER(SEARCH("krudo",$B253))+ISNUMBER(SEARCH("gasolina",$B253))&gt;0,1,0)))</f>
        <v/>
      </c>
      <c r="N253">
        <f>IF($B253="","",IF(ISNUMBER(SEARCH("fuel",$B253))+ISNUMBER(SEARCH("diesel",$B253))+ISNUMBER(SEARCH("krudo",$B253))+ISNUMBER(SEARCH("gasolina",$B253))&gt;0,1,0))</f>
        <v/>
      </c>
    </row>
    <row r="254">
      <c r="A254" s="94" t="n"/>
      <c r="B254" s="96" t="n"/>
      <c r="C254" s="96" t="n"/>
      <c r="D254" s="95" t="n"/>
      <c r="E254" s="96" t="n"/>
      <c r="F254" s="99" t="n"/>
      <c r="G254" s="95" t="n"/>
      <c r="H254" s="95" t="n"/>
      <c r="I254" s="101">
        <f>IF($B254="","",IF(COUNTIF(Setup!$A$99:$A$128,$B254)&gt;0,IF(INDEX(Setup!$B$99:$B$128,MATCH($B254,Setup!$A$99:$A$128,0))="","Overhead",INDEX(Setup!$B$99:$B$128,MATCH($B254,Setup!$A$99:$A$128,0))),IF(ISNUMBER(SEARCH("advance",$B254))+ISNUMBER(SEARCH("payout",$B254))+ISNUMBER(SEARCH("pay out",$B254))+ISNUMBER(SEARCH("reimburs",$B254))&gt;0,"Transfer",IF(ISNUMBER(SEARCH("loan",$B254))+ISNUMBER(SEARCH("amort",$B254))+ISNUMBER(SEARCH("installment",$B254))+ISNUMBER(SEARCH("instalment",$B254))&gt;0,"Financing",IF(ISNUMBER(SEARCH("draw",$B254))+ISNUMBER(SEARCH("owner",$B254))+ISNUMBER(SEARCH("asset",$B254))+ISNUMBER(SEARCH("capital",$B254))&gt;0,"Other",IF(ISNUMBER(SEARCH("fuel",$B254))+ISNUMBER(SEARCH("diesel",$B254))+ISNUMBER(SEARCH("krudo",$B254))+ISNUMBER(SEARCH("gasolina",$B254))+ISNUMBER(SEARCH("toll",$B254))+ISNUMBER(SEARCH("parking",$B254))+ISNUMBER(SEARCH("repair",$B254))+ISNUMBER(SEARCH("maintenance",$B254))+ISNUMBER(SEARCH("tire",$B254))+ISNUMBER(SEARCH("tyre",$B254))+ISNUMBER(SEARCH("battery",$B254))+ISNUMBER(SEARCH("oil",$B254))+ISNUMBER(SEARCH("filter",$B254))+ISNUMBER(SEARCH("spare",$B254))+ISNUMBER(SEARCH("insurance",$B254))+ISNUMBER(SEARCH("lto",$B254))+ISNUMBER(SEARCH("registration",$B254))+ISNUMBER(SEARCH("emission",$B254))+ISNUMBER(SEARCH("wash",$B254))+ISNUMBER(SEARCH("weigh",$B254))+ISNUMBER(SEARCH("tarp",$B254))&gt;0,"Vehicle",IF(ISNUMBER(SEARCH("rent",$B254))+ISNUMBER(SEARCH("upa",$B254))+ISNUMBER(SEARCH("salary",$B254))+ISNUMBER(SEARCH("sweldo",$B254))+ISNUMBER(SEARCH("wage",$B254))+ISNUMBER(SEARCH("electric",$B254))+ISNUMBER(SEARCH("kuryente",$B254))+ISNUMBER(SEARCH("water",$B254))+ISNUMBER(SEARCH("tubig",$B254))+ISNUMBER(SEARCH("internet",$B254))+ISNUMBER(SEARCH("pldt",$B254))+ISNUMBER(SEARCH("meralco",$B254))+ISNUMBER(SEARCH("supplies",$B254))+ISNUMBER(SEARCH("office",$B254))+ISNUMBER(SEARCH("professional",$B254))+ISNUMBER(SEARCH("accountant",$B254))+ISNUMBER(SEARCH("lawyer",$B254))+ISNUMBER(SEARCH("broker",$B254))+ISNUMBER(SEARCH("bank",$B254))+ISNUMBER(SEARCH("charge",$B254))+ISNUMBER(SEARCH("permit",$B254))+ISNUMBER(SEARCH("bir",$B254))+ISNUMBER(SEARCH("ltfrb",$B254))+ISNUMBER(SEARCH("misc",$B254))+ISNUMBER(SEARCH("fee",$B254))&gt;0,"Overhead","Overhead")))))))</f>
        <v/>
      </c>
      <c r="J254">
        <f>IF($A254="","",DATE(YEAR($A254),MONTH($A254),1))</f>
        <v/>
      </c>
      <c r="K254">
        <f>IF($B254="","",IF(COUNTIF(Setup!$A$99:$A$128,$B254)&gt;0,0,1))</f>
        <v/>
      </c>
      <c r="L254">
        <f>IF($B254="","",IF(ISNUMBER(SEARCH("advance",$B254)),"ADV",IF(OR(ISNUMBER(SEARCH("payout",$B254)),ISNUMBER(SEARCH("pay out",$B254)),ISNUMBER(SEARCH("release",$B254))),"PAY","")))</f>
        <v/>
      </c>
      <c r="M254">
        <f>IF($B254="","",IF(ISNUMBER(SEARCH("bulk",$B254)),0,IF(ISNUMBER(SEARCH("fuel",$B254))+ISNUMBER(SEARCH("diesel",$B254))+ISNUMBER(SEARCH("krudo",$B254))+ISNUMBER(SEARCH("gasolina",$B254))&gt;0,1,0)))</f>
        <v/>
      </c>
      <c r="N254">
        <f>IF($B254="","",IF(ISNUMBER(SEARCH("fuel",$B254))+ISNUMBER(SEARCH("diesel",$B254))+ISNUMBER(SEARCH("krudo",$B254))+ISNUMBER(SEARCH("gasolina",$B254))&gt;0,1,0))</f>
        <v/>
      </c>
    </row>
    <row r="255">
      <c r="A255" s="86" t="n"/>
      <c r="B255" s="88" t="n"/>
      <c r="C255" s="88" t="n"/>
      <c r="D255" s="87" t="n"/>
      <c r="E255" s="88" t="n"/>
      <c r="F255" s="92" t="n"/>
      <c r="G255" s="87" t="n"/>
      <c r="H255" s="87" t="n"/>
      <c r="I255" s="101">
        <f>IF($B255="","",IF(COUNTIF(Setup!$A$99:$A$128,$B255)&gt;0,IF(INDEX(Setup!$B$99:$B$128,MATCH($B255,Setup!$A$99:$A$128,0))="","Overhead",INDEX(Setup!$B$99:$B$128,MATCH($B255,Setup!$A$99:$A$128,0))),IF(ISNUMBER(SEARCH("advance",$B255))+ISNUMBER(SEARCH("payout",$B255))+ISNUMBER(SEARCH("pay out",$B255))+ISNUMBER(SEARCH("reimburs",$B255))&gt;0,"Transfer",IF(ISNUMBER(SEARCH("loan",$B255))+ISNUMBER(SEARCH("amort",$B255))+ISNUMBER(SEARCH("installment",$B255))+ISNUMBER(SEARCH("instalment",$B255))&gt;0,"Financing",IF(ISNUMBER(SEARCH("draw",$B255))+ISNUMBER(SEARCH("owner",$B255))+ISNUMBER(SEARCH("asset",$B255))+ISNUMBER(SEARCH("capital",$B255))&gt;0,"Other",IF(ISNUMBER(SEARCH("fuel",$B255))+ISNUMBER(SEARCH("diesel",$B255))+ISNUMBER(SEARCH("krudo",$B255))+ISNUMBER(SEARCH("gasolina",$B255))+ISNUMBER(SEARCH("toll",$B255))+ISNUMBER(SEARCH("parking",$B255))+ISNUMBER(SEARCH("repair",$B255))+ISNUMBER(SEARCH("maintenance",$B255))+ISNUMBER(SEARCH("tire",$B255))+ISNUMBER(SEARCH("tyre",$B255))+ISNUMBER(SEARCH("battery",$B255))+ISNUMBER(SEARCH("oil",$B255))+ISNUMBER(SEARCH("filter",$B255))+ISNUMBER(SEARCH("spare",$B255))+ISNUMBER(SEARCH("insurance",$B255))+ISNUMBER(SEARCH("lto",$B255))+ISNUMBER(SEARCH("registration",$B255))+ISNUMBER(SEARCH("emission",$B255))+ISNUMBER(SEARCH("wash",$B255))+ISNUMBER(SEARCH("weigh",$B255))+ISNUMBER(SEARCH("tarp",$B255))&gt;0,"Vehicle",IF(ISNUMBER(SEARCH("rent",$B255))+ISNUMBER(SEARCH("upa",$B255))+ISNUMBER(SEARCH("salary",$B255))+ISNUMBER(SEARCH("sweldo",$B255))+ISNUMBER(SEARCH("wage",$B255))+ISNUMBER(SEARCH("electric",$B255))+ISNUMBER(SEARCH("kuryente",$B255))+ISNUMBER(SEARCH("water",$B255))+ISNUMBER(SEARCH("tubig",$B255))+ISNUMBER(SEARCH("internet",$B255))+ISNUMBER(SEARCH("pldt",$B255))+ISNUMBER(SEARCH("meralco",$B255))+ISNUMBER(SEARCH("supplies",$B255))+ISNUMBER(SEARCH("office",$B255))+ISNUMBER(SEARCH("professional",$B255))+ISNUMBER(SEARCH("accountant",$B255))+ISNUMBER(SEARCH("lawyer",$B255))+ISNUMBER(SEARCH("broker",$B255))+ISNUMBER(SEARCH("bank",$B255))+ISNUMBER(SEARCH("charge",$B255))+ISNUMBER(SEARCH("permit",$B255))+ISNUMBER(SEARCH("bir",$B255))+ISNUMBER(SEARCH("ltfrb",$B255))+ISNUMBER(SEARCH("misc",$B255))+ISNUMBER(SEARCH("fee",$B255))&gt;0,"Overhead","Overhead")))))))</f>
        <v/>
      </c>
      <c r="J255">
        <f>IF($A255="","",DATE(YEAR($A255),MONTH($A255),1))</f>
        <v/>
      </c>
      <c r="K255">
        <f>IF($B255="","",IF(COUNTIF(Setup!$A$99:$A$128,$B255)&gt;0,0,1))</f>
        <v/>
      </c>
      <c r="L255">
        <f>IF($B255="","",IF(ISNUMBER(SEARCH("advance",$B255)),"ADV",IF(OR(ISNUMBER(SEARCH("payout",$B255)),ISNUMBER(SEARCH("pay out",$B255)),ISNUMBER(SEARCH("release",$B255))),"PAY","")))</f>
        <v/>
      </c>
      <c r="M255">
        <f>IF($B255="","",IF(ISNUMBER(SEARCH("bulk",$B255)),0,IF(ISNUMBER(SEARCH("fuel",$B255))+ISNUMBER(SEARCH("diesel",$B255))+ISNUMBER(SEARCH("krudo",$B255))+ISNUMBER(SEARCH("gasolina",$B255))&gt;0,1,0)))</f>
        <v/>
      </c>
      <c r="N255">
        <f>IF($B255="","",IF(ISNUMBER(SEARCH("fuel",$B255))+ISNUMBER(SEARCH("diesel",$B255))+ISNUMBER(SEARCH("krudo",$B255))+ISNUMBER(SEARCH("gasolina",$B255))&gt;0,1,0))</f>
        <v/>
      </c>
    </row>
    <row r="256">
      <c r="A256" s="94" t="n"/>
      <c r="B256" s="96" t="n"/>
      <c r="C256" s="96" t="n"/>
      <c r="D256" s="95" t="n"/>
      <c r="E256" s="96" t="n"/>
      <c r="F256" s="99" t="n"/>
      <c r="G256" s="95" t="n"/>
      <c r="H256" s="95" t="n"/>
      <c r="I256" s="101">
        <f>IF($B256="","",IF(COUNTIF(Setup!$A$99:$A$128,$B256)&gt;0,IF(INDEX(Setup!$B$99:$B$128,MATCH($B256,Setup!$A$99:$A$128,0))="","Overhead",INDEX(Setup!$B$99:$B$128,MATCH($B256,Setup!$A$99:$A$128,0))),IF(ISNUMBER(SEARCH("advance",$B256))+ISNUMBER(SEARCH("payout",$B256))+ISNUMBER(SEARCH("pay out",$B256))+ISNUMBER(SEARCH("reimburs",$B256))&gt;0,"Transfer",IF(ISNUMBER(SEARCH("loan",$B256))+ISNUMBER(SEARCH("amort",$B256))+ISNUMBER(SEARCH("installment",$B256))+ISNUMBER(SEARCH("instalment",$B256))&gt;0,"Financing",IF(ISNUMBER(SEARCH("draw",$B256))+ISNUMBER(SEARCH("owner",$B256))+ISNUMBER(SEARCH("asset",$B256))+ISNUMBER(SEARCH("capital",$B256))&gt;0,"Other",IF(ISNUMBER(SEARCH("fuel",$B256))+ISNUMBER(SEARCH("diesel",$B256))+ISNUMBER(SEARCH("krudo",$B256))+ISNUMBER(SEARCH("gasolina",$B256))+ISNUMBER(SEARCH("toll",$B256))+ISNUMBER(SEARCH("parking",$B256))+ISNUMBER(SEARCH("repair",$B256))+ISNUMBER(SEARCH("maintenance",$B256))+ISNUMBER(SEARCH("tire",$B256))+ISNUMBER(SEARCH("tyre",$B256))+ISNUMBER(SEARCH("battery",$B256))+ISNUMBER(SEARCH("oil",$B256))+ISNUMBER(SEARCH("filter",$B256))+ISNUMBER(SEARCH("spare",$B256))+ISNUMBER(SEARCH("insurance",$B256))+ISNUMBER(SEARCH("lto",$B256))+ISNUMBER(SEARCH("registration",$B256))+ISNUMBER(SEARCH("emission",$B256))+ISNUMBER(SEARCH("wash",$B256))+ISNUMBER(SEARCH("weigh",$B256))+ISNUMBER(SEARCH("tarp",$B256))&gt;0,"Vehicle",IF(ISNUMBER(SEARCH("rent",$B256))+ISNUMBER(SEARCH("upa",$B256))+ISNUMBER(SEARCH("salary",$B256))+ISNUMBER(SEARCH("sweldo",$B256))+ISNUMBER(SEARCH("wage",$B256))+ISNUMBER(SEARCH("electric",$B256))+ISNUMBER(SEARCH("kuryente",$B256))+ISNUMBER(SEARCH("water",$B256))+ISNUMBER(SEARCH("tubig",$B256))+ISNUMBER(SEARCH("internet",$B256))+ISNUMBER(SEARCH("pldt",$B256))+ISNUMBER(SEARCH("meralco",$B256))+ISNUMBER(SEARCH("supplies",$B256))+ISNUMBER(SEARCH("office",$B256))+ISNUMBER(SEARCH("professional",$B256))+ISNUMBER(SEARCH("accountant",$B256))+ISNUMBER(SEARCH("lawyer",$B256))+ISNUMBER(SEARCH("broker",$B256))+ISNUMBER(SEARCH("bank",$B256))+ISNUMBER(SEARCH("charge",$B256))+ISNUMBER(SEARCH("permit",$B256))+ISNUMBER(SEARCH("bir",$B256))+ISNUMBER(SEARCH("ltfrb",$B256))+ISNUMBER(SEARCH("misc",$B256))+ISNUMBER(SEARCH("fee",$B256))&gt;0,"Overhead","Overhead")))))))</f>
        <v/>
      </c>
      <c r="J256">
        <f>IF($A256="","",DATE(YEAR($A256),MONTH($A256),1))</f>
        <v/>
      </c>
      <c r="K256">
        <f>IF($B256="","",IF(COUNTIF(Setup!$A$99:$A$128,$B256)&gt;0,0,1))</f>
        <v/>
      </c>
      <c r="L256">
        <f>IF($B256="","",IF(ISNUMBER(SEARCH("advance",$B256)),"ADV",IF(OR(ISNUMBER(SEARCH("payout",$B256)),ISNUMBER(SEARCH("pay out",$B256)),ISNUMBER(SEARCH("release",$B256))),"PAY","")))</f>
        <v/>
      </c>
      <c r="M256">
        <f>IF($B256="","",IF(ISNUMBER(SEARCH("bulk",$B256)),0,IF(ISNUMBER(SEARCH("fuel",$B256))+ISNUMBER(SEARCH("diesel",$B256))+ISNUMBER(SEARCH("krudo",$B256))+ISNUMBER(SEARCH("gasolina",$B256))&gt;0,1,0)))</f>
        <v/>
      </c>
      <c r="N256">
        <f>IF($B256="","",IF(ISNUMBER(SEARCH("fuel",$B256))+ISNUMBER(SEARCH("diesel",$B256))+ISNUMBER(SEARCH("krudo",$B256))+ISNUMBER(SEARCH("gasolina",$B256))&gt;0,1,0))</f>
        <v/>
      </c>
    </row>
    <row r="257">
      <c r="A257" s="86" t="n"/>
      <c r="B257" s="88" t="n"/>
      <c r="C257" s="88" t="n"/>
      <c r="D257" s="87" t="n"/>
      <c r="E257" s="88" t="n"/>
      <c r="F257" s="92" t="n"/>
      <c r="G257" s="87" t="n"/>
      <c r="H257" s="87" t="n"/>
      <c r="I257" s="101">
        <f>IF($B257="","",IF(COUNTIF(Setup!$A$99:$A$128,$B257)&gt;0,IF(INDEX(Setup!$B$99:$B$128,MATCH($B257,Setup!$A$99:$A$128,0))="","Overhead",INDEX(Setup!$B$99:$B$128,MATCH($B257,Setup!$A$99:$A$128,0))),IF(ISNUMBER(SEARCH("advance",$B257))+ISNUMBER(SEARCH("payout",$B257))+ISNUMBER(SEARCH("pay out",$B257))+ISNUMBER(SEARCH("reimburs",$B257))&gt;0,"Transfer",IF(ISNUMBER(SEARCH("loan",$B257))+ISNUMBER(SEARCH("amort",$B257))+ISNUMBER(SEARCH("installment",$B257))+ISNUMBER(SEARCH("instalment",$B257))&gt;0,"Financing",IF(ISNUMBER(SEARCH("draw",$B257))+ISNUMBER(SEARCH("owner",$B257))+ISNUMBER(SEARCH("asset",$B257))+ISNUMBER(SEARCH("capital",$B257))&gt;0,"Other",IF(ISNUMBER(SEARCH("fuel",$B257))+ISNUMBER(SEARCH("diesel",$B257))+ISNUMBER(SEARCH("krudo",$B257))+ISNUMBER(SEARCH("gasolina",$B257))+ISNUMBER(SEARCH("toll",$B257))+ISNUMBER(SEARCH("parking",$B257))+ISNUMBER(SEARCH("repair",$B257))+ISNUMBER(SEARCH("maintenance",$B257))+ISNUMBER(SEARCH("tire",$B257))+ISNUMBER(SEARCH("tyre",$B257))+ISNUMBER(SEARCH("battery",$B257))+ISNUMBER(SEARCH("oil",$B257))+ISNUMBER(SEARCH("filter",$B257))+ISNUMBER(SEARCH("spare",$B257))+ISNUMBER(SEARCH("insurance",$B257))+ISNUMBER(SEARCH("lto",$B257))+ISNUMBER(SEARCH("registration",$B257))+ISNUMBER(SEARCH("emission",$B257))+ISNUMBER(SEARCH("wash",$B257))+ISNUMBER(SEARCH("weigh",$B257))+ISNUMBER(SEARCH("tarp",$B257))&gt;0,"Vehicle",IF(ISNUMBER(SEARCH("rent",$B257))+ISNUMBER(SEARCH("upa",$B257))+ISNUMBER(SEARCH("salary",$B257))+ISNUMBER(SEARCH("sweldo",$B257))+ISNUMBER(SEARCH("wage",$B257))+ISNUMBER(SEARCH("electric",$B257))+ISNUMBER(SEARCH("kuryente",$B257))+ISNUMBER(SEARCH("water",$B257))+ISNUMBER(SEARCH("tubig",$B257))+ISNUMBER(SEARCH("internet",$B257))+ISNUMBER(SEARCH("pldt",$B257))+ISNUMBER(SEARCH("meralco",$B257))+ISNUMBER(SEARCH("supplies",$B257))+ISNUMBER(SEARCH("office",$B257))+ISNUMBER(SEARCH("professional",$B257))+ISNUMBER(SEARCH("accountant",$B257))+ISNUMBER(SEARCH("lawyer",$B257))+ISNUMBER(SEARCH("broker",$B257))+ISNUMBER(SEARCH("bank",$B257))+ISNUMBER(SEARCH("charge",$B257))+ISNUMBER(SEARCH("permit",$B257))+ISNUMBER(SEARCH("bir",$B257))+ISNUMBER(SEARCH("ltfrb",$B257))+ISNUMBER(SEARCH("misc",$B257))+ISNUMBER(SEARCH("fee",$B257))&gt;0,"Overhead","Overhead")))))))</f>
        <v/>
      </c>
      <c r="J257">
        <f>IF($A257="","",DATE(YEAR($A257),MONTH($A257),1))</f>
        <v/>
      </c>
      <c r="K257">
        <f>IF($B257="","",IF(COUNTIF(Setup!$A$99:$A$128,$B257)&gt;0,0,1))</f>
        <v/>
      </c>
      <c r="L257">
        <f>IF($B257="","",IF(ISNUMBER(SEARCH("advance",$B257)),"ADV",IF(OR(ISNUMBER(SEARCH("payout",$B257)),ISNUMBER(SEARCH("pay out",$B257)),ISNUMBER(SEARCH("release",$B257))),"PAY","")))</f>
        <v/>
      </c>
      <c r="M257">
        <f>IF($B257="","",IF(ISNUMBER(SEARCH("bulk",$B257)),0,IF(ISNUMBER(SEARCH("fuel",$B257))+ISNUMBER(SEARCH("diesel",$B257))+ISNUMBER(SEARCH("krudo",$B257))+ISNUMBER(SEARCH("gasolina",$B257))&gt;0,1,0)))</f>
        <v/>
      </c>
      <c r="N257">
        <f>IF($B257="","",IF(ISNUMBER(SEARCH("fuel",$B257))+ISNUMBER(SEARCH("diesel",$B257))+ISNUMBER(SEARCH("krudo",$B257))+ISNUMBER(SEARCH("gasolina",$B257))&gt;0,1,0))</f>
        <v/>
      </c>
    </row>
    <row r="258">
      <c r="A258" s="94" t="n"/>
      <c r="B258" s="96" t="n"/>
      <c r="C258" s="96" t="n"/>
      <c r="D258" s="95" t="n"/>
      <c r="E258" s="96" t="n"/>
      <c r="F258" s="99" t="n"/>
      <c r="G258" s="95" t="n"/>
      <c r="H258" s="95" t="n"/>
      <c r="I258" s="101">
        <f>IF($B258="","",IF(COUNTIF(Setup!$A$99:$A$128,$B258)&gt;0,IF(INDEX(Setup!$B$99:$B$128,MATCH($B258,Setup!$A$99:$A$128,0))="","Overhead",INDEX(Setup!$B$99:$B$128,MATCH($B258,Setup!$A$99:$A$128,0))),IF(ISNUMBER(SEARCH("advance",$B258))+ISNUMBER(SEARCH("payout",$B258))+ISNUMBER(SEARCH("pay out",$B258))+ISNUMBER(SEARCH("reimburs",$B258))&gt;0,"Transfer",IF(ISNUMBER(SEARCH("loan",$B258))+ISNUMBER(SEARCH("amort",$B258))+ISNUMBER(SEARCH("installment",$B258))+ISNUMBER(SEARCH("instalment",$B258))&gt;0,"Financing",IF(ISNUMBER(SEARCH("draw",$B258))+ISNUMBER(SEARCH("owner",$B258))+ISNUMBER(SEARCH("asset",$B258))+ISNUMBER(SEARCH("capital",$B258))&gt;0,"Other",IF(ISNUMBER(SEARCH("fuel",$B258))+ISNUMBER(SEARCH("diesel",$B258))+ISNUMBER(SEARCH("krudo",$B258))+ISNUMBER(SEARCH("gasolina",$B258))+ISNUMBER(SEARCH("toll",$B258))+ISNUMBER(SEARCH("parking",$B258))+ISNUMBER(SEARCH("repair",$B258))+ISNUMBER(SEARCH("maintenance",$B258))+ISNUMBER(SEARCH("tire",$B258))+ISNUMBER(SEARCH("tyre",$B258))+ISNUMBER(SEARCH("battery",$B258))+ISNUMBER(SEARCH("oil",$B258))+ISNUMBER(SEARCH("filter",$B258))+ISNUMBER(SEARCH("spare",$B258))+ISNUMBER(SEARCH("insurance",$B258))+ISNUMBER(SEARCH("lto",$B258))+ISNUMBER(SEARCH("registration",$B258))+ISNUMBER(SEARCH("emission",$B258))+ISNUMBER(SEARCH("wash",$B258))+ISNUMBER(SEARCH("weigh",$B258))+ISNUMBER(SEARCH("tarp",$B258))&gt;0,"Vehicle",IF(ISNUMBER(SEARCH("rent",$B258))+ISNUMBER(SEARCH("upa",$B258))+ISNUMBER(SEARCH("salary",$B258))+ISNUMBER(SEARCH("sweldo",$B258))+ISNUMBER(SEARCH("wage",$B258))+ISNUMBER(SEARCH("electric",$B258))+ISNUMBER(SEARCH("kuryente",$B258))+ISNUMBER(SEARCH("water",$B258))+ISNUMBER(SEARCH("tubig",$B258))+ISNUMBER(SEARCH("internet",$B258))+ISNUMBER(SEARCH("pldt",$B258))+ISNUMBER(SEARCH("meralco",$B258))+ISNUMBER(SEARCH("supplies",$B258))+ISNUMBER(SEARCH("office",$B258))+ISNUMBER(SEARCH("professional",$B258))+ISNUMBER(SEARCH("accountant",$B258))+ISNUMBER(SEARCH("lawyer",$B258))+ISNUMBER(SEARCH("broker",$B258))+ISNUMBER(SEARCH("bank",$B258))+ISNUMBER(SEARCH("charge",$B258))+ISNUMBER(SEARCH("permit",$B258))+ISNUMBER(SEARCH("bir",$B258))+ISNUMBER(SEARCH("ltfrb",$B258))+ISNUMBER(SEARCH("misc",$B258))+ISNUMBER(SEARCH("fee",$B258))&gt;0,"Overhead","Overhead")))))))</f>
        <v/>
      </c>
      <c r="J258">
        <f>IF($A258="","",DATE(YEAR($A258),MONTH($A258),1))</f>
        <v/>
      </c>
      <c r="K258">
        <f>IF($B258="","",IF(COUNTIF(Setup!$A$99:$A$128,$B258)&gt;0,0,1))</f>
        <v/>
      </c>
      <c r="L258">
        <f>IF($B258="","",IF(ISNUMBER(SEARCH("advance",$B258)),"ADV",IF(OR(ISNUMBER(SEARCH("payout",$B258)),ISNUMBER(SEARCH("pay out",$B258)),ISNUMBER(SEARCH("release",$B258))),"PAY","")))</f>
        <v/>
      </c>
      <c r="M258">
        <f>IF($B258="","",IF(ISNUMBER(SEARCH("bulk",$B258)),0,IF(ISNUMBER(SEARCH("fuel",$B258))+ISNUMBER(SEARCH("diesel",$B258))+ISNUMBER(SEARCH("krudo",$B258))+ISNUMBER(SEARCH("gasolina",$B258))&gt;0,1,0)))</f>
        <v/>
      </c>
      <c r="N258">
        <f>IF($B258="","",IF(ISNUMBER(SEARCH("fuel",$B258))+ISNUMBER(SEARCH("diesel",$B258))+ISNUMBER(SEARCH("krudo",$B258))+ISNUMBER(SEARCH("gasolina",$B258))&gt;0,1,0))</f>
        <v/>
      </c>
    </row>
    <row r="259">
      <c r="A259" s="86" t="n"/>
      <c r="B259" s="88" t="n"/>
      <c r="C259" s="88" t="n"/>
      <c r="D259" s="87" t="n"/>
      <c r="E259" s="88" t="n"/>
      <c r="F259" s="92" t="n"/>
      <c r="G259" s="87" t="n"/>
      <c r="H259" s="87" t="n"/>
      <c r="I259" s="101">
        <f>IF($B259="","",IF(COUNTIF(Setup!$A$99:$A$128,$B259)&gt;0,IF(INDEX(Setup!$B$99:$B$128,MATCH($B259,Setup!$A$99:$A$128,0))="","Overhead",INDEX(Setup!$B$99:$B$128,MATCH($B259,Setup!$A$99:$A$128,0))),IF(ISNUMBER(SEARCH("advance",$B259))+ISNUMBER(SEARCH("payout",$B259))+ISNUMBER(SEARCH("pay out",$B259))+ISNUMBER(SEARCH("reimburs",$B259))&gt;0,"Transfer",IF(ISNUMBER(SEARCH("loan",$B259))+ISNUMBER(SEARCH("amort",$B259))+ISNUMBER(SEARCH("installment",$B259))+ISNUMBER(SEARCH("instalment",$B259))&gt;0,"Financing",IF(ISNUMBER(SEARCH("draw",$B259))+ISNUMBER(SEARCH("owner",$B259))+ISNUMBER(SEARCH("asset",$B259))+ISNUMBER(SEARCH("capital",$B259))&gt;0,"Other",IF(ISNUMBER(SEARCH("fuel",$B259))+ISNUMBER(SEARCH("diesel",$B259))+ISNUMBER(SEARCH("krudo",$B259))+ISNUMBER(SEARCH("gasolina",$B259))+ISNUMBER(SEARCH("toll",$B259))+ISNUMBER(SEARCH("parking",$B259))+ISNUMBER(SEARCH("repair",$B259))+ISNUMBER(SEARCH("maintenance",$B259))+ISNUMBER(SEARCH("tire",$B259))+ISNUMBER(SEARCH("tyre",$B259))+ISNUMBER(SEARCH("battery",$B259))+ISNUMBER(SEARCH("oil",$B259))+ISNUMBER(SEARCH("filter",$B259))+ISNUMBER(SEARCH("spare",$B259))+ISNUMBER(SEARCH("insurance",$B259))+ISNUMBER(SEARCH("lto",$B259))+ISNUMBER(SEARCH("registration",$B259))+ISNUMBER(SEARCH("emission",$B259))+ISNUMBER(SEARCH("wash",$B259))+ISNUMBER(SEARCH("weigh",$B259))+ISNUMBER(SEARCH("tarp",$B259))&gt;0,"Vehicle",IF(ISNUMBER(SEARCH("rent",$B259))+ISNUMBER(SEARCH("upa",$B259))+ISNUMBER(SEARCH("salary",$B259))+ISNUMBER(SEARCH("sweldo",$B259))+ISNUMBER(SEARCH("wage",$B259))+ISNUMBER(SEARCH("electric",$B259))+ISNUMBER(SEARCH("kuryente",$B259))+ISNUMBER(SEARCH("water",$B259))+ISNUMBER(SEARCH("tubig",$B259))+ISNUMBER(SEARCH("internet",$B259))+ISNUMBER(SEARCH("pldt",$B259))+ISNUMBER(SEARCH("meralco",$B259))+ISNUMBER(SEARCH("supplies",$B259))+ISNUMBER(SEARCH("office",$B259))+ISNUMBER(SEARCH("professional",$B259))+ISNUMBER(SEARCH("accountant",$B259))+ISNUMBER(SEARCH("lawyer",$B259))+ISNUMBER(SEARCH("broker",$B259))+ISNUMBER(SEARCH("bank",$B259))+ISNUMBER(SEARCH("charge",$B259))+ISNUMBER(SEARCH("permit",$B259))+ISNUMBER(SEARCH("bir",$B259))+ISNUMBER(SEARCH("ltfrb",$B259))+ISNUMBER(SEARCH("misc",$B259))+ISNUMBER(SEARCH("fee",$B259))&gt;0,"Overhead","Overhead")))))))</f>
        <v/>
      </c>
      <c r="J259">
        <f>IF($A259="","",DATE(YEAR($A259),MONTH($A259),1))</f>
        <v/>
      </c>
      <c r="K259">
        <f>IF($B259="","",IF(COUNTIF(Setup!$A$99:$A$128,$B259)&gt;0,0,1))</f>
        <v/>
      </c>
      <c r="L259">
        <f>IF($B259="","",IF(ISNUMBER(SEARCH("advance",$B259)),"ADV",IF(OR(ISNUMBER(SEARCH("payout",$B259)),ISNUMBER(SEARCH("pay out",$B259)),ISNUMBER(SEARCH("release",$B259))),"PAY","")))</f>
        <v/>
      </c>
      <c r="M259">
        <f>IF($B259="","",IF(ISNUMBER(SEARCH("bulk",$B259)),0,IF(ISNUMBER(SEARCH("fuel",$B259))+ISNUMBER(SEARCH("diesel",$B259))+ISNUMBER(SEARCH("krudo",$B259))+ISNUMBER(SEARCH("gasolina",$B259))&gt;0,1,0)))</f>
        <v/>
      </c>
      <c r="N259">
        <f>IF($B259="","",IF(ISNUMBER(SEARCH("fuel",$B259))+ISNUMBER(SEARCH("diesel",$B259))+ISNUMBER(SEARCH("krudo",$B259))+ISNUMBER(SEARCH("gasolina",$B259))&gt;0,1,0))</f>
        <v/>
      </c>
    </row>
    <row r="260">
      <c r="A260" s="94" t="n"/>
      <c r="B260" s="96" t="n"/>
      <c r="C260" s="96" t="n"/>
      <c r="D260" s="95" t="n"/>
      <c r="E260" s="96" t="n"/>
      <c r="F260" s="99" t="n"/>
      <c r="G260" s="95" t="n"/>
      <c r="H260" s="95" t="n"/>
      <c r="I260" s="101">
        <f>IF($B260="","",IF(COUNTIF(Setup!$A$99:$A$128,$B260)&gt;0,IF(INDEX(Setup!$B$99:$B$128,MATCH($B260,Setup!$A$99:$A$128,0))="","Overhead",INDEX(Setup!$B$99:$B$128,MATCH($B260,Setup!$A$99:$A$128,0))),IF(ISNUMBER(SEARCH("advance",$B260))+ISNUMBER(SEARCH("payout",$B260))+ISNUMBER(SEARCH("pay out",$B260))+ISNUMBER(SEARCH("reimburs",$B260))&gt;0,"Transfer",IF(ISNUMBER(SEARCH("loan",$B260))+ISNUMBER(SEARCH("amort",$B260))+ISNUMBER(SEARCH("installment",$B260))+ISNUMBER(SEARCH("instalment",$B260))&gt;0,"Financing",IF(ISNUMBER(SEARCH("draw",$B260))+ISNUMBER(SEARCH("owner",$B260))+ISNUMBER(SEARCH("asset",$B260))+ISNUMBER(SEARCH("capital",$B260))&gt;0,"Other",IF(ISNUMBER(SEARCH("fuel",$B260))+ISNUMBER(SEARCH("diesel",$B260))+ISNUMBER(SEARCH("krudo",$B260))+ISNUMBER(SEARCH("gasolina",$B260))+ISNUMBER(SEARCH("toll",$B260))+ISNUMBER(SEARCH("parking",$B260))+ISNUMBER(SEARCH("repair",$B260))+ISNUMBER(SEARCH("maintenance",$B260))+ISNUMBER(SEARCH("tire",$B260))+ISNUMBER(SEARCH("tyre",$B260))+ISNUMBER(SEARCH("battery",$B260))+ISNUMBER(SEARCH("oil",$B260))+ISNUMBER(SEARCH("filter",$B260))+ISNUMBER(SEARCH("spare",$B260))+ISNUMBER(SEARCH("insurance",$B260))+ISNUMBER(SEARCH("lto",$B260))+ISNUMBER(SEARCH("registration",$B260))+ISNUMBER(SEARCH("emission",$B260))+ISNUMBER(SEARCH("wash",$B260))+ISNUMBER(SEARCH("weigh",$B260))+ISNUMBER(SEARCH("tarp",$B260))&gt;0,"Vehicle",IF(ISNUMBER(SEARCH("rent",$B260))+ISNUMBER(SEARCH("upa",$B260))+ISNUMBER(SEARCH("salary",$B260))+ISNUMBER(SEARCH("sweldo",$B260))+ISNUMBER(SEARCH("wage",$B260))+ISNUMBER(SEARCH("electric",$B260))+ISNUMBER(SEARCH("kuryente",$B260))+ISNUMBER(SEARCH("water",$B260))+ISNUMBER(SEARCH("tubig",$B260))+ISNUMBER(SEARCH("internet",$B260))+ISNUMBER(SEARCH("pldt",$B260))+ISNUMBER(SEARCH("meralco",$B260))+ISNUMBER(SEARCH("supplies",$B260))+ISNUMBER(SEARCH("office",$B260))+ISNUMBER(SEARCH("professional",$B260))+ISNUMBER(SEARCH("accountant",$B260))+ISNUMBER(SEARCH("lawyer",$B260))+ISNUMBER(SEARCH("broker",$B260))+ISNUMBER(SEARCH("bank",$B260))+ISNUMBER(SEARCH("charge",$B260))+ISNUMBER(SEARCH("permit",$B260))+ISNUMBER(SEARCH("bir",$B260))+ISNUMBER(SEARCH("ltfrb",$B260))+ISNUMBER(SEARCH("misc",$B260))+ISNUMBER(SEARCH("fee",$B260))&gt;0,"Overhead","Overhead")))))))</f>
        <v/>
      </c>
      <c r="J260">
        <f>IF($A260="","",DATE(YEAR($A260),MONTH($A260),1))</f>
        <v/>
      </c>
      <c r="K260">
        <f>IF($B260="","",IF(COUNTIF(Setup!$A$99:$A$128,$B260)&gt;0,0,1))</f>
        <v/>
      </c>
      <c r="L260">
        <f>IF($B260="","",IF(ISNUMBER(SEARCH("advance",$B260)),"ADV",IF(OR(ISNUMBER(SEARCH("payout",$B260)),ISNUMBER(SEARCH("pay out",$B260)),ISNUMBER(SEARCH("release",$B260))),"PAY","")))</f>
        <v/>
      </c>
      <c r="M260">
        <f>IF($B260="","",IF(ISNUMBER(SEARCH("bulk",$B260)),0,IF(ISNUMBER(SEARCH("fuel",$B260))+ISNUMBER(SEARCH("diesel",$B260))+ISNUMBER(SEARCH("krudo",$B260))+ISNUMBER(SEARCH("gasolina",$B260))&gt;0,1,0)))</f>
        <v/>
      </c>
      <c r="N260">
        <f>IF($B260="","",IF(ISNUMBER(SEARCH("fuel",$B260))+ISNUMBER(SEARCH("diesel",$B260))+ISNUMBER(SEARCH("krudo",$B260))+ISNUMBER(SEARCH("gasolina",$B260))&gt;0,1,0))</f>
        <v/>
      </c>
    </row>
    <row r="261">
      <c r="A261" s="86" t="n"/>
      <c r="B261" s="88" t="n"/>
      <c r="C261" s="88" t="n"/>
      <c r="D261" s="87" t="n"/>
      <c r="E261" s="88" t="n"/>
      <c r="F261" s="92" t="n"/>
      <c r="G261" s="87" t="n"/>
      <c r="H261" s="87" t="n"/>
      <c r="I261" s="101">
        <f>IF($B261="","",IF(COUNTIF(Setup!$A$99:$A$128,$B261)&gt;0,IF(INDEX(Setup!$B$99:$B$128,MATCH($B261,Setup!$A$99:$A$128,0))="","Overhead",INDEX(Setup!$B$99:$B$128,MATCH($B261,Setup!$A$99:$A$128,0))),IF(ISNUMBER(SEARCH("advance",$B261))+ISNUMBER(SEARCH("payout",$B261))+ISNUMBER(SEARCH("pay out",$B261))+ISNUMBER(SEARCH("reimburs",$B261))&gt;0,"Transfer",IF(ISNUMBER(SEARCH("loan",$B261))+ISNUMBER(SEARCH("amort",$B261))+ISNUMBER(SEARCH("installment",$B261))+ISNUMBER(SEARCH("instalment",$B261))&gt;0,"Financing",IF(ISNUMBER(SEARCH("draw",$B261))+ISNUMBER(SEARCH("owner",$B261))+ISNUMBER(SEARCH("asset",$B261))+ISNUMBER(SEARCH("capital",$B261))&gt;0,"Other",IF(ISNUMBER(SEARCH("fuel",$B261))+ISNUMBER(SEARCH("diesel",$B261))+ISNUMBER(SEARCH("krudo",$B261))+ISNUMBER(SEARCH("gasolina",$B261))+ISNUMBER(SEARCH("toll",$B261))+ISNUMBER(SEARCH("parking",$B261))+ISNUMBER(SEARCH("repair",$B261))+ISNUMBER(SEARCH("maintenance",$B261))+ISNUMBER(SEARCH("tire",$B261))+ISNUMBER(SEARCH("tyre",$B261))+ISNUMBER(SEARCH("battery",$B261))+ISNUMBER(SEARCH("oil",$B261))+ISNUMBER(SEARCH("filter",$B261))+ISNUMBER(SEARCH("spare",$B261))+ISNUMBER(SEARCH("insurance",$B261))+ISNUMBER(SEARCH("lto",$B261))+ISNUMBER(SEARCH("registration",$B261))+ISNUMBER(SEARCH("emission",$B261))+ISNUMBER(SEARCH("wash",$B261))+ISNUMBER(SEARCH("weigh",$B261))+ISNUMBER(SEARCH("tarp",$B261))&gt;0,"Vehicle",IF(ISNUMBER(SEARCH("rent",$B261))+ISNUMBER(SEARCH("upa",$B261))+ISNUMBER(SEARCH("salary",$B261))+ISNUMBER(SEARCH("sweldo",$B261))+ISNUMBER(SEARCH("wage",$B261))+ISNUMBER(SEARCH("electric",$B261))+ISNUMBER(SEARCH("kuryente",$B261))+ISNUMBER(SEARCH("water",$B261))+ISNUMBER(SEARCH("tubig",$B261))+ISNUMBER(SEARCH("internet",$B261))+ISNUMBER(SEARCH("pldt",$B261))+ISNUMBER(SEARCH("meralco",$B261))+ISNUMBER(SEARCH("supplies",$B261))+ISNUMBER(SEARCH("office",$B261))+ISNUMBER(SEARCH("professional",$B261))+ISNUMBER(SEARCH("accountant",$B261))+ISNUMBER(SEARCH("lawyer",$B261))+ISNUMBER(SEARCH("broker",$B261))+ISNUMBER(SEARCH("bank",$B261))+ISNUMBER(SEARCH("charge",$B261))+ISNUMBER(SEARCH("permit",$B261))+ISNUMBER(SEARCH("bir",$B261))+ISNUMBER(SEARCH("ltfrb",$B261))+ISNUMBER(SEARCH("misc",$B261))+ISNUMBER(SEARCH("fee",$B261))&gt;0,"Overhead","Overhead")))))))</f>
        <v/>
      </c>
      <c r="J261">
        <f>IF($A261="","",DATE(YEAR($A261),MONTH($A261),1))</f>
        <v/>
      </c>
      <c r="K261">
        <f>IF($B261="","",IF(COUNTIF(Setup!$A$99:$A$128,$B261)&gt;0,0,1))</f>
        <v/>
      </c>
      <c r="L261">
        <f>IF($B261="","",IF(ISNUMBER(SEARCH("advance",$B261)),"ADV",IF(OR(ISNUMBER(SEARCH("payout",$B261)),ISNUMBER(SEARCH("pay out",$B261)),ISNUMBER(SEARCH("release",$B261))),"PAY","")))</f>
        <v/>
      </c>
      <c r="M261">
        <f>IF($B261="","",IF(ISNUMBER(SEARCH("bulk",$B261)),0,IF(ISNUMBER(SEARCH("fuel",$B261))+ISNUMBER(SEARCH("diesel",$B261))+ISNUMBER(SEARCH("krudo",$B261))+ISNUMBER(SEARCH("gasolina",$B261))&gt;0,1,0)))</f>
        <v/>
      </c>
      <c r="N261">
        <f>IF($B261="","",IF(ISNUMBER(SEARCH("fuel",$B261))+ISNUMBER(SEARCH("diesel",$B261))+ISNUMBER(SEARCH("krudo",$B261))+ISNUMBER(SEARCH("gasolina",$B261))&gt;0,1,0))</f>
        <v/>
      </c>
    </row>
    <row r="262">
      <c r="A262" s="94" t="n"/>
      <c r="B262" s="96" t="n"/>
      <c r="C262" s="96" t="n"/>
      <c r="D262" s="95" t="n"/>
      <c r="E262" s="96" t="n"/>
      <c r="F262" s="99" t="n"/>
      <c r="G262" s="95" t="n"/>
      <c r="H262" s="95" t="n"/>
      <c r="I262" s="101">
        <f>IF($B262="","",IF(COUNTIF(Setup!$A$99:$A$128,$B262)&gt;0,IF(INDEX(Setup!$B$99:$B$128,MATCH($B262,Setup!$A$99:$A$128,0))="","Overhead",INDEX(Setup!$B$99:$B$128,MATCH($B262,Setup!$A$99:$A$128,0))),IF(ISNUMBER(SEARCH("advance",$B262))+ISNUMBER(SEARCH("payout",$B262))+ISNUMBER(SEARCH("pay out",$B262))+ISNUMBER(SEARCH("reimburs",$B262))&gt;0,"Transfer",IF(ISNUMBER(SEARCH("loan",$B262))+ISNUMBER(SEARCH("amort",$B262))+ISNUMBER(SEARCH("installment",$B262))+ISNUMBER(SEARCH("instalment",$B262))&gt;0,"Financing",IF(ISNUMBER(SEARCH("draw",$B262))+ISNUMBER(SEARCH("owner",$B262))+ISNUMBER(SEARCH("asset",$B262))+ISNUMBER(SEARCH("capital",$B262))&gt;0,"Other",IF(ISNUMBER(SEARCH("fuel",$B262))+ISNUMBER(SEARCH("diesel",$B262))+ISNUMBER(SEARCH("krudo",$B262))+ISNUMBER(SEARCH("gasolina",$B262))+ISNUMBER(SEARCH("toll",$B262))+ISNUMBER(SEARCH("parking",$B262))+ISNUMBER(SEARCH("repair",$B262))+ISNUMBER(SEARCH("maintenance",$B262))+ISNUMBER(SEARCH("tire",$B262))+ISNUMBER(SEARCH("tyre",$B262))+ISNUMBER(SEARCH("battery",$B262))+ISNUMBER(SEARCH("oil",$B262))+ISNUMBER(SEARCH("filter",$B262))+ISNUMBER(SEARCH("spare",$B262))+ISNUMBER(SEARCH("insurance",$B262))+ISNUMBER(SEARCH("lto",$B262))+ISNUMBER(SEARCH("registration",$B262))+ISNUMBER(SEARCH("emission",$B262))+ISNUMBER(SEARCH("wash",$B262))+ISNUMBER(SEARCH("weigh",$B262))+ISNUMBER(SEARCH("tarp",$B262))&gt;0,"Vehicle",IF(ISNUMBER(SEARCH("rent",$B262))+ISNUMBER(SEARCH("upa",$B262))+ISNUMBER(SEARCH("salary",$B262))+ISNUMBER(SEARCH("sweldo",$B262))+ISNUMBER(SEARCH("wage",$B262))+ISNUMBER(SEARCH("electric",$B262))+ISNUMBER(SEARCH("kuryente",$B262))+ISNUMBER(SEARCH("water",$B262))+ISNUMBER(SEARCH("tubig",$B262))+ISNUMBER(SEARCH("internet",$B262))+ISNUMBER(SEARCH("pldt",$B262))+ISNUMBER(SEARCH("meralco",$B262))+ISNUMBER(SEARCH("supplies",$B262))+ISNUMBER(SEARCH("office",$B262))+ISNUMBER(SEARCH("professional",$B262))+ISNUMBER(SEARCH("accountant",$B262))+ISNUMBER(SEARCH("lawyer",$B262))+ISNUMBER(SEARCH("broker",$B262))+ISNUMBER(SEARCH("bank",$B262))+ISNUMBER(SEARCH("charge",$B262))+ISNUMBER(SEARCH("permit",$B262))+ISNUMBER(SEARCH("bir",$B262))+ISNUMBER(SEARCH("ltfrb",$B262))+ISNUMBER(SEARCH("misc",$B262))+ISNUMBER(SEARCH("fee",$B262))&gt;0,"Overhead","Overhead")))))))</f>
        <v/>
      </c>
      <c r="J262">
        <f>IF($A262="","",DATE(YEAR($A262),MONTH($A262),1))</f>
        <v/>
      </c>
      <c r="K262">
        <f>IF($B262="","",IF(COUNTIF(Setup!$A$99:$A$128,$B262)&gt;0,0,1))</f>
        <v/>
      </c>
      <c r="L262">
        <f>IF($B262="","",IF(ISNUMBER(SEARCH("advance",$B262)),"ADV",IF(OR(ISNUMBER(SEARCH("payout",$B262)),ISNUMBER(SEARCH("pay out",$B262)),ISNUMBER(SEARCH("release",$B262))),"PAY","")))</f>
        <v/>
      </c>
      <c r="M262">
        <f>IF($B262="","",IF(ISNUMBER(SEARCH("bulk",$B262)),0,IF(ISNUMBER(SEARCH("fuel",$B262))+ISNUMBER(SEARCH("diesel",$B262))+ISNUMBER(SEARCH("krudo",$B262))+ISNUMBER(SEARCH("gasolina",$B262))&gt;0,1,0)))</f>
        <v/>
      </c>
      <c r="N262">
        <f>IF($B262="","",IF(ISNUMBER(SEARCH("fuel",$B262))+ISNUMBER(SEARCH("diesel",$B262))+ISNUMBER(SEARCH("krudo",$B262))+ISNUMBER(SEARCH("gasolina",$B262))&gt;0,1,0))</f>
        <v/>
      </c>
    </row>
    <row r="263">
      <c r="A263" s="86" t="n"/>
      <c r="B263" s="88" t="n"/>
      <c r="C263" s="88" t="n"/>
      <c r="D263" s="87" t="n"/>
      <c r="E263" s="88" t="n"/>
      <c r="F263" s="92" t="n"/>
      <c r="G263" s="87" t="n"/>
      <c r="H263" s="87" t="n"/>
      <c r="I263" s="101">
        <f>IF($B263="","",IF(COUNTIF(Setup!$A$99:$A$128,$B263)&gt;0,IF(INDEX(Setup!$B$99:$B$128,MATCH($B263,Setup!$A$99:$A$128,0))="","Overhead",INDEX(Setup!$B$99:$B$128,MATCH($B263,Setup!$A$99:$A$128,0))),IF(ISNUMBER(SEARCH("advance",$B263))+ISNUMBER(SEARCH("payout",$B263))+ISNUMBER(SEARCH("pay out",$B263))+ISNUMBER(SEARCH("reimburs",$B263))&gt;0,"Transfer",IF(ISNUMBER(SEARCH("loan",$B263))+ISNUMBER(SEARCH("amort",$B263))+ISNUMBER(SEARCH("installment",$B263))+ISNUMBER(SEARCH("instalment",$B263))&gt;0,"Financing",IF(ISNUMBER(SEARCH("draw",$B263))+ISNUMBER(SEARCH("owner",$B263))+ISNUMBER(SEARCH("asset",$B263))+ISNUMBER(SEARCH("capital",$B263))&gt;0,"Other",IF(ISNUMBER(SEARCH("fuel",$B263))+ISNUMBER(SEARCH("diesel",$B263))+ISNUMBER(SEARCH("krudo",$B263))+ISNUMBER(SEARCH("gasolina",$B263))+ISNUMBER(SEARCH("toll",$B263))+ISNUMBER(SEARCH("parking",$B263))+ISNUMBER(SEARCH("repair",$B263))+ISNUMBER(SEARCH("maintenance",$B263))+ISNUMBER(SEARCH("tire",$B263))+ISNUMBER(SEARCH("tyre",$B263))+ISNUMBER(SEARCH("battery",$B263))+ISNUMBER(SEARCH("oil",$B263))+ISNUMBER(SEARCH("filter",$B263))+ISNUMBER(SEARCH("spare",$B263))+ISNUMBER(SEARCH("insurance",$B263))+ISNUMBER(SEARCH("lto",$B263))+ISNUMBER(SEARCH("registration",$B263))+ISNUMBER(SEARCH("emission",$B263))+ISNUMBER(SEARCH("wash",$B263))+ISNUMBER(SEARCH("weigh",$B263))+ISNUMBER(SEARCH("tarp",$B263))&gt;0,"Vehicle",IF(ISNUMBER(SEARCH("rent",$B263))+ISNUMBER(SEARCH("upa",$B263))+ISNUMBER(SEARCH("salary",$B263))+ISNUMBER(SEARCH("sweldo",$B263))+ISNUMBER(SEARCH("wage",$B263))+ISNUMBER(SEARCH("electric",$B263))+ISNUMBER(SEARCH("kuryente",$B263))+ISNUMBER(SEARCH("water",$B263))+ISNUMBER(SEARCH("tubig",$B263))+ISNUMBER(SEARCH("internet",$B263))+ISNUMBER(SEARCH("pldt",$B263))+ISNUMBER(SEARCH("meralco",$B263))+ISNUMBER(SEARCH("supplies",$B263))+ISNUMBER(SEARCH("office",$B263))+ISNUMBER(SEARCH("professional",$B263))+ISNUMBER(SEARCH("accountant",$B263))+ISNUMBER(SEARCH("lawyer",$B263))+ISNUMBER(SEARCH("broker",$B263))+ISNUMBER(SEARCH("bank",$B263))+ISNUMBER(SEARCH("charge",$B263))+ISNUMBER(SEARCH("permit",$B263))+ISNUMBER(SEARCH("bir",$B263))+ISNUMBER(SEARCH("ltfrb",$B263))+ISNUMBER(SEARCH("misc",$B263))+ISNUMBER(SEARCH("fee",$B263))&gt;0,"Overhead","Overhead")))))))</f>
        <v/>
      </c>
      <c r="J263">
        <f>IF($A263="","",DATE(YEAR($A263),MONTH($A263),1))</f>
        <v/>
      </c>
      <c r="K263">
        <f>IF($B263="","",IF(COUNTIF(Setup!$A$99:$A$128,$B263)&gt;0,0,1))</f>
        <v/>
      </c>
      <c r="L263">
        <f>IF($B263="","",IF(ISNUMBER(SEARCH("advance",$B263)),"ADV",IF(OR(ISNUMBER(SEARCH("payout",$B263)),ISNUMBER(SEARCH("pay out",$B263)),ISNUMBER(SEARCH("release",$B263))),"PAY","")))</f>
        <v/>
      </c>
      <c r="M263">
        <f>IF($B263="","",IF(ISNUMBER(SEARCH("bulk",$B263)),0,IF(ISNUMBER(SEARCH("fuel",$B263))+ISNUMBER(SEARCH("diesel",$B263))+ISNUMBER(SEARCH("krudo",$B263))+ISNUMBER(SEARCH("gasolina",$B263))&gt;0,1,0)))</f>
        <v/>
      </c>
      <c r="N263">
        <f>IF($B263="","",IF(ISNUMBER(SEARCH("fuel",$B263))+ISNUMBER(SEARCH("diesel",$B263))+ISNUMBER(SEARCH("krudo",$B263))+ISNUMBER(SEARCH("gasolina",$B263))&gt;0,1,0))</f>
        <v/>
      </c>
    </row>
    <row r="264">
      <c r="A264" s="94" t="n"/>
      <c r="B264" s="96" t="n"/>
      <c r="C264" s="96" t="n"/>
      <c r="D264" s="95" t="n"/>
      <c r="E264" s="96" t="n"/>
      <c r="F264" s="99" t="n"/>
      <c r="G264" s="95" t="n"/>
      <c r="H264" s="95" t="n"/>
      <c r="I264" s="101">
        <f>IF($B264="","",IF(COUNTIF(Setup!$A$99:$A$128,$B264)&gt;0,IF(INDEX(Setup!$B$99:$B$128,MATCH($B264,Setup!$A$99:$A$128,0))="","Overhead",INDEX(Setup!$B$99:$B$128,MATCH($B264,Setup!$A$99:$A$128,0))),IF(ISNUMBER(SEARCH("advance",$B264))+ISNUMBER(SEARCH("payout",$B264))+ISNUMBER(SEARCH("pay out",$B264))+ISNUMBER(SEARCH("reimburs",$B264))&gt;0,"Transfer",IF(ISNUMBER(SEARCH("loan",$B264))+ISNUMBER(SEARCH("amort",$B264))+ISNUMBER(SEARCH("installment",$B264))+ISNUMBER(SEARCH("instalment",$B264))&gt;0,"Financing",IF(ISNUMBER(SEARCH("draw",$B264))+ISNUMBER(SEARCH("owner",$B264))+ISNUMBER(SEARCH("asset",$B264))+ISNUMBER(SEARCH("capital",$B264))&gt;0,"Other",IF(ISNUMBER(SEARCH("fuel",$B264))+ISNUMBER(SEARCH("diesel",$B264))+ISNUMBER(SEARCH("krudo",$B264))+ISNUMBER(SEARCH("gasolina",$B264))+ISNUMBER(SEARCH("toll",$B264))+ISNUMBER(SEARCH("parking",$B264))+ISNUMBER(SEARCH("repair",$B264))+ISNUMBER(SEARCH("maintenance",$B264))+ISNUMBER(SEARCH("tire",$B264))+ISNUMBER(SEARCH("tyre",$B264))+ISNUMBER(SEARCH("battery",$B264))+ISNUMBER(SEARCH("oil",$B264))+ISNUMBER(SEARCH("filter",$B264))+ISNUMBER(SEARCH("spare",$B264))+ISNUMBER(SEARCH("insurance",$B264))+ISNUMBER(SEARCH("lto",$B264))+ISNUMBER(SEARCH("registration",$B264))+ISNUMBER(SEARCH("emission",$B264))+ISNUMBER(SEARCH("wash",$B264))+ISNUMBER(SEARCH("weigh",$B264))+ISNUMBER(SEARCH("tarp",$B264))&gt;0,"Vehicle",IF(ISNUMBER(SEARCH("rent",$B264))+ISNUMBER(SEARCH("upa",$B264))+ISNUMBER(SEARCH("salary",$B264))+ISNUMBER(SEARCH("sweldo",$B264))+ISNUMBER(SEARCH("wage",$B264))+ISNUMBER(SEARCH("electric",$B264))+ISNUMBER(SEARCH("kuryente",$B264))+ISNUMBER(SEARCH("water",$B264))+ISNUMBER(SEARCH("tubig",$B264))+ISNUMBER(SEARCH("internet",$B264))+ISNUMBER(SEARCH("pldt",$B264))+ISNUMBER(SEARCH("meralco",$B264))+ISNUMBER(SEARCH("supplies",$B264))+ISNUMBER(SEARCH("office",$B264))+ISNUMBER(SEARCH("professional",$B264))+ISNUMBER(SEARCH("accountant",$B264))+ISNUMBER(SEARCH("lawyer",$B264))+ISNUMBER(SEARCH("broker",$B264))+ISNUMBER(SEARCH("bank",$B264))+ISNUMBER(SEARCH("charge",$B264))+ISNUMBER(SEARCH("permit",$B264))+ISNUMBER(SEARCH("bir",$B264))+ISNUMBER(SEARCH("ltfrb",$B264))+ISNUMBER(SEARCH("misc",$B264))+ISNUMBER(SEARCH("fee",$B264))&gt;0,"Overhead","Overhead")))))))</f>
        <v/>
      </c>
      <c r="J264">
        <f>IF($A264="","",DATE(YEAR($A264),MONTH($A264),1))</f>
        <v/>
      </c>
      <c r="K264">
        <f>IF($B264="","",IF(COUNTIF(Setup!$A$99:$A$128,$B264)&gt;0,0,1))</f>
        <v/>
      </c>
      <c r="L264">
        <f>IF($B264="","",IF(ISNUMBER(SEARCH("advance",$B264)),"ADV",IF(OR(ISNUMBER(SEARCH("payout",$B264)),ISNUMBER(SEARCH("pay out",$B264)),ISNUMBER(SEARCH("release",$B264))),"PAY","")))</f>
        <v/>
      </c>
      <c r="M264">
        <f>IF($B264="","",IF(ISNUMBER(SEARCH("bulk",$B264)),0,IF(ISNUMBER(SEARCH("fuel",$B264))+ISNUMBER(SEARCH("diesel",$B264))+ISNUMBER(SEARCH("krudo",$B264))+ISNUMBER(SEARCH("gasolina",$B264))&gt;0,1,0)))</f>
        <v/>
      </c>
      <c r="N264">
        <f>IF($B264="","",IF(ISNUMBER(SEARCH("fuel",$B264))+ISNUMBER(SEARCH("diesel",$B264))+ISNUMBER(SEARCH("krudo",$B264))+ISNUMBER(SEARCH("gasolina",$B264))&gt;0,1,0))</f>
        <v/>
      </c>
    </row>
    <row r="265">
      <c r="A265" s="86" t="n"/>
      <c r="B265" s="88" t="n"/>
      <c r="C265" s="88" t="n"/>
      <c r="D265" s="87" t="n"/>
      <c r="E265" s="88" t="n"/>
      <c r="F265" s="92" t="n"/>
      <c r="G265" s="87" t="n"/>
      <c r="H265" s="87" t="n"/>
      <c r="I265" s="101">
        <f>IF($B265="","",IF(COUNTIF(Setup!$A$99:$A$128,$B265)&gt;0,IF(INDEX(Setup!$B$99:$B$128,MATCH($B265,Setup!$A$99:$A$128,0))="","Overhead",INDEX(Setup!$B$99:$B$128,MATCH($B265,Setup!$A$99:$A$128,0))),IF(ISNUMBER(SEARCH("advance",$B265))+ISNUMBER(SEARCH("payout",$B265))+ISNUMBER(SEARCH("pay out",$B265))+ISNUMBER(SEARCH("reimburs",$B265))&gt;0,"Transfer",IF(ISNUMBER(SEARCH("loan",$B265))+ISNUMBER(SEARCH("amort",$B265))+ISNUMBER(SEARCH("installment",$B265))+ISNUMBER(SEARCH("instalment",$B265))&gt;0,"Financing",IF(ISNUMBER(SEARCH("draw",$B265))+ISNUMBER(SEARCH("owner",$B265))+ISNUMBER(SEARCH("asset",$B265))+ISNUMBER(SEARCH("capital",$B265))&gt;0,"Other",IF(ISNUMBER(SEARCH("fuel",$B265))+ISNUMBER(SEARCH("diesel",$B265))+ISNUMBER(SEARCH("krudo",$B265))+ISNUMBER(SEARCH("gasolina",$B265))+ISNUMBER(SEARCH("toll",$B265))+ISNUMBER(SEARCH("parking",$B265))+ISNUMBER(SEARCH("repair",$B265))+ISNUMBER(SEARCH("maintenance",$B265))+ISNUMBER(SEARCH("tire",$B265))+ISNUMBER(SEARCH("tyre",$B265))+ISNUMBER(SEARCH("battery",$B265))+ISNUMBER(SEARCH("oil",$B265))+ISNUMBER(SEARCH("filter",$B265))+ISNUMBER(SEARCH("spare",$B265))+ISNUMBER(SEARCH("insurance",$B265))+ISNUMBER(SEARCH("lto",$B265))+ISNUMBER(SEARCH("registration",$B265))+ISNUMBER(SEARCH("emission",$B265))+ISNUMBER(SEARCH("wash",$B265))+ISNUMBER(SEARCH("weigh",$B265))+ISNUMBER(SEARCH("tarp",$B265))&gt;0,"Vehicle",IF(ISNUMBER(SEARCH("rent",$B265))+ISNUMBER(SEARCH("upa",$B265))+ISNUMBER(SEARCH("salary",$B265))+ISNUMBER(SEARCH("sweldo",$B265))+ISNUMBER(SEARCH("wage",$B265))+ISNUMBER(SEARCH("electric",$B265))+ISNUMBER(SEARCH("kuryente",$B265))+ISNUMBER(SEARCH("water",$B265))+ISNUMBER(SEARCH("tubig",$B265))+ISNUMBER(SEARCH("internet",$B265))+ISNUMBER(SEARCH("pldt",$B265))+ISNUMBER(SEARCH("meralco",$B265))+ISNUMBER(SEARCH("supplies",$B265))+ISNUMBER(SEARCH("office",$B265))+ISNUMBER(SEARCH("professional",$B265))+ISNUMBER(SEARCH("accountant",$B265))+ISNUMBER(SEARCH("lawyer",$B265))+ISNUMBER(SEARCH("broker",$B265))+ISNUMBER(SEARCH("bank",$B265))+ISNUMBER(SEARCH("charge",$B265))+ISNUMBER(SEARCH("permit",$B265))+ISNUMBER(SEARCH("bir",$B265))+ISNUMBER(SEARCH("ltfrb",$B265))+ISNUMBER(SEARCH("misc",$B265))+ISNUMBER(SEARCH("fee",$B265))&gt;0,"Overhead","Overhead")))))))</f>
        <v/>
      </c>
      <c r="J265">
        <f>IF($A265="","",DATE(YEAR($A265),MONTH($A265),1))</f>
        <v/>
      </c>
      <c r="K265">
        <f>IF($B265="","",IF(COUNTIF(Setup!$A$99:$A$128,$B265)&gt;0,0,1))</f>
        <v/>
      </c>
      <c r="L265">
        <f>IF($B265="","",IF(ISNUMBER(SEARCH("advance",$B265)),"ADV",IF(OR(ISNUMBER(SEARCH("payout",$B265)),ISNUMBER(SEARCH("pay out",$B265)),ISNUMBER(SEARCH("release",$B265))),"PAY","")))</f>
        <v/>
      </c>
      <c r="M265">
        <f>IF($B265="","",IF(ISNUMBER(SEARCH("bulk",$B265)),0,IF(ISNUMBER(SEARCH("fuel",$B265))+ISNUMBER(SEARCH("diesel",$B265))+ISNUMBER(SEARCH("krudo",$B265))+ISNUMBER(SEARCH("gasolina",$B265))&gt;0,1,0)))</f>
        <v/>
      </c>
      <c r="N265">
        <f>IF($B265="","",IF(ISNUMBER(SEARCH("fuel",$B265))+ISNUMBER(SEARCH("diesel",$B265))+ISNUMBER(SEARCH("krudo",$B265))+ISNUMBER(SEARCH("gasolina",$B265))&gt;0,1,0))</f>
        <v/>
      </c>
    </row>
    <row r="266">
      <c r="A266" s="94" t="n"/>
      <c r="B266" s="96" t="n"/>
      <c r="C266" s="96" t="n"/>
      <c r="D266" s="95" t="n"/>
      <c r="E266" s="96" t="n"/>
      <c r="F266" s="99" t="n"/>
      <c r="G266" s="95" t="n"/>
      <c r="H266" s="95" t="n"/>
      <c r="I266" s="101">
        <f>IF($B266="","",IF(COUNTIF(Setup!$A$99:$A$128,$B266)&gt;0,IF(INDEX(Setup!$B$99:$B$128,MATCH($B266,Setup!$A$99:$A$128,0))="","Overhead",INDEX(Setup!$B$99:$B$128,MATCH($B266,Setup!$A$99:$A$128,0))),IF(ISNUMBER(SEARCH("advance",$B266))+ISNUMBER(SEARCH("payout",$B266))+ISNUMBER(SEARCH("pay out",$B266))+ISNUMBER(SEARCH("reimburs",$B266))&gt;0,"Transfer",IF(ISNUMBER(SEARCH("loan",$B266))+ISNUMBER(SEARCH("amort",$B266))+ISNUMBER(SEARCH("installment",$B266))+ISNUMBER(SEARCH("instalment",$B266))&gt;0,"Financing",IF(ISNUMBER(SEARCH("draw",$B266))+ISNUMBER(SEARCH("owner",$B266))+ISNUMBER(SEARCH("asset",$B266))+ISNUMBER(SEARCH("capital",$B266))&gt;0,"Other",IF(ISNUMBER(SEARCH("fuel",$B266))+ISNUMBER(SEARCH("diesel",$B266))+ISNUMBER(SEARCH("krudo",$B266))+ISNUMBER(SEARCH("gasolina",$B266))+ISNUMBER(SEARCH("toll",$B266))+ISNUMBER(SEARCH("parking",$B266))+ISNUMBER(SEARCH("repair",$B266))+ISNUMBER(SEARCH("maintenance",$B266))+ISNUMBER(SEARCH("tire",$B266))+ISNUMBER(SEARCH("tyre",$B266))+ISNUMBER(SEARCH("battery",$B266))+ISNUMBER(SEARCH("oil",$B266))+ISNUMBER(SEARCH("filter",$B266))+ISNUMBER(SEARCH("spare",$B266))+ISNUMBER(SEARCH("insurance",$B266))+ISNUMBER(SEARCH("lto",$B266))+ISNUMBER(SEARCH("registration",$B266))+ISNUMBER(SEARCH("emission",$B266))+ISNUMBER(SEARCH("wash",$B266))+ISNUMBER(SEARCH("weigh",$B266))+ISNUMBER(SEARCH("tarp",$B266))&gt;0,"Vehicle",IF(ISNUMBER(SEARCH("rent",$B266))+ISNUMBER(SEARCH("upa",$B266))+ISNUMBER(SEARCH("salary",$B266))+ISNUMBER(SEARCH("sweldo",$B266))+ISNUMBER(SEARCH("wage",$B266))+ISNUMBER(SEARCH("electric",$B266))+ISNUMBER(SEARCH("kuryente",$B266))+ISNUMBER(SEARCH("water",$B266))+ISNUMBER(SEARCH("tubig",$B266))+ISNUMBER(SEARCH("internet",$B266))+ISNUMBER(SEARCH("pldt",$B266))+ISNUMBER(SEARCH("meralco",$B266))+ISNUMBER(SEARCH("supplies",$B266))+ISNUMBER(SEARCH("office",$B266))+ISNUMBER(SEARCH("professional",$B266))+ISNUMBER(SEARCH("accountant",$B266))+ISNUMBER(SEARCH("lawyer",$B266))+ISNUMBER(SEARCH("broker",$B266))+ISNUMBER(SEARCH("bank",$B266))+ISNUMBER(SEARCH("charge",$B266))+ISNUMBER(SEARCH("permit",$B266))+ISNUMBER(SEARCH("bir",$B266))+ISNUMBER(SEARCH("ltfrb",$B266))+ISNUMBER(SEARCH("misc",$B266))+ISNUMBER(SEARCH("fee",$B266))&gt;0,"Overhead","Overhead")))))))</f>
        <v/>
      </c>
      <c r="J266">
        <f>IF($A266="","",DATE(YEAR($A266),MONTH($A266),1))</f>
        <v/>
      </c>
      <c r="K266">
        <f>IF($B266="","",IF(COUNTIF(Setup!$A$99:$A$128,$B266)&gt;0,0,1))</f>
        <v/>
      </c>
      <c r="L266">
        <f>IF($B266="","",IF(ISNUMBER(SEARCH("advance",$B266)),"ADV",IF(OR(ISNUMBER(SEARCH("payout",$B266)),ISNUMBER(SEARCH("pay out",$B266)),ISNUMBER(SEARCH("release",$B266))),"PAY","")))</f>
        <v/>
      </c>
      <c r="M266">
        <f>IF($B266="","",IF(ISNUMBER(SEARCH("bulk",$B266)),0,IF(ISNUMBER(SEARCH("fuel",$B266))+ISNUMBER(SEARCH("diesel",$B266))+ISNUMBER(SEARCH("krudo",$B266))+ISNUMBER(SEARCH("gasolina",$B266))&gt;0,1,0)))</f>
        <v/>
      </c>
      <c r="N266">
        <f>IF($B266="","",IF(ISNUMBER(SEARCH("fuel",$B266))+ISNUMBER(SEARCH("diesel",$B266))+ISNUMBER(SEARCH("krudo",$B266))+ISNUMBER(SEARCH("gasolina",$B266))&gt;0,1,0))</f>
        <v/>
      </c>
    </row>
    <row r="267">
      <c r="A267" s="86" t="n"/>
      <c r="B267" s="88" t="n"/>
      <c r="C267" s="88" t="n"/>
      <c r="D267" s="87" t="n"/>
      <c r="E267" s="88" t="n"/>
      <c r="F267" s="92" t="n"/>
      <c r="G267" s="87" t="n"/>
      <c r="H267" s="87" t="n"/>
      <c r="I267" s="101">
        <f>IF($B267="","",IF(COUNTIF(Setup!$A$99:$A$128,$B267)&gt;0,IF(INDEX(Setup!$B$99:$B$128,MATCH($B267,Setup!$A$99:$A$128,0))="","Overhead",INDEX(Setup!$B$99:$B$128,MATCH($B267,Setup!$A$99:$A$128,0))),IF(ISNUMBER(SEARCH("advance",$B267))+ISNUMBER(SEARCH("payout",$B267))+ISNUMBER(SEARCH("pay out",$B267))+ISNUMBER(SEARCH("reimburs",$B267))&gt;0,"Transfer",IF(ISNUMBER(SEARCH("loan",$B267))+ISNUMBER(SEARCH("amort",$B267))+ISNUMBER(SEARCH("installment",$B267))+ISNUMBER(SEARCH("instalment",$B267))&gt;0,"Financing",IF(ISNUMBER(SEARCH("draw",$B267))+ISNUMBER(SEARCH("owner",$B267))+ISNUMBER(SEARCH("asset",$B267))+ISNUMBER(SEARCH("capital",$B267))&gt;0,"Other",IF(ISNUMBER(SEARCH("fuel",$B267))+ISNUMBER(SEARCH("diesel",$B267))+ISNUMBER(SEARCH("krudo",$B267))+ISNUMBER(SEARCH("gasolina",$B267))+ISNUMBER(SEARCH("toll",$B267))+ISNUMBER(SEARCH("parking",$B267))+ISNUMBER(SEARCH("repair",$B267))+ISNUMBER(SEARCH("maintenance",$B267))+ISNUMBER(SEARCH("tire",$B267))+ISNUMBER(SEARCH("tyre",$B267))+ISNUMBER(SEARCH("battery",$B267))+ISNUMBER(SEARCH("oil",$B267))+ISNUMBER(SEARCH("filter",$B267))+ISNUMBER(SEARCH("spare",$B267))+ISNUMBER(SEARCH("insurance",$B267))+ISNUMBER(SEARCH("lto",$B267))+ISNUMBER(SEARCH("registration",$B267))+ISNUMBER(SEARCH("emission",$B267))+ISNUMBER(SEARCH("wash",$B267))+ISNUMBER(SEARCH("weigh",$B267))+ISNUMBER(SEARCH("tarp",$B267))&gt;0,"Vehicle",IF(ISNUMBER(SEARCH("rent",$B267))+ISNUMBER(SEARCH("upa",$B267))+ISNUMBER(SEARCH("salary",$B267))+ISNUMBER(SEARCH("sweldo",$B267))+ISNUMBER(SEARCH("wage",$B267))+ISNUMBER(SEARCH("electric",$B267))+ISNUMBER(SEARCH("kuryente",$B267))+ISNUMBER(SEARCH("water",$B267))+ISNUMBER(SEARCH("tubig",$B267))+ISNUMBER(SEARCH("internet",$B267))+ISNUMBER(SEARCH("pldt",$B267))+ISNUMBER(SEARCH("meralco",$B267))+ISNUMBER(SEARCH("supplies",$B267))+ISNUMBER(SEARCH("office",$B267))+ISNUMBER(SEARCH("professional",$B267))+ISNUMBER(SEARCH("accountant",$B267))+ISNUMBER(SEARCH("lawyer",$B267))+ISNUMBER(SEARCH("broker",$B267))+ISNUMBER(SEARCH("bank",$B267))+ISNUMBER(SEARCH("charge",$B267))+ISNUMBER(SEARCH("permit",$B267))+ISNUMBER(SEARCH("bir",$B267))+ISNUMBER(SEARCH("ltfrb",$B267))+ISNUMBER(SEARCH("misc",$B267))+ISNUMBER(SEARCH("fee",$B267))&gt;0,"Overhead","Overhead")))))))</f>
        <v/>
      </c>
      <c r="J267">
        <f>IF($A267="","",DATE(YEAR($A267),MONTH($A267),1))</f>
        <v/>
      </c>
      <c r="K267">
        <f>IF($B267="","",IF(COUNTIF(Setup!$A$99:$A$128,$B267)&gt;0,0,1))</f>
        <v/>
      </c>
      <c r="L267">
        <f>IF($B267="","",IF(ISNUMBER(SEARCH("advance",$B267)),"ADV",IF(OR(ISNUMBER(SEARCH("payout",$B267)),ISNUMBER(SEARCH("pay out",$B267)),ISNUMBER(SEARCH("release",$B267))),"PAY","")))</f>
        <v/>
      </c>
      <c r="M267">
        <f>IF($B267="","",IF(ISNUMBER(SEARCH("bulk",$B267)),0,IF(ISNUMBER(SEARCH("fuel",$B267))+ISNUMBER(SEARCH("diesel",$B267))+ISNUMBER(SEARCH("krudo",$B267))+ISNUMBER(SEARCH("gasolina",$B267))&gt;0,1,0)))</f>
        <v/>
      </c>
      <c r="N267">
        <f>IF($B267="","",IF(ISNUMBER(SEARCH("fuel",$B267))+ISNUMBER(SEARCH("diesel",$B267))+ISNUMBER(SEARCH("krudo",$B267))+ISNUMBER(SEARCH("gasolina",$B267))&gt;0,1,0))</f>
        <v/>
      </c>
    </row>
    <row r="268">
      <c r="A268" s="94" t="n"/>
      <c r="B268" s="96" t="n"/>
      <c r="C268" s="96" t="n"/>
      <c r="D268" s="95" t="n"/>
      <c r="E268" s="96" t="n"/>
      <c r="F268" s="99" t="n"/>
      <c r="G268" s="95" t="n"/>
      <c r="H268" s="95" t="n"/>
      <c r="I268" s="101">
        <f>IF($B268="","",IF(COUNTIF(Setup!$A$99:$A$128,$B268)&gt;0,IF(INDEX(Setup!$B$99:$B$128,MATCH($B268,Setup!$A$99:$A$128,0))="","Overhead",INDEX(Setup!$B$99:$B$128,MATCH($B268,Setup!$A$99:$A$128,0))),IF(ISNUMBER(SEARCH("advance",$B268))+ISNUMBER(SEARCH("payout",$B268))+ISNUMBER(SEARCH("pay out",$B268))+ISNUMBER(SEARCH("reimburs",$B268))&gt;0,"Transfer",IF(ISNUMBER(SEARCH("loan",$B268))+ISNUMBER(SEARCH("amort",$B268))+ISNUMBER(SEARCH("installment",$B268))+ISNUMBER(SEARCH("instalment",$B268))&gt;0,"Financing",IF(ISNUMBER(SEARCH("draw",$B268))+ISNUMBER(SEARCH("owner",$B268))+ISNUMBER(SEARCH("asset",$B268))+ISNUMBER(SEARCH("capital",$B268))&gt;0,"Other",IF(ISNUMBER(SEARCH("fuel",$B268))+ISNUMBER(SEARCH("diesel",$B268))+ISNUMBER(SEARCH("krudo",$B268))+ISNUMBER(SEARCH("gasolina",$B268))+ISNUMBER(SEARCH("toll",$B268))+ISNUMBER(SEARCH("parking",$B268))+ISNUMBER(SEARCH("repair",$B268))+ISNUMBER(SEARCH("maintenance",$B268))+ISNUMBER(SEARCH("tire",$B268))+ISNUMBER(SEARCH("tyre",$B268))+ISNUMBER(SEARCH("battery",$B268))+ISNUMBER(SEARCH("oil",$B268))+ISNUMBER(SEARCH("filter",$B268))+ISNUMBER(SEARCH("spare",$B268))+ISNUMBER(SEARCH("insurance",$B268))+ISNUMBER(SEARCH("lto",$B268))+ISNUMBER(SEARCH("registration",$B268))+ISNUMBER(SEARCH("emission",$B268))+ISNUMBER(SEARCH("wash",$B268))+ISNUMBER(SEARCH("weigh",$B268))+ISNUMBER(SEARCH("tarp",$B268))&gt;0,"Vehicle",IF(ISNUMBER(SEARCH("rent",$B268))+ISNUMBER(SEARCH("upa",$B268))+ISNUMBER(SEARCH("salary",$B268))+ISNUMBER(SEARCH("sweldo",$B268))+ISNUMBER(SEARCH("wage",$B268))+ISNUMBER(SEARCH("electric",$B268))+ISNUMBER(SEARCH("kuryente",$B268))+ISNUMBER(SEARCH("water",$B268))+ISNUMBER(SEARCH("tubig",$B268))+ISNUMBER(SEARCH("internet",$B268))+ISNUMBER(SEARCH("pldt",$B268))+ISNUMBER(SEARCH("meralco",$B268))+ISNUMBER(SEARCH("supplies",$B268))+ISNUMBER(SEARCH("office",$B268))+ISNUMBER(SEARCH("professional",$B268))+ISNUMBER(SEARCH("accountant",$B268))+ISNUMBER(SEARCH("lawyer",$B268))+ISNUMBER(SEARCH("broker",$B268))+ISNUMBER(SEARCH("bank",$B268))+ISNUMBER(SEARCH("charge",$B268))+ISNUMBER(SEARCH("permit",$B268))+ISNUMBER(SEARCH("bir",$B268))+ISNUMBER(SEARCH("ltfrb",$B268))+ISNUMBER(SEARCH("misc",$B268))+ISNUMBER(SEARCH("fee",$B268))&gt;0,"Overhead","Overhead")))))))</f>
        <v/>
      </c>
      <c r="J268">
        <f>IF($A268="","",DATE(YEAR($A268),MONTH($A268),1))</f>
        <v/>
      </c>
      <c r="K268">
        <f>IF($B268="","",IF(COUNTIF(Setup!$A$99:$A$128,$B268)&gt;0,0,1))</f>
        <v/>
      </c>
      <c r="L268">
        <f>IF($B268="","",IF(ISNUMBER(SEARCH("advance",$B268)),"ADV",IF(OR(ISNUMBER(SEARCH("payout",$B268)),ISNUMBER(SEARCH("pay out",$B268)),ISNUMBER(SEARCH("release",$B268))),"PAY","")))</f>
        <v/>
      </c>
      <c r="M268">
        <f>IF($B268="","",IF(ISNUMBER(SEARCH("bulk",$B268)),0,IF(ISNUMBER(SEARCH("fuel",$B268))+ISNUMBER(SEARCH("diesel",$B268))+ISNUMBER(SEARCH("krudo",$B268))+ISNUMBER(SEARCH("gasolina",$B268))&gt;0,1,0)))</f>
        <v/>
      </c>
      <c r="N268">
        <f>IF($B268="","",IF(ISNUMBER(SEARCH("fuel",$B268))+ISNUMBER(SEARCH("diesel",$B268))+ISNUMBER(SEARCH("krudo",$B268))+ISNUMBER(SEARCH("gasolina",$B268))&gt;0,1,0))</f>
        <v/>
      </c>
    </row>
    <row r="269">
      <c r="A269" s="86" t="n"/>
      <c r="B269" s="88" t="n"/>
      <c r="C269" s="88" t="n"/>
      <c r="D269" s="87" t="n"/>
      <c r="E269" s="88" t="n"/>
      <c r="F269" s="92" t="n"/>
      <c r="G269" s="87" t="n"/>
      <c r="H269" s="87" t="n"/>
      <c r="I269" s="101">
        <f>IF($B269="","",IF(COUNTIF(Setup!$A$99:$A$128,$B269)&gt;0,IF(INDEX(Setup!$B$99:$B$128,MATCH($B269,Setup!$A$99:$A$128,0))="","Overhead",INDEX(Setup!$B$99:$B$128,MATCH($B269,Setup!$A$99:$A$128,0))),IF(ISNUMBER(SEARCH("advance",$B269))+ISNUMBER(SEARCH("payout",$B269))+ISNUMBER(SEARCH("pay out",$B269))+ISNUMBER(SEARCH("reimburs",$B269))&gt;0,"Transfer",IF(ISNUMBER(SEARCH("loan",$B269))+ISNUMBER(SEARCH("amort",$B269))+ISNUMBER(SEARCH("installment",$B269))+ISNUMBER(SEARCH("instalment",$B269))&gt;0,"Financing",IF(ISNUMBER(SEARCH("draw",$B269))+ISNUMBER(SEARCH("owner",$B269))+ISNUMBER(SEARCH("asset",$B269))+ISNUMBER(SEARCH("capital",$B269))&gt;0,"Other",IF(ISNUMBER(SEARCH("fuel",$B269))+ISNUMBER(SEARCH("diesel",$B269))+ISNUMBER(SEARCH("krudo",$B269))+ISNUMBER(SEARCH("gasolina",$B269))+ISNUMBER(SEARCH("toll",$B269))+ISNUMBER(SEARCH("parking",$B269))+ISNUMBER(SEARCH("repair",$B269))+ISNUMBER(SEARCH("maintenance",$B269))+ISNUMBER(SEARCH("tire",$B269))+ISNUMBER(SEARCH("tyre",$B269))+ISNUMBER(SEARCH("battery",$B269))+ISNUMBER(SEARCH("oil",$B269))+ISNUMBER(SEARCH("filter",$B269))+ISNUMBER(SEARCH("spare",$B269))+ISNUMBER(SEARCH("insurance",$B269))+ISNUMBER(SEARCH("lto",$B269))+ISNUMBER(SEARCH("registration",$B269))+ISNUMBER(SEARCH("emission",$B269))+ISNUMBER(SEARCH("wash",$B269))+ISNUMBER(SEARCH("weigh",$B269))+ISNUMBER(SEARCH("tarp",$B269))&gt;0,"Vehicle",IF(ISNUMBER(SEARCH("rent",$B269))+ISNUMBER(SEARCH("upa",$B269))+ISNUMBER(SEARCH("salary",$B269))+ISNUMBER(SEARCH("sweldo",$B269))+ISNUMBER(SEARCH("wage",$B269))+ISNUMBER(SEARCH("electric",$B269))+ISNUMBER(SEARCH("kuryente",$B269))+ISNUMBER(SEARCH("water",$B269))+ISNUMBER(SEARCH("tubig",$B269))+ISNUMBER(SEARCH("internet",$B269))+ISNUMBER(SEARCH("pldt",$B269))+ISNUMBER(SEARCH("meralco",$B269))+ISNUMBER(SEARCH("supplies",$B269))+ISNUMBER(SEARCH("office",$B269))+ISNUMBER(SEARCH("professional",$B269))+ISNUMBER(SEARCH("accountant",$B269))+ISNUMBER(SEARCH("lawyer",$B269))+ISNUMBER(SEARCH("broker",$B269))+ISNUMBER(SEARCH("bank",$B269))+ISNUMBER(SEARCH("charge",$B269))+ISNUMBER(SEARCH("permit",$B269))+ISNUMBER(SEARCH("bir",$B269))+ISNUMBER(SEARCH("ltfrb",$B269))+ISNUMBER(SEARCH("misc",$B269))+ISNUMBER(SEARCH("fee",$B269))&gt;0,"Overhead","Overhead")))))))</f>
        <v/>
      </c>
      <c r="J269">
        <f>IF($A269="","",DATE(YEAR($A269),MONTH($A269),1))</f>
        <v/>
      </c>
      <c r="K269">
        <f>IF($B269="","",IF(COUNTIF(Setup!$A$99:$A$128,$B269)&gt;0,0,1))</f>
        <v/>
      </c>
      <c r="L269">
        <f>IF($B269="","",IF(ISNUMBER(SEARCH("advance",$B269)),"ADV",IF(OR(ISNUMBER(SEARCH("payout",$B269)),ISNUMBER(SEARCH("pay out",$B269)),ISNUMBER(SEARCH("release",$B269))),"PAY","")))</f>
        <v/>
      </c>
      <c r="M269">
        <f>IF($B269="","",IF(ISNUMBER(SEARCH("bulk",$B269)),0,IF(ISNUMBER(SEARCH("fuel",$B269))+ISNUMBER(SEARCH("diesel",$B269))+ISNUMBER(SEARCH("krudo",$B269))+ISNUMBER(SEARCH("gasolina",$B269))&gt;0,1,0)))</f>
        <v/>
      </c>
      <c r="N269">
        <f>IF($B269="","",IF(ISNUMBER(SEARCH("fuel",$B269))+ISNUMBER(SEARCH("diesel",$B269))+ISNUMBER(SEARCH("krudo",$B269))+ISNUMBER(SEARCH("gasolina",$B269))&gt;0,1,0))</f>
        <v/>
      </c>
    </row>
    <row r="270">
      <c r="A270" s="94" t="n"/>
      <c r="B270" s="96" t="n"/>
      <c r="C270" s="96" t="n"/>
      <c r="D270" s="95" t="n"/>
      <c r="E270" s="96" t="n"/>
      <c r="F270" s="99" t="n"/>
      <c r="G270" s="95" t="n"/>
      <c r="H270" s="95" t="n"/>
      <c r="I270" s="101">
        <f>IF($B270="","",IF(COUNTIF(Setup!$A$99:$A$128,$B270)&gt;0,IF(INDEX(Setup!$B$99:$B$128,MATCH($B270,Setup!$A$99:$A$128,0))="","Overhead",INDEX(Setup!$B$99:$B$128,MATCH($B270,Setup!$A$99:$A$128,0))),IF(ISNUMBER(SEARCH("advance",$B270))+ISNUMBER(SEARCH("payout",$B270))+ISNUMBER(SEARCH("pay out",$B270))+ISNUMBER(SEARCH("reimburs",$B270))&gt;0,"Transfer",IF(ISNUMBER(SEARCH("loan",$B270))+ISNUMBER(SEARCH("amort",$B270))+ISNUMBER(SEARCH("installment",$B270))+ISNUMBER(SEARCH("instalment",$B270))&gt;0,"Financing",IF(ISNUMBER(SEARCH("draw",$B270))+ISNUMBER(SEARCH("owner",$B270))+ISNUMBER(SEARCH("asset",$B270))+ISNUMBER(SEARCH("capital",$B270))&gt;0,"Other",IF(ISNUMBER(SEARCH("fuel",$B270))+ISNUMBER(SEARCH("diesel",$B270))+ISNUMBER(SEARCH("krudo",$B270))+ISNUMBER(SEARCH("gasolina",$B270))+ISNUMBER(SEARCH("toll",$B270))+ISNUMBER(SEARCH("parking",$B270))+ISNUMBER(SEARCH("repair",$B270))+ISNUMBER(SEARCH("maintenance",$B270))+ISNUMBER(SEARCH("tire",$B270))+ISNUMBER(SEARCH("tyre",$B270))+ISNUMBER(SEARCH("battery",$B270))+ISNUMBER(SEARCH("oil",$B270))+ISNUMBER(SEARCH("filter",$B270))+ISNUMBER(SEARCH("spare",$B270))+ISNUMBER(SEARCH("insurance",$B270))+ISNUMBER(SEARCH("lto",$B270))+ISNUMBER(SEARCH("registration",$B270))+ISNUMBER(SEARCH("emission",$B270))+ISNUMBER(SEARCH("wash",$B270))+ISNUMBER(SEARCH("weigh",$B270))+ISNUMBER(SEARCH("tarp",$B270))&gt;0,"Vehicle",IF(ISNUMBER(SEARCH("rent",$B270))+ISNUMBER(SEARCH("upa",$B270))+ISNUMBER(SEARCH("salary",$B270))+ISNUMBER(SEARCH("sweldo",$B270))+ISNUMBER(SEARCH("wage",$B270))+ISNUMBER(SEARCH("electric",$B270))+ISNUMBER(SEARCH("kuryente",$B270))+ISNUMBER(SEARCH("water",$B270))+ISNUMBER(SEARCH("tubig",$B270))+ISNUMBER(SEARCH("internet",$B270))+ISNUMBER(SEARCH("pldt",$B270))+ISNUMBER(SEARCH("meralco",$B270))+ISNUMBER(SEARCH("supplies",$B270))+ISNUMBER(SEARCH("office",$B270))+ISNUMBER(SEARCH("professional",$B270))+ISNUMBER(SEARCH("accountant",$B270))+ISNUMBER(SEARCH("lawyer",$B270))+ISNUMBER(SEARCH("broker",$B270))+ISNUMBER(SEARCH("bank",$B270))+ISNUMBER(SEARCH("charge",$B270))+ISNUMBER(SEARCH("permit",$B270))+ISNUMBER(SEARCH("bir",$B270))+ISNUMBER(SEARCH("ltfrb",$B270))+ISNUMBER(SEARCH("misc",$B270))+ISNUMBER(SEARCH("fee",$B270))&gt;0,"Overhead","Overhead")))))))</f>
        <v/>
      </c>
      <c r="J270">
        <f>IF($A270="","",DATE(YEAR($A270),MONTH($A270),1))</f>
        <v/>
      </c>
      <c r="K270">
        <f>IF($B270="","",IF(COUNTIF(Setup!$A$99:$A$128,$B270)&gt;0,0,1))</f>
        <v/>
      </c>
      <c r="L270">
        <f>IF($B270="","",IF(ISNUMBER(SEARCH("advance",$B270)),"ADV",IF(OR(ISNUMBER(SEARCH("payout",$B270)),ISNUMBER(SEARCH("pay out",$B270)),ISNUMBER(SEARCH("release",$B270))),"PAY","")))</f>
        <v/>
      </c>
      <c r="M270">
        <f>IF($B270="","",IF(ISNUMBER(SEARCH("bulk",$B270)),0,IF(ISNUMBER(SEARCH("fuel",$B270))+ISNUMBER(SEARCH("diesel",$B270))+ISNUMBER(SEARCH("krudo",$B270))+ISNUMBER(SEARCH("gasolina",$B270))&gt;0,1,0)))</f>
        <v/>
      </c>
      <c r="N270">
        <f>IF($B270="","",IF(ISNUMBER(SEARCH("fuel",$B270))+ISNUMBER(SEARCH("diesel",$B270))+ISNUMBER(SEARCH("krudo",$B270))+ISNUMBER(SEARCH("gasolina",$B270))&gt;0,1,0))</f>
        <v/>
      </c>
    </row>
    <row r="271">
      <c r="A271" s="86" t="n"/>
      <c r="B271" s="88" t="n"/>
      <c r="C271" s="88" t="n"/>
      <c r="D271" s="87" t="n"/>
      <c r="E271" s="88" t="n"/>
      <c r="F271" s="92" t="n"/>
      <c r="G271" s="87" t="n"/>
      <c r="H271" s="87" t="n"/>
      <c r="I271" s="101">
        <f>IF($B271="","",IF(COUNTIF(Setup!$A$99:$A$128,$B271)&gt;0,IF(INDEX(Setup!$B$99:$B$128,MATCH($B271,Setup!$A$99:$A$128,0))="","Overhead",INDEX(Setup!$B$99:$B$128,MATCH($B271,Setup!$A$99:$A$128,0))),IF(ISNUMBER(SEARCH("advance",$B271))+ISNUMBER(SEARCH("payout",$B271))+ISNUMBER(SEARCH("pay out",$B271))+ISNUMBER(SEARCH("reimburs",$B271))&gt;0,"Transfer",IF(ISNUMBER(SEARCH("loan",$B271))+ISNUMBER(SEARCH("amort",$B271))+ISNUMBER(SEARCH("installment",$B271))+ISNUMBER(SEARCH("instalment",$B271))&gt;0,"Financing",IF(ISNUMBER(SEARCH("draw",$B271))+ISNUMBER(SEARCH("owner",$B271))+ISNUMBER(SEARCH("asset",$B271))+ISNUMBER(SEARCH("capital",$B271))&gt;0,"Other",IF(ISNUMBER(SEARCH("fuel",$B271))+ISNUMBER(SEARCH("diesel",$B271))+ISNUMBER(SEARCH("krudo",$B271))+ISNUMBER(SEARCH("gasolina",$B271))+ISNUMBER(SEARCH("toll",$B271))+ISNUMBER(SEARCH("parking",$B271))+ISNUMBER(SEARCH("repair",$B271))+ISNUMBER(SEARCH("maintenance",$B271))+ISNUMBER(SEARCH("tire",$B271))+ISNUMBER(SEARCH("tyre",$B271))+ISNUMBER(SEARCH("battery",$B271))+ISNUMBER(SEARCH("oil",$B271))+ISNUMBER(SEARCH("filter",$B271))+ISNUMBER(SEARCH("spare",$B271))+ISNUMBER(SEARCH("insurance",$B271))+ISNUMBER(SEARCH("lto",$B271))+ISNUMBER(SEARCH("registration",$B271))+ISNUMBER(SEARCH("emission",$B271))+ISNUMBER(SEARCH("wash",$B271))+ISNUMBER(SEARCH("weigh",$B271))+ISNUMBER(SEARCH("tarp",$B271))&gt;0,"Vehicle",IF(ISNUMBER(SEARCH("rent",$B271))+ISNUMBER(SEARCH("upa",$B271))+ISNUMBER(SEARCH("salary",$B271))+ISNUMBER(SEARCH("sweldo",$B271))+ISNUMBER(SEARCH("wage",$B271))+ISNUMBER(SEARCH("electric",$B271))+ISNUMBER(SEARCH("kuryente",$B271))+ISNUMBER(SEARCH("water",$B271))+ISNUMBER(SEARCH("tubig",$B271))+ISNUMBER(SEARCH("internet",$B271))+ISNUMBER(SEARCH("pldt",$B271))+ISNUMBER(SEARCH("meralco",$B271))+ISNUMBER(SEARCH("supplies",$B271))+ISNUMBER(SEARCH("office",$B271))+ISNUMBER(SEARCH("professional",$B271))+ISNUMBER(SEARCH("accountant",$B271))+ISNUMBER(SEARCH("lawyer",$B271))+ISNUMBER(SEARCH("broker",$B271))+ISNUMBER(SEARCH("bank",$B271))+ISNUMBER(SEARCH("charge",$B271))+ISNUMBER(SEARCH("permit",$B271))+ISNUMBER(SEARCH("bir",$B271))+ISNUMBER(SEARCH("ltfrb",$B271))+ISNUMBER(SEARCH("misc",$B271))+ISNUMBER(SEARCH("fee",$B271))&gt;0,"Overhead","Overhead")))))))</f>
        <v/>
      </c>
      <c r="J271">
        <f>IF($A271="","",DATE(YEAR($A271),MONTH($A271),1))</f>
        <v/>
      </c>
      <c r="K271">
        <f>IF($B271="","",IF(COUNTIF(Setup!$A$99:$A$128,$B271)&gt;0,0,1))</f>
        <v/>
      </c>
      <c r="L271">
        <f>IF($B271="","",IF(ISNUMBER(SEARCH("advance",$B271)),"ADV",IF(OR(ISNUMBER(SEARCH("payout",$B271)),ISNUMBER(SEARCH("pay out",$B271)),ISNUMBER(SEARCH("release",$B271))),"PAY","")))</f>
        <v/>
      </c>
      <c r="M271">
        <f>IF($B271="","",IF(ISNUMBER(SEARCH("bulk",$B271)),0,IF(ISNUMBER(SEARCH("fuel",$B271))+ISNUMBER(SEARCH("diesel",$B271))+ISNUMBER(SEARCH("krudo",$B271))+ISNUMBER(SEARCH("gasolina",$B271))&gt;0,1,0)))</f>
        <v/>
      </c>
      <c r="N271">
        <f>IF($B271="","",IF(ISNUMBER(SEARCH("fuel",$B271))+ISNUMBER(SEARCH("diesel",$B271))+ISNUMBER(SEARCH("krudo",$B271))+ISNUMBER(SEARCH("gasolina",$B271))&gt;0,1,0))</f>
        <v/>
      </c>
    </row>
    <row r="272">
      <c r="A272" s="94" t="n"/>
      <c r="B272" s="96" t="n"/>
      <c r="C272" s="96" t="n"/>
      <c r="D272" s="95" t="n"/>
      <c r="E272" s="96" t="n"/>
      <c r="F272" s="99" t="n"/>
      <c r="G272" s="95" t="n"/>
      <c r="H272" s="95" t="n"/>
      <c r="I272" s="101">
        <f>IF($B272="","",IF(COUNTIF(Setup!$A$99:$A$128,$B272)&gt;0,IF(INDEX(Setup!$B$99:$B$128,MATCH($B272,Setup!$A$99:$A$128,0))="","Overhead",INDEX(Setup!$B$99:$B$128,MATCH($B272,Setup!$A$99:$A$128,0))),IF(ISNUMBER(SEARCH("advance",$B272))+ISNUMBER(SEARCH("payout",$B272))+ISNUMBER(SEARCH("pay out",$B272))+ISNUMBER(SEARCH("reimburs",$B272))&gt;0,"Transfer",IF(ISNUMBER(SEARCH("loan",$B272))+ISNUMBER(SEARCH("amort",$B272))+ISNUMBER(SEARCH("installment",$B272))+ISNUMBER(SEARCH("instalment",$B272))&gt;0,"Financing",IF(ISNUMBER(SEARCH("draw",$B272))+ISNUMBER(SEARCH("owner",$B272))+ISNUMBER(SEARCH("asset",$B272))+ISNUMBER(SEARCH("capital",$B272))&gt;0,"Other",IF(ISNUMBER(SEARCH("fuel",$B272))+ISNUMBER(SEARCH("diesel",$B272))+ISNUMBER(SEARCH("krudo",$B272))+ISNUMBER(SEARCH("gasolina",$B272))+ISNUMBER(SEARCH("toll",$B272))+ISNUMBER(SEARCH("parking",$B272))+ISNUMBER(SEARCH("repair",$B272))+ISNUMBER(SEARCH("maintenance",$B272))+ISNUMBER(SEARCH("tire",$B272))+ISNUMBER(SEARCH("tyre",$B272))+ISNUMBER(SEARCH("battery",$B272))+ISNUMBER(SEARCH("oil",$B272))+ISNUMBER(SEARCH("filter",$B272))+ISNUMBER(SEARCH("spare",$B272))+ISNUMBER(SEARCH("insurance",$B272))+ISNUMBER(SEARCH("lto",$B272))+ISNUMBER(SEARCH("registration",$B272))+ISNUMBER(SEARCH("emission",$B272))+ISNUMBER(SEARCH("wash",$B272))+ISNUMBER(SEARCH("weigh",$B272))+ISNUMBER(SEARCH("tarp",$B272))&gt;0,"Vehicle",IF(ISNUMBER(SEARCH("rent",$B272))+ISNUMBER(SEARCH("upa",$B272))+ISNUMBER(SEARCH("salary",$B272))+ISNUMBER(SEARCH("sweldo",$B272))+ISNUMBER(SEARCH("wage",$B272))+ISNUMBER(SEARCH("electric",$B272))+ISNUMBER(SEARCH("kuryente",$B272))+ISNUMBER(SEARCH("water",$B272))+ISNUMBER(SEARCH("tubig",$B272))+ISNUMBER(SEARCH("internet",$B272))+ISNUMBER(SEARCH("pldt",$B272))+ISNUMBER(SEARCH("meralco",$B272))+ISNUMBER(SEARCH("supplies",$B272))+ISNUMBER(SEARCH("office",$B272))+ISNUMBER(SEARCH("professional",$B272))+ISNUMBER(SEARCH("accountant",$B272))+ISNUMBER(SEARCH("lawyer",$B272))+ISNUMBER(SEARCH("broker",$B272))+ISNUMBER(SEARCH("bank",$B272))+ISNUMBER(SEARCH("charge",$B272))+ISNUMBER(SEARCH("permit",$B272))+ISNUMBER(SEARCH("bir",$B272))+ISNUMBER(SEARCH("ltfrb",$B272))+ISNUMBER(SEARCH("misc",$B272))+ISNUMBER(SEARCH("fee",$B272))&gt;0,"Overhead","Overhead")))))))</f>
        <v/>
      </c>
      <c r="J272">
        <f>IF($A272="","",DATE(YEAR($A272),MONTH($A272),1))</f>
        <v/>
      </c>
      <c r="K272">
        <f>IF($B272="","",IF(COUNTIF(Setup!$A$99:$A$128,$B272)&gt;0,0,1))</f>
        <v/>
      </c>
      <c r="L272">
        <f>IF($B272="","",IF(ISNUMBER(SEARCH("advance",$B272)),"ADV",IF(OR(ISNUMBER(SEARCH("payout",$B272)),ISNUMBER(SEARCH("pay out",$B272)),ISNUMBER(SEARCH("release",$B272))),"PAY","")))</f>
        <v/>
      </c>
      <c r="M272">
        <f>IF($B272="","",IF(ISNUMBER(SEARCH("bulk",$B272)),0,IF(ISNUMBER(SEARCH("fuel",$B272))+ISNUMBER(SEARCH("diesel",$B272))+ISNUMBER(SEARCH("krudo",$B272))+ISNUMBER(SEARCH("gasolina",$B272))&gt;0,1,0)))</f>
        <v/>
      </c>
      <c r="N272">
        <f>IF($B272="","",IF(ISNUMBER(SEARCH("fuel",$B272))+ISNUMBER(SEARCH("diesel",$B272))+ISNUMBER(SEARCH("krudo",$B272))+ISNUMBER(SEARCH("gasolina",$B272))&gt;0,1,0))</f>
        <v/>
      </c>
    </row>
    <row r="273">
      <c r="A273" s="86" t="n"/>
      <c r="B273" s="88" t="n"/>
      <c r="C273" s="88" t="n"/>
      <c r="D273" s="87" t="n"/>
      <c r="E273" s="88" t="n"/>
      <c r="F273" s="92" t="n"/>
      <c r="G273" s="87" t="n"/>
      <c r="H273" s="87" t="n"/>
      <c r="I273" s="101">
        <f>IF($B273="","",IF(COUNTIF(Setup!$A$99:$A$128,$B273)&gt;0,IF(INDEX(Setup!$B$99:$B$128,MATCH($B273,Setup!$A$99:$A$128,0))="","Overhead",INDEX(Setup!$B$99:$B$128,MATCH($B273,Setup!$A$99:$A$128,0))),IF(ISNUMBER(SEARCH("advance",$B273))+ISNUMBER(SEARCH("payout",$B273))+ISNUMBER(SEARCH("pay out",$B273))+ISNUMBER(SEARCH("reimburs",$B273))&gt;0,"Transfer",IF(ISNUMBER(SEARCH("loan",$B273))+ISNUMBER(SEARCH("amort",$B273))+ISNUMBER(SEARCH("installment",$B273))+ISNUMBER(SEARCH("instalment",$B273))&gt;0,"Financing",IF(ISNUMBER(SEARCH("draw",$B273))+ISNUMBER(SEARCH("owner",$B273))+ISNUMBER(SEARCH("asset",$B273))+ISNUMBER(SEARCH("capital",$B273))&gt;0,"Other",IF(ISNUMBER(SEARCH("fuel",$B273))+ISNUMBER(SEARCH("diesel",$B273))+ISNUMBER(SEARCH("krudo",$B273))+ISNUMBER(SEARCH("gasolina",$B273))+ISNUMBER(SEARCH("toll",$B273))+ISNUMBER(SEARCH("parking",$B273))+ISNUMBER(SEARCH("repair",$B273))+ISNUMBER(SEARCH("maintenance",$B273))+ISNUMBER(SEARCH("tire",$B273))+ISNUMBER(SEARCH("tyre",$B273))+ISNUMBER(SEARCH("battery",$B273))+ISNUMBER(SEARCH("oil",$B273))+ISNUMBER(SEARCH("filter",$B273))+ISNUMBER(SEARCH("spare",$B273))+ISNUMBER(SEARCH("insurance",$B273))+ISNUMBER(SEARCH("lto",$B273))+ISNUMBER(SEARCH("registration",$B273))+ISNUMBER(SEARCH("emission",$B273))+ISNUMBER(SEARCH("wash",$B273))+ISNUMBER(SEARCH("weigh",$B273))+ISNUMBER(SEARCH("tarp",$B273))&gt;0,"Vehicle",IF(ISNUMBER(SEARCH("rent",$B273))+ISNUMBER(SEARCH("upa",$B273))+ISNUMBER(SEARCH("salary",$B273))+ISNUMBER(SEARCH("sweldo",$B273))+ISNUMBER(SEARCH("wage",$B273))+ISNUMBER(SEARCH("electric",$B273))+ISNUMBER(SEARCH("kuryente",$B273))+ISNUMBER(SEARCH("water",$B273))+ISNUMBER(SEARCH("tubig",$B273))+ISNUMBER(SEARCH("internet",$B273))+ISNUMBER(SEARCH("pldt",$B273))+ISNUMBER(SEARCH("meralco",$B273))+ISNUMBER(SEARCH("supplies",$B273))+ISNUMBER(SEARCH("office",$B273))+ISNUMBER(SEARCH("professional",$B273))+ISNUMBER(SEARCH("accountant",$B273))+ISNUMBER(SEARCH("lawyer",$B273))+ISNUMBER(SEARCH("broker",$B273))+ISNUMBER(SEARCH("bank",$B273))+ISNUMBER(SEARCH("charge",$B273))+ISNUMBER(SEARCH("permit",$B273))+ISNUMBER(SEARCH("bir",$B273))+ISNUMBER(SEARCH("ltfrb",$B273))+ISNUMBER(SEARCH("misc",$B273))+ISNUMBER(SEARCH("fee",$B273))&gt;0,"Overhead","Overhead")))))))</f>
        <v/>
      </c>
      <c r="J273">
        <f>IF($A273="","",DATE(YEAR($A273),MONTH($A273),1))</f>
        <v/>
      </c>
      <c r="K273">
        <f>IF($B273="","",IF(COUNTIF(Setup!$A$99:$A$128,$B273)&gt;0,0,1))</f>
        <v/>
      </c>
      <c r="L273">
        <f>IF($B273="","",IF(ISNUMBER(SEARCH("advance",$B273)),"ADV",IF(OR(ISNUMBER(SEARCH("payout",$B273)),ISNUMBER(SEARCH("pay out",$B273)),ISNUMBER(SEARCH("release",$B273))),"PAY","")))</f>
        <v/>
      </c>
      <c r="M273">
        <f>IF($B273="","",IF(ISNUMBER(SEARCH("bulk",$B273)),0,IF(ISNUMBER(SEARCH("fuel",$B273))+ISNUMBER(SEARCH("diesel",$B273))+ISNUMBER(SEARCH("krudo",$B273))+ISNUMBER(SEARCH("gasolina",$B273))&gt;0,1,0)))</f>
        <v/>
      </c>
      <c r="N273">
        <f>IF($B273="","",IF(ISNUMBER(SEARCH("fuel",$B273))+ISNUMBER(SEARCH("diesel",$B273))+ISNUMBER(SEARCH("krudo",$B273))+ISNUMBER(SEARCH("gasolina",$B273))&gt;0,1,0))</f>
        <v/>
      </c>
    </row>
    <row r="274">
      <c r="A274" s="94" t="n"/>
      <c r="B274" s="96" t="n"/>
      <c r="C274" s="96" t="n"/>
      <c r="D274" s="95" t="n"/>
      <c r="E274" s="96" t="n"/>
      <c r="F274" s="99" t="n"/>
      <c r="G274" s="95" t="n"/>
      <c r="H274" s="95" t="n"/>
      <c r="I274" s="101">
        <f>IF($B274="","",IF(COUNTIF(Setup!$A$99:$A$128,$B274)&gt;0,IF(INDEX(Setup!$B$99:$B$128,MATCH($B274,Setup!$A$99:$A$128,0))="","Overhead",INDEX(Setup!$B$99:$B$128,MATCH($B274,Setup!$A$99:$A$128,0))),IF(ISNUMBER(SEARCH("advance",$B274))+ISNUMBER(SEARCH("payout",$B274))+ISNUMBER(SEARCH("pay out",$B274))+ISNUMBER(SEARCH("reimburs",$B274))&gt;0,"Transfer",IF(ISNUMBER(SEARCH("loan",$B274))+ISNUMBER(SEARCH("amort",$B274))+ISNUMBER(SEARCH("installment",$B274))+ISNUMBER(SEARCH("instalment",$B274))&gt;0,"Financing",IF(ISNUMBER(SEARCH("draw",$B274))+ISNUMBER(SEARCH("owner",$B274))+ISNUMBER(SEARCH("asset",$B274))+ISNUMBER(SEARCH("capital",$B274))&gt;0,"Other",IF(ISNUMBER(SEARCH("fuel",$B274))+ISNUMBER(SEARCH("diesel",$B274))+ISNUMBER(SEARCH("krudo",$B274))+ISNUMBER(SEARCH("gasolina",$B274))+ISNUMBER(SEARCH("toll",$B274))+ISNUMBER(SEARCH("parking",$B274))+ISNUMBER(SEARCH("repair",$B274))+ISNUMBER(SEARCH("maintenance",$B274))+ISNUMBER(SEARCH("tire",$B274))+ISNUMBER(SEARCH("tyre",$B274))+ISNUMBER(SEARCH("battery",$B274))+ISNUMBER(SEARCH("oil",$B274))+ISNUMBER(SEARCH("filter",$B274))+ISNUMBER(SEARCH("spare",$B274))+ISNUMBER(SEARCH("insurance",$B274))+ISNUMBER(SEARCH("lto",$B274))+ISNUMBER(SEARCH("registration",$B274))+ISNUMBER(SEARCH("emission",$B274))+ISNUMBER(SEARCH("wash",$B274))+ISNUMBER(SEARCH("weigh",$B274))+ISNUMBER(SEARCH("tarp",$B274))&gt;0,"Vehicle",IF(ISNUMBER(SEARCH("rent",$B274))+ISNUMBER(SEARCH("upa",$B274))+ISNUMBER(SEARCH("salary",$B274))+ISNUMBER(SEARCH("sweldo",$B274))+ISNUMBER(SEARCH("wage",$B274))+ISNUMBER(SEARCH("electric",$B274))+ISNUMBER(SEARCH("kuryente",$B274))+ISNUMBER(SEARCH("water",$B274))+ISNUMBER(SEARCH("tubig",$B274))+ISNUMBER(SEARCH("internet",$B274))+ISNUMBER(SEARCH("pldt",$B274))+ISNUMBER(SEARCH("meralco",$B274))+ISNUMBER(SEARCH("supplies",$B274))+ISNUMBER(SEARCH("office",$B274))+ISNUMBER(SEARCH("professional",$B274))+ISNUMBER(SEARCH("accountant",$B274))+ISNUMBER(SEARCH("lawyer",$B274))+ISNUMBER(SEARCH("broker",$B274))+ISNUMBER(SEARCH("bank",$B274))+ISNUMBER(SEARCH("charge",$B274))+ISNUMBER(SEARCH("permit",$B274))+ISNUMBER(SEARCH("bir",$B274))+ISNUMBER(SEARCH("ltfrb",$B274))+ISNUMBER(SEARCH("misc",$B274))+ISNUMBER(SEARCH("fee",$B274))&gt;0,"Overhead","Overhead")))))))</f>
        <v/>
      </c>
      <c r="J274">
        <f>IF($A274="","",DATE(YEAR($A274),MONTH($A274),1))</f>
        <v/>
      </c>
      <c r="K274">
        <f>IF($B274="","",IF(COUNTIF(Setup!$A$99:$A$128,$B274)&gt;0,0,1))</f>
        <v/>
      </c>
      <c r="L274">
        <f>IF($B274="","",IF(ISNUMBER(SEARCH("advance",$B274)),"ADV",IF(OR(ISNUMBER(SEARCH("payout",$B274)),ISNUMBER(SEARCH("pay out",$B274)),ISNUMBER(SEARCH("release",$B274))),"PAY","")))</f>
        <v/>
      </c>
      <c r="M274">
        <f>IF($B274="","",IF(ISNUMBER(SEARCH("bulk",$B274)),0,IF(ISNUMBER(SEARCH("fuel",$B274))+ISNUMBER(SEARCH("diesel",$B274))+ISNUMBER(SEARCH("krudo",$B274))+ISNUMBER(SEARCH("gasolina",$B274))&gt;0,1,0)))</f>
        <v/>
      </c>
      <c r="N274">
        <f>IF($B274="","",IF(ISNUMBER(SEARCH("fuel",$B274))+ISNUMBER(SEARCH("diesel",$B274))+ISNUMBER(SEARCH("krudo",$B274))+ISNUMBER(SEARCH("gasolina",$B274))&gt;0,1,0))</f>
        <v/>
      </c>
    </row>
    <row r="275">
      <c r="A275" s="86" t="n"/>
      <c r="B275" s="88" t="n"/>
      <c r="C275" s="88" t="n"/>
      <c r="D275" s="87" t="n"/>
      <c r="E275" s="88" t="n"/>
      <c r="F275" s="92" t="n"/>
      <c r="G275" s="87" t="n"/>
      <c r="H275" s="87" t="n"/>
      <c r="I275" s="101">
        <f>IF($B275="","",IF(COUNTIF(Setup!$A$99:$A$128,$B275)&gt;0,IF(INDEX(Setup!$B$99:$B$128,MATCH($B275,Setup!$A$99:$A$128,0))="","Overhead",INDEX(Setup!$B$99:$B$128,MATCH($B275,Setup!$A$99:$A$128,0))),IF(ISNUMBER(SEARCH("advance",$B275))+ISNUMBER(SEARCH("payout",$B275))+ISNUMBER(SEARCH("pay out",$B275))+ISNUMBER(SEARCH("reimburs",$B275))&gt;0,"Transfer",IF(ISNUMBER(SEARCH("loan",$B275))+ISNUMBER(SEARCH("amort",$B275))+ISNUMBER(SEARCH("installment",$B275))+ISNUMBER(SEARCH("instalment",$B275))&gt;0,"Financing",IF(ISNUMBER(SEARCH("draw",$B275))+ISNUMBER(SEARCH("owner",$B275))+ISNUMBER(SEARCH("asset",$B275))+ISNUMBER(SEARCH("capital",$B275))&gt;0,"Other",IF(ISNUMBER(SEARCH("fuel",$B275))+ISNUMBER(SEARCH("diesel",$B275))+ISNUMBER(SEARCH("krudo",$B275))+ISNUMBER(SEARCH("gasolina",$B275))+ISNUMBER(SEARCH("toll",$B275))+ISNUMBER(SEARCH("parking",$B275))+ISNUMBER(SEARCH("repair",$B275))+ISNUMBER(SEARCH("maintenance",$B275))+ISNUMBER(SEARCH("tire",$B275))+ISNUMBER(SEARCH("tyre",$B275))+ISNUMBER(SEARCH("battery",$B275))+ISNUMBER(SEARCH("oil",$B275))+ISNUMBER(SEARCH("filter",$B275))+ISNUMBER(SEARCH("spare",$B275))+ISNUMBER(SEARCH("insurance",$B275))+ISNUMBER(SEARCH("lto",$B275))+ISNUMBER(SEARCH("registration",$B275))+ISNUMBER(SEARCH("emission",$B275))+ISNUMBER(SEARCH("wash",$B275))+ISNUMBER(SEARCH("weigh",$B275))+ISNUMBER(SEARCH("tarp",$B275))&gt;0,"Vehicle",IF(ISNUMBER(SEARCH("rent",$B275))+ISNUMBER(SEARCH("upa",$B275))+ISNUMBER(SEARCH("salary",$B275))+ISNUMBER(SEARCH("sweldo",$B275))+ISNUMBER(SEARCH("wage",$B275))+ISNUMBER(SEARCH("electric",$B275))+ISNUMBER(SEARCH("kuryente",$B275))+ISNUMBER(SEARCH("water",$B275))+ISNUMBER(SEARCH("tubig",$B275))+ISNUMBER(SEARCH("internet",$B275))+ISNUMBER(SEARCH("pldt",$B275))+ISNUMBER(SEARCH("meralco",$B275))+ISNUMBER(SEARCH("supplies",$B275))+ISNUMBER(SEARCH("office",$B275))+ISNUMBER(SEARCH("professional",$B275))+ISNUMBER(SEARCH("accountant",$B275))+ISNUMBER(SEARCH("lawyer",$B275))+ISNUMBER(SEARCH("broker",$B275))+ISNUMBER(SEARCH("bank",$B275))+ISNUMBER(SEARCH("charge",$B275))+ISNUMBER(SEARCH("permit",$B275))+ISNUMBER(SEARCH("bir",$B275))+ISNUMBER(SEARCH("ltfrb",$B275))+ISNUMBER(SEARCH("misc",$B275))+ISNUMBER(SEARCH("fee",$B275))&gt;0,"Overhead","Overhead")))))))</f>
        <v/>
      </c>
      <c r="J275">
        <f>IF($A275="","",DATE(YEAR($A275),MONTH($A275),1))</f>
        <v/>
      </c>
      <c r="K275">
        <f>IF($B275="","",IF(COUNTIF(Setup!$A$99:$A$128,$B275)&gt;0,0,1))</f>
        <v/>
      </c>
      <c r="L275">
        <f>IF($B275="","",IF(ISNUMBER(SEARCH("advance",$B275)),"ADV",IF(OR(ISNUMBER(SEARCH("payout",$B275)),ISNUMBER(SEARCH("pay out",$B275)),ISNUMBER(SEARCH("release",$B275))),"PAY","")))</f>
        <v/>
      </c>
      <c r="M275">
        <f>IF($B275="","",IF(ISNUMBER(SEARCH("bulk",$B275)),0,IF(ISNUMBER(SEARCH("fuel",$B275))+ISNUMBER(SEARCH("diesel",$B275))+ISNUMBER(SEARCH("krudo",$B275))+ISNUMBER(SEARCH("gasolina",$B275))&gt;0,1,0)))</f>
        <v/>
      </c>
      <c r="N275">
        <f>IF($B275="","",IF(ISNUMBER(SEARCH("fuel",$B275))+ISNUMBER(SEARCH("diesel",$B275))+ISNUMBER(SEARCH("krudo",$B275))+ISNUMBER(SEARCH("gasolina",$B275))&gt;0,1,0))</f>
        <v/>
      </c>
    </row>
    <row r="276">
      <c r="A276" s="94" t="n"/>
      <c r="B276" s="96" t="n"/>
      <c r="C276" s="96" t="n"/>
      <c r="D276" s="95" t="n"/>
      <c r="E276" s="96" t="n"/>
      <c r="F276" s="99" t="n"/>
      <c r="G276" s="95" t="n"/>
      <c r="H276" s="95" t="n"/>
      <c r="I276" s="101">
        <f>IF($B276="","",IF(COUNTIF(Setup!$A$99:$A$128,$B276)&gt;0,IF(INDEX(Setup!$B$99:$B$128,MATCH($B276,Setup!$A$99:$A$128,0))="","Overhead",INDEX(Setup!$B$99:$B$128,MATCH($B276,Setup!$A$99:$A$128,0))),IF(ISNUMBER(SEARCH("advance",$B276))+ISNUMBER(SEARCH("payout",$B276))+ISNUMBER(SEARCH("pay out",$B276))+ISNUMBER(SEARCH("reimburs",$B276))&gt;0,"Transfer",IF(ISNUMBER(SEARCH("loan",$B276))+ISNUMBER(SEARCH("amort",$B276))+ISNUMBER(SEARCH("installment",$B276))+ISNUMBER(SEARCH("instalment",$B276))&gt;0,"Financing",IF(ISNUMBER(SEARCH("draw",$B276))+ISNUMBER(SEARCH("owner",$B276))+ISNUMBER(SEARCH("asset",$B276))+ISNUMBER(SEARCH("capital",$B276))&gt;0,"Other",IF(ISNUMBER(SEARCH("fuel",$B276))+ISNUMBER(SEARCH("diesel",$B276))+ISNUMBER(SEARCH("krudo",$B276))+ISNUMBER(SEARCH("gasolina",$B276))+ISNUMBER(SEARCH("toll",$B276))+ISNUMBER(SEARCH("parking",$B276))+ISNUMBER(SEARCH("repair",$B276))+ISNUMBER(SEARCH("maintenance",$B276))+ISNUMBER(SEARCH("tire",$B276))+ISNUMBER(SEARCH("tyre",$B276))+ISNUMBER(SEARCH("battery",$B276))+ISNUMBER(SEARCH("oil",$B276))+ISNUMBER(SEARCH("filter",$B276))+ISNUMBER(SEARCH("spare",$B276))+ISNUMBER(SEARCH("insurance",$B276))+ISNUMBER(SEARCH("lto",$B276))+ISNUMBER(SEARCH("registration",$B276))+ISNUMBER(SEARCH("emission",$B276))+ISNUMBER(SEARCH("wash",$B276))+ISNUMBER(SEARCH("weigh",$B276))+ISNUMBER(SEARCH("tarp",$B276))&gt;0,"Vehicle",IF(ISNUMBER(SEARCH("rent",$B276))+ISNUMBER(SEARCH("upa",$B276))+ISNUMBER(SEARCH("salary",$B276))+ISNUMBER(SEARCH("sweldo",$B276))+ISNUMBER(SEARCH("wage",$B276))+ISNUMBER(SEARCH("electric",$B276))+ISNUMBER(SEARCH("kuryente",$B276))+ISNUMBER(SEARCH("water",$B276))+ISNUMBER(SEARCH("tubig",$B276))+ISNUMBER(SEARCH("internet",$B276))+ISNUMBER(SEARCH("pldt",$B276))+ISNUMBER(SEARCH("meralco",$B276))+ISNUMBER(SEARCH("supplies",$B276))+ISNUMBER(SEARCH("office",$B276))+ISNUMBER(SEARCH("professional",$B276))+ISNUMBER(SEARCH("accountant",$B276))+ISNUMBER(SEARCH("lawyer",$B276))+ISNUMBER(SEARCH("broker",$B276))+ISNUMBER(SEARCH("bank",$B276))+ISNUMBER(SEARCH("charge",$B276))+ISNUMBER(SEARCH("permit",$B276))+ISNUMBER(SEARCH("bir",$B276))+ISNUMBER(SEARCH("ltfrb",$B276))+ISNUMBER(SEARCH("misc",$B276))+ISNUMBER(SEARCH("fee",$B276))&gt;0,"Overhead","Overhead")))))))</f>
        <v/>
      </c>
      <c r="J276">
        <f>IF($A276="","",DATE(YEAR($A276),MONTH($A276),1))</f>
        <v/>
      </c>
      <c r="K276">
        <f>IF($B276="","",IF(COUNTIF(Setup!$A$99:$A$128,$B276)&gt;0,0,1))</f>
        <v/>
      </c>
      <c r="L276">
        <f>IF($B276="","",IF(ISNUMBER(SEARCH("advance",$B276)),"ADV",IF(OR(ISNUMBER(SEARCH("payout",$B276)),ISNUMBER(SEARCH("pay out",$B276)),ISNUMBER(SEARCH("release",$B276))),"PAY","")))</f>
        <v/>
      </c>
      <c r="M276">
        <f>IF($B276="","",IF(ISNUMBER(SEARCH("bulk",$B276)),0,IF(ISNUMBER(SEARCH("fuel",$B276))+ISNUMBER(SEARCH("diesel",$B276))+ISNUMBER(SEARCH("krudo",$B276))+ISNUMBER(SEARCH("gasolina",$B276))&gt;0,1,0)))</f>
        <v/>
      </c>
      <c r="N276">
        <f>IF($B276="","",IF(ISNUMBER(SEARCH("fuel",$B276))+ISNUMBER(SEARCH("diesel",$B276))+ISNUMBER(SEARCH("krudo",$B276))+ISNUMBER(SEARCH("gasolina",$B276))&gt;0,1,0))</f>
        <v/>
      </c>
    </row>
    <row r="277">
      <c r="A277" s="86" t="n"/>
      <c r="B277" s="88" t="n"/>
      <c r="C277" s="88" t="n"/>
      <c r="D277" s="87" t="n"/>
      <c r="E277" s="88" t="n"/>
      <c r="F277" s="92" t="n"/>
      <c r="G277" s="87" t="n"/>
      <c r="H277" s="87" t="n"/>
      <c r="I277" s="101">
        <f>IF($B277="","",IF(COUNTIF(Setup!$A$99:$A$128,$B277)&gt;0,IF(INDEX(Setup!$B$99:$B$128,MATCH($B277,Setup!$A$99:$A$128,0))="","Overhead",INDEX(Setup!$B$99:$B$128,MATCH($B277,Setup!$A$99:$A$128,0))),IF(ISNUMBER(SEARCH("advance",$B277))+ISNUMBER(SEARCH("payout",$B277))+ISNUMBER(SEARCH("pay out",$B277))+ISNUMBER(SEARCH("reimburs",$B277))&gt;0,"Transfer",IF(ISNUMBER(SEARCH("loan",$B277))+ISNUMBER(SEARCH("amort",$B277))+ISNUMBER(SEARCH("installment",$B277))+ISNUMBER(SEARCH("instalment",$B277))&gt;0,"Financing",IF(ISNUMBER(SEARCH("draw",$B277))+ISNUMBER(SEARCH("owner",$B277))+ISNUMBER(SEARCH("asset",$B277))+ISNUMBER(SEARCH("capital",$B277))&gt;0,"Other",IF(ISNUMBER(SEARCH("fuel",$B277))+ISNUMBER(SEARCH("diesel",$B277))+ISNUMBER(SEARCH("krudo",$B277))+ISNUMBER(SEARCH("gasolina",$B277))+ISNUMBER(SEARCH("toll",$B277))+ISNUMBER(SEARCH("parking",$B277))+ISNUMBER(SEARCH("repair",$B277))+ISNUMBER(SEARCH("maintenance",$B277))+ISNUMBER(SEARCH("tire",$B277))+ISNUMBER(SEARCH("tyre",$B277))+ISNUMBER(SEARCH("battery",$B277))+ISNUMBER(SEARCH("oil",$B277))+ISNUMBER(SEARCH("filter",$B277))+ISNUMBER(SEARCH("spare",$B277))+ISNUMBER(SEARCH("insurance",$B277))+ISNUMBER(SEARCH("lto",$B277))+ISNUMBER(SEARCH("registration",$B277))+ISNUMBER(SEARCH("emission",$B277))+ISNUMBER(SEARCH("wash",$B277))+ISNUMBER(SEARCH("weigh",$B277))+ISNUMBER(SEARCH("tarp",$B277))&gt;0,"Vehicle",IF(ISNUMBER(SEARCH("rent",$B277))+ISNUMBER(SEARCH("upa",$B277))+ISNUMBER(SEARCH("salary",$B277))+ISNUMBER(SEARCH("sweldo",$B277))+ISNUMBER(SEARCH("wage",$B277))+ISNUMBER(SEARCH("electric",$B277))+ISNUMBER(SEARCH("kuryente",$B277))+ISNUMBER(SEARCH("water",$B277))+ISNUMBER(SEARCH("tubig",$B277))+ISNUMBER(SEARCH("internet",$B277))+ISNUMBER(SEARCH("pldt",$B277))+ISNUMBER(SEARCH("meralco",$B277))+ISNUMBER(SEARCH("supplies",$B277))+ISNUMBER(SEARCH("office",$B277))+ISNUMBER(SEARCH("professional",$B277))+ISNUMBER(SEARCH("accountant",$B277))+ISNUMBER(SEARCH("lawyer",$B277))+ISNUMBER(SEARCH("broker",$B277))+ISNUMBER(SEARCH("bank",$B277))+ISNUMBER(SEARCH("charge",$B277))+ISNUMBER(SEARCH("permit",$B277))+ISNUMBER(SEARCH("bir",$B277))+ISNUMBER(SEARCH("ltfrb",$B277))+ISNUMBER(SEARCH("misc",$B277))+ISNUMBER(SEARCH("fee",$B277))&gt;0,"Overhead","Overhead")))))))</f>
        <v/>
      </c>
      <c r="J277">
        <f>IF($A277="","",DATE(YEAR($A277),MONTH($A277),1))</f>
        <v/>
      </c>
      <c r="K277">
        <f>IF($B277="","",IF(COUNTIF(Setup!$A$99:$A$128,$B277)&gt;0,0,1))</f>
        <v/>
      </c>
      <c r="L277">
        <f>IF($B277="","",IF(ISNUMBER(SEARCH("advance",$B277)),"ADV",IF(OR(ISNUMBER(SEARCH("payout",$B277)),ISNUMBER(SEARCH("pay out",$B277)),ISNUMBER(SEARCH("release",$B277))),"PAY","")))</f>
        <v/>
      </c>
      <c r="M277">
        <f>IF($B277="","",IF(ISNUMBER(SEARCH("bulk",$B277)),0,IF(ISNUMBER(SEARCH("fuel",$B277))+ISNUMBER(SEARCH("diesel",$B277))+ISNUMBER(SEARCH("krudo",$B277))+ISNUMBER(SEARCH("gasolina",$B277))&gt;0,1,0)))</f>
        <v/>
      </c>
      <c r="N277">
        <f>IF($B277="","",IF(ISNUMBER(SEARCH("fuel",$B277))+ISNUMBER(SEARCH("diesel",$B277))+ISNUMBER(SEARCH("krudo",$B277))+ISNUMBER(SEARCH("gasolina",$B277))&gt;0,1,0))</f>
        <v/>
      </c>
    </row>
    <row r="278">
      <c r="A278" s="94" t="n"/>
      <c r="B278" s="96" t="n"/>
      <c r="C278" s="96" t="n"/>
      <c r="D278" s="95" t="n"/>
      <c r="E278" s="96" t="n"/>
      <c r="F278" s="99" t="n"/>
      <c r="G278" s="95" t="n"/>
      <c r="H278" s="95" t="n"/>
      <c r="I278" s="101">
        <f>IF($B278="","",IF(COUNTIF(Setup!$A$99:$A$128,$B278)&gt;0,IF(INDEX(Setup!$B$99:$B$128,MATCH($B278,Setup!$A$99:$A$128,0))="","Overhead",INDEX(Setup!$B$99:$B$128,MATCH($B278,Setup!$A$99:$A$128,0))),IF(ISNUMBER(SEARCH("advance",$B278))+ISNUMBER(SEARCH("payout",$B278))+ISNUMBER(SEARCH("pay out",$B278))+ISNUMBER(SEARCH("reimburs",$B278))&gt;0,"Transfer",IF(ISNUMBER(SEARCH("loan",$B278))+ISNUMBER(SEARCH("amort",$B278))+ISNUMBER(SEARCH("installment",$B278))+ISNUMBER(SEARCH("instalment",$B278))&gt;0,"Financing",IF(ISNUMBER(SEARCH("draw",$B278))+ISNUMBER(SEARCH("owner",$B278))+ISNUMBER(SEARCH("asset",$B278))+ISNUMBER(SEARCH("capital",$B278))&gt;0,"Other",IF(ISNUMBER(SEARCH("fuel",$B278))+ISNUMBER(SEARCH("diesel",$B278))+ISNUMBER(SEARCH("krudo",$B278))+ISNUMBER(SEARCH("gasolina",$B278))+ISNUMBER(SEARCH("toll",$B278))+ISNUMBER(SEARCH("parking",$B278))+ISNUMBER(SEARCH("repair",$B278))+ISNUMBER(SEARCH("maintenance",$B278))+ISNUMBER(SEARCH("tire",$B278))+ISNUMBER(SEARCH("tyre",$B278))+ISNUMBER(SEARCH("battery",$B278))+ISNUMBER(SEARCH("oil",$B278))+ISNUMBER(SEARCH("filter",$B278))+ISNUMBER(SEARCH("spare",$B278))+ISNUMBER(SEARCH("insurance",$B278))+ISNUMBER(SEARCH("lto",$B278))+ISNUMBER(SEARCH("registration",$B278))+ISNUMBER(SEARCH("emission",$B278))+ISNUMBER(SEARCH("wash",$B278))+ISNUMBER(SEARCH("weigh",$B278))+ISNUMBER(SEARCH("tarp",$B278))&gt;0,"Vehicle",IF(ISNUMBER(SEARCH("rent",$B278))+ISNUMBER(SEARCH("upa",$B278))+ISNUMBER(SEARCH("salary",$B278))+ISNUMBER(SEARCH("sweldo",$B278))+ISNUMBER(SEARCH("wage",$B278))+ISNUMBER(SEARCH("electric",$B278))+ISNUMBER(SEARCH("kuryente",$B278))+ISNUMBER(SEARCH("water",$B278))+ISNUMBER(SEARCH("tubig",$B278))+ISNUMBER(SEARCH("internet",$B278))+ISNUMBER(SEARCH("pldt",$B278))+ISNUMBER(SEARCH("meralco",$B278))+ISNUMBER(SEARCH("supplies",$B278))+ISNUMBER(SEARCH("office",$B278))+ISNUMBER(SEARCH("professional",$B278))+ISNUMBER(SEARCH("accountant",$B278))+ISNUMBER(SEARCH("lawyer",$B278))+ISNUMBER(SEARCH("broker",$B278))+ISNUMBER(SEARCH("bank",$B278))+ISNUMBER(SEARCH("charge",$B278))+ISNUMBER(SEARCH("permit",$B278))+ISNUMBER(SEARCH("bir",$B278))+ISNUMBER(SEARCH("ltfrb",$B278))+ISNUMBER(SEARCH("misc",$B278))+ISNUMBER(SEARCH("fee",$B278))&gt;0,"Overhead","Overhead")))))))</f>
        <v/>
      </c>
      <c r="J278">
        <f>IF($A278="","",DATE(YEAR($A278),MONTH($A278),1))</f>
        <v/>
      </c>
      <c r="K278">
        <f>IF($B278="","",IF(COUNTIF(Setup!$A$99:$A$128,$B278)&gt;0,0,1))</f>
        <v/>
      </c>
      <c r="L278">
        <f>IF($B278="","",IF(ISNUMBER(SEARCH("advance",$B278)),"ADV",IF(OR(ISNUMBER(SEARCH("payout",$B278)),ISNUMBER(SEARCH("pay out",$B278)),ISNUMBER(SEARCH("release",$B278))),"PAY","")))</f>
        <v/>
      </c>
      <c r="M278">
        <f>IF($B278="","",IF(ISNUMBER(SEARCH("bulk",$B278)),0,IF(ISNUMBER(SEARCH("fuel",$B278))+ISNUMBER(SEARCH("diesel",$B278))+ISNUMBER(SEARCH("krudo",$B278))+ISNUMBER(SEARCH("gasolina",$B278))&gt;0,1,0)))</f>
        <v/>
      </c>
      <c r="N278">
        <f>IF($B278="","",IF(ISNUMBER(SEARCH("fuel",$B278))+ISNUMBER(SEARCH("diesel",$B278))+ISNUMBER(SEARCH("krudo",$B278))+ISNUMBER(SEARCH("gasolina",$B278))&gt;0,1,0))</f>
        <v/>
      </c>
    </row>
    <row r="279">
      <c r="A279" s="86" t="n"/>
      <c r="B279" s="88" t="n"/>
      <c r="C279" s="88" t="n"/>
      <c r="D279" s="87" t="n"/>
      <c r="E279" s="88" t="n"/>
      <c r="F279" s="92" t="n"/>
      <c r="G279" s="87" t="n"/>
      <c r="H279" s="87" t="n"/>
      <c r="I279" s="101">
        <f>IF($B279="","",IF(COUNTIF(Setup!$A$99:$A$128,$B279)&gt;0,IF(INDEX(Setup!$B$99:$B$128,MATCH($B279,Setup!$A$99:$A$128,0))="","Overhead",INDEX(Setup!$B$99:$B$128,MATCH($B279,Setup!$A$99:$A$128,0))),IF(ISNUMBER(SEARCH("advance",$B279))+ISNUMBER(SEARCH("payout",$B279))+ISNUMBER(SEARCH("pay out",$B279))+ISNUMBER(SEARCH("reimburs",$B279))&gt;0,"Transfer",IF(ISNUMBER(SEARCH("loan",$B279))+ISNUMBER(SEARCH("amort",$B279))+ISNUMBER(SEARCH("installment",$B279))+ISNUMBER(SEARCH("instalment",$B279))&gt;0,"Financing",IF(ISNUMBER(SEARCH("draw",$B279))+ISNUMBER(SEARCH("owner",$B279))+ISNUMBER(SEARCH("asset",$B279))+ISNUMBER(SEARCH("capital",$B279))&gt;0,"Other",IF(ISNUMBER(SEARCH("fuel",$B279))+ISNUMBER(SEARCH("diesel",$B279))+ISNUMBER(SEARCH("krudo",$B279))+ISNUMBER(SEARCH("gasolina",$B279))+ISNUMBER(SEARCH("toll",$B279))+ISNUMBER(SEARCH("parking",$B279))+ISNUMBER(SEARCH("repair",$B279))+ISNUMBER(SEARCH("maintenance",$B279))+ISNUMBER(SEARCH("tire",$B279))+ISNUMBER(SEARCH("tyre",$B279))+ISNUMBER(SEARCH("battery",$B279))+ISNUMBER(SEARCH("oil",$B279))+ISNUMBER(SEARCH("filter",$B279))+ISNUMBER(SEARCH("spare",$B279))+ISNUMBER(SEARCH("insurance",$B279))+ISNUMBER(SEARCH("lto",$B279))+ISNUMBER(SEARCH("registration",$B279))+ISNUMBER(SEARCH("emission",$B279))+ISNUMBER(SEARCH("wash",$B279))+ISNUMBER(SEARCH("weigh",$B279))+ISNUMBER(SEARCH("tarp",$B279))&gt;0,"Vehicle",IF(ISNUMBER(SEARCH("rent",$B279))+ISNUMBER(SEARCH("upa",$B279))+ISNUMBER(SEARCH("salary",$B279))+ISNUMBER(SEARCH("sweldo",$B279))+ISNUMBER(SEARCH("wage",$B279))+ISNUMBER(SEARCH("electric",$B279))+ISNUMBER(SEARCH("kuryente",$B279))+ISNUMBER(SEARCH("water",$B279))+ISNUMBER(SEARCH("tubig",$B279))+ISNUMBER(SEARCH("internet",$B279))+ISNUMBER(SEARCH("pldt",$B279))+ISNUMBER(SEARCH("meralco",$B279))+ISNUMBER(SEARCH("supplies",$B279))+ISNUMBER(SEARCH("office",$B279))+ISNUMBER(SEARCH("professional",$B279))+ISNUMBER(SEARCH("accountant",$B279))+ISNUMBER(SEARCH("lawyer",$B279))+ISNUMBER(SEARCH("broker",$B279))+ISNUMBER(SEARCH("bank",$B279))+ISNUMBER(SEARCH("charge",$B279))+ISNUMBER(SEARCH("permit",$B279))+ISNUMBER(SEARCH("bir",$B279))+ISNUMBER(SEARCH("ltfrb",$B279))+ISNUMBER(SEARCH("misc",$B279))+ISNUMBER(SEARCH("fee",$B279))&gt;0,"Overhead","Overhead")))))))</f>
        <v/>
      </c>
      <c r="J279">
        <f>IF($A279="","",DATE(YEAR($A279),MONTH($A279),1))</f>
        <v/>
      </c>
      <c r="K279">
        <f>IF($B279="","",IF(COUNTIF(Setup!$A$99:$A$128,$B279)&gt;0,0,1))</f>
        <v/>
      </c>
      <c r="L279">
        <f>IF($B279="","",IF(ISNUMBER(SEARCH("advance",$B279)),"ADV",IF(OR(ISNUMBER(SEARCH("payout",$B279)),ISNUMBER(SEARCH("pay out",$B279)),ISNUMBER(SEARCH("release",$B279))),"PAY","")))</f>
        <v/>
      </c>
      <c r="M279">
        <f>IF($B279="","",IF(ISNUMBER(SEARCH("bulk",$B279)),0,IF(ISNUMBER(SEARCH("fuel",$B279))+ISNUMBER(SEARCH("diesel",$B279))+ISNUMBER(SEARCH("krudo",$B279))+ISNUMBER(SEARCH("gasolina",$B279))&gt;0,1,0)))</f>
        <v/>
      </c>
      <c r="N279">
        <f>IF($B279="","",IF(ISNUMBER(SEARCH("fuel",$B279))+ISNUMBER(SEARCH("diesel",$B279))+ISNUMBER(SEARCH("krudo",$B279))+ISNUMBER(SEARCH("gasolina",$B279))&gt;0,1,0))</f>
        <v/>
      </c>
    </row>
    <row r="280">
      <c r="A280" s="94" t="n"/>
      <c r="B280" s="96" t="n"/>
      <c r="C280" s="96" t="n"/>
      <c r="D280" s="95" t="n"/>
      <c r="E280" s="96" t="n"/>
      <c r="F280" s="99" t="n"/>
      <c r="G280" s="95" t="n"/>
      <c r="H280" s="95" t="n"/>
      <c r="I280" s="101">
        <f>IF($B280="","",IF(COUNTIF(Setup!$A$99:$A$128,$B280)&gt;0,IF(INDEX(Setup!$B$99:$B$128,MATCH($B280,Setup!$A$99:$A$128,0))="","Overhead",INDEX(Setup!$B$99:$B$128,MATCH($B280,Setup!$A$99:$A$128,0))),IF(ISNUMBER(SEARCH("advance",$B280))+ISNUMBER(SEARCH("payout",$B280))+ISNUMBER(SEARCH("pay out",$B280))+ISNUMBER(SEARCH("reimburs",$B280))&gt;0,"Transfer",IF(ISNUMBER(SEARCH("loan",$B280))+ISNUMBER(SEARCH("amort",$B280))+ISNUMBER(SEARCH("installment",$B280))+ISNUMBER(SEARCH("instalment",$B280))&gt;0,"Financing",IF(ISNUMBER(SEARCH("draw",$B280))+ISNUMBER(SEARCH("owner",$B280))+ISNUMBER(SEARCH("asset",$B280))+ISNUMBER(SEARCH("capital",$B280))&gt;0,"Other",IF(ISNUMBER(SEARCH("fuel",$B280))+ISNUMBER(SEARCH("diesel",$B280))+ISNUMBER(SEARCH("krudo",$B280))+ISNUMBER(SEARCH("gasolina",$B280))+ISNUMBER(SEARCH("toll",$B280))+ISNUMBER(SEARCH("parking",$B280))+ISNUMBER(SEARCH("repair",$B280))+ISNUMBER(SEARCH("maintenance",$B280))+ISNUMBER(SEARCH("tire",$B280))+ISNUMBER(SEARCH("tyre",$B280))+ISNUMBER(SEARCH("battery",$B280))+ISNUMBER(SEARCH("oil",$B280))+ISNUMBER(SEARCH("filter",$B280))+ISNUMBER(SEARCH("spare",$B280))+ISNUMBER(SEARCH("insurance",$B280))+ISNUMBER(SEARCH("lto",$B280))+ISNUMBER(SEARCH("registration",$B280))+ISNUMBER(SEARCH("emission",$B280))+ISNUMBER(SEARCH("wash",$B280))+ISNUMBER(SEARCH("weigh",$B280))+ISNUMBER(SEARCH("tarp",$B280))&gt;0,"Vehicle",IF(ISNUMBER(SEARCH("rent",$B280))+ISNUMBER(SEARCH("upa",$B280))+ISNUMBER(SEARCH("salary",$B280))+ISNUMBER(SEARCH("sweldo",$B280))+ISNUMBER(SEARCH("wage",$B280))+ISNUMBER(SEARCH("electric",$B280))+ISNUMBER(SEARCH("kuryente",$B280))+ISNUMBER(SEARCH("water",$B280))+ISNUMBER(SEARCH("tubig",$B280))+ISNUMBER(SEARCH("internet",$B280))+ISNUMBER(SEARCH("pldt",$B280))+ISNUMBER(SEARCH("meralco",$B280))+ISNUMBER(SEARCH("supplies",$B280))+ISNUMBER(SEARCH("office",$B280))+ISNUMBER(SEARCH("professional",$B280))+ISNUMBER(SEARCH("accountant",$B280))+ISNUMBER(SEARCH("lawyer",$B280))+ISNUMBER(SEARCH("broker",$B280))+ISNUMBER(SEARCH("bank",$B280))+ISNUMBER(SEARCH("charge",$B280))+ISNUMBER(SEARCH("permit",$B280))+ISNUMBER(SEARCH("bir",$B280))+ISNUMBER(SEARCH("ltfrb",$B280))+ISNUMBER(SEARCH("misc",$B280))+ISNUMBER(SEARCH("fee",$B280))&gt;0,"Overhead","Overhead")))))))</f>
        <v/>
      </c>
      <c r="J280">
        <f>IF($A280="","",DATE(YEAR($A280),MONTH($A280),1))</f>
        <v/>
      </c>
      <c r="K280">
        <f>IF($B280="","",IF(COUNTIF(Setup!$A$99:$A$128,$B280)&gt;0,0,1))</f>
        <v/>
      </c>
      <c r="L280">
        <f>IF($B280="","",IF(ISNUMBER(SEARCH("advance",$B280)),"ADV",IF(OR(ISNUMBER(SEARCH("payout",$B280)),ISNUMBER(SEARCH("pay out",$B280)),ISNUMBER(SEARCH("release",$B280))),"PAY","")))</f>
        <v/>
      </c>
      <c r="M280">
        <f>IF($B280="","",IF(ISNUMBER(SEARCH("bulk",$B280)),0,IF(ISNUMBER(SEARCH("fuel",$B280))+ISNUMBER(SEARCH("diesel",$B280))+ISNUMBER(SEARCH("krudo",$B280))+ISNUMBER(SEARCH("gasolina",$B280))&gt;0,1,0)))</f>
        <v/>
      </c>
      <c r="N280">
        <f>IF($B280="","",IF(ISNUMBER(SEARCH("fuel",$B280))+ISNUMBER(SEARCH("diesel",$B280))+ISNUMBER(SEARCH("krudo",$B280))+ISNUMBER(SEARCH("gasolina",$B280))&gt;0,1,0))</f>
        <v/>
      </c>
    </row>
    <row r="281">
      <c r="A281" s="86" t="n"/>
      <c r="B281" s="88" t="n"/>
      <c r="C281" s="88" t="n"/>
      <c r="D281" s="87" t="n"/>
      <c r="E281" s="88" t="n"/>
      <c r="F281" s="92" t="n"/>
      <c r="G281" s="87" t="n"/>
      <c r="H281" s="87" t="n"/>
      <c r="I281" s="101">
        <f>IF($B281="","",IF(COUNTIF(Setup!$A$99:$A$128,$B281)&gt;0,IF(INDEX(Setup!$B$99:$B$128,MATCH($B281,Setup!$A$99:$A$128,0))="","Overhead",INDEX(Setup!$B$99:$B$128,MATCH($B281,Setup!$A$99:$A$128,0))),IF(ISNUMBER(SEARCH("advance",$B281))+ISNUMBER(SEARCH("payout",$B281))+ISNUMBER(SEARCH("pay out",$B281))+ISNUMBER(SEARCH("reimburs",$B281))&gt;0,"Transfer",IF(ISNUMBER(SEARCH("loan",$B281))+ISNUMBER(SEARCH("amort",$B281))+ISNUMBER(SEARCH("installment",$B281))+ISNUMBER(SEARCH("instalment",$B281))&gt;0,"Financing",IF(ISNUMBER(SEARCH("draw",$B281))+ISNUMBER(SEARCH("owner",$B281))+ISNUMBER(SEARCH("asset",$B281))+ISNUMBER(SEARCH("capital",$B281))&gt;0,"Other",IF(ISNUMBER(SEARCH("fuel",$B281))+ISNUMBER(SEARCH("diesel",$B281))+ISNUMBER(SEARCH("krudo",$B281))+ISNUMBER(SEARCH("gasolina",$B281))+ISNUMBER(SEARCH("toll",$B281))+ISNUMBER(SEARCH("parking",$B281))+ISNUMBER(SEARCH("repair",$B281))+ISNUMBER(SEARCH("maintenance",$B281))+ISNUMBER(SEARCH("tire",$B281))+ISNUMBER(SEARCH("tyre",$B281))+ISNUMBER(SEARCH("battery",$B281))+ISNUMBER(SEARCH("oil",$B281))+ISNUMBER(SEARCH("filter",$B281))+ISNUMBER(SEARCH("spare",$B281))+ISNUMBER(SEARCH("insurance",$B281))+ISNUMBER(SEARCH("lto",$B281))+ISNUMBER(SEARCH("registration",$B281))+ISNUMBER(SEARCH("emission",$B281))+ISNUMBER(SEARCH("wash",$B281))+ISNUMBER(SEARCH("weigh",$B281))+ISNUMBER(SEARCH("tarp",$B281))&gt;0,"Vehicle",IF(ISNUMBER(SEARCH("rent",$B281))+ISNUMBER(SEARCH("upa",$B281))+ISNUMBER(SEARCH("salary",$B281))+ISNUMBER(SEARCH("sweldo",$B281))+ISNUMBER(SEARCH("wage",$B281))+ISNUMBER(SEARCH("electric",$B281))+ISNUMBER(SEARCH("kuryente",$B281))+ISNUMBER(SEARCH("water",$B281))+ISNUMBER(SEARCH("tubig",$B281))+ISNUMBER(SEARCH("internet",$B281))+ISNUMBER(SEARCH("pldt",$B281))+ISNUMBER(SEARCH("meralco",$B281))+ISNUMBER(SEARCH("supplies",$B281))+ISNUMBER(SEARCH("office",$B281))+ISNUMBER(SEARCH("professional",$B281))+ISNUMBER(SEARCH("accountant",$B281))+ISNUMBER(SEARCH("lawyer",$B281))+ISNUMBER(SEARCH("broker",$B281))+ISNUMBER(SEARCH("bank",$B281))+ISNUMBER(SEARCH("charge",$B281))+ISNUMBER(SEARCH("permit",$B281))+ISNUMBER(SEARCH("bir",$B281))+ISNUMBER(SEARCH("ltfrb",$B281))+ISNUMBER(SEARCH("misc",$B281))+ISNUMBER(SEARCH("fee",$B281))&gt;0,"Overhead","Overhead")))))))</f>
        <v/>
      </c>
      <c r="J281">
        <f>IF($A281="","",DATE(YEAR($A281),MONTH($A281),1))</f>
        <v/>
      </c>
      <c r="K281">
        <f>IF($B281="","",IF(COUNTIF(Setup!$A$99:$A$128,$B281)&gt;0,0,1))</f>
        <v/>
      </c>
      <c r="L281">
        <f>IF($B281="","",IF(ISNUMBER(SEARCH("advance",$B281)),"ADV",IF(OR(ISNUMBER(SEARCH("payout",$B281)),ISNUMBER(SEARCH("pay out",$B281)),ISNUMBER(SEARCH("release",$B281))),"PAY","")))</f>
        <v/>
      </c>
      <c r="M281">
        <f>IF($B281="","",IF(ISNUMBER(SEARCH("bulk",$B281)),0,IF(ISNUMBER(SEARCH("fuel",$B281))+ISNUMBER(SEARCH("diesel",$B281))+ISNUMBER(SEARCH("krudo",$B281))+ISNUMBER(SEARCH("gasolina",$B281))&gt;0,1,0)))</f>
        <v/>
      </c>
      <c r="N281">
        <f>IF($B281="","",IF(ISNUMBER(SEARCH("fuel",$B281))+ISNUMBER(SEARCH("diesel",$B281))+ISNUMBER(SEARCH("krudo",$B281))+ISNUMBER(SEARCH("gasolina",$B281))&gt;0,1,0))</f>
        <v/>
      </c>
    </row>
    <row r="282">
      <c r="A282" s="94" t="n"/>
      <c r="B282" s="96" t="n"/>
      <c r="C282" s="96" t="n"/>
      <c r="D282" s="95" t="n"/>
      <c r="E282" s="96" t="n"/>
      <c r="F282" s="99" t="n"/>
      <c r="G282" s="95" t="n"/>
      <c r="H282" s="95" t="n"/>
      <c r="I282" s="101">
        <f>IF($B282="","",IF(COUNTIF(Setup!$A$99:$A$128,$B282)&gt;0,IF(INDEX(Setup!$B$99:$B$128,MATCH($B282,Setup!$A$99:$A$128,0))="","Overhead",INDEX(Setup!$B$99:$B$128,MATCH($B282,Setup!$A$99:$A$128,0))),IF(ISNUMBER(SEARCH("advance",$B282))+ISNUMBER(SEARCH("payout",$B282))+ISNUMBER(SEARCH("pay out",$B282))+ISNUMBER(SEARCH("reimburs",$B282))&gt;0,"Transfer",IF(ISNUMBER(SEARCH("loan",$B282))+ISNUMBER(SEARCH("amort",$B282))+ISNUMBER(SEARCH("installment",$B282))+ISNUMBER(SEARCH("instalment",$B282))&gt;0,"Financing",IF(ISNUMBER(SEARCH("draw",$B282))+ISNUMBER(SEARCH("owner",$B282))+ISNUMBER(SEARCH("asset",$B282))+ISNUMBER(SEARCH("capital",$B282))&gt;0,"Other",IF(ISNUMBER(SEARCH("fuel",$B282))+ISNUMBER(SEARCH("diesel",$B282))+ISNUMBER(SEARCH("krudo",$B282))+ISNUMBER(SEARCH("gasolina",$B282))+ISNUMBER(SEARCH("toll",$B282))+ISNUMBER(SEARCH("parking",$B282))+ISNUMBER(SEARCH("repair",$B282))+ISNUMBER(SEARCH("maintenance",$B282))+ISNUMBER(SEARCH("tire",$B282))+ISNUMBER(SEARCH("tyre",$B282))+ISNUMBER(SEARCH("battery",$B282))+ISNUMBER(SEARCH("oil",$B282))+ISNUMBER(SEARCH("filter",$B282))+ISNUMBER(SEARCH("spare",$B282))+ISNUMBER(SEARCH("insurance",$B282))+ISNUMBER(SEARCH("lto",$B282))+ISNUMBER(SEARCH("registration",$B282))+ISNUMBER(SEARCH("emission",$B282))+ISNUMBER(SEARCH("wash",$B282))+ISNUMBER(SEARCH("weigh",$B282))+ISNUMBER(SEARCH("tarp",$B282))&gt;0,"Vehicle",IF(ISNUMBER(SEARCH("rent",$B282))+ISNUMBER(SEARCH("upa",$B282))+ISNUMBER(SEARCH("salary",$B282))+ISNUMBER(SEARCH("sweldo",$B282))+ISNUMBER(SEARCH("wage",$B282))+ISNUMBER(SEARCH("electric",$B282))+ISNUMBER(SEARCH("kuryente",$B282))+ISNUMBER(SEARCH("water",$B282))+ISNUMBER(SEARCH("tubig",$B282))+ISNUMBER(SEARCH("internet",$B282))+ISNUMBER(SEARCH("pldt",$B282))+ISNUMBER(SEARCH("meralco",$B282))+ISNUMBER(SEARCH("supplies",$B282))+ISNUMBER(SEARCH("office",$B282))+ISNUMBER(SEARCH("professional",$B282))+ISNUMBER(SEARCH("accountant",$B282))+ISNUMBER(SEARCH("lawyer",$B282))+ISNUMBER(SEARCH("broker",$B282))+ISNUMBER(SEARCH("bank",$B282))+ISNUMBER(SEARCH("charge",$B282))+ISNUMBER(SEARCH("permit",$B282))+ISNUMBER(SEARCH("bir",$B282))+ISNUMBER(SEARCH("ltfrb",$B282))+ISNUMBER(SEARCH("misc",$B282))+ISNUMBER(SEARCH("fee",$B282))&gt;0,"Overhead","Overhead")))))))</f>
        <v/>
      </c>
      <c r="J282">
        <f>IF($A282="","",DATE(YEAR($A282),MONTH($A282),1))</f>
        <v/>
      </c>
      <c r="K282">
        <f>IF($B282="","",IF(COUNTIF(Setup!$A$99:$A$128,$B282)&gt;0,0,1))</f>
        <v/>
      </c>
      <c r="L282">
        <f>IF($B282="","",IF(ISNUMBER(SEARCH("advance",$B282)),"ADV",IF(OR(ISNUMBER(SEARCH("payout",$B282)),ISNUMBER(SEARCH("pay out",$B282)),ISNUMBER(SEARCH("release",$B282))),"PAY","")))</f>
        <v/>
      </c>
      <c r="M282">
        <f>IF($B282="","",IF(ISNUMBER(SEARCH("bulk",$B282)),0,IF(ISNUMBER(SEARCH("fuel",$B282))+ISNUMBER(SEARCH("diesel",$B282))+ISNUMBER(SEARCH("krudo",$B282))+ISNUMBER(SEARCH("gasolina",$B282))&gt;0,1,0)))</f>
        <v/>
      </c>
      <c r="N282">
        <f>IF($B282="","",IF(ISNUMBER(SEARCH("fuel",$B282))+ISNUMBER(SEARCH("diesel",$B282))+ISNUMBER(SEARCH("krudo",$B282))+ISNUMBER(SEARCH("gasolina",$B282))&gt;0,1,0))</f>
        <v/>
      </c>
    </row>
    <row r="283">
      <c r="A283" s="86" t="n"/>
      <c r="B283" s="88" t="n"/>
      <c r="C283" s="88" t="n"/>
      <c r="D283" s="87" t="n"/>
      <c r="E283" s="88" t="n"/>
      <c r="F283" s="92" t="n"/>
      <c r="G283" s="87" t="n"/>
      <c r="H283" s="87" t="n"/>
      <c r="I283" s="101">
        <f>IF($B283="","",IF(COUNTIF(Setup!$A$99:$A$128,$B283)&gt;0,IF(INDEX(Setup!$B$99:$B$128,MATCH($B283,Setup!$A$99:$A$128,0))="","Overhead",INDEX(Setup!$B$99:$B$128,MATCH($B283,Setup!$A$99:$A$128,0))),IF(ISNUMBER(SEARCH("advance",$B283))+ISNUMBER(SEARCH("payout",$B283))+ISNUMBER(SEARCH("pay out",$B283))+ISNUMBER(SEARCH("reimburs",$B283))&gt;0,"Transfer",IF(ISNUMBER(SEARCH("loan",$B283))+ISNUMBER(SEARCH("amort",$B283))+ISNUMBER(SEARCH("installment",$B283))+ISNUMBER(SEARCH("instalment",$B283))&gt;0,"Financing",IF(ISNUMBER(SEARCH("draw",$B283))+ISNUMBER(SEARCH("owner",$B283))+ISNUMBER(SEARCH("asset",$B283))+ISNUMBER(SEARCH("capital",$B283))&gt;0,"Other",IF(ISNUMBER(SEARCH("fuel",$B283))+ISNUMBER(SEARCH("diesel",$B283))+ISNUMBER(SEARCH("krudo",$B283))+ISNUMBER(SEARCH("gasolina",$B283))+ISNUMBER(SEARCH("toll",$B283))+ISNUMBER(SEARCH("parking",$B283))+ISNUMBER(SEARCH("repair",$B283))+ISNUMBER(SEARCH("maintenance",$B283))+ISNUMBER(SEARCH("tire",$B283))+ISNUMBER(SEARCH("tyre",$B283))+ISNUMBER(SEARCH("battery",$B283))+ISNUMBER(SEARCH("oil",$B283))+ISNUMBER(SEARCH("filter",$B283))+ISNUMBER(SEARCH("spare",$B283))+ISNUMBER(SEARCH("insurance",$B283))+ISNUMBER(SEARCH("lto",$B283))+ISNUMBER(SEARCH("registration",$B283))+ISNUMBER(SEARCH("emission",$B283))+ISNUMBER(SEARCH("wash",$B283))+ISNUMBER(SEARCH("weigh",$B283))+ISNUMBER(SEARCH("tarp",$B283))&gt;0,"Vehicle",IF(ISNUMBER(SEARCH("rent",$B283))+ISNUMBER(SEARCH("upa",$B283))+ISNUMBER(SEARCH("salary",$B283))+ISNUMBER(SEARCH("sweldo",$B283))+ISNUMBER(SEARCH("wage",$B283))+ISNUMBER(SEARCH("electric",$B283))+ISNUMBER(SEARCH("kuryente",$B283))+ISNUMBER(SEARCH("water",$B283))+ISNUMBER(SEARCH("tubig",$B283))+ISNUMBER(SEARCH("internet",$B283))+ISNUMBER(SEARCH("pldt",$B283))+ISNUMBER(SEARCH("meralco",$B283))+ISNUMBER(SEARCH("supplies",$B283))+ISNUMBER(SEARCH("office",$B283))+ISNUMBER(SEARCH("professional",$B283))+ISNUMBER(SEARCH("accountant",$B283))+ISNUMBER(SEARCH("lawyer",$B283))+ISNUMBER(SEARCH("broker",$B283))+ISNUMBER(SEARCH("bank",$B283))+ISNUMBER(SEARCH("charge",$B283))+ISNUMBER(SEARCH("permit",$B283))+ISNUMBER(SEARCH("bir",$B283))+ISNUMBER(SEARCH("ltfrb",$B283))+ISNUMBER(SEARCH("misc",$B283))+ISNUMBER(SEARCH("fee",$B283))&gt;0,"Overhead","Overhead")))))))</f>
        <v/>
      </c>
      <c r="J283">
        <f>IF($A283="","",DATE(YEAR($A283),MONTH($A283),1))</f>
        <v/>
      </c>
      <c r="K283">
        <f>IF($B283="","",IF(COUNTIF(Setup!$A$99:$A$128,$B283)&gt;0,0,1))</f>
        <v/>
      </c>
      <c r="L283">
        <f>IF($B283="","",IF(ISNUMBER(SEARCH("advance",$B283)),"ADV",IF(OR(ISNUMBER(SEARCH("payout",$B283)),ISNUMBER(SEARCH("pay out",$B283)),ISNUMBER(SEARCH("release",$B283))),"PAY","")))</f>
        <v/>
      </c>
      <c r="M283">
        <f>IF($B283="","",IF(ISNUMBER(SEARCH("bulk",$B283)),0,IF(ISNUMBER(SEARCH("fuel",$B283))+ISNUMBER(SEARCH("diesel",$B283))+ISNUMBER(SEARCH("krudo",$B283))+ISNUMBER(SEARCH("gasolina",$B283))&gt;0,1,0)))</f>
        <v/>
      </c>
      <c r="N283">
        <f>IF($B283="","",IF(ISNUMBER(SEARCH("fuel",$B283))+ISNUMBER(SEARCH("diesel",$B283))+ISNUMBER(SEARCH("krudo",$B283))+ISNUMBER(SEARCH("gasolina",$B283))&gt;0,1,0))</f>
        <v/>
      </c>
    </row>
    <row r="284">
      <c r="A284" s="94" t="n"/>
      <c r="B284" s="96" t="n"/>
      <c r="C284" s="96" t="n"/>
      <c r="D284" s="95" t="n"/>
      <c r="E284" s="96" t="n"/>
      <c r="F284" s="99" t="n"/>
      <c r="G284" s="95" t="n"/>
      <c r="H284" s="95" t="n"/>
      <c r="I284" s="101">
        <f>IF($B284="","",IF(COUNTIF(Setup!$A$99:$A$128,$B284)&gt;0,IF(INDEX(Setup!$B$99:$B$128,MATCH($B284,Setup!$A$99:$A$128,0))="","Overhead",INDEX(Setup!$B$99:$B$128,MATCH($B284,Setup!$A$99:$A$128,0))),IF(ISNUMBER(SEARCH("advance",$B284))+ISNUMBER(SEARCH("payout",$B284))+ISNUMBER(SEARCH("pay out",$B284))+ISNUMBER(SEARCH("reimburs",$B284))&gt;0,"Transfer",IF(ISNUMBER(SEARCH("loan",$B284))+ISNUMBER(SEARCH("amort",$B284))+ISNUMBER(SEARCH("installment",$B284))+ISNUMBER(SEARCH("instalment",$B284))&gt;0,"Financing",IF(ISNUMBER(SEARCH("draw",$B284))+ISNUMBER(SEARCH("owner",$B284))+ISNUMBER(SEARCH("asset",$B284))+ISNUMBER(SEARCH("capital",$B284))&gt;0,"Other",IF(ISNUMBER(SEARCH("fuel",$B284))+ISNUMBER(SEARCH("diesel",$B284))+ISNUMBER(SEARCH("krudo",$B284))+ISNUMBER(SEARCH("gasolina",$B284))+ISNUMBER(SEARCH("toll",$B284))+ISNUMBER(SEARCH("parking",$B284))+ISNUMBER(SEARCH("repair",$B284))+ISNUMBER(SEARCH("maintenance",$B284))+ISNUMBER(SEARCH("tire",$B284))+ISNUMBER(SEARCH("tyre",$B284))+ISNUMBER(SEARCH("battery",$B284))+ISNUMBER(SEARCH("oil",$B284))+ISNUMBER(SEARCH("filter",$B284))+ISNUMBER(SEARCH("spare",$B284))+ISNUMBER(SEARCH("insurance",$B284))+ISNUMBER(SEARCH("lto",$B284))+ISNUMBER(SEARCH("registration",$B284))+ISNUMBER(SEARCH("emission",$B284))+ISNUMBER(SEARCH("wash",$B284))+ISNUMBER(SEARCH("weigh",$B284))+ISNUMBER(SEARCH("tarp",$B284))&gt;0,"Vehicle",IF(ISNUMBER(SEARCH("rent",$B284))+ISNUMBER(SEARCH("upa",$B284))+ISNUMBER(SEARCH("salary",$B284))+ISNUMBER(SEARCH("sweldo",$B284))+ISNUMBER(SEARCH("wage",$B284))+ISNUMBER(SEARCH("electric",$B284))+ISNUMBER(SEARCH("kuryente",$B284))+ISNUMBER(SEARCH("water",$B284))+ISNUMBER(SEARCH("tubig",$B284))+ISNUMBER(SEARCH("internet",$B284))+ISNUMBER(SEARCH("pldt",$B284))+ISNUMBER(SEARCH("meralco",$B284))+ISNUMBER(SEARCH("supplies",$B284))+ISNUMBER(SEARCH("office",$B284))+ISNUMBER(SEARCH("professional",$B284))+ISNUMBER(SEARCH("accountant",$B284))+ISNUMBER(SEARCH("lawyer",$B284))+ISNUMBER(SEARCH("broker",$B284))+ISNUMBER(SEARCH("bank",$B284))+ISNUMBER(SEARCH("charge",$B284))+ISNUMBER(SEARCH("permit",$B284))+ISNUMBER(SEARCH("bir",$B284))+ISNUMBER(SEARCH("ltfrb",$B284))+ISNUMBER(SEARCH("misc",$B284))+ISNUMBER(SEARCH("fee",$B284))&gt;0,"Overhead","Overhead")))))))</f>
        <v/>
      </c>
      <c r="J284">
        <f>IF($A284="","",DATE(YEAR($A284),MONTH($A284),1))</f>
        <v/>
      </c>
      <c r="K284">
        <f>IF($B284="","",IF(COUNTIF(Setup!$A$99:$A$128,$B284)&gt;0,0,1))</f>
        <v/>
      </c>
      <c r="L284">
        <f>IF($B284="","",IF(ISNUMBER(SEARCH("advance",$B284)),"ADV",IF(OR(ISNUMBER(SEARCH("payout",$B284)),ISNUMBER(SEARCH("pay out",$B284)),ISNUMBER(SEARCH("release",$B284))),"PAY","")))</f>
        <v/>
      </c>
      <c r="M284">
        <f>IF($B284="","",IF(ISNUMBER(SEARCH("bulk",$B284)),0,IF(ISNUMBER(SEARCH("fuel",$B284))+ISNUMBER(SEARCH("diesel",$B284))+ISNUMBER(SEARCH("krudo",$B284))+ISNUMBER(SEARCH("gasolina",$B284))&gt;0,1,0)))</f>
        <v/>
      </c>
      <c r="N284">
        <f>IF($B284="","",IF(ISNUMBER(SEARCH("fuel",$B284))+ISNUMBER(SEARCH("diesel",$B284))+ISNUMBER(SEARCH("krudo",$B284))+ISNUMBER(SEARCH("gasolina",$B284))&gt;0,1,0))</f>
        <v/>
      </c>
    </row>
    <row r="285">
      <c r="A285" s="86" t="n"/>
      <c r="B285" s="88" t="n"/>
      <c r="C285" s="88" t="n"/>
      <c r="D285" s="87" t="n"/>
      <c r="E285" s="88" t="n"/>
      <c r="F285" s="92" t="n"/>
      <c r="G285" s="87" t="n"/>
      <c r="H285" s="87" t="n"/>
      <c r="I285" s="101">
        <f>IF($B285="","",IF(COUNTIF(Setup!$A$99:$A$128,$B285)&gt;0,IF(INDEX(Setup!$B$99:$B$128,MATCH($B285,Setup!$A$99:$A$128,0))="","Overhead",INDEX(Setup!$B$99:$B$128,MATCH($B285,Setup!$A$99:$A$128,0))),IF(ISNUMBER(SEARCH("advance",$B285))+ISNUMBER(SEARCH("payout",$B285))+ISNUMBER(SEARCH("pay out",$B285))+ISNUMBER(SEARCH("reimburs",$B285))&gt;0,"Transfer",IF(ISNUMBER(SEARCH("loan",$B285))+ISNUMBER(SEARCH("amort",$B285))+ISNUMBER(SEARCH("installment",$B285))+ISNUMBER(SEARCH("instalment",$B285))&gt;0,"Financing",IF(ISNUMBER(SEARCH("draw",$B285))+ISNUMBER(SEARCH("owner",$B285))+ISNUMBER(SEARCH("asset",$B285))+ISNUMBER(SEARCH("capital",$B285))&gt;0,"Other",IF(ISNUMBER(SEARCH("fuel",$B285))+ISNUMBER(SEARCH("diesel",$B285))+ISNUMBER(SEARCH("krudo",$B285))+ISNUMBER(SEARCH("gasolina",$B285))+ISNUMBER(SEARCH("toll",$B285))+ISNUMBER(SEARCH("parking",$B285))+ISNUMBER(SEARCH("repair",$B285))+ISNUMBER(SEARCH("maintenance",$B285))+ISNUMBER(SEARCH("tire",$B285))+ISNUMBER(SEARCH("tyre",$B285))+ISNUMBER(SEARCH("battery",$B285))+ISNUMBER(SEARCH("oil",$B285))+ISNUMBER(SEARCH("filter",$B285))+ISNUMBER(SEARCH("spare",$B285))+ISNUMBER(SEARCH("insurance",$B285))+ISNUMBER(SEARCH("lto",$B285))+ISNUMBER(SEARCH("registration",$B285))+ISNUMBER(SEARCH("emission",$B285))+ISNUMBER(SEARCH("wash",$B285))+ISNUMBER(SEARCH("weigh",$B285))+ISNUMBER(SEARCH("tarp",$B285))&gt;0,"Vehicle",IF(ISNUMBER(SEARCH("rent",$B285))+ISNUMBER(SEARCH("upa",$B285))+ISNUMBER(SEARCH("salary",$B285))+ISNUMBER(SEARCH("sweldo",$B285))+ISNUMBER(SEARCH("wage",$B285))+ISNUMBER(SEARCH("electric",$B285))+ISNUMBER(SEARCH("kuryente",$B285))+ISNUMBER(SEARCH("water",$B285))+ISNUMBER(SEARCH("tubig",$B285))+ISNUMBER(SEARCH("internet",$B285))+ISNUMBER(SEARCH("pldt",$B285))+ISNUMBER(SEARCH("meralco",$B285))+ISNUMBER(SEARCH("supplies",$B285))+ISNUMBER(SEARCH("office",$B285))+ISNUMBER(SEARCH("professional",$B285))+ISNUMBER(SEARCH("accountant",$B285))+ISNUMBER(SEARCH("lawyer",$B285))+ISNUMBER(SEARCH("broker",$B285))+ISNUMBER(SEARCH("bank",$B285))+ISNUMBER(SEARCH("charge",$B285))+ISNUMBER(SEARCH("permit",$B285))+ISNUMBER(SEARCH("bir",$B285))+ISNUMBER(SEARCH("ltfrb",$B285))+ISNUMBER(SEARCH("misc",$B285))+ISNUMBER(SEARCH("fee",$B285))&gt;0,"Overhead","Overhead")))))))</f>
        <v/>
      </c>
      <c r="J285">
        <f>IF($A285="","",DATE(YEAR($A285),MONTH($A285),1))</f>
        <v/>
      </c>
      <c r="K285">
        <f>IF($B285="","",IF(COUNTIF(Setup!$A$99:$A$128,$B285)&gt;0,0,1))</f>
        <v/>
      </c>
      <c r="L285">
        <f>IF($B285="","",IF(ISNUMBER(SEARCH("advance",$B285)),"ADV",IF(OR(ISNUMBER(SEARCH("payout",$B285)),ISNUMBER(SEARCH("pay out",$B285)),ISNUMBER(SEARCH("release",$B285))),"PAY","")))</f>
        <v/>
      </c>
      <c r="M285">
        <f>IF($B285="","",IF(ISNUMBER(SEARCH("bulk",$B285)),0,IF(ISNUMBER(SEARCH("fuel",$B285))+ISNUMBER(SEARCH("diesel",$B285))+ISNUMBER(SEARCH("krudo",$B285))+ISNUMBER(SEARCH("gasolina",$B285))&gt;0,1,0)))</f>
        <v/>
      </c>
      <c r="N285">
        <f>IF($B285="","",IF(ISNUMBER(SEARCH("fuel",$B285))+ISNUMBER(SEARCH("diesel",$B285))+ISNUMBER(SEARCH("krudo",$B285))+ISNUMBER(SEARCH("gasolina",$B285))&gt;0,1,0))</f>
        <v/>
      </c>
    </row>
    <row r="286">
      <c r="A286" s="94" t="n"/>
      <c r="B286" s="96" t="n"/>
      <c r="C286" s="96" t="n"/>
      <c r="D286" s="95" t="n"/>
      <c r="E286" s="96" t="n"/>
      <c r="F286" s="99" t="n"/>
      <c r="G286" s="95" t="n"/>
      <c r="H286" s="95" t="n"/>
      <c r="I286" s="101">
        <f>IF($B286="","",IF(COUNTIF(Setup!$A$99:$A$128,$B286)&gt;0,IF(INDEX(Setup!$B$99:$B$128,MATCH($B286,Setup!$A$99:$A$128,0))="","Overhead",INDEX(Setup!$B$99:$B$128,MATCH($B286,Setup!$A$99:$A$128,0))),IF(ISNUMBER(SEARCH("advance",$B286))+ISNUMBER(SEARCH("payout",$B286))+ISNUMBER(SEARCH("pay out",$B286))+ISNUMBER(SEARCH("reimburs",$B286))&gt;0,"Transfer",IF(ISNUMBER(SEARCH("loan",$B286))+ISNUMBER(SEARCH("amort",$B286))+ISNUMBER(SEARCH("installment",$B286))+ISNUMBER(SEARCH("instalment",$B286))&gt;0,"Financing",IF(ISNUMBER(SEARCH("draw",$B286))+ISNUMBER(SEARCH("owner",$B286))+ISNUMBER(SEARCH("asset",$B286))+ISNUMBER(SEARCH("capital",$B286))&gt;0,"Other",IF(ISNUMBER(SEARCH("fuel",$B286))+ISNUMBER(SEARCH("diesel",$B286))+ISNUMBER(SEARCH("krudo",$B286))+ISNUMBER(SEARCH("gasolina",$B286))+ISNUMBER(SEARCH("toll",$B286))+ISNUMBER(SEARCH("parking",$B286))+ISNUMBER(SEARCH("repair",$B286))+ISNUMBER(SEARCH("maintenance",$B286))+ISNUMBER(SEARCH("tire",$B286))+ISNUMBER(SEARCH("tyre",$B286))+ISNUMBER(SEARCH("battery",$B286))+ISNUMBER(SEARCH("oil",$B286))+ISNUMBER(SEARCH("filter",$B286))+ISNUMBER(SEARCH("spare",$B286))+ISNUMBER(SEARCH("insurance",$B286))+ISNUMBER(SEARCH("lto",$B286))+ISNUMBER(SEARCH("registration",$B286))+ISNUMBER(SEARCH("emission",$B286))+ISNUMBER(SEARCH("wash",$B286))+ISNUMBER(SEARCH("weigh",$B286))+ISNUMBER(SEARCH("tarp",$B286))&gt;0,"Vehicle",IF(ISNUMBER(SEARCH("rent",$B286))+ISNUMBER(SEARCH("upa",$B286))+ISNUMBER(SEARCH("salary",$B286))+ISNUMBER(SEARCH("sweldo",$B286))+ISNUMBER(SEARCH("wage",$B286))+ISNUMBER(SEARCH("electric",$B286))+ISNUMBER(SEARCH("kuryente",$B286))+ISNUMBER(SEARCH("water",$B286))+ISNUMBER(SEARCH("tubig",$B286))+ISNUMBER(SEARCH("internet",$B286))+ISNUMBER(SEARCH("pldt",$B286))+ISNUMBER(SEARCH("meralco",$B286))+ISNUMBER(SEARCH("supplies",$B286))+ISNUMBER(SEARCH("office",$B286))+ISNUMBER(SEARCH("professional",$B286))+ISNUMBER(SEARCH("accountant",$B286))+ISNUMBER(SEARCH("lawyer",$B286))+ISNUMBER(SEARCH("broker",$B286))+ISNUMBER(SEARCH("bank",$B286))+ISNUMBER(SEARCH("charge",$B286))+ISNUMBER(SEARCH("permit",$B286))+ISNUMBER(SEARCH("bir",$B286))+ISNUMBER(SEARCH("ltfrb",$B286))+ISNUMBER(SEARCH("misc",$B286))+ISNUMBER(SEARCH("fee",$B286))&gt;0,"Overhead","Overhead")))))))</f>
        <v/>
      </c>
      <c r="J286">
        <f>IF($A286="","",DATE(YEAR($A286),MONTH($A286),1))</f>
        <v/>
      </c>
      <c r="K286">
        <f>IF($B286="","",IF(COUNTIF(Setup!$A$99:$A$128,$B286)&gt;0,0,1))</f>
        <v/>
      </c>
      <c r="L286">
        <f>IF($B286="","",IF(ISNUMBER(SEARCH("advance",$B286)),"ADV",IF(OR(ISNUMBER(SEARCH("payout",$B286)),ISNUMBER(SEARCH("pay out",$B286)),ISNUMBER(SEARCH("release",$B286))),"PAY","")))</f>
        <v/>
      </c>
      <c r="M286">
        <f>IF($B286="","",IF(ISNUMBER(SEARCH("bulk",$B286)),0,IF(ISNUMBER(SEARCH("fuel",$B286))+ISNUMBER(SEARCH("diesel",$B286))+ISNUMBER(SEARCH("krudo",$B286))+ISNUMBER(SEARCH("gasolina",$B286))&gt;0,1,0)))</f>
        <v/>
      </c>
      <c r="N286">
        <f>IF($B286="","",IF(ISNUMBER(SEARCH("fuel",$B286))+ISNUMBER(SEARCH("diesel",$B286))+ISNUMBER(SEARCH("krudo",$B286))+ISNUMBER(SEARCH("gasolina",$B286))&gt;0,1,0))</f>
        <v/>
      </c>
    </row>
    <row r="287">
      <c r="A287" s="86" t="n"/>
      <c r="B287" s="88" t="n"/>
      <c r="C287" s="88" t="n"/>
      <c r="D287" s="87" t="n"/>
      <c r="E287" s="88" t="n"/>
      <c r="F287" s="92" t="n"/>
      <c r="G287" s="87" t="n"/>
      <c r="H287" s="87" t="n"/>
      <c r="I287" s="101">
        <f>IF($B287="","",IF(COUNTIF(Setup!$A$99:$A$128,$B287)&gt;0,IF(INDEX(Setup!$B$99:$B$128,MATCH($B287,Setup!$A$99:$A$128,0))="","Overhead",INDEX(Setup!$B$99:$B$128,MATCH($B287,Setup!$A$99:$A$128,0))),IF(ISNUMBER(SEARCH("advance",$B287))+ISNUMBER(SEARCH("payout",$B287))+ISNUMBER(SEARCH("pay out",$B287))+ISNUMBER(SEARCH("reimburs",$B287))&gt;0,"Transfer",IF(ISNUMBER(SEARCH("loan",$B287))+ISNUMBER(SEARCH("amort",$B287))+ISNUMBER(SEARCH("installment",$B287))+ISNUMBER(SEARCH("instalment",$B287))&gt;0,"Financing",IF(ISNUMBER(SEARCH("draw",$B287))+ISNUMBER(SEARCH("owner",$B287))+ISNUMBER(SEARCH("asset",$B287))+ISNUMBER(SEARCH("capital",$B287))&gt;0,"Other",IF(ISNUMBER(SEARCH("fuel",$B287))+ISNUMBER(SEARCH("diesel",$B287))+ISNUMBER(SEARCH("krudo",$B287))+ISNUMBER(SEARCH("gasolina",$B287))+ISNUMBER(SEARCH("toll",$B287))+ISNUMBER(SEARCH("parking",$B287))+ISNUMBER(SEARCH("repair",$B287))+ISNUMBER(SEARCH("maintenance",$B287))+ISNUMBER(SEARCH("tire",$B287))+ISNUMBER(SEARCH("tyre",$B287))+ISNUMBER(SEARCH("battery",$B287))+ISNUMBER(SEARCH("oil",$B287))+ISNUMBER(SEARCH("filter",$B287))+ISNUMBER(SEARCH("spare",$B287))+ISNUMBER(SEARCH("insurance",$B287))+ISNUMBER(SEARCH("lto",$B287))+ISNUMBER(SEARCH("registration",$B287))+ISNUMBER(SEARCH("emission",$B287))+ISNUMBER(SEARCH("wash",$B287))+ISNUMBER(SEARCH("weigh",$B287))+ISNUMBER(SEARCH("tarp",$B287))&gt;0,"Vehicle",IF(ISNUMBER(SEARCH("rent",$B287))+ISNUMBER(SEARCH("upa",$B287))+ISNUMBER(SEARCH("salary",$B287))+ISNUMBER(SEARCH("sweldo",$B287))+ISNUMBER(SEARCH("wage",$B287))+ISNUMBER(SEARCH("electric",$B287))+ISNUMBER(SEARCH("kuryente",$B287))+ISNUMBER(SEARCH("water",$B287))+ISNUMBER(SEARCH("tubig",$B287))+ISNUMBER(SEARCH("internet",$B287))+ISNUMBER(SEARCH("pldt",$B287))+ISNUMBER(SEARCH("meralco",$B287))+ISNUMBER(SEARCH("supplies",$B287))+ISNUMBER(SEARCH("office",$B287))+ISNUMBER(SEARCH("professional",$B287))+ISNUMBER(SEARCH("accountant",$B287))+ISNUMBER(SEARCH("lawyer",$B287))+ISNUMBER(SEARCH("broker",$B287))+ISNUMBER(SEARCH("bank",$B287))+ISNUMBER(SEARCH("charge",$B287))+ISNUMBER(SEARCH("permit",$B287))+ISNUMBER(SEARCH("bir",$B287))+ISNUMBER(SEARCH("ltfrb",$B287))+ISNUMBER(SEARCH("misc",$B287))+ISNUMBER(SEARCH("fee",$B287))&gt;0,"Overhead","Overhead")))))))</f>
        <v/>
      </c>
      <c r="J287">
        <f>IF($A287="","",DATE(YEAR($A287),MONTH($A287),1))</f>
        <v/>
      </c>
      <c r="K287">
        <f>IF($B287="","",IF(COUNTIF(Setup!$A$99:$A$128,$B287)&gt;0,0,1))</f>
        <v/>
      </c>
      <c r="L287">
        <f>IF($B287="","",IF(ISNUMBER(SEARCH("advance",$B287)),"ADV",IF(OR(ISNUMBER(SEARCH("payout",$B287)),ISNUMBER(SEARCH("pay out",$B287)),ISNUMBER(SEARCH("release",$B287))),"PAY","")))</f>
        <v/>
      </c>
      <c r="M287">
        <f>IF($B287="","",IF(ISNUMBER(SEARCH("bulk",$B287)),0,IF(ISNUMBER(SEARCH("fuel",$B287))+ISNUMBER(SEARCH("diesel",$B287))+ISNUMBER(SEARCH("krudo",$B287))+ISNUMBER(SEARCH("gasolina",$B287))&gt;0,1,0)))</f>
        <v/>
      </c>
      <c r="N287">
        <f>IF($B287="","",IF(ISNUMBER(SEARCH("fuel",$B287))+ISNUMBER(SEARCH("diesel",$B287))+ISNUMBER(SEARCH("krudo",$B287))+ISNUMBER(SEARCH("gasolina",$B287))&gt;0,1,0))</f>
        <v/>
      </c>
    </row>
    <row r="288">
      <c r="A288" s="94" t="n"/>
      <c r="B288" s="96" t="n"/>
      <c r="C288" s="96" t="n"/>
      <c r="D288" s="95" t="n"/>
      <c r="E288" s="96" t="n"/>
      <c r="F288" s="99" t="n"/>
      <c r="G288" s="95" t="n"/>
      <c r="H288" s="95" t="n"/>
      <c r="I288" s="101">
        <f>IF($B288="","",IF(COUNTIF(Setup!$A$99:$A$128,$B288)&gt;0,IF(INDEX(Setup!$B$99:$B$128,MATCH($B288,Setup!$A$99:$A$128,0))="","Overhead",INDEX(Setup!$B$99:$B$128,MATCH($B288,Setup!$A$99:$A$128,0))),IF(ISNUMBER(SEARCH("advance",$B288))+ISNUMBER(SEARCH("payout",$B288))+ISNUMBER(SEARCH("pay out",$B288))+ISNUMBER(SEARCH("reimburs",$B288))&gt;0,"Transfer",IF(ISNUMBER(SEARCH("loan",$B288))+ISNUMBER(SEARCH("amort",$B288))+ISNUMBER(SEARCH("installment",$B288))+ISNUMBER(SEARCH("instalment",$B288))&gt;0,"Financing",IF(ISNUMBER(SEARCH("draw",$B288))+ISNUMBER(SEARCH("owner",$B288))+ISNUMBER(SEARCH("asset",$B288))+ISNUMBER(SEARCH("capital",$B288))&gt;0,"Other",IF(ISNUMBER(SEARCH("fuel",$B288))+ISNUMBER(SEARCH("diesel",$B288))+ISNUMBER(SEARCH("krudo",$B288))+ISNUMBER(SEARCH("gasolina",$B288))+ISNUMBER(SEARCH("toll",$B288))+ISNUMBER(SEARCH("parking",$B288))+ISNUMBER(SEARCH("repair",$B288))+ISNUMBER(SEARCH("maintenance",$B288))+ISNUMBER(SEARCH("tire",$B288))+ISNUMBER(SEARCH("tyre",$B288))+ISNUMBER(SEARCH("battery",$B288))+ISNUMBER(SEARCH("oil",$B288))+ISNUMBER(SEARCH("filter",$B288))+ISNUMBER(SEARCH("spare",$B288))+ISNUMBER(SEARCH("insurance",$B288))+ISNUMBER(SEARCH("lto",$B288))+ISNUMBER(SEARCH("registration",$B288))+ISNUMBER(SEARCH("emission",$B288))+ISNUMBER(SEARCH("wash",$B288))+ISNUMBER(SEARCH("weigh",$B288))+ISNUMBER(SEARCH("tarp",$B288))&gt;0,"Vehicle",IF(ISNUMBER(SEARCH("rent",$B288))+ISNUMBER(SEARCH("upa",$B288))+ISNUMBER(SEARCH("salary",$B288))+ISNUMBER(SEARCH("sweldo",$B288))+ISNUMBER(SEARCH("wage",$B288))+ISNUMBER(SEARCH("electric",$B288))+ISNUMBER(SEARCH("kuryente",$B288))+ISNUMBER(SEARCH("water",$B288))+ISNUMBER(SEARCH("tubig",$B288))+ISNUMBER(SEARCH("internet",$B288))+ISNUMBER(SEARCH("pldt",$B288))+ISNUMBER(SEARCH("meralco",$B288))+ISNUMBER(SEARCH("supplies",$B288))+ISNUMBER(SEARCH("office",$B288))+ISNUMBER(SEARCH("professional",$B288))+ISNUMBER(SEARCH("accountant",$B288))+ISNUMBER(SEARCH("lawyer",$B288))+ISNUMBER(SEARCH("broker",$B288))+ISNUMBER(SEARCH("bank",$B288))+ISNUMBER(SEARCH("charge",$B288))+ISNUMBER(SEARCH("permit",$B288))+ISNUMBER(SEARCH("bir",$B288))+ISNUMBER(SEARCH("ltfrb",$B288))+ISNUMBER(SEARCH("misc",$B288))+ISNUMBER(SEARCH("fee",$B288))&gt;0,"Overhead","Overhead")))))))</f>
        <v/>
      </c>
      <c r="J288">
        <f>IF($A288="","",DATE(YEAR($A288),MONTH($A288),1))</f>
        <v/>
      </c>
      <c r="K288">
        <f>IF($B288="","",IF(COUNTIF(Setup!$A$99:$A$128,$B288)&gt;0,0,1))</f>
        <v/>
      </c>
      <c r="L288">
        <f>IF($B288="","",IF(ISNUMBER(SEARCH("advance",$B288)),"ADV",IF(OR(ISNUMBER(SEARCH("payout",$B288)),ISNUMBER(SEARCH("pay out",$B288)),ISNUMBER(SEARCH("release",$B288))),"PAY","")))</f>
        <v/>
      </c>
      <c r="M288">
        <f>IF($B288="","",IF(ISNUMBER(SEARCH("bulk",$B288)),0,IF(ISNUMBER(SEARCH("fuel",$B288))+ISNUMBER(SEARCH("diesel",$B288))+ISNUMBER(SEARCH("krudo",$B288))+ISNUMBER(SEARCH("gasolina",$B288))&gt;0,1,0)))</f>
        <v/>
      </c>
      <c r="N288">
        <f>IF($B288="","",IF(ISNUMBER(SEARCH("fuel",$B288))+ISNUMBER(SEARCH("diesel",$B288))+ISNUMBER(SEARCH("krudo",$B288))+ISNUMBER(SEARCH("gasolina",$B288))&gt;0,1,0))</f>
        <v/>
      </c>
    </row>
    <row r="289">
      <c r="A289" s="86" t="n"/>
      <c r="B289" s="88" t="n"/>
      <c r="C289" s="88" t="n"/>
      <c r="D289" s="87" t="n"/>
      <c r="E289" s="88" t="n"/>
      <c r="F289" s="92" t="n"/>
      <c r="G289" s="87" t="n"/>
      <c r="H289" s="87" t="n"/>
      <c r="I289" s="101">
        <f>IF($B289="","",IF(COUNTIF(Setup!$A$99:$A$128,$B289)&gt;0,IF(INDEX(Setup!$B$99:$B$128,MATCH($B289,Setup!$A$99:$A$128,0))="","Overhead",INDEX(Setup!$B$99:$B$128,MATCH($B289,Setup!$A$99:$A$128,0))),IF(ISNUMBER(SEARCH("advance",$B289))+ISNUMBER(SEARCH("payout",$B289))+ISNUMBER(SEARCH("pay out",$B289))+ISNUMBER(SEARCH("reimburs",$B289))&gt;0,"Transfer",IF(ISNUMBER(SEARCH("loan",$B289))+ISNUMBER(SEARCH("amort",$B289))+ISNUMBER(SEARCH("installment",$B289))+ISNUMBER(SEARCH("instalment",$B289))&gt;0,"Financing",IF(ISNUMBER(SEARCH("draw",$B289))+ISNUMBER(SEARCH("owner",$B289))+ISNUMBER(SEARCH("asset",$B289))+ISNUMBER(SEARCH("capital",$B289))&gt;0,"Other",IF(ISNUMBER(SEARCH("fuel",$B289))+ISNUMBER(SEARCH("diesel",$B289))+ISNUMBER(SEARCH("krudo",$B289))+ISNUMBER(SEARCH("gasolina",$B289))+ISNUMBER(SEARCH("toll",$B289))+ISNUMBER(SEARCH("parking",$B289))+ISNUMBER(SEARCH("repair",$B289))+ISNUMBER(SEARCH("maintenance",$B289))+ISNUMBER(SEARCH("tire",$B289))+ISNUMBER(SEARCH("tyre",$B289))+ISNUMBER(SEARCH("battery",$B289))+ISNUMBER(SEARCH("oil",$B289))+ISNUMBER(SEARCH("filter",$B289))+ISNUMBER(SEARCH("spare",$B289))+ISNUMBER(SEARCH("insurance",$B289))+ISNUMBER(SEARCH("lto",$B289))+ISNUMBER(SEARCH("registration",$B289))+ISNUMBER(SEARCH("emission",$B289))+ISNUMBER(SEARCH("wash",$B289))+ISNUMBER(SEARCH("weigh",$B289))+ISNUMBER(SEARCH("tarp",$B289))&gt;0,"Vehicle",IF(ISNUMBER(SEARCH("rent",$B289))+ISNUMBER(SEARCH("upa",$B289))+ISNUMBER(SEARCH("salary",$B289))+ISNUMBER(SEARCH("sweldo",$B289))+ISNUMBER(SEARCH("wage",$B289))+ISNUMBER(SEARCH("electric",$B289))+ISNUMBER(SEARCH("kuryente",$B289))+ISNUMBER(SEARCH("water",$B289))+ISNUMBER(SEARCH("tubig",$B289))+ISNUMBER(SEARCH("internet",$B289))+ISNUMBER(SEARCH("pldt",$B289))+ISNUMBER(SEARCH("meralco",$B289))+ISNUMBER(SEARCH("supplies",$B289))+ISNUMBER(SEARCH("office",$B289))+ISNUMBER(SEARCH("professional",$B289))+ISNUMBER(SEARCH("accountant",$B289))+ISNUMBER(SEARCH("lawyer",$B289))+ISNUMBER(SEARCH("broker",$B289))+ISNUMBER(SEARCH("bank",$B289))+ISNUMBER(SEARCH("charge",$B289))+ISNUMBER(SEARCH("permit",$B289))+ISNUMBER(SEARCH("bir",$B289))+ISNUMBER(SEARCH("ltfrb",$B289))+ISNUMBER(SEARCH("misc",$B289))+ISNUMBER(SEARCH("fee",$B289))&gt;0,"Overhead","Overhead")))))))</f>
        <v/>
      </c>
      <c r="J289">
        <f>IF($A289="","",DATE(YEAR($A289),MONTH($A289),1))</f>
        <v/>
      </c>
      <c r="K289">
        <f>IF($B289="","",IF(COUNTIF(Setup!$A$99:$A$128,$B289)&gt;0,0,1))</f>
        <v/>
      </c>
      <c r="L289">
        <f>IF($B289="","",IF(ISNUMBER(SEARCH("advance",$B289)),"ADV",IF(OR(ISNUMBER(SEARCH("payout",$B289)),ISNUMBER(SEARCH("pay out",$B289)),ISNUMBER(SEARCH("release",$B289))),"PAY","")))</f>
        <v/>
      </c>
      <c r="M289">
        <f>IF($B289="","",IF(ISNUMBER(SEARCH("bulk",$B289)),0,IF(ISNUMBER(SEARCH("fuel",$B289))+ISNUMBER(SEARCH("diesel",$B289))+ISNUMBER(SEARCH("krudo",$B289))+ISNUMBER(SEARCH("gasolina",$B289))&gt;0,1,0)))</f>
        <v/>
      </c>
      <c r="N289">
        <f>IF($B289="","",IF(ISNUMBER(SEARCH("fuel",$B289))+ISNUMBER(SEARCH("diesel",$B289))+ISNUMBER(SEARCH("krudo",$B289))+ISNUMBER(SEARCH("gasolina",$B289))&gt;0,1,0))</f>
        <v/>
      </c>
    </row>
    <row r="290">
      <c r="A290" s="94" t="n"/>
      <c r="B290" s="96" t="n"/>
      <c r="C290" s="96" t="n"/>
      <c r="D290" s="95" t="n"/>
      <c r="E290" s="96" t="n"/>
      <c r="F290" s="99" t="n"/>
      <c r="G290" s="95" t="n"/>
      <c r="H290" s="95" t="n"/>
      <c r="I290" s="101">
        <f>IF($B290="","",IF(COUNTIF(Setup!$A$99:$A$128,$B290)&gt;0,IF(INDEX(Setup!$B$99:$B$128,MATCH($B290,Setup!$A$99:$A$128,0))="","Overhead",INDEX(Setup!$B$99:$B$128,MATCH($B290,Setup!$A$99:$A$128,0))),IF(ISNUMBER(SEARCH("advance",$B290))+ISNUMBER(SEARCH("payout",$B290))+ISNUMBER(SEARCH("pay out",$B290))+ISNUMBER(SEARCH("reimburs",$B290))&gt;0,"Transfer",IF(ISNUMBER(SEARCH("loan",$B290))+ISNUMBER(SEARCH("amort",$B290))+ISNUMBER(SEARCH("installment",$B290))+ISNUMBER(SEARCH("instalment",$B290))&gt;0,"Financing",IF(ISNUMBER(SEARCH("draw",$B290))+ISNUMBER(SEARCH("owner",$B290))+ISNUMBER(SEARCH("asset",$B290))+ISNUMBER(SEARCH("capital",$B290))&gt;0,"Other",IF(ISNUMBER(SEARCH("fuel",$B290))+ISNUMBER(SEARCH("diesel",$B290))+ISNUMBER(SEARCH("krudo",$B290))+ISNUMBER(SEARCH("gasolina",$B290))+ISNUMBER(SEARCH("toll",$B290))+ISNUMBER(SEARCH("parking",$B290))+ISNUMBER(SEARCH("repair",$B290))+ISNUMBER(SEARCH("maintenance",$B290))+ISNUMBER(SEARCH("tire",$B290))+ISNUMBER(SEARCH("tyre",$B290))+ISNUMBER(SEARCH("battery",$B290))+ISNUMBER(SEARCH("oil",$B290))+ISNUMBER(SEARCH("filter",$B290))+ISNUMBER(SEARCH("spare",$B290))+ISNUMBER(SEARCH("insurance",$B290))+ISNUMBER(SEARCH("lto",$B290))+ISNUMBER(SEARCH("registration",$B290))+ISNUMBER(SEARCH("emission",$B290))+ISNUMBER(SEARCH("wash",$B290))+ISNUMBER(SEARCH("weigh",$B290))+ISNUMBER(SEARCH("tarp",$B290))&gt;0,"Vehicle",IF(ISNUMBER(SEARCH("rent",$B290))+ISNUMBER(SEARCH("upa",$B290))+ISNUMBER(SEARCH("salary",$B290))+ISNUMBER(SEARCH("sweldo",$B290))+ISNUMBER(SEARCH("wage",$B290))+ISNUMBER(SEARCH("electric",$B290))+ISNUMBER(SEARCH("kuryente",$B290))+ISNUMBER(SEARCH("water",$B290))+ISNUMBER(SEARCH("tubig",$B290))+ISNUMBER(SEARCH("internet",$B290))+ISNUMBER(SEARCH("pldt",$B290))+ISNUMBER(SEARCH("meralco",$B290))+ISNUMBER(SEARCH("supplies",$B290))+ISNUMBER(SEARCH("office",$B290))+ISNUMBER(SEARCH("professional",$B290))+ISNUMBER(SEARCH("accountant",$B290))+ISNUMBER(SEARCH("lawyer",$B290))+ISNUMBER(SEARCH("broker",$B290))+ISNUMBER(SEARCH("bank",$B290))+ISNUMBER(SEARCH("charge",$B290))+ISNUMBER(SEARCH("permit",$B290))+ISNUMBER(SEARCH("bir",$B290))+ISNUMBER(SEARCH("ltfrb",$B290))+ISNUMBER(SEARCH("misc",$B290))+ISNUMBER(SEARCH("fee",$B290))&gt;0,"Overhead","Overhead")))))))</f>
        <v/>
      </c>
      <c r="J290">
        <f>IF($A290="","",DATE(YEAR($A290),MONTH($A290),1))</f>
        <v/>
      </c>
      <c r="K290">
        <f>IF($B290="","",IF(COUNTIF(Setup!$A$99:$A$128,$B290)&gt;0,0,1))</f>
        <v/>
      </c>
      <c r="L290">
        <f>IF($B290="","",IF(ISNUMBER(SEARCH("advance",$B290)),"ADV",IF(OR(ISNUMBER(SEARCH("payout",$B290)),ISNUMBER(SEARCH("pay out",$B290)),ISNUMBER(SEARCH("release",$B290))),"PAY","")))</f>
        <v/>
      </c>
      <c r="M290">
        <f>IF($B290="","",IF(ISNUMBER(SEARCH("bulk",$B290)),0,IF(ISNUMBER(SEARCH("fuel",$B290))+ISNUMBER(SEARCH("diesel",$B290))+ISNUMBER(SEARCH("krudo",$B290))+ISNUMBER(SEARCH("gasolina",$B290))&gt;0,1,0)))</f>
        <v/>
      </c>
      <c r="N290">
        <f>IF($B290="","",IF(ISNUMBER(SEARCH("fuel",$B290))+ISNUMBER(SEARCH("diesel",$B290))+ISNUMBER(SEARCH("krudo",$B290))+ISNUMBER(SEARCH("gasolina",$B290))&gt;0,1,0))</f>
        <v/>
      </c>
    </row>
    <row r="291">
      <c r="A291" s="86" t="n"/>
      <c r="B291" s="88" t="n"/>
      <c r="C291" s="88" t="n"/>
      <c r="D291" s="87" t="n"/>
      <c r="E291" s="88" t="n"/>
      <c r="F291" s="92" t="n"/>
      <c r="G291" s="87" t="n"/>
      <c r="H291" s="87" t="n"/>
      <c r="I291" s="101">
        <f>IF($B291="","",IF(COUNTIF(Setup!$A$99:$A$128,$B291)&gt;0,IF(INDEX(Setup!$B$99:$B$128,MATCH($B291,Setup!$A$99:$A$128,0))="","Overhead",INDEX(Setup!$B$99:$B$128,MATCH($B291,Setup!$A$99:$A$128,0))),IF(ISNUMBER(SEARCH("advance",$B291))+ISNUMBER(SEARCH("payout",$B291))+ISNUMBER(SEARCH("pay out",$B291))+ISNUMBER(SEARCH("reimburs",$B291))&gt;0,"Transfer",IF(ISNUMBER(SEARCH("loan",$B291))+ISNUMBER(SEARCH("amort",$B291))+ISNUMBER(SEARCH("installment",$B291))+ISNUMBER(SEARCH("instalment",$B291))&gt;0,"Financing",IF(ISNUMBER(SEARCH("draw",$B291))+ISNUMBER(SEARCH("owner",$B291))+ISNUMBER(SEARCH("asset",$B291))+ISNUMBER(SEARCH("capital",$B291))&gt;0,"Other",IF(ISNUMBER(SEARCH("fuel",$B291))+ISNUMBER(SEARCH("diesel",$B291))+ISNUMBER(SEARCH("krudo",$B291))+ISNUMBER(SEARCH("gasolina",$B291))+ISNUMBER(SEARCH("toll",$B291))+ISNUMBER(SEARCH("parking",$B291))+ISNUMBER(SEARCH("repair",$B291))+ISNUMBER(SEARCH("maintenance",$B291))+ISNUMBER(SEARCH("tire",$B291))+ISNUMBER(SEARCH("tyre",$B291))+ISNUMBER(SEARCH("battery",$B291))+ISNUMBER(SEARCH("oil",$B291))+ISNUMBER(SEARCH("filter",$B291))+ISNUMBER(SEARCH("spare",$B291))+ISNUMBER(SEARCH("insurance",$B291))+ISNUMBER(SEARCH("lto",$B291))+ISNUMBER(SEARCH("registration",$B291))+ISNUMBER(SEARCH("emission",$B291))+ISNUMBER(SEARCH("wash",$B291))+ISNUMBER(SEARCH("weigh",$B291))+ISNUMBER(SEARCH("tarp",$B291))&gt;0,"Vehicle",IF(ISNUMBER(SEARCH("rent",$B291))+ISNUMBER(SEARCH("upa",$B291))+ISNUMBER(SEARCH("salary",$B291))+ISNUMBER(SEARCH("sweldo",$B291))+ISNUMBER(SEARCH("wage",$B291))+ISNUMBER(SEARCH("electric",$B291))+ISNUMBER(SEARCH("kuryente",$B291))+ISNUMBER(SEARCH("water",$B291))+ISNUMBER(SEARCH("tubig",$B291))+ISNUMBER(SEARCH("internet",$B291))+ISNUMBER(SEARCH("pldt",$B291))+ISNUMBER(SEARCH("meralco",$B291))+ISNUMBER(SEARCH("supplies",$B291))+ISNUMBER(SEARCH("office",$B291))+ISNUMBER(SEARCH("professional",$B291))+ISNUMBER(SEARCH("accountant",$B291))+ISNUMBER(SEARCH("lawyer",$B291))+ISNUMBER(SEARCH("broker",$B291))+ISNUMBER(SEARCH("bank",$B291))+ISNUMBER(SEARCH("charge",$B291))+ISNUMBER(SEARCH("permit",$B291))+ISNUMBER(SEARCH("bir",$B291))+ISNUMBER(SEARCH("ltfrb",$B291))+ISNUMBER(SEARCH("misc",$B291))+ISNUMBER(SEARCH("fee",$B291))&gt;0,"Overhead","Overhead")))))))</f>
        <v/>
      </c>
      <c r="J291">
        <f>IF($A291="","",DATE(YEAR($A291),MONTH($A291),1))</f>
        <v/>
      </c>
      <c r="K291">
        <f>IF($B291="","",IF(COUNTIF(Setup!$A$99:$A$128,$B291)&gt;0,0,1))</f>
        <v/>
      </c>
      <c r="L291">
        <f>IF($B291="","",IF(ISNUMBER(SEARCH("advance",$B291)),"ADV",IF(OR(ISNUMBER(SEARCH("payout",$B291)),ISNUMBER(SEARCH("pay out",$B291)),ISNUMBER(SEARCH("release",$B291))),"PAY","")))</f>
        <v/>
      </c>
      <c r="M291">
        <f>IF($B291="","",IF(ISNUMBER(SEARCH("bulk",$B291)),0,IF(ISNUMBER(SEARCH("fuel",$B291))+ISNUMBER(SEARCH("diesel",$B291))+ISNUMBER(SEARCH("krudo",$B291))+ISNUMBER(SEARCH("gasolina",$B291))&gt;0,1,0)))</f>
        <v/>
      </c>
      <c r="N291">
        <f>IF($B291="","",IF(ISNUMBER(SEARCH("fuel",$B291))+ISNUMBER(SEARCH("diesel",$B291))+ISNUMBER(SEARCH("krudo",$B291))+ISNUMBER(SEARCH("gasolina",$B291))&gt;0,1,0))</f>
        <v/>
      </c>
    </row>
    <row r="292">
      <c r="A292" s="94" t="n"/>
      <c r="B292" s="96" t="n"/>
      <c r="C292" s="96" t="n"/>
      <c r="D292" s="95" t="n"/>
      <c r="E292" s="96" t="n"/>
      <c r="F292" s="99" t="n"/>
      <c r="G292" s="95" t="n"/>
      <c r="H292" s="95" t="n"/>
      <c r="I292" s="101">
        <f>IF($B292="","",IF(COUNTIF(Setup!$A$99:$A$128,$B292)&gt;0,IF(INDEX(Setup!$B$99:$B$128,MATCH($B292,Setup!$A$99:$A$128,0))="","Overhead",INDEX(Setup!$B$99:$B$128,MATCH($B292,Setup!$A$99:$A$128,0))),IF(ISNUMBER(SEARCH("advance",$B292))+ISNUMBER(SEARCH("payout",$B292))+ISNUMBER(SEARCH("pay out",$B292))+ISNUMBER(SEARCH("reimburs",$B292))&gt;0,"Transfer",IF(ISNUMBER(SEARCH("loan",$B292))+ISNUMBER(SEARCH("amort",$B292))+ISNUMBER(SEARCH("installment",$B292))+ISNUMBER(SEARCH("instalment",$B292))&gt;0,"Financing",IF(ISNUMBER(SEARCH("draw",$B292))+ISNUMBER(SEARCH("owner",$B292))+ISNUMBER(SEARCH("asset",$B292))+ISNUMBER(SEARCH("capital",$B292))&gt;0,"Other",IF(ISNUMBER(SEARCH("fuel",$B292))+ISNUMBER(SEARCH("diesel",$B292))+ISNUMBER(SEARCH("krudo",$B292))+ISNUMBER(SEARCH("gasolina",$B292))+ISNUMBER(SEARCH("toll",$B292))+ISNUMBER(SEARCH("parking",$B292))+ISNUMBER(SEARCH("repair",$B292))+ISNUMBER(SEARCH("maintenance",$B292))+ISNUMBER(SEARCH("tire",$B292))+ISNUMBER(SEARCH("tyre",$B292))+ISNUMBER(SEARCH("battery",$B292))+ISNUMBER(SEARCH("oil",$B292))+ISNUMBER(SEARCH("filter",$B292))+ISNUMBER(SEARCH("spare",$B292))+ISNUMBER(SEARCH("insurance",$B292))+ISNUMBER(SEARCH("lto",$B292))+ISNUMBER(SEARCH("registration",$B292))+ISNUMBER(SEARCH("emission",$B292))+ISNUMBER(SEARCH("wash",$B292))+ISNUMBER(SEARCH("weigh",$B292))+ISNUMBER(SEARCH("tarp",$B292))&gt;0,"Vehicle",IF(ISNUMBER(SEARCH("rent",$B292))+ISNUMBER(SEARCH("upa",$B292))+ISNUMBER(SEARCH("salary",$B292))+ISNUMBER(SEARCH("sweldo",$B292))+ISNUMBER(SEARCH("wage",$B292))+ISNUMBER(SEARCH("electric",$B292))+ISNUMBER(SEARCH("kuryente",$B292))+ISNUMBER(SEARCH("water",$B292))+ISNUMBER(SEARCH("tubig",$B292))+ISNUMBER(SEARCH("internet",$B292))+ISNUMBER(SEARCH("pldt",$B292))+ISNUMBER(SEARCH("meralco",$B292))+ISNUMBER(SEARCH("supplies",$B292))+ISNUMBER(SEARCH("office",$B292))+ISNUMBER(SEARCH("professional",$B292))+ISNUMBER(SEARCH("accountant",$B292))+ISNUMBER(SEARCH("lawyer",$B292))+ISNUMBER(SEARCH("broker",$B292))+ISNUMBER(SEARCH("bank",$B292))+ISNUMBER(SEARCH("charge",$B292))+ISNUMBER(SEARCH("permit",$B292))+ISNUMBER(SEARCH("bir",$B292))+ISNUMBER(SEARCH("ltfrb",$B292))+ISNUMBER(SEARCH("misc",$B292))+ISNUMBER(SEARCH("fee",$B292))&gt;0,"Overhead","Overhead")))))))</f>
        <v/>
      </c>
      <c r="J292">
        <f>IF($A292="","",DATE(YEAR($A292),MONTH($A292),1))</f>
        <v/>
      </c>
      <c r="K292">
        <f>IF($B292="","",IF(COUNTIF(Setup!$A$99:$A$128,$B292)&gt;0,0,1))</f>
        <v/>
      </c>
      <c r="L292">
        <f>IF($B292="","",IF(ISNUMBER(SEARCH("advance",$B292)),"ADV",IF(OR(ISNUMBER(SEARCH("payout",$B292)),ISNUMBER(SEARCH("pay out",$B292)),ISNUMBER(SEARCH("release",$B292))),"PAY","")))</f>
        <v/>
      </c>
      <c r="M292">
        <f>IF($B292="","",IF(ISNUMBER(SEARCH("bulk",$B292)),0,IF(ISNUMBER(SEARCH("fuel",$B292))+ISNUMBER(SEARCH("diesel",$B292))+ISNUMBER(SEARCH("krudo",$B292))+ISNUMBER(SEARCH("gasolina",$B292))&gt;0,1,0)))</f>
        <v/>
      </c>
      <c r="N292">
        <f>IF($B292="","",IF(ISNUMBER(SEARCH("fuel",$B292))+ISNUMBER(SEARCH("diesel",$B292))+ISNUMBER(SEARCH("krudo",$B292))+ISNUMBER(SEARCH("gasolina",$B292))&gt;0,1,0))</f>
        <v/>
      </c>
    </row>
    <row r="293">
      <c r="A293" s="86" t="n"/>
      <c r="B293" s="88" t="n"/>
      <c r="C293" s="88" t="n"/>
      <c r="D293" s="87" t="n"/>
      <c r="E293" s="88" t="n"/>
      <c r="F293" s="92" t="n"/>
      <c r="G293" s="87" t="n"/>
      <c r="H293" s="87" t="n"/>
      <c r="I293" s="101">
        <f>IF($B293="","",IF(COUNTIF(Setup!$A$99:$A$128,$B293)&gt;0,IF(INDEX(Setup!$B$99:$B$128,MATCH($B293,Setup!$A$99:$A$128,0))="","Overhead",INDEX(Setup!$B$99:$B$128,MATCH($B293,Setup!$A$99:$A$128,0))),IF(ISNUMBER(SEARCH("advance",$B293))+ISNUMBER(SEARCH("payout",$B293))+ISNUMBER(SEARCH("pay out",$B293))+ISNUMBER(SEARCH("reimburs",$B293))&gt;0,"Transfer",IF(ISNUMBER(SEARCH("loan",$B293))+ISNUMBER(SEARCH("amort",$B293))+ISNUMBER(SEARCH("installment",$B293))+ISNUMBER(SEARCH("instalment",$B293))&gt;0,"Financing",IF(ISNUMBER(SEARCH("draw",$B293))+ISNUMBER(SEARCH("owner",$B293))+ISNUMBER(SEARCH("asset",$B293))+ISNUMBER(SEARCH("capital",$B293))&gt;0,"Other",IF(ISNUMBER(SEARCH("fuel",$B293))+ISNUMBER(SEARCH("diesel",$B293))+ISNUMBER(SEARCH("krudo",$B293))+ISNUMBER(SEARCH("gasolina",$B293))+ISNUMBER(SEARCH("toll",$B293))+ISNUMBER(SEARCH("parking",$B293))+ISNUMBER(SEARCH("repair",$B293))+ISNUMBER(SEARCH("maintenance",$B293))+ISNUMBER(SEARCH("tire",$B293))+ISNUMBER(SEARCH("tyre",$B293))+ISNUMBER(SEARCH("battery",$B293))+ISNUMBER(SEARCH("oil",$B293))+ISNUMBER(SEARCH("filter",$B293))+ISNUMBER(SEARCH("spare",$B293))+ISNUMBER(SEARCH("insurance",$B293))+ISNUMBER(SEARCH("lto",$B293))+ISNUMBER(SEARCH("registration",$B293))+ISNUMBER(SEARCH("emission",$B293))+ISNUMBER(SEARCH("wash",$B293))+ISNUMBER(SEARCH("weigh",$B293))+ISNUMBER(SEARCH("tarp",$B293))&gt;0,"Vehicle",IF(ISNUMBER(SEARCH("rent",$B293))+ISNUMBER(SEARCH("upa",$B293))+ISNUMBER(SEARCH("salary",$B293))+ISNUMBER(SEARCH("sweldo",$B293))+ISNUMBER(SEARCH("wage",$B293))+ISNUMBER(SEARCH("electric",$B293))+ISNUMBER(SEARCH("kuryente",$B293))+ISNUMBER(SEARCH("water",$B293))+ISNUMBER(SEARCH("tubig",$B293))+ISNUMBER(SEARCH("internet",$B293))+ISNUMBER(SEARCH("pldt",$B293))+ISNUMBER(SEARCH("meralco",$B293))+ISNUMBER(SEARCH("supplies",$B293))+ISNUMBER(SEARCH("office",$B293))+ISNUMBER(SEARCH("professional",$B293))+ISNUMBER(SEARCH("accountant",$B293))+ISNUMBER(SEARCH("lawyer",$B293))+ISNUMBER(SEARCH("broker",$B293))+ISNUMBER(SEARCH("bank",$B293))+ISNUMBER(SEARCH("charge",$B293))+ISNUMBER(SEARCH("permit",$B293))+ISNUMBER(SEARCH("bir",$B293))+ISNUMBER(SEARCH("ltfrb",$B293))+ISNUMBER(SEARCH("misc",$B293))+ISNUMBER(SEARCH("fee",$B293))&gt;0,"Overhead","Overhead")))))))</f>
        <v/>
      </c>
      <c r="J293">
        <f>IF($A293="","",DATE(YEAR($A293),MONTH($A293),1))</f>
        <v/>
      </c>
      <c r="K293">
        <f>IF($B293="","",IF(COUNTIF(Setup!$A$99:$A$128,$B293)&gt;0,0,1))</f>
        <v/>
      </c>
      <c r="L293">
        <f>IF($B293="","",IF(ISNUMBER(SEARCH("advance",$B293)),"ADV",IF(OR(ISNUMBER(SEARCH("payout",$B293)),ISNUMBER(SEARCH("pay out",$B293)),ISNUMBER(SEARCH("release",$B293))),"PAY","")))</f>
        <v/>
      </c>
      <c r="M293">
        <f>IF($B293="","",IF(ISNUMBER(SEARCH("bulk",$B293)),0,IF(ISNUMBER(SEARCH("fuel",$B293))+ISNUMBER(SEARCH("diesel",$B293))+ISNUMBER(SEARCH("krudo",$B293))+ISNUMBER(SEARCH("gasolina",$B293))&gt;0,1,0)))</f>
        <v/>
      </c>
      <c r="N293">
        <f>IF($B293="","",IF(ISNUMBER(SEARCH("fuel",$B293))+ISNUMBER(SEARCH("diesel",$B293))+ISNUMBER(SEARCH("krudo",$B293))+ISNUMBER(SEARCH("gasolina",$B293))&gt;0,1,0))</f>
        <v/>
      </c>
    </row>
    <row r="294">
      <c r="A294" s="94" t="n"/>
      <c r="B294" s="96" t="n"/>
      <c r="C294" s="96" t="n"/>
      <c r="D294" s="95" t="n"/>
      <c r="E294" s="96" t="n"/>
      <c r="F294" s="99" t="n"/>
      <c r="G294" s="95" t="n"/>
      <c r="H294" s="95" t="n"/>
      <c r="I294" s="101">
        <f>IF($B294="","",IF(COUNTIF(Setup!$A$99:$A$128,$B294)&gt;0,IF(INDEX(Setup!$B$99:$B$128,MATCH($B294,Setup!$A$99:$A$128,0))="","Overhead",INDEX(Setup!$B$99:$B$128,MATCH($B294,Setup!$A$99:$A$128,0))),IF(ISNUMBER(SEARCH("advance",$B294))+ISNUMBER(SEARCH("payout",$B294))+ISNUMBER(SEARCH("pay out",$B294))+ISNUMBER(SEARCH("reimburs",$B294))&gt;0,"Transfer",IF(ISNUMBER(SEARCH("loan",$B294))+ISNUMBER(SEARCH("amort",$B294))+ISNUMBER(SEARCH("installment",$B294))+ISNUMBER(SEARCH("instalment",$B294))&gt;0,"Financing",IF(ISNUMBER(SEARCH("draw",$B294))+ISNUMBER(SEARCH("owner",$B294))+ISNUMBER(SEARCH("asset",$B294))+ISNUMBER(SEARCH("capital",$B294))&gt;0,"Other",IF(ISNUMBER(SEARCH("fuel",$B294))+ISNUMBER(SEARCH("diesel",$B294))+ISNUMBER(SEARCH("krudo",$B294))+ISNUMBER(SEARCH("gasolina",$B294))+ISNUMBER(SEARCH("toll",$B294))+ISNUMBER(SEARCH("parking",$B294))+ISNUMBER(SEARCH("repair",$B294))+ISNUMBER(SEARCH("maintenance",$B294))+ISNUMBER(SEARCH("tire",$B294))+ISNUMBER(SEARCH("tyre",$B294))+ISNUMBER(SEARCH("battery",$B294))+ISNUMBER(SEARCH("oil",$B294))+ISNUMBER(SEARCH("filter",$B294))+ISNUMBER(SEARCH("spare",$B294))+ISNUMBER(SEARCH("insurance",$B294))+ISNUMBER(SEARCH("lto",$B294))+ISNUMBER(SEARCH("registration",$B294))+ISNUMBER(SEARCH("emission",$B294))+ISNUMBER(SEARCH("wash",$B294))+ISNUMBER(SEARCH("weigh",$B294))+ISNUMBER(SEARCH("tarp",$B294))&gt;0,"Vehicle",IF(ISNUMBER(SEARCH("rent",$B294))+ISNUMBER(SEARCH("upa",$B294))+ISNUMBER(SEARCH("salary",$B294))+ISNUMBER(SEARCH("sweldo",$B294))+ISNUMBER(SEARCH("wage",$B294))+ISNUMBER(SEARCH("electric",$B294))+ISNUMBER(SEARCH("kuryente",$B294))+ISNUMBER(SEARCH("water",$B294))+ISNUMBER(SEARCH("tubig",$B294))+ISNUMBER(SEARCH("internet",$B294))+ISNUMBER(SEARCH("pldt",$B294))+ISNUMBER(SEARCH("meralco",$B294))+ISNUMBER(SEARCH("supplies",$B294))+ISNUMBER(SEARCH("office",$B294))+ISNUMBER(SEARCH("professional",$B294))+ISNUMBER(SEARCH("accountant",$B294))+ISNUMBER(SEARCH("lawyer",$B294))+ISNUMBER(SEARCH("broker",$B294))+ISNUMBER(SEARCH("bank",$B294))+ISNUMBER(SEARCH("charge",$B294))+ISNUMBER(SEARCH("permit",$B294))+ISNUMBER(SEARCH("bir",$B294))+ISNUMBER(SEARCH("ltfrb",$B294))+ISNUMBER(SEARCH("misc",$B294))+ISNUMBER(SEARCH("fee",$B294))&gt;0,"Overhead","Overhead")))))))</f>
        <v/>
      </c>
      <c r="J294">
        <f>IF($A294="","",DATE(YEAR($A294),MONTH($A294),1))</f>
        <v/>
      </c>
      <c r="K294">
        <f>IF($B294="","",IF(COUNTIF(Setup!$A$99:$A$128,$B294)&gt;0,0,1))</f>
        <v/>
      </c>
      <c r="L294">
        <f>IF($B294="","",IF(ISNUMBER(SEARCH("advance",$B294)),"ADV",IF(OR(ISNUMBER(SEARCH("payout",$B294)),ISNUMBER(SEARCH("pay out",$B294)),ISNUMBER(SEARCH("release",$B294))),"PAY","")))</f>
        <v/>
      </c>
      <c r="M294">
        <f>IF($B294="","",IF(ISNUMBER(SEARCH("bulk",$B294)),0,IF(ISNUMBER(SEARCH("fuel",$B294))+ISNUMBER(SEARCH("diesel",$B294))+ISNUMBER(SEARCH("krudo",$B294))+ISNUMBER(SEARCH("gasolina",$B294))&gt;0,1,0)))</f>
        <v/>
      </c>
      <c r="N294">
        <f>IF($B294="","",IF(ISNUMBER(SEARCH("fuel",$B294))+ISNUMBER(SEARCH("diesel",$B294))+ISNUMBER(SEARCH("krudo",$B294))+ISNUMBER(SEARCH("gasolina",$B294))&gt;0,1,0))</f>
        <v/>
      </c>
    </row>
    <row r="295">
      <c r="A295" s="86" t="n"/>
      <c r="B295" s="88" t="n"/>
      <c r="C295" s="88" t="n"/>
      <c r="D295" s="87" t="n"/>
      <c r="E295" s="88" t="n"/>
      <c r="F295" s="92" t="n"/>
      <c r="G295" s="87" t="n"/>
      <c r="H295" s="87" t="n"/>
      <c r="I295" s="101">
        <f>IF($B295="","",IF(COUNTIF(Setup!$A$99:$A$128,$B295)&gt;0,IF(INDEX(Setup!$B$99:$B$128,MATCH($B295,Setup!$A$99:$A$128,0))="","Overhead",INDEX(Setup!$B$99:$B$128,MATCH($B295,Setup!$A$99:$A$128,0))),IF(ISNUMBER(SEARCH("advance",$B295))+ISNUMBER(SEARCH("payout",$B295))+ISNUMBER(SEARCH("pay out",$B295))+ISNUMBER(SEARCH("reimburs",$B295))&gt;0,"Transfer",IF(ISNUMBER(SEARCH("loan",$B295))+ISNUMBER(SEARCH("amort",$B295))+ISNUMBER(SEARCH("installment",$B295))+ISNUMBER(SEARCH("instalment",$B295))&gt;0,"Financing",IF(ISNUMBER(SEARCH("draw",$B295))+ISNUMBER(SEARCH("owner",$B295))+ISNUMBER(SEARCH("asset",$B295))+ISNUMBER(SEARCH("capital",$B295))&gt;0,"Other",IF(ISNUMBER(SEARCH("fuel",$B295))+ISNUMBER(SEARCH("diesel",$B295))+ISNUMBER(SEARCH("krudo",$B295))+ISNUMBER(SEARCH("gasolina",$B295))+ISNUMBER(SEARCH("toll",$B295))+ISNUMBER(SEARCH("parking",$B295))+ISNUMBER(SEARCH("repair",$B295))+ISNUMBER(SEARCH("maintenance",$B295))+ISNUMBER(SEARCH("tire",$B295))+ISNUMBER(SEARCH("tyre",$B295))+ISNUMBER(SEARCH("battery",$B295))+ISNUMBER(SEARCH("oil",$B295))+ISNUMBER(SEARCH("filter",$B295))+ISNUMBER(SEARCH("spare",$B295))+ISNUMBER(SEARCH("insurance",$B295))+ISNUMBER(SEARCH("lto",$B295))+ISNUMBER(SEARCH("registration",$B295))+ISNUMBER(SEARCH("emission",$B295))+ISNUMBER(SEARCH("wash",$B295))+ISNUMBER(SEARCH("weigh",$B295))+ISNUMBER(SEARCH("tarp",$B295))&gt;0,"Vehicle",IF(ISNUMBER(SEARCH("rent",$B295))+ISNUMBER(SEARCH("upa",$B295))+ISNUMBER(SEARCH("salary",$B295))+ISNUMBER(SEARCH("sweldo",$B295))+ISNUMBER(SEARCH("wage",$B295))+ISNUMBER(SEARCH("electric",$B295))+ISNUMBER(SEARCH("kuryente",$B295))+ISNUMBER(SEARCH("water",$B295))+ISNUMBER(SEARCH("tubig",$B295))+ISNUMBER(SEARCH("internet",$B295))+ISNUMBER(SEARCH("pldt",$B295))+ISNUMBER(SEARCH("meralco",$B295))+ISNUMBER(SEARCH("supplies",$B295))+ISNUMBER(SEARCH("office",$B295))+ISNUMBER(SEARCH("professional",$B295))+ISNUMBER(SEARCH("accountant",$B295))+ISNUMBER(SEARCH("lawyer",$B295))+ISNUMBER(SEARCH("broker",$B295))+ISNUMBER(SEARCH("bank",$B295))+ISNUMBER(SEARCH("charge",$B295))+ISNUMBER(SEARCH("permit",$B295))+ISNUMBER(SEARCH("bir",$B295))+ISNUMBER(SEARCH("ltfrb",$B295))+ISNUMBER(SEARCH("misc",$B295))+ISNUMBER(SEARCH("fee",$B295))&gt;0,"Overhead","Overhead")))))))</f>
        <v/>
      </c>
      <c r="J295">
        <f>IF($A295="","",DATE(YEAR($A295),MONTH($A295),1))</f>
        <v/>
      </c>
      <c r="K295">
        <f>IF($B295="","",IF(COUNTIF(Setup!$A$99:$A$128,$B295)&gt;0,0,1))</f>
        <v/>
      </c>
      <c r="L295">
        <f>IF($B295="","",IF(ISNUMBER(SEARCH("advance",$B295)),"ADV",IF(OR(ISNUMBER(SEARCH("payout",$B295)),ISNUMBER(SEARCH("pay out",$B295)),ISNUMBER(SEARCH("release",$B295))),"PAY","")))</f>
        <v/>
      </c>
      <c r="M295">
        <f>IF($B295="","",IF(ISNUMBER(SEARCH("bulk",$B295)),0,IF(ISNUMBER(SEARCH("fuel",$B295))+ISNUMBER(SEARCH("diesel",$B295))+ISNUMBER(SEARCH("krudo",$B295))+ISNUMBER(SEARCH("gasolina",$B295))&gt;0,1,0)))</f>
        <v/>
      </c>
      <c r="N295">
        <f>IF($B295="","",IF(ISNUMBER(SEARCH("fuel",$B295))+ISNUMBER(SEARCH("diesel",$B295))+ISNUMBER(SEARCH("krudo",$B295))+ISNUMBER(SEARCH("gasolina",$B295))&gt;0,1,0))</f>
        <v/>
      </c>
    </row>
    <row r="296">
      <c r="A296" s="94" t="n"/>
      <c r="B296" s="96" t="n"/>
      <c r="C296" s="96" t="n"/>
      <c r="D296" s="95" t="n"/>
      <c r="E296" s="96" t="n"/>
      <c r="F296" s="99" t="n"/>
      <c r="G296" s="95" t="n"/>
      <c r="H296" s="95" t="n"/>
      <c r="I296" s="101">
        <f>IF($B296="","",IF(COUNTIF(Setup!$A$99:$A$128,$B296)&gt;0,IF(INDEX(Setup!$B$99:$B$128,MATCH($B296,Setup!$A$99:$A$128,0))="","Overhead",INDEX(Setup!$B$99:$B$128,MATCH($B296,Setup!$A$99:$A$128,0))),IF(ISNUMBER(SEARCH("advance",$B296))+ISNUMBER(SEARCH("payout",$B296))+ISNUMBER(SEARCH("pay out",$B296))+ISNUMBER(SEARCH("reimburs",$B296))&gt;0,"Transfer",IF(ISNUMBER(SEARCH("loan",$B296))+ISNUMBER(SEARCH("amort",$B296))+ISNUMBER(SEARCH("installment",$B296))+ISNUMBER(SEARCH("instalment",$B296))&gt;0,"Financing",IF(ISNUMBER(SEARCH("draw",$B296))+ISNUMBER(SEARCH("owner",$B296))+ISNUMBER(SEARCH("asset",$B296))+ISNUMBER(SEARCH("capital",$B296))&gt;0,"Other",IF(ISNUMBER(SEARCH("fuel",$B296))+ISNUMBER(SEARCH("diesel",$B296))+ISNUMBER(SEARCH("krudo",$B296))+ISNUMBER(SEARCH("gasolina",$B296))+ISNUMBER(SEARCH("toll",$B296))+ISNUMBER(SEARCH("parking",$B296))+ISNUMBER(SEARCH("repair",$B296))+ISNUMBER(SEARCH("maintenance",$B296))+ISNUMBER(SEARCH("tire",$B296))+ISNUMBER(SEARCH("tyre",$B296))+ISNUMBER(SEARCH("battery",$B296))+ISNUMBER(SEARCH("oil",$B296))+ISNUMBER(SEARCH("filter",$B296))+ISNUMBER(SEARCH("spare",$B296))+ISNUMBER(SEARCH("insurance",$B296))+ISNUMBER(SEARCH("lto",$B296))+ISNUMBER(SEARCH("registration",$B296))+ISNUMBER(SEARCH("emission",$B296))+ISNUMBER(SEARCH("wash",$B296))+ISNUMBER(SEARCH("weigh",$B296))+ISNUMBER(SEARCH("tarp",$B296))&gt;0,"Vehicle",IF(ISNUMBER(SEARCH("rent",$B296))+ISNUMBER(SEARCH("upa",$B296))+ISNUMBER(SEARCH("salary",$B296))+ISNUMBER(SEARCH("sweldo",$B296))+ISNUMBER(SEARCH("wage",$B296))+ISNUMBER(SEARCH("electric",$B296))+ISNUMBER(SEARCH("kuryente",$B296))+ISNUMBER(SEARCH("water",$B296))+ISNUMBER(SEARCH("tubig",$B296))+ISNUMBER(SEARCH("internet",$B296))+ISNUMBER(SEARCH("pldt",$B296))+ISNUMBER(SEARCH("meralco",$B296))+ISNUMBER(SEARCH("supplies",$B296))+ISNUMBER(SEARCH("office",$B296))+ISNUMBER(SEARCH("professional",$B296))+ISNUMBER(SEARCH("accountant",$B296))+ISNUMBER(SEARCH("lawyer",$B296))+ISNUMBER(SEARCH("broker",$B296))+ISNUMBER(SEARCH("bank",$B296))+ISNUMBER(SEARCH("charge",$B296))+ISNUMBER(SEARCH("permit",$B296))+ISNUMBER(SEARCH("bir",$B296))+ISNUMBER(SEARCH("ltfrb",$B296))+ISNUMBER(SEARCH("misc",$B296))+ISNUMBER(SEARCH("fee",$B296))&gt;0,"Overhead","Overhead")))))))</f>
        <v/>
      </c>
      <c r="J296">
        <f>IF($A296="","",DATE(YEAR($A296),MONTH($A296),1))</f>
        <v/>
      </c>
      <c r="K296">
        <f>IF($B296="","",IF(COUNTIF(Setup!$A$99:$A$128,$B296)&gt;0,0,1))</f>
        <v/>
      </c>
      <c r="L296">
        <f>IF($B296="","",IF(ISNUMBER(SEARCH("advance",$B296)),"ADV",IF(OR(ISNUMBER(SEARCH("payout",$B296)),ISNUMBER(SEARCH("pay out",$B296)),ISNUMBER(SEARCH("release",$B296))),"PAY","")))</f>
        <v/>
      </c>
      <c r="M296">
        <f>IF($B296="","",IF(ISNUMBER(SEARCH("bulk",$B296)),0,IF(ISNUMBER(SEARCH("fuel",$B296))+ISNUMBER(SEARCH("diesel",$B296))+ISNUMBER(SEARCH("krudo",$B296))+ISNUMBER(SEARCH("gasolina",$B296))&gt;0,1,0)))</f>
        <v/>
      </c>
      <c r="N296">
        <f>IF($B296="","",IF(ISNUMBER(SEARCH("fuel",$B296))+ISNUMBER(SEARCH("diesel",$B296))+ISNUMBER(SEARCH("krudo",$B296))+ISNUMBER(SEARCH("gasolina",$B296))&gt;0,1,0))</f>
        <v/>
      </c>
    </row>
    <row r="297">
      <c r="A297" s="86" t="n"/>
      <c r="B297" s="88" t="n"/>
      <c r="C297" s="88" t="n"/>
      <c r="D297" s="87" t="n"/>
      <c r="E297" s="88" t="n"/>
      <c r="F297" s="92" t="n"/>
      <c r="G297" s="87" t="n"/>
      <c r="H297" s="87" t="n"/>
      <c r="I297" s="101">
        <f>IF($B297="","",IF(COUNTIF(Setup!$A$99:$A$128,$B297)&gt;0,IF(INDEX(Setup!$B$99:$B$128,MATCH($B297,Setup!$A$99:$A$128,0))="","Overhead",INDEX(Setup!$B$99:$B$128,MATCH($B297,Setup!$A$99:$A$128,0))),IF(ISNUMBER(SEARCH("advance",$B297))+ISNUMBER(SEARCH("payout",$B297))+ISNUMBER(SEARCH("pay out",$B297))+ISNUMBER(SEARCH("reimburs",$B297))&gt;0,"Transfer",IF(ISNUMBER(SEARCH("loan",$B297))+ISNUMBER(SEARCH("amort",$B297))+ISNUMBER(SEARCH("installment",$B297))+ISNUMBER(SEARCH("instalment",$B297))&gt;0,"Financing",IF(ISNUMBER(SEARCH("draw",$B297))+ISNUMBER(SEARCH("owner",$B297))+ISNUMBER(SEARCH("asset",$B297))+ISNUMBER(SEARCH("capital",$B297))&gt;0,"Other",IF(ISNUMBER(SEARCH("fuel",$B297))+ISNUMBER(SEARCH("diesel",$B297))+ISNUMBER(SEARCH("krudo",$B297))+ISNUMBER(SEARCH("gasolina",$B297))+ISNUMBER(SEARCH("toll",$B297))+ISNUMBER(SEARCH("parking",$B297))+ISNUMBER(SEARCH("repair",$B297))+ISNUMBER(SEARCH("maintenance",$B297))+ISNUMBER(SEARCH("tire",$B297))+ISNUMBER(SEARCH("tyre",$B297))+ISNUMBER(SEARCH("battery",$B297))+ISNUMBER(SEARCH("oil",$B297))+ISNUMBER(SEARCH("filter",$B297))+ISNUMBER(SEARCH("spare",$B297))+ISNUMBER(SEARCH("insurance",$B297))+ISNUMBER(SEARCH("lto",$B297))+ISNUMBER(SEARCH("registration",$B297))+ISNUMBER(SEARCH("emission",$B297))+ISNUMBER(SEARCH("wash",$B297))+ISNUMBER(SEARCH("weigh",$B297))+ISNUMBER(SEARCH("tarp",$B297))&gt;0,"Vehicle",IF(ISNUMBER(SEARCH("rent",$B297))+ISNUMBER(SEARCH("upa",$B297))+ISNUMBER(SEARCH("salary",$B297))+ISNUMBER(SEARCH("sweldo",$B297))+ISNUMBER(SEARCH("wage",$B297))+ISNUMBER(SEARCH("electric",$B297))+ISNUMBER(SEARCH("kuryente",$B297))+ISNUMBER(SEARCH("water",$B297))+ISNUMBER(SEARCH("tubig",$B297))+ISNUMBER(SEARCH("internet",$B297))+ISNUMBER(SEARCH("pldt",$B297))+ISNUMBER(SEARCH("meralco",$B297))+ISNUMBER(SEARCH("supplies",$B297))+ISNUMBER(SEARCH("office",$B297))+ISNUMBER(SEARCH("professional",$B297))+ISNUMBER(SEARCH("accountant",$B297))+ISNUMBER(SEARCH("lawyer",$B297))+ISNUMBER(SEARCH("broker",$B297))+ISNUMBER(SEARCH("bank",$B297))+ISNUMBER(SEARCH("charge",$B297))+ISNUMBER(SEARCH("permit",$B297))+ISNUMBER(SEARCH("bir",$B297))+ISNUMBER(SEARCH("ltfrb",$B297))+ISNUMBER(SEARCH("misc",$B297))+ISNUMBER(SEARCH("fee",$B297))&gt;0,"Overhead","Overhead")))))))</f>
        <v/>
      </c>
      <c r="J297">
        <f>IF($A297="","",DATE(YEAR($A297),MONTH($A297),1))</f>
        <v/>
      </c>
      <c r="K297">
        <f>IF($B297="","",IF(COUNTIF(Setup!$A$99:$A$128,$B297)&gt;0,0,1))</f>
        <v/>
      </c>
      <c r="L297">
        <f>IF($B297="","",IF(ISNUMBER(SEARCH("advance",$B297)),"ADV",IF(OR(ISNUMBER(SEARCH("payout",$B297)),ISNUMBER(SEARCH("pay out",$B297)),ISNUMBER(SEARCH("release",$B297))),"PAY","")))</f>
        <v/>
      </c>
      <c r="M297">
        <f>IF($B297="","",IF(ISNUMBER(SEARCH("bulk",$B297)),0,IF(ISNUMBER(SEARCH("fuel",$B297))+ISNUMBER(SEARCH("diesel",$B297))+ISNUMBER(SEARCH("krudo",$B297))+ISNUMBER(SEARCH("gasolina",$B297))&gt;0,1,0)))</f>
        <v/>
      </c>
      <c r="N297">
        <f>IF($B297="","",IF(ISNUMBER(SEARCH("fuel",$B297))+ISNUMBER(SEARCH("diesel",$B297))+ISNUMBER(SEARCH("krudo",$B297))+ISNUMBER(SEARCH("gasolina",$B297))&gt;0,1,0))</f>
        <v/>
      </c>
    </row>
    <row r="298">
      <c r="A298" s="94" t="n"/>
      <c r="B298" s="96" t="n"/>
      <c r="C298" s="96" t="n"/>
      <c r="D298" s="95" t="n"/>
      <c r="E298" s="96" t="n"/>
      <c r="F298" s="99" t="n"/>
      <c r="G298" s="95" t="n"/>
      <c r="H298" s="95" t="n"/>
      <c r="I298" s="101">
        <f>IF($B298="","",IF(COUNTIF(Setup!$A$99:$A$128,$B298)&gt;0,IF(INDEX(Setup!$B$99:$B$128,MATCH($B298,Setup!$A$99:$A$128,0))="","Overhead",INDEX(Setup!$B$99:$B$128,MATCH($B298,Setup!$A$99:$A$128,0))),IF(ISNUMBER(SEARCH("advance",$B298))+ISNUMBER(SEARCH("payout",$B298))+ISNUMBER(SEARCH("pay out",$B298))+ISNUMBER(SEARCH("reimburs",$B298))&gt;0,"Transfer",IF(ISNUMBER(SEARCH("loan",$B298))+ISNUMBER(SEARCH("amort",$B298))+ISNUMBER(SEARCH("installment",$B298))+ISNUMBER(SEARCH("instalment",$B298))&gt;0,"Financing",IF(ISNUMBER(SEARCH("draw",$B298))+ISNUMBER(SEARCH("owner",$B298))+ISNUMBER(SEARCH("asset",$B298))+ISNUMBER(SEARCH("capital",$B298))&gt;0,"Other",IF(ISNUMBER(SEARCH("fuel",$B298))+ISNUMBER(SEARCH("diesel",$B298))+ISNUMBER(SEARCH("krudo",$B298))+ISNUMBER(SEARCH("gasolina",$B298))+ISNUMBER(SEARCH("toll",$B298))+ISNUMBER(SEARCH("parking",$B298))+ISNUMBER(SEARCH("repair",$B298))+ISNUMBER(SEARCH("maintenance",$B298))+ISNUMBER(SEARCH("tire",$B298))+ISNUMBER(SEARCH("tyre",$B298))+ISNUMBER(SEARCH("battery",$B298))+ISNUMBER(SEARCH("oil",$B298))+ISNUMBER(SEARCH("filter",$B298))+ISNUMBER(SEARCH("spare",$B298))+ISNUMBER(SEARCH("insurance",$B298))+ISNUMBER(SEARCH("lto",$B298))+ISNUMBER(SEARCH("registration",$B298))+ISNUMBER(SEARCH("emission",$B298))+ISNUMBER(SEARCH("wash",$B298))+ISNUMBER(SEARCH("weigh",$B298))+ISNUMBER(SEARCH("tarp",$B298))&gt;0,"Vehicle",IF(ISNUMBER(SEARCH("rent",$B298))+ISNUMBER(SEARCH("upa",$B298))+ISNUMBER(SEARCH("salary",$B298))+ISNUMBER(SEARCH("sweldo",$B298))+ISNUMBER(SEARCH("wage",$B298))+ISNUMBER(SEARCH("electric",$B298))+ISNUMBER(SEARCH("kuryente",$B298))+ISNUMBER(SEARCH("water",$B298))+ISNUMBER(SEARCH("tubig",$B298))+ISNUMBER(SEARCH("internet",$B298))+ISNUMBER(SEARCH("pldt",$B298))+ISNUMBER(SEARCH("meralco",$B298))+ISNUMBER(SEARCH("supplies",$B298))+ISNUMBER(SEARCH("office",$B298))+ISNUMBER(SEARCH("professional",$B298))+ISNUMBER(SEARCH("accountant",$B298))+ISNUMBER(SEARCH("lawyer",$B298))+ISNUMBER(SEARCH("broker",$B298))+ISNUMBER(SEARCH("bank",$B298))+ISNUMBER(SEARCH("charge",$B298))+ISNUMBER(SEARCH("permit",$B298))+ISNUMBER(SEARCH("bir",$B298))+ISNUMBER(SEARCH("ltfrb",$B298))+ISNUMBER(SEARCH("misc",$B298))+ISNUMBER(SEARCH("fee",$B298))&gt;0,"Overhead","Overhead")))))))</f>
        <v/>
      </c>
      <c r="J298">
        <f>IF($A298="","",DATE(YEAR($A298),MONTH($A298),1))</f>
        <v/>
      </c>
      <c r="K298">
        <f>IF($B298="","",IF(COUNTIF(Setup!$A$99:$A$128,$B298)&gt;0,0,1))</f>
        <v/>
      </c>
      <c r="L298">
        <f>IF($B298="","",IF(ISNUMBER(SEARCH("advance",$B298)),"ADV",IF(OR(ISNUMBER(SEARCH("payout",$B298)),ISNUMBER(SEARCH("pay out",$B298)),ISNUMBER(SEARCH("release",$B298))),"PAY","")))</f>
        <v/>
      </c>
      <c r="M298">
        <f>IF($B298="","",IF(ISNUMBER(SEARCH("bulk",$B298)),0,IF(ISNUMBER(SEARCH("fuel",$B298))+ISNUMBER(SEARCH("diesel",$B298))+ISNUMBER(SEARCH("krudo",$B298))+ISNUMBER(SEARCH("gasolina",$B298))&gt;0,1,0)))</f>
        <v/>
      </c>
      <c r="N298">
        <f>IF($B298="","",IF(ISNUMBER(SEARCH("fuel",$B298))+ISNUMBER(SEARCH("diesel",$B298))+ISNUMBER(SEARCH("krudo",$B298))+ISNUMBER(SEARCH("gasolina",$B298))&gt;0,1,0))</f>
        <v/>
      </c>
    </row>
    <row r="299">
      <c r="A299" s="86" t="n"/>
      <c r="B299" s="88" t="n"/>
      <c r="C299" s="88" t="n"/>
      <c r="D299" s="87" t="n"/>
      <c r="E299" s="88" t="n"/>
      <c r="F299" s="92" t="n"/>
      <c r="G299" s="87" t="n"/>
      <c r="H299" s="87" t="n"/>
      <c r="I299" s="101">
        <f>IF($B299="","",IF(COUNTIF(Setup!$A$99:$A$128,$B299)&gt;0,IF(INDEX(Setup!$B$99:$B$128,MATCH($B299,Setup!$A$99:$A$128,0))="","Overhead",INDEX(Setup!$B$99:$B$128,MATCH($B299,Setup!$A$99:$A$128,0))),IF(ISNUMBER(SEARCH("advance",$B299))+ISNUMBER(SEARCH("payout",$B299))+ISNUMBER(SEARCH("pay out",$B299))+ISNUMBER(SEARCH("reimburs",$B299))&gt;0,"Transfer",IF(ISNUMBER(SEARCH("loan",$B299))+ISNUMBER(SEARCH("amort",$B299))+ISNUMBER(SEARCH("installment",$B299))+ISNUMBER(SEARCH("instalment",$B299))&gt;0,"Financing",IF(ISNUMBER(SEARCH("draw",$B299))+ISNUMBER(SEARCH("owner",$B299))+ISNUMBER(SEARCH("asset",$B299))+ISNUMBER(SEARCH("capital",$B299))&gt;0,"Other",IF(ISNUMBER(SEARCH("fuel",$B299))+ISNUMBER(SEARCH("diesel",$B299))+ISNUMBER(SEARCH("krudo",$B299))+ISNUMBER(SEARCH("gasolina",$B299))+ISNUMBER(SEARCH("toll",$B299))+ISNUMBER(SEARCH("parking",$B299))+ISNUMBER(SEARCH("repair",$B299))+ISNUMBER(SEARCH("maintenance",$B299))+ISNUMBER(SEARCH("tire",$B299))+ISNUMBER(SEARCH("tyre",$B299))+ISNUMBER(SEARCH("battery",$B299))+ISNUMBER(SEARCH("oil",$B299))+ISNUMBER(SEARCH("filter",$B299))+ISNUMBER(SEARCH("spare",$B299))+ISNUMBER(SEARCH("insurance",$B299))+ISNUMBER(SEARCH("lto",$B299))+ISNUMBER(SEARCH("registration",$B299))+ISNUMBER(SEARCH("emission",$B299))+ISNUMBER(SEARCH("wash",$B299))+ISNUMBER(SEARCH("weigh",$B299))+ISNUMBER(SEARCH("tarp",$B299))&gt;0,"Vehicle",IF(ISNUMBER(SEARCH("rent",$B299))+ISNUMBER(SEARCH("upa",$B299))+ISNUMBER(SEARCH("salary",$B299))+ISNUMBER(SEARCH("sweldo",$B299))+ISNUMBER(SEARCH("wage",$B299))+ISNUMBER(SEARCH("electric",$B299))+ISNUMBER(SEARCH("kuryente",$B299))+ISNUMBER(SEARCH("water",$B299))+ISNUMBER(SEARCH("tubig",$B299))+ISNUMBER(SEARCH("internet",$B299))+ISNUMBER(SEARCH("pldt",$B299))+ISNUMBER(SEARCH("meralco",$B299))+ISNUMBER(SEARCH("supplies",$B299))+ISNUMBER(SEARCH("office",$B299))+ISNUMBER(SEARCH("professional",$B299))+ISNUMBER(SEARCH("accountant",$B299))+ISNUMBER(SEARCH("lawyer",$B299))+ISNUMBER(SEARCH("broker",$B299))+ISNUMBER(SEARCH("bank",$B299))+ISNUMBER(SEARCH("charge",$B299))+ISNUMBER(SEARCH("permit",$B299))+ISNUMBER(SEARCH("bir",$B299))+ISNUMBER(SEARCH("ltfrb",$B299))+ISNUMBER(SEARCH("misc",$B299))+ISNUMBER(SEARCH("fee",$B299))&gt;0,"Overhead","Overhead")))))))</f>
        <v/>
      </c>
      <c r="J299">
        <f>IF($A299="","",DATE(YEAR($A299),MONTH($A299),1))</f>
        <v/>
      </c>
      <c r="K299">
        <f>IF($B299="","",IF(COUNTIF(Setup!$A$99:$A$128,$B299)&gt;0,0,1))</f>
        <v/>
      </c>
      <c r="L299">
        <f>IF($B299="","",IF(ISNUMBER(SEARCH("advance",$B299)),"ADV",IF(OR(ISNUMBER(SEARCH("payout",$B299)),ISNUMBER(SEARCH("pay out",$B299)),ISNUMBER(SEARCH("release",$B299))),"PAY","")))</f>
        <v/>
      </c>
      <c r="M299">
        <f>IF($B299="","",IF(ISNUMBER(SEARCH("bulk",$B299)),0,IF(ISNUMBER(SEARCH("fuel",$B299))+ISNUMBER(SEARCH("diesel",$B299))+ISNUMBER(SEARCH("krudo",$B299))+ISNUMBER(SEARCH("gasolina",$B299))&gt;0,1,0)))</f>
        <v/>
      </c>
      <c r="N299">
        <f>IF($B299="","",IF(ISNUMBER(SEARCH("fuel",$B299))+ISNUMBER(SEARCH("diesel",$B299))+ISNUMBER(SEARCH("krudo",$B299))+ISNUMBER(SEARCH("gasolina",$B299))&gt;0,1,0))</f>
        <v/>
      </c>
    </row>
    <row r="300">
      <c r="A300" s="94" t="n"/>
      <c r="B300" s="96" t="n"/>
      <c r="C300" s="96" t="n"/>
      <c r="D300" s="95" t="n"/>
      <c r="E300" s="96" t="n"/>
      <c r="F300" s="99" t="n"/>
      <c r="G300" s="95" t="n"/>
      <c r="H300" s="95" t="n"/>
      <c r="I300" s="101">
        <f>IF($B300="","",IF(COUNTIF(Setup!$A$99:$A$128,$B300)&gt;0,IF(INDEX(Setup!$B$99:$B$128,MATCH($B300,Setup!$A$99:$A$128,0))="","Overhead",INDEX(Setup!$B$99:$B$128,MATCH($B300,Setup!$A$99:$A$128,0))),IF(ISNUMBER(SEARCH("advance",$B300))+ISNUMBER(SEARCH("payout",$B300))+ISNUMBER(SEARCH("pay out",$B300))+ISNUMBER(SEARCH("reimburs",$B300))&gt;0,"Transfer",IF(ISNUMBER(SEARCH("loan",$B300))+ISNUMBER(SEARCH("amort",$B300))+ISNUMBER(SEARCH("installment",$B300))+ISNUMBER(SEARCH("instalment",$B300))&gt;0,"Financing",IF(ISNUMBER(SEARCH("draw",$B300))+ISNUMBER(SEARCH("owner",$B300))+ISNUMBER(SEARCH("asset",$B300))+ISNUMBER(SEARCH("capital",$B300))&gt;0,"Other",IF(ISNUMBER(SEARCH("fuel",$B300))+ISNUMBER(SEARCH("diesel",$B300))+ISNUMBER(SEARCH("krudo",$B300))+ISNUMBER(SEARCH("gasolina",$B300))+ISNUMBER(SEARCH("toll",$B300))+ISNUMBER(SEARCH("parking",$B300))+ISNUMBER(SEARCH("repair",$B300))+ISNUMBER(SEARCH("maintenance",$B300))+ISNUMBER(SEARCH("tire",$B300))+ISNUMBER(SEARCH("tyre",$B300))+ISNUMBER(SEARCH("battery",$B300))+ISNUMBER(SEARCH("oil",$B300))+ISNUMBER(SEARCH("filter",$B300))+ISNUMBER(SEARCH("spare",$B300))+ISNUMBER(SEARCH("insurance",$B300))+ISNUMBER(SEARCH("lto",$B300))+ISNUMBER(SEARCH("registration",$B300))+ISNUMBER(SEARCH("emission",$B300))+ISNUMBER(SEARCH("wash",$B300))+ISNUMBER(SEARCH("weigh",$B300))+ISNUMBER(SEARCH("tarp",$B300))&gt;0,"Vehicle",IF(ISNUMBER(SEARCH("rent",$B300))+ISNUMBER(SEARCH("upa",$B300))+ISNUMBER(SEARCH("salary",$B300))+ISNUMBER(SEARCH("sweldo",$B300))+ISNUMBER(SEARCH("wage",$B300))+ISNUMBER(SEARCH("electric",$B300))+ISNUMBER(SEARCH("kuryente",$B300))+ISNUMBER(SEARCH("water",$B300))+ISNUMBER(SEARCH("tubig",$B300))+ISNUMBER(SEARCH("internet",$B300))+ISNUMBER(SEARCH("pldt",$B300))+ISNUMBER(SEARCH("meralco",$B300))+ISNUMBER(SEARCH("supplies",$B300))+ISNUMBER(SEARCH("office",$B300))+ISNUMBER(SEARCH("professional",$B300))+ISNUMBER(SEARCH("accountant",$B300))+ISNUMBER(SEARCH("lawyer",$B300))+ISNUMBER(SEARCH("broker",$B300))+ISNUMBER(SEARCH("bank",$B300))+ISNUMBER(SEARCH("charge",$B300))+ISNUMBER(SEARCH("permit",$B300))+ISNUMBER(SEARCH("bir",$B300))+ISNUMBER(SEARCH("ltfrb",$B300))+ISNUMBER(SEARCH("misc",$B300))+ISNUMBER(SEARCH("fee",$B300))&gt;0,"Overhead","Overhead")))))))</f>
        <v/>
      </c>
      <c r="J300">
        <f>IF($A300="","",DATE(YEAR($A300),MONTH($A300),1))</f>
        <v/>
      </c>
      <c r="K300">
        <f>IF($B300="","",IF(COUNTIF(Setup!$A$99:$A$128,$B300)&gt;0,0,1))</f>
        <v/>
      </c>
      <c r="L300">
        <f>IF($B300="","",IF(ISNUMBER(SEARCH("advance",$B300)),"ADV",IF(OR(ISNUMBER(SEARCH("payout",$B300)),ISNUMBER(SEARCH("pay out",$B300)),ISNUMBER(SEARCH("release",$B300))),"PAY","")))</f>
        <v/>
      </c>
      <c r="M300">
        <f>IF($B300="","",IF(ISNUMBER(SEARCH("bulk",$B300)),0,IF(ISNUMBER(SEARCH("fuel",$B300))+ISNUMBER(SEARCH("diesel",$B300))+ISNUMBER(SEARCH("krudo",$B300))+ISNUMBER(SEARCH("gasolina",$B300))&gt;0,1,0)))</f>
        <v/>
      </c>
      <c r="N300">
        <f>IF($B300="","",IF(ISNUMBER(SEARCH("fuel",$B300))+ISNUMBER(SEARCH("diesel",$B300))+ISNUMBER(SEARCH("krudo",$B300))+ISNUMBER(SEARCH("gasolina",$B300))&gt;0,1,0))</f>
        <v/>
      </c>
    </row>
    <row r="301">
      <c r="A301" s="86" t="n"/>
      <c r="B301" s="88" t="n"/>
      <c r="C301" s="88" t="n"/>
      <c r="D301" s="87" t="n"/>
      <c r="E301" s="88" t="n"/>
      <c r="F301" s="92" t="n"/>
      <c r="G301" s="87" t="n"/>
      <c r="H301" s="87" t="n"/>
      <c r="I301" s="101">
        <f>IF($B301="","",IF(COUNTIF(Setup!$A$99:$A$128,$B301)&gt;0,IF(INDEX(Setup!$B$99:$B$128,MATCH($B301,Setup!$A$99:$A$128,0))="","Overhead",INDEX(Setup!$B$99:$B$128,MATCH($B301,Setup!$A$99:$A$128,0))),IF(ISNUMBER(SEARCH("advance",$B301))+ISNUMBER(SEARCH("payout",$B301))+ISNUMBER(SEARCH("pay out",$B301))+ISNUMBER(SEARCH("reimburs",$B301))&gt;0,"Transfer",IF(ISNUMBER(SEARCH("loan",$B301))+ISNUMBER(SEARCH("amort",$B301))+ISNUMBER(SEARCH("installment",$B301))+ISNUMBER(SEARCH("instalment",$B301))&gt;0,"Financing",IF(ISNUMBER(SEARCH("draw",$B301))+ISNUMBER(SEARCH("owner",$B301))+ISNUMBER(SEARCH("asset",$B301))+ISNUMBER(SEARCH("capital",$B301))&gt;0,"Other",IF(ISNUMBER(SEARCH("fuel",$B301))+ISNUMBER(SEARCH("diesel",$B301))+ISNUMBER(SEARCH("krudo",$B301))+ISNUMBER(SEARCH("gasolina",$B301))+ISNUMBER(SEARCH("toll",$B301))+ISNUMBER(SEARCH("parking",$B301))+ISNUMBER(SEARCH("repair",$B301))+ISNUMBER(SEARCH("maintenance",$B301))+ISNUMBER(SEARCH("tire",$B301))+ISNUMBER(SEARCH("tyre",$B301))+ISNUMBER(SEARCH("battery",$B301))+ISNUMBER(SEARCH("oil",$B301))+ISNUMBER(SEARCH("filter",$B301))+ISNUMBER(SEARCH("spare",$B301))+ISNUMBER(SEARCH("insurance",$B301))+ISNUMBER(SEARCH("lto",$B301))+ISNUMBER(SEARCH("registration",$B301))+ISNUMBER(SEARCH("emission",$B301))+ISNUMBER(SEARCH("wash",$B301))+ISNUMBER(SEARCH("weigh",$B301))+ISNUMBER(SEARCH("tarp",$B301))&gt;0,"Vehicle",IF(ISNUMBER(SEARCH("rent",$B301))+ISNUMBER(SEARCH("upa",$B301))+ISNUMBER(SEARCH("salary",$B301))+ISNUMBER(SEARCH("sweldo",$B301))+ISNUMBER(SEARCH("wage",$B301))+ISNUMBER(SEARCH("electric",$B301))+ISNUMBER(SEARCH("kuryente",$B301))+ISNUMBER(SEARCH("water",$B301))+ISNUMBER(SEARCH("tubig",$B301))+ISNUMBER(SEARCH("internet",$B301))+ISNUMBER(SEARCH("pldt",$B301))+ISNUMBER(SEARCH("meralco",$B301))+ISNUMBER(SEARCH("supplies",$B301))+ISNUMBER(SEARCH("office",$B301))+ISNUMBER(SEARCH("professional",$B301))+ISNUMBER(SEARCH("accountant",$B301))+ISNUMBER(SEARCH("lawyer",$B301))+ISNUMBER(SEARCH("broker",$B301))+ISNUMBER(SEARCH("bank",$B301))+ISNUMBER(SEARCH("charge",$B301))+ISNUMBER(SEARCH("permit",$B301))+ISNUMBER(SEARCH("bir",$B301))+ISNUMBER(SEARCH("ltfrb",$B301))+ISNUMBER(SEARCH("misc",$B301))+ISNUMBER(SEARCH("fee",$B301))&gt;0,"Overhead","Overhead")))))))</f>
        <v/>
      </c>
      <c r="J301">
        <f>IF($A301="","",DATE(YEAR($A301),MONTH($A301),1))</f>
        <v/>
      </c>
      <c r="K301">
        <f>IF($B301="","",IF(COUNTIF(Setup!$A$99:$A$128,$B301)&gt;0,0,1))</f>
        <v/>
      </c>
      <c r="L301">
        <f>IF($B301="","",IF(ISNUMBER(SEARCH("advance",$B301)),"ADV",IF(OR(ISNUMBER(SEARCH("payout",$B301)),ISNUMBER(SEARCH("pay out",$B301)),ISNUMBER(SEARCH("release",$B301))),"PAY","")))</f>
        <v/>
      </c>
      <c r="M301">
        <f>IF($B301="","",IF(ISNUMBER(SEARCH("bulk",$B301)),0,IF(ISNUMBER(SEARCH("fuel",$B301))+ISNUMBER(SEARCH("diesel",$B301))+ISNUMBER(SEARCH("krudo",$B301))+ISNUMBER(SEARCH("gasolina",$B301))&gt;0,1,0)))</f>
        <v/>
      </c>
      <c r="N301">
        <f>IF($B301="","",IF(ISNUMBER(SEARCH("fuel",$B301))+ISNUMBER(SEARCH("diesel",$B301))+ISNUMBER(SEARCH("krudo",$B301))+ISNUMBER(SEARCH("gasolina",$B301))&gt;0,1,0))</f>
        <v/>
      </c>
    </row>
    <row r="302">
      <c r="A302" s="94" t="n"/>
      <c r="B302" s="96" t="n"/>
      <c r="C302" s="96" t="n"/>
      <c r="D302" s="95" t="n"/>
      <c r="E302" s="96" t="n"/>
      <c r="F302" s="99" t="n"/>
      <c r="G302" s="95" t="n"/>
      <c r="H302" s="95" t="n"/>
      <c r="I302" s="101">
        <f>IF($B302="","",IF(COUNTIF(Setup!$A$99:$A$128,$B302)&gt;0,IF(INDEX(Setup!$B$99:$B$128,MATCH($B302,Setup!$A$99:$A$128,0))="","Overhead",INDEX(Setup!$B$99:$B$128,MATCH($B302,Setup!$A$99:$A$128,0))),IF(ISNUMBER(SEARCH("advance",$B302))+ISNUMBER(SEARCH("payout",$B302))+ISNUMBER(SEARCH("pay out",$B302))+ISNUMBER(SEARCH("reimburs",$B302))&gt;0,"Transfer",IF(ISNUMBER(SEARCH("loan",$B302))+ISNUMBER(SEARCH("amort",$B302))+ISNUMBER(SEARCH("installment",$B302))+ISNUMBER(SEARCH("instalment",$B302))&gt;0,"Financing",IF(ISNUMBER(SEARCH("draw",$B302))+ISNUMBER(SEARCH("owner",$B302))+ISNUMBER(SEARCH("asset",$B302))+ISNUMBER(SEARCH("capital",$B302))&gt;0,"Other",IF(ISNUMBER(SEARCH("fuel",$B302))+ISNUMBER(SEARCH("diesel",$B302))+ISNUMBER(SEARCH("krudo",$B302))+ISNUMBER(SEARCH("gasolina",$B302))+ISNUMBER(SEARCH("toll",$B302))+ISNUMBER(SEARCH("parking",$B302))+ISNUMBER(SEARCH("repair",$B302))+ISNUMBER(SEARCH("maintenance",$B302))+ISNUMBER(SEARCH("tire",$B302))+ISNUMBER(SEARCH("tyre",$B302))+ISNUMBER(SEARCH("battery",$B302))+ISNUMBER(SEARCH("oil",$B302))+ISNUMBER(SEARCH("filter",$B302))+ISNUMBER(SEARCH("spare",$B302))+ISNUMBER(SEARCH("insurance",$B302))+ISNUMBER(SEARCH("lto",$B302))+ISNUMBER(SEARCH("registration",$B302))+ISNUMBER(SEARCH("emission",$B302))+ISNUMBER(SEARCH("wash",$B302))+ISNUMBER(SEARCH("weigh",$B302))+ISNUMBER(SEARCH("tarp",$B302))&gt;0,"Vehicle",IF(ISNUMBER(SEARCH("rent",$B302))+ISNUMBER(SEARCH("upa",$B302))+ISNUMBER(SEARCH("salary",$B302))+ISNUMBER(SEARCH("sweldo",$B302))+ISNUMBER(SEARCH("wage",$B302))+ISNUMBER(SEARCH("electric",$B302))+ISNUMBER(SEARCH("kuryente",$B302))+ISNUMBER(SEARCH("water",$B302))+ISNUMBER(SEARCH("tubig",$B302))+ISNUMBER(SEARCH("internet",$B302))+ISNUMBER(SEARCH("pldt",$B302))+ISNUMBER(SEARCH("meralco",$B302))+ISNUMBER(SEARCH("supplies",$B302))+ISNUMBER(SEARCH("office",$B302))+ISNUMBER(SEARCH("professional",$B302))+ISNUMBER(SEARCH("accountant",$B302))+ISNUMBER(SEARCH("lawyer",$B302))+ISNUMBER(SEARCH("broker",$B302))+ISNUMBER(SEARCH("bank",$B302))+ISNUMBER(SEARCH("charge",$B302))+ISNUMBER(SEARCH("permit",$B302))+ISNUMBER(SEARCH("bir",$B302))+ISNUMBER(SEARCH("ltfrb",$B302))+ISNUMBER(SEARCH("misc",$B302))+ISNUMBER(SEARCH("fee",$B302))&gt;0,"Overhead","Overhead")))))))</f>
        <v/>
      </c>
      <c r="J302">
        <f>IF($A302="","",DATE(YEAR($A302),MONTH($A302),1))</f>
        <v/>
      </c>
      <c r="K302">
        <f>IF($B302="","",IF(COUNTIF(Setup!$A$99:$A$128,$B302)&gt;0,0,1))</f>
        <v/>
      </c>
      <c r="L302">
        <f>IF($B302="","",IF(ISNUMBER(SEARCH("advance",$B302)),"ADV",IF(OR(ISNUMBER(SEARCH("payout",$B302)),ISNUMBER(SEARCH("pay out",$B302)),ISNUMBER(SEARCH("release",$B302))),"PAY","")))</f>
        <v/>
      </c>
      <c r="M302">
        <f>IF($B302="","",IF(ISNUMBER(SEARCH("bulk",$B302)),0,IF(ISNUMBER(SEARCH("fuel",$B302))+ISNUMBER(SEARCH("diesel",$B302))+ISNUMBER(SEARCH("krudo",$B302))+ISNUMBER(SEARCH("gasolina",$B302))&gt;0,1,0)))</f>
        <v/>
      </c>
      <c r="N302">
        <f>IF($B302="","",IF(ISNUMBER(SEARCH("fuel",$B302))+ISNUMBER(SEARCH("diesel",$B302))+ISNUMBER(SEARCH("krudo",$B302))+ISNUMBER(SEARCH("gasolina",$B302))&gt;0,1,0))</f>
        <v/>
      </c>
    </row>
    <row r="303">
      <c r="A303" s="86" t="n"/>
      <c r="B303" s="88" t="n"/>
      <c r="C303" s="88" t="n"/>
      <c r="D303" s="87" t="n"/>
      <c r="E303" s="88" t="n"/>
      <c r="F303" s="92" t="n"/>
      <c r="G303" s="87" t="n"/>
      <c r="H303" s="87" t="n"/>
      <c r="I303" s="101">
        <f>IF($B303="","",IF(COUNTIF(Setup!$A$99:$A$128,$B303)&gt;0,IF(INDEX(Setup!$B$99:$B$128,MATCH($B303,Setup!$A$99:$A$128,0))="","Overhead",INDEX(Setup!$B$99:$B$128,MATCH($B303,Setup!$A$99:$A$128,0))),IF(ISNUMBER(SEARCH("advance",$B303))+ISNUMBER(SEARCH("payout",$B303))+ISNUMBER(SEARCH("pay out",$B303))+ISNUMBER(SEARCH("reimburs",$B303))&gt;0,"Transfer",IF(ISNUMBER(SEARCH("loan",$B303))+ISNUMBER(SEARCH("amort",$B303))+ISNUMBER(SEARCH("installment",$B303))+ISNUMBER(SEARCH("instalment",$B303))&gt;0,"Financing",IF(ISNUMBER(SEARCH("draw",$B303))+ISNUMBER(SEARCH("owner",$B303))+ISNUMBER(SEARCH("asset",$B303))+ISNUMBER(SEARCH("capital",$B303))&gt;0,"Other",IF(ISNUMBER(SEARCH("fuel",$B303))+ISNUMBER(SEARCH("diesel",$B303))+ISNUMBER(SEARCH("krudo",$B303))+ISNUMBER(SEARCH("gasolina",$B303))+ISNUMBER(SEARCH("toll",$B303))+ISNUMBER(SEARCH("parking",$B303))+ISNUMBER(SEARCH("repair",$B303))+ISNUMBER(SEARCH("maintenance",$B303))+ISNUMBER(SEARCH("tire",$B303))+ISNUMBER(SEARCH("tyre",$B303))+ISNUMBER(SEARCH("battery",$B303))+ISNUMBER(SEARCH("oil",$B303))+ISNUMBER(SEARCH("filter",$B303))+ISNUMBER(SEARCH("spare",$B303))+ISNUMBER(SEARCH("insurance",$B303))+ISNUMBER(SEARCH("lto",$B303))+ISNUMBER(SEARCH("registration",$B303))+ISNUMBER(SEARCH("emission",$B303))+ISNUMBER(SEARCH("wash",$B303))+ISNUMBER(SEARCH("weigh",$B303))+ISNUMBER(SEARCH("tarp",$B303))&gt;0,"Vehicle",IF(ISNUMBER(SEARCH("rent",$B303))+ISNUMBER(SEARCH("upa",$B303))+ISNUMBER(SEARCH("salary",$B303))+ISNUMBER(SEARCH("sweldo",$B303))+ISNUMBER(SEARCH("wage",$B303))+ISNUMBER(SEARCH("electric",$B303))+ISNUMBER(SEARCH("kuryente",$B303))+ISNUMBER(SEARCH("water",$B303))+ISNUMBER(SEARCH("tubig",$B303))+ISNUMBER(SEARCH("internet",$B303))+ISNUMBER(SEARCH("pldt",$B303))+ISNUMBER(SEARCH("meralco",$B303))+ISNUMBER(SEARCH("supplies",$B303))+ISNUMBER(SEARCH("office",$B303))+ISNUMBER(SEARCH("professional",$B303))+ISNUMBER(SEARCH("accountant",$B303))+ISNUMBER(SEARCH("lawyer",$B303))+ISNUMBER(SEARCH("broker",$B303))+ISNUMBER(SEARCH("bank",$B303))+ISNUMBER(SEARCH("charge",$B303))+ISNUMBER(SEARCH("permit",$B303))+ISNUMBER(SEARCH("bir",$B303))+ISNUMBER(SEARCH("ltfrb",$B303))+ISNUMBER(SEARCH("misc",$B303))+ISNUMBER(SEARCH("fee",$B303))&gt;0,"Overhead","Overhead")))))))</f>
        <v/>
      </c>
      <c r="J303">
        <f>IF($A303="","",DATE(YEAR($A303),MONTH($A303),1))</f>
        <v/>
      </c>
      <c r="K303">
        <f>IF($B303="","",IF(COUNTIF(Setup!$A$99:$A$128,$B303)&gt;0,0,1))</f>
        <v/>
      </c>
      <c r="L303">
        <f>IF($B303="","",IF(ISNUMBER(SEARCH("advance",$B303)),"ADV",IF(OR(ISNUMBER(SEARCH("payout",$B303)),ISNUMBER(SEARCH("pay out",$B303)),ISNUMBER(SEARCH("release",$B303))),"PAY","")))</f>
        <v/>
      </c>
      <c r="M303">
        <f>IF($B303="","",IF(ISNUMBER(SEARCH("bulk",$B303)),0,IF(ISNUMBER(SEARCH("fuel",$B303))+ISNUMBER(SEARCH("diesel",$B303))+ISNUMBER(SEARCH("krudo",$B303))+ISNUMBER(SEARCH("gasolina",$B303))&gt;0,1,0)))</f>
        <v/>
      </c>
      <c r="N303">
        <f>IF($B303="","",IF(ISNUMBER(SEARCH("fuel",$B303))+ISNUMBER(SEARCH("diesel",$B303))+ISNUMBER(SEARCH("krudo",$B303))+ISNUMBER(SEARCH("gasolina",$B303))&gt;0,1,0))</f>
        <v/>
      </c>
    </row>
    <row r="304">
      <c r="A304" s="94" t="n"/>
      <c r="B304" s="96" t="n"/>
      <c r="C304" s="96" t="n"/>
      <c r="D304" s="95" t="n"/>
      <c r="E304" s="96" t="n"/>
      <c r="F304" s="99" t="n"/>
      <c r="G304" s="95" t="n"/>
      <c r="H304" s="95" t="n"/>
      <c r="I304" s="101">
        <f>IF($B304="","",IF(COUNTIF(Setup!$A$99:$A$128,$B304)&gt;0,IF(INDEX(Setup!$B$99:$B$128,MATCH($B304,Setup!$A$99:$A$128,0))="","Overhead",INDEX(Setup!$B$99:$B$128,MATCH($B304,Setup!$A$99:$A$128,0))),IF(ISNUMBER(SEARCH("advance",$B304))+ISNUMBER(SEARCH("payout",$B304))+ISNUMBER(SEARCH("pay out",$B304))+ISNUMBER(SEARCH("reimburs",$B304))&gt;0,"Transfer",IF(ISNUMBER(SEARCH("loan",$B304))+ISNUMBER(SEARCH("amort",$B304))+ISNUMBER(SEARCH("installment",$B304))+ISNUMBER(SEARCH("instalment",$B304))&gt;0,"Financing",IF(ISNUMBER(SEARCH("draw",$B304))+ISNUMBER(SEARCH("owner",$B304))+ISNUMBER(SEARCH("asset",$B304))+ISNUMBER(SEARCH("capital",$B304))&gt;0,"Other",IF(ISNUMBER(SEARCH("fuel",$B304))+ISNUMBER(SEARCH("diesel",$B304))+ISNUMBER(SEARCH("krudo",$B304))+ISNUMBER(SEARCH("gasolina",$B304))+ISNUMBER(SEARCH("toll",$B304))+ISNUMBER(SEARCH("parking",$B304))+ISNUMBER(SEARCH("repair",$B304))+ISNUMBER(SEARCH("maintenance",$B304))+ISNUMBER(SEARCH("tire",$B304))+ISNUMBER(SEARCH("tyre",$B304))+ISNUMBER(SEARCH("battery",$B304))+ISNUMBER(SEARCH("oil",$B304))+ISNUMBER(SEARCH("filter",$B304))+ISNUMBER(SEARCH("spare",$B304))+ISNUMBER(SEARCH("insurance",$B304))+ISNUMBER(SEARCH("lto",$B304))+ISNUMBER(SEARCH("registration",$B304))+ISNUMBER(SEARCH("emission",$B304))+ISNUMBER(SEARCH("wash",$B304))+ISNUMBER(SEARCH("weigh",$B304))+ISNUMBER(SEARCH("tarp",$B304))&gt;0,"Vehicle",IF(ISNUMBER(SEARCH("rent",$B304))+ISNUMBER(SEARCH("upa",$B304))+ISNUMBER(SEARCH("salary",$B304))+ISNUMBER(SEARCH("sweldo",$B304))+ISNUMBER(SEARCH("wage",$B304))+ISNUMBER(SEARCH("electric",$B304))+ISNUMBER(SEARCH("kuryente",$B304))+ISNUMBER(SEARCH("water",$B304))+ISNUMBER(SEARCH("tubig",$B304))+ISNUMBER(SEARCH("internet",$B304))+ISNUMBER(SEARCH("pldt",$B304))+ISNUMBER(SEARCH("meralco",$B304))+ISNUMBER(SEARCH("supplies",$B304))+ISNUMBER(SEARCH("office",$B304))+ISNUMBER(SEARCH("professional",$B304))+ISNUMBER(SEARCH("accountant",$B304))+ISNUMBER(SEARCH("lawyer",$B304))+ISNUMBER(SEARCH("broker",$B304))+ISNUMBER(SEARCH("bank",$B304))+ISNUMBER(SEARCH("charge",$B304))+ISNUMBER(SEARCH("permit",$B304))+ISNUMBER(SEARCH("bir",$B304))+ISNUMBER(SEARCH("ltfrb",$B304))+ISNUMBER(SEARCH("misc",$B304))+ISNUMBER(SEARCH("fee",$B304))&gt;0,"Overhead","Overhead")))))))</f>
        <v/>
      </c>
      <c r="J304">
        <f>IF($A304="","",DATE(YEAR($A304),MONTH($A304),1))</f>
        <v/>
      </c>
      <c r="K304">
        <f>IF($B304="","",IF(COUNTIF(Setup!$A$99:$A$128,$B304)&gt;0,0,1))</f>
        <v/>
      </c>
      <c r="L304">
        <f>IF($B304="","",IF(ISNUMBER(SEARCH("advance",$B304)),"ADV",IF(OR(ISNUMBER(SEARCH("payout",$B304)),ISNUMBER(SEARCH("pay out",$B304)),ISNUMBER(SEARCH("release",$B304))),"PAY","")))</f>
        <v/>
      </c>
      <c r="M304">
        <f>IF($B304="","",IF(ISNUMBER(SEARCH("bulk",$B304)),0,IF(ISNUMBER(SEARCH("fuel",$B304))+ISNUMBER(SEARCH("diesel",$B304))+ISNUMBER(SEARCH("krudo",$B304))+ISNUMBER(SEARCH("gasolina",$B304))&gt;0,1,0)))</f>
        <v/>
      </c>
      <c r="N304">
        <f>IF($B304="","",IF(ISNUMBER(SEARCH("fuel",$B304))+ISNUMBER(SEARCH("diesel",$B304))+ISNUMBER(SEARCH("krudo",$B304))+ISNUMBER(SEARCH("gasolina",$B304))&gt;0,1,0))</f>
        <v/>
      </c>
    </row>
    <row r="305">
      <c r="A305" s="86" t="n"/>
      <c r="B305" s="88" t="n"/>
      <c r="C305" s="88" t="n"/>
      <c r="D305" s="87" t="n"/>
      <c r="E305" s="88" t="n"/>
      <c r="F305" s="92" t="n"/>
      <c r="G305" s="87" t="n"/>
      <c r="H305" s="87" t="n"/>
      <c r="I305" s="101">
        <f>IF($B305="","",IF(COUNTIF(Setup!$A$99:$A$128,$B305)&gt;0,IF(INDEX(Setup!$B$99:$B$128,MATCH($B305,Setup!$A$99:$A$128,0))="","Overhead",INDEX(Setup!$B$99:$B$128,MATCH($B305,Setup!$A$99:$A$128,0))),IF(ISNUMBER(SEARCH("advance",$B305))+ISNUMBER(SEARCH("payout",$B305))+ISNUMBER(SEARCH("pay out",$B305))+ISNUMBER(SEARCH("reimburs",$B305))&gt;0,"Transfer",IF(ISNUMBER(SEARCH("loan",$B305))+ISNUMBER(SEARCH("amort",$B305))+ISNUMBER(SEARCH("installment",$B305))+ISNUMBER(SEARCH("instalment",$B305))&gt;0,"Financing",IF(ISNUMBER(SEARCH("draw",$B305))+ISNUMBER(SEARCH("owner",$B305))+ISNUMBER(SEARCH("asset",$B305))+ISNUMBER(SEARCH("capital",$B305))&gt;0,"Other",IF(ISNUMBER(SEARCH("fuel",$B305))+ISNUMBER(SEARCH("diesel",$B305))+ISNUMBER(SEARCH("krudo",$B305))+ISNUMBER(SEARCH("gasolina",$B305))+ISNUMBER(SEARCH("toll",$B305))+ISNUMBER(SEARCH("parking",$B305))+ISNUMBER(SEARCH("repair",$B305))+ISNUMBER(SEARCH("maintenance",$B305))+ISNUMBER(SEARCH("tire",$B305))+ISNUMBER(SEARCH("tyre",$B305))+ISNUMBER(SEARCH("battery",$B305))+ISNUMBER(SEARCH("oil",$B305))+ISNUMBER(SEARCH("filter",$B305))+ISNUMBER(SEARCH("spare",$B305))+ISNUMBER(SEARCH("insurance",$B305))+ISNUMBER(SEARCH("lto",$B305))+ISNUMBER(SEARCH("registration",$B305))+ISNUMBER(SEARCH("emission",$B305))+ISNUMBER(SEARCH("wash",$B305))+ISNUMBER(SEARCH("weigh",$B305))+ISNUMBER(SEARCH("tarp",$B305))&gt;0,"Vehicle",IF(ISNUMBER(SEARCH("rent",$B305))+ISNUMBER(SEARCH("upa",$B305))+ISNUMBER(SEARCH("salary",$B305))+ISNUMBER(SEARCH("sweldo",$B305))+ISNUMBER(SEARCH("wage",$B305))+ISNUMBER(SEARCH("electric",$B305))+ISNUMBER(SEARCH("kuryente",$B305))+ISNUMBER(SEARCH("water",$B305))+ISNUMBER(SEARCH("tubig",$B305))+ISNUMBER(SEARCH("internet",$B305))+ISNUMBER(SEARCH("pldt",$B305))+ISNUMBER(SEARCH("meralco",$B305))+ISNUMBER(SEARCH("supplies",$B305))+ISNUMBER(SEARCH("office",$B305))+ISNUMBER(SEARCH("professional",$B305))+ISNUMBER(SEARCH("accountant",$B305))+ISNUMBER(SEARCH("lawyer",$B305))+ISNUMBER(SEARCH("broker",$B305))+ISNUMBER(SEARCH("bank",$B305))+ISNUMBER(SEARCH("charge",$B305))+ISNUMBER(SEARCH("permit",$B305))+ISNUMBER(SEARCH("bir",$B305))+ISNUMBER(SEARCH("ltfrb",$B305))+ISNUMBER(SEARCH("misc",$B305))+ISNUMBER(SEARCH("fee",$B305))&gt;0,"Overhead","Overhead")))))))</f>
        <v/>
      </c>
      <c r="J305">
        <f>IF($A305="","",DATE(YEAR($A305),MONTH($A305),1))</f>
        <v/>
      </c>
      <c r="K305">
        <f>IF($B305="","",IF(COUNTIF(Setup!$A$99:$A$128,$B305)&gt;0,0,1))</f>
        <v/>
      </c>
      <c r="L305">
        <f>IF($B305="","",IF(ISNUMBER(SEARCH("advance",$B305)),"ADV",IF(OR(ISNUMBER(SEARCH("payout",$B305)),ISNUMBER(SEARCH("pay out",$B305)),ISNUMBER(SEARCH("release",$B305))),"PAY","")))</f>
        <v/>
      </c>
      <c r="M305">
        <f>IF($B305="","",IF(ISNUMBER(SEARCH("bulk",$B305)),0,IF(ISNUMBER(SEARCH("fuel",$B305))+ISNUMBER(SEARCH("diesel",$B305))+ISNUMBER(SEARCH("krudo",$B305))+ISNUMBER(SEARCH("gasolina",$B305))&gt;0,1,0)))</f>
        <v/>
      </c>
      <c r="N305">
        <f>IF($B305="","",IF(ISNUMBER(SEARCH("fuel",$B305))+ISNUMBER(SEARCH("diesel",$B305))+ISNUMBER(SEARCH("krudo",$B305))+ISNUMBER(SEARCH("gasolina",$B305))&gt;0,1,0))</f>
        <v/>
      </c>
    </row>
    <row r="306">
      <c r="A306" s="94" t="n"/>
      <c r="B306" s="96" t="n"/>
      <c r="C306" s="96" t="n"/>
      <c r="D306" s="95" t="n"/>
      <c r="E306" s="96" t="n"/>
      <c r="F306" s="99" t="n"/>
      <c r="G306" s="95" t="n"/>
      <c r="H306" s="95" t="n"/>
      <c r="I306" s="101">
        <f>IF($B306="","",IF(COUNTIF(Setup!$A$99:$A$128,$B306)&gt;0,IF(INDEX(Setup!$B$99:$B$128,MATCH($B306,Setup!$A$99:$A$128,0))="","Overhead",INDEX(Setup!$B$99:$B$128,MATCH($B306,Setup!$A$99:$A$128,0))),IF(ISNUMBER(SEARCH("advance",$B306))+ISNUMBER(SEARCH("payout",$B306))+ISNUMBER(SEARCH("pay out",$B306))+ISNUMBER(SEARCH("reimburs",$B306))&gt;0,"Transfer",IF(ISNUMBER(SEARCH("loan",$B306))+ISNUMBER(SEARCH("amort",$B306))+ISNUMBER(SEARCH("installment",$B306))+ISNUMBER(SEARCH("instalment",$B306))&gt;0,"Financing",IF(ISNUMBER(SEARCH("draw",$B306))+ISNUMBER(SEARCH("owner",$B306))+ISNUMBER(SEARCH("asset",$B306))+ISNUMBER(SEARCH("capital",$B306))&gt;0,"Other",IF(ISNUMBER(SEARCH("fuel",$B306))+ISNUMBER(SEARCH("diesel",$B306))+ISNUMBER(SEARCH("krudo",$B306))+ISNUMBER(SEARCH("gasolina",$B306))+ISNUMBER(SEARCH("toll",$B306))+ISNUMBER(SEARCH("parking",$B306))+ISNUMBER(SEARCH("repair",$B306))+ISNUMBER(SEARCH("maintenance",$B306))+ISNUMBER(SEARCH("tire",$B306))+ISNUMBER(SEARCH("tyre",$B306))+ISNUMBER(SEARCH("battery",$B306))+ISNUMBER(SEARCH("oil",$B306))+ISNUMBER(SEARCH("filter",$B306))+ISNUMBER(SEARCH("spare",$B306))+ISNUMBER(SEARCH("insurance",$B306))+ISNUMBER(SEARCH("lto",$B306))+ISNUMBER(SEARCH("registration",$B306))+ISNUMBER(SEARCH("emission",$B306))+ISNUMBER(SEARCH("wash",$B306))+ISNUMBER(SEARCH("weigh",$B306))+ISNUMBER(SEARCH("tarp",$B306))&gt;0,"Vehicle",IF(ISNUMBER(SEARCH("rent",$B306))+ISNUMBER(SEARCH("upa",$B306))+ISNUMBER(SEARCH("salary",$B306))+ISNUMBER(SEARCH("sweldo",$B306))+ISNUMBER(SEARCH("wage",$B306))+ISNUMBER(SEARCH("electric",$B306))+ISNUMBER(SEARCH("kuryente",$B306))+ISNUMBER(SEARCH("water",$B306))+ISNUMBER(SEARCH("tubig",$B306))+ISNUMBER(SEARCH("internet",$B306))+ISNUMBER(SEARCH("pldt",$B306))+ISNUMBER(SEARCH("meralco",$B306))+ISNUMBER(SEARCH("supplies",$B306))+ISNUMBER(SEARCH("office",$B306))+ISNUMBER(SEARCH("professional",$B306))+ISNUMBER(SEARCH("accountant",$B306))+ISNUMBER(SEARCH("lawyer",$B306))+ISNUMBER(SEARCH("broker",$B306))+ISNUMBER(SEARCH("bank",$B306))+ISNUMBER(SEARCH("charge",$B306))+ISNUMBER(SEARCH("permit",$B306))+ISNUMBER(SEARCH("bir",$B306))+ISNUMBER(SEARCH("ltfrb",$B306))+ISNUMBER(SEARCH("misc",$B306))+ISNUMBER(SEARCH("fee",$B306))&gt;0,"Overhead","Overhead")))))))</f>
        <v/>
      </c>
      <c r="J306">
        <f>IF($A306="","",DATE(YEAR($A306),MONTH($A306),1))</f>
        <v/>
      </c>
      <c r="K306">
        <f>IF($B306="","",IF(COUNTIF(Setup!$A$99:$A$128,$B306)&gt;0,0,1))</f>
        <v/>
      </c>
      <c r="L306">
        <f>IF($B306="","",IF(ISNUMBER(SEARCH("advance",$B306)),"ADV",IF(OR(ISNUMBER(SEARCH("payout",$B306)),ISNUMBER(SEARCH("pay out",$B306)),ISNUMBER(SEARCH("release",$B306))),"PAY","")))</f>
        <v/>
      </c>
      <c r="M306">
        <f>IF($B306="","",IF(ISNUMBER(SEARCH("bulk",$B306)),0,IF(ISNUMBER(SEARCH("fuel",$B306))+ISNUMBER(SEARCH("diesel",$B306))+ISNUMBER(SEARCH("krudo",$B306))+ISNUMBER(SEARCH("gasolina",$B306))&gt;0,1,0)))</f>
        <v/>
      </c>
      <c r="N306">
        <f>IF($B306="","",IF(ISNUMBER(SEARCH("fuel",$B306))+ISNUMBER(SEARCH("diesel",$B306))+ISNUMBER(SEARCH("krudo",$B306))+ISNUMBER(SEARCH("gasolina",$B306))&gt;0,1,0))</f>
        <v/>
      </c>
    </row>
    <row r="307">
      <c r="A307" s="86" t="n"/>
      <c r="B307" s="88" t="n"/>
      <c r="C307" s="88" t="n"/>
      <c r="D307" s="87" t="n"/>
      <c r="E307" s="88" t="n"/>
      <c r="F307" s="92" t="n"/>
      <c r="G307" s="87" t="n"/>
      <c r="H307" s="87" t="n"/>
      <c r="I307" s="101">
        <f>IF($B307="","",IF(COUNTIF(Setup!$A$99:$A$128,$B307)&gt;0,IF(INDEX(Setup!$B$99:$B$128,MATCH($B307,Setup!$A$99:$A$128,0))="","Overhead",INDEX(Setup!$B$99:$B$128,MATCH($B307,Setup!$A$99:$A$128,0))),IF(ISNUMBER(SEARCH("advance",$B307))+ISNUMBER(SEARCH("payout",$B307))+ISNUMBER(SEARCH("pay out",$B307))+ISNUMBER(SEARCH("reimburs",$B307))&gt;0,"Transfer",IF(ISNUMBER(SEARCH("loan",$B307))+ISNUMBER(SEARCH("amort",$B307))+ISNUMBER(SEARCH("installment",$B307))+ISNUMBER(SEARCH("instalment",$B307))&gt;0,"Financing",IF(ISNUMBER(SEARCH("draw",$B307))+ISNUMBER(SEARCH("owner",$B307))+ISNUMBER(SEARCH("asset",$B307))+ISNUMBER(SEARCH("capital",$B307))&gt;0,"Other",IF(ISNUMBER(SEARCH("fuel",$B307))+ISNUMBER(SEARCH("diesel",$B307))+ISNUMBER(SEARCH("krudo",$B307))+ISNUMBER(SEARCH("gasolina",$B307))+ISNUMBER(SEARCH("toll",$B307))+ISNUMBER(SEARCH("parking",$B307))+ISNUMBER(SEARCH("repair",$B307))+ISNUMBER(SEARCH("maintenance",$B307))+ISNUMBER(SEARCH("tire",$B307))+ISNUMBER(SEARCH("tyre",$B307))+ISNUMBER(SEARCH("battery",$B307))+ISNUMBER(SEARCH("oil",$B307))+ISNUMBER(SEARCH("filter",$B307))+ISNUMBER(SEARCH("spare",$B307))+ISNUMBER(SEARCH("insurance",$B307))+ISNUMBER(SEARCH("lto",$B307))+ISNUMBER(SEARCH("registration",$B307))+ISNUMBER(SEARCH("emission",$B307))+ISNUMBER(SEARCH("wash",$B307))+ISNUMBER(SEARCH("weigh",$B307))+ISNUMBER(SEARCH("tarp",$B307))&gt;0,"Vehicle",IF(ISNUMBER(SEARCH("rent",$B307))+ISNUMBER(SEARCH("upa",$B307))+ISNUMBER(SEARCH("salary",$B307))+ISNUMBER(SEARCH("sweldo",$B307))+ISNUMBER(SEARCH("wage",$B307))+ISNUMBER(SEARCH("electric",$B307))+ISNUMBER(SEARCH("kuryente",$B307))+ISNUMBER(SEARCH("water",$B307))+ISNUMBER(SEARCH("tubig",$B307))+ISNUMBER(SEARCH("internet",$B307))+ISNUMBER(SEARCH("pldt",$B307))+ISNUMBER(SEARCH("meralco",$B307))+ISNUMBER(SEARCH("supplies",$B307))+ISNUMBER(SEARCH("office",$B307))+ISNUMBER(SEARCH("professional",$B307))+ISNUMBER(SEARCH("accountant",$B307))+ISNUMBER(SEARCH("lawyer",$B307))+ISNUMBER(SEARCH("broker",$B307))+ISNUMBER(SEARCH("bank",$B307))+ISNUMBER(SEARCH("charge",$B307))+ISNUMBER(SEARCH("permit",$B307))+ISNUMBER(SEARCH("bir",$B307))+ISNUMBER(SEARCH("ltfrb",$B307))+ISNUMBER(SEARCH("misc",$B307))+ISNUMBER(SEARCH("fee",$B307))&gt;0,"Overhead","Overhead")))))))</f>
        <v/>
      </c>
      <c r="J307">
        <f>IF($A307="","",DATE(YEAR($A307),MONTH($A307),1))</f>
        <v/>
      </c>
      <c r="K307">
        <f>IF($B307="","",IF(COUNTIF(Setup!$A$99:$A$128,$B307)&gt;0,0,1))</f>
        <v/>
      </c>
      <c r="L307">
        <f>IF($B307="","",IF(ISNUMBER(SEARCH("advance",$B307)),"ADV",IF(OR(ISNUMBER(SEARCH("payout",$B307)),ISNUMBER(SEARCH("pay out",$B307)),ISNUMBER(SEARCH("release",$B307))),"PAY","")))</f>
        <v/>
      </c>
      <c r="M307">
        <f>IF($B307="","",IF(ISNUMBER(SEARCH("bulk",$B307)),0,IF(ISNUMBER(SEARCH("fuel",$B307))+ISNUMBER(SEARCH("diesel",$B307))+ISNUMBER(SEARCH("krudo",$B307))+ISNUMBER(SEARCH("gasolina",$B307))&gt;0,1,0)))</f>
        <v/>
      </c>
      <c r="N307">
        <f>IF($B307="","",IF(ISNUMBER(SEARCH("fuel",$B307))+ISNUMBER(SEARCH("diesel",$B307))+ISNUMBER(SEARCH("krudo",$B307))+ISNUMBER(SEARCH("gasolina",$B307))&gt;0,1,0))</f>
        <v/>
      </c>
    </row>
    <row r="308">
      <c r="A308" s="94" t="n"/>
      <c r="B308" s="96" t="n"/>
      <c r="C308" s="96" t="n"/>
      <c r="D308" s="95" t="n"/>
      <c r="E308" s="96" t="n"/>
      <c r="F308" s="99" t="n"/>
      <c r="G308" s="95" t="n"/>
      <c r="H308" s="95" t="n"/>
      <c r="I308" s="101">
        <f>IF($B308="","",IF(COUNTIF(Setup!$A$99:$A$128,$B308)&gt;0,IF(INDEX(Setup!$B$99:$B$128,MATCH($B308,Setup!$A$99:$A$128,0))="","Overhead",INDEX(Setup!$B$99:$B$128,MATCH($B308,Setup!$A$99:$A$128,0))),IF(ISNUMBER(SEARCH("advance",$B308))+ISNUMBER(SEARCH("payout",$B308))+ISNUMBER(SEARCH("pay out",$B308))+ISNUMBER(SEARCH("reimburs",$B308))&gt;0,"Transfer",IF(ISNUMBER(SEARCH("loan",$B308))+ISNUMBER(SEARCH("amort",$B308))+ISNUMBER(SEARCH("installment",$B308))+ISNUMBER(SEARCH("instalment",$B308))&gt;0,"Financing",IF(ISNUMBER(SEARCH("draw",$B308))+ISNUMBER(SEARCH("owner",$B308))+ISNUMBER(SEARCH("asset",$B308))+ISNUMBER(SEARCH("capital",$B308))&gt;0,"Other",IF(ISNUMBER(SEARCH("fuel",$B308))+ISNUMBER(SEARCH("diesel",$B308))+ISNUMBER(SEARCH("krudo",$B308))+ISNUMBER(SEARCH("gasolina",$B308))+ISNUMBER(SEARCH("toll",$B308))+ISNUMBER(SEARCH("parking",$B308))+ISNUMBER(SEARCH("repair",$B308))+ISNUMBER(SEARCH("maintenance",$B308))+ISNUMBER(SEARCH("tire",$B308))+ISNUMBER(SEARCH("tyre",$B308))+ISNUMBER(SEARCH("battery",$B308))+ISNUMBER(SEARCH("oil",$B308))+ISNUMBER(SEARCH("filter",$B308))+ISNUMBER(SEARCH("spare",$B308))+ISNUMBER(SEARCH("insurance",$B308))+ISNUMBER(SEARCH("lto",$B308))+ISNUMBER(SEARCH("registration",$B308))+ISNUMBER(SEARCH("emission",$B308))+ISNUMBER(SEARCH("wash",$B308))+ISNUMBER(SEARCH("weigh",$B308))+ISNUMBER(SEARCH("tarp",$B308))&gt;0,"Vehicle",IF(ISNUMBER(SEARCH("rent",$B308))+ISNUMBER(SEARCH("upa",$B308))+ISNUMBER(SEARCH("salary",$B308))+ISNUMBER(SEARCH("sweldo",$B308))+ISNUMBER(SEARCH("wage",$B308))+ISNUMBER(SEARCH("electric",$B308))+ISNUMBER(SEARCH("kuryente",$B308))+ISNUMBER(SEARCH("water",$B308))+ISNUMBER(SEARCH("tubig",$B308))+ISNUMBER(SEARCH("internet",$B308))+ISNUMBER(SEARCH("pldt",$B308))+ISNUMBER(SEARCH("meralco",$B308))+ISNUMBER(SEARCH("supplies",$B308))+ISNUMBER(SEARCH("office",$B308))+ISNUMBER(SEARCH("professional",$B308))+ISNUMBER(SEARCH("accountant",$B308))+ISNUMBER(SEARCH("lawyer",$B308))+ISNUMBER(SEARCH("broker",$B308))+ISNUMBER(SEARCH("bank",$B308))+ISNUMBER(SEARCH("charge",$B308))+ISNUMBER(SEARCH("permit",$B308))+ISNUMBER(SEARCH("bir",$B308))+ISNUMBER(SEARCH("ltfrb",$B308))+ISNUMBER(SEARCH("misc",$B308))+ISNUMBER(SEARCH("fee",$B308))&gt;0,"Overhead","Overhead")))))))</f>
        <v/>
      </c>
      <c r="J308">
        <f>IF($A308="","",DATE(YEAR($A308),MONTH($A308),1))</f>
        <v/>
      </c>
      <c r="K308">
        <f>IF($B308="","",IF(COUNTIF(Setup!$A$99:$A$128,$B308)&gt;0,0,1))</f>
        <v/>
      </c>
      <c r="L308">
        <f>IF($B308="","",IF(ISNUMBER(SEARCH("advance",$B308)),"ADV",IF(OR(ISNUMBER(SEARCH("payout",$B308)),ISNUMBER(SEARCH("pay out",$B308)),ISNUMBER(SEARCH("release",$B308))),"PAY","")))</f>
        <v/>
      </c>
      <c r="M308">
        <f>IF($B308="","",IF(ISNUMBER(SEARCH("bulk",$B308)),0,IF(ISNUMBER(SEARCH("fuel",$B308))+ISNUMBER(SEARCH("diesel",$B308))+ISNUMBER(SEARCH("krudo",$B308))+ISNUMBER(SEARCH("gasolina",$B308))&gt;0,1,0)))</f>
        <v/>
      </c>
      <c r="N308">
        <f>IF($B308="","",IF(ISNUMBER(SEARCH("fuel",$B308))+ISNUMBER(SEARCH("diesel",$B308))+ISNUMBER(SEARCH("krudo",$B308))+ISNUMBER(SEARCH("gasolina",$B308))&gt;0,1,0))</f>
        <v/>
      </c>
    </row>
    <row r="309">
      <c r="A309" s="86" t="n"/>
      <c r="B309" s="88" t="n"/>
      <c r="C309" s="88" t="n"/>
      <c r="D309" s="87" t="n"/>
      <c r="E309" s="88" t="n"/>
      <c r="F309" s="92" t="n"/>
      <c r="G309" s="87" t="n"/>
      <c r="H309" s="87" t="n"/>
      <c r="I309" s="101">
        <f>IF($B309="","",IF(COUNTIF(Setup!$A$99:$A$128,$B309)&gt;0,IF(INDEX(Setup!$B$99:$B$128,MATCH($B309,Setup!$A$99:$A$128,0))="","Overhead",INDEX(Setup!$B$99:$B$128,MATCH($B309,Setup!$A$99:$A$128,0))),IF(ISNUMBER(SEARCH("advance",$B309))+ISNUMBER(SEARCH("payout",$B309))+ISNUMBER(SEARCH("pay out",$B309))+ISNUMBER(SEARCH("reimburs",$B309))&gt;0,"Transfer",IF(ISNUMBER(SEARCH("loan",$B309))+ISNUMBER(SEARCH("amort",$B309))+ISNUMBER(SEARCH("installment",$B309))+ISNUMBER(SEARCH("instalment",$B309))&gt;0,"Financing",IF(ISNUMBER(SEARCH("draw",$B309))+ISNUMBER(SEARCH("owner",$B309))+ISNUMBER(SEARCH("asset",$B309))+ISNUMBER(SEARCH("capital",$B309))&gt;0,"Other",IF(ISNUMBER(SEARCH("fuel",$B309))+ISNUMBER(SEARCH("diesel",$B309))+ISNUMBER(SEARCH("krudo",$B309))+ISNUMBER(SEARCH("gasolina",$B309))+ISNUMBER(SEARCH("toll",$B309))+ISNUMBER(SEARCH("parking",$B309))+ISNUMBER(SEARCH("repair",$B309))+ISNUMBER(SEARCH("maintenance",$B309))+ISNUMBER(SEARCH("tire",$B309))+ISNUMBER(SEARCH("tyre",$B309))+ISNUMBER(SEARCH("battery",$B309))+ISNUMBER(SEARCH("oil",$B309))+ISNUMBER(SEARCH("filter",$B309))+ISNUMBER(SEARCH("spare",$B309))+ISNUMBER(SEARCH("insurance",$B309))+ISNUMBER(SEARCH("lto",$B309))+ISNUMBER(SEARCH("registration",$B309))+ISNUMBER(SEARCH("emission",$B309))+ISNUMBER(SEARCH("wash",$B309))+ISNUMBER(SEARCH("weigh",$B309))+ISNUMBER(SEARCH("tarp",$B309))&gt;0,"Vehicle",IF(ISNUMBER(SEARCH("rent",$B309))+ISNUMBER(SEARCH("upa",$B309))+ISNUMBER(SEARCH("salary",$B309))+ISNUMBER(SEARCH("sweldo",$B309))+ISNUMBER(SEARCH("wage",$B309))+ISNUMBER(SEARCH("electric",$B309))+ISNUMBER(SEARCH("kuryente",$B309))+ISNUMBER(SEARCH("water",$B309))+ISNUMBER(SEARCH("tubig",$B309))+ISNUMBER(SEARCH("internet",$B309))+ISNUMBER(SEARCH("pldt",$B309))+ISNUMBER(SEARCH("meralco",$B309))+ISNUMBER(SEARCH("supplies",$B309))+ISNUMBER(SEARCH("office",$B309))+ISNUMBER(SEARCH("professional",$B309))+ISNUMBER(SEARCH("accountant",$B309))+ISNUMBER(SEARCH("lawyer",$B309))+ISNUMBER(SEARCH("broker",$B309))+ISNUMBER(SEARCH("bank",$B309))+ISNUMBER(SEARCH("charge",$B309))+ISNUMBER(SEARCH("permit",$B309))+ISNUMBER(SEARCH("bir",$B309))+ISNUMBER(SEARCH("ltfrb",$B309))+ISNUMBER(SEARCH("misc",$B309))+ISNUMBER(SEARCH("fee",$B309))&gt;0,"Overhead","Overhead")))))))</f>
        <v/>
      </c>
      <c r="J309">
        <f>IF($A309="","",DATE(YEAR($A309),MONTH($A309),1))</f>
        <v/>
      </c>
      <c r="K309">
        <f>IF($B309="","",IF(COUNTIF(Setup!$A$99:$A$128,$B309)&gt;0,0,1))</f>
        <v/>
      </c>
      <c r="L309">
        <f>IF($B309="","",IF(ISNUMBER(SEARCH("advance",$B309)),"ADV",IF(OR(ISNUMBER(SEARCH("payout",$B309)),ISNUMBER(SEARCH("pay out",$B309)),ISNUMBER(SEARCH("release",$B309))),"PAY","")))</f>
        <v/>
      </c>
      <c r="M309">
        <f>IF($B309="","",IF(ISNUMBER(SEARCH("bulk",$B309)),0,IF(ISNUMBER(SEARCH("fuel",$B309))+ISNUMBER(SEARCH("diesel",$B309))+ISNUMBER(SEARCH("krudo",$B309))+ISNUMBER(SEARCH("gasolina",$B309))&gt;0,1,0)))</f>
        <v/>
      </c>
      <c r="N309">
        <f>IF($B309="","",IF(ISNUMBER(SEARCH("fuel",$B309))+ISNUMBER(SEARCH("diesel",$B309))+ISNUMBER(SEARCH("krudo",$B309))+ISNUMBER(SEARCH("gasolina",$B309))&gt;0,1,0))</f>
        <v/>
      </c>
    </row>
    <row r="310">
      <c r="A310" s="94" t="n"/>
      <c r="B310" s="96" t="n"/>
      <c r="C310" s="96" t="n"/>
      <c r="D310" s="95" t="n"/>
      <c r="E310" s="96" t="n"/>
      <c r="F310" s="99" t="n"/>
      <c r="G310" s="95" t="n"/>
      <c r="H310" s="95" t="n"/>
      <c r="I310" s="101">
        <f>IF($B310="","",IF(COUNTIF(Setup!$A$99:$A$128,$B310)&gt;0,IF(INDEX(Setup!$B$99:$B$128,MATCH($B310,Setup!$A$99:$A$128,0))="","Overhead",INDEX(Setup!$B$99:$B$128,MATCH($B310,Setup!$A$99:$A$128,0))),IF(ISNUMBER(SEARCH("advance",$B310))+ISNUMBER(SEARCH("payout",$B310))+ISNUMBER(SEARCH("pay out",$B310))+ISNUMBER(SEARCH("reimburs",$B310))&gt;0,"Transfer",IF(ISNUMBER(SEARCH("loan",$B310))+ISNUMBER(SEARCH("amort",$B310))+ISNUMBER(SEARCH("installment",$B310))+ISNUMBER(SEARCH("instalment",$B310))&gt;0,"Financing",IF(ISNUMBER(SEARCH("draw",$B310))+ISNUMBER(SEARCH("owner",$B310))+ISNUMBER(SEARCH("asset",$B310))+ISNUMBER(SEARCH("capital",$B310))&gt;0,"Other",IF(ISNUMBER(SEARCH("fuel",$B310))+ISNUMBER(SEARCH("diesel",$B310))+ISNUMBER(SEARCH("krudo",$B310))+ISNUMBER(SEARCH("gasolina",$B310))+ISNUMBER(SEARCH("toll",$B310))+ISNUMBER(SEARCH("parking",$B310))+ISNUMBER(SEARCH("repair",$B310))+ISNUMBER(SEARCH("maintenance",$B310))+ISNUMBER(SEARCH("tire",$B310))+ISNUMBER(SEARCH("tyre",$B310))+ISNUMBER(SEARCH("battery",$B310))+ISNUMBER(SEARCH("oil",$B310))+ISNUMBER(SEARCH("filter",$B310))+ISNUMBER(SEARCH("spare",$B310))+ISNUMBER(SEARCH("insurance",$B310))+ISNUMBER(SEARCH("lto",$B310))+ISNUMBER(SEARCH("registration",$B310))+ISNUMBER(SEARCH("emission",$B310))+ISNUMBER(SEARCH("wash",$B310))+ISNUMBER(SEARCH("weigh",$B310))+ISNUMBER(SEARCH("tarp",$B310))&gt;0,"Vehicle",IF(ISNUMBER(SEARCH("rent",$B310))+ISNUMBER(SEARCH("upa",$B310))+ISNUMBER(SEARCH("salary",$B310))+ISNUMBER(SEARCH("sweldo",$B310))+ISNUMBER(SEARCH("wage",$B310))+ISNUMBER(SEARCH("electric",$B310))+ISNUMBER(SEARCH("kuryente",$B310))+ISNUMBER(SEARCH("water",$B310))+ISNUMBER(SEARCH("tubig",$B310))+ISNUMBER(SEARCH("internet",$B310))+ISNUMBER(SEARCH("pldt",$B310))+ISNUMBER(SEARCH("meralco",$B310))+ISNUMBER(SEARCH("supplies",$B310))+ISNUMBER(SEARCH("office",$B310))+ISNUMBER(SEARCH("professional",$B310))+ISNUMBER(SEARCH("accountant",$B310))+ISNUMBER(SEARCH("lawyer",$B310))+ISNUMBER(SEARCH("broker",$B310))+ISNUMBER(SEARCH("bank",$B310))+ISNUMBER(SEARCH("charge",$B310))+ISNUMBER(SEARCH("permit",$B310))+ISNUMBER(SEARCH("bir",$B310))+ISNUMBER(SEARCH("ltfrb",$B310))+ISNUMBER(SEARCH("misc",$B310))+ISNUMBER(SEARCH("fee",$B310))&gt;0,"Overhead","Overhead")))))))</f>
        <v/>
      </c>
      <c r="J310">
        <f>IF($A310="","",DATE(YEAR($A310),MONTH($A310),1))</f>
        <v/>
      </c>
      <c r="K310">
        <f>IF($B310="","",IF(COUNTIF(Setup!$A$99:$A$128,$B310)&gt;0,0,1))</f>
        <v/>
      </c>
      <c r="L310">
        <f>IF($B310="","",IF(ISNUMBER(SEARCH("advance",$B310)),"ADV",IF(OR(ISNUMBER(SEARCH("payout",$B310)),ISNUMBER(SEARCH("pay out",$B310)),ISNUMBER(SEARCH("release",$B310))),"PAY","")))</f>
        <v/>
      </c>
      <c r="M310">
        <f>IF($B310="","",IF(ISNUMBER(SEARCH("bulk",$B310)),0,IF(ISNUMBER(SEARCH("fuel",$B310))+ISNUMBER(SEARCH("diesel",$B310))+ISNUMBER(SEARCH("krudo",$B310))+ISNUMBER(SEARCH("gasolina",$B310))&gt;0,1,0)))</f>
        <v/>
      </c>
      <c r="N310">
        <f>IF($B310="","",IF(ISNUMBER(SEARCH("fuel",$B310))+ISNUMBER(SEARCH("diesel",$B310))+ISNUMBER(SEARCH("krudo",$B310))+ISNUMBER(SEARCH("gasolina",$B310))&gt;0,1,0))</f>
        <v/>
      </c>
    </row>
    <row r="311">
      <c r="A311" s="86" t="n"/>
      <c r="B311" s="88" t="n"/>
      <c r="C311" s="88" t="n"/>
      <c r="D311" s="87" t="n"/>
      <c r="E311" s="88" t="n"/>
      <c r="F311" s="92" t="n"/>
      <c r="G311" s="87" t="n"/>
      <c r="H311" s="87" t="n"/>
      <c r="I311" s="101">
        <f>IF($B311="","",IF(COUNTIF(Setup!$A$99:$A$128,$B311)&gt;0,IF(INDEX(Setup!$B$99:$B$128,MATCH($B311,Setup!$A$99:$A$128,0))="","Overhead",INDEX(Setup!$B$99:$B$128,MATCH($B311,Setup!$A$99:$A$128,0))),IF(ISNUMBER(SEARCH("advance",$B311))+ISNUMBER(SEARCH("payout",$B311))+ISNUMBER(SEARCH("pay out",$B311))+ISNUMBER(SEARCH("reimburs",$B311))&gt;0,"Transfer",IF(ISNUMBER(SEARCH("loan",$B311))+ISNUMBER(SEARCH("amort",$B311))+ISNUMBER(SEARCH("installment",$B311))+ISNUMBER(SEARCH("instalment",$B311))&gt;0,"Financing",IF(ISNUMBER(SEARCH("draw",$B311))+ISNUMBER(SEARCH("owner",$B311))+ISNUMBER(SEARCH("asset",$B311))+ISNUMBER(SEARCH("capital",$B311))&gt;0,"Other",IF(ISNUMBER(SEARCH("fuel",$B311))+ISNUMBER(SEARCH("diesel",$B311))+ISNUMBER(SEARCH("krudo",$B311))+ISNUMBER(SEARCH("gasolina",$B311))+ISNUMBER(SEARCH("toll",$B311))+ISNUMBER(SEARCH("parking",$B311))+ISNUMBER(SEARCH("repair",$B311))+ISNUMBER(SEARCH("maintenance",$B311))+ISNUMBER(SEARCH("tire",$B311))+ISNUMBER(SEARCH("tyre",$B311))+ISNUMBER(SEARCH("battery",$B311))+ISNUMBER(SEARCH("oil",$B311))+ISNUMBER(SEARCH("filter",$B311))+ISNUMBER(SEARCH("spare",$B311))+ISNUMBER(SEARCH("insurance",$B311))+ISNUMBER(SEARCH("lto",$B311))+ISNUMBER(SEARCH("registration",$B311))+ISNUMBER(SEARCH("emission",$B311))+ISNUMBER(SEARCH("wash",$B311))+ISNUMBER(SEARCH("weigh",$B311))+ISNUMBER(SEARCH("tarp",$B311))&gt;0,"Vehicle",IF(ISNUMBER(SEARCH("rent",$B311))+ISNUMBER(SEARCH("upa",$B311))+ISNUMBER(SEARCH("salary",$B311))+ISNUMBER(SEARCH("sweldo",$B311))+ISNUMBER(SEARCH("wage",$B311))+ISNUMBER(SEARCH("electric",$B311))+ISNUMBER(SEARCH("kuryente",$B311))+ISNUMBER(SEARCH("water",$B311))+ISNUMBER(SEARCH("tubig",$B311))+ISNUMBER(SEARCH("internet",$B311))+ISNUMBER(SEARCH("pldt",$B311))+ISNUMBER(SEARCH("meralco",$B311))+ISNUMBER(SEARCH("supplies",$B311))+ISNUMBER(SEARCH("office",$B311))+ISNUMBER(SEARCH("professional",$B311))+ISNUMBER(SEARCH("accountant",$B311))+ISNUMBER(SEARCH("lawyer",$B311))+ISNUMBER(SEARCH("broker",$B311))+ISNUMBER(SEARCH("bank",$B311))+ISNUMBER(SEARCH("charge",$B311))+ISNUMBER(SEARCH("permit",$B311))+ISNUMBER(SEARCH("bir",$B311))+ISNUMBER(SEARCH("ltfrb",$B311))+ISNUMBER(SEARCH("misc",$B311))+ISNUMBER(SEARCH("fee",$B311))&gt;0,"Overhead","Overhead")))))))</f>
        <v/>
      </c>
      <c r="J311">
        <f>IF($A311="","",DATE(YEAR($A311),MONTH($A311),1))</f>
        <v/>
      </c>
      <c r="K311">
        <f>IF($B311="","",IF(COUNTIF(Setup!$A$99:$A$128,$B311)&gt;0,0,1))</f>
        <v/>
      </c>
      <c r="L311">
        <f>IF($B311="","",IF(ISNUMBER(SEARCH("advance",$B311)),"ADV",IF(OR(ISNUMBER(SEARCH("payout",$B311)),ISNUMBER(SEARCH("pay out",$B311)),ISNUMBER(SEARCH("release",$B311))),"PAY","")))</f>
        <v/>
      </c>
      <c r="M311">
        <f>IF($B311="","",IF(ISNUMBER(SEARCH("bulk",$B311)),0,IF(ISNUMBER(SEARCH("fuel",$B311))+ISNUMBER(SEARCH("diesel",$B311))+ISNUMBER(SEARCH("krudo",$B311))+ISNUMBER(SEARCH("gasolina",$B311))&gt;0,1,0)))</f>
        <v/>
      </c>
      <c r="N311">
        <f>IF($B311="","",IF(ISNUMBER(SEARCH("fuel",$B311))+ISNUMBER(SEARCH("diesel",$B311))+ISNUMBER(SEARCH("krudo",$B311))+ISNUMBER(SEARCH("gasolina",$B311))&gt;0,1,0))</f>
        <v/>
      </c>
    </row>
    <row r="312">
      <c r="A312" s="94" t="n"/>
      <c r="B312" s="96" t="n"/>
      <c r="C312" s="96" t="n"/>
      <c r="D312" s="95" t="n"/>
      <c r="E312" s="96" t="n"/>
      <c r="F312" s="99" t="n"/>
      <c r="G312" s="95" t="n"/>
      <c r="H312" s="95" t="n"/>
      <c r="I312" s="101">
        <f>IF($B312="","",IF(COUNTIF(Setup!$A$99:$A$128,$B312)&gt;0,IF(INDEX(Setup!$B$99:$B$128,MATCH($B312,Setup!$A$99:$A$128,0))="","Overhead",INDEX(Setup!$B$99:$B$128,MATCH($B312,Setup!$A$99:$A$128,0))),IF(ISNUMBER(SEARCH("advance",$B312))+ISNUMBER(SEARCH("payout",$B312))+ISNUMBER(SEARCH("pay out",$B312))+ISNUMBER(SEARCH("reimburs",$B312))&gt;0,"Transfer",IF(ISNUMBER(SEARCH("loan",$B312))+ISNUMBER(SEARCH("amort",$B312))+ISNUMBER(SEARCH("installment",$B312))+ISNUMBER(SEARCH("instalment",$B312))&gt;0,"Financing",IF(ISNUMBER(SEARCH("draw",$B312))+ISNUMBER(SEARCH("owner",$B312))+ISNUMBER(SEARCH("asset",$B312))+ISNUMBER(SEARCH("capital",$B312))&gt;0,"Other",IF(ISNUMBER(SEARCH("fuel",$B312))+ISNUMBER(SEARCH("diesel",$B312))+ISNUMBER(SEARCH("krudo",$B312))+ISNUMBER(SEARCH("gasolina",$B312))+ISNUMBER(SEARCH("toll",$B312))+ISNUMBER(SEARCH("parking",$B312))+ISNUMBER(SEARCH("repair",$B312))+ISNUMBER(SEARCH("maintenance",$B312))+ISNUMBER(SEARCH("tire",$B312))+ISNUMBER(SEARCH("tyre",$B312))+ISNUMBER(SEARCH("battery",$B312))+ISNUMBER(SEARCH("oil",$B312))+ISNUMBER(SEARCH("filter",$B312))+ISNUMBER(SEARCH("spare",$B312))+ISNUMBER(SEARCH("insurance",$B312))+ISNUMBER(SEARCH("lto",$B312))+ISNUMBER(SEARCH("registration",$B312))+ISNUMBER(SEARCH("emission",$B312))+ISNUMBER(SEARCH("wash",$B312))+ISNUMBER(SEARCH("weigh",$B312))+ISNUMBER(SEARCH("tarp",$B312))&gt;0,"Vehicle",IF(ISNUMBER(SEARCH("rent",$B312))+ISNUMBER(SEARCH("upa",$B312))+ISNUMBER(SEARCH("salary",$B312))+ISNUMBER(SEARCH("sweldo",$B312))+ISNUMBER(SEARCH("wage",$B312))+ISNUMBER(SEARCH("electric",$B312))+ISNUMBER(SEARCH("kuryente",$B312))+ISNUMBER(SEARCH("water",$B312))+ISNUMBER(SEARCH("tubig",$B312))+ISNUMBER(SEARCH("internet",$B312))+ISNUMBER(SEARCH("pldt",$B312))+ISNUMBER(SEARCH("meralco",$B312))+ISNUMBER(SEARCH("supplies",$B312))+ISNUMBER(SEARCH("office",$B312))+ISNUMBER(SEARCH("professional",$B312))+ISNUMBER(SEARCH("accountant",$B312))+ISNUMBER(SEARCH("lawyer",$B312))+ISNUMBER(SEARCH("broker",$B312))+ISNUMBER(SEARCH("bank",$B312))+ISNUMBER(SEARCH("charge",$B312))+ISNUMBER(SEARCH("permit",$B312))+ISNUMBER(SEARCH("bir",$B312))+ISNUMBER(SEARCH("ltfrb",$B312))+ISNUMBER(SEARCH("misc",$B312))+ISNUMBER(SEARCH("fee",$B312))&gt;0,"Overhead","Overhead")))))))</f>
        <v/>
      </c>
      <c r="J312">
        <f>IF($A312="","",DATE(YEAR($A312),MONTH($A312),1))</f>
        <v/>
      </c>
      <c r="K312">
        <f>IF($B312="","",IF(COUNTIF(Setup!$A$99:$A$128,$B312)&gt;0,0,1))</f>
        <v/>
      </c>
      <c r="L312">
        <f>IF($B312="","",IF(ISNUMBER(SEARCH("advance",$B312)),"ADV",IF(OR(ISNUMBER(SEARCH("payout",$B312)),ISNUMBER(SEARCH("pay out",$B312)),ISNUMBER(SEARCH("release",$B312))),"PAY","")))</f>
        <v/>
      </c>
      <c r="M312">
        <f>IF($B312="","",IF(ISNUMBER(SEARCH("bulk",$B312)),0,IF(ISNUMBER(SEARCH("fuel",$B312))+ISNUMBER(SEARCH("diesel",$B312))+ISNUMBER(SEARCH("krudo",$B312))+ISNUMBER(SEARCH("gasolina",$B312))&gt;0,1,0)))</f>
        <v/>
      </c>
      <c r="N312">
        <f>IF($B312="","",IF(ISNUMBER(SEARCH("fuel",$B312))+ISNUMBER(SEARCH("diesel",$B312))+ISNUMBER(SEARCH("krudo",$B312))+ISNUMBER(SEARCH("gasolina",$B312))&gt;0,1,0))</f>
        <v/>
      </c>
    </row>
    <row r="313">
      <c r="A313" s="86" t="n"/>
      <c r="B313" s="88" t="n"/>
      <c r="C313" s="88" t="n"/>
      <c r="D313" s="87" t="n"/>
      <c r="E313" s="88" t="n"/>
      <c r="F313" s="92" t="n"/>
      <c r="G313" s="87" t="n"/>
      <c r="H313" s="87" t="n"/>
      <c r="I313" s="101">
        <f>IF($B313="","",IF(COUNTIF(Setup!$A$99:$A$128,$B313)&gt;0,IF(INDEX(Setup!$B$99:$B$128,MATCH($B313,Setup!$A$99:$A$128,0))="","Overhead",INDEX(Setup!$B$99:$B$128,MATCH($B313,Setup!$A$99:$A$128,0))),IF(ISNUMBER(SEARCH("advance",$B313))+ISNUMBER(SEARCH("payout",$B313))+ISNUMBER(SEARCH("pay out",$B313))+ISNUMBER(SEARCH("reimburs",$B313))&gt;0,"Transfer",IF(ISNUMBER(SEARCH("loan",$B313))+ISNUMBER(SEARCH("amort",$B313))+ISNUMBER(SEARCH("installment",$B313))+ISNUMBER(SEARCH("instalment",$B313))&gt;0,"Financing",IF(ISNUMBER(SEARCH("draw",$B313))+ISNUMBER(SEARCH("owner",$B313))+ISNUMBER(SEARCH("asset",$B313))+ISNUMBER(SEARCH("capital",$B313))&gt;0,"Other",IF(ISNUMBER(SEARCH("fuel",$B313))+ISNUMBER(SEARCH("diesel",$B313))+ISNUMBER(SEARCH("krudo",$B313))+ISNUMBER(SEARCH("gasolina",$B313))+ISNUMBER(SEARCH("toll",$B313))+ISNUMBER(SEARCH("parking",$B313))+ISNUMBER(SEARCH("repair",$B313))+ISNUMBER(SEARCH("maintenance",$B313))+ISNUMBER(SEARCH("tire",$B313))+ISNUMBER(SEARCH("tyre",$B313))+ISNUMBER(SEARCH("battery",$B313))+ISNUMBER(SEARCH("oil",$B313))+ISNUMBER(SEARCH("filter",$B313))+ISNUMBER(SEARCH("spare",$B313))+ISNUMBER(SEARCH("insurance",$B313))+ISNUMBER(SEARCH("lto",$B313))+ISNUMBER(SEARCH("registration",$B313))+ISNUMBER(SEARCH("emission",$B313))+ISNUMBER(SEARCH("wash",$B313))+ISNUMBER(SEARCH("weigh",$B313))+ISNUMBER(SEARCH("tarp",$B313))&gt;0,"Vehicle",IF(ISNUMBER(SEARCH("rent",$B313))+ISNUMBER(SEARCH("upa",$B313))+ISNUMBER(SEARCH("salary",$B313))+ISNUMBER(SEARCH("sweldo",$B313))+ISNUMBER(SEARCH("wage",$B313))+ISNUMBER(SEARCH("electric",$B313))+ISNUMBER(SEARCH("kuryente",$B313))+ISNUMBER(SEARCH("water",$B313))+ISNUMBER(SEARCH("tubig",$B313))+ISNUMBER(SEARCH("internet",$B313))+ISNUMBER(SEARCH("pldt",$B313))+ISNUMBER(SEARCH("meralco",$B313))+ISNUMBER(SEARCH("supplies",$B313))+ISNUMBER(SEARCH("office",$B313))+ISNUMBER(SEARCH("professional",$B313))+ISNUMBER(SEARCH("accountant",$B313))+ISNUMBER(SEARCH("lawyer",$B313))+ISNUMBER(SEARCH("broker",$B313))+ISNUMBER(SEARCH("bank",$B313))+ISNUMBER(SEARCH("charge",$B313))+ISNUMBER(SEARCH("permit",$B313))+ISNUMBER(SEARCH("bir",$B313))+ISNUMBER(SEARCH("ltfrb",$B313))+ISNUMBER(SEARCH("misc",$B313))+ISNUMBER(SEARCH("fee",$B313))&gt;0,"Overhead","Overhead")))))))</f>
        <v/>
      </c>
      <c r="J313">
        <f>IF($A313="","",DATE(YEAR($A313),MONTH($A313),1))</f>
        <v/>
      </c>
      <c r="K313">
        <f>IF($B313="","",IF(COUNTIF(Setup!$A$99:$A$128,$B313)&gt;0,0,1))</f>
        <v/>
      </c>
      <c r="L313">
        <f>IF($B313="","",IF(ISNUMBER(SEARCH("advance",$B313)),"ADV",IF(OR(ISNUMBER(SEARCH("payout",$B313)),ISNUMBER(SEARCH("pay out",$B313)),ISNUMBER(SEARCH("release",$B313))),"PAY","")))</f>
        <v/>
      </c>
      <c r="M313">
        <f>IF($B313="","",IF(ISNUMBER(SEARCH("bulk",$B313)),0,IF(ISNUMBER(SEARCH("fuel",$B313))+ISNUMBER(SEARCH("diesel",$B313))+ISNUMBER(SEARCH("krudo",$B313))+ISNUMBER(SEARCH("gasolina",$B313))&gt;0,1,0)))</f>
        <v/>
      </c>
      <c r="N313">
        <f>IF($B313="","",IF(ISNUMBER(SEARCH("fuel",$B313))+ISNUMBER(SEARCH("diesel",$B313))+ISNUMBER(SEARCH("krudo",$B313))+ISNUMBER(SEARCH("gasolina",$B313))&gt;0,1,0))</f>
        <v/>
      </c>
    </row>
    <row r="314">
      <c r="A314" s="94" t="n"/>
      <c r="B314" s="96" t="n"/>
      <c r="C314" s="96" t="n"/>
      <c r="D314" s="95" t="n"/>
      <c r="E314" s="96" t="n"/>
      <c r="F314" s="99" t="n"/>
      <c r="G314" s="95" t="n"/>
      <c r="H314" s="95" t="n"/>
      <c r="I314" s="101">
        <f>IF($B314="","",IF(COUNTIF(Setup!$A$99:$A$128,$B314)&gt;0,IF(INDEX(Setup!$B$99:$B$128,MATCH($B314,Setup!$A$99:$A$128,0))="","Overhead",INDEX(Setup!$B$99:$B$128,MATCH($B314,Setup!$A$99:$A$128,0))),IF(ISNUMBER(SEARCH("advance",$B314))+ISNUMBER(SEARCH("payout",$B314))+ISNUMBER(SEARCH("pay out",$B314))+ISNUMBER(SEARCH("reimburs",$B314))&gt;0,"Transfer",IF(ISNUMBER(SEARCH("loan",$B314))+ISNUMBER(SEARCH("amort",$B314))+ISNUMBER(SEARCH("installment",$B314))+ISNUMBER(SEARCH("instalment",$B314))&gt;0,"Financing",IF(ISNUMBER(SEARCH("draw",$B314))+ISNUMBER(SEARCH("owner",$B314))+ISNUMBER(SEARCH("asset",$B314))+ISNUMBER(SEARCH("capital",$B314))&gt;0,"Other",IF(ISNUMBER(SEARCH("fuel",$B314))+ISNUMBER(SEARCH("diesel",$B314))+ISNUMBER(SEARCH("krudo",$B314))+ISNUMBER(SEARCH("gasolina",$B314))+ISNUMBER(SEARCH("toll",$B314))+ISNUMBER(SEARCH("parking",$B314))+ISNUMBER(SEARCH("repair",$B314))+ISNUMBER(SEARCH("maintenance",$B314))+ISNUMBER(SEARCH("tire",$B314))+ISNUMBER(SEARCH("tyre",$B314))+ISNUMBER(SEARCH("battery",$B314))+ISNUMBER(SEARCH("oil",$B314))+ISNUMBER(SEARCH("filter",$B314))+ISNUMBER(SEARCH("spare",$B314))+ISNUMBER(SEARCH("insurance",$B314))+ISNUMBER(SEARCH("lto",$B314))+ISNUMBER(SEARCH("registration",$B314))+ISNUMBER(SEARCH("emission",$B314))+ISNUMBER(SEARCH("wash",$B314))+ISNUMBER(SEARCH("weigh",$B314))+ISNUMBER(SEARCH("tarp",$B314))&gt;0,"Vehicle",IF(ISNUMBER(SEARCH("rent",$B314))+ISNUMBER(SEARCH("upa",$B314))+ISNUMBER(SEARCH("salary",$B314))+ISNUMBER(SEARCH("sweldo",$B314))+ISNUMBER(SEARCH("wage",$B314))+ISNUMBER(SEARCH("electric",$B314))+ISNUMBER(SEARCH("kuryente",$B314))+ISNUMBER(SEARCH("water",$B314))+ISNUMBER(SEARCH("tubig",$B314))+ISNUMBER(SEARCH("internet",$B314))+ISNUMBER(SEARCH("pldt",$B314))+ISNUMBER(SEARCH("meralco",$B314))+ISNUMBER(SEARCH("supplies",$B314))+ISNUMBER(SEARCH("office",$B314))+ISNUMBER(SEARCH("professional",$B314))+ISNUMBER(SEARCH("accountant",$B314))+ISNUMBER(SEARCH("lawyer",$B314))+ISNUMBER(SEARCH("broker",$B314))+ISNUMBER(SEARCH("bank",$B314))+ISNUMBER(SEARCH("charge",$B314))+ISNUMBER(SEARCH("permit",$B314))+ISNUMBER(SEARCH("bir",$B314))+ISNUMBER(SEARCH("ltfrb",$B314))+ISNUMBER(SEARCH("misc",$B314))+ISNUMBER(SEARCH("fee",$B314))&gt;0,"Overhead","Overhead")))))))</f>
        <v/>
      </c>
      <c r="J314">
        <f>IF($A314="","",DATE(YEAR($A314),MONTH($A314),1))</f>
        <v/>
      </c>
      <c r="K314">
        <f>IF($B314="","",IF(COUNTIF(Setup!$A$99:$A$128,$B314)&gt;0,0,1))</f>
        <v/>
      </c>
      <c r="L314">
        <f>IF($B314="","",IF(ISNUMBER(SEARCH("advance",$B314)),"ADV",IF(OR(ISNUMBER(SEARCH("payout",$B314)),ISNUMBER(SEARCH("pay out",$B314)),ISNUMBER(SEARCH("release",$B314))),"PAY","")))</f>
        <v/>
      </c>
      <c r="M314">
        <f>IF($B314="","",IF(ISNUMBER(SEARCH("bulk",$B314)),0,IF(ISNUMBER(SEARCH("fuel",$B314))+ISNUMBER(SEARCH("diesel",$B314))+ISNUMBER(SEARCH("krudo",$B314))+ISNUMBER(SEARCH("gasolina",$B314))&gt;0,1,0)))</f>
        <v/>
      </c>
      <c r="N314">
        <f>IF($B314="","",IF(ISNUMBER(SEARCH("fuel",$B314))+ISNUMBER(SEARCH("diesel",$B314))+ISNUMBER(SEARCH("krudo",$B314))+ISNUMBER(SEARCH("gasolina",$B314))&gt;0,1,0))</f>
        <v/>
      </c>
    </row>
    <row r="315">
      <c r="A315" s="86" t="n"/>
      <c r="B315" s="88" t="n"/>
      <c r="C315" s="88" t="n"/>
      <c r="D315" s="87" t="n"/>
      <c r="E315" s="88" t="n"/>
      <c r="F315" s="92" t="n"/>
      <c r="G315" s="87" t="n"/>
      <c r="H315" s="87" t="n"/>
      <c r="I315" s="101">
        <f>IF($B315="","",IF(COUNTIF(Setup!$A$99:$A$128,$B315)&gt;0,IF(INDEX(Setup!$B$99:$B$128,MATCH($B315,Setup!$A$99:$A$128,0))="","Overhead",INDEX(Setup!$B$99:$B$128,MATCH($B315,Setup!$A$99:$A$128,0))),IF(ISNUMBER(SEARCH("advance",$B315))+ISNUMBER(SEARCH("payout",$B315))+ISNUMBER(SEARCH("pay out",$B315))+ISNUMBER(SEARCH("reimburs",$B315))&gt;0,"Transfer",IF(ISNUMBER(SEARCH("loan",$B315))+ISNUMBER(SEARCH("amort",$B315))+ISNUMBER(SEARCH("installment",$B315))+ISNUMBER(SEARCH("instalment",$B315))&gt;0,"Financing",IF(ISNUMBER(SEARCH("draw",$B315))+ISNUMBER(SEARCH("owner",$B315))+ISNUMBER(SEARCH("asset",$B315))+ISNUMBER(SEARCH("capital",$B315))&gt;0,"Other",IF(ISNUMBER(SEARCH("fuel",$B315))+ISNUMBER(SEARCH("diesel",$B315))+ISNUMBER(SEARCH("krudo",$B315))+ISNUMBER(SEARCH("gasolina",$B315))+ISNUMBER(SEARCH("toll",$B315))+ISNUMBER(SEARCH("parking",$B315))+ISNUMBER(SEARCH("repair",$B315))+ISNUMBER(SEARCH("maintenance",$B315))+ISNUMBER(SEARCH("tire",$B315))+ISNUMBER(SEARCH("tyre",$B315))+ISNUMBER(SEARCH("battery",$B315))+ISNUMBER(SEARCH("oil",$B315))+ISNUMBER(SEARCH("filter",$B315))+ISNUMBER(SEARCH("spare",$B315))+ISNUMBER(SEARCH("insurance",$B315))+ISNUMBER(SEARCH("lto",$B315))+ISNUMBER(SEARCH("registration",$B315))+ISNUMBER(SEARCH("emission",$B315))+ISNUMBER(SEARCH("wash",$B315))+ISNUMBER(SEARCH("weigh",$B315))+ISNUMBER(SEARCH("tarp",$B315))&gt;0,"Vehicle",IF(ISNUMBER(SEARCH("rent",$B315))+ISNUMBER(SEARCH("upa",$B315))+ISNUMBER(SEARCH("salary",$B315))+ISNUMBER(SEARCH("sweldo",$B315))+ISNUMBER(SEARCH("wage",$B315))+ISNUMBER(SEARCH("electric",$B315))+ISNUMBER(SEARCH("kuryente",$B315))+ISNUMBER(SEARCH("water",$B315))+ISNUMBER(SEARCH("tubig",$B315))+ISNUMBER(SEARCH("internet",$B315))+ISNUMBER(SEARCH("pldt",$B315))+ISNUMBER(SEARCH("meralco",$B315))+ISNUMBER(SEARCH("supplies",$B315))+ISNUMBER(SEARCH("office",$B315))+ISNUMBER(SEARCH("professional",$B315))+ISNUMBER(SEARCH("accountant",$B315))+ISNUMBER(SEARCH("lawyer",$B315))+ISNUMBER(SEARCH("broker",$B315))+ISNUMBER(SEARCH("bank",$B315))+ISNUMBER(SEARCH("charge",$B315))+ISNUMBER(SEARCH("permit",$B315))+ISNUMBER(SEARCH("bir",$B315))+ISNUMBER(SEARCH("ltfrb",$B315))+ISNUMBER(SEARCH("misc",$B315))+ISNUMBER(SEARCH("fee",$B315))&gt;0,"Overhead","Overhead")))))))</f>
        <v/>
      </c>
      <c r="J315">
        <f>IF($A315="","",DATE(YEAR($A315),MONTH($A315),1))</f>
        <v/>
      </c>
      <c r="K315">
        <f>IF($B315="","",IF(COUNTIF(Setup!$A$99:$A$128,$B315)&gt;0,0,1))</f>
        <v/>
      </c>
      <c r="L315">
        <f>IF($B315="","",IF(ISNUMBER(SEARCH("advance",$B315)),"ADV",IF(OR(ISNUMBER(SEARCH("payout",$B315)),ISNUMBER(SEARCH("pay out",$B315)),ISNUMBER(SEARCH("release",$B315))),"PAY","")))</f>
        <v/>
      </c>
      <c r="M315">
        <f>IF($B315="","",IF(ISNUMBER(SEARCH("bulk",$B315)),0,IF(ISNUMBER(SEARCH("fuel",$B315))+ISNUMBER(SEARCH("diesel",$B315))+ISNUMBER(SEARCH("krudo",$B315))+ISNUMBER(SEARCH("gasolina",$B315))&gt;0,1,0)))</f>
        <v/>
      </c>
      <c r="N315">
        <f>IF($B315="","",IF(ISNUMBER(SEARCH("fuel",$B315))+ISNUMBER(SEARCH("diesel",$B315))+ISNUMBER(SEARCH("krudo",$B315))+ISNUMBER(SEARCH("gasolina",$B315))&gt;0,1,0))</f>
        <v/>
      </c>
    </row>
    <row r="316">
      <c r="A316" s="94" t="n"/>
      <c r="B316" s="96" t="n"/>
      <c r="C316" s="96" t="n"/>
      <c r="D316" s="95" t="n"/>
      <c r="E316" s="96" t="n"/>
      <c r="F316" s="99" t="n"/>
      <c r="G316" s="95" t="n"/>
      <c r="H316" s="95" t="n"/>
      <c r="I316" s="101">
        <f>IF($B316="","",IF(COUNTIF(Setup!$A$99:$A$128,$B316)&gt;0,IF(INDEX(Setup!$B$99:$B$128,MATCH($B316,Setup!$A$99:$A$128,0))="","Overhead",INDEX(Setup!$B$99:$B$128,MATCH($B316,Setup!$A$99:$A$128,0))),IF(ISNUMBER(SEARCH("advance",$B316))+ISNUMBER(SEARCH("payout",$B316))+ISNUMBER(SEARCH("pay out",$B316))+ISNUMBER(SEARCH("reimburs",$B316))&gt;0,"Transfer",IF(ISNUMBER(SEARCH("loan",$B316))+ISNUMBER(SEARCH("amort",$B316))+ISNUMBER(SEARCH("installment",$B316))+ISNUMBER(SEARCH("instalment",$B316))&gt;0,"Financing",IF(ISNUMBER(SEARCH("draw",$B316))+ISNUMBER(SEARCH("owner",$B316))+ISNUMBER(SEARCH("asset",$B316))+ISNUMBER(SEARCH("capital",$B316))&gt;0,"Other",IF(ISNUMBER(SEARCH("fuel",$B316))+ISNUMBER(SEARCH("diesel",$B316))+ISNUMBER(SEARCH("krudo",$B316))+ISNUMBER(SEARCH("gasolina",$B316))+ISNUMBER(SEARCH("toll",$B316))+ISNUMBER(SEARCH("parking",$B316))+ISNUMBER(SEARCH("repair",$B316))+ISNUMBER(SEARCH("maintenance",$B316))+ISNUMBER(SEARCH("tire",$B316))+ISNUMBER(SEARCH("tyre",$B316))+ISNUMBER(SEARCH("battery",$B316))+ISNUMBER(SEARCH("oil",$B316))+ISNUMBER(SEARCH("filter",$B316))+ISNUMBER(SEARCH("spare",$B316))+ISNUMBER(SEARCH("insurance",$B316))+ISNUMBER(SEARCH("lto",$B316))+ISNUMBER(SEARCH("registration",$B316))+ISNUMBER(SEARCH("emission",$B316))+ISNUMBER(SEARCH("wash",$B316))+ISNUMBER(SEARCH("weigh",$B316))+ISNUMBER(SEARCH("tarp",$B316))&gt;0,"Vehicle",IF(ISNUMBER(SEARCH("rent",$B316))+ISNUMBER(SEARCH("upa",$B316))+ISNUMBER(SEARCH("salary",$B316))+ISNUMBER(SEARCH("sweldo",$B316))+ISNUMBER(SEARCH("wage",$B316))+ISNUMBER(SEARCH("electric",$B316))+ISNUMBER(SEARCH("kuryente",$B316))+ISNUMBER(SEARCH("water",$B316))+ISNUMBER(SEARCH("tubig",$B316))+ISNUMBER(SEARCH("internet",$B316))+ISNUMBER(SEARCH("pldt",$B316))+ISNUMBER(SEARCH("meralco",$B316))+ISNUMBER(SEARCH("supplies",$B316))+ISNUMBER(SEARCH("office",$B316))+ISNUMBER(SEARCH("professional",$B316))+ISNUMBER(SEARCH("accountant",$B316))+ISNUMBER(SEARCH("lawyer",$B316))+ISNUMBER(SEARCH("broker",$B316))+ISNUMBER(SEARCH("bank",$B316))+ISNUMBER(SEARCH("charge",$B316))+ISNUMBER(SEARCH("permit",$B316))+ISNUMBER(SEARCH("bir",$B316))+ISNUMBER(SEARCH("ltfrb",$B316))+ISNUMBER(SEARCH("misc",$B316))+ISNUMBER(SEARCH("fee",$B316))&gt;0,"Overhead","Overhead")))))))</f>
        <v/>
      </c>
      <c r="J316">
        <f>IF($A316="","",DATE(YEAR($A316),MONTH($A316),1))</f>
        <v/>
      </c>
      <c r="K316">
        <f>IF($B316="","",IF(COUNTIF(Setup!$A$99:$A$128,$B316)&gt;0,0,1))</f>
        <v/>
      </c>
      <c r="L316">
        <f>IF($B316="","",IF(ISNUMBER(SEARCH("advance",$B316)),"ADV",IF(OR(ISNUMBER(SEARCH("payout",$B316)),ISNUMBER(SEARCH("pay out",$B316)),ISNUMBER(SEARCH("release",$B316))),"PAY","")))</f>
        <v/>
      </c>
      <c r="M316">
        <f>IF($B316="","",IF(ISNUMBER(SEARCH("bulk",$B316)),0,IF(ISNUMBER(SEARCH("fuel",$B316))+ISNUMBER(SEARCH("diesel",$B316))+ISNUMBER(SEARCH("krudo",$B316))+ISNUMBER(SEARCH("gasolina",$B316))&gt;0,1,0)))</f>
        <v/>
      </c>
      <c r="N316">
        <f>IF($B316="","",IF(ISNUMBER(SEARCH("fuel",$B316))+ISNUMBER(SEARCH("diesel",$B316))+ISNUMBER(SEARCH("krudo",$B316))+ISNUMBER(SEARCH("gasolina",$B316))&gt;0,1,0))</f>
        <v/>
      </c>
    </row>
    <row r="317">
      <c r="A317" s="86" t="n"/>
      <c r="B317" s="88" t="n"/>
      <c r="C317" s="88" t="n"/>
      <c r="D317" s="87" t="n"/>
      <c r="E317" s="88" t="n"/>
      <c r="F317" s="92" t="n"/>
      <c r="G317" s="87" t="n"/>
      <c r="H317" s="87" t="n"/>
      <c r="I317" s="101">
        <f>IF($B317="","",IF(COUNTIF(Setup!$A$99:$A$128,$B317)&gt;0,IF(INDEX(Setup!$B$99:$B$128,MATCH($B317,Setup!$A$99:$A$128,0))="","Overhead",INDEX(Setup!$B$99:$B$128,MATCH($B317,Setup!$A$99:$A$128,0))),IF(ISNUMBER(SEARCH("advance",$B317))+ISNUMBER(SEARCH("payout",$B317))+ISNUMBER(SEARCH("pay out",$B317))+ISNUMBER(SEARCH("reimburs",$B317))&gt;0,"Transfer",IF(ISNUMBER(SEARCH("loan",$B317))+ISNUMBER(SEARCH("amort",$B317))+ISNUMBER(SEARCH("installment",$B317))+ISNUMBER(SEARCH("instalment",$B317))&gt;0,"Financing",IF(ISNUMBER(SEARCH("draw",$B317))+ISNUMBER(SEARCH("owner",$B317))+ISNUMBER(SEARCH("asset",$B317))+ISNUMBER(SEARCH("capital",$B317))&gt;0,"Other",IF(ISNUMBER(SEARCH("fuel",$B317))+ISNUMBER(SEARCH("diesel",$B317))+ISNUMBER(SEARCH("krudo",$B317))+ISNUMBER(SEARCH("gasolina",$B317))+ISNUMBER(SEARCH("toll",$B317))+ISNUMBER(SEARCH("parking",$B317))+ISNUMBER(SEARCH("repair",$B317))+ISNUMBER(SEARCH("maintenance",$B317))+ISNUMBER(SEARCH("tire",$B317))+ISNUMBER(SEARCH("tyre",$B317))+ISNUMBER(SEARCH("battery",$B317))+ISNUMBER(SEARCH("oil",$B317))+ISNUMBER(SEARCH("filter",$B317))+ISNUMBER(SEARCH("spare",$B317))+ISNUMBER(SEARCH("insurance",$B317))+ISNUMBER(SEARCH("lto",$B317))+ISNUMBER(SEARCH("registration",$B317))+ISNUMBER(SEARCH("emission",$B317))+ISNUMBER(SEARCH("wash",$B317))+ISNUMBER(SEARCH("weigh",$B317))+ISNUMBER(SEARCH("tarp",$B317))&gt;0,"Vehicle",IF(ISNUMBER(SEARCH("rent",$B317))+ISNUMBER(SEARCH("upa",$B317))+ISNUMBER(SEARCH("salary",$B317))+ISNUMBER(SEARCH("sweldo",$B317))+ISNUMBER(SEARCH("wage",$B317))+ISNUMBER(SEARCH("electric",$B317))+ISNUMBER(SEARCH("kuryente",$B317))+ISNUMBER(SEARCH("water",$B317))+ISNUMBER(SEARCH("tubig",$B317))+ISNUMBER(SEARCH("internet",$B317))+ISNUMBER(SEARCH("pldt",$B317))+ISNUMBER(SEARCH("meralco",$B317))+ISNUMBER(SEARCH("supplies",$B317))+ISNUMBER(SEARCH("office",$B317))+ISNUMBER(SEARCH("professional",$B317))+ISNUMBER(SEARCH("accountant",$B317))+ISNUMBER(SEARCH("lawyer",$B317))+ISNUMBER(SEARCH("broker",$B317))+ISNUMBER(SEARCH("bank",$B317))+ISNUMBER(SEARCH("charge",$B317))+ISNUMBER(SEARCH("permit",$B317))+ISNUMBER(SEARCH("bir",$B317))+ISNUMBER(SEARCH("ltfrb",$B317))+ISNUMBER(SEARCH("misc",$B317))+ISNUMBER(SEARCH("fee",$B317))&gt;0,"Overhead","Overhead")))))))</f>
        <v/>
      </c>
      <c r="J317">
        <f>IF($A317="","",DATE(YEAR($A317),MONTH($A317),1))</f>
        <v/>
      </c>
      <c r="K317">
        <f>IF($B317="","",IF(COUNTIF(Setup!$A$99:$A$128,$B317)&gt;0,0,1))</f>
        <v/>
      </c>
      <c r="L317">
        <f>IF($B317="","",IF(ISNUMBER(SEARCH("advance",$B317)),"ADV",IF(OR(ISNUMBER(SEARCH("payout",$B317)),ISNUMBER(SEARCH("pay out",$B317)),ISNUMBER(SEARCH("release",$B317))),"PAY","")))</f>
        <v/>
      </c>
      <c r="M317">
        <f>IF($B317="","",IF(ISNUMBER(SEARCH("bulk",$B317)),0,IF(ISNUMBER(SEARCH("fuel",$B317))+ISNUMBER(SEARCH("diesel",$B317))+ISNUMBER(SEARCH("krudo",$B317))+ISNUMBER(SEARCH("gasolina",$B317))&gt;0,1,0)))</f>
        <v/>
      </c>
      <c r="N317">
        <f>IF($B317="","",IF(ISNUMBER(SEARCH("fuel",$B317))+ISNUMBER(SEARCH("diesel",$B317))+ISNUMBER(SEARCH("krudo",$B317))+ISNUMBER(SEARCH("gasolina",$B317))&gt;0,1,0))</f>
        <v/>
      </c>
    </row>
    <row r="318">
      <c r="A318" s="94" t="n"/>
      <c r="B318" s="96" t="n"/>
      <c r="C318" s="96" t="n"/>
      <c r="D318" s="95" t="n"/>
      <c r="E318" s="96" t="n"/>
      <c r="F318" s="99" t="n"/>
      <c r="G318" s="95" t="n"/>
      <c r="H318" s="95" t="n"/>
      <c r="I318" s="101">
        <f>IF($B318="","",IF(COUNTIF(Setup!$A$99:$A$128,$B318)&gt;0,IF(INDEX(Setup!$B$99:$B$128,MATCH($B318,Setup!$A$99:$A$128,0))="","Overhead",INDEX(Setup!$B$99:$B$128,MATCH($B318,Setup!$A$99:$A$128,0))),IF(ISNUMBER(SEARCH("advance",$B318))+ISNUMBER(SEARCH("payout",$B318))+ISNUMBER(SEARCH("pay out",$B318))+ISNUMBER(SEARCH("reimburs",$B318))&gt;0,"Transfer",IF(ISNUMBER(SEARCH("loan",$B318))+ISNUMBER(SEARCH("amort",$B318))+ISNUMBER(SEARCH("installment",$B318))+ISNUMBER(SEARCH("instalment",$B318))&gt;0,"Financing",IF(ISNUMBER(SEARCH("draw",$B318))+ISNUMBER(SEARCH("owner",$B318))+ISNUMBER(SEARCH("asset",$B318))+ISNUMBER(SEARCH("capital",$B318))&gt;0,"Other",IF(ISNUMBER(SEARCH("fuel",$B318))+ISNUMBER(SEARCH("diesel",$B318))+ISNUMBER(SEARCH("krudo",$B318))+ISNUMBER(SEARCH("gasolina",$B318))+ISNUMBER(SEARCH("toll",$B318))+ISNUMBER(SEARCH("parking",$B318))+ISNUMBER(SEARCH("repair",$B318))+ISNUMBER(SEARCH("maintenance",$B318))+ISNUMBER(SEARCH("tire",$B318))+ISNUMBER(SEARCH("tyre",$B318))+ISNUMBER(SEARCH("battery",$B318))+ISNUMBER(SEARCH("oil",$B318))+ISNUMBER(SEARCH("filter",$B318))+ISNUMBER(SEARCH("spare",$B318))+ISNUMBER(SEARCH("insurance",$B318))+ISNUMBER(SEARCH("lto",$B318))+ISNUMBER(SEARCH("registration",$B318))+ISNUMBER(SEARCH("emission",$B318))+ISNUMBER(SEARCH("wash",$B318))+ISNUMBER(SEARCH("weigh",$B318))+ISNUMBER(SEARCH("tarp",$B318))&gt;0,"Vehicle",IF(ISNUMBER(SEARCH("rent",$B318))+ISNUMBER(SEARCH("upa",$B318))+ISNUMBER(SEARCH("salary",$B318))+ISNUMBER(SEARCH("sweldo",$B318))+ISNUMBER(SEARCH("wage",$B318))+ISNUMBER(SEARCH("electric",$B318))+ISNUMBER(SEARCH("kuryente",$B318))+ISNUMBER(SEARCH("water",$B318))+ISNUMBER(SEARCH("tubig",$B318))+ISNUMBER(SEARCH("internet",$B318))+ISNUMBER(SEARCH("pldt",$B318))+ISNUMBER(SEARCH("meralco",$B318))+ISNUMBER(SEARCH("supplies",$B318))+ISNUMBER(SEARCH("office",$B318))+ISNUMBER(SEARCH("professional",$B318))+ISNUMBER(SEARCH("accountant",$B318))+ISNUMBER(SEARCH("lawyer",$B318))+ISNUMBER(SEARCH("broker",$B318))+ISNUMBER(SEARCH("bank",$B318))+ISNUMBER(SEARCH("charge",$B318))+ISNUMBER(SEARCH("permit",$B318))+ISNUMBER(SEARCH("bir",$B318))+ISNUMBER(SEARCH("ltfrb",$B318))+ISNUMBER(SEARCH("misc",$B318))+ISNUMBER(SEARCH("fee",$B318))&gt;0,"Overhead","Overhead")))))))</f>
        <v/>
      </c>
      <c r="J318">
        <f>IF($A318="","",DATE(YEAR($A318),MONTH($A318),1))</f>
        <v/>
      </c>
      <c r="K318">
        <f>IF($B318="","",IF(COUNTIF(Setup!$A$99:$A$128,$B318)&gt;0,0,1))</f>
        <v/>
      </c>
      <c r="L318">
        <f>IF($B318="","",IF(ISNUMBER(SEARCH("advance",$B318)),"ADV",IF(OR(ISNUMBER(SEARCH("payout",$B318)),ISNUMBER(SEARCH("pay out",$B318)),ISNUMBER(SEARCH("release",$B318))),"PAY","")))</f>
        <v/>
      </c>
      <c r="M318">
        <f>IF($B318="","",IF(ISNUMBER(SEARCH("bulk",$B318)),0,IF(ISNUMBER(SEARCH("fuel",$B318))+ISNUMBER(SEARCH("diesel",$B318))+ISNUMBER(SEARCH("krudo",$B318))+ISNUMBER(SEARCH("gasolina",$B318))&gt;0,1,0)))</f>
        <v/>
      </c>
      <c r="N318">
        <f>IF($B318="","",IF(ISNUMBER(SEARCH("fuel",$B318))+ISNUMBER(SEARCH("diesel",$B318))+ISNUMBER(SEARCH("krudo",$B318))+ISNUMBER(SEARCH("gasolina",$B318))&gt;0,1,0))</f>
        <v/>
      </c>
    </row>
    <row r="319">
      <c r="A319" s="86" t="n"/>
      <c r="B319" s="88" t="n"/>
      <c r="C319" s="88" t="n"/>
      <c r="D319" s="87" t="n"/>
      <c r="E319" s="88" t="n"/>
      <c r="F319" s="92" t="n"/>
      <c r="G319" s="87" t="n"/>
      <c r="H319" s="87" t="n"/>
      <c r="I319" s="101">
        <f>IF($B319="","",IF(COUNTIF(Setup!$A$99:$A$128,$B319)&gt;0,IF(INDEX(Setup!$B$99:$B$128,MATCH($B319,Setup!$A$99:$A$128,0))="","Overhead",INDEX(Setup!$B$99:$B$128,MATCH($B319,Setup!$A$99:$A$128,0))),IF(ISNUMBER(SEARCH("advance",$B319))+ISNUMBER(SEARCH("payout",$B319))+ISNUMBER(SEARCH("pay out",$B319))+ISNUMBER(SEARCH("reimburs",$B319))&gt;0,"Transfer",IF(ISNUMBER(SEARCH("loan",$B319))+ISNUMBER(SEARCH("amort",$B319))+ISNUMBER(SEARCH("installment",$B319))+ISNUMBER(SEARCH("instalment",$B319))&gt;0,"Financing",IF(ISNUMBER(SEARCH("draw",$B319))+ISNUMBER(SEARCH("owner",$B319))+ISNUMBER(SEARCH("asset",$B319))+ISNUMBER(SEARCH("capital",$B319))&gt;0,"Other",IF(ISNUMBER(SEARCH("fuel",$B319))+ISNUMBER(SEARCH("diesel",$B319))+ISNUMBER(SEARCH("krudo",$B319))+ISNUMBER(SEARCH("gasolina",$B319))+ISNUMBER(SEARCH("toll",$B319))+ISNUMBER(SEARCH("parking",$B319))+ISNUMBER(SEARCH("repair",$B319))+ISNUMBER(SEARCH("maintenance",$B319))+ISNUMBER(SEARCH("tire",$B319))+ISNUMBER(SEARCH("tyre",$B319))+ISNUMBER(SEARCH("battery",$B319))+ISNUMBER(SEARCH("oil",$B319))+ISNUMBER(SEARCH("filter",$B319))+ISNUMBER(SEARCH("spare",$B319))+ISNUMBER(SEARCH("insurance",$B319))+ISNUMBER(SEARCH("lto",$B319))+ISNUMBER(SEARCH("registration",$B319))+ISNUMBER(SEARCH("emission",$B319))+ISNUMBER(SEARCH("wash",$B319))+ISNUMBER(SEARCH("weigh",$B319))+ISNUMBER(SEARCH("tarp",$B319))&gt;0,"Vehicle",IF(ISNUMBER(SEARCH("rent",$B319))+ISNUMBER(SEARCH("upa",$B319))+ISNUMBER(SEARCH("salary",$B319))+ISNUMBER(SEARCH("sweldo",$B319))+ISNUMBER(SEARCH("wage",$B319))+ISNUMBER(SEARCH("electric",$B319))+ISNUMBER(SEARCH("kuryente",$B319))+ISNUMBER(SEARCH("water",$B319))+ISNUMBER(SEARCH("tubig",$B319))+ISNUMBER(SEARCH("internet",$B319))+ISNUMBER(SEARCH("pldt",$B319))+ISNUMBER(SEARCH("meralco",$B319))+ISNUMBER(SEARCH("supplies",$B319))+ISNUMBER(SEARCH("office",$B319))+ISNUMBER(SEARCH("professional",$B319))+ISNUMBER(SEARCH("accountant",$B319))+ISNUMBER(SEARCH("lawyer",$B319))+ISNUMBER(SEARCH("broker",$B319))+ISNUMBER(SEARCH("bank",$B319))+ISNUMBER(SEARCH("charge",$B319))+ISNUMBER(SEARCH("permit",$B319))+ISNUMBER(SEARCH("bir",$B319))+ISNUMBER(SEARCH("ltfrb",$B319))+ISNUMBER(SEARCH("misc",$B319))+ISNUMBER(SEARCH("fee",$B319))&gt;0,"Overhead","Overhead")))))))</f>
        <v/>
      </c>
      <c r="J319">
        <f>IF($A319="","",DATE(YEAR($A319),MONTH($A319),1))</f>
        <v/>
      </c>
      <c r="K319">
        <f>IF($B319="","",IF(COUNTIF(Setup!$A$99:$A$128,$B319)&gt;0,0,1))</f>
        <v/>
      </c>
      <c r="L319">
        <f>IF($B319="","",IF(ISNUMBER(SEARCH("advance",$B319)),"ADV",IF(OR(ISNUMBER(SEARCH("payout",$B319)),ISNUMBER(SEARCH("pay out",$B319)),ISNUMBER(SEARCH("release",$B319))),"PAY","")))</f>
        <v/>
      </c>
      <c r="M319">
        <f>IF($B319="","",IF(ISNUMBER(SEARCH("bulk",$B319)),0,IF(ISNUMBER(SEARCH("fuel",$B319))+ISNUMBER(SEARCH("diesel",$B319))+ISNUMBER(SEARCH("krudo",$B319))+ISNUMBER(SEARCH("gasolina",$B319))&gt;0,1,0)))</f>
        <v/>
      </c>
      <c r="N319">
        <f>IF($B319="","",IF(ISNUMBER(SEARCH("fuel",$B319))+ISNUMBER(SEARCH("diesel",$B319))+ISNUMBER(SEARCH("krudo",$B319))+ISNUMBER(SEARCH("gasolina",$B319))&gt;0,1,0))</f>
        <v/>
      </c>
    </row>
    <row r="320">
      <c r="A320" s="94" t="n"/>
      <c r="B320" s="96" t="n"/>
      <c r="C320" s="96" t="n"/>
      <c r="D320" s="95" t="n"/>
      <c r="E320" s="96" t="n"/>
      <c r="F320" s="99" t="n"/>
      <c r="G320" s="95" t="n"/>
      <c r="H320" s="95" t="n"/>
      <c r="I320" s="101">
        <f>IF($B320="","",IF(COUNTIF(Setup!$A$99:$A$128,$B320)&gt;0,IF(INDEX(Setup!$B$99:$B$128,MATCH($B320,Setup!$A$99:$A$128,0))="","Overhead",INDEX(Setup!$B$99:$B$128,MATCH($B320,Setup!$A$99:$A$128,0))),IF(ISNUMBER(SEARCH("advance",$B320))+ISNUMBER(SEARCH("payout",$B320))+ISNUMBER(SEARCH("pay out",$B320))+ISNUMBER(SEARCH("reimburs",$B320))&gt;0,"Transfer",IF(ISNUMBER(SEARCH("loan",$B320))+ISNUMBER(SEARCH("amort",$B320))+ISNUMBER(SEARCH("installment",$B320))+ISNUMBER(SEARCH("instalment",$B320))&gt;0,"Financing",IF(ISNUMBER(SEARCH("draw",$B320))+ISNUMBER(SEARCH("owner",$B320))+ISNUMBER(SEARCH("asset",$B320))+ISNUMBER(SEARCH("capital",$B320))&gt;0,"Other",IF(ISNUMBER(SEARCH("fuel",$B320))+ISNUMBER(SEARCH("diesel",$B320))+ISNUMBER(SEARCH("krudo",$B320))+ISNUMBER(SEARCH("gasolina",$B320))+ISNUMBER(SEARCH("toll",$B320))+ISNUMBER(SEARCH("parking",$B320))+ISNUMBER(SEARCH("repair",$B320))+ISNUMBER(SEARCH("maintenance",$B320))+ISNUMBER(SEARCH("tire",$B320))+ISNUMBER(SEARCH("tyre",$B320))+ISNUMBER(SEARCH("battery",$B320))+ISNUMBER(SEARCH("oil",$B320))+ISNUMBER(SEARCH("filter",$B320))+ISNUMBER(SEARCH("spare",$B320))+ISNUMBER(SEARCH("insurance",$B320))+ISNUMBER(SEARCH("lto",$B320))+ISNUMBER(SEARCH("registration",$B320))+ISNUMBER(SEARCH("emission",$B320))+ISNUMBER(SEARCH("wash",$B320))+ISNUMBER(SEARCH("weigh",$B320))+ISNUMBER(SEARCH("tarp",$B320))&gt;0,"Vehicle",IF(ISNUMBER(SEARCH("rent",$B320))+ISNUMBER(SEARCH("upa",$B320))+ISNUMBER(SEARCH("salary",$B320))+ISNUMBER(SEARCH("sweldo",$B320))+ISNUMBER(SEARCH("wage",$B320))+ISNUMBER(SEARCH("electric",$B320))+ISNUMBER(SEARCH("kuryente",$B320))+ISNUMBER(SEARCH("water",$B320))+ISNUMBER(SEARCH("tubig",$B320))+ISNUMBER(SEARCH("internet",$B320))+ISNUMBER(SEARCH("pldt",$B320))+ISNUMBER(SEARCH("meralco",$B320))+ISNUMBER(SEARCH("supplies",$B320))+ISNUMBER(SEARCH("office",$B320))+ISNUMBER(SEARCH("professional",$B320))+ISNUMBER(SEARCH("accountant",$B320))+ISNUMBER(SEARCH("lawyer",$B320))+ISNUMBER(SEARCH("broker",$B320))+ISNUMBER(SEARCH("bank",$B320))+ISNUMBER(SEARCH("charge",$B320))+ISNUMBER(SEARCH("permit",$B320))+ISNUMBER(SEARCH("bir",$B320))+ISNUMBER(SEARCH("ltfrb",$B320))+ISNUMBER(SEARCH("misc",$B320))+ISNUMBER(SEARCH("fee",$B320))&gt;0,"Overhead","Overhead")))))))</f>
        <v/>
      </c>
      <c r="J320">
        <f>IF($A320="","",DATE(YEAR($A320),MONTH($A320),1))</f>
        <v/>
      </c>
      <c r="K320">
        <f>IF($B320="","",IF(COUNTIF(Setup!$A$99:$A$128,$B320)&gt;0,0,1))</f>
        <v/>
      </c>
      <c r="L320">
        <f>IF($B320="","",IF(ISNUMBER(SEARCH("advance",$B320)),"ADV",IF(OR(ISNUMBER(SEARCH("payout",$B320)),ISNUMBER(SEARCH("pay out",$B320)),ISNUMBER(SEARCH("release",$B320))),"PAY","")))</f>
        <v/>
      </c>
      <c r="M320">
        <f>IF($B320="","",IF(ISNUMBER(SEARCH("bulk",$B320)),0,IF(ISNUMBER(SEARCH("fuel",$B320))+ISNUMBER(SEARCH("diesel",$B320))+ISNUMBER(SEARCH("krudo",$B320))+ISNUMBER(SEARCH("gasolina",$B320))&gt;0,1,0)))</f>
        <v/>
      </c>
      <c r="N320">
        <f>IF($B320="","",IF(ISNUMBER(SEARCH("fuel",$B320))+ISNUMBER(SEARCH("diesel",$B320))+ISNUMBER(SEARCH("krudo",$B320))+ISNUMBER(SEARCH("gasolina",$B320))&gt;0,1,0))</f>
        <v/>
      </c>
    </row>
    <row r="321">
      <c r="A321" s="86" t="n"/>
      <c r="B321" s="88" t="n"/>
      <c r="C321" s="88" t="n"/>
      <c r="D321" s="87" t="n"/>
      <c r="E321" s="88" t="n"/>
      <c r="F321" s="92" t="n"/>
      <c r="G321" s="87" t="n"/>
      <c r="H321" s="87" t="n"/>
      <c r="I321" s="101">
        <f>IF($B321="","",IF(COUNTIF(Setup!$A$99:$A$128,$B321)&gt;0,IF(INDEX(Setup!$B$99:$B$128,MATCH($B321,Setup!$A$99:$A$128,0))="","Overhead",INDEX(Setup!$B$99:$B$128,MATCH($B321,Setup!$A$99:$A$128,0))),IF(ISNUMBER(SEARCH("advance",$B321))+ISNUMBER(SEARCH("payout",$B321))+ISNUMBER(SEARCH("pay out",$B321))+ISNUMBER(SEARCH("reimburs",$B321))&gt;0,"Transfer",IF(ISNUMBER(SEARCH("loan",$B321))+ISNUMBER(SEARCH("amort",$B321))+ISNUMBER(SEARCH("installment",$B321))+ISNUMBER(SEARCH("instalment",$B321))&gt;0,"Financing",IF(ISNUMBER(SEARCH("draw",$B321))+ISNUMBER(SEARCH("owner",$B321))+ISNUMBER(SEARCH("asset",$B321))+ISNUMBER(SEARCH("capital",$B321))&gt;0,"Other",IF(ISNUMBER(SEARCH("fuel",$B321))+ISNUMBER(SEARCH("diesel",$B321))+ISNUMBER(SEARCH("krudo",$B321))+ISNUMBER(SEARCH("gasolina",$B321))+ISNUMBER(SEARCH("toll",$B321))+ISNUMBER(SEARCH("parking",$B321))+ISNUMBER(SEARCH("repair",$B321))+ISNUMBER(SEARCH("maintenance",$B321))+ISNUMBER(SEARCH("tire",$B321))+ISNUMBER(SEARCH("tyre",$B321))+ISNUMBER(SEARCH("battery",$B321))+ISNUMBER(SEARCH("oil",$B321))+ISNUMBER(SEARCH("filter",$B321))+ISNUMBER(SEARCH("spare",$B321))+ISNUMBER(SEARCH("insurance",$B321))+ISNUMBER(SEARCH("lto",$B321))+ISNUMBER(SEARCH("registration",$B321))+ISNUMBER(SEARCH("emission",$B321))+ISNUMBER(SEARCH("wash",$B321))+ISNUMBER(SEARCH("weigh",$B321))+ISNUMBER(SEARCH("tarp",$B321))&gt;0,"Vehicle",IF(ISNUMBER(SEARCH("rent",$B321))+ISNUMBER(SEARCH("upa",$B321))+ISNUMBER(SEARCH("salary",$B321))+ISNUMBER(SEARCH("sweldo",$B321))+ISNUMBER(SEARCH("wage",$B321))+ISNUMBER(SEARCH("electric",$B321))+ISNUMBER(SEARCH("kuryente",$B321))+ISNUMBER(SEARCH("water",$B321))+ISNUMBER(SEARCH("tubig",$B321))+ISNUMBER(SEARCH("internet",$B321))+ISNUMBER(SEARCH("pldt",$B321))+ISNUMBER(SEARCH("meralco",$B321))+ISNUMBER(SEARCH("supplies",$B321))+ISNUMBER(SEARCH("office",$B321))+ISNUMBER(SEARCH("professional",$B321))+ISNUMBER(SEARCH("accountant",$B321))+ISNUMBER(SEARCH("lawyer",$B321))+ISNUMBER(SEARCH("broker",$B321))+ISNUMBER(SEARCH("bank",$B321))+ISNUMBER(SEARCH("charge",$B321))+ISNUMBER(SEARCH("permit",$B321))+ISNUMBER(SEARCH("bir",$B321))+ISNUMBER(SEARCH("ltfrb",$B321))+ISNUMBER(SEARCH("misc",$B321))+ISNUMBER(SEARCH("fee",$B321))&gt;0,"Overhead","Overhead")))))))</f>
        <v/>
      </c>
      <c r="J321">
        <f>IF($A321="","",DATE(YEAR($A321),MONTH($A321),1))</f>
        <v/>
      </c>
      <c r="K321">
        <f>IF($B321="","",IF(COUNTIF(Setup!$A$99:$A$128,$B321)&gt;0,0,1))</f>
        <v/>
      </c>
      <c r="L321">
        <f>IF($B321="","",IF(ISNUMBER(SEARCH("advance",$B321)),"ADV",IF(OR(ISNUMBER(SEARCH("payout",$B321)),ISNUMBER(SEARCH("pay out",$B321)),ISNUMBER(SEARCH("release",$B321))),"PAY","")))</f>
        <v/>
      </c>
      <c r="M321">
        <f>IF($B321="","",IF(ISNUMBER(SEARCH("bulk",$B321)),0,IF(ISNUMBER(SEARCH("fuel",$B321))+ISNUMBER(SEARCH("diesel",$B321))+ISNUMBER(SEARCH("krudo",$B321))+ISNUMBER(SEARCH("gasolina",$B321))&gt;0,1,0)))</f>
        <v/>
      </c>
      <c r="N321">
        <f>IF($B321="","",IF(ISNUMBER(SEARCH("fuel",$B321))+ISNUMBER(SEARCH("diesel",$B321))+ISNUMBER(SEARCH("krudo",$B321))+ISNUMBER(SEARCH("gasolina",$B321))&gt;0,1,0))</f>
        <v/>
      </c>
    </row>
    <row r="322">
      <c r="A322" s="94" t="n"/>
      <c r="B322" s="96" t="n"/>
      <c r="C322" s="96" t="n"/>
      <c r="D322" s="95" t="n"/>
      <c r="E322" s="96" t="n"/>
      <c r="F322" s="99" t="n"/>
      <c r="G322" s="95" t="n"/>
      <c r="H322" s="95" t="n"/>
      <c r="I322" s="101">
        <f>IF($B322="","",IF(COUNTIF(Setup!$A$99:$A$128,$B322)&gt;0,IF(INDEX(Setup!$B$99:$B$128,MATCH($B322,Setup!$A$99:$A$128,0))="","Overhead",INDEX(Setup!$B$99:$B$128,MATCH($B322,Setup!$A$99:$A$128,0))),IF(ISNUMBER(SEARCH("advance",$B322))+ISNUMBER(SEARCH("payout",$B322))+ISNUMBER(SEARCH("pay out",$B322))+ISNUMBER(SEARCH("reimburs",$B322))&gt;0,"Transfer",IF(ISNUMBER(SEARCH("loan",$B322))+ISNUMBER(SEARCH("amort",$B322))+ISNUMBER(SEARCH("installment",$B322))+ISNUMBER(SEARCH("instalment",$B322))&gt;0,"Financing",IF(ISNUMBER(SEARCH("draw",$B322))+ISNUMBER(SEARCH("owner",$B322))+ISNUMBER(SEARCH("asset",$B322))+ISNUMBER(SEARCH("capital",$B322))&gt;0,"Other",IF(ISNUMBER(SEARCH("fuel",$B322))+ISNUMBER(SEARCH("diesel",$B322))+ISNUMBER(SEARCH("krudo",$B322))+ISNUMBER(SEARCH("gasolina",$B322))+ISNUMBER(SEARCH("toll",$B322))+ISNUMBER(SEARCH("parking",$B322))+ISNUMBER(SEARCH("repair",$B322))+ISNUMBER(SEARCH("maintenance",$B322))+ISNUMBER(SEARCH("tire",$B322))+ISNUMBER(SEARCH("tyre",$B322))+ISNUMBER(SEARCH("battery",$B322))+ISNUMBER(SEARCH("oil",$B322))+ISNUMBER(SEARCH("filter",$B322))+ISNUMBER(SEARCH("spare",$B322))+ISNUMBER(SEARCH("insurance",$B322))+ISNUMBER(SEARCH("lto",$B322))+ISNUMBER(SEARCH("registration",$B322))+ISNUMBER(SEARCH("emission",$B322))+ISNUMBER(SEARCH("wash",$B322))+ISNUMBER(SEARCH("weigh",$B322))+ISNUMBER(SEARCH("tarp",$B322))&gt;0,"Vehicle",IF(ISNUMBER(SEARCH("rent",$B322))+ISNUMBER(SEARCH("upa",$B322))+ISNUMBER(SEARCH("salary",$B322))+ISNUMBER(SEARCH("sweldo",$B322))+ISNUMBER(SEARCH("wage",$B322))+ISNUMBER(SEARCH("electric",$B322))+ISNUMBER(SEARCH("kuryente",$B322))+ISNUMBER(SEARCH("water",$B322))+ISNUMBER(SEARCH("tubig",$B322))+ISNUMBER(SEARCH("internet",$B322))+ISNUMBER(SEARCH("pldt",$B322))+ISNUMBER(SEARCH("meralco",$B322))+ISNUMBER(SEARCH("supplies",$B322))+ISNUMBER(SEARCH("office",$B322))+ISNUMBER(SEARCH("professional",$B322))+ISNUMBER(SEARCH("accountant",$B322))+ISNUMBER(SEARCH("lawyer",$B322))+ISNUMBER(SEARCH("broker",$B322))+ISNUMBER(SEARCH("bank",$B322))+ISNUMBER(SEARCH("charge",$B322))+ISNUMBER(SEARCH("permit",$B322))+ISNUMBER(SEARCH("bir",$B322))+ISNUMBER(SEARCH("ltfrb",$B322))+ISNUMBER(SEARCH("misc",$B322))+ISNUMBER(SEARCH("fee",$B322))&gt;0,"Overhead","Overhead")))))))</f>
        <v/>
      </c>
      <c r="J322">
        <f>IF($A322="","",DATE(YEAR($A322),MONTH($A322),1))</f>
        <v/>
      </c>
      <c r="K322">
        <f>IF($B322="","",IF(COUNTIF(Setup!$A$99:$A$128,$B322)&gt;0,0,1))</f>
        <v/>
      </c>
      <c r="L322">
        <f>IF($B322="","",IF(ISNUMBER(SEARCH("advance",$B322)),"ADV",IF(OR(ISNUMBER(SEARCH("payout",$B322)),ISNUMBER(SEARCH("pay out",$B322)),ISNUMBER(SEARCH("release",$B322))),"PAY","")))</f>
        <v/>
      </c>
      <c r="M322">
        <f>IF($B322="","",IF(ISNUMBER(SEARCH("bulk",$B322)),0,IF(ISNUMBER(SEARCH("fuel",$B322))+ISNUMBER(SEARCH("diesel",$B322))+ISNUMBER(SEARCH("krudo",$B322))+ISNUMBER(SEARCH("gasolina",$B322))&gt;0,1,0)))</f>
        <v/>
      </c>
      <c r="N322">
        <f>IF($B322="","",IF(ISNUMBER(SEARCH("fuel",$B322))+ISNUMBER(SEARCH("diesel",$B322))+ISNUMBER(SEARCH("krudo",$B322))+ISNUMBER(SEARCH("gasolina",$B322))&gt;0,1,0))</f>
        <v/>
      </c>
    </row>
    <row r="323">
      <c r="A323" s="86" t="n"/>
      <c r="B323" s="88" t="n"/>
      <c r="C323" s="88" t="n"/>
      <c r="D323" s="87" t="n"/>
      <c r="E323" s="88" t="n"/>
      <c r="F323" s="92" t="n"/>
      <c r="G323" s="87" t="n"/>
      <c r="H323" s="87" t="n"/>
      <c r="I323" s="101">
        <f>IF($B323="","",IF(COUNTIF(Setup!$A$99:$A$128,$B323)&gt;0,IF(INDEX(Setup!$B$99:$B$128,MATCH($B323,Setup!$A$99:$A$128,0))="","Overhead",INDEX(Setup!$B$99:$B$128,MATCH($B323,Setup!$A$99:$A$128,0))),IF(ISNUMBER(SEARCH("advance",$B323))+ISNUMBER(SEARCH("payout",$B323))+ISNUMBER(SEARCH("pay out",$B323))+ISNUMBER(SEARCH("reimburs",$B323))&gt;0,"Transfer",IF(ISNUMBER(SEARCH("loan",$B323))+ISNUMBER(SEARCH("amort",$B323))+ISNUMBER(SEARCH("installment",$B323))+ISNUMBER(SEARCH("instalment",$B323))&gt;0,"Financing",IF(ISNUMBER(SEARCH("draw",$B323))+ISNUMBER(SEARCH("owner",$B323))+ISNUMBER(SEARCH("asset",$B323))+ISNUMBER(SEARCH("capital",$B323))&gt;0,"Other",IF(ISNUMBER(SEARCH("fuel",$B323))+ISNUMBER(SEARCH("diesel",$B323))+ISNUMBER(SEARCH("krudo",$B323))+ISNUMBER(SEARCH("gasolina",$B323))+ISNUMBER(SEARCH("toll",$B323))+ISNUMBER(SEARCH("parking",$B323))+ISNUMBER(SEARCH("repair",$B323))+ISNUMBER(SEARCH("maintenance",$B323))+ISNUMBER(SEARCH("tire",$B323))+ISNUMBER(SEARCH("tyre",$B323))+ISNUMBER(SEARCH("battery",$B323))+ISNUMBER(SEARCH("oil",$B323))+ISNUMBER(SEARCH("filter",$B323))+ISNUMBER(SEARCH("spare",$B323))+ISNUMBER(SEARCH("insurance",$B323))+ISNUMBER(SEARCH("lto",$B323))+ISNUMBER(SEARCH("registration",$B323))+ISNUMBER(SEARCH("emission",$B323))+ISNUMBER(SEARCH("wash",$B323))+ISNUMBER(SEARCH("weigh",$B323))+ISNUMBER(SEARCH("tarp",$B323))&gt;0,"Vehicle",IF(ISNUMBER(SEARCH("rent",$B323))+ISNUMBER(SEARCH("upa",$B323))+ISNUMBER(SEARCH("salary",$B323))+ISNUMBER(SEARCH("sweldo",$B323))+ISNUMBER(SEARCH("wage",$B323))+ISNUMBER(SEARCH("electric",$B323))+ISNUMBER(SEARCH("kuryente",$B323))+ISNUMBER(SEARCH("water",$B323))+ISNUMBER(SEARCH("tubig",$B323))+ISNUMBER(SEARCH("internet",$B323))+ISNUMBER(SEARCH("pldt",$B323))+ISNUMBER(SEARCH("meralco",$B323))+ISNUMBER(SEARCH("supplies",$B323))+ISNUMBER(SEARCH("office",$B323))+ISNUMBER(SEARCH("professional",$B323))+ISNUMBER(SEARCH("accountant",$B323))+ISNUMBER(SEARCH("lawyer",$B323))+ISNUMBER(SEARCH("broker",$B323))+ISNUMBER(SEARCH("bank",$B323))+ISNUMBER(SEARCH("charge",$B323))+ISNUMBER(SEARCH("permit",$B323))+ISNUMBER(SEARCH("bir",$B323))+ISNUMBER(SEARCH("ltfrb",$B323))+ISNUMBER(SEARCH("misc",$B323))+ISNUMBER(SEARCH("fee",$B323))&gt;0,"Overhead","Overhead")))))))</f>
        <v/>
      </c>
      <c r="J323">
        <f>IF($A323="","",DATE(YEAR($A323),MONTH($A323),1))</f>
        <v/>
      </c>
      <c r="K323">
        <f>IF($B323="","",IF(COUNTIF(Setup!$A$99:$A$128,$B323)&gt;0,0,1))</f>
        <v/>
      </c>
      <c r="L323">
        <f>IF($B323="","",IF(ISNUMBER(SEARCH("advance",$B323)),"ADV",IF(OR(ISNUMBER(SEARCH("payout",$B323)),ISNUMBER(SEARCH("pay out",$B323)),ISNUMBER(SEARCH("release",$B323))),"PAY","")))</f>
        <v/>
      </c>
      <c r="M323">
        <f>IF($B323="","",IF(ISNUMBER(SEARCH("bulk",$B323)),0,IF(ISNUMBER(SEARCH("fuel",$B323))+ISNUMBER(SEARCH("diesel",$B323))+ISNUMBER(SEARCH("krudo",$B323))+ISNUMBER(SEARCH("gasolina",$B323))&gt;0,1,0)))</f>
        <v/>
      </c>
      <c r="N323">
        <f>IF($B323="","",IF(ISNUMBER(SEARCH("fuel",$B323))+ISNUMBER(SEARCH("diesel",$B323))+ISNUMBER(SEARCH("krudo",$B323))+ISNUMBER(SEARCH("gasolina",$B323))&gt;0,1,0))</f>
        <v/>
      </c>
    </row>
    <row r="324">
      <c r="A324" s="94" t="n"/>
      <c r="B324" s="96" t="n"/>
      <c r="C324" s="96" t="n"/>
      <c r="D324" s="95" t="n"/>
      <c r="E324" s="96" t="n"/>
      <c r="F324" s="99" t="n"/>
      <c r="G324" s="95" t="n"/>
      <c r="H324" s="95" t="n"/>
      <c r="I324" s="101">
        <f>IF($B324="","",IF(COUNTIF(Setup!$A$99:$A$128,$B324)&gt;0,IF(INDEX(Setup!$B$99:$B$128,MATCH($B324,Setup!$A$99:$A$128,0))="","Overhead",INDEX(Setup!$B$99:$B$128,MATCH($B324,Setup!$A$99:$A$128,0))),IF(ISNUMBER(SEARCH("advance",$B324))+ISNUMBER(SEARCH("payout",$B324))+ISNUMBER(SEARCH("pay out",$B324))+ISNUMBER(SEARCH("reimburs",$B324))&gt;0,"Transfer",IF(ISNUMBER(SEARCH("loan",$B324))+ISNUMBER(SEARCH("amort",$B324))+ISNUMBER(SEARCH("installment",$B324))+ISNUMBER(SEARCH("instalment",$B324))&gt;0,"Financing",IF(ISNUMBER(SEARCH("draw",$B324))+ISNUMBER(SEARCH("owner",$B324))+ISNUMBER(SEARCH("asset",$B324))+ISNUMBER(SEARCH("capital",$B324))&gt;0,"Other",IF(ISNUMBER(SEARCH("fuel",$B324))+ISNUMBER(SEARCH("diesel",$B324))+ISNUMBER(SEARCH("krudo",$B324))+ISNUMBER(SEARCH("gasolina",$B324))+ISNUMBER(SEARCH("toll",$B324))+ISNUMBER(SEARCH("parking",$B324))+ISNUMBER(SEARCH("repair",$B324))+ISNUMBER(SEARCH("maintenance",$B324))+ISNUMBER(SEARCH("tire",$B324))+ISNUMBER(SEARCH("tyre",$B324))+ISNUMBER(SEARCH("battery",$B324))+ISNUMBER(SEARCH("oil",$B324))+ISNUMBER(SEARCH("filter",$B324))+ISNUMBER(SEARCH("spare",$B324))+ISNUMBER(SEARCH("insurance",$B324))+ISNUMBER(SEARCH("lto",$B324))+ISNUMBER(SEARCH("registration",$B324))+ISNUMBER(SEARCH("emission",$B324))+ISNUMBER(SEARCH("wash",$B324))+ISNUMBER(SEARCH("weigh",$B324))+ISNUMBER(SEARCH("tarp",$B324))&gt;0,"Vehicle",IF(ISNUMBER(SEARCH("rent",$B324))+ISNUMBER(SEARCH("upa",$B324))+ISNUMBER(SEARCH("salary",$B324))+ISNUMBER(SEARCH("sweldo",$B324))+ISNUMBER(SEARCH("wage",$B324))+ISNUMBER(SEARCH("electric",$B324))+ISNUMBER(SEARCH("kuryente",$B324))+ISNUMBER(SEARCH("water",$B324))+ISNUMBER(SEARCH("tubig",$B324))+ISNUMBER(SEARCH("internet",$B324))+ISNUMBER(SEARCH("pldt",$B324))+ISNUMBER(SEARCH("meralco",$B324))+ISNUMBER(SEARCH("supplies",$B324))+ISNUMBER(SEARCH("office",$B324))+ISNUMBER(SEARCH("professional",$B324))+ISNUMBER(SEARCH("accountant",$B324))+ISNUMBER(SEARCH("lawyer",$B324))+ISNUMBER(SEARCH("broker",$B324))+ISNUMBER(SEARCH("bank",$B324))+ISNUMBER(SEARCH("charge",$B324))+ISNUMBER(SEARCH("permit",$B324))+ISNUMBER(SEARCH("bir",$B324))+ISNUMBER(SEARCH("ltfrb",$B324))+ISNUMBER(SEARCH("misc",$B324))+ISNUMBER(SEARCH("fee",$B324))&gt;0,"Overhead","Overhead")))))))</f>
        <v/>
      </c>
      <c r="J324">
        <f>IF($A324="","",DATE(YEAR($A324),MONTH($A324),1))</f>
        <v/>
      </c>
      <c r="K324">
        <f>IF($B324="","",IF(COUNTIF(Setup!$A$99:$A$128,$B324)&gt;0,0,1))</f>
        <v/>
      </c>
      <c r="L324">
        <f>IF($B324="","",IF(ISNUMBER(SEARCH("advance",$B324)),"ADV",IF(OR(ISNUMBER(SEARCH("payout",$B324)),ISNUMBER(SEARCH("pay out",$B324)),ISNUMBER(SEARCH("release",$B324))),"PAY","")))</f>
        <v/>
      </c>
      <c r="M324">
        <f>IF($B324="","",IF(ISNUMBER(SEARCH("bulk",$B324)),0,IF(ISNUMBER(SEARCH("fuel",$B324))+ISNUMBER(SEARCH("diesel",$B324))+ISNUMBER(SEARCH("krudo",$B324))+ISNUMBER(SEARCH("gasolina",$B324))&gt;0,1,0)))</f>
        <v/>
      </c>
      <c r="N324">
        <f>IF($B324="","",IF(ISNUMBER(SEARCH("fuel",$B324))+ISNUMBER(SEARCH("diesel",$B324))+ISNUMBER(SEARCH("krudo",$B324))+ISNUMBER(SEARCH("gasolina",$B324))&gt;0,1,0))</f>
        <v/>
      </c>
    </row>
    <row r="325">
      <c r="A325" s="86" t="n"/>
      <c r="B325" s="88" t="n"/>
      <c r="C325" s="88" t="n"/>
      <c r="D325" s="87" t="n"/>
      <c r="E325" s="88" t="n"/>
      <c r="F325" s="92" t="n"/>
      <c r="G325" s="87" t="n"/>
      <c r="H325" s="87" t="n"/>
      <c r="I325" s="101">
        <f>IF($B325="","",IF(COUNTIF(Setup!$A$99:$A$128,$B325)&gt;0,IF(INDEX(Setup!$B$99:$B$128,MATCH($B325,Setup!$A$99:$A$128,0))="","Overhead",INDEX(Setup!$B$99:$B$128,MATCH($B325,Setup!$A$99:$A$128,0))),IF(ISNUMBER(SEARCH("advance",$B325))+ISNUMBER(SEARCH("payout",$B325))+ISNUMBER(SEARCH("pay out",$B325))+ISNUMBER(SEARCH("reimburs",$B325))&gt;0,"Transfer",IF(ISNUMBER(SEARCH("loan",$B325))+ISNUMBER(SEARCH("amort",$B325))+ISNUMBER(SEARCH("installment",$B325))+ISNUMBER(SEARCH("instalment",$B325))&gt;0,"Financing",IF(ISNUMBER(SEARCH("draw",$B325))+ISNUMBER(SEARCH("owner",$B325))+ISNUMBER(SEARCH("asset",$B325))+ISNUMBER(SEARCH("capital",$B325))&gt;0,"Other",IF(ISNUMBER(SEARCH("fuel",$B325))+ISNUMBER(SEARCH("diesel",$B325))+ISNUMBER(SEARCH("krudo",$B325))+ISNUMBER(SEARCH("gasolina",$B325))+ISNUMBER(SEARCH("toll",$B325))+ISNUMBER(SEARCH("parking",$B325))+ISNUMBER(SEARCH("repair",$B325))+ISNUMBER(SEARCH("maintenance",$B325))+ISNUMBER(SEARCH("tire",$B325))+ISNUMBER(SEARCH("tyre",$B325))+ISNUMBER(SEARCH("battery",$B325))+ISNUMBER(SEARCH("oil",$B325))+ISNUMBER(SEARCH("filter",$B325))+ISNUMBER(SEARCH("spare",$B325))+ISNUMBER(SEARCH("insurance",$B325))+ISNUMBER(SEARCH("lto",$B325))+ISNUMBER(SEARCH("registration",$B325))+ISNUMBER(SEARCH("emission",$B325))+ISNUMBER(SEARCH("wash",$B325))+ISNUMBER(SEARCH("weigh",$B325))+ISNUMBER(SEARCH("tarp",$B325))&gt;0,"Vehicle",IF(ISNUMBER(SEARCH("rent",$B325))+ISNUMBER(SEARCH("upa",$B325))+ISNUMBER(SEARCH("salary",$B325))+ISNUMBER(SEARCH("sweldo",$B325))+ISNUMBER(SEARCH("wage",$B325))+ISNUMBER(SEARCH("electric",$B325))+ISNUMBER(SEARCH("kuryente",$B325))+ISNUMBER(SEARCH("water",$B325))+ISNUMBER(SEARCH("tubig",$B325))+ISNUMBER(SEARCH("internet",$B325))+ISNUMBER(SEARCH("pldt",$B325))+ISNUMBER(SEARCH("meralco",$B325))+ISNUMBER(SEARCH("supplies",$B325))+ISNUMBER(SEARCH("office",$B325))+ISNUMBER(SEARCH("professional",$B325))+ISNUMBER(SEARCH("accountant",$B325))+ISNUMBER(SEARCH("lawyer",$B325))+ISNUMBER(SEARCH("broker",$B325))+ISNUMBER(SEARCH("bank",$B325))+ISNUMBER(SEARCH("charge",$B325))+ISNUMBER(SEARCH("permit",$B325))+ISNUMBER(SEARCH("bir",$B325))+ISNUMBER(SEARCH("ltfrb",$B325))+ISNUMBER(SEARCH("misc",$B325))+ISNUMBER(SEARCH("fee",$B325))&gt;0,"Overhead","Overhead")))))))</f>
        <v/>
      </c>
      <c r="J325">
        <f>IF($A325="","",DATE(YEAR($A325),MONTH($A325),1))</f>
        <v/>
      </c>
      <c r="K325">
        <f>IF($B325="","",IF(COUNTIF(Setup!$A$99:$A$128,$B325)&gt;0,0,1))</f>
        <v/>
      </c>
      <c r="L325">
        <f>IF($B325="","",IF(ISNUMBER(SEARCH("advance",$B325)),"ADV",IF(OR(ISNUMBER(SEARCH("payout",$B325)),ISNUMBER(SEARCH("pay out",$B325)),ISNUMBER(SEARCH("release",$B325))),"PAY","")))</f>
        <v/>
      </c>
      <c r="M325">
        <f>IF($B325="","",IF(ISNUMBER(SEARCH("bulk",$B325)),0,IF(ISNUMBER(SEARCH("fuel",$B325))+ISNUMBER(SEARCH("diesel",$B325))+ISNUMBER(SEARCH("krudo",$B325))+ISNUMBER(SEARCH("gasolina",$B325))&gt;0,1,0)))</f>
        <v/>
      </c>
      <c r="N325">
        <f>IF($B325="","",IF(ISNUMBER(SEARCH("fuel",$B325))+ISNUMBER(SEARCH("diesel",$B325))+ISNUMBER(SEARCH("krudo",$B325))+ISNUMBER(SEARCH("gasolina",$B325))&gt;0,1,0))</f>
        <v/>
      </c>
    </row>
    <row r="326">
      <c r="A326" s="94" t="n"/>
      <c r="B326" s="96" t="n"/>
      <c r="C326" s="96" t="n"/>
      <c r="D326" s="95" t="n"/>
      <c r="E326" s="96" t="n"/>
      <c r="F326" s="99" t="n"/>
      <c r="G326" s="95" t="n"/>
      <c r="H326" s="95" t="n"/>
      <c r="I326" s="101">
        <f>IF($B326="","",IF(COUNTIF(Setup!$A$99:$A$128,$B326)&gt;0,IF(INDEX(Setup!$B$99:$B$128,MATCH($B326,Setup!$A$99:$A$128,0))="","Overhead",INDEX(Setup!$B$99:$B$128,MATCH($B326,Setup!$A$99:$A$128,0))),IF(ISNUMBER(SEARCH("advance",$B326))+ISNUMBER(SEARCH("payout",$B326))+ISNUMBER(SEARCH("pay out",$B326))+ISNUMBER(SEARCH("reimburs",$B326))&gt;0,"Transfer",IF(ISNUMBER(SEARCH("loan",$B326))+ISNUMBER(SEARCH("amort",$B326))+ISNUMBER(SEARCH("installment",$B326))+ISNUMBER(SEARCH("instalment",$B326))&gt;0,"Financing",IF(ISNUMBER(SEARCH("draw",$B326))+ISNUMBER(SEARCH("owner",$B326))+ISNUMBER(SEARCH("asset",$B326))+ISNUMBER(SEARCH("capital",$B326))&gt;0,"Other",IF(ISNUMBER(SEARCH("fuel",$B326))+ISNUMBER(SEARCH("diesel",$B326))+ISNUMBER(SEARCH("krudo",$B326))+ISNUMBER(SEARCH("gasolina",$B326))+ISNUMBER(SEARCH("toll",$B326))+ISNUMBER(SEARCH("parking",$B326))+ISNUMBER(SEARCH("repair",$B326))+ISNUMBER(SEARCH("maintenance",$B326))+ISNUMBER(SEARCH("tire",$B326))+ISNUMBER(SEARCH("tyre",$B326))+ISNUMBER(SEARCH("battery",$B326))+ISNUMBER(SEARCH("oil",$B326))+ISNUMBER(SEARCH("filter",$B326))+ISNUMBER(SEARCH("spare",$B326))+ISNUMBER(SEARCH("insurance",$B326))+ISNUMBER(SEARCH("lto",$B326))+ISNUMBER(SEARCH("registration",$B326))+ISNUMBER(SEARCH("emission",$B326))+ISNUMBER(SEARCH("wash",$B326))+ISNUMBER(SEARCH("weigh",$B326))+ISNUMBER(SEARCH("tarp",$B326))&gt;0,"Vehicle",IF(ISNUMBER(SEARCH("rent",$B326))+ISNUMBER(SEARCH("upa",$B326))+ISNUMBER(SEARCH("salary",$B326))+ISNUMBER(SEARCH("sweldo",$B326))+ISNUMBER(SEARCH("wage",$B326))+ISNUMBER(SEARCH("electric",$B326))+ISNUMBER(SEARCH("kuryente",$B326))+ISNUMBER(SEARCH("water",$B326))+ISNUMBER(SEARCH("tubig",$B326))+ISNUMBER(SEARCH("internet",$B326))+ISNUMBER(SEARCH("pldt",$B326))+ISNUMBER(SEARCH("meralco",$B326))+ISNUMBER(SEARCH("supplies",$B326))+ISNUMBER(SEARCH("office",$B326))+ISNUMBER(SEARCH("professional",$B326))+ISNUMBER(SEARCH("accountant",$B326))+ISNUMBER(SEARCH("lawyer",$B326))+ISNUMBER(SEARCH("broker",$B326))+ISNUMBER(SEARCH("bank",$B326))+ISNUMBER(SEARCH("charge",$B326))+ISNUMBER(SEARCH("permit",$B326))+ISNUMBER(SEARCH("bir",$B326))+ISNUMBER(SEARCH("ltfrb",$B326))+ISNUMBER(SEARCH("misc",$B326))+ISNUMBER(SEARCH("fee",$B326))&gt;0,"Overhead","Overhead")))))))</f>
        <v/>
      </c>
      <c r="J326">
        <f>IF($A326="","",DATE(YEAR($A326),MONTH($A326),1))</f>
        <v/>
      </c>
      <c r="K326">
        <f>IF($B326="","",IF(COUNTIF(Setup!$A$99:$A$128,$B326)&gt;0,0,1))</f>
        <v/>
      </c>
      <c r="L326">
        <f>IF($B326="","",IF(ISNUMBER(SEARCH("advance",$B326)),"ADV",IF(OR(ISNUMBER(SEARCH("payout",$B326)),ISNUMBER(SEARCH("pay out",$B326)),ISNUMBER(SEARCH("release",$B326))),"PAY","")))</f>
        <v/>
      </c>
      <c r="M326">
        <f>IF($B326="","",IF(ISNUMBER(SEARCH("bulk",$B326)),0,IF(ISNUMBER(SEARCH("fuel",$B326))+ISNUMBER(SEARCH("diesel",$B326))+ISNUMBER(SEARCH("krudo",$B326))+ISNUMBER(SEARCH("gasolina",$B326))&gt;0,1,0)))</f>
        <v/>
      </c>
      <c r="N326">
        <f>IF($B326="","",IF(ISNUMBER(SEARCH("fuel",$B326))+ISNUMBER(SEARCH("diesel",$B326))+ISNUMBER(SEARCH("krudo",$B326))+ISNUMBER(SEARCH("gasolina",$B326))&gt;0,1,0))</f>
        <v/>
      </c>
    </row>
    <row r="327">
      <c r="A327" s="86" t="n"/>
      <c r="B327" s="88" t="n"/>
      <c r="C327" s="88" t="n"/>
      <c r="D327" s="87" t="n"/>
      <c r="E327" s="88" t="n"/>
      <c r="F327" s="92" t="n"/>
      <c r="G327" s="87" t="n"/>
      <c r="H327" s="87" t="n"/>
      <c r="I327" s="101">
        <f>IF($B327="","",IF(COUNTIF(Setup!$A$99:$A$128,$B327)&gt;0,IF(INDEX(Setup!$B$99:$B$128,MATCH($B327,Setup!$A$99:$A$128,0))="","Overhead",INDEX(Setup!$B$99:$B$128,MATCH($B327,Setup!$A$99:$A$128,0))),IF(ISNUMBER(SEARCH("advance",$B327))+ISNUMBER(SEARCH("payout",$B327))+ISNUMBER(SEARCH("pay out",$B327))+ISNUMBER(SEARCH("reimburs",$B327))&gt;0,"Transfer",IF(ISNUMBER(SEARCH("loan",$B327))+ISNUMBER(SEARCH("amort",$B327))+ISNUMBER(SEARCH("installment",$B327))+ISNUMBER(SEARCH("instalment",$B327))&gt;0,"Financing",IF(ISNUMBER(SEARCH("draw",$B327))+ISNUMBER(SEARCH("owner",$B327))+ISNUMBER(SEARCH("asset",$B327))+ISNUMBER(SEARCH("capital",$B327))&gt;0,"Other",IF(ISNUMBER(SEARCH("fuel",$B327))+ISNUMBER(SEARCH("diesel",$B327))+ISNUMBER(SEARCH("krudo",$B327))+ISNUMBER(SEARCH("gasolina",$B327))+ISNUMBER(SEARCH("toll",$B327))+ISNUMBER(SEARCH("parking",$B327))+ISNUMBER(SEARCH("repair",$B327))+ISNUMBER(SEARCH("maintenance",$B327))+ISNUMBER(SEARCH("tire",$B327))+ISNUMBER(SEARCH("tyre",$B327))+ISNUMBER(SEARCH("battery",$B327))+ISNUMBER(SEARCH("oil",$B327))+ISNUMBER(SEARCH("filter",$B327))+ISNUMBER(SEARCH("spare",$B327))+ISNUMBER(SEARCH("insurance",$B327))+ISNUMBER(SEARCH("lto",$B327))+ISNUMBER(SEARCH("registration",$B327))+ISNUMBER(SEARCH("emission",$B327))+ISNUMBER(SEARCH("wash",$B327))+ISNUMBER(SEARCH("weigh",$B327))+ISNUMBER(SEARCH("tarp",$B327))&gt;0,"Vehicle",IF(ISNUMBER(SEARCH("rent",$B327))+ISNUMBER(SEARCH("upa",$B327))+ISNUMBER(SEARCH("salary",$B327))+ISNUMBER(SEARCH("sweldo",$B327))+ISNUMBER(SEARCH("wage",$B327))+ISNUMBER(SEARCH("electric",$B327))+ISNUMBER(SEARCH("kuryente",$B327))+ISNUMBER(SEARCH("water",$B327))+ISNUMBER(SEARCH("tubig",$B327))+ISNUMBER(SEARCH("internet",$B327))+ISNUMBER(SEARCH("pldt",$B327))+ISNUMBER(SEARCH("meralco",$B327))+ISNUMBER(SEARCH("supplies",$B327))+ISNUMBER(SEARCH("office",$B327))+ISNUMBER(SEARCH("professional",$B327))+ISNUMBER(SEARCH("accountant",$B327))+ISNUMBER(SEARCH("lawyer",$B327))+ISNUMBER(SEARCH("broker",$B327))+ISNUMBER(SEARCH("bank",$B327))+ISNUMBER(SEARCH("charge",$B327))+ISNUMBER(SEARCH("permit",$B327))+ISNUMBER(SEARCH("bir",$B327))+ISNUMBER(SEARCH("ltfrb",$B327))+ISNUMBER(SEARCH("misc",$B327))+ISNUMBER(SEARCH("fee",$B327))&gt;0,"Overhead","Overhead")))))))</f>
        <v/>
      </c>
      <c r="J327">
        <f>IF($A327="","",DATE(YEAR($A327),MONTH($A327),1))</f>
        <v/>
      </c>
      <c r="K327">
        <f>IF($B327="","",IF(COUNTIF(Setup!$A$99:$A$128,$B327)&gt;0,0,1))</f>
        <v/>
      </c>
      <c r="L327">
        <f>IF($B327="","",IF(ISNUMBER(SEARCH("advance",$B327)),"ADV",IF(OR(ISNUMBER(SEARCH("payout",$B327)),ISNUMBER(SEARCH("pay out",$B327)),ISNUMBER(SEARCH("release",$B327))),"PAY","")))</f>
        <v/>
      </c>
      <c r="M327">
        <f>IF($B327="","",IF(ISNUMBER(SEARCH("bulk",$B327)),0,IF(ISNUMBER(SEARCH("fuel",$B327))+ISNUMBER(SEARCH("diesel",$B327))+ISNUMBER(SEARCH("krudo",$B327))+ISNUMBER(SEARCH("gasolina",$B327))&gt;0,1,0)))</f>
        <v/>
      </c>
      <c r="N327">
        <f>IF($B327="","",IF(ISNUMBER(SEARCH("fuel",$B327))+ISNUMBER(SEARCH("diesel",$B327))+ISNUMBER(SEARCH("krudo",$B327))+ISNUMBER(SEARCH("gasolina",$B327))&gt;0,1,0))</f>
        <v/>
      </c>
    </row>
    <row r="328">
      <c r="A328" s="94" t="n"/>
      <c r="B328" s="96" t="n"/>
      <c r="C328" s="96" t="n"/>
      <c r="D328" s="95" t="n"/>
      <c r="E328" s="96" t="n"/>
      <c r="F328" s="99" t="n"/>
      <c r="G328" s="95" t="n"/>
      <c r="H328" s="95" t="n"/>
      <c r="I328" s="101">
        <f>IF($B328="","",IF(COUNTIF(Setup!$A$99:$A$128,$B328)&gt;0,IF(INDEX(Setup!$B$99:$B$128,MATCH($B328,Setup!$A$99:$A$128,0))="","Overhead",INDEX(Setup!$B$99:$B$128,MATCH($B328,Setup!$A$99:$A$128,0))),IF(ISNUMBER(SEARCH("advance",$B328))+ISNUMBER(SEARCH("payout",$B328))+ISNUMBER(SEARCH("pay out",$B328))+ISNUMBER(SEARCH("reimburs",$B328))&gt;0,"Transfer",IF(ISNUMBER(SEARCH("loan",$B328))+ISNUMBER(SEARCH("amort",$B328))+ISNUMBER(SEARCH("installment",$B328))+ISNUMBER(SEARCH("instalment",$B328))&gt;0,"Financing",IF(ISNUMBER(SEARCH("draw",$B328))+ISNUMBER(SEARCH("owner",$B328))+ISNUMBER(SEARCH("asset",$B328))+ISNUMBER(SEARCH("capital",$B328))&gt;0,"Other",IF(ISNUMBER(SEARCH("fuel",$B328))+ISNUMBER(SEARCH("diesel",$B328))+ISNUMBER(SEARCH("krudo",$B328))+ISNUMBER(SEARCH("gasolina",$B328))+ISNUMBER(SEARCH("toll",$B328))+ISNUMBER(SEARCH("parking",$B328))+ISNUMBER(SEARCH("repair",$B328))+ISNUMBER(SEARCH("maintenance",$B328))+ISNUMBER(SEARCH("tire",$B328))+ISNUMBER(SEARCH("tyre",$B328))+ISNUMBER(SEARCH("battery",$B328))+ISNUMBER(SEARCH("oil",$B328))+ISNUMBER(SEARCH("filter",$B328))+ISNUMBER(SEARCH("spare",$B328))+ISNUMBER(SEARCH("insurance",$B328))+ISNUMBER(SEARCH("lto",$B328))+ISNUMBER(SEARCH("registration",$B328))+ISNUMBER(SEARCH("emission",$B328))+ISNUMBER(SEARCH("wash",$B328))+ISNUMBER(SEARCH("weigh",$B328))+ISNUMBER(SEARCH("tarp",$B328))&gt;0,"Vehicle",IF(ISNUMBER(SEARCH("rent",$B328))+ISNUMBER(SEARCH("upa",$B328))+ISNUMBER(SEARCH("salary",$B328))+ISNUMBER(SEARCH("sweldo",$B328))+ISNUMBER(SEARCH("wage",$B328))+ISNUMBER(SEARCH("electric",$B328))+ISNUMBER(SEARCH("kuryente",$B328))+ISNUMBER(SEARCH("water",$B328))+ISNUMBER(SEARCH("tubig",$B328))+ISNUMBER(SEARCH("internet",$B328))+ISNUMBER(SEARCH("pldt",$B328))+ISNUMBER(SEARCH("meralco",$B328))+ISNUMBER(SEARCH("supplies",$B328))+ISNUMBER(SEARCH("office",$B328))+ISNUMBER(SEARCH("professional",$B328))+ISNUMBER(SEARCH("accountant",$B328))+ISNUMBER(SEARCH("lawyer",$B328))+ISNUMBER(SEARCH("broker",$B328))+ISNUMBER(SEARCH("bank",$B328))+ISNUMBER(SEARCH("charge",$B328))+ISNUMBER(SEARCH("permit",$B328))+ISNUMBER(SEARCH("bir",$B328))+ISNUMBER(SEARCH("ltfrb",$B328))+ISNUMBER(SEARCH("misc",$B328))+ISNUMBER(SEARCH("fee",$B328))&gt;0,"Overhead","Overhead")))))))</f>
        <v/>
      </c>
      <c r="J328">
        <f>IF($A328="","",DATE(YEAR($A328),MONTH($A328),1))</f>
        <v/>
      </c>
      <c r="K328">
        <f>IF($B328="","",IF(COUNTIF(Setup!$A$99:$A$128,$B328)&gt;0,0,1))</f>
        <v/>
      </c>
      <c r="L328">
        <f>IF($B328="","",IF(ISNUMBER(SEARCH("advance",$B328)),"ADV",IF(OR(ISNUMBER(SEARCH("payout",$B328)),ISNUMBER(SEARCH("pay out",$B328)),ISNUMBER(SEARCH("release",$B328))),"PAY","")))</f>
        <v/>
      </c>
      <c r="M328">
        <f>IF($B328="","",IF(ISNUMBER(SEARCH("bulk",$B328)),0,IF(ISNUMBER(SEARCH("fuel",$B328))+ISNUMBER(SEARCH("diesel",$B328))+ISNUMBER(SEARCH("krudo",$B328))+ISNUMBER(SEARCH("gasolina",$B328))&gt;0,1,0)))</f>
        <v/>
      </c>
      <c r="N328">
        <f>IF($B328="","",IF(ISNUMBER(SEARCH("fuel",$B328))+ISNUMBER(SEARCH("diesel",$B328))+ISNUMBER(SEARCH("krudo",$B328))+ISNUMBER(SEARCH("gasolina",$B328))&gt;0,1,0))</f>
        <v/>
      </c>
    </row>
    <row r="329">
      <c r="A329" s="86" t="n"/>
      <c r="B329" s="88" t="n"/>
      <c r="C329" s="88" t="n"/>
      <c r="D329" s="87" t="n"/>
      <c r="E329" s="88" t="n"/>
      <c r="F329" s="92" t="n"/>
      <c r="G329" s="87" t="n"/>
      <c r="H329" s="87" t="n"/>
      <c r="I329" s="101">
        <f>IF($B329="","",IF(COUNTIF(Setup!$A$99:$A$128,$B329)&gt;0,IF(INDEX(Setup!$B$99:$B$128,MATCH($B329,Setup!$A$99:$A$128,0))="","Overhead",INDEX(Setup!$B$99:$B$128,MATCH($B329,Setup!$A$99:$A$128,0))),IF(ISNUMBER(SEARCH("advance",$B329))+ISNUMBER(SEARCH("payout",$B329))+ISNUMBER(SEARCH("pay out",$B329))+ISNUMBER(SEARCH("reimburs",$B329))&gt;0,"Transfer",IF(ISNUMBER(SEARCH("loan",$B329))+ISNUMBER(SEARCH("amort",$B329))+ISNUMBER(SEARCH("installment",$B329))+ISNUMBER(SEARCH("instalment",$B329))&gt;0,"Financing",IF(ISNUMBER(SEARCH("draw",$B329))+ISNUMBER(SEARCH("owner",$B329))+ISNUMBER(SEARCH("asset",$B329))+ISNUMBER(SEARCH("capital",$B329))&gt;0,"Other",IF(ISNUMBER(SEARCH("fuel",$B329))+ISNUMBER(SEARCH("diesel",$B329))+ISNUMBER(SEARCH("krudo",$B329))+ISNUMBER(SEARCH("gasolina",$B329))+ISNUMBER(SEARCH("toll",$B329))+ISNUMBER(SEARCH("parking",$B329))+ISNUMBER(SEARCH("repair",$B329))+ISNUMBER(SEARCH("maintenance",$B329))+ISNUMBER(SEARCH("tire",$B329))+ISNUMBER(SEARCH("tyre",$B329))+ISNUMBER(SEARCH("battery",$B329))+ISNUMBER(SEARCH("oil",$B329))+ISNUMBER(SEARCH("filter",$B329))+ISNUMBER(SEARCH("spare",$B329))+ISNUMBER(SEARCH("insurance",$B329))+ISNUMBER(SEARCH("lto",$B329))+ISNUMBER(SEARCH("registration",$B329))+ISNUMBER(SEARCH("emission",$B329))+ISNUMBER(SEARCH("wash",$B329))+ISNUMBER(SEARCH("weigh",$B329))+ISNUMBER(SEARCH("tarp",$B329))&gt;0,"Vehicle",IF(ISNUMBER(SEARCH("rent",$B329))+ISNUMBER(SEARCH("upa",$B329))+ISNUMBER(SEARCH("salary",$B329))+ISNUMBER(SEARCH("sweldo",$B329))+ISNUMBER(SEARCH("wage",$B329))+ISNUMBER(SEARCH("electric",$B329))+ISNUMBER(SEARCH("kuryente",$B329))+ISNUMBER(SEARCH("water",$B329))+ISNUMBER(SEARCH("tubig",$B329))+ISNUMBER(SEARCH("internet",$B329))+ISNUMBER(SEARCH("pldt",$B329))+ISNUMBER(SEARCH("meralco",$B329))+ISNUMBER(SEARCH("supplies",$B329))+ISNUMBER(SEARCH("office",$B329))+ISNUMBER(SEARCH("professional",$B329))+ISNUMBER(SEARCH("accountant",$B329))+ISNUMBER(SEARCH("lawyer",$B329))+ISNUMBER(SEARCH("broker",$B329))+ISNUMBER(SEARCH("bank",$B329))+ISNUMBER(SEARCH("charge",$B329))+ISNUMBER(SEARCH("permit",$B329))+ISNUMBER(SEARCH("bir",$B329))+ISNUMBER(SEARCH("ltfrb",$B329))+ISNUMBER(SEARCH("misc",$B329))+ISNUMBER(SEARCH("fee",$B329))&gt;0,"Overhead","Overhead")))))))</f>
        <v/>
      </c>
      <c r="J329">
        <f>IF($A329="","",DATE(YEAR($A329),MONTH($A329),1))</f>
        <v/>
      </c>
      <c r="K329">
        <f>IF($B329="","",IF(COUNTIF(Setup!$A$99:$A$128,$B329)&gt;0,0,1))</f>
        <v/>
      </c>
      <c r="L329">
        <f>IF($B329="","",IF(ISNUMBER(SEARCH("advance",$B329)),"ADV",IF(OR(ISNUMBER(SEARCH("payout",$B329)),ISNUMBER(SEARCH("pay out",$B329)),ISNUMBER(SEARCH("release",$B329))),"PAY","")))</f>
        <v/>
      </c>
      <c r="M329">
        <f>IF($B329="","",IF(ISNUMBER(SEARCH("bulk",$B329)),0,IF(ISNUMBER(SEARCH("fuel",$B329))+ISNUMBER(SEARCH("diesel",$B329))+ISNUMBER(SEARCH("krudo",$B329))+ISNUMBER(SEARCH("gasolina",$B329))&gt;0,1,0)))</f>
        <v/>
      </c>
      <c r="N329">
        <f>IF($B329="","",IF(ISNUMBER(SEARCH("fuel",$B329))+ISNUMBER(SEARCH("diesel",$B329))+ISNUMBER(SEARCH("krudo",$B329))+ISNUMBER(SEARCH("gasolina",$B329))&gt;0,1,0))</f>
        <v/>
      </c>
    </row>
    <row r="330">
      <c r="A330" s="94" t="n"/>
      <c r="B330" s="96" t="n"/>
      <c r="C330" s="96" t="n"/>
      <c r="D330" s="95" t="n"/>
      <c r="E330" s="96" t="n"/>
      <c r="F330" s="99" t="n"/>
      <c r="G330" s="95" t="n"/>
      <c r="H330" s="95" t="n"/>
      <c r="I330" s="101">
        <f>IF($B330="","",IF(COUNTIF(Setup!$A$99:$A$128,$B330)&gt;0,IF(INDEX(Setup!$B$99:$B$128,MATCH($B330,Setup!$A$99:$A$128,0))="","Overhead",INDEX(Setup!$B$99:$B$128,MATCH($B330,Setup!$A$99:$A$128,0))),IF(ISNUMBER(SEARCH("advance",$B330))+ISNUMBER(SEARCH("payout",$B330))+ISNUMBER(SEARCH("pay out",$B330))+ISNUMBER(SEARCH("reimburs",$B330))&gt;0,"Transfer",IF(ISNUMBER(SEARCH("loan",$B330))+ISNUMBER(SEARCH("amort",$B330))+ISNUMBER(SEARCH("installment",$B330))+ISNUMBER(SEARCH("instalment",$B330))&gt;0,"Financing",IF(ISNUMBER(SEARCH("draw",$B330))+ISNUMBER(SEARCH("owner",$B330))+ISNUMBER(SEARCH("asset",$B330))+ISNUMBER(SEARCH("capital",$B330))&gt;0,"Other",IF(ISNUMBER(SEARCH("fuel",$B330))+ISNUMBER(SEARCH("diesel",$B330))+ISNUMBER(SEARCH("krudo",$B330))+ISNUMBER(SEARCH("gasolina",$B330))+ISNUMBER(SEARCH("toll",$B330))+ISNUMBER(SEARCH("parking",$B330))+ISNUMBER(SEARCH("repair",$B330))+ISNUMBER(SEARCH("maintenance",$B330))+ISNUMBER(SEARCH("tire",$B330))+ISNUMBER(SEARCH("tyre",$B330))+ISNUMBER(SEARCH("battery",$B330))+ISNUMBER(SEARCH("oil",$B330))+ISNUMBER(SEARCH("filter",$B330))+ISNUMBER(SEARCH("spare",$B330))+ISNUMBER(SEARCH("insurance",$B330))+ISNUMBER(SEARCH("lto",$B330))+ISNUMBER(SEARCH("registration",$B330))+ISNUMBER(SEARCH("emission",$B330))+ISNUMBER(SEARCH("wash",$B330))+ISNUMBER(SEARCH("weigh",$B330))+ISNUMBER(SEARCH("tarp",$B330))&gt;0,"Vehicle",IF(ISNUMBER(SEARCH("rent",$B330))+ISNUMBER(SEARCH("upa",$B330))+ISNUMBER(SEARCH("salary",$B330))+ISNUMBER(SEARCH("sweldo",$B330))+ISNUMBER(SEARCH("wage",$B330))+ISNUMBER(SEARCH("electric",$B330))+ISNUMBER(SEARCH("kuryente",$B330))+ISNUMBER(SEARCH("water",$B330))+ISNUMBER(SEARCH("tubig",$B330))+ISNUMBER(SEARCH("internet",$B330))+ISNUMBER(SEARCH("pldt",$B330))+ISNUMBER(SEARCH("meralco",$B330))+ISNUMBER(SEARCH("supplies",$B330))+ISNUMBER(SEARCH("office",$B330))+ISNUMBER(SEARCH("professional",$B330))+ISNUMBER(SEARCH("accountant",$B330))+ISNUMBER(SEARCH("lawyer",$B330))+ISNUMBER(SEARCH("broker",$B330))+ISNUMBER(SEARCH("bank",$B330))+ISNUMBER(SEARCH("charge",$B330))+ISNUMBER(SEARCH("permit",$B330))+ISNUMBER(SEARCH("bir",$B330))+ISNUMBER(SEARCH("ltfrb",$B330))+ISNUMBER(SEARCH("misc",$B330))+ISNUMBER(SEARCH("fee",$B330))&gt;0,"Overhead","Overhead")))))))</f>
        <v/>
      </c>
      <c r="J330">
        <f>IF($A330="","",DATE(YEAR($A330),MONTH($A330),1))</f>
        <v/>
      </c>
      <c r="K330">
        <f>IF($B330="","",IF(COUNTIF(Setup!$A$99:$A$128,$B330)&gt;0,0,1))</f>
        <v/>
      </c>
      <c r="L330">
        <f>IF($B330="","",IF(ISNUMBER(SEARCH("advance",$B330)),"ADV",IF(OR(ISNUMBER(SEARCH("payout",$B330)),ISNUMBER(SEARCH("pay out",$B330)),ISNUMBER(SEARCH("release",$B330))),"PAY","")))</f>
        <v/>
      </c>
      <c r="M330">
        <f>IF($B330="","",IF(ISNUMBER(SEARCH("bulk",$B330)),0,IF(ISNUMBER(SEARCH("fuel",$B330))+ISNUMBER(SEARCH("diesel",$B330))+ISNUMBER(SEARCH("krudo",$B330))+ISNUMBER(SEARCH("gasolina",$B330))&gt;0,1,0)))</f>
        <v/>
      </c>
      <c r="N330">
        <f>IF($B330="","",IF(ISNUMBER(SEARCH("fuel",$B330))+ISNUMBER(SEARCH("diesel",$B330))+ISNUMBER(SEARCH("krudo",$B330))+ISNUMBER(SEARCH("gasolina",$B330))&gt;0,1,0))</f>
        <v/>
      </c>
    </row>
    <row r="331">
      <c r="A331" s="86" t="n"/>
      <c r="B331" s="88" t="n"/>
      <c r="C331" s="88" t="n"/>
      <c r="D331" s="87" t="n"/>
      <c r="E331" s="88" t="n"/>
      <c r="F331" s="92" t="n"/>
      <c r="G331" s="87" t="n"/>
      <c r="H331" s="87" t="n"/>
      <c r="I331" s="101">
        <f>IF($B331="","",IF(COUNTIF(Setup!$A$99:$A$128,$B331)&gt;0,IF(INDEX(Setup!$B$99:$B$128,MATCH($B331,Setup!$A$99:$A$128,0))="","Overhead",INDEX(Setup!$B$99:$B$128,MATCH($B331,Setup!$A$99:$A$128,0))),IF(ISNUMBER(SEARCH("advance",$B331))+ISNUMBER(SEARCH("payout",$B331))+ISNUMBER(SEARCH("pay out",$B331))+ISNUMBER(SEARCH("reimburs",$B331))&gt;0,"Transfer",IF(ISNUMBER(SEARCH("loan",$B331))+ISNUMBER(SEARCH("amort",$B331))+ISNUMBER(SEARCH("installment",$B331))+ISNUMBER(SEARCH("instalment",$B331))&gt;0,"Financing",IF(ISNUMBER(SEARCH("draw",$B331))+ISNUMBER(SEARCH("owner",$B331))+ISNUMBER(SEARCH("asset",$B331))+ISNUMBER(SEARCH("capital",$B331))&gt;0,"Other",IF(ISNUMBER(SEARCH("fuel",$B331))+ISNUMBER(SEARCH("diesel",$B331))+ISNUMBER(SEARCH("krudo",$B331))+ISNUMBER(SEARCH("gasolina",$B331))+ISNUMBER(SEARCH("toll",$B331))+ISNUMBER(SEARCH("parking",$B331))+ISNUMBER(SEARCH("repair",$B331))+ISNUMBER(SEARCH("maintenance",$B331))+ISNUMBER(SEARCH("tire",$B331))+ISNUMBER(SEARCH("tyre",$B331))+ISNUMBER(SEARCH("battery",$B331))+ISNUMBER(SEARCH("oil",$B331))+ISNUMBER(SEARCH("filter",$B331))+ISNUMBER(SEARCH("spare",$B331))+ISNUMBER(SEARCH("insurance",$B331))+ISNUMBER(SEARCH("lto",$B331))+ISNUMBER(SEARCH("registration",$B331))+ISNUMBER(SEARCH("emission",$B331))+ISNUMBER(SEARCH("wash",$B331))+ISNUMBER(SEARCH("weigh",$B331))+ISNUMBER(SEARCH("tarp",$B331))&gt;0,"Vehicle",IF(ISNUMBER(SEARCH("rent",$B331))+ISNUMBER(SEARCH("upa",$B331))+ISNUMBER(SEARCH("salary",$B331))+ISNUMBER(SEARCH("sweldo",$B331))+ISNUMBER(SEARCH("wage",$B331))+ISNUMBER(SEARCH("electric",$B331))+ISNUMBER(SEARCH("kuryente",$B331))+ISNUMBER(SEARCH("water",$B331))+ISNUMBER(SEARCH("tubig",$B331))+ISNUMBER(SEARCH("internet",$B331))+ISNUMBER(SEARCH("pldt",$B331))+ISNUMBER(SEARCH("meralco",$B331))+ISNUMBER(SEARCH("supplies",$B331))+ISNUMBER(SEARCH("office",$B331))+ISNUMBER(SEARCH("professional",$B331))+ISNUMBER(SEARCH("accountant",$B331))+ISNUMBER(SEARCH("lawyer",$B331))+ISNUMBER(SEARCH("broker",$B331))+ISNUMBER(SEARCH("bank",$B331))+ISNUMBER(SEARCH("charge",$B331))+ISNUMBER(SEARCH("permit",$B331))+ISNUMBER(SEARCH("bir",$B331))+ISNUMBER(SEARCH("ltfrb",$B331))+ISNUMBER(SEARCH("misc",$B331))+ISNUMBER(SEARCH("fee",$B331))&gt;0,"Overhead","Overhead")))))))</f>
        <v/>
      </c>
      <c r="J331">
        <f>IF($A331="","",DATE(YEAR($A331),MONTH($A331),1))</f>
        <v/>
      </c>
      <c r="K331">
        <f>IF($B331="","",IF(COUNTIF(Setup!$A$99:$A$128,$B331)&gt;0,0,1))</f>
        <v/>
      </c>
      <c r="L331">
        <f>IF($B331="","",IF(ISNUMBER(SEARCH("advance",$B331)),"ADV",IF(OR(ISNUMBER(SEARCH("payout",$B331)),ISNUMBER(SEARCH("pay out",$B331)),ISNUMBER(SEARCH("release",$B331))),"PAY","")))</f>
        <v/>
      </c>
      <c r="M331">
        <f>IF($B331="","",IF(ISNUMBER(SEARCH("bulk",$B331)),0,IF(ISNUMBER(SEARCH("fuel",$B331))+ISNUMBER(SEARCH("diesel",$B331))+ISNUMBER(SEARCH("krudo",$B331))+ISNUMBER(SEARCH("gasolina",$B331))&gt;0,1,0)))</f>
        <v/>
      </c>
      <c r="N331">
        <f>IF($B331="","",IF(ISNUMBER(SEARCH("fuel",$B331))+ISNUMBER(SEARCH("diesel",$B331))+ISNUMBER(SEARCH("krudo",$B331))+ISNUMBER(SEARCH("gasolina",$B331))&gt;0,1,0))</f>
        <v/>
      </c>
    </row>
    <row r="332">
      <c r="A332" s="94" t="n"/>
      <c r="B332" s="96" t="n"/>
      <c r="C332" s="96" t="n"/>
      <c r="D332" s="95" t="n"/>
      <c r="E332" s="96" t="n"/>
      <c r="F332" s="99" t="n"/>
      <c r="G332" s="95" t="n"/>
      <c r="H332" s="95" t="n"/>
      <c r="I332" s="101">
        <f>IF($B332="","",IF(COUNTIF(Setup!$A$99:$A$128,$B332)&gt;0,IF(INDEX(Setup!$B$99:$B$128,MATCH($B332,Setup!$A$99:$A$128,0))="","Overhead",INDEX(Setup!$B$99:$B$128,MATCH($B332,Setup!$A$99:$A$128,0))),IF(ISNUMBER(SEARCH("advance",$B332))+ISNUMBER(SEARCH("payout",$B332))+ISNUMBER(SEARCH("pay out",$B332))+ISNUMBER(SEARCH("reimburs",$B332))&gt;0,"Transfer",IF(ISNUMBER(SEARCH("loan",$B332))+ISNUMBER(SEARCH("amort",$B332))+ISNUMBER(SEARCH("installment",$B332))+ISNUMBER(SEARCH("instalment",$B332))&gt;0,"Financing",IF(ISNUMBER(SEARCH("draw",$B332))+ISNUMBER(SEARCH("owner",$B332))+ISNUMBER(SEARCH("asset",$B332))+ISNUMBER(SEARCH("capital",$B332))&gt;0,"Other",IF(ISNUMBER(SEARCH("fuel",$B332))+ISNUMBER(SEARCH("diesel",$B332))+ISNUMBER(SEARCH("krudo",$B332))+ISNUMBER(SEARCH("gasolina",$B332))+ISNUMBER(SEARCH("toll",$B332))+ISNUMBER(SEARCH("parking",$B332))+ISNUMBER(SEARCH("repair",$B332))+ISNUMBER(SEARCH("maintenance",$B332))+ISNUMBER(SEARCH("tire",$B332))+ISNUMBER(SEARCH("tyre",$B332))+ISNUMBER(SEARCH("battery",$B332))+ISNUMBER(SEARCH("oil",$B332))+ISNUMBER(SEARCH("filter",$B332))+ISNUMBER(SEARCH("spare",$B332))+ISNUMBER(SEARCH("insurance",$B332))+ISNUMBER(SEARCH("lto",$B332))+ISNUMBER(SEARCH("registration",$B332))+ISNUMBER(SEARCH("emission",$B332))+ISNUMBER(SEARCH("wash",$B332))+ISNUMBER(SEARCH("weigh",$B332))+ISNUMBER(SEARCH("tarp",$B332))&gt;0,"Vehicle",IF(ISNUMBER(SEARCH("rent",$B332))+ISNUMBER(SEARCH("upa",$B332))+ISNUMBER(SEARCH("salary",$B332))+ISNUMBER(SEARCH("sweldo",$B332))+ISNUMBER(SEARCH("wage",$B332))+ISNUMBER(SEARCH("electric",$B332))+ISNUMBER(SEARCH("kuryente",$B332))+ISNUMBER(SEARCH("water",$B332))+ISNUMBER(SEARCH("tubig",$B332))+ISNUMBER(SEARCH("internet",$B332))+ISNUMBER(SEARCH("pldt",$B332))+ISNUMBER(SEARCH("meralco",$B332))+ISNUMBER(SEARCH("supplies",$B332))+ISNUMBER(SEARCH("office",$B332))+ISNUMBER(SEARCH("professional",$B332))+ISNUMBER(SEARCH("accountant",$B332))+ISNUMBER(SEARCH("lawyer",$B332))+ISNUMBER(SEARCH("broker",$B332))+ISNUMBER(SEARCH("bank",$B332))+ISNUMBER(SEARCH("charge",$B332))+ISNUMBER(SEARCH("permit",$B332))+ISNUMBER(SEARCH("bir",$B332))+ISNUMBER(SEARCH("ltfrb",$B332))+ISNUMBER(SEARCH("misc",$B332))+ISNUMBER(SEARCH("fee",$B332))&gt;0,"Overhead","Overhead")))))))</f>
        <v/>
      </c>
      <c r="J332">
        <f>IF($A332="","",DATE(YEAR($A332),MONTH($A332),1))</f>
        <v/>
      </c>
      <c r="K332">
        <f>IF($B332="","",IF(COUNTIF(Setup!$A$99:$A$128,$B332)&gt;0,0,1))</f>
        <v/>
      </c>
      <c r="L332">
        <f>IF($B332="","",IF(ISNUMBER(SEARCH("advance",$B332)),"ADV",IF(OR(ISNUMBER(SEARCH("payout",$B332)),ISNUMBER(SEARCH("pay out",$B332)),ISNUMBER(SEARCH("release",$B332))),"PAY","")))</f>
        <v/>
      </c>
      <c r="M332">
        <f>IF($B332="","",IF(ISNUMBER(SEARCH("bulk",$B332)),0,IF(ISNUMBER(SEARCH("fuel",$B332))+ISNUMBER(SEARCH("diesel",$B332))+ISNUMBER(SEARCH("krudo",$B332))+ISNUMBER(SEARCH("gasolina",$B332))&gt;0,1,0)))</f>
        <v/>
      </c>
      <c r="N332">
        <f>IF($B332="","",IF(ISNUMBER(SEARCH("fuel",$B332))+ISNUMBER(SEARCH("diesel",$B332))+ISNUMBER(SEARCH("krudo",$B332))+ISNUMBER(SEARCH("gasolina",$B332))&gt;0,1,0))</f>
        <v/>
      </c>
    </row>
    <row r="333">
      <c r="A333" s="86" t="n"/>
      <c r="B333" s="88" t="n"/>
      <c r="C333" s="88" t="n"/>
      <c r="D333" s="87" t="n"/>
      <c r="E333" s="88" t="n"/>
      <c r="F333" s="92" t="n"/>
      <c r="G333" s="87" t="n"/>
      <c r="H333" s="87" t="n"/>
      <c r="I333" s="101">
        <f>IF($B333="","",IF(COUNTIF(Setup!$A$99:$A$128,$B333)&gt;0,IF(INDEX(Setup!$B$99:$B$128,MATCH($B333,Setup!$A$99:$A$128,0))="","Overhead",INDEX(Setup!$B$99:$B$128,MATCH($B333,Setup!$A$99:$A$128,0))),IF(ISNUMBER(SEARCH("advance",$B333))+ISNUMBER(SEARCH("payout",$B333))+ISNUMBER(SEARCH("pay out",$B333))+ISNUMBER(SEARCH("reimburs",$B333))&gt;0,"Transfer",IF(ISNUMBER(SEARCH("loan",$B333))+ISNUMBER(SEARCH("amort",$B333))+ISNUMBER(SEARCH("installment",$B333))+ISNUMBER(SEARCH("instalment",$B333))&gt;0,"Financing",IF(ISNUMBER(SEARCH("draw",$B333))+ISNUMBER(SEARCH("owner",$B333))+ISNUMBER(SEARCH("asset",$B333))+ISNUMBER(SEARCH("capital",$B333))&gt;0,"Other",IF(ISNUMBER(SEARCH("fuel",$B333))+ISNUMBER(SEARCH("diesel",$B333))+ISNUMBER(SEARCH("krudo",$B333))+ISNUMBER(SEARCH("gasolina",$B333))+ISNUMBER(SEARCH("toll",$B333))+ISNUMBER(SEARCH("parking",$B333))+ISNUMBER(SEARCH("repair",$B333))+ISNUMBER(SEARCH("maintenance",$B333))+ISNUMBER(SEARCH("tire",$B333))+ISNUMBER(SEARCH("tyre",$B333))+ISNUMBER(SEARCH("battery",$B333))+ISNUMBER(SEARCH("oil",$B333))+ISNUMBER(SEARCH("filter",$B333))+ISNUMBER(SEARCH("spare",$B333))+ISNUMBER(SEARCH("insurance",$B333))+ISNUMBER(SEARCH("lto",$B333))+ISNUMBER(SEARCH("registration",$B333))+ISNUMBER(SEARCH("emission",$B333))+ISNUMBER(SEARCH("wash",$B333))+ISNUMBER(SEARCH("weigh",$B333))+ISNUMBER(SEARCH("tarp",$B333))&gt;0,"Vehicle",IF(ISNUMBER(SEARCH("rent",$B333))+ISNUMBER(SEARCH("upa",$B333))+ISNUMBER(SEARCH("salary",$B333))+ISNUMBER(SEARCH("sweldo",$B333))+ISNUMBER(SEARCH("wage",$B333))+ISNUMBER(SEARCH("electric",$B333))+ISNUMBER(SEARCH("kuryente",$B333))+ISNUMBER(SEARCH("water",$B333))+ISNUMBER(SEARCH("tubig",$B333))+ISNUMBER(SEARCH("internet",$B333))+ISNUMBER(SEARCH("pldt",$B333))+ISNUMBER(SEARCH("meralco",$B333))+ISNUMBER(SEARCH("supplies",$B333))+ISNUMBER(SEARCH("office",$B333))+ISNUMBER(SEARCH("professional",$B333))+ISNUMBER(SEARCH("accountant",$B333))+ISNUMBER(SEARCH("lawyer",$B333))+ISNUMBER(SEARCH("broker",$B333))+ISNUMBER(SEARCH("bank",$B333))+ISNUMBER(SEARCH("charge",$B333))+ISNUMBER(SEARCH("permit",$B333))+ISNUMBER(SEARCH("bir",$B333))+ISNUMBER(SEARCH("ltfrb",$B333))+ISNUMBER(SEARCH("misc",$B333))+ISNUMBER(SEARCH("fee",$B333))&gt;0,"Overhead","Overhead")))))))</f>
        <v/>
      </c>
      <c r="J333">
        <f>IF($A333="","",DATE(YEAR($A333),MONTH($A333),1))</f>
        <v/>
      </c>
      <c r="K333">
        <f>IF($B333="","",IF(COUNTIF(Setup!$A$99:$A$128,$B333)&gt;0,0,1))</f>
        <v/>
      </c>
      <c r="L333">
        <f>IF($B333="","",IF(ISNUMBER(SEARCH("advance",$B333)),"ADV",IF(OR(ISNUMBER(SEARCH("payout",$B333)),ISNUMBER(SEARCH("pay out",$B333)),ISNUMBER(SEARCH("release",$B333))),"PAY","")))</f>
        <v/>
      </c>
      <c r="M333">
        <f>IF($B333="","",IF(ISNUMBER(SEARCH("bulk",$B333)),0,IF(ISNUMBER(SEARCH("fuel",$B333))+ISNUMBER(SEARCH("diesel",$B333))+ISNUMBER(SEARCH("krudo",$B333))+ISNUMBER(SEARCH("gasolina",$B333))&gt;0,1,0)))</f>
        <v/>
      </c>
      <c r="N333">
        <f>IF($B333="","",IF(ISNUMBER(SEARCH("fuel",$B333))+ISNUMBER(SEARCH("diesel",$B333))+ISNUMBER(SEARCH("krudo",$B333))+ISNUMBER(SEARCH("gasolina",$B333))&gt;0,1,0))</f>
        <v/>
      </c>
    </row>
    <row r="334">
      <c r="A334" s="94" t="n"/>
      <c r="B334" s="96" t="n"/>
      <c r="C334" s="96" t="n"/>
      <c r="D334" s="95" t="n"/>
      <c r="E334" s="96" t="n"/>
      <c r="F334" s="99" t="n"/>
      <c r="G334" s="95" t="n"/>
      <c r="H334" s="95" t="n"/>
      <c r="I334" s="101">
        <f>IF($B334="","",IF(COUNTIF(Setup!$A$99:$A$128,$B334)&gt;0,IF(INDEX(Setup!$B$99:$B$128,MATCH($B334,Setup!$A$99:$A$128,0))="","Overhead",INDEX(Setup!$B$99:$B$128,MATCH($B334,Setup!$A$99:$A$128,0))),IF(ISNUMBER(SEARCH("advance",$B334))+ISNUMBER(SEARCH("payout",$B334))+ISNUMBER(SEARCH("pay out",$B334))+ISNUMBER(SEARCH("reimburs",$B334))&gt;0,"Transfer",IF(ISNUMBER(SEARCH("loan",$B334))+ISNUMBER(SEARCH("amort",$B334))+ISNUMBER(SEARCH("installment",$B334))+ISNUMBER(SEARCH("instalment",$B334))&gt;0,"Financing",IF(ISNUMBER(SEARCH("draw",$B334))+ISNUMBER(SEARCH("owner",$B334))+ISNUMBER(SEARCH("asset",$B334))+ISNUMBER(SEARCH("capital",$B334))&gt;0,"Other",IF(ISNUMBER(SEARCH("fuel",$B334))+ISNUMBER(SEARCH("diesel",$B334))+ISNUMBER(SEARCH("krudo",$B334))+ISNUMBER(SEARCH("gasolina",$B334))+ISNUMBER(SEARCH("toll",$B334))+ISNUMBER(SEARCH("parking",$B334))+ISNUMBER(SEARCH("repair",$B334))+ISNUMBER(SEARCH("maintenance",$B334))+ISNUMBER(SEARCH("tire",$B334))+ISNUMBER(SEARCH("tyre",$B334))+ISNUMBER(SEARCH("battery",$B334))+ISNUMBER(SEARCH("oil",$B334))+ISNUMBER(SEARCH("filter",$B334))+ISNUMBER(SEARCH("spare",$B334))+ISNUMBER(SEARCH("insurance",$B334))+ISNUMBER(SEARCH("lto",$B334))+ISNUMBER(SEARCH("registration",$B334))+ISNUMBER(SEARCH("emission",$B334))+ISNUMBER(SEARCH("wash",$B334))+ISNUMBER(SEARCH("weigh",$B334))+ISNUMBER(SEARCH("tarp",$B334))&gt;0,"Vehicle",IF(ISNUMBER(SEARCH("rent",$B334))+ISNUMBER(SEARCH("upa",$B334))+ISNUMBER(SEARCH("salary",$B334))+ISNUMBER(SEARCH("sweldo",$B334))+ISNUMBER(SEARCH("wage",$B334))+ISNUMBER(SEARCH("electric",$B334))+ISNUMBER(SEARCH("kuryente",$B334))+ISNUMBER(SEARCH("water",$B334))+ISNUMBER(SEARCH("tubig",$B334))+ISNUMBER(SEARCH("internet",$B334))+ISNUMBER(SEARCH("pldt",$B334))+ISNUMBER(SEARCH("meralco",$B334))+ISNUMBER(SEARCH("supplies",$B334))+ISNUMBER(SEARCH("office",$B334))+ISNUMBER(SEARCH("professional",$B334))+ISNUMBER(SEARCH("accountant",$B334))+ISNUMBER(SEARCH("lawyer",$B334))+ISNUMBER(SEARCH("broker",$B334))+ISNUMBER(SEARCH("bank",$B334))+ISNUMBER(SEARCH("charge",$B334))+ISNUMBER(SEARCH("permit",$B334))+ISNUMBER(SEARCH("bir",$B334))+ISNUMBER(SEARCH("ltfrb",$B334))+ISNUMBER(SEARCH("misc",$B334))+ISNUMBER(SEARCH("fee",$B334))&gt;0,"Overhead","Overhead")))))))</f>
        <v/>
      </c>
      <c r="J334">
        <f>IF($A334="","",DATE(YEAR($A334),MONTH($A334),1))</f>
        <v/>
      </c>
      <c r="K334">
        <f>IF($B334="","",IF(COUNTIF(Setup!$A$99:$A$128,$B334)&gt;0,0,1))</f>
        <v/>
      </c>
      <c r="L334">
        <f>IF($B334="","",IF(ISNUMBER(SEARCH("advance",$B334)),"ADV",IF(OR(ISNUMBER(SEARCH("payout",$B334)),ISNUMBER(SEARCH("pay out",$B334)),ISNUMBER(SEARCH("release",$B334))),"PAY","")))</f>
        <v/>
      </c>
      <c r="M334">
        <f>IF($B334="","",IF(ISNUMBER(SEARCH("bulk",$B334)),0,IF(ISNUMBER(SEARCH("fuel",$B334))+ISNUMBER(SEARCH("diesel",$B334))+ISNUMBER(SEARCH("krudo",$B334))+ISNUMBER(SEARCH("gasolina",$B334))&gt;0,1,0)))</f>
        <v/>
      </c>
      <c r="N334">
        <f>IF($B334="","",IF(ISNUMBER(SEARCH("fuel",$B334))+ISNUMBER(SEARCH("diesel",$B334))+ISNUMBER(SEARCH("krudo",$B334))+ISNUMBER(SEARCH("gasolina",$B334))&gt;0,1,0))</f>
        <v/>
      </c>
    </row>
    <row r="335">
      <c r="A335" s="86" t="n"/>
      <c r="B335" s="88" t="n"/>
      <c r="C335" s="88" t="n"/>
      <c r="D335" s="87" t="n"/>
      <c r="E335" s="88" t="n"/>
      <c r="F335" s="92" t="n"/>
      <c r="G335" s="87" t="n"/>
      <c r="H335" s="87" t="n"/>
      <c r="I335" s="101">
        <f>IF($B335="","",IF(COUNTIF(Setup!$A$99:$A$128,$B335)&gt;0,IF(INDEX(Setup!$B$99:$B$128,MATCH($B335,Setup!$A$99:$A$128,0))="","Overhead",INDEX(Setup!$B$99:$B$128,MATCH($B335,Setup!$A$99:$A$128,0))),IF(ISNUMBER(SEARCH("advance",$B335))+ISNUMBER(SEARCH("payout",$B335))+ISNUMBER(SEARCH("pay out",$B335))+ISNUMBER(SEARCH("reimburs",$B335))&gt;0,"Transfer",IF(ISNUMBER(SEARCH("loan",$B335))+ISNUMBER(SEARCH("amort",$B335))+ISNUMBER(SEARCH("installment",$B335))+ISNUMBER(SEARCH("instalment",$B335))&gt;0,"Financing",IF(ISNUMBER(SEARCH("draw",$B335))+ISNUMBER(SEARCH("owner",$B335))+ISNUMBER(SEARCH("asset",$B335))+ISNUMBER(SEARCH("capital",$B335))&gt;0,"Other",IF(ISNUMBER(SEARCH("fuel",$B335))+ISNUMBER(SEARCH("diesel",$B335))+ISNUMBER(SEARCH("krudo",$B335))+ISNUMBER(SEARCH("gasolina",$B335))+ISNUMBER(SEARCH("toll",$B335))+ISNUMBER(SEARCH("parking",$B335))+ISNUMBER(SEARCH("repair",$B335))+ISNUMBER(SEARCH("maintenance",$B335))+ISNUMBER(SEARCH("tire",$B335))+ISNUMBER(SEARCH("tyre",$B335))+ISNUMBER(SEARCH("battery",$B335))+ISNUMBER(SEARCH("oil",$B335))+ISNUMBER(SEARCH("filter",$B335))+ISNUMBER(SEARCH("spare",$B335))+ISNUMBER(SEARCH("insurance",$B335))+ISNUMBER(SEARCH("lto",$B335))+ISNUMBER(SEARCH("registration",$B335))+ISNUMBER(SEARCH("emission",$B335))+ISNUMBER(SEARCH("wash",$B335))+ISNUMBER(SEARCH("weigh",$B335))+ISNUMBER(SEARCH("tarp",$B335))&gt;0,"Vehicle",IF(ISNUMBER(SEARCH("rent",$B335))+ISNUMBER(SEARCH("upa",$B335))+ISNUMBER(SEARCH("salary",$B335))+ISNUMBER(SEARCH("sweldo",$B335))+ISNUMBER(SEARCH("wage",$B335))+ISNUMBER(SEARCH("electric",$B335))+ISNUMBER(SEARCH("kuryente",$B335))+ISNUMBER(SEARCH("water",$B335))+ISNUMBER(SEARCH("tubig",$B335))+ISNUMBER(SEARCH("internet",$B335))+ISNUMBER(SEARCH("pldt",$B335))+ISNUMBER(SEARCH("meralco",$B335))+ISNUMBER(SEARCH("supplies",$B335))+ISNUMBER(SEARCH("office",$B335))+ISNUMBER(SEARCH("professional",$B335))+ISNUMBER(SEARCH("accountant",$B335))+ISNUMBER(SEARCH("lawyer",$B335))+ISNUMBER(SEARCH("broker",$B335))+ISNUMBER(SEARCH("bank",$B335))+ISNUMBER(SEARCH("charge",$B335))+ISNUMBER(SEARCH("permit",$B335))+ISNUMBER(SEARCH("bir",$B335))+ISNUMBER(SEARCH("ltfrb",$B335))+ISNUMBER(SEARCH("misc",$B335))+ISNUMBER(SEARCH("fee",$B335))&gt;0,"Overhead","Overhead")))))))</f>
        <v/>
      </c>
      <c r="J335">
        <f>IF($A335="","",DATE(YEAR($A335),MONTH($A335),1))</f>
        <v/>
      </c>
      <c r="K335">
        <f>IF($B335="","",IF(COUNTIF(Setup!$A$99:$A$128,$B335)&gt;0,0,1))</f>
        <v/>
      </c>
      <c r="L335">
        <f>IF($B335="","",IF(ISNUMBER(SEARCH("advance",$B335)),"ADV",IF(OR(ISNUMBER(SEARCH("payout",$B335)),ISNUMBER(SEARCH("pay out",$B335)),ISNUMBER(SEARCH("release",$B335))),"PAY","")))</f>
        <v/>
      </c>
      <c r="M335">
        <f>IF($B335="","",IF(ISNUMBER(SEARCH("bulk",$B335)),0,IF(ISNUMBER(SEARCH("fuel",$B335))+ISNUMBER(SEARCH("diesel",$B335))+ISNUMBER(SEARCH("krudo",$B335))+ISNUMBER(SEARCH("gasolina",$B335))&gt;0,1,0)))</f>
        <v/>
      </c>
      <c r="N335">
        <f>IF($B335="","",IF(ISNUMBER(SEARCH("fuel",$B335))+ISNUMBER(SEARCH("diesel",$B335))+ISNUMBER(SEARCH("krudo",$B335))+ISNUMBER(SEARCH("gasolina",$B335))&gt;0,1,0))</f>
        <v/>
      </c>
    </row>
    <row r="336">
      <c r="A336" s="94" t="n"/>
      <c r="B336" s="96" t="n"/>
      <c r="C336" s="96" t="n"/>
      <c r="D336" s="95" t="n"/>
      <c r="E336" s="96" t="n"/>
      <c r="F336" s="99" t="n"/>
      <c r="G336" s="95" t="n"/>
      <c r="H336" s="95" t="n"/>
      <c r="I336" s="101">
        <f>IF($B336="","",IF(COUNTIF(Setup!$A$99:$A$128,$B336)&gt;0,IF(INDEX(Setup!$B$99:$B$128,MATCH($B336,Setup!$A$99:$A$128,0))="","Overhead",INDEX(Setup!$B$99:$B$128,MATCH($B336,Setup!$A$99:$A$128,0))),IF(ISNUMBER(SEARCH("advance",$B336))+ISNUMBER(SEARCH("payout",$B336))+ISNUMBER(SEARCH("pay out",$B336))+ISNUMBER(SEARCH("reimburs",$B336))&gt;0,"Transfer",IF(ISNUMBER(SEARCH("loan",$B336))+ISNUMBER(SEARCH("amort",$B336))+ISNUMBER(SEARCH("installment",$B336))+ISNUMBER(SEARCH("instalment",$B336))&gt;0,"Financing",IF(ISNUMBER(SEARCH("draw",$B336))+ISNUMBER(SEARCH("owner",$B336))+ISNUMBER(SEARCH("asset",$B336))+ISNUMBER(SEARCH("capital",$B336))&gt;0,"Other",IF(ISNUMBER(SEARCH("fuel",$B336))+ISNUMBER(SEARCH("diesel",$B336))+ISNUMBER(SEARCH("krudo",$B336))+ISNUMBER(SEARCH("gasolina",$B336))+ISNUMBER(SEARCH("toll",$B336))+ISNUMBER(SEARCH("parking",$B336))+ISNUMBER(SEARCH("repair",$B336))+ISNUMBER(SEARCH("maintenance",$B336))+ISNUMBER(SEARCH("tire",$B336))+ISNUMBER(SEARCH("tyre",$B336))+ISNUMBER(SEARCH("battery",$B336))+ISNUMBER(SEARCH("oil",$B336))+ISNUMBER(SEARCH("filter",$B336))+ISNUMBER(SEARCH("spare",$B336))+ISNUMBER(SEARCH("insurance",$B336))+ISNUMBER(SEARCH("lto",$B336))+ISNUMBER(SEARCH("registration",$B336))+ISNUMBER(SEARCH("emission",$B336))+ISNUMBER(SEARCH("wash",$B336))+ISNUMBER(SEARCH("weigh",$B336))+ISNUMBER(SEARCH("tarp",$B336))&gt;0,"Vehicle",IF(ISNUMBER(SEARCH("rent",$B336))+ISNUMBER(SEARCH("upa",$B336))+ISNUMBER(SEARCH("salary",$B336))+ISNUMBER(SEARCH("sweldo",$B336))+ISNUMBER(SEARCH("wage",$B336))+ISNUMBER(SEARCH("electric",$B336))+ISNUMBER(SEARCH("kuryente",$B336))+ISNUMBER(SEARCH("water",$B336))+ISNUMBER(SEARCH("tubig",$B336))+ISNUMBER(SEARCH("internet",$B336))+ISNUMBER(SEARCH("pldt",$B336))+ISNUMBER(SEARCH("meralco",$B336))+ISNUMBER(SEARCH("supplies",$B336))+ISNUMBER(SEARCH("office",$B336))+ISNUMBER(SEARCH("professional",$B336))+ISNUMBER(SEARCH("accountant",$B336))+ISNUMBER(SEARCH("lawyer",$B336))+ISNUMBER(SEARCH("broker",$B336))+ISNUMBER(SEARCH("bank",$B336))+ISNUMBER(SEARCH("charge",$B336))+ISNUMBER(SEARCH("permit",$B336))+ISNUMBER(SEARCH("bir",$B336))+ISNUMBER(SEARCH("ltfrb",$B336))+ISNUMBER(SEARCH("misc",$B336))+ISNUMBER(SEARCH("fee",$B336))&gt;0,"Overhead","Overhead")))))))</f>
        <v/>
      </c>
      <c r="J336">
        <f>IF($A336="","",DATE(YEAR($A336),MONTH($A336),1))</f>
        <v/>
      </c>
      <c r="K336">
        <f>IF($B336="","",IF(COUNTIF(Setup!$A$99:$A$128,$B336)&gt;0,0,1))</f>
        <v/>
      </c>
      <c r="L336">
        <f>IF($B336="","",IF(ISNUMBER(SEARCH("advance",$B336)),"ADV",IF(OR(ISNUMBER(SEARCH("payout",$B336)),ISNUMBER(SEARCH("pay out",$B336)),ISNUMBER(SEARCH("release",$B336))),"PAY","")))</f>
        <v/>
      </c>
      <c r="M336">
        <f>IF($B336="","",IF(ISNUMBER(SEARCH("bulk",$B336)),0,IF(ISNUMBER(SEARCH("fuel",$B336))+ISNUMBER(SEARCH("diesel",$B336))+ISNUMBER(SEARCH("krudo",$B336))+ISNUMBER(SEARCH("gasolina",$B336))&gt;0,1,0)))</f>
        <v/>
      </c>
      <c r="N336">
        <f>IF($B336="","",IF(ISNUMBER(SEARCH("fuel",$B336))+ISNUMBER(SEARCH("diesel",$B336))+ISNUMBER(SEARCH("krudo",$B336))+ISNUMBER(SEARCH("gasolina",$B336))&gt;0,1,0))</f>
        <v/>
      </c>
    </row>
    <row r="337">
      <c r="A337" s="86" t="n"/>
      <c r="B337" s="88" t="n"/>
      <c r="C337" s="88" t="n"/>
      <c r="D337" s="87" t="n"/>
      <c r="E337" s="88" t="n"/>
      <c r="F337" s="92" t="n"/>
      <c r="G337" s="87" t="n"/>
      <c r="H337" s="87" t="n"/>
      <c r="I337" s="101">
        <f>IF($B337="","",IF(COUNTIF(Setup!$A$99:$A$128,$B337)&gt;0,IF(INDEX(Setup!$B$99:$B$128,MATCH($B337,Setup!$A$99:$A$128,0))="","Overhead",INDEX(Setup!$B$99:$B$128,MATCH($B337,Setup!$A$99:$A$128,0))),IF(ISNUMBER(SEARCH("advance",$B337))+ISNUMBER(SEARCH("payout",$B337))+ISNUMBER(SEARCH("pay out",$B337))+ISNUMBER(SEARCH("reimburs",$B337))&gt;0,"Transfer",IF(ISNUMBER(SEARCH("loan",$B337))+ISNUMBER(SEARCH("amort",$B337))+ISNUMBER(SEARCH("installment",$B337))+ISNUMBER(SEARCH("instalment",$B337))&gt;0,"Financing",IF(ISNUMBER(SEARCH("draw",$B337))+ISNUMBER(SEARCH("owner",$B337))+ISNUMBER(SEARCH("asset",$B337))+ISNUMBER(SEARCH("capital",$B337))&gt;0,"Other",IF(ISNUMBER(SEARCH("fuel",$B337))+ISNUMBER(SEARCH("diesel",$B337))+ISNUMBER(SEARCH("krudo",$B337))+ISNUMBER(SEARCH("gasolina",$B337))+ISNUMBER(SEARCH("toll",$B337))+ISNUMBER(SEARCH("parking",$B337))+ISNUMBER(SEARCH("repair",$B337))+ISNUMBER(SEARCH("maintenance",$B337))+ISNUMBER(SEARCH("tire",$B337))+ISNUMBER(SEARCH("tyre",$B337))+ISNUMBER(SEARCH("battery",$B337))+ISNUMBER(SEARCH("oil",$B337))+ISNUMBER(SEARCH("filter",$B337))+ISNUMBER(SEARCH("spare",$B337))+ISNUMBER(SEARCH("insurance",$B337))+ISNUMBER(SEARCH("lto",$B337))+ISNUMBER(SEARCH("registration",$B337))+ISNUMBER(SEARCH("emission",$B337))+ISNUMBER(SEARCH("wash",$B337))+ISNUMBER(SEARCH("weigh",$B337))+ISNUMBER(SEARCH("tarp",$B337))&gt;0,"Vehicle",IF(ISNUMBER(SEARCH("rent",$B337))+ISNUMBER(SEARCH("upa",$B337))+ISNUMBER(SEARCH("salary",$B337))+ISNUMBER(SEARCH("sweldo",$B337))+ISNUMBER(SEARCH("wage",$B337))+ISNUMBER(SEARCH("electric",$B337))+ISNUMBER(SEARCH("kuryente",$B337))+ISNUMBER(SEARCH("water",$B337))+ISNUMBER(SEARCH("tubig",$B337))+ISNUMBER(SEARCH("internet",$B337))+ISNUMBER(SEARCH("pldt",$B337))+ISNUMBER(SEARCH("meralco",$B337))+ISNUMBER(SEARCH("supplies",$B337))+ISNUMBER(SEARCH("office",$B337))+ISNUMBER(SEARCH("professional",$B337))+ISNUMBER(SEARCH("accountant",$B337))+ISNUMBER(SEARCH("lawyer",$B337))+ISNUMBER(SEARCH("broker",$B337))+ISNUMBER(SEARCH("bank",$B337))+ISNUMBER(SEARCH("charge",$B337))+ISNUMBER(SEARCH("permit",$B337))+ISNUMBER(SEARCH("bir",$B337))+ISNUMBER(SEARCH("ltfrb",$B337))+ISNUMBER(SEARCH("misc",$B337))+ISNUMBER(SEARCH("fee",$B337))&gt;0,"Overhead","Overhead")))))))</f>
        <v/>
      </c>
      <c r="J337">
        <f>IF($A337="","",DATE(YEAR($A337),MONTH($A337),1))</f>
        <v/>
      </c>
      <c r="K337">
        <f>IF($B337="","",IF(COUNTIF(Setup!$A$99:$A$128,$B337)&gt;0,0,1))</f>
        <v/>
      </c>
      <c r="L337">
        <f>IF($B337="","",IF(ISNUMBER(SEARCH("advance",$B337)),"ADV",IF(OR(ISNUMBER(SEARCH("payout",$B337)),ISNUMBER(SEARCH("pay out",$B337)),ISNUMBER(SEARCH("release",$B337))),"PAY","")))</f>
        <v/>
      </c>
      <c r="M337">
        <f>IF($B337="","",IF(ISNUMBER(SEARCH("bulk",$B337)),0,IF(ISNUMBER(SEARCH("fuel",$B337))+ISNUMBER(SEARCH("diesel",$B337))+ISNUMBER(SEARCH("krudo",$B337))+ISNUMBER(SEARCH("gasolina",$B337))&gt;0,1,0)))</f>
        <v/>
      </c>
      <c r="N337">
        <f>IF($B337="","",IF(ISNUMBER(SEARCH("fuel",$B337))+ISNUMBER(SEARCH("diesel",$B337))+ISNUMBER(SEARCH("krudo",$B337))+ISNUMBER(SEARCH("gasolina",$B337))&gt;0,1,0))</f>
        <v/>
      </c>
    </row>
    <row r="338">
      <c r="A338" s="94" t="n"/>
      <c r="B338" s="96" t="n"/>
      <c r="C338" s="96" t="n"/>
      <c r="D338" s="95" t="n"/>
      <c r="E338" s="96" t="n"/>
      <c r="F338" s="99" t="n"/>
      <c r="G338" s="95" t="n"/>
      <c r="H338" s="95" t="n"/>
      <c r="I338" s="101">
        <f>IF($B338="","",IF(COUNTIF(Setup!$A$99:$A$128,$B338)&gt;0,IF(INDEX(Setup!$B$99:$B$128,MATCH($B338,Setup!$A$99:$A$128,0))="","Overhead",INDEX(Setup!$B$99:$B$128,MATCH($B338,Setup!$A$99:$A$128,0))),IF(ISNUMBER(SEARCH("advance",$B338))+ISNUMBER(SEARCH("payout",$B338))+ISNUMBER(SEARCH("pay out",$B338))+ISNUMBER(SEARCH("reimburs",$B338))&gt;0,"Transfer",IF(ISNUMBER(SEARCH("loan",$B338))+ISNUMBER(SEARCH("amort",$B338))+ISNUMBER(SEARCH("installment",$B338))+ISNUMBER(SEARCH("instalment",$B338))&gt;0,"Financing",IF(ISNUMBER(SEARCH("draw",$B338))+ISNUMBER(SEARCH("owner",$B338))+ISNUMBER(SEARCH("asset",$B338))+ISNUMBER(SEARCH("capital",$B338))&gt;0,"Other",IF(ISNUMBER(SEARCH("fuel",$B338))+ISNUMBER(SEARCH("diesel",$B338))+ISNUMBER(SEARCH("krudo",$B338))+ISNUMBER(SEARCH("gasolina",$B338))+ISNUMBER(SEARCH("toll",$B338))+ISNUMBER(SEARCH("parking",$B338))+ISNUMBER(SEARCH("repair",$B338))+ISNUMBER(SEARCH("maintenance",$B338))+ISNUMBER(SEARCH("tire",$B338))+ISNUMBER(SEARCH("tyre",$B338))+ISNUMBER(SEARCH("battery",$B338))+ISNUMBER(SEARCH("oil",$B338))+ISNUMBER(SEARCH("filter",$B338))+ISNUMBER(SEARCH("spare",$B338))+ISNUMBER(SEARCH("insurance",$B338))+ISNUMBER(SEARCH("lto",$B338))+ISNUMBER(SEARCH("registration",$B338))+ISNUMBER(SEARCH("emission",$B338))+ISNUMBER(SEARCH("wash",$B338))+ISNUMBER(SEARCH("weigh",$B338))+ISNUMBER(SEARCH("tarp",$B338))&gt;0,"Vehicle",IF(ISNUMBER(SEARCH("rent",$B338))+ISNUMBER(SEARCH("upa",$B338))+ISNUMBER(SEARCH("salary",$B338))+ISNUMBER(SEARCH("sweldo",$B338))+ISNUMBER(SEARCH("wage",$B338))+ISNUMBER(SEARCH("electric",$B338))+ISNUMBER(SEARCH("kuryente",$B338))+ISNUMBER(SEARCH("water",$B338))+ISNUMBER(SEARCH("tubig",$B338))+ISNUMBER(SEARCH("internet",$B338))+ISNUMBER(SEARCH("pldt",$B338))+ISNUMBER(SEARCH("meralco",$B338))+ISNUMBER(SEARCH("supplies",$B338))+ISNUMBER(SEARCH("office",$B338))+ISNUMBER(SEARCH("professional",$B338))+ISNUMBER(SEARCH("accountant",$B338))+ISNUMBER(SEARCH("lawyer",$B338))+ISNUMBER(SEARCH("broker",$B338))+ISNUMBER(SEARCH("bank",$B338))+ISNUMBER(SEARCH("charge",$B338))+ISNUMBER(SEARCH("permit",$B338))+ISNUMBER(SEARCH("bir",$B338))+ISNUMBER(SEARCH("ltfrb",$B338))+ISNUMBER(SEARCH("misc",$B338))+ISNUMBER(SEARCH("fee",$B338))&gt;0,"Overhead","Overhead")))))))</f>
        <v/>
      </c>
      <c r="J338">
        <f>IF($A338="","",DATE(YEAR($A338),MONTH($A338),1))</f>
        <v/>
      </c>
      <c r="K338">
        <f>IF($B338="","",IF(COUNTIF(Setup!$A$99:$A$128,$B338)&gt;0,0,1))</f>
        <v/>
      </c>
      <c r="L338">
        <f>IF($B338="","",IF(ISNUMBER(SEARCH("advance",$B338)),"ADV",IF(OR(ISNUMBER(SEARCH("payout",$B338)),ISNUMBER(SEARCH("pay out",$B338)),ISNUMBER(SEARCH("release",$B338))),"PAY","")))</f>
        <v/>
      </c>
      <c r="M338">
        <f>IF($B338="","",IF(ISNUMBER(SEARCH("bulk",$B338)),0,IF(ISNUMBER(SEARCH("fuel",$B338))+ISNUMBER(SEARCH("diesel",$B338))+ISNUMBER(SEARCH("krudo",$B338))+ISNUMBER(SEARCH("gasolina",$B338))&gt;0,1,0)))</f>
        <v/>
      </c>
      <c r="N338">
        <f>IF($B338="","",IF(ISNUMBER(SEARCH("fuel",$B338))+ISNUMBER(SEARCH("diesel",$B338))+ISNUMBER(SEARCH("krudo",$B338))+ISNUMBER(SEARCH("gasolina",$B338))&gt;0,1,0))</f>
        <v/>
      </c>
    </row>
    <row r="339">
      <c r="A339" s="86" t="n"/>
      <c r="B339" s="88" t="n"/>
      <c r="C339" s="88" t="n"/>
      <c r="D339" s="87" t="n"/>
      <c r="E339" s="88" t="n"/>
      <c r="F339" s="92" t="n"/>
      <c r="G339" s="87" t="n"/>
      <c r="H339" s="87" t="n"/>
      <c r="I339" s="101">
        <f>IF($B339="","",IF(COUNTIF(Setup!$A$99:$A$128,$B339)&gt;0,IF(INDEX(Setup!$B$99:$B$128,MATCH($B339,Setup!$A$99:$A$128,0))="","Overhead",INDEX(Setup!$B$99:$B$128,MATCH($B339,Setup!$A$99:$A$128,0))),IF(ISNUMBER(SEARCH("advance",$B339))+ISNUMBER(SEARCH("payout",$B339))+ISNUMBER(SEARCH("pay out",$B339))+ISNUMBER(SEARCH("reimburs",$B339))&gt;0,"Transfer",IF(ISNUMBER(SEARCH("loan",$B339))+ISNUMBER(SEARCH("amort",$B339))+ISNUMBER(SEARCH("installment",$B339))+ISNUMBER(SEARCH("instalment",$B339))&gt;0,"Financing",IF(ISNUMBER(SEARCH("draw",$B339))+ISNUMBER(SEARCH("owner",$B339))+ISNUMBER(SEARCH("asset",$B339))+ISNUMBER(SEARCH("capital",$B339))&gt;0,"Other",IF(ISNUMBER(SEARCH("fuel",$B339))+ISNUMBER(SEARCH("diesel",$B339))+ISNUMBER(SEARCH("krudo",$B339))+ISNUMBER(SEARCH("gasolina",$B339))+ISNUMBER(SEARCH("toll",$B339))+ISNUMBER(SEARCH("parking",$B339))+ISNUMBER(SEARCH("repair",$B339))+ISNUMBER(SEARCH("maintenance",$B339))+ISNUMBER(SEARCH("tire",$B339))+ISNUMBER(SEARCH("tyre",$B339))+ISNUMBER(SEARCH("battery",$B339))+ISNUMBER(SEARCH("oil",$B339))+ISNUMBER(SEARCH("filter",$B339))+ISNUMBER(SEARCH("spare",$B339))+ISNUMBER(SEARCH("insurance",$B339))+ISNUMBER(SEARCH("lto",$B339))+ISNUMBER(SEARCH("registration",$B339))+ISNUMBER(SEARCH("emission",$B339))+ISNUMBER(SEARCH("wash",$B339))+ISNUMBER(SEARCH("weigh",$B339))+ISNUMBER(SEARCH("tarp",$B339))&gt;0,"Vehicle",IF(ISNUMBER(SEARCH("rent",$B339))+ISNUMBER(SEARCH("upa",$B339))+ISNUMBER(SEARCH("salary",$B339))+ISNUMBER(SEARCH("sweldo",$B339))+ISNUMBER(SEARCH("wage",$B339))+ISNUMBER(SEARCH("electric",$B339))+ISNUMBER(SEARCH("kuryente",$B339))+ISNUMBER(SEARCH("water",$B339))+ISNUMBER(SEARCH("tubig",$B339))+ISNUMBER(SEARCH("internet",$B339))+ISNUMBER(SEARCH("pldt",$B339))+ISNUMBER(SEARCH("meralco",$B339))+ISNUMBER(SEARCH("supplies",$B339))+ISNUMBER(SEARCH("office",$B339))+ISNUMBER(SEARCH("professional",$B339))+ISNUMBER(SEARCH("accountant",$B339))+ISNUMBER(SEARCH("lawyer",$B339))+ISNUMBER(SEARCH("broker",$B339))+ISNUMBER(SEARCH("bank",$B339))+ISNUMBER(SEARCH("charge",$B339))+ISNUMBER(SEARCH("permit",$B339))+ISNUMBER(SEARCH("bir",$B339))+ISNUMBER(SEARCH("ltfrb",$B339))+ISNUMBER(SEARCH("misc",$B339))+ISNUMBER(SEARCH("fee",$B339))&gt;0,"Overhead","Overhead")))))))</f>
        <v/>
      </c>
      <c r="J339">
        <f>IF($A339="","",DATE(YEAR($A339),MONTH($A339),1))</f>
        <v/>
      </c>
      <c r="K339">
        <f>IF($B339="","",IF(COUNTIF(Setup!$A$99:$A$128,$B339)&gt;0,0,1))</f>
        <v/>
      </c>
      <c r="L339">
        <f>IF($B339="","",IF(ISNUMBER(SEARCH("advance",$B339)),"ADV",IF(OR(ISNUMBER(SEARCH("payout",$B339)),ISNUMBER(SEARCH("pay out",$B339)),ISNUMBER(SEARCH("release",$B339))),"PAY","")))</f>
        <v/>
      </c>
      <c r="M339">
        <f>IF($B339="","",IF(ISNUMBER(SEARCH("bulk",$B339)),0,IF(ISNUMBER(SEARCH("fuel",$B339))+ISNUMBER(SEARCH("diesel",$B339))+ISNUMBER(SEARCH("krudo",$B339))+ISNUMBER(SEARCH("gasolina",$B339))&gt;0,1,0)))</f>
        <v/>
      </c>
      <c r="N339">
        <f>IF($B339="","",IF(ISNUMBER(SEARCH("fuel",$B339))+ISNUMBER(SEARCH("diesel",$B339))+ISNUMBER(SEARCH("krudo",$B339))+ISNUMBER(SEARCH("gasolina",$B339))&gt;0,1,0))</f>
        <v/>
      </c>
    </row>
    <row r="340">
      <c r="A340" s="94" t="n"/>
      <c r="B340" s="96" t="n"/>
      <c r="C340" s="96" t="n"/>
      <c r="D340" s="95" t="n"/>
      <c r="E340" s="96" t="n"/>
      <c r="F340" s="99" t="n"/>
      <c r="G340" s="95" t="n"/>
      <c r="H340" s="95" t="n"/>
      <c r="I340" s="101">
        <f>IF($B340="","",IF(COUNTIF(Setup!$A$99:$A$128,$B340)&gt;0,IF(INDEX(Setup!$B$99:$B$128,MATCH($B340,Setup!$A$99:$A$128,0))="","Overhead",INDEX(Setup!$B$99:$B$128,MATCH($B340,Setup!$A$99:$A$128,0))),IF(ISNUMBER(SEARCH("advance",$B340))+ISNUMBER(SEARCH("payout",$B340))+ISNUMBER(SEARCH("pay out",$B340))+ISNUMBER(SEARCH("reimburs",$B340))&gt;0,"Transfer",IF(ISNUMBER(SEARCH("loan",$B340))+ISNUMBER(SEARCH("amort",$B340))+ISNUMBER(SEARCH("installment",$B340))+ISNUMBER(SEARCH("instalment",$B340))&gt;0,"Financing",IF(ISNUMBER(SEARCH("draw",$B340))+ISNUMBER(SEARCH("owner",$B340))+ISNUMBER(SEARCH("asset",$B340))+ISNUMBER(SEARCH("capital",$B340))&gt;0,"Other",IF(ISNUMBER(SEARCH("fuel",$B340))+ISNUMBER(SEARCH("diesel",$B340))+ISNUMBER(SEARCH("krudo",$B340))+ISNUMBER(SEARCH("gasolina",$B340))+ISNUMBER(SEARCH("toll",$B340))+ISNUMBER(SEARCH("parking",$B340))+ISNUMBER(SEARCH("repair",$B340))+ISNUMBER(SEARCH("maintenance",$B340))+ISNUMBER(SEARCH("tire",$B340))+ISNUMBER(SEARCH("tyre",$B340))+ISNUMBER(SEARCH("battery",$B340))+ISNUMBER(SEARCH("oil",$B340))+ISNUMBER(SEARCH("filter",$B340))+ISNUMBER(SEARCH("spare",$B340))+ISNUMBER(SEARCH("insurance",$B340))+ISNUMBER(SEARCH("lto",$B340))+ISNUMBER(SEARCH("registration",$B340))+ISNUMBER(SEARCH("emission",$B340))+ISNUMBER(SEARCH("wash",$B340))+ISNUMBER(SEARCH("weigh",$B340))+ISNUMBER(SEARCH("tarp",$B340))&gt;0,"Vehicle",IF(ISNUMBER(SEARCH("rent",$B340))+ISNUMBER(SEARCH("upa",$B340))+ISNUMBER(SEARCH("salary",$B340))+ISNUMBER(SEARCH("sweldo",$B340))+ISNUMBER(SEARCH("wage",$B340))+ISNUMBER(SEARCH("electric",$B340))+ISNUMBER(SEARCH("kuryente",$B340))+ISNUMBER(SEARCH("water",$B340))+ISNUMBER(SEARCH("tubig",$B340))+ISNUMBER(SEARCH("internet",$B340))+ISNUMBER(SEARCH("pldt",$B340))+ISNUMBER(SEARCH("meralco",$B340))+ISNUMBER(SEARCH("supplies",$B340))+ISNUMBER(SEARCH("office",$B340))+ISNUMBER(SEARCH("professional",$B340))+ISNUMBER(SEARCH("accountant",$B340))+ISNUMBER(SEARCH("lawyer",$B340))+ISNUMBER(SEARCH("broker",$B340))+ISNUMBER(SEARCH("bank",$B340))+ISNUMBER(SEARCH("charge",$B340))+ISNUMBER(SEARCH("permit",$B340))+ISNUMBER(SEARCH("bir",$B340))+ISNUMBER(SEARCH("ltfrb",$B340))+ISNUMBER(SEARCH("misc",$B340))+ISNUMBER(SEARCH("fee",$B340))&gt;0,"Overhead","Overhead")))))))</f>
        <v/>
      </c>
      <c r="J340">
        <f>IF($A340="","",DATE(YEAR($A340),MONTH($A340),1))</f>
        <v/>
      </c>
      <c r="K340">
        <f>IF($B340="","",IF(COUNTIF(Setup!$A$99:$A$128,$B340)&gt;0,0,1))</f>
        <v/>
      </c>
      <c r="L340">
        <f>IF($B340="","",IF(ISNUMBER(SEARCH("advance",$B340)),"ADV",IF(OR(ISNUMBER(SEARCH("payout",$B340)),ISNUMBER(SEARCH("pay out",$B340)),ISNUMBER(SEARCH("release",$B340))),"PAY","")))</f>
        <v/>
      </c>
      <c r="M340">
        <f>IF($B340="","",IF(ISNUMBER(SEARCH("bulk",$B340)),0,IF(ISNUMBER(SEARCH("fuel",$B340))+ISNUMBER(SEARCH("diesel",$B340))+ISNUMBER(SEARCH("krudo",$B340))+ISNUMBER(SEARCH("gasolina",$B340))&gt;0,1,0)))</f>
        <v/>
      </c>
      <c r="N340">
        <f>IF($B340="","",IF(ISNUMBER(SEARCH("fuel",$B340))+ISNUMBER(SEARCH("diesel",$B340))+ISNUMBER(SEARCH("krudo",$B340))+ISNUMBER(SEARCH("gasolina",$B340))&gt;0,1,0))</f>
        <v/>
      </c>
    </row>
    <row r="341">
      <c r="A341" s="86" t="n"/>
      <c r="B341" s="88" t="n"/>
      <c r="C341" s="88" t="n"/>
      <c r="D341" s="87" t="n"/>
      <c r="E341" s="88" t="n"/>
      <c r="F341" s="92" t="n"/>
      <c r="G341" s="87" t="n"/>
      <c r="H341" s="87" t="n"/>
      <c r="I341" s="101">
        <f>IF($B341="","",IF(COUNTIF(Setup!$A$99:$A$128,$B341)&gt;0,IF(INDEX(Setup!$B$99:$B$128,MATCH($B341,Setup!$A$99:$A$128,0))="","Overhead",INDEX(Setup!$B$99:$B$128,MATCH($B341,Setup!$A$99:$A$128,0))),IF(ISNUMBER(SEARCH("advance",$B341))+ISNUMBER(SEARCH("payout",$B341))+ISNUMBER(SEARCH("pay out",$B341))+ISNUMBER(SEARCH("reimburs",$B341))&gt;0,"Transfer",IF(ISNUMBER(SEARCH("loan",$B341))+ISNUMBER(SEARCH("amort",$B341))+ISNUMBER(SEARCH("installment",$B341))+ISNUMBER(SEARCH("instalment",$B341))&gt;0,"Financing",IF(ISNUMBER(SEARCH("draw",$B341))+ISNUMBER(SEARCH("owner",$B341))+ISNUMBER(SEARCH("asset",$B341))+ISNUMBER(SEARCH("capital",$B341))&gt;0,"Other",IF(ISNUMBER(SEARCH("fuel",$B341))+ISNUMBER(SEARCH("diesel",$B341))+ISNUMBER(SEARCH("krudo",$B341))+ISNUMBER(SEARCH("gasolina",$B341))+ISNUMBER(SEARCH("toll",$B341))+ISNUMBER(SEARCH("parking",$B341))+ISNUMBER(SEARCH("repair",$B341))+ISNUMBER(SEARCH("maintenance",$B341))+ISNUMBER(SEARCH("tire",$B341))+ISNUMBER(SEARCH("tyre",$B341))+ISNUMBER(SEARCH("battery",$B341))+ISNUMBER(SEARCH("oil",$B341))+ISNUMBER(SEARCH("filter",$B341))+ISNUMBER(SEARCH("spare",$B341))+ISNUMBER(SEARCH("insurance",$B341))+ISNUMBER(SEARCH("lto",$B341))+ISNUMBER(SEARCH("registration",$B341))+ISNUMBER(SEARCH("emission",$B341))+ISNUMBER(SEARCH("wash",$B341))+ISNUMBER(SEARCH("weigh",$B341))+ISNUMBER(SEARCH("tarp",$B341))&gt;0,"Vehicle",IF(ISNUMBER(SEARCH("rent",$B341))+ISNUMBER(SEARCH("upa",$B341))+ISNUMBER(SEARCH("salary",$B341))+ISNUMBER(SEARCH("sweldo",$B341))+ISNUMBER(SEARCH("wage",$B341))+ISNUMBER(SEARCH("electric",$B341))+ISNUMBER(SEARCH("kuryente",$B341))+ISNUMBER(SEARCH("water",$B341))+ISNUMBER(SEARCH("tubig",$B341))+ISNUMBER(SEARCH("internet",$B341))+ISNUMBER(SEARCH("pldt",$B341))+ISNUMBER(SEARCH("meralco",$B341))+ISNUMBER(SEARCH("supplies",$B341))+ISNUMBER(SEARCH("office",$B341))+ISNUMBER(SEARCH("professional",$B341))+ISNUMBER(SEARCH("accountant",$B341))+ISNUMBER(SEARCH("lawyer",$B341))+ISNUMBER(SEARCH("broker",$B341))+ISNUMBER(SEARCH("bank",$B341))+ISNUMBER(SEARCH("charge",$B341))+ISNUMBER(SEARCH("permit",$B341))+ISNUMBER(SEARCH("bir",$B341))+ISNUMBER(SEARCH("ltfrb",$B341))+ISNUMBER(SEARCH("misc",$B341))+ISNUMBER(SEARCH("fee",$B341))&gt;0,"Overhead","Overhead")))))))</f>
        <v/>
      </c>
      <c r="J341">
        <f>IF($A341="","",DATE(YEAR($A341),MONTH($A341),1))</f>
        <v/>
      </c>
      <c r="K341">
        <f>IF($B341="","",IF(COUNTIF(Setup!$A$99:$A$128,$B341)&gt;0,0,1))</f>
        <v/>
      </c>
      <c r="L341">
        <f>IF($B341="","",IF(ISNUMBER(SEARCH("advance",$B341)),"ADV",IF(OR(ISNUMBER(SEARCH("payout",$B341)),ISNUMBER(SEARCH("pay out",$B341)),ISNUMBER(SEARCH("release",$B341))),"PAY","")))</f>
        <v/>
      </c>
      <c r="M341">
        <f>IF($B341="","",IF(ISNUMBER(SEARCH("bulk",$B341)),0,IF(ISNUMBER(SEARCH("fuel",$B341))+ISNUMBER(SEARCH("diesel",$B341))+ISNUMBER(SEARCH("krudo",$B341))+ISNUMBER(SEARCH("gasolina",$B341))&gt;0,1,0)))</f>
        <v/>
      </c>
      <c r="N341">
        <f>IF($B341="","",IF(ISNUMBER(SEARCH("fuel",$B341))+ISNUMBER(SEARCH("diesel",$B341))+ISNUMBER(SEARCH("krudo",$B341))+ISNUMBER(SEARCH("gasolina",$B341))&gt;0,1,0))</f>
        <v/>
      </c>
    </row>
    <row r="342">
      <c r="A342" s="94" t="n"/>
      <c r="B342" s="96" t="n"/>
      <c r="C342" s="96" t="n"/>
      <c r="D342" s="95" t="n"/>
      <c r="E342" s="96" t="n"/>
      <c r="F342" s="99" t="n"/>
      <c r="G342" s="95" t="n"/>
      <c r="H342" s="95" t="n"/>
      <c r="I342" s="101">
        <f>IF($B342="","",IF(COUNTIF(Setup!$A$99:$A$128,$B342)&gt;0,IF(INDEX(Setup!$B$99:$B$128,MATCH($B342,Setup!$A$99:$A$128,0))="","Overhead",INDEX(Setup!$B$99:$B$128,MATCH($B342,Setup!$A$99:$A$128,0))),IF(ISNUMBER(SEARCH("advance",$B342))+ISNUMBER(SEARCH("payout",$B342))+ISNUMBER(SEARCH("pay out",$B342))+ISNUMBER(SEARCH("reimburs",$B342))&gt;0,"Transfer",IF(ISNUMBER(SEARCH("loan",$B342))+ISNUMBER(SEARCH("amort",$B342))+ISNUMBER(SEARCH("installment",$B342))+ISNUMBER(SEARCH("instalment",$B342))&gt;0,"Financing",IF(ISNUMBER(SEARCH("draw",$B342))+ISNUMBER(SEARCH("owner",$B342))+ISNUMBER(SEARCH("asset",$B342))+ISNUMBER(SEARCH("capital",$B342))&gt;0,"Other",IF(ISNUMBER(SEARCH("fuel",$B342))+ISNUMBER(SEARCH("diesel",$B342))+ISNUMBER(SEARCH("krudo",$B342))+ISNUMBER(SEARCH("gasolina",$B342))+ISNUMBER(SEARCH("toll",$B342))+ISNUMBER(SEARCH("parking",$B342))+ISNUMBER(SEARCH("repair",$B342))+ISNUMBER(SEARCH("maintenance",$B342))+ISNUMBER(SEARCH("tire",$B342))+ISNUMBER(SEARCH("tyre",$B342))+ISNUMBER(SEARCH("battery",$B342))+ISNUMBER(SEARCH("oil",$B342))+ISNUMBER(SEARCH("filter",$B342))+ISNUMBER(SEARCH("spare",$B342))+ISNUMBER(SEARCH("insurance",$B342))+ISNUMBER(SEARCH("lto",$B342))+ISNUMBER(SEARCH("registration",$B342))+ISNUMBER(SEARCH("emission",$B342))+ISNUMBER(SEARCH("wash",$B342))+ISNUMBER(SEARCH("weigh",$B342))+ISNUMBER(SEARCH("tarp",$B342))&gt;0,"Vehicle",IF(ISNUMBER(SEARCH("rent",$B342))+ISNUMBER(SEARCH("upa",$B342))+ISNUMBER(SEARCH("salary",$B342))+ISNUMBER(SEARCH("sweldo",$B342))+ISNUMBER(SEARCH("wage",$B342))+ISNUMBER(SEARCH("electric",$B342))+ISNUMBER(SEARCH("kuryente",$B342))+ISNUMBER(SEARCH("water",$B342))+ISNUMBER(SEARCH("tubig",$B342))+ISNUMBER(SEARCH("internet",$B342))+ISNUMBER(SEARCH("pldt",$B342))+ISNUMBER(SEARCH("meralco",$B342))+ISNUMBER(SEARCH("supplies",$B342))+ISNUMBER(SEARCH("office",$B342))+ISNUMBER(SEARCH("professional",$B342))+ISNUMBER(SEARCH("accountant",$B342))+ISNUMBER(SEARCH("lawyer",$B342))+ISNUMBER(SEARCH("broker",$B342))+ISNUMBER(SEARCH("bank",$B342))+ISNUMBER(SEARCH("charge",$B342))+ISNUMBER(SEARCH("permit",$B342))+ISNUMBER(SEARCH("bir",$B342))+ISNUMBER(SEARCH("ltfrb",$B342))+ISNUMBER(SEARCH("misc",$B342))+ISNUMBER(SEARCH("fee",$B342))&gt;0,"Overhead","Overhead")))))))</f>
        <v/>
      </c>
      <c r="J342">
        <f>IF($A342="","",DATE(YEAR($A342),MONTH($A342),1))</f>
        <v/>
      </c>
      <c r="K342">
        <f>IF($B342="","",IF(COUNTIF(Setup!$A$99:$A$128,$B342)&gt;0,0,1))</f>
        <v/>
      </c>
      <c r="L342">
        <f>IF($B342="","",IF(ISNUMBER(SEARCH("advance",$B342)),"ADV",IF(OR(ISNUMBER(SEARCH("payout",$B342)),ISNUMBER(SEARCH("pay out",$B342)),ISNUMBER(SEARCH("release",$B342))),"PAY","")))</f>
        <v/>
      </c>
      <c r="M342">
        <f>IF($B342="","",IF(ISNUMBER(SEARCH("bulk",$B342)),0,IF(ISNUMBER(SEARCH("fuel",$B342))+ISNUMBER(SEARCH("diesel",$B342))+ISNUMBER(SEARCH("krudo",$B342))+ISNUMBER(SEARCH("gasolina",$B342))&gt;0,1,0)))</f>
        <v/>
      </c>
      <c r="N342">
        <f>IF($B342="","",IF(ISNUMBER(SEARCH("fuel",$B342))+ISNUMBER(SEARCH("diesel",$B342))+ISNUMBER(SEARCH("krudo",$B342))+ISNUMBER(SEARCH("gasolina",$B342))&gt;0,1,0))</f>
        <v/>
      </c>
    </row>
    <row r="343">
      <c r="A343" s="86" t="n"/>
      <c r="B343" s="88" t="n"/>
      <c r="C343" s="88" t="n"/>
      <c r="D343" s="87" t="n"/>
      <c r="E343" s="88" t="n"/>
      <c r="F343" s="92" t="n"/>
      <c r="G343" s="87" t="n"/>
      <c r="H343" s="87" t="n"/>
      <c r="I343" s="101">
        <f>IF($B343="","",IF(COUNTIF(Setup!$A$99:$A$128,$B343)&gt;0,IF(INDEX(Setup!$B$99:$B$128,MATCH($B343,Setup!$A$99:$A$128,0))="","Overhead",INDEX(Setup!$B$99:$B$128,MATCH($B343,Setup!$A$99:$A$128,0))),IF(ISNUMBER(SEARCH("advance",$B343))+ISNUMBER(SEARCH("payout",$B343))+ISNUMBER(SEARCH("pay out",$B343))+ISNUMBER(SEARCH("reimburs",$B343))&gt;0,"Transfer",IF(ISNUMBER(SEARCH("loan",$B343))+ISNUMBER(SEARCH("amort",$B343))+ISNUMBER(SEARCH("installment",$B343))+ISNUMBER(SEARCH("instalment",$B343))&gt;0,"Financing",IF(ISNUMBER(SEARCH("draw",$B343))+ISNUMBER(SEARCH("owner",$B343))+ISNUMBER(SEARCH("asset",$B343))+ISNUMBER(SEARCH("capital",$B343))&gt;0,"Other",IF(ISNUMBER(SEARCH("fuel",$B343))+ISNUMBER(SEARCH("diesel",$B343))+ISNUMBER(SEARCH("krudo",$B343))+ISNUMBER(SEARCH("gasolina",$B343))+ISNUMBER(SEARCH("toll",$B343))+ISNUMBER(SEARCH("parking",$B343))+ISNUMBER(SEARCH("repair",$B343))+ISNUMBER(SEARCH("maintenance",$B343))+ISNUMBER(SEARCH("tire",$B343))+ISNUMBER(SEARCH("tyre",$B343))+ISNUMBER(SEARCH("battery",$B343))+ISNUMBER(SEARCH("oil",$B343))+ISNUMBER(SEARCH("filter",$B343))+ISNUMBER(SEARCH("spare",$B343))+ISNUMBER(SEARCH("insurance",$B343))+ISNUMBER(SEARCH("lto",$B343))+ISNUMBER(SEARCH("registration",$B343))+ISNUMBER(SEARCH("emission",$B343))+ISNUMBER(SEARCH("wash",$B343))+ISNUMBER(SEARCH("weigh",$B343))+ISNUMBER(SEARCH("tarp",$B343))&gt;0,"Vehicle",IF(ISNUMBER(SEARCH("rent",$B343))+ISNUMBER(SEARCH("upa",$B343))+ISNUMBER(SEARCH("salary",$B343))+ISNUMBER(SEARCH("sweldo",$B343))+ISNUMBER(SEARCH("wage",$B343))+ISNUMBER(SEARCH("electric",$B343))+ISNUMBER(SEARCH("kuryente",$B343))+ISNUMBER(SEARCH("water",$B343))+ISNUMBER(SEARCH("tubig",$B343))+ISNUMBER(SEARCH("internet",$B343))+ISNUMBER(SEARCH("pldt",$B343))+ISNUMBER(SEARCH("meralco",$B343))+ISNUMBER(SEARCH("supplies",$B343))+ISNUMBER(SEARCH("office",$B343))+ISNUMBER(SEARCH("professional",$B343))+ISNUMBER(SEARCH("accountant",$B343))+ISNUMBER(SEARCH("lawyer",$B343))+ISNUMBER(SEARCH("broker",$B343))+ISNUMBER(SEARCH("bank",$B343))+ISNUMBER(SEARCH("charge",$B343))+ISNUMBER(SEARCH("permit",$B343))+ISNUMBER(SEARCH("bir",$B343))+ISNUMBER(SEARCH("ltfrb",$B343))+ISNUMBER(SEARCH("misc",$B343))+ISNUMBER(SEARCH("fee",$B343))&gt;0,"Overhead","Overhead")))))))</f>
        <v/>
      </c>
      <c r="J343">
        <f>IF($A343="","",DATE(YEAR($A343),MONTH($A343),1))</f>
        <v/>
      </c>
      <c r="K343">
        <f>IF($B343="","",IF(COUNTIF(Setup!$A$99:$A$128,$B343)&gt;0,0,1))</f>
        <v/>
      </c>
      <c r="L343">
        <f>IF($B343="","",IF(ISNUMBER(SEARCH("advance",$B343)),"ADV",IF(OR(ISNUMBER(SEARCH("payout",$B343)),ISNUMBER(SEARCH("pay out",$B343)),ISNUMBER(SEARCH("release",$B343))),"PAY","")))</f>
        <v/>
      </c>
      <c r="M343">
        <f>IF($B343="","",IF(ISNUMBER(SEARCH("bulk",$B343)),0,IF(ISNUMBER(SEARCH("fuel",$B343))+ISNUMBER(SEARCH("diesel",$B343))+ISNUMBER(SEARCH("krudo",$B343))+ISNUMBER(SEARCH("gasolina",$B343))&gt;0,1,0)))</f>
        <v/>
      </c>
      <c r="N343">
        <f>IF($B343="","",IF(ISNUMBER(SEARCH("fuel",$B343))+ISNUMBER(SEARCH("diesel",$B343))+ISNUMBER(SEARCH("krudo",$B343))+ISNUMBER(SEARCH("gasolina",$B343))&gt;0,1,0))</f>
        <v/>
      </c>
    </row>
    <row r="344">
      <c r="A344" s="94" t="n"/>
      <c r="B344" s="96" t="n"/>
      <c r="C344" s="96" t="n"/>
      <c r="D344" s="95" t="n"/>
      <c r="E344" s="96" t="n"/>
      <c r="F344" s="99" t="n"/>
      <c r="G344" s="95" t="n"/>
      <c r="H344" s="95" t="n"/>
      <c r="I344" s="101">
        <f>IF($B344="","",IF(COUNTIF(Setup!$A$99:$A$128,$B344)&gt;0,IF(INDEX(Setup!$B$99:$B$128,MATCH($B344,Setup!$A$99:$A$128,0))="","Overhead",INDEX(Setup!$B$99:$B$128,MATCH($B344,Setup!$A$99:$A$128,0))),IF(ISNUMBER(SEARCH("advance",$B344))+ISNUMBER(SEARCH("payout",$B344))+ISNUMBER(SEARCH("pay out",$B344))+ISNUMBER(SEARCH("reimburs",$B344))&gt;0,"Transfer",IF(ISNUMBER(SEARCH("loan",$B344))+ISNUMBER(SEARCH("amort",$B344))+ISNUMBER(SEARCH("installment",$B344))+ISNUMBER(SEARCH("instalment",$B344))&gt;0,"Financing",IF(ISNUMBER(SEARCH("draw",$B344))+ISNUMBER(SEARCH("owner",$B344))+ISNUMBER(SEARCH("asset",$B344))+ISNUMBER(SEARCH("capital",$B344))&gt;0,"Other",IF(ISNUMBER(SEARCH("fuel",$B344))+ISNUMBER(SEARCH("diesel",$B344))+ISNUMBER(SEARCH("krudo",$B344))+ISNUMBER(SEARCH("gasolina",$B344))+ISNUMBER(SEARCH("toll",$B344))+ISNUMBER(SEARCH("parking",$B344))+ISNUMBER(SEARCH("repair",$B344))+ISNUMBER(SEARCH("maintenance",$B344))+ISNUMBER(SEARCH("tire",$B344))+ISNUMBER(SEARCH("tyre",$B344))+ISNUMBER(SEARCH("battery",$B344))+ISNUMBER(SEARCH("oil",$B344))+ISNUMBER(SEARCH("filter",$B344))+ISNUMBER(SEARCH("spare",$B344))+ISNUMBER(SEARCH("insurance",$B344))+ISNUMBER(SEARCH("lto",$B344))+ISNUMBER(SEARCH("registration",$B344))+ISNUMBER(SEARCH("emission",$B344))+ISNUMBER(SEARCH("wash",$B344))+ISNUMBER(SEARCH("weigh",$B344))+ISNUMBER(SEARCH("tarp",$B344))&gt;0,"Vehicle",IF(ISNUMBER(SEARCH("rent",$B344))+ISNUMBER(SEARCH("upa",$B344))+ISNUMBER(SEARCH("salary",$B344))+ISNUMBER(SEARCH("sweldo",$B344))+ISNUMBER(SEARCH("wage",$B344))+ISNUMBER(SEARCH("electric",$B344))+ISNUMBER(SEARCH("kuryente",$B344))+ISNUMBER(SEARCH("water",$B344))+ISNUMBER(SEARCH("tubig",$B344))+ISNUMBER(SEARCH("internet",$B344))+ISNUMBER(SEARCH("pldt",$B344))+ISNUMBER(SEARCH("meralco",$B344))+ISNUMBER(SEARCH("supplies",$B344))+ISNUMBER(SEARCH("office",$B344))+ISNUMBER(SEARCH("professional",$B344))+ISNUMBER(SEARCH("accountant",$B344))+ISNUMBER(SEARCH("lawyer",$B344))+ISNUMBER(SEARCH("broker",$B344))+ISNUMBER(SEARCH("bank",$B344))+ISNUMBER(SEARCH("charge",$B344))+ISNUMBER(SEARCH("permit",$B344))+ISNUMBER(SEARCH("bir",$B344))+ISNUMBER(SEARCH("ltfrb",$B344))+ISNUMBER(SEARCH("misc",$B344))+ISNUMBER(SEARCH("fee",$B344))&gt;0,"Overhead","Overhead")))))))</f>
        <v/>
      </c>
      <c r="J344">
        <f>IF($A344="","",DATE(YEAR($A344),MONTH($A344),1))</f>
        <v/>
      </c>
      <c r="K344">
        <f>IF($B344="","",IF(COUNTIF(Setup!$A$99:$A$128,$B344)&gt;0,0,1))</f>
        <v/>
      </c>
      <c r="L344">
        <f>IF($B344="","",IF(ISNUMBER(SEARCH("advance",$B344)),"ADV",IF(OR(ISNUMBER(SEARCH("payout",$B344)),ISNUMBER(SEARCH("pay out",$B344)),ISNUMBER(SEARCH("release",$B344))),"PAY","")))</f>
        <v/>
      </c>
      <c r="M344">
        <f>IF($B344="","",IF(ISNUMBER(SEARCH("bulk",$B344)),0,IF(ISNUMBER(SEARCH("fuel",$B344))+ISNUMBER(SEARCH("diesel",$B344))+ISNUMBER(SEARCH("krudo",$B344))+ISNUMBER(SEARCH("gasolina",$B344))&gt;0,1,0)))</f>
        <v/>
      </c>
      <c r="N344">
        <f>IF($B344="","",IF(ISNUMBER(SEARCH("fuel",$B344))+ISNUMBER(SEARCH("diesel",$B344))+ISNUMBER(SEARCH("krudo",$B344))+ISNUMBER(SEARCH("gasolina",$B344))&gt;0,1,0))</f>
        <v/>
      </c>
    </row>
    <row r="345">
      <c r="A345" s="86" t="n"/>
      <c r="B345" s="88" t="n"/>
      <c r="C345" s="88" t="n"/>
      <c r="D345" s="87" t="n"/>
      <c r="E345" s="88" t="n"/>
      <c r="F345" s="92" t="n"/>
      <c r="G345" s="87" t="n"/>
      <c r="H345" s="87" t="n"/>
      <c r="I345" s="101">
        <f>IF($B345="","",IF(COUNTIF(Setup!$A$99:$A$128,$B345)&gt;0,IF(INDEX(Setup!$B$99:$B$128,MATCH($B345,Setup!$A$99:$A$128,0))="","Overhead",INDEX(Setup!$B$99:$B$128,MATCH($B345,Setup!$A$99:$A$128,0))),IF(ISNUMBER(SEARCH("advance",$B345))+ISNUMBER(SEARCH("payout",$B345))+ISNUMBER(SEARCH("pay out",$B345))+ISNUMBER(SEARCH("reimburs",$B345))&gt;0,"Transfer",IF(ISNUMBER(SEARCH("loan",$B345))+ISNUMBER(SEARCH("amort",$B345))+ISNUMBER(SEARCH("installment",$B345))+ISNUMBER(SEARCH("instalment",$B345))&gt;0,"Financing",IF(ISNUMBER(SEARCH("draw",$B345))+ISNUMBER(SEARCH("owner",$B345))+ISNUMBER(SEARCH("asset",$B345))+ISNUMBER(SEARCH("capital",$B345))&gt;0,"Other",IF(ISNUMBER(SEARCH("fuel",$B345))+ISNUMBER(SEARCH("diesel",$B345))+ISNUMBER(SEARCH("krudo",$B345))+ISNUMBER(SEARCH("gasolina",$B345))+ISNUMBER(SEARCH("toll",$B345))+ISNUMBER(SEARCH("parking",$B345))+ISNUMBER(SEARCH("repair",$B345))+ISNUMBER(SEARCH("maintenance",$B345))+ISNUMBER(SEARCH("tire",$B345))+ISNUMBER(SEARCH("tyre",$B345))+ISNUMBER(SEARCH("battery",$B345))+ISNUMBER(SEARCH("oil",$B345))+ISNUMBER(SEARCH("filter",$B345))+ISNUMBER(SEARCH("spare",$B345))+ISNUMBER(SEARCH("insurance",$B345))+ISNUMBER(SEARCH("lto",$B345))+ISNUMBER(SEARCH("registration",$B345))+ISNUMBER(SEARCH("emission",$B345))+ISNUMBER(SEARCH("wash",$B345))+ISNUMBER(SEARCH("weigh",$B345))+ISNUMBER(SEARCH("tarp",$B345))&gt;0,"Vehicle",IF(ISNUMBER(SEARCH("rent",$B345))+ISNUMBER(SEARCH("upa",$B345))+ISNUMBER(SEARCH("salary",$B345))+ISNUMBER(SEARCH("sweldo",$B345))+ISNUMBER(SEARCH("wage",$B345))+ISNUMBER(SEARCH("electric",$B345))+ISNUMBER(SEARCH("kuryente",$B345))+ISNUMBER(SEARCH("water",$B345))+ISNUMBER(SEARCH("tubig",$B345))+ISNUMBER(SEARCH("internet",$B345))+ISNUMBER(SEARCH("pldt",$B345))+ISNUMBER(SEARCH("meralco",$B345))+ISNUMBER(SEARCH("supplies",$B345))+ISNUMBER(SEARCH("office",$B345))+ISNUMBER(SEARCH("professional",$B345))+ISNUMBER(SEARCH("accountant",$B345))+ISNUMBER(SEARCH("lawyer",$B345))+ISNUMBER(SEARCH("broker",$B345))+ISNUMBER(SEARCH("bank",$B345))+ISNUMBER(SEARCH("charge",$B345))+ISNUMBER(SEARCH("permit",$B345))+ISNUMBER(SEARCH("bir",$B345))+ISNUMBER(SEARCH("ltfrb",$B345))+ISNUMBER(SEARCH("misc",$B345))+ISNUMBER(SEARCH("fee",$B345))&gt;0,"Overhead","Overhead")))))))</f>
        <v/>
      </c>
      <c r="J345">
        <f>IF($A345="","",DATE(YEAR($A345),MONTH($A345),1))</f>
        <v/>
      </c>
      <c r="K345">
        <f>IF($B345="","",IF(COUNTIF(Setup!$A$99:$A$128,$B345)&gt;0,0,1))</f>
        <v/>
      </c>
      <c r="L345">
        <f>IF($B345="","",IF(ISNUMBER(SEARCH("advance",$B345)),"ADV",IF(OR(ISNUMBER(SEARCH("payout",$B345)),ISNUMBER(SEARCH("pay out",$B345)),ISNUMBER(SEARCH("release",$B345))),"PAY","")))</f>
        <v/>
      </c>
      <c r="M345">
        <f>IF($B345="","",IF(ISNUMBER(SEARCH("bulk",$B345)),0,IF(ISNUMBER(SEARCH("fuel",$B345))+ISNUMBER(SEARCH("diesel",$B345))+ISNUMBER(SEARCH("krudo",$B345))+ISNUMBER(SEARCH("gasolina",$B345))&gt;0,1,0)))</f>
        <v/>
      </c>
      <c r="N345">
        <f>IF($B345="","",IF(ISNUMBER(SEARCH("fuel",$B345))+ISNUMBER(SEARCH("diesel",$B345))+ISNUMBER(SEARCH("krudo",$B345))+ISNUMBER(SEARCH("gasolina",$B345))&gt;0,1,0))</f>
        <v/>
      </c>
    </row>
    <row r="346">
      <c r="A346" s="94" t="n"/>
      <c r="B346" s="96" t="n"/>
      <c r="C346" s="96" t="n"/>
      <c r="D346" s="95" t="n"/>
      <c r="E346" s="96" t="n"/>
      <c r="F346" s="99" t="n"/>
      <c r="G346" s="95" t="n"/>
      <c r="H346" s="95" t="n"/>
      <c r="I346" s="101">
        <f>IF($B346="","",IF(COUNTIF(Setup!$A$99:$A$128,$B346)&gt;0,IF(INDEX(Setup!$B$99:$B$128,MATCH($B346,Setup!$A$99:$A$128,0))="","Overhead",INDEX(Setup!$B$99:$B$128,MATCH($B346,Setup!$A$99:$A$128,0))),IF(ISNUMBER(SEARCH("advance",$B346))+ISNUMBER(SEARCH("payout",$B346))+ISNUMBER(SEARCH("pay out",$B346))+ISNUMBER(SEARCH("reimburs",$B346))&gt;0,"Transfer",IF(ISNUMBER(SEARCH("loan",$B346))+ISNUMBER(SEARCH("amort",$B346))+ISNUMBER(SEARCH("installment",$B346))+ISNUMBER(SEARCH("instalment",$B346))&gt;0,"Financing",IF(ISNUMBER(SEARCH("draw",$B346))+ISNUMBER(SEARCH("owner",$B346))+ISNUMBER(SEARCH("asset",$B346))+ISNUMBER(SEARCH("capital",$B346))&gt;0,"Other",IF(ISNUMBER(SEARCH("fuel",$B346))+ISNUMBER(SEARCH("diesel",$B346))+ISNUMBER(SEARCH("krudo",$B346))+ISNUMBER(SEARCH("gasolina",$B346))+ISNUMBER(SEARCH("toll",$B346))+ISNUMBER(SEARCH("parking",$B346))+ISNUMBER(SEARCH("repair",$B346))+ISNUMBER(SEARCH("maintenance",$B346))+ISNUMBER(SEARCH("tire",$B346))+ISNUMBER(SEARCH("tyre",$B346))+ISNUMBER(SEARCH("battery",$B346))+ISNUMBER(SEARCH("oil",$B346))+ISNUMBER(SEARCH("filter",$B346))+ISNUMBER(SEARCH("spare",$B346))+ISNUMBER(SEARCH("insurance",$B346))+ISNUMBER(SEARCH("lto",$B346))+ISNUMBER(SEARCH("registration",$B346))+ISNUMBER(SEARCH("emission",$B346))+ISNUMBER(SEARCH("wash",$B346))+ISNUMBER(SEARCH("weigh",$B346))+ISNUMBER(SEARCH("tarp",$B346))&gt;0,"Vehicle",IF(ISNUMBER(SEARCH("rent",$B346))+ISNUMBER(SEARCH("upa",$B346))+ISNUMBER(SEARCH("salary",$B346))+ISNUMBER(SEARCH("sweldo",$B346))+ISNUMBER(SEARCH("wage",$B346))+ISNUMBER(SEARCH("electric",$B346))+ISNUMBER(SEARCH("kuryente",$B346))+ISNUMBER(SEARCH("water",$B346))+ISNUMBER(SEARCH("tubig",$B346))+ISNUMBER(SEARCH("internet",$B346))+ISNUMBER(SEARCH("pldt",$B346))+ISNUMBER(SEARCH("meralco",$B346))+ISNUMBER(SEARCH("supplies",$B346))+ISNUMBER(SEARCH("office",$B346))+ISNUMBER(SEARCH("professional",$B346))+ISNUMBER(SEARCH("accountant",$B346))+ISNUMBER(SEARCH("lawyer",$B346))+ISNUMBER(SEARCH("broker",$B346))+ISNUMBER(SEARCH("bank",$B346))+ISNUMBER(SEARCH("charge",$B346))+ISNUMBER(SEARCH("permit",$B346))+ISNUMBER(SEARCH("bir",$B346))+ISNUMBER(SEARCH("ltfrb",$B346))+ISNUMBER(SEARCH("misc",$B346))+ISNUMBER(SEARCH("fee",$B346))&gt;0,"Overhead","Overhead")))))))</f>
        <v/>
      </c>
      <c r="J346">
        <f>IF($A346="","",DATE(YEAR($A346),MONTH($A346),1))</f>
        <v/>
      </c>
      <c r="K346">
        <f>IF($B346="","",IF(COUNTIF(Setup!$A$99:$A$128,$B346)&gt;0,0,1))</f>
        <v/>
      </c>
      <c r="L346">
        <f>IF($B346="","",IF(ISNUMBER(SEARCH("advance",$B346)),"ADV",IF(OR(ISNUMBER(SEARCH("payout",$B346)),ISNUMBER(SEARCH("pay out",$B346)),ISNUMBER(SEARCH("release",$B346))),"PAY","")))</f>
        <v/>
      </c>
      <c r="M346">
        <f>IF($B346="","",IF(ISNUMBER(SEARCH("bulk",$B346)),0,IF(ISNUMBER(SEARCH("fuel",$B346))+ISNUMBER(SEARCH("diesel",$B346))+ISNUMBER(SEARCH("krudo",$B346))+ISNUMBER(SEARCH("gasolina",$B346))&gt;0,1,0)))</f>
        <v/>
      </c>
      <c r="N346">
        <f>IF($B346="","",IF(ISNUMBER(SEARCH("fuel",$B346))+ISNUMBER(SEARCH("diesel",$B346))+ISNUMBER(SEARCH("krudo",$B346))+ISNUMBER(SEARCH("gasolina",$B346))&gt;0,1,0))</f>
        <v/>
      </c>
    </row>
    <row r="347">
      <c r="A347" s="86" t="n"/>
      <c r="B347" s="88" t="n"/>
      <c r="C347" s="88" t="n"/>
      <c r="D347" s="87" t="n"/>
      <c r="E347" s="88" t="n"/>
      <c r="F347" s="92" t="n"/>
      <c r="G347" s="87" t="n"/>
      <c r="H347" s="87" t="n"/>
      <c r="I347" s="101">
        <f>IF($B347="","",IF(COUNTIF(Setup!$A$99:$A$128,$B347)&gt;0,IF(INDEX(Setup!$B$99:$B$128,MATCH($B347,Setup!$A$99:$A$128,0))="","Overhead",INDEX(Setup!$B$99:$B$128,MATCH($B347,Setup!$A$99:$A$128,0))),IF(ISNUMBER(SEARCH("advance",$B347))+ISNUMBER(SEARCH("payout",$B347))+ISNUMBER(SEARCH("pay out",$B347))+ISNUMBER(SEARCH("reimburs",$B347))&gt;0,"Transfer",IF(ISNUMBER(SEARCH("loan",$B347))+ISNUMBER(SEARCH("amort",$B347))+ISNUMBER(SEARCH("installment",$B347))+ISNUMBER(SEARCH("instalment",$B347))&gt;0,"Financing",IF(ISNUMBER(SEARCH("draw",$B347))+ISNUMBER(SEARCH("owner",$B347))+ISNUMBER(SEARCH("asset",$B347))+ISNUMBER(SEARCH("capital",$B347))&gt;0,"Other",IF(ISNUMBER(SEARCH("fuel",$B347))+ISNUMBER(SEARCH("diesel",$B347))+ISNUMBER(SEARCH("krudo",$B347))+ISNUMBER(SEARCH("gasolina",$B347))+ISNUMBER(SEARCH("toll",$B347))+ISNUMBER(SEARCH("parking",$B347))+ISNUMBER(SEARCH("repair",$B347))+ISNUMBER(SEARCH("maintenance",$B347))+ISNUMBER(SEARCH("tire",$B347))+ISNUMBER(SEARCH("tyre",$B347))+ISNUMBER(SEARCH("battery",$B347))+ISNUMBER(SEARCH("oil",$B347))+ISNUMBER(SEARCH("filter",$B347))+ISNUMBER(SEARCH("spare",$B347))+ISNUMBER(SEARCH("insurance",$B347))+ISNUMBER(SEARCH("lto",$B347))+ISNUMBER(SEARCH("registration",$B347))+ISNUMBER(SEARCH("emission",$B347))+ISNUMBER(SEARCH("wash",$B347))+ISNUMBER(SEARCH("weigh",$B347))+ISNUMBER(SEARCH("tarp",$B347))&gt;0,"Vehicle",IF(ISNUMBER(SEARCH("rent",$B347))+ISNUMBER(SEARCH("upa",$B347))+ISNUMBER(SEARCH("salary",$B347))+ISNUMBER(SEARCH("sweldo",$B347))+ISNUMBER(SEARCH("wage",$B347))+ISNUMBER(SEARCH("electric",$B347))+ISNUMBER(SEARCH("kuryente",$B347))+ISNUMBER(SEARCH("water",$B347))+ISNUMBER(SEARCH("tubig",$B347))+ISNUMBER(SEARCH("internet",$B347))+ISNUMBER(SEARCH("pldt",$B347))+ISNUMBER(SEARCH("meralco",$B347))+ISNUMBER(SEARCH("supplies",$B347))+ISNUMBER(SEARCH("office",$B347))+ISNUMBER(SEARCH("professional",$B347))+ISNUMBER(SEARCH("accountant",$B347))+ISNUMBER(SEARCH("lawyer",$B347))+ISNUMBER(SEARCH("broker",$B347))+ISNUMBER(SEARCH("bank",$B347))+ISNUMBER(SEARCH("charge",$B347))+ISNUMBER(SEARCH("permit",$B347))+ISNUMBER(SEARCH("bir",$B347))+ISNUMBER(SEARCH("ltfrb",$B347))+ISNUMBER(SEARCH("misc",$B347))+ISNUMBER(SEARCH("fee",$B347))&gt;0,"Overhead","Overhead")))))))</f>
        <v/>
      </c>
      <c r="J347">
        <f>IF($A347="","",DATE(YEAR($A347),MONTH($A347),1))</f>
        <v/>
      </c>
      <c r="K347">
        <f>IF($B347="","",IF(COUNTIF(Setup!$A$99:$A$128,$B347)&gt;0,0,1))</f>
        <v/>
      </c>
      <c r="L347">
        <f>IF($B347="","",IF(ISNUMBER(SEARCH("advance",$B347)),"ADV",IF(OR(ISNUMBER(SEARCH("payout",$B347)),ISNUMBER(SEARCH("pay out",$B347)),ISNUMBER(SEARCH("release",$B347))),"PAY","")))</f>
        <v/>
      </c>
      <c r="M347">
        <f>IF($B347="","",IF(ISNUMBER(SEARCH("bulk",$B347)),0,IF(ISNUMBER(SEARCH("fuel",$B347))+ISNUMBER(SEARCH("diesel",$B347))+ISNUMBER(SEARCH("krudo",$B347))+ISNUMBER(SEARCH("gasolina",$B347))&gt;0,1,0)))</f>
        <v/>
      </c>
      <c r="N347">
        <f>IF($B347="","",IF(ISNUMBER(SEARCH("fuel",$B347))+ISNUMBER(SEARCH("diesel",$B347))+ISNUMBER(SEARCH("krudo",$B347))+ISNUMBER(SEARCH("gasolina",$B347))&gt;0,1,0))</f>
        <v/>
      </c>
    </row>
    <row r="348">
      <c r="A348" s="94" t="n"/>
      <c r="B348" s="96" t="n"/>
      <c r="C348" s="96" t="n"/>
      <c r="D348" s="95" t="n"/>
      <c r="E348" s="96" t="n"/>
      <c r="F348" s="99" t="n"/>
      <c r="G348" s="95" t="n"/>
      <c r="H348" s="95" t="n"/>
      <c r="I348" s="101">
        <f>IF($B348="","",IF(COUNTIF(Setup!$A$99:$A$128,$B348)&gt;0,IF(INDEX(Setup!$B$99:$B$128,MATCH($B348,Setup!$A$99:$A$128,0))="","Overhead",INDEX(Setup!$B$99:$B$128,MATCH($B348,Setup!$A$99:$A$128,0))),IF(ISNUMBER(SEARCH("advance",$B348))+ISNUMBER(SEARCH("payout",$B348))+ISNUMBER(SEARCH("pay out",$B348))+ISNUMBER(SEARCH("reimburs",$B348))&gt;0,"Transfer",IF(ISNUMBER(SEARCH("loan",$B348))+ISNUMBER(SEARCH("amort",$B348))+ISNUMBER(SEARCH("installment",$B348))+ISNUMBER(SEARCH("instalment",$B348))&gt;0,"Financing",IF(ISNUMBER(SEARCH("draw",$B348))+ISNUMBER(SEARCH("owner",$B348))+ISNUMBER(SEARCH("asset",$B348))+ISNUMBER(SEARCH("capital",$B348))&gt;0,"Other",IF(ISNUMBER(SEARCH("fuel",$B348))+ISNUMBER(SEARCH("diesel",$B348))+ISNUMBER(SEARCH("krudo",$B348))+ISNUMBER(SEARCH("gasolina",$B348))+ISNUMBER(SEARCH("toll",$B348))+ISNUMBER(SEARCH("parking",$B348))+ISNUMBER(SEARCH("repair",$B348))+ISNUMBER(SEARCH("maintenance",$B348))+ISNUMBER(SEARCH("tire",$B348))+ISNUMBER(SEARCH("tyre",$B348))+ISNUMBER(SEARCH("battery",$B348))+ISNUMBER(SEARCH("oil",$B348))+ISNUMBER(SEARCH("filter",$B348))+ISNUMBER(SEARCH("spare",$B348))+ISNUMBER(SEARCH("insurance",$B348))+ISNUMBER(SEARCH("lto",$B348))+ISNUMBER(SEARCH("registration",$B348))+ISNUMBER(SEARCH("emission",$B348))+ISNUMBER(SEARCH("wash",$B348))+ISNUMBER(SEARCH("weigh",$B348))+ISNUMBER(SEARCH("tarp",$B348))&gt;0,"Vehicle",IF(ISNUMBER(SEARCH("rent",$B348))+ISNUMBER(SEARCH("upa",$B348))+ISNUMBER(SEARCH("salary",$B348))+ISNUMBER(SEARCH("sweldo",$B348))+ISNUMBER(SEARCH("wage",$B348))+ISNUMBER(SEARCH("electric",$B348))+ISNUMBER(SEARCH("kuryente",$B348))+ISNUMBER(SEARCH("water",$B348))+ISNUMBER(SEARCH("tubig",$B348))+ISNUMBER(SEARCH("internet",$B348))+ISNUMBER(SEARCH("pldt",$B348))+ISNUMBER(SEARCH("meralco",$B348))+ISNUMBER(SEARCH("supplies",$B348))+ISNUMBER(SEARCH("office",$B348))+ISNUMBER(SEARCH("professional",$B348))+ISNUMBER(SEARCH("accountant",$B348))+ISNUMBER(SEARCH("lawyer",$B348))+ISNUMBER(SEARCH("broker",$B348))+ISNUMBER(SEARCH("bank",$B348))+ISNUMBER(SEARCH("charge",$B348))+ISNUMBER(SEARCH("permit",$B348))+ISNUMBER(SEARCH("bir",$B348))+ISNUMBER(SEARCH("ltfrb",$B348))+ISNUMBER(SEARCH("misc",$B348))+ISNUMBER(SEARCH("fee",$B348))&gt;0,"Overhead","Overhead")))))))</f>
        <v/>
      </c>
      <c r="J348">
        <f>IF($A348="","",DATE(YEAR($A348),MONTH($A348),1))</f>
        <v/>
      </c>
      <c r="K348">
        <f>IF($B348="","",IF(COUNTIF(Setup!$A$99:$A$128,$B348)&gt;0,0,1))</f>
        <v/>
      </c>
      <c r="L348">
        <f>IF($B348="","",IF(ISNUMBER(SEARCH("advance",$B348)),"ADV",IF(OR(ISNUMBER(SEARCH("payout",$B348)),ISNUMBER(SEARCH("pay out",$B348)),ISNUMBER(SEARCH("release",$B348))),"PAY","")))</f>
        <v/>
      </c>
      <c r="M348">
        <f>IF($B348="","",IF(ISNUMBER(SEARCH("bulk",$B348)),0,IF(ISNUMBER(SEARCH("fuel",$B348))+ISNUMBER(SEARCH("diesel",$B348))+ISNUMBER(SEARCH("krudo",$B348))+ISNUMBER(SEARCH("gasolina",$B348))&gt;0,1,0)))</f>
        <v/>
      </c>
      <c r="N348">
        <f>IF($B348="","",IF(ISNUMBER(SEARCH("fuel",$B348))+ISNUMBER(SEARCH("diesel",$B348))+ISNUMBER(SEARCH("krudo",$B348))+ISNUMBER(SEARCH("gasolina",$B348))&gt;0,1,0))</f>
        <v/>
      </c>
    </row>
    <row r="349">
      <c r="A349" s="86" t="n"/>
      <c r="B349" s="88" t="n"/>
      <c r="C349" s="88" t="n"/>
      <c r="D349" s="87" t="n"/>
      <c r="E349" s="88" t="n"/>
      <c r="F349" s="92" t="n"/>
      <c r="G349" s="87" t="n"/>
      <c r="H349" s="87" t="n"/>
      <c r="I349" s="101">
        <f>IF($B349="","",IF(COUNTIF(Setup!$A$99:$A$128,$B349)&gt;0,IF(INDEX(Setup!$B$99:$B$128,MATCH($B349,Setup!$A$99:$A$128,0))="","Overhead",INDEX(Setup!$B$99:$B$128,MATCH($B349,Setup!$A$99:$A$128,0))),IF(ISNUMBER(SEARCH("advance",$B349))+ISNUMBER(SEARCH("payout",$B349))+ISNUMBER(SEARCH("pay out",$B349))+ISNUMBER(SEARCH("reimburs",$B349))&gt;0,"Transfer",IF(ISNUMBER(SEARCH("loan",$B349))+ISNUMBER(SEARCH("amort",$B349))+ISNUMBER(SEARCH("installment",$B349))+ISNUMBER(SEARCH("instalment",$B349))&gt;0,"Financing",IF(ISNUMBER(SEARCH("draw",$B349))+ISNUMBER(SEARCH("owner",$B349))+ISNUMBER(SEARCH("asset",$B349))+ISNUMBER(SEARCH("capital",$B349))&gt;0,"Other",IF(ISNUMBER(SEARCH("fuel",$B349))+ISNUMBER(SEARCH("diesel",$B349))+ISNUMBER(SEARCH("krudo",$B349))+ISNUMBER(SEARCH("gasolina",$B349))+ISNUMBER(SEARCH("toll",$B349))+ISNUMBER(SEARCH("parking",$B349))+ISNUMBER(SEARCH("repair",$B349))+ISNUMBER(SEARCH("maintenance",$B349))+ISNUMBER(SEARCH("tire",$B349))+ISNUMBER(SEARCH("tyre",$B349))+ISNUMBER(SEARCH("battery",$B349))+ISNUMBER(SEARCH("oil",$B349))+ISNUMBER(SEARCH("filter",$B349))+ISNUMBER(SEARCH("spare",$B349))+ISNUMBER(SEARCH("insurance",$B349))+ISNUMBER(SEARCH("lto",$B349))+ISNUMBER(SEARCH("registration",$B349))+ISNUMBER(SEARCH("emission",$B349))+ISNUMBER(SEARCH("wash",$B349))+ISNUMBER(SEARCH("weigh",$B349))+ISNUMBER(SEARCH("tarp",$B349))&gt;0,"Vehicle",IF(ISNUMBER(SEARCH("rent",$B349))+ISNUMBER(SEARCH("upa",$B349))+ISNUMBER(SEARCH("salary",$B349))+ISNUMBER(SEARCH("sweldo",$B349))+ISNUMBER(SEARCH("wage",$B349))+ISNUMBER(SEARCH("electric",$B349))+ISNUMBER(SEARCH("kuryente",$B349))+ISNUMBER(SEARCH("water",$B349))+ISNUMBER(SEARCH("tubig",$B349))+ISNUMBER(SEARCH("internet",$B349))+ISNUMBER(SEARCH("pldt",$B349))+ISNUMBER(SEARCH("meralco",$B349))+ISNUMBER(SEARCH("supplies",$B349))+ISNUMBER(SEARCH("office",$B349))+ISNUMBER(SEARCH("professional",$B349))+ISNUMBER(SEARCH("accountant",$B349))+ISNUMBER(SEARCH("lawyer",$B349))+ISNUMBER(SEARCH("broker",$B349))+ISNUMBER(SEARCH("bank",$B349))+ISNUMBER(SEARCH("charge",$B349))+ISNUMBER(SEARCH("permit",$B349))+ISNUMBER(SEARCH("bir",$B349))+ISNUMBER(SEARCH("ltfrb",$B349))+ISNUMBER(SEARCH("misc",$B349))+ISNUMBER(SEARCH("fee",$B349))&gt;0,"Overhead","Overhead")))))))</f>
        <v/>
      </c>
      <c r="J349">
        <f>IF($A349="","",DATE(YEAR($A349),MONTH($A349),1))</f>
        <v/>
      </c>
      <c r="K349">
        <f>IF($B349="","",IF(COUNTIF(Setup!$A$99:$A$128,$B349)&gt;0,0,1))</f>
        <v/>
      </c>
      <c r="L349">
        <f>IF($B349="","",IF(ISNUMBER(SEARCH("advance",$B349)),"ADV",IF(OR(ISNUMBER(SEARCH("payout",$B349)),ISNUMBER(SEARCH("pay out",$B349)),ISNUMBER(SEARCH("release",$B349))),"PAY","")))</f>
        <v/>
      </c>
      <c r="M349">
        <f>IF($B349="","",IF(ISNUMBER(SEARCH("bulk",$B349)),0,IF(ISNUMBER(SEARCH("fuel",$B349))+ISNUMBER(SEARCH("diesel",$B349))+ISNUMBER(SEARCH("krudo",$B349))+ISNUMBER(SEARCH("gasolina",$B349))&gt;0,1,0)))</f>
        <v/>
      </c>
      <c r="N349">
        <f>IF($B349="","",IF(ISNUMBER(SEARCH("fuel",$B349))+ISNUMBER(SEARCH("diesel",$B349))+ISNUMBER(SEARCH("krudo",$B349))+ISNUMBER(SEARCH("gasolina",$B349))&gt;0,1,0))</f>
        <v/>
      </c>
    </row>
    <row r="350">
      <c r="A350" s="94" t="n"/>
      <c r="B350" s="96" t="n"/>
      <c r="C350" s="96" t="n"/>
      <c r="D350" s="95" t="n"/>
      <c r="E350" s="96" t="n"/>
      <c r="F350" s="99" t="n"/>
      <c r="G350" s="95" t="n"/>
      <c r="H350" s="95" t="n"/>
      <c r="I350" s="101">
        <f>IF($B350="","",IF(COUNTIF(Setup!$A$99:$A$128,$B350)&gt;0,IF(INDEX(Setup!$B$99:$B$128,MATCH($B350,Setup!$A$99:$A$128,0))="","Overhead",INDEX(Setup!$B$99:$B$128,MATCH($B350,Setup!$A$99:$A$128,0))),IF(ISNUMBER(SEARCH("advance",$B350))+ISNUMBER(SEARCH("payout",$B350))+ISNUMBER(SEARCH("pay out",$B350))+ISNUMBER(SEARCH("reimburs",$B350))&gt;0,"Transfer",IF(ISNUMBER(SEARCH("loan",$B350))+ISNUMBER(SEARCH("amort",$B350))+ISNUMBER(SEARCH("installment",$B350))+ISNUMBER(SEARCH("instalment",$B350))&gt;0,"Financing",IF(ISNUMBER(SEARCH("draw",$B350))+ISNUMBER(SEARCH("owner",$B350))+ISNUMBER(SEARCH("asset",$B350))+ISNUMBER(SEARCH("capital",$B350))&gt;0,"Other",IF(ISNUMBER(SEARCH("fuel",$B350))+ISNUMBER(SEARCH("diesel",$B350))+ISNUMBER(SEARCH("krudo",$B350))+ISNUMBER(SEARCH("gasolina",$B350))+ISNUMBER(SEARCH("toll",$B350))+ISNUMBER(SEARCH("parking",$B350))+ISNUMBER(SEARCH("repair",$B350))+ISNUMBER(SEARCH("maintenance",$B350))+ISNUMBER(SEARCH("tire",$B350))+ISNUMBER(SEARCH("tyre",$B350))+ISNUMBER(SEARCH("battery",$B350))+ISNUMBER(SEARCH("oil",$B350))+ISNUMBER(SEARCH("filter",$B350))+ISNUMBER(SEARCH("spare",$B350))+ISNUMBER(SEARCH("insurance",$B350))+ISNUMBER(SEARCH("lto",$B350))+ISNUMBER(SEARCH("registration",$B350))+ISNUMBER(SEARCH("emission",$B350))+ISNUMBER(SEARCH("wash",$B350))+ISNUMBER(SEARCH("weigh",$B350))+ISNUMBER(SEARCH("tarp",$B350))&gt;0,"Vehicle",IF(ISNUMBER(SEARCH("rent",$B350))+ISNUMBER(SEARCH("upa",$B350))+ISNUMBER(SEARCH("salary",$B350))+ISNUMBER(SEARCH("sweldo",$B350))+ISNUMBER(SEARCH("wage",$B350))+ISNUMBER(SEARCH("electric",$B350))+ISNUMBER(SEARCH("kuryente",$B350))+ISNUMBER(SEARCH("water",$B350))+ISNUMBER(SEARCH("tubig",$B350))+ISNUMBER(SEARCH("internet",$B350))+ISNUMBER(SEARCH("pldt",$B350))+ISNUMBER(SEARCH("meralco",$B350))+ISNUMBER(SEARCH("supplies",$B350))+ISNUMBER(SEARCH("office",$B350))+ISNUMBER(SEARCH("professional",$B350))+ISNUMBER(SEARCH("accountant",$B350))+ISNUMBER(SEARCH("lawyer",$B350))+ISNUMBER(SEARCH("broker",$B350))+ISNUMBER(SEARCH("bank",$B350))+ISNUMBER(SEARCH("charge",$B350))+ISNUMBER(SEARCH("permit",$B350))+ISNUMBER(SEARCH("bir",$B350))+ISNUMBER(SEARCH("ltfrb",$B350))+ISNUMBER(SEARCH("misc",$B350))+ISNUMBER(SEARCH("fee",$B350))&gt;0,"Overhead","Overhead")))))))</f>
        <v/>
      </c>
      <c r="J350">
        <f>IF($A350="","",DATE(YEAR($A350),MONTH($A350),1))</f>
        <v/>
      </c>
      <c r="K350">
        <f>IF($B350="","",IF(COUNTIF(Setup!$A$99:$A$128,$B350)&gt;0,0,1))</f>
        <v/>
      </c>
      <c r="L350">
        <f>IF($B350="","",IF(ISNUMBER(SEARCH("advance",$B350)),"ADV",IF(OR(ISNUMBER(SEARCH("payout",$B350)),ISNUMBER(SEARCH("pay out",$B350)),ISNUMBER(SEARCH("release",$B350))),"PAY","")))</f>
        <v/>
      </c>
      <c r="M350">
        <f>IF($B350="","",IF(ISNUMBER(SEARCH("bulk",$B350)),0,IF(ISNUMBER(SEARCH("fuel",$B350))+ISNUMBER(SEARCH("diesel",$B350))+ISNUMBER(SEARCH("krudo",$B350))+ISNUMBER(SEARCH("gasolina",$B350))&gt;0,1,0)))</f>
        <v/>
      </c>
      <c r="N350">
        <f>IF($B350="","",IF(ISNUMBER(SEARCH("fuel",$B350))+ISNUMBER(SEARCH("diesel",$B350))+ISNUMBER(SEARCH("krudo",$B350))+ISNUMBER(SEARCH("gasolina",$B350))&gt;0,1,0))</f>
        <v/>
      </c>
    </row>
    <row r="351">
      <c r="A351" s="86" t="n"/>
      <c r="B351" s="88" t="n"/>
      <c r="C351" s="88" t="n"/>
      <c r="D351" s="87" t="n"/>
      <c r="E351" s="88" t="n"/>
      <c r="F351" s="92" t="n"/>
      <c r="G351" s="87" t="n"/>
      <c r="H351" s="87" t="n"/>
      <c r="I351" s="101">
        <f>IF($B351="","",IF(COUNTIF(Setup!$A$99:$A$128,$B351)&gt;0,IF(INDEX(Setup!$B$99:$B$128,MATCH($B351,Setup!$A$99:$A$128,0))="","Overhead",INDEX(Setup!$B$99:$B$128,MATCH($B351,Setup!$A$99:$A$128,0))),IF(ISNUMBER(SEARCH("advance",$B351))+ISNUMBER(SEARCH("payout",$B351))+ISNUMBER(SEARCH("pay out",$B351))+ISNUMBER(SEARCH("reimburs",$B351))&gt;0,"Transfer",IF(ISNUMBER(SEARCH("loan",$B351))+ISNUMBER(SEARCH("amort",$B351))+ISNUMBER(SEARCH("installment",$B351))+ISNUMBER(SEARCH("instalment",$B351))&gt;0,"Financing",IF(ISNUMBER(SEARCH("draw",$B351))+ISNUMBER(SEARCH("owner",$B351))+ISNUMBER(SEARCH("asset",$B351))+ISNUMBER(SEARCH("capital",$B351))&gt;0,"Other",IF(ISNUMBER(SEARCH("fuel",$B351))+ISNUMBER(SEARCH("diesel",$B351))+ISNUMBER(SEARCH("krudo",$B351))+ISNUMBER(SEARCH("gasolina",$B351))+ISNUMBER(SEARCH("toll",$B351))+ISNUMBER(SEARCH("parking",$B351))+ISNUMBER(SEARCH("repair",$B351))+ISNUMBER(SEARCH("maintenance",$B351))+ISNUMBER(SEARCH("tire",$B351))+ISNUMBER(SEARCH("tyre",$B351))+ISNUMBER(SEARCH("battery",$B351))+ISNUMBER(SEARCH("oil",$B351))+ISNUMBER(SEARCH("filter",$B351))+ISNUMBER(SEARCH("spare",$B351))+ISNUMBER(SEARCH("insurance",$B351))+ISNUMBER(SEARCH("lto",$B351))+ISNUMBER(SEARCH("registration",$B351))+ISNUMBER(SEARCH("emission",$B351))+ISNUMBER(SEARCH("wash",$B351))+ISNUMBER(SEARCH("weigh",$B351))+ISNUMBER(SEARCH("tarp",$B351))&gt;0,"Vehicle",IF(ISNUMBER(SEARCH("rent",$B351))+ISNUMBER(SEARCH("upa",$B351))+ISNUMBER(SEARCH("salary",$B351))+ISNUMBER(SEARCH("sweldo",$B351))+ISNUMBER(SEARCH("wage",$B351))+ISNUMBER(SEARCH("electric",$B351))+ISNUMBER(SEARCH("kuryente",$B351))+ISNUMBER(SEARCH("water",$B351))+ISNUMBER(SEARCH("tubig",$B351))+ISNUMBER(SEARCH("internet",$B351))+ISNUMBER(SEARCH("pldt",$B351))+ISNUMBER(SEARCH("meralco",$B351))+ISNUMBER(SEARCH("supplies",$B351))+ISNUMBER(SEARCH("office",$B351))+ISNUMBER(SEARCH("professional",$B351))+ISNUMBER(SEARCH("accountant",$B351))+ISNUMBER(SEARCH("lawyer",$B351))+ISNUMBER(SEARCH("broker",$B351))+ISNUMBER(SEARCH("bank",$B351))+ISNUMBER(SEARCH("charge",$B351))+ISNUMBER(SEARCH("permit",$B351))+ISNUMBER(SEARCH("bir",$B351))+ISNUMBER(SEARCH("ltfrb",$B351))+ISNUMBER(SEARCH("misc",$B351))+ISNUMBER(SEARCH("fee",$B351))&gt;0,"Overhead","Overhead")))))))</f>
        <v/>
      </c>
      <c r="J351">
        <f>IF($A351="","",DATE(YEAR($A351),MONTH($A351),1))</f>
        <v/>
      </c>
      <c r="K351">
        <f>IF($B351="","",IF(COUNTIF(Setup!$A$99:$A$128,$B351)&gt;0,0,1))</f>
        <v/>
      </c>
      <c r="L351">
        <f>IF($B351="","",IF(ISNUMBER(SEARCH("advance",$B351)),"ADV",IF(OR(ISNUMBER(SEARCH("payout",$B351)),ISNUMBER(SEARCH("pay out",$B351)),ISNUMBER(SEARCH("release",$B351))),"PAY","")))</f>
        <v/>
      </c>
      <c r="M351">
        <f>IF($B351="","",IF(ISNUMBER(SEARCH("bulk",$B351)),0,IF(ISNUMBER(SEARCH("fuel",$B351))+ISNUMBER(SEARCH("diesel",$B351))+ISNUMBER(SEARCH("krudo",$B351))+ISNUMBER(SEARCH("gasolina",$B351))&gt;0,1,0)))</f>
        <v/>
      </c>
      <c r="N351">
        <f>IF($B351="","",IF(ISNUMBER(SEARCH("fuel",$B351))+ISNUMBER(SEARCH("diesel",$B351))+ISNUMBER(SEARCH("krudo",$B351))+ISNUMBER(SEARCH("gasolina",$B351))&gt;0,1,0))</f>
        <v/>
      </c>
    </row>
    <row r="352">
      <c r="A352" s="94" t="n"/>
      <c r="B352" s="96" t="n"/>
      <c r="C352" s="96" t="n"/>
      <c r="D352" s="95" t="n"/>
      <c r="E352" s="96" t="n"/>
      <c r="F352" s="99" t="n"/>
      <c r="G352" s="95" t="n"/>
      <c r="H352" s="95" t="n"/>
      <c r="I352" s="101">
        <f>IF($B352="","",IF(COUNTIF(Setup!$A$99:$A$128,$B352)&gt;0,IF(INDEX(Setup!$B$99:$B$128,MATCH($B352,Setup!$A$99:$A$128,0))="","Overhead",INDEX(Setup!$B$99:$B$128,MATCH($B352,Setup!$A$99:$A$128,0))),IF(ISNUMBER(SEARCH("advance",$B352))+ISNUMBER(SEARCH("payout",$B352))+ISNUMBER(SEARCH("pay out",$B352))+ISNUMBER(SEARCH("reimburs",$B352))&gt;0,"Transfer",IF(ISNUMBER(SEARCH("loan",$B352))+ISNUMBER(SEARCH("amort",$B352))+ISNUMBER(SEARCH("installment",$B352))+ISNUMBER(SEARCH("instalment",$B352))&gt;0,"Financing",IF(ISNUMBER(SEARCH("draw",$B352))+ISNUMBER(SEARCH("owner",$B352))+ISNUMBER(SEARCH("asset",$B352))+ISNUMBER(SEARCH("capital",$B352))&gt;0,"Other",IF(ISNUMBER(SEARCH("fuel",$B352))+ISNUMBER(SEARCH("diesel",$B352))+ISNUMBER(SEARCH("krudo",$B352))+ISNUMBER(SEARCH("gasolina",$B352))+ISNUMBER(SEARCH("toll",$B352))+ISNUMBER(SEARCH("parking",$B352))+ISNUMBER(SEARCH("repair",$B352))+ISNUMBER(SEARCH("maintenance",$B352))+ISNUMBER(SEARCH("tire",$B352))+ISNUMBER(SEARCH("tyre",$B352))+ISNUMBER(SEARCH("battery",$B352))+ISNUMBER(SEARCH("oil",$B352))+ISNUMBER(SEARCH("filter",$B352))+ISNUMBER(SEARCH("spare",$B352))+ISNUMBER(SEARCH("insurance",$B352))+ISNUMBER(SEARCH("lto",$B352))+ISNUMBER(SEARCH("registration",$B352))+ISNUMBER(SEARCH("emission",$B352))+ISNUMBER(SEARCH("wash",$B352))+ISNUMBER(SEARCH("weigh",$B352))+ISNUMBER(SEARCH("tarp",$B352))&gt;0,"Vehicle",IF(ISNUMBER(SEARCH("rent",$B352))+ISNUMBER(SEARCH("upa",$B352))+ISNUMBER(SEARCH("salary",$B352))+ISNUMBER(SEARCH("sweldo",$B352))+ISNUMBER(SEARCH("wage",$B352))+ISNUMBER(SEARCH("electric",$B352))+ISNUMBER(SEARCH("kuryente",$B352))+ISNUMBER(SEARCH("water",$B352))+ISNUMBER(SEARCH("tubig",$B352))+ISNUMBER(SEARCH("internet",$B352))+ISNUMBER(SEARCH("pldt",$B352))+ISNUMBER(SEARCH("meralco",$B352))+ISNUMBER(SEARCH("supplies",$B352))+ISNUMBER(SEARCH("office",$B352))+ISNUMBER(SEARCH("professional",$B352))+ISNUMBER(SEARCH("accountant",$B352))+ISNUMBER(SEARCH("lawyer",$B352))+ISNUMBER(SEARCH("broker",$B352))+ISNUMBER(SEARCH("bank",$B352))+ISNUMBER(SEARCH("charge",$B352))+ISNUMBER(SEARCH("permit",$B352))+ISNUMBER(SEARCH("bir",$B352))+ISNUMBER(SEARCH("ltfrb",$B352))+ISNUMBER(SEARCH("misc",$B352))+ISNUMBER(SEARCH("fee",$B352))&gt;0,"Overhead","Overhead")))))))</f>
        <v/>
      </c>
      <c r="J352">
        <f>IF($A352="","",DATE(YEAR($A352),MONTH($A352),1))</f>
        <v/>
      </c>
      <c r="K352">
        <f>IF($B352="","",IF(COUNTIF(Setup!$A$99:$A$128,$B352)&gt;0,0,1))</f>
        <v/>
      </c>
      <c r="L352">
        <f>IF($B352="","",IF(ISNUMBER(SEARCH("advance",$B352)),"ADV",IF(OR(ISNUMBER(SEARCH("payout",$B352)),ISNUMBER(SEARCH("pay out",$B352)),ISNUMBER(SEARCH("release",$B352))),"PAY","")))</f>
        <v/>
      </c>
      <c r="M352">
        <f>IF($B352="","",IF(ISNUMBER(SEARCH("bulk",$B352)),0,IF(ISNUMBER(SEARCH("fuel",$B352))+ISNUMBER(SEARCH("diesel",$B352))+ISNUMBER(SEARCH("krudo",$B352))+ISNUMBER(SEARCH("gasolina",$B352))&gt;0,1,0)))</f>
        <v/>
      </c>
      <c r="N352">
        <f>IF($B352="","",IF(ISNUMBER(SEARCH("fuel",$B352))+ISNUMBER(SEARCH("diesel",$B352))+ISNUMBER(SEARCH("krudo",$B352))+ISNUMBER(SEARCH("gasolina",$B352))&gt;0,1,0))</f>
        <v/>
      </c>
    </row>
    <row r="353">
      <c r="A353" s="86" t="n"/>
      <c r="B353" s="88" t="n"/>
      <c r="C353" s="88" t="n"/>
      <c r="D353" s="87" t="n"/>
      <c r="E353" s="88" t="n"/>
      <c r="F353" s="92" t="n"/>
      <c r="G353" s="87" t="n"/>
      <c r="H353" s="87" t="n"/>
      <c r="I353" s="101">
        <f>IF($B353="","",IF(COUNTIF(Setup!$A$99:$A$128,$B353)&gt;0,IF(INDEX(Setup!$B$99:$B$128,MATCH($B353,Setup!$A$99:$A$128,0))="","Overhead",INDEX(Setup!$B$99:$B$128,MATCH($B353,Setup!$A$99:$A$128,0))),IF(ISNUMBER(SEARCH("advance",$B353))+ISNUMBER(SEARCH("payout",$B353))+ISNUMBER(SEARCH("pay out",$B353))+ISNUMBER(SEARCH("reimburs",$B353))&gt;0,"Transfer",IF(ISNUMBER(SEARCH("loan",$B353))+ISNUMBER(SEARCH("amort",$B353))+ISNUMBER(SEARCH("installment",$B353))+ISNUMBER(SEARCH("instalment",$B353))&gt;0,"Financing",IF(ISNUMBER(SEARCH("draw",$B353))+ISNUMBER(SEARCH("owner",$B353))+ISNUMBER(SEARCH("asset",$B353))+ISNUMBER(SEARCH("capital",$B353))&gt;0,"Other",IF(ISNUMBER(SEARCH("fuel",$B353))+ISNUMBER(SEARCH("diesel",$B353))+ISNUMBER(SEARCH("krudo",$B353))+ISNUMBER(SEARCH("gasolina",$B353))+ISNUMBER(SEARCH("toll",$B353))+ISNUMBER(SEARCH("parking",$B353))+ISNUMBER(SEARCH("repair",$B353))+ISNUMBER(SEARCH("maintenance",$B353))+ISNUMBER(SEARCH("tire",$B353))+ISNUMBER(SEARCH("tyre",$B353))+ISNUMBER(SEARCH("battery",$B353))+ISNUMBER(SEARCH("oil",$B353))+ISNUMBER(SEARCH("filter",$B353))+ISNUMBER(SEARCH("spare",$B353))+ISNUMBER(SEARCH("insurance",$B353))+ISNUMBER(SEARCH("lto",$B353))+ISNUMBER(SEARCH("registration",$B353))+ISNUMBER(SEARCH("emission",$B353))+ISNUMBER(SEARCH("wash",$B353))+ISNUMBER(SEARCH("weigh",$B353))+ISNUMBER(SEARCH("tarp",$B353))&gt;0,"Vehicle",IF(ISNUMBER(SEARCH("rent",$B353))+ISNUMBER(SEARCH("upa",$B353))+ISNUMBER(SEARCH("salary",$B353))+ISNUMBER(SEARCH("sweldo",$B353))+ISNUMBER(SEARCH("wage",$B353))+ISNUMBER(SEARCH("electric",$B353))+ISNUMBER(SEARCH("kuryente",$B353))+ISNUMBER(SEARCH("water",$B353))+ISNUMBER(SEARCH("tubig",$B353))+ISNUMBER(SEARCH("internet",$B353))+ISNUMBER(SEARCH("pldt",$B353))+ISNUMBER(SEARCH("meralco",$B353))+ISNUMBER(SEARCH("supplies",$B353))+ISNUMBER(SEARCH("office",$B353))+ISNUMBER(SEARCH("professional",$B353))+ISNUMBER(SEARCH("accountant",$B353))+ISNUMBER(SEARCH("lawyer",$B353))+ISNUMBER(SEARCH("broker",$B353))+ISNUMBER(SEARCH("bank",$B353))+ISNUMBER(SEARCH("charge",$B353))+ISNUMBER(SEARCH("permit",$B353))+ISNUMBER(SEARCH("bir",$B353))+ISNUMBER(SEARCH("ltfrb",$B353))+ISNUMBER(SEARCH("misc",$B353))+ISNUMBER(SEARCH("fee",$B353))&gt;0,"Overhead","Overhead")))))))</f>
        <v/>
      </c>
      <c r="J353">
        <f>IF($A353="","",DATE(YEAR($A353),MONTH($A353),1))</f>
        <v/>
      </c>
      <c r="K353">
        <f>IF($B353="","",IF(COUNTIF(Setup!$A$99:$A$128,$B353)&gt;0,0,1))</f>
        <v/>
      </c>
      <c r="L353">
        <f>IF($B353="","",IF(ISNUMBER(SEARCH("advance",$B353)),"ADV",IF(OR(ISNUMBER(SEARCH("payout",$B353)),ISNUMBER(SEARCH("pay out",$B353)),ISNUMBER(SEARCH("release",$B353))),"PAY","")))</f>
        <v/>
      </c>
      <c r="M353">
        <f>IF($B353="","",IF(ISNUMBER(SEARCH("bulk",$B353)),0,IF(ISNUMBER(SEARCH("fuel",$B353))+ISNUMBER(SEARCH("diesel",$B353))+ISNUMBER(SEARCH("krudo",$B353))+ISNUMBER(SEARCH("gasolina",$B353))&gt;0,1,0)))</f>
        <v/>
      </c>
      <c r="N353">
        <f>IF($B353="","",IF(ISNUMBER(SEARCH("fuel",$B353))+ISNUMBER(SEARCH("diesel",$B353))+ISNUMBER(SEARCH("krudo",$B353))+ISNUMBER(SEARCH("gasolina",$B353))&gt;0,1,0))</f>
        <v/>
      </c>
    </row>
    <row r="354">
      <c r="A354" s="94" t="n"/>
      <c r="B354" s="96" t="n"/>
      <c r="C354" s="96" t="n"/>
      <c r="D354" s="95" t="n"/>
      <c r="E354" s="96" t="n"/>
      <c r="F354" s="99" t="n"/>
      <c r="G354" s="95" t="n"/>
      <c r="H354" s="95" t="n"/>
      <c r="I354" s="101">
        <f>IF($B354="","",IF(COUNTIF(Setup!$A$99:$A$128,$B354)&gt;0,IF(INDEX(Setup!$B$99:$B$128,MATCH($B354,Setup!$A$99:$A$128,0))="","Overhead",INDEX(Setup!$B$99:$B$128,MATCH($B354,Setup!$A$99:$A$128,0))),IF(ISNUMBER(SEARCH("advance",$B354))+ISNUMBER(SEARCH("payout",$B354))+ISNUMBER(SEARCH("pay out",$B354))+ISNUMBER(SEARCH("reimburs",$B354))&gt;0,"Transfer",IF(ISNUMBER(SEARCH("loan",$B354))+ISNUMBER(SEARCH("amort",$B354))+ISNUMBER(SEARCH("installment",$B354))+ISNUMBER(SEARCH("instalment",$B354))&gt;0,"Financing",IF(ISNUMBER(SEARCH("draw",$B354))+ISNUMBER(SEARCH("owner",$B354))+ISNUMBER(SEARCH("asset",$B354))+ISNUMBER(SEARCH("capital",$B354))&gt;0,"Other",IF(ISNUMBER(SEARCH("fuel",$B354))+ISNUMBER(SEARCH("diesel",$B354))+ISNUMBER(SEARCH("krudo",$B354))+ISNUMBER(SEARCH("gasolina",$B354))+ISNUMBER(SEARCH("toll",$B354))+ISNUMBER(SEARCH("parking",$B354))+ISNUMBER(SEARCH("repair",$B354))+ISNUMBER(SEARCH("maintenance",$B354))+ISNUMBER(SEARCH("tire",$B354))+ISNUMBER(SEARCH("tyre",$B354))+ISNUMBER(SEARCH("battery",$B354))+ISNUMBER(SEARCH("oil",$B354))+ISNUMBER(SEARCH("filter",$B354))+ISNUMBER(SEARCH("spare",$B354))+ISNUMBER(SEARCH("insurance",$B354))+ISNUMBER(SEARCH("lto",$B354))+ISNUMBER(SEARCH("registration",$B354))+ISNUMBER(SEARCH("emission",$B354))+ISNUMBER(SEARCH("wash",$B354))+ISNUMBER(SEARCH("weigh",$B354))+ISNUMBER(SEARCH("tarp",$B354))&gt;0,"Vehicle",IF(ISNUMBER(SEARCH("rent",$B354))+ISNUMBER(SEARCH("upa",$B354))+ISNUMBER(SEARCH("salary",$B354))+ISNUMBER(SEARCH("sweldo",$B354))+ISNUMBER(SEARCH("wage",$B354))+ISNUMBER(SEARCH("electric",$B354))+ISNUMBER(SEARCH("kuryente",$B354))+ISNUMBER(SEARCH("water",$B354))+ISNUMBER(SEARCH("tubig",$B354))+ISNUMBER(SEARCH("internet",$B354))+ISNUMBER(SEARCH("pldt",$B354))+ISNUMBER(SEARCH("meralco",$B354))+ISNUMBER(SEARCH("supplies",$B354))+ISNUMBER(SEARCH("office",$B354))+ISNUMBER(SEARCH("professional",$B354))+ISNUMBER(SEARCH("accountant",$B354))+ISNUMBER(SEARCH("lawyer",$B354))+ISNUMBER(SEARCH("broker",$B354))+ISNUMBER(SEARCH("bank",$B354))+ISNUMBER(SEARCH("charge",$B354))+ISNUMBER(SEARCH("permit",$B354))+ISNUMBER(SEARCH("bir",$B354))+ISNUMBER(SEARCH("ltfrb",$B354))+ISNUMBER(SEARCH("misc",$B354))+ISNUMBER(SEARCH("fee",$B354))&gt;0,"Overhead","Overhead")))))))</f>
        <v/>
      </c>
      <c r="J354">
        <f>IF($A354="","",DATE(YEAR($A354),MONTH($A354),1))</f>
        <v/>
      </c>
      <c r="K354">
        <f>IF($B354="","",IF(COUNTIF(Setup!$A$99:$A$128,$B354)&gt;0,0,1))</f>
        <v/>
      </c>
      <c r="L354">
        <f>IF($B354="","",IF(ISNUMBER(SEARCH("advance",$B354)),"ADV",IF(OR(ISNUMBER(SEARCH("payout",$B354)),ISNUMBER(SEARCH("pay out",$B354)),ISNUMBER(SEARCH("release",$B354))),"PAY","")))</f>
        <v/>
      </c>
      <c r="M354">
        <f>IF($B354="","",IF(ISNUMBER(SEARCH("bulk",$B354)),0,IF(ISNUMBER(SEARCH("fuel",$B354))+ISNUMBER(SEARCH("diesel",$B354))+ISNUMBER(SEARCH("krudo",$B354))+ISNUMBER(SEARCH("gasolina",$B354))&gt;0,1,0)))</f>
        <v/>
      </c>
      <c r="N354">
        <f>IF($B354="","",IF(ISNUMBER(SEARCH("fuel",$B354))+ISNUMBER(SEARCH("diesel",$B354))+ISNUMBER(SEARCH("krudo",$B354))+ISNUMBER(SEARCH("gasolina",$B354))&gt;0,1,0))</f>
        <v/>
      </c>
    </row>
    <row r="355">
      <c r="A355" s="86" t="n"/>
      <c r="B355" s="88" t="n"/>
      <c r="C355" s="88" t="n"/>
      <c r="D355" s="87" t="n"/>
      <c r="E355" s="88" t="n"/>
      <c r="F355" s="92" t="n"/>
      <c r="G355" s="87" t="n"/>
      <c r="H355" s="87" t="n"/>
      <c r="I355" s="101">
        <f>IF($B355="","",IF(COUNTIF(Setup!$A$99:$A$128,$B355)&gt;0,IF(INDEX(Setup!$B$99:$B$128,MATCH($B355,Setup!$A$99:$A$128,0))="","Overhead",INDEX(Setup!$B$99:$B$128,MATCH($B355,Setup!$A$99:$A$128,0))),IF(ISNUMBER(SEARCH("advance",$B355))+ISNUMBER(SEARCH("payout",$B355))+ISNUMBER(SEARCH("pay out",$B355))+ISNUMBER(SEARCH("reimburs",$B355))&gt;0,"Transfer",IF(ISNUMBER(SEARCH("loan",$B355))+ISNUMBER(SEARCH("amort",$B355))+ISNUMBER(SEARCH("installment",$B355))+ISNUMBER(SEARCH("instalment",$B355))&gt;0,"Financing",IF(ISNUMBER(SEARCH("draw",$B355))+ISNUMBER(SEARCH("owner",$B355))+ISNUMBER(SEARCH("asset",$B355))+ISNUMBER(SEARCH("capital",$B355))&gt;0,"Other",IF(ISNUMBER(SEARCH("fuel",$B355))+ISNUMBER(SEARCH("diesel",$B355))+ISNUMBER(SEARCH("krudo",$B355))+ISNUMBER(SEARCH("gasolina",$B355))+ISNUMBER(SEARCH("toll",$B355))+ISNUMBER(SEARCH("parking",$B355))+ISNUMBER(SEARCH("repair",$B355))+ISNUMBER(SEARCH("maintenance",$B355))+ISNUMBER(SEARCH("tire",$B355))+ISNUMBER(SEARCH("tyre",$B355))+ISNUMBER(SEARCH("battery",$B355))+ISNUMBER(SEARCH("oil",$B355))+ISNUMBER(SEARCH("filter",$B355))+ISNUMBER(SEARCH("spare",$B355))+ISNUMBER(SEARCH("insurance",$B355))+ISNUMBER(SEARCH("lto",$B355))+ISNUMBER(SEARCH("registration",$B355))+ISNUMBER(SEARCH("emission",$B355))+ISNUMBER(SEARCH("wash",$B355))+ISNUMBER(SEARCH("weigh",$B355))+ISNUMBER(SEARCH("tarp",$B355))&gt;0,"Vehicle",IF(ISNUMBER(SEARCH("rent",$B355))+ISNUMBER(SEARCH("upa",$B355))+ISNUMBER(SEARCH("salary",$B355))+ISNUMBER(SEARCH("sweldo",$B355))+ISNUMBER(SEARCH("wage",$B355))+ISNUMBER(SEARCH("electric",$B355))+ISNUMBER(SEARCH("kuryente",$B355))+ISNUMBER(SEARCH("water",$B355))+ISNUMBER(SEARCH("tubig",$B355))+ISNUMBER(SEARCH("internet",$B355))+ISNUMBER(SEARCH("pldt",$B355))+ISNUMBER(SEARCH("meralco",$B355))+ISNUMBER(SEARCH("supplies",$B355))+ISNUMBER(SEARCH("office",$B355))+ISNUMBER(SEARCH("professional",$B355))+ISNUMBER(SEARCH("accountant",$B355))+ISNUMBER(SEARCH("lawyer",$B355))+ISNUMBER(SEARCH("broker",$B355))+ISNUMBER(SEARCH("bank",$B355))+ISNUMBER(SEARCH("charge",$B355))+ISNUMBER(SEARCH("permit",$B355))+ISNUMBER(SEARCH("bir",$B355))+ISNUMBER(SEARCH("ltfrb",$B355))+ISNUMBER(SEARCH("misc",$B355))+ISNUMBER(SEARCH("fee",$B355))&gt;0,"Overhead","Overhead")))))))</f>
        <v/>
      </c>
      <c r="J355">
        <f>IF($A355="","",DATE(YEAR($A355),MONTH($A355),1))</f>
        <v/>
      </c>
      <c r="K355">
        <f>IF($B355="","",IF(COUNTIF(Setup!$A$99:$A$128,$B355)&gt;0,0,1))</f>
        <v/>
      </c>
      <c r="L355">
        <f>IF($B355="","",IF(ISNUMBER(SEARCH("advance",$B355)),"ADV",IF(OR(ISNUMBER(SEARCH("payout",$B355)),ISNUMBER(SEARCH("pay out",$B355)),ISNUMBER(SEARCH("release",$B355))),"PAY","")))</f>
        <v/>
      </c>
      <c r="M355">
        <f>IF($B355="","",IF(ISNUMBER(SEARCH("bulk",$B355)),0,IF(ISNUMBER(SEARCH("fuel",$B355))+ISNUMBER(SEARCH("diesel",$B355))+ISNUMBER(SEARCH("krudo",$B355))+ISNUMBER(SEARCH("gasolina",$B355))&gt;0,1,0)))</f>
        <v/>
      </c>
      <c r="N355">
        <f>IF($B355="","",IF(ISNUMBER(SEARCH("fuel",$B355))+ISNUMBER(SEARCH("diesel",$B355))+ISNUMBER(SEARCH("krudo",$B355))+ISNUMBER(SEARCH("gasolina",$B355))&gt;0,1,0))</f>
        <v/>
      </c>
    </row>
    <row r="356">
      <c r="A356" s="94" t="n"/>
      <c r="B356" s="96" t="n"/>
      <c r="C356" s="96" t="n"/>
      <c r="D356" s="95" t="n"/>
      <c r="E356" s="96" t="n"/>
      <c r="F356" s="99" t="n"/>
      <c r="G356" s="95" t="n"/>
      <c r="H356" s="95" t="n"/>
      <c r="I356" s="101">
        <f>IF($B356="","",IF(COUNTIF(Setup!$A$99:$A$128,$B356)&gt;0,IF(INDEX(Setup!$B$99:$B$128,MATCH($B356,Setup!$A$99:$A$128,0))="","Overhead",INDEX(Setup!$B$99:$B$128,MATCH($B356,Setup!$A$99:$A$128,0))),IF(ISNUMBER(SEARCH("advance",$B356))+ISNUMBER(SEARCH("payout",$B356))+ISNUMBER(SEARCH("pay out",$B356))+ISNUMBER(SEARCH("reimburs",$B356))&gt;0,"Transfer",IF(ISNUMBER(SEARCH("loan",$B356))+ISNUMBER(SEARCH("amort",$B356))+ISNUMBER(SEARCH("installment",$B356))+ISNUMBER(SEARCH("instalment",$B356))&gt;0,"Financing",IF(ISNUMBER(SEARCH("draw",$B356))+ISNUMBER(SEARCH("owner",$B356))+ISNUMBER(SEARCH("asset",$B356))+ISNUMBER(SEARCH("capital",$B356))&gt;0,"Other",IF(ISNUMBER(SEARCH("fuel",$B356))+ISNUMBER(SEARCH("diesel",$B356))+ISNUMBER(SEARCH("krudo",$B356))+ISNUMBER(SEARCH("gasolina",$B356))+ISNUMBER(SEARCH("toll",$B356))+ISNUMBER(SEARCH("parking",$B356))+ISNUMBER(SEARCH("repair",$B356))+ISNUMBER(SEARCH("maintenance",$B356))+ISNUMBER(SEARCH("tire",$B356))+ISNUMBER(SEARCH("tyre",$B356))+ISNUMBER(SEARCH("battery",$B356))+ISNUMBER(SEARCH("oil",$B356))+ISNUMBER(SEARCH("filter",$B356))+ISNUMBER(SEARCH("spare",$B356))+ISNUMBER(SEARCH("insurance",$B356))+ISNUMBER(SEARCH("lto",$B356))+ISNUMBER(SEARCH("registration",$B356))+ISNUMBER(SEARCH("emission",$B356))+ISNUMBER(SEARCH("wash",$B356))+ISNUMBER(SEARCH("weigh",$B356))+ISNUMBER(SEARCH("tarp",$B356))&gt;0,"Vehicle",IF(ISNUMBER(SEARCH("rent",$B356))+ISNUMBER(SEARCH("upa",$B356))+ISNUMBER(SEARCH("salary",$B356))+ISNUMBER(SEARCH("sweldo",$B356))+ISNUMBER(SEARCH("wage",$B356))+ISNUMBER(SEARCH("electric",$B356))+ISNUMBER(SEARCH("kuryente",$B356))+ISNUMBER(SEARCH("water",$B356))+ISNUMBER(SEARCH("tubig",$B356))+ISNUMBER(SEARCH("internet",$B356))+ISNUMBER(SEARCH("pldt",$B356))+ISNUMBER(SEARCH("meralco",$B356))+ISNUMBER(SEARCH("supplies",$B356))+ISNUMBER(SEARCH("office",$B356))+ISNUMBER(SEARCH("professional",$B356))+ISNUMBER(SEARCH("accountant",$B356))+ISNUMBER(SEARCH("lawyer",$B356))+ISNUMBER(SEARCH("broker",$B356))+ISNUMBER(SEARCH("bank",$B356))+ISNUMBER(SEARCH("charge",$B356))+ISNUMBER(SEARCH("permit",$B356))+ISNUMBER(SEARCH("bir",$B356))+ISNUMBER(SEARCH("ltfrb",$B356))+ISNUMBER(SEARCH("misc",$B356))+ISNUMBER(SEARCH("fee",$B356))&gt;0,"Overhead","Overhead")))))))</f>
        <v/>
      </c>
      <c r="J356">
        <f>IF($A356="","",DATE(YEAR($A356),MONTH($A356),1))</f>
        <v/>
      </c>
      <c r="K356">
        <f>IF($B356="","",IF(COUNTIF(Setup!$A$99:$A$128,$B356)&gt;0,0,1))</f>
        <v/>
      </c>
      <c r="L356">
        <f>IF($B356="","",IF(ISNUMBER(SEARCH("advance",$B356)),"ADV",IF(OR(ISNUMBER(SEARCH("payout",$B356)),ISNUMBER(SEARCH("pay out",$B356)),ISNUMBER(SEARCH("release",$B356))),"PAY","")))</f>
        <v/>
      </c>
      <c r="M356">
        <f>IF($B356="","",IF(ISNUMBER(SEARCH("bulk",$B356)),0,IF(ISNUMBER(SEARCH("fuel",$B356))+ISNUMBER(SEARCH("diesel",$B356))+ISNUMBER(SEARCH("krudo",$B356))+ISNUMBER(SEARCH("gasolina",$B356))&gt;0,1,0)))</f>
        <v/>
      </c>
      <c r="N356">
        <f>IF($B356="","",IF(ISNUMBER(SEARCH("fuel",$B356))+ISNUMBER(SEARCH("diesel",$B356))+ISNUMBER(SEARCH("krudo",$B356))+ISNUMBER(SEARCH("gasolina",$B356))&gt;0,1,0))</f>
        <v/>
      </c>
    </row>
    <row r="357">
      <c r="A357" s="86" t="n"/>
      <c r="B357" s="88" t="n"/>
      <c r="C357" s="88" t="n"/>
      <c r="D357" s="87" t="n"/>
      <c r="E357" s="88" t="n"/>
      <c r="F357" s="92" t="n"/>
      <c r="G357" s="87" t="n"/>
      <c r="H357" s="87" t="n"/>
      <c r="I357" s="101">
        <f>IF($B357="","",IF(COUNTIF(Setup!$A$99:$A$128,$B357)&gt;0,IF(INDEX(Setup!$B$99:$B$128,MATCH($B357,Setup!$A$99:$A$128,0))="","Overhead",INDEX(Setup!$B$99:$B$128,MATCH($B357,Setup!$A$99:$A$128,0))),IF(ISNUMBER(SEARCH("advance",$B357))+ISNUMBER(SEARCH("payout",$B357))+ISNUMBER(SEARCH("pay out",$B357))+ISNUMBER(SEARCH("reimburs",$B357))&gt;0,"Transfer",IF(ISNUMBER(SEARCH("loan",$B357))+ISNUMBER(SEARCH("amort",$B357))+ISNUMBER(SEARCH("installment",$B357))+ISNUMBER(SEARCH("instalment",$B357))&gt;0,"Financing",IF(ISNUMBER(SEARCH("draw",$B357))+ISNUMBER(SEARCH("owner",$B357))+ISNUMBER(SEARCH("asset",$B357))+ISNUMBER(SEARCH("capital",$B357))&gt;0,"Other",IF(ISNUMBER(SEARCH("fuel",$B357))+ISNUMBER(SEARCH("diesel",$B357))+ISNUMBER(SEARCH("krudo",$B357))+ISNUMBER(SEARCH("gasolina",$B357))+ISNUMBER(SEARCH("toll",$B357))+ISNUMBER(SEARCH("parking",$B357))+ISNUMBER(SEARCH("repair",$B357))+ISNUMBER(SEARCH("maintenance",$B357))+ISNUMBER(SEARCH("tire",$B357))+ISNUMBER(SEARCH("tyre",$B357))+ISNUMBER(SEARCH("battery",$B357))+ISNUMBER(SEARCH("oil",$B357))+ISNUMBER(SEARCH("filter",$B357))+ISNUMBER(SEARCH("spare",$B357))+ISNUMBER(SEARCH("insurance",$B357))+ISNUMBER(SEARCH("lto",$B357))+ISNUMBER(SEARCH("registration",$B357))+ISNUMBER(SEARCH("emission",$B357))+ISNUMBER(SEARCH("wash",$B357))+ISNUMBER(SEARCH("weigh",$B357))+ISNUMBER(SEARCH("tarp",$B357))&gt;0,"Vehicle",IF(ISNUMBER(SEARCH("rent",$B357))+ISNUMBER(SEARCH("upa",$B357))+ISNUMBER(SEARCH("salary",$B357))+ISNUMBER(SEARCH("sweldo",$B357))+ISNUMBER(SEARCH("wage",$B357))+ISNUMBER(SEARCH("electric",$B357))+ISNUMBER(SEARCH("kuryente",$B357))+ISNUMBER(SEARCH("water",$B357))+ISNUMBER(SEARCH("tubig",$B357))+ISNUMBER(SEARCH("internet",$B357))+ISNUMBER(SEARCH("pldt",$B357))+ISNUMBER(SEARCH("meralco",$B357))+ISNUMBER(SEARCH("supplies",$B357))+ISNUMBER(SEARCH("office",$B357))+ISNUMBER(SEARCH("professional",$B357))+ISNUMBER(SEARCH("accountant",$B357))+ISNUMBER(SEARCH("lawyer",$B357))+ISNUMBER(SEARCH("broker",$B357))+ISNUMBER(SEARCH("bank",$B357))+ISNUMBER(SEARCH("charge",$B357))+ISNUMBER(SEARCH("permit",$B357))+ISNUMBER(SEARCH("bir",$B357))+ISNUMBER(SEARCH("ltfrb",$B357))+ISNUMBER(SEARCH("misc",$B357))+ISNUMBER(SEARCH("fee",$B357))&gt;0,"Overhead","Overhead")))))))</f>
        <v/>
      </c>
      <c r="J357">
        <f>IF($A357="","",DATE(YEAR($A357),MONTH($A357),1))</f>
        <v/>
      </c>
      <c r="K357">
        <f>IF($B357="","",IF(COUNTIF(Setup!$A$99:$A$128,$B357)&gt;0,0,1))</f>
        <v/>
      </c>
      <c r="L357">
        <f>IF($B357="","",IF(ISNUMBER(SEARCH("advance",$B357)),"ADV",IF(OR(ISNUMBER(SEARCH("payout",$B357)),ISNUMBER(SEARCH("pay out",$B357)),ISNUMBER(SEARCH("release",$B357))),"PAY","")))</f>
        <v/>
      </c>
      <c r="M357">
        <f>IF($B357="","",IF(ISNUMBER(SEARCH("bulk",$B357)),0,IF(ISNUMBER(SEARCH("fuel",$B357))+ISNUMBER(SEARCH("diesel",$B357))+ISNUMBER(SEARCH("krudo",$B357))+ISNUMBER(SEARCH("gasolina",$B357))&gt;0,1,0)))</f>
        <v/>
      </c>
      <c r="N357">
        <f>IF($B357="","",IF(ISNUMBER(SEARCH("fuel",$B357))+ISNUMBER(SEARCH("diesel",$B357))+ISNUMBER(SEARCH("krudo",$B357))+ISNUMBER(SEARCH("gasolina",$B357))&gt;0,1,0))</f>
        <v/>
      </c>
    </row>
    <row r="358">
      <c r="A358" s="94" t="n"/>
      <c r="B358" s="96" t="n"/>
      <c r="C358" s="96" t="n"/>
      <c r="D358" s="95" t="n"/>
      <c r="E358" s="96" t="n"/>
      <c r="F358" s="99" t="n"/>
      <c r="G358" s="95" t="n"/>
      <c r="H358" s="95" t="n"/>
      <c r="I358" s="101">
        <f>IF($B358="","",IF(COUNTIF(Setup!$A$99:$A$128,$B358)&gt;0,IF(INDEX(Setup!$B$99:$B$128,MATCH($B358,Setup!$A$99:$A$128,0))="","Overhead",INDEX(Setup!$B$99:$B$128,MATCH($B358,Setup!$A$99:$A$128,0))),IF(ISNUMBER(SEARCH("advance",$B358))+ISNUMBER(SEARCH("payout",$B358))+ISNUMBER(SEARCH("pay out",$B358))+ISNUMBER(SEARCH("reimburs",$B358))&gt;0,"Transfer",IF(ISNUMBER(SEARCH("loan",$B358))+ISNUMBER(SEARCH("amort",$B358))+ISNUMBER(SEARCH("installment",$B358))+ISNUMBER(SEARCH("instalment",$B358))&gt;0,"Financing",IF(ISNUMBER(SEARCH("draw",$B358))+ISNUMBER(SEARCH("owner",$B358))+ISNUMBER(SEARCH("asset",$B358))+ISNUMBER(SEARCH("capital",$B358))&gt;0,"Other",IF(ISNUMBER(SEARCH("fuel",$B358))+ISNUMBER(SEARCH("diesel",$B358))+ISNUMBER(SEARCH("krudo",$B358))+ISNUMBER(SEARCH("gasolina",$B358))+ISNUMBER(SEARCH("toll",$B358))+ISNUMBER(SEARCH("parking",$B358))+ISNUMBER(SEARCH("repair",$B358))+ISNUMBER(SEARCH("maintenance",$B358))+ISNUMBER(SEARCH("tire",$B358))+ISNUMBER(SEARCH("tyre",$B358))+ISNUMBER(SEARCH("battery",$B358))+ISNUMBER(SEARCH("oil",$B358))+ISNUMBER(SEARCH("filter",$B358))+ISNUMBER(SEARCH("spare",$B358))+ISNUMBER(SEARCH("insurance",$B358))+ISNUMBER(SEARCH("lto",$B358))+ISNUMBER(SEARCH("registration",$B358))+ISNUMBER(SEARCH("emission",$B358))+ISNUMBER(SEARCH("wash",$B358))+ISNUMBER(SEARCH("weigh",$B358))+ISNUMBER(SEARCH("tarp",$B358))&gt;0,"Vehicle",IF(ISNUMBER(SEARCH("rent",$B358))+ISNUMBER(SEARCH("upa",$B358))+ISNUMBER(SEARCH("salary",$B358))+ISNUMBER(SEARCH("sweldo",$B358))+ISNUMBER(SEARCH("wage",$B358))+ISNUMBER(SEARCH("electric",$B358))+ISNUMBER(SEARCH("kuryente",$B358))+ISNUMBER(SEARCH("water",$B358))+ISNUMBER(SEARCH("tubig",$B358))+ISNUMBER(SEARCH("internet",$B358))+ISNUMBER(SEARCH("pldt",$B358))+ISNUMBER(SEARCH("meralco",$B358))+ISNUMBER(SEARCH("supplies",$B358))+ISNUMBER(SEARCH("office",$B358))+ISNUMBER(SEARCH("professional",$B358))+ISNUMBER(SEARCH("accountant",$B358))+ISNUMBER(SEARCH("lawyer",$B358))+ISNUMBER(SEARCH("broker",$B358))+ISNUMBER(SEARCH("bank",$B358))+ISNUMBER(SEARCH("charge",$B358))+ISNUMBER(SEARCH("permit",$B358))+ISNUMBER(SEARCH("bir",$B358))+ISNUMBER(SEARCH("ltfrb",$B358))+ISNUMBER(SEARCH("misc",$B358))+ISNUMBER(SEARCH("fee",$B358))&gt;0,"Overhead","Overhead")))))))</f>
        <v/>
      </c>
      <c r="J358">
        <f>IF($A358="","",DATE(YEAR($A358),MONTH($A358),1))</f>
        <v/>
      </c>
      <c r="K358">
        <f>IF($B358="","",IF(COUNTIF(Setup!$A$99:$A$128,$B358)&gt;0,0,1))</f>
        <v/>
      </c>
      <c r="L358">
        <f>IF($B358="","",IF(ISNUMBER(SEARCH("advance",$B358)),"ADV",IF(OR(ISNUMBER(SEARCH("payout",$B358)),ISNUMBER(SEARCH("pay out",$B358)),ISNUMBER(SEARCH("release",$B358))),"PAY","")))</f>
        <v/>
      </c>
      <c r="M358">
        <f>IF($B358="","",IF(ISNUMBER(SEARCH("bulk",$B358)),0,IF(ISNUMBER(SEARCH("fuel",$B358))+ISNUMBER(SEARCH("diesel",$B358))+ISNUMBER(SEARCH("krudo",$B358))+ISNUMBER(SEARCH("gasolina",$B358))&gt;0,1,0)))</f>
        <v/>
      </c>
      <c r="N358">
        <f>IF($B358="","",IF(ISNUMBER(SEARCH("fuel",$B358))+ISNUMBER(SEARCH("diesel",$B358))+ISNUMBER(SEARCH("krudo",$B358))+ISNUMBER(SEARCH("gasolina",$B358))&gt;0,1,0))</f>
        <v/>
      </c>
    </row>
    <row r="359">
      <c r="A359" s="86" t="n"/>
      <c r="B359" s="88" t="n"/>
      <c r="C359" s="88" t="n"/>
      <c r="D359" s="87" t="n"/>
      <c r="E359" s="88" t="n"/>
      <c r="F359" s="92" t="n"/>
      <c r="G359" s="87" t="n"/>
      <c r="H359" s="87" t="n"/>
      <c r="I359" s="101">
        <f>IF($B359="","",IF(COUNTIF(Setup!$A$99:$A$128,$B359)&gt;0,IF(INDEX(Setup!$B$99:$B$128,MATCH($B359,Setup!$A$99:$A$128,0))="","Overhead",INDEX(Setup!$B$99:$B$128,MATCH($B359,Setup!$A$99:$A$128,0))),IF(ISNUMBER(SEARCH("advance",$B359))+ISNUMBER(SEARCH("payout",$B359))+ISNUMBER(SEARCH("pay out",$B359))+ISNUMBER(SEARCH("reimburs",$B359))&gt;0,"Transfer",IF(ISNUMBER(SEARCH("loan",$B359))+ISNUMBER(SEARCH("amort",$B359))+ISNUMBER(SEARCH("installment",$B359))+ISNUMBER(SEARCH("instalment",$B359))&gt;0,"Financing",IF(ISNUMBER(SEARCH("draw",$B359))+ISNUMBER(SEARCH("owner",$B359))+ISNUMBER(SEARCH("asset",$B359))+ISNUMBER(SEARCH("capital",$B359))&gt;0,"Other",IF(ISNUMBER(SEARCH("fuel",$B359))+ISNUMBER(SEARCH("diesel",$B359))+ISNUMBER(SEARCH("krudo",$B359))+ISNUMBER(SEARCH("gasolina",$B359))+ISNUMBER(SEARCH("toll",$B359))+ISNUMBER(SEARCH("parking",$B359))+ISNUMBER(SEARCH("repair",$B359))+ISNUMBER(SEARCH("maintenance",$B359))+ISNUMBER(SEARCH("tire",$B359))+ISNUMBER(SEARCH("tyre",$B359))+ISNUMBER(SEARCH("battery",$B359))+ISNUMBER(SEARCH("oil",$B359))+ISNUMBER(SEARCH("filter",$B359))+ISNUMBER(SEARCH("spare",$B359))+ISNUMBER(SEARCH("insurance",$B359))+ISNUMBER(SEARCH("lto",$B359))+ISNUMBER(SEARCH("registration",$B359))+ISNUMBER(SEARCH("emission",$B359))+ISNUMBER(SEARCH("wash",$B359))+ISNUMBER(SEARCH("weigh",$B359))+ISNUMBER(SEARCH("tarp",$B359))&gt;0,"Vehicle",IF(ISNUMBER(SEARCH("rent",$B359))+ISNUMBER(SEARCH("upa",$B359))+ISNUMBER(SEARCH("salary",$B359))+ISNUMBER(SEARCH("sweldo",$B359))+ISNUMBER(SEARCH("wage",$B359))+ISNUMBER(SEARCH("electric",$B359))+ISNUMBER(SEARCH("kuryente",$B359))+ISNUMBER(SEARCH("water",$B359))+ISNUMBER(SEARCH("tubig",$B359))+ISNUMBER(SEARCH("internet",$B359))+ISNUMBER(SEARCH("pldt",$B359))+ISNUMBER(SEARCH("meralco",$B359))+ISNUMBER(SEARCH("supplies",$B359))+ISNUMBER(SEARCH("office",$B359))+ISNUMBER(SEARCH("professional",$B359))+ISNUMBER(SEARCH("accountant",$B359))+ISNUMBER(SEARCH("lawyer",$B359))+ISNUMBER(SEARCH("broker",$B359))+ISNUMBER(SEARCH("bank",$B359))+ISNUMBER(SEARCH("charge",$B359))+ISNUMBER(SEARCH("permit",$B359))+ISNUMBER(SEARCH("bir",$B359))+ISNUMBER(SEARCH("ltfrb",$B359))+ISNUMBER(SEARCH("misc",$B359))+ISNUMBER(SEARCH("fee",$B359))&gt;0,"Overhead","Overhead")))))))</f>
        <v/>
      </c>
      <c r="J359">
        <f>IF($A359="","",DATE(YEAR($A359),MONTH($A359),1))</f>
        <v/>
      </c>
      <c r="K359">
        <f>IF($B359="","",IF(COUNTIF(Setup!$A$99:$A$128,$B359)&gt;0,0,1))</f>
        <v/>
      </c>
      <c r="L359">
        <f>IF($B359="","",IF(ISNUMBER(SEARCH("advance",$B359)),"ADV",IF(OR(ISNUMBER(SEARCH("payout",$B359)),ISNUMBER(SEARCH("pay out",$B359)),ISNUMBER(SEARCH("release",$B359))),"PAY","")))</f>
        <v/>
      </c>
      <c r="M359">
        <f>IF($B359="","",IF(ISNUMBER(SEARCH("bulk",$B359)),0,IF(ISNUMBER(SEARCH("fuel",$B359))+ISNUMBER(SEARCH("diesel",$B359))+ISNUMBER(SEARCH("krudo",$B359))+ISNUMBER(SEARCH("gasolina",$B359))&gt;0,1,0)))</f>
        <v/>
      </c>
      <c r="N359">
        <f>IF($B359="","",IF(ISNUMBER(SEARCH("fuel",$B359))+ISNUMBER(SEARCH("diesel",$B359))+ISNUMBER(SEARCH("krudo",$B359))+ISNUMBER(SEARCH("gasolina",$B359))&gt;0,1,0))</f>
        <v/>
      </c>
    </row>
    <row r="360">
      <c r="A360" s="94" t="n"/>
      <c r="B360" s="96" t="n"/>
      <c r="C360" s="96" t="n"/>
      <c r="D360" s="95" t="n"/>
      <c r="E360" s="96" t="n"/>
      <c r="F360" s="99" t="n"/>
      <c r="G360" s="95" t="n"/>
      <c r="H360" s="95" t="n"/>
      <c r="I360" s="101">
        <f>IF($B360="","",IF(COUNTIF(Setup!$A$99:$A$128,$B360)&gt;0,IF(INDEX(Setup!$B$99:$B$128,MATCH($B360,Setup!$A$99:$A$128,0))="","Overhead",INDEX(Setup!$B$99:$B$128,MATCH($B360,Setup!$A$99:$A$128,0))),IF(ISNUMBER(SEARCH("advance",$B360))+ISNUMBER(SEARCH("payout",$B360))+ISNUMBER(SEARCH("pay out",$B360))+ISNUMBER(SEARCH("reimburs",$B360))&gt;0,"Transfer",IF(ISNUMBER(SEARCH("loan",$B360))+ISNUMBER(SEARCH("amort",$B360))+ISNUMBER(SEARCH("installment",$B360))+ISNUMBER(SEARCH("instalment",$B360))&gt;0,"Financing",IF(ISNUMBER(SEARCH("draw",$B360))+ISNUMBER(SEARCH("owner",$B360))+ISNUMBER(SEARCH("asset",$B360))+ISNUMBER(SEARCH("capital",$B360))&gt;0,"Other",IF(ISNUMBER(SEARCH("fuel",$B360))+ISNUMBER(SEARCH("diesel",$B360))+ISNUMBER(SEARCH("krudo",$B360))+ISNUMBER(SEARCH("gasolina",$B360))+ISNUMBER(SEARCH("toll",$B360))+ISNUMBER(SEARCH("parking",$B360))+ISNUMBER(SEARCH("repair",$B360))+ISNUMBER(SEARCH("maintenance",$B360))+ISNUMBER(SEARCH("tire",$B360))+ISNUMBER(SEARCH("tyre",$B360))+ISNUMBER(SEARCH("battery",$B360))+ISNUMBER(SEARCH("oil",$B360))+ISNUMBER(SEARCH("filter",$B360))+ISNUMBER(SEARCH("spare",$B360))+ISNUMBER(SEARCH("insurance",$B360))+ISNUMBER(SEARCH("lto",$B360))+ISNUMBER(SEARCH("registration",$B360))+ISNUMBER(SEARCH("emission",$B360))+ISNUMBER(SEARCH("wash",$B360))+ISNUMBER(SEARCH("weigh",$B360))+ISNUMBER(SEARCH("tarp",$B360))&gt;0,"Vehicle",IF(ISNUMBER(SEARCH("rent",$B360))+ISNUMBER(SEARCH("upa",$B360))+ISNUMBER(SEARCH("salary",$B360))+ISNUMBER(SEARCH("sweldo",$B360))+ISNUMBER(SEARCH("wage",$B360))+ISNUMBER(SEARCH("electric",$B360))+ISNUMBER(SEARCH("kuryente",$B360))+ISNUMBER(SEARCH("water",$B360))+ISNUMBER(SEARCH("tubig",$B360))+ISNUMBER(SEARCH("internet",$B360))+ISNUMBER(SEARCH("pldt",$B360))+ISNUMBER(SEARCH("meralco",$B360))+ISNUMBER(SEARCH("supplies",$B360))+ISNUMBER(SEARCH("office",$B360))+ISNUMBER(SEARCH("professional",$B360))+ISNUMBER(SEARCH("accountant",$B360))+ISNUMBER(SEARCH("lawyer",$B360))+ISNUMBER(SEARCH("broker",$B360))+ISNUMBER(SEARCH("bank",$B360))+ISNUMBER(SEARCH("charge",$B360))+ISNUMBER(SEARCH("permit",$B360))+ISNUMBER(SEARCH("bir",$B360))+ISNUMBER(SEARCH("ltfrb",$B360))+ISNUMBER(SEARCH("misc",$B360))+ISNUMBER(SEARCH("fee",$B360))&gt;0,"Overhead","Overhead")))))))</f>
        <v/>
      </c>
      <c r="J360">
        <f>IF($A360="","",DATE(YEAR($A360),MONTH($A360),1))</f>
        <v/>
      </c>
      <c r="K360">
        <f>IF($B360="","",IF(COUNTIF(Setup!$A$99:$A$128,$B360)&gt;0,0,1))</f>
        <v/>
      </c>
      <c r="L360">
        <f>IF($B360="","",IF(ISNUMBER(SEARCH("advance",$B360)),"ADV",IF(OR(ISNUMBER(SEARCH("payout",$B360)),ISNUMBER(SEARCH("pay out",$B360)),ISNUMBER(SEARCH("release",$B360))),"PAY","")))</f>
        <v/>
      </c>
      <c r="M360">
        <f>IF($B360="","",IF(ISNUMBER(SEARCH("bulk",$B360)),0,IF(ISNUMBER(SEARCH("fuel",$B360))+ISNUMBER(SEARCH("diesel",$B360))+ISNUMBER(SEARCH("krudo",$B360))+ISNUMBER(SEARCH("gasolina",$B360))&gt;0,1,0)))</f>
        <v/>
      </c>
      <c r="N360">
        <f>IF($B360="","",IF(ISNUMBER(SEARCH("fuel",$B360))+ISNUMBER(SEARCH("diesel",$B360))+ISNUMBER(SEARCH("krudo",$B360))+ISNUMBER(SEARCH("gasolina",$B360))&gt;0,1,0))</f>
        <v/>
      </c>
    </row>
    <row r="361">
      <c r="A361" s="86" t="n"/>
      <c r="B361" s="88" t="n"/>
      <c r="C361" s="88" t="n"/>
      <c r="D361" s="87" t="n"/>
      <c r="E361" s="88" t="n"/>
      <c r="F361" s="92" t="n"/>
      <c r="G361" s="87" t="n"/>
      <c r="H361" s="87" t="n"/>
      <c r="I361" s="101">
        <f>IF($B361="","",IF(COUNTIF(Setup!$A$99:$A$128,$B361)&gt;0,IF(INDEX(Setup!$B$99:$B$128,MATCH($B361,Setup!$A$99:$A$128,0))="","Overhead",INDEX(Setup!$B$99:$B$128,MATCH($B361,Setup!$A$99:$A$128,0))),IF(ISNUMBER(SEARCH("advance",$B361))+ISNUMBER(SEARCH("payout",$B361))+ISNUMBER(SEARCH("pay out",$B361))+ISNUMBER(SEARCH("reimburs",$B361))&gt;0,"Transfer",IF(ISNUMBER(SEARCH("loan",$B361))+ISNUMBER(SEARCH("amort",$B361))+ISNUMBER(SEARCH("installment",$B361))+ISNUMBER(SEARCH("instalment",$B361))&gt;0,"Financing",IF(ISNUMBER(SEARCH("draw",$B361))+ISNUMBER(SEARCH("owner",$B361))+ISNUMBER(SEARCH("asset",$B361))+ISNUMBER(SEARCH("capital",$B361))&gt;0,"Other",IF(ISNUMBER(SEARCH("fuel",$B361))+ISNUMBER(SEARCH("diesel",$B361))+ISNUMBER(SEARCH("krudo",$B361))+ISNUMBER(SEARCH("gasolina",$B361))+ISNUMBER(SEARCH("toll",$B361))+ISNUMBER(SEARCH("parking",$B361))+ISNUMBER(SEARCH("repair",$B361))+ISNUMBER(SEARCH("maintenance",$B361))+ISNUMBER(SEARCH("tire",$B361))+ISNUMBER(SEARCH("tyre",$B361))+ISNUMBER(SEARCH("battery",$B361))+ISNUMBER(SEARCH("oil",$B361))+ISNUMBER(SEARCH("filter",$B361))+ISNUMBER(SEARCH("spare",$B361))+ISNUMBER(SEARCH("insurance",$B361))+ISNUMBER(SEARCH("lto",$B361))+ISNUMBER(SEARCH("registration",$B361))+ISNUMBER(SEARCH("emission",$B361))+ISNUMBER(SEARCH("wash",$B361))+ISNUMBER(SEARCH("weigh",$B361))+ISNUMBER(SEARCH("tarp",$B361))&gt;0,"Vehicle",IF(ISNUMBER(SEARCH("rent",$B361))+ISNUMBER(SEARCH("upa",$B361))+ISNUMBER(SEARCH("salary",$B361))+ISNUMBER(SEARCH("sweldo",$B361))+ISNUMBER(SEARCH("wage",$B361))+ISNUMBER(SEARCH("electric",$B361))+ISNUMBER(SEARCH("kuryente",$B361))+ISNUMBER(SEARCH("water",$B361))+ISNUMBER(SEARCH("tubig",$B361))+ISNUMBER(SEARCH("internet",$B361))+ISNUMBER(SEARCH("pldt",$B361))+ISNUMBER(SEARCH("meralco",$B361))+ISNUMBER(SEARCH("supplies",$B361))+ISNUMBER(SEARCH("office",$B361))+ISNUMBER(SEARCH("professional",$B361))+ISNUMBER(SEARCH("accountant",$B361))+ISNUMBER(SEARCH("lawyer",$B361))+ISNUMBER(SEARCH("broker",$B361))+ISNUMBER(SEARCH("bank",$B361))+ISNUMBER(SEARCH("charge",$B361))+ISNUMBER(SEARCH("permit",$B361))+ISNUMBER(SEARCH("bir",$B361))+ISNUMBER(SEARCH("ltfrb",$B361))+ISNUMBER(SEARCH("misc",$B361))+ISNUMBER(SEARCH("fee",$B361))&gt;0,"Overhead","Overhead")))))))</f>
        <v/>
      </c>
      <c r="J361">
        <f>IF($A361="","",DATE(YEAR($A361),MONTH($A361),1))</f>
        <v/>
      </c>
      <c r="K361">
        <f>IF($B361="","",IF(COUNTIF(Setup!$A$99:$A$128,$B361)&gt;0,0,1))</f>
        <v/>
      </c>
      <c r="L361">
        <f>IF($B361="","",IF(ISNUMBER(SEARCH("advance",$B361)),"ADV",IF(OR(ISNUMBER(SEARCH("payout",$B361)),ISNUMBER(SEARCH("pay out",$B361)),ISNUMBER(SEARCH("release",$B361))),"PAY","")))</f>
        <v/>
      </c>
      <c r="M361">
        <f>IF($B361="","",IF(ISNUMBER(SEARCH("bulk",$B361)),0,IF(ISNUMBER(SEARCH("fuel",$B361))+ISNUMBER(SEARCH("diesel",$B361))+ISNUMBER(SEARCH("krudo",$B361))+ISNUMBER(SEARCH("gasolina",$B361))&gt;0,1,0)))</f>
        <v/>
      </c>
      <c r="N361">
        <f>IF($B361="","",IF(ISNUMBER(SEARCH("fuel",$B361))+ISNUMBER(SEARCH("diesel",$B361))+ISNUMBER(SEARCH("krudo",$B361))+ISNUMBER(SEARCH("gasolina",$B361))&gt;0,1,0))</f>
        <v/>
      </c>
    </row>
    <row r="362">
      <c r="A362" s="94" t="n"/>
      <c r="B362" s="96" t="n"/>
      <c r="C362" s="96" t="n"/>
      <c r="D362" s="95" t="n"/>
      <c r="E362" s="96" t="n"/>
      <c r="F362" s="99" t="n"/>
      <c r="G362" s="95" t="n"/>
      <c r="H362" s="95" t="n"/>
      <c r="I362" s="101">
        <f>IF($B362="","",IF(COUNTIF(Setup!$A$99:$A$128,$B362)&gt;0,IF(INDEX(Setup!$B$99:$B$128,MATCH($B362,Setup!$A$99:$A$128,0))="","Overhead",INDEX(Setup!$B$99:$B$128,MATCH($B362,Setup!$A$99:$A$128,0))),IF(ISNUMBER(SEARCH("advance",$B362))+ISNUMBER(SEARCH("payout",$B362))+ISNUMBER(SEARCH("pay out",$B362))+ISNUMBER(SEARCH("reimburs",$B362))&gt;0,"Transfer",IF(ISNUMBER(SEARCH("loan",$B362))+ISNUMBER(SEARCH("amort",$B362))+ISNUMBER(SEARCH("installment",$B362))+ISNUMBER(SEARCH("instalment",$B362))&gt;0,"Financing",IF(ISNUMBER(SEARCH("draw",$B362))+ISNUMBER(SEARCH("owner",$B362))+ISNUMBER(SEARCH("asset",$B362))+ISNUMBER(SEARCH("capital",$B362))&gt;0,"Other",IF(ISNUMBER(SEARCH("fuel",$B362))+ISNUMBER(SEARCH("diesel",$B362))+ISNUMBER(SEARCH("krudo",$B362))+ISNUMBER(SEARCH("gasolina",$B362))+ISNUMBER(SEARCH("toll",$B362))+ISNUMBER(SEARCH("parking",$B362))+ISNUMBER(SEARCH("repair",$B362))+ISNUMBER(SEARCH("maintenance",$B362))+ISNUMBER(SEARCH("tire",$B362))+ISNUMBER(SEARCH("tyre",$B362))+ISNUMBER(SEARCH("battery",$B362))+ISNUMBER(SEARCH("oil",$B362))+ISNUMBER(SEARCH("filter",$B362))+ISNUMBER(SEARCH("spare",$B362))+ISNUMBER(SEARCH("insurance",$B362))+ISNUMBER(SEARCH("lto",$B362))+ISNUMBER(SEARCH("registration",$B362))+ISNUMBER(SEARCH("emission",$B362))+ISNUMBER(SEARCH("wash",$B362))+ISNUMBER(SEARCH("weigh",$B362))+ISNUMBER(SEARCH("tarp",$B362))&gt;0,"Vehicle",IF(ISNUMBER(SEARCH("rent",$B362))+ISNUMBER(SEARCH("upa",$B362))+ISNUMBER(SEARCH("salary",$B362))+ISNUMBER(SEARCH("sweldo",$B362))+ISNUMBER(SEARCH("wage",$B362))+ISNUMBER(SEARCH("electric",$B362))+ISNUMBER(SEARCH("kuryente",$B362))+ISNUMBER(SEARCH("water",$B362))+ISNUMBER(SEARCH("tubig",$B362))+ISNUMBER(SEARCH("internet",$B362))+ISNUMBER(SEARCH("pldt",$B362))+ISNUMBER(SEARCH("meralco",$B362))+ISNUMBER(SEARCH("supplies",$B362))+ISNUMBER(SEARCH("office",$B362))+ISNUMBER(SEARCH("professional",$B362))+ISNUMBER(SEARCH("accountant",$B362))+ISNUMBER(SEARCH("lawyer",$B362))+ISNUMBER(SEARCH("broker",$B362))+ISNUMBER(SEARCH("bank",$B362))+ISNUMBER(SEARCH("charge",$B362))+ISNUMBER(SEARCH("permit",$B362))+ISNUMBER(SEARCH("bir",$B362))+ISNUMBER(SEARCH("ltfrb",$B362))+ISNUMBER(SEARCH("misc",$B362))+ISNUMBER(SEARCH("fee",$B362))&gt;0,"Overhead","Overhead")))))))</f>
        <v/>
      </c>
      <c r="J362">
        <f>IF($A362="","",DATE(YEAR($A362),MONTH($A362),1))</f>
        <v/>
      </c>
      <c r="K362">
        <f>IF($B362="","",IF(COUNTIF(Setup!$A$99:$A$128,$B362)&gt;0,0,1))</f>
        <v/>
      </c>
      <c r="L362">
        <f>IF($B362="","",IF(ISNUMBER(SEARCH("advance",$B362)),"ADV",IF(OR(ISNUMBER(SEARCH("payout",$B362)),ISNUMBER(SEARCH("pay out",$B362)),ISNUMBER(SEARCH("release",$B362))),"PAY","")))</f>
        <v/>
      </c>
      <c r="M362">
        <f>IF($B362="","",IF(ISNUMBER(SEARCH("bulk",$B362)),0,IF(ISNUMBER(SEARCH("fuel",$B362))+ISNUMBER(SEARCH("diesel",$B362))+ISNUMBER(SEARCH("krudo",$B362))+ISNUMBER(SEARCH("gasolina",$B362))&gt;0,1,0)))</f>
        <v/>
      </c>
      <c r="N362">
        <f>IF($B362="","",IF(ISNUMBER(SEARCH("fuel",$B362))+ISNUMBER(SEARCH("diesel",$B362))+ISNUMBER(SEARCH("krudo",$B362))+ISNUMBER(SEARCH("gasolina",$B362))&gt;0,1,0))</f>
        <v/>
      </c>
    </row>
    <row r="363">
      <c r="A363" s="86" t="n"/>
      <c r="B363" s="88" t="n"/>
      <c r="C363" s="88" t="n"/>
      <c r="D363" s="87" t="n"/>
      <c r="E363" s="88" t="n"/>
      <c r="F363" s="92" t="n"/>
      <c r="G363" s="87" t="n"/>
      <c r="H363" s="87" t="n"/>
      <c r="I363" s="101">
        <f>IF($B363="","",IF(COUNTIF(Setup!$A$99:$A$128,$B363)&gt;0,IF(INDEX(Setup!$B$99:$B$128,MATCH($B363,Setup!$A$99:$A$128,0))="","Overhead",INDEX(Setup!$B$99:$B$128,MATCH($B363,Setup!$A$99:$A$128,0))),IF(ISNUMBER(SEARCH("advance",$B363))+ISNUMBER(SEARCH("payout",$B363))+ISNUMBER(SEARCH("pay out",$B363))+ISNUMBER(SEARCH("reimburs",$B363))&gt;0,"Transfer",IF(ISNUMBER(SEARCH("loan",$B363))+ISNUMBER(SEARCH("amort",$B363))+ISNUMBER(SEARCH("installment",$B363))+ISNUMBER(SEARCH("instalment",$B363))&gt;0,"Financing",IF(ISNUMBER(SEARCH("draw",$B363))+ISNUMBER(SEARCH("owner",$B363))+ISNUMBER(SEARCH("asset",$B363))+ISNUMBER(SEARCH("capital",$B363))&gt;0,"Other",IF(ISNUMBER(SEARCH("fuel",$B363))+ISNUMBER(SEARCH("diesel",$B363))+ISNUMBER(SEARCH("krudo",$B363))+ISNUMBER(SEARCH("gasolina",$B363))+ISNUMBER(SEARCH("toll",$B363))+ISNUMBER(SEARCH("parking",$B363))+ISNUMBER(SEARCH("repair",$B363))+ISNUMBER(SEARCH("maintenance",$B363))+ISNUMBER(SEARCH("tire",$B363))+ISNUMBER(SEARCH("tyre",$B363))+ISNUMBER(SEARCH("battery",$B363))+ISNUMBER(SEARCH("oil",$B363))+ISNUMBER(SEARCH("filter",$B363))+ISNUMBER(SEARCH("spare",$B363))+ISNUMBER(SEARCH("insurance",$B363))+ISNUMBER(SEARCH("lto",$B363))+ISNUMBER(SEARCH("registration",$B363))+ISNUMBER(SEARCH("emission",$B363))+ISNUMBER(SEARCH("wash",$B363))+ISNUMBER(SEARCH("weigh",$B363))+ISNUMBER(SEARCH("tarp",$B363))&gt;0,"Vehicle",IF(ISNUMBER(SEARCH("rent",$B363))+ISNUMBER(SEARCH("upa",$B363))+ISNUMBER(SEARCH("salary",$B363))+ISNUMBER(SEARCH("sweldo",$B363))+ISNUMBER(SEARCH("wage",$B363))+ISNUMBER(SEARCH("electric",$B363))+ISNUMBER(SEARCH("kuryente",$B363))+ISNUMBER(SEARCH("water",$B363))+ISNUMBER(SEARCH("tubig",$B363))+ISNUMBER(SEARCH("internet",$B363))+ISNUMBER(SEARCH("pldt",$B363))+ISNUMBER(SEARCH("meralco",$B363))+ISNUMBER(SEARCH("supplies",$B363))+ISNUMBER(SEARCH("office",$B363))+ISNUMBER(SEARCH("professional",$B363))+ISNUMBER(SEARCH("accountant",$B363))+ISNUMBER(SEARCH("lawyer",$B363))+ISNUMBER(SEARCH("broker",$B363))+ISNUMBER(SEARCH("bank",$B363))+ISNUMBER(SEARCH("charge",$B363))+ISNUMBER(SEARCH("permit",$B363))+ISNUMBER(SEARCH("bir",$B363))+ISNUMBER(SEARCH("ltfrb",$B363))+ISNUMBER(SEARCH("misc",$B363))+ISNUMBER(SEARCH("fee",$B363))&gt;0,"Overhead","Overhead")))))))</f>
        <v/>
      </c>
      <c r="J363">
        <f>IF($A363="","",DATE(YEAR($A363),MONTH($A363),1))</f>
        <v/>
      </c>
      <c r="K363">
        <f>IF($B363="","",IF(COUNTIF(Setup!$A$99:$A$128,$B363)&gt;0,0,1))</f>
        <v/>
      </c>
      <c r="L363">
        <f>IF($B363="","",IF(ISNUMBER(SEARCH("advance",$B363)),"ADV",IF(OR(ISNUMBER(SEARCH("payout",$B363)),ISNUMBER(SEARCH("pay out",$B363)),ISNUMBER(SEARCH("release",$B363))),"PAY","")))</f>
        <v/>
      </c>
      <c r="M363">
        <f>IF($B363="","",IF(ISNUMBER(SEARCH("bulk",$B363)),0,IF(ISNUMBER(SEARCH("fuel",$B363))+ISNUMBER(SEARCH("diesel",$B363))+ISNUMBER(SEARCH("krudo",$B363))+ISNUMBER(SEARCH("gasolina",$B363))&gt;0,1,0)))</f>
        <v/>
      </c>
      <c r="N363">
        <f>IF($B363="","",IF(ISNUMBER(SEARCH("fuel",$B363))+ISNUMBER(SEARCH("diesel",$B363))+ISNUMBER(SEARCH("krudo",$B363))+ISNUMBER(SEARCH("gasolina",$B363))&gt;0,1,0))</f>
        <v/>
      </c>
    </row>
    <row r="364">
      <c r="A364" s="94" t="n"/>
      <c r="B364" s="96" t="n"/>
      <c r="C364" s="96" t="n"/>
      <c r="D364" s="95" t="n"/>
      <c r="E364" s="96" t="n"/>
      <c r="F364" s="99" t="n"/>
      <c r="G364" s="95" t="n"/>
      <c r="H364" s="95" t="n"/>
      <c r="I364" s="101">
        <f>IF($B364="","",IF(COUNTIF(Setup!$A$99:$A$128,$B364)&gt;0,IF(INDEX(Setup!$B$99:$B$128,MATCH($B364,Setup!$A$99:$A$128,0))="","Overhead",INDEX(Setup!$B$99:$B$128,MATCH($B364,Setup!$A$99:$A$128,0))),IF(ISNUMBER(SEARCH("advance",$B364))+ISNUMBER(SEARCH("payout",$B364))+ISNUMBER(SEARCH("pay out",$B364))+ISNUMBER(SEARCH("reimburs",$B364))&gt;0,"Transfer",IF(ISNUMBER(SEARCH("loan",$B364))+ISNUMBER(SEARCH("amort",$B364))+ISNUMBER(SEARCH("installment",$B364))+ISNUMBER(SEARCH("instalment",$B364))&gt;0,"Financing",IF(ISNUMBER(SEARCH("draw",$B364))+ISNUMBER(SEARCH("owner",$B364))+ISNUMBER(SEARCH("asset",$B364))+ISNUMBER(SEARCH("capital",$B364))&gt;0,"Other",IF(ISNUMBER(SEARCH("fuel",$B364))+ISNUMBER(SEARCH("diesel",$B364))+ISNUMBER(SEARCH("krudo",$B364))+ISNUMBER(SEARCH("gasolina",$B364))+ISNUMBER(SEARCH("toll",$B364))+ISNUMBER(SEARCH("parking",$B364))+ISNUMBER(SEARCH("repair",$B364))+ISNUMBER(SEARCH("maintenance",$B364))+ISNUMBER(SEARCH("tire",$B364))+ISNUMBER(SEARCH("tyre",$B364))+ISNUMBER(SEARCH("battery",$B364))+ISNUMBER(SEARCH("oil",$B364))+ISNUMBER(SEARCH("filter",$B364))+ISNUMBER(SEARCH("spare",$B364))+ISNUMBER(SEARCH("insurance",$B364))+ISNUMBER(SEARCH("lto",$B364))+ISNUMBER(SEARCH("registration",$B364))+ISNUMBER(SEARCH("emission",$B364))+ISNUMBER(SEARCH("wash",$B364))+ISNUMBER(SEARCH("weigh",$B364))+ISNUMBER(SEARCH("tarp",$B364))&gt;0,"Vehicle",IF(ISNUMBER(SEARCH("rent",$B364))+ISNUMBER(SEARCH("upa",$B364))+ISNUMBER(SEARCH("salary",$B364))+ISNUMBER(SEARCH("sweldo",$B364))+ISNUMBER(SEARCH("wage",$B364))+ISNUMBER(SEARCH("electric",$B364))+ISNUMBER(SEARCH("kuryente",$B364))+ISNUMBER(SEARCH("water",$B364))+ISNUMBER(SEARCH("tubig",$B364))+ISNUMBER(SEARCH("internet",$B364))+ISNUMBER(SEARCH("pldt",$B364))+ISNUMBER(SEARCH("meralco",$B364))+ISNUMBER(SEARCH("supplies",$B364))+ISNUMBER(SEARCH("office",$B364))+ISNUMBER(SEARCH("professional",$B364))+ISNUMBER(SEARCH("accountant",$B364))+ISNUMBER(SEARCH("lawyer",$B364))+ISNUMBER(SEARCH("broker",$B364))+ISNUMBER(SEARCH("bank",$B364))+ISNUMBER(SEARCH("charge",$B364))+ISNUMBER(SEARCH("permit",$B364))+ISNUMBER(SEARCH("bir",$B364))+ISNUMBER(SEARCH("ltfrb",$B364))+ISNUMBER(SEARCH("misc",$B364))+ISNUMBER(SEARCH("fee",$B364))&gt;0,"Overhead","Overhead")))))))</f>
        <v/>
      </c>
      <c r="J364">
        <f>IF($A364="","",DATE(YEAR($A364),MONTH($A364),1))</f>
        <v/>
      </c>
      <c r="K364">
        <f>IF($B364="","",IF(COUNTIF(Setup!$A$99:$A$128,$B364)&gt;0,0,1))</f>
        <v/>
      </c>
      <c r="L364">
        <f>IF($B364="","",IF(ISNUMBER(SEARCH("advance",$B364)),"ADV",IF(OR(ISNUMBER(SEARCH("payout",$B364)),ISNUMBER(SEARCH("pay out",$B364)),ISNUMBER(SEARCH("release",$B364))),"PAY","")))</f>
        <v/>
      </c>
      <c r="M364">
        <f>IF($B364="","",IF(ISNUMBER(SEARCH("bulk",$B364)),0,IF(ISNUMBER(SEARCH("fuel",$B364))+ISNUMBER(SEARCH("diesel",$B364))+ISNUMBER(SEARCH("krudo",$B364))+ISNUMBER(SEARCH("gasolina",$B364))&gt;0,1,0)))</f>
        <v/>
      </c>
      <c r="N364">
        <f>IF($B364="","",IF(ISNUMBER(SEARCH("fuel",$B364))+ISNUMBER(SEARCH("diesel",$B364))+ISNUMBER(SEARCH("krudo",$B364))+ISNUMBER(SEARCH("gasolina",$B364))&gt;0,1,0))</f>
        <v/>
      </c>
    </row>
    <row r="365">
      <c r="A365" s="86" t="n"/>
      <c r="B365" s="88" t="n"/>
      <c r="C365" s="88" t="n"/>
      <c r="D365" s="87" t="n"/>
      <c r="E365" s="88" t="n"/>
      <c r="F365" s="92" t="n"/>
      <c r="G365" s="87" t="n"/>
      <c r="H365" s="87" t="n"/>
      <c r="I365" s="101">
        <f>IF($B365="","",IF(COUNTIF(Setup!$A$99:$A$128,$B365)&gt;0,IF(INDEX(Setup!$B$99:$B$128,MATCH($B365,Setup!$A$99:$A$128,0))="","Overhead",INDEX(Setup!$B$99:$B$128,MATCH($B365,Setup!$A$99:$A$128,0))),IF(ISNUMBER(SEARCH("advance",$B365))+ISNUMBER(SEARCH("payout",$B365))+ISNUMBER(SEARCH("pay out",$B365))+ISNUMBER(SEARCH("reimburs",$B365))&gt;0,"Transfer",IF(ISNUMBER(SEARCH("loan",$B365))+ISNUMBER(SEARCH("amort",$B365))+ISNUMBER(SEARCH("installment",$B365))+ISNUMBER(SEARCH("instalment",$B365))&gt;0,"Financing",IF(ISNUMBER(SEARCH("draw",$B365))+ISNUMBER(SEARCH("owner",$B365))+ISNUMBER(SEARCH("asset",$B365))+ISNUMBER(SEARCH("capital",$B365))&gt;0,"Other",IF(ISNUMBER(SEARCH("fuel",$B365))+ISNUMBER(SEARCH("diesel",$B365))+ISNUMBER(SEARCH("krudo",$B365))+ISNUMBER(SEARCH("gasolina",$B365))+ISNUMBER(SEARCH("toll",$B365))+ISNUMBER(SEARCH("parking",$B365))+ISNUMBER(SEARCH("repair",$B365))+ISNUMBER(SEARCH("maintenance",$B365))+ISNUMBER(SEARCH("tire",$B365))+ISNUMBER(SEARCH("tyre",$B365))+ISNUMBER(SEARCH("battery",$B365))+ISNUMBER(SEARCH("oil",$B365))+ISNUMBER(SEARCH("filter",$B365))+ISNUMBER(SEARCH("spare",$B365))+ISNUMBER(SEARCH("insurance",$B365))+ISNUMBER(SEARCH("lto",$B365))+ISNUMBER(SEARCH("registration",$B365))+ISNUMBER(SEARCH("emission",$B365))+ISNUMBER(SEARCH("wash",$B365))+ISNUMBER(SEARCH("weigh",$B365))+ISNUMBER(SEARCH("tarp",$B365))&gt;0,"Vehicle",IF(ISNUMBER(SEARCH("rent",$B365))+ISNUMBER(SEARCH("upa",$B365))+ISNUMBER(SEARCH("salary",$B365))+ISNUMBER(SEARCH("sweldo",$B365))+ISNUMBER(SEARCH("wage",$B365))+ISNUMBER(SEARCH("electric",$B365))+ISNUMBER(SEARCH("kuryente",$B365))+ISNUMBER(SEARCH("water",$B365))+ISNUMBER(SEARCH("tubig",$B365))+ISNUMBER(SEARCH("internet",$B365))+ISNUMBER(SEARCH("pldt",$B365))+ISNUMBER(SEARCH("meralco",$B365))+ISNUMBER(SEARCH("supplies",$B365))+ISNUMBER(SEARCH("office",$B365))+ISNUMBER(SEARCH("professional",$B365))+ISNUMBER(SEARCH("accountant",$B365))+ISNUMBER(SEARCH("lawyer",$B365))+ISNUMBER(SEARCH("broker",$B365))+ISNUMBER(SEARCH("bank",$B365))+ISNUMBER(SEARCH("charge",$B365))+ISNUMBER(SEARCH("permit",$B365))+ISNUMBER(SEARCH("bir",$B365))+ISNUMBER(SEARCH("ltfrb",$B365))+ISNUMBER(SEARCH("misc",$B365))+ISNUMBER(SEARCH("fee",$B365))&gt;0,"Overhead","Overhead")))))))</f>
        <v/>
      </c>
      <c r="J365">
        <f>IF($A365="","",DATE(YEAR($A365),MONTH($A365),1))</f>
        <v/>
      </c>
      <c r="K365">
        <f>IF($B365="","",IF(COUNTIF(Setup!$A$99:$A$128,$B365)&gt;0,0,1))</f>
        <v/>
      </c>
      <c r="L365">
        <f>IF($B365="","",IF(ISNUMBER(SEARCH("advance",$B365)),"ADV",IF(OR(ISNUMBER(SEARCH("payout",$B365)),ISNUMBER(SEARCH("pay out",$B365)),ISNUMBER(SEARCH("release",$B365))),"PAY","")))</f>
        <v/>
      </c>
      <c r="M365">
        <f>IF($B365="","",IF(ISNUMBER(SEARCH("bulk",$B365)),0,IF(ISNUMBER(SEARCH("fuel",$B365))+ISNUMBER(SEARCH("diesel",$B365))+ISNUMBER(SEARCH("krudo",$B365))+ISNUMBER(SEARCH("gasolina",$B365))&gt;0,1,0)))</f>
        <v/>
      </c>
      <c r="N365">
        <f>IF($B365="","",IF(ISNUMBER(SEARCH("fuel",$B365))+ISNUMBER(SEARCH("diesel",$B365))+ISNUMBER(SEARCH("krudo",$B365))+ISNUMBER(SEARCH("gasolina",$B365))&gt;0,1,0))</f>
        <v/>
      </c>
    </row>
    <row r="366">
      <c r="A366" s="94" t="n"/>
      <c r="B366" s="96" t="n"/>
      <c r="C366" s="96" t="n"/>
      <c r="D366" s="95" t="n"/>
      <c r="E366" s="96" t="n"/>
      <c r="F366" s="99" t="n"/>
      <c r="G366" s="95" t="n"/>
      <c r="H366" s="95" t="n"/>
      <c r="I366" s="101">
        <f>IF($B366="","",IF(COUNTIF(Setup!$A$99:$A$128,$B366)&gt;0,IF(INDEX(Setup!$B$99:$B$128,MATCH($B366,Setup!$A$99:$A$128,0))="","Overhead",INDEX(Setup!$B$99:$B$128,MATCH($B366,Setup!$A$99:$A$128,0))),IF(ISNUMBER(SEARCH("advance",$B366))+ISNUMBER(SEARCH("payout",$B366))+ISNUMBER(SEARCH("pay out",$B366))+ISNUMBER(SEARCH("reimburs",$B366))&gt;0,"Transfer",IF(ISNUMBER(SEARCH("loan",$B366))+ISNUMBER(SEARCH("amort",$B366))+ISNUMBER(SEARCH("installment",$B366))+ISNUMBER(SEARCH("instalment",$B366))&gt;0,"Financing",IF(ISNUMBER(SEARCH("draw",$B366))+ISNUMBER(SEARCH("owner",$B366))+ISNUMBER(SEARCH("asset",$B366))+ISNUMBER(SEARCH("capital",$B366))&gt;0,"Other",IF(ISNUMBER(SEARCH("fuel",$B366))+ISNUMBER(SEARCH("diesel",$B366))+ISNUMBER(SEARCH("krudo",$B366))+ISNUMBER(SEARCH("gasolina",$B366))+ISNUMBER(SEARCH("toll",$B366))+ISNUMBER(SEARCH("parking",$B366))+ISNUMBER(SEARCH("repair",$B366))+ISNUMBER(SEARCH("maintenance",$B366))+ISNUMBER(SEARCH("tire",$B366))+ISNUMBER(SEARCH("tyre",$B366))+ISNUMBER(SEARCH("battery",$B366))+ISNUMBER(SEARCH("oil",$B366))+ISNUMBER(SEARCH("filter",$B366))+ISNUMBER(SEARCH("spare",$B366))+ISNUMBER(SEARCH("insurance",$B366))+ISNUMBER(SEARCH("lto",$B366))+ISNUMBER(SEARCH("registration",$B366))+ISNUMBER(SEARCH("emission",$B366))+ISNUMBER(SEARCH("wash",$B366))+ISNUMBER(SEARCH("weigh",$B366))+ISNUMBER(SEARCH("tarp",$B366))&gt;0,"Vehicle",IF(ISNUMBER(SEARCH("rent",$B366))+ISNUMBER(SEARCH("upa",$B366))+ISNUMBER(SEARCH("salary",$B366))+ISNUMBER(SEARCH("sweldo",$B366))+ISNUMBER(SEARCH("wage",$B366))+ISNUMBER(SEARCH("electric",$B366))+ISNUMBER(SEARCH("kuryente",$B366))+ISNUMBER(SEARCH("water",$B366))+ISNUMBER(SEARCH("tubig",$B366))+ISNUMBER(SEARCH("internet",$B366))+ISNUMBER(SEARCH("pldt",$B366))+ISNUMBER(SEARCH("meralco",$B366))+ISNUMBER(SEARCH("supplies",$B366))+ISNUMBER(SEARCH("office",$B366))+ISNUMBER(SEARCH("professional",$B366))+ISNUMBER(SEARCH("accountant",$B366))+ISNUMBER(SEARCH("lawyer",$B366))+ISNUMBER(SEARCH("broker",$B366))+ISNUMBER(SEARCH("bank",$B366))+ISNUMBER(SEARCH("charge",$B366))+ISNUMBER(SEARCH("permit",$B366))+ISNUMBER(SEARCH("bir",$B366))+ISNUMBER(SEARCH("ltfrb",$B366))+ISNUMBER(SEARCH("misc",$B366))+ISNUMBER(SEARCH("fee",$B366))&gt;0,"Overhead","Overhead")))))))</f>
        <v/>
      </c>
      <c r="J366">
        <f>IF($A366="","",DATE(YEAR($A366),MONTH($A366),1))</f>
        <v/>
      </c>
      <c r="K366">
        <f>IF($B366="","",IF(COUNTIF(Setup!$A$99:$A$128,$B366)&gt;0,0,1))</f>
        <v/>
      </c>
      <c r="L366">
        <f>IF($B366="","",IF(ISNUMBER(SEARCH("advance",$B366)),"ADV",IF(OR(ISNUMBER(SEARCH("payout",$B366)),ISNUMBER(SEARCH("pay out",$B366)),ISNUMBER(SEARCH("release",$B366))),"PAY","")))</f>
        <v/>
      </c>
      <c r="M366">
        <f>IF($B366="","",IF(ISNUMBER(SEARCH("bulk",$B366)),0,IF(ISNUMBER(SEARCH("fuel",$B366))+ISNUMBER(SEARCH("diesel",$B366))+ISNUMBER(SEARCH("krudo",$B366))+ISNUMBER(SEARCH("gasolina",$B366))&gt;0,1,0)))</f>
        <v/>
      </c>
      <c r="N366">
        <f>IF($B366="","",IF(ISNUMBER(SEARCH("fuel",$B366))+ISNUMBER(SEARCH("diesel",$B366))+ISNUMBER(SEARCH("krudo",$B366))+ISNUMBER(SEARCH("gasolina",$B366))&gt;0,1,0))</f>
        <v/>
      </c>
    </row>
    <row r="367">
      <c r="A367" s="86" t="n"/>
      <c r="B367" s="88" t="n"/>
      <c r="C367" s="88" t="n"/>
      <c r="D367" s="87" t="n"/>
      <c r="E367" s="88" t="n"/>
      <c r="F367" s="92" t="n"/>
      <c r="G367" s="87" t="n"/>
      <c r="H367" s="87" t="n"/>
      <c r="I367" s="101">
        <f>IF($B367="","",IF(COUNTIF(Setup!$A$99:$A$128,$B367)&gt;0,IF(INDEX(Setup!$B$99:$B$128,MATCH($B367,Setup!$A$99:$A$128,0))="","Overhead",INDEX(Setup!$B$99:$B$128,MATCH($B367,Setup!$A$99:$A$128,0))),IF(ISNUMBER(SEARCH("advance",$B367))+ISNUMBER(SEARCH("payout",$B367))+ISNUMBER(SEARCH("pay out",$B367))+ISNUMBER(SEARCH("reimburs",$B367))&gt;0,"Transfer",IF(ISNUMBER(SEARCH("loan",$B367))+ISNUMBER(SEARCH("amort",$B367))+ISNUMBER(SEARCH("installment",$B367))+ISNUMBER(SEARCH("instalment",$B367))&gt;0,"Financing",IF(ISNUMBER(SEARCH("draw",$B367))+ISNUMBER(SEARCH("owner",$B367))+ISNUMBER(SEARCH("asset",$B367))+ISNUMBER(SEARCH("capital",$B367))&gt;0,"Other",IF(ISNUMBER(SEARCH("fuel",$B367))+ISNUMBER(SEARCH("diesel",$B367))+ISNUMBER(SEARCH("krudo",$B367))+ISNUMBER(SEARCH("gasolina",$B367))+ISNUMBER(SEARCH("toll",$B367))+ISNUMBER(SEARCH("parking",$B367))+ISNUMBER(SEARCH("repair",$B367))+ISNUMBER(SEARCH("maintenance",$B367))+ISNUMBER(SEARCH("tire",$B367))+ISNUMBER(SEARCH("tyre",$B367))+ISNUMBER(SEARCH("battery",$B367))+ISNUMBER(SEARCH("oil",$B367))+ISNUMBER(SEARCH("filter",$B367))+ISNUMBER(SEARCH("spare",$B367))+ISNUMBER(SEARCH("insurance",$B367))+ISNUMBER(SEARCH("lto",$B367))+ISNUMBER(SEARCH("registration",$B367))+ISNUMBER(SEARCH("emission",$B367))+ISNUMBER(SEARCH("wash",$B367))+ISNUMBER(SEARCH("weigh",$B367))+ISNUMBER(SEARCH("tarp",$B367))&gt;0,"Vehicle",IF(ISNUMBER(SEARCH("rent",$B367))+ISNUMBER(SEARCH("upa",$B367))+ISNUMBER(SEARCH("salary",$B367))+ISNUMBER(SEARCH("sweldo",$B367))+ISNUMBER(SEARCH("wage",$B367))+ISNUMBER(SEARCH("electric",$B367))+ISNUMBER(SEARCH("kuryente",$B367))+ISNUMBER(SEARCH("water",$B367))+ISNUMBER(SEARCH("tubig",$B367))+ISNUMBER(SEARCH("internet",$B367))+ISNUMBER(SEARCH("pldt",$B367))+ISNUMBER(SEARCH("meralco",$B367))+ISNUMBER(SEARCH("supplies",$B367))+ISNUMBER(SEARCH("office",$B367))+ISNUMBER(SEARCH("professional",$B367))+ISNUMBER(SEARCH("accountant",$B367))+ISNUMBER(SEARCH("lawyer",$B367))+ISNUMBER(SEARCH("broker",$B367))+ISNUMBER(SEARCH("bank",$B367))+ISNUMBER(SEARCH("charge",$B367))+ISNUMBER(SEARCH("permit",$B367))+ISNUMBER(SEARCH("bir",$B367))+ISNUMBER(SEARCH("ltfrb",$B367))+ISNUMBER(SEARCH("misc",$B367))+ISNUMBER(SEARCH("fee",$B367))&gt;0,"Overhead","Overhead")))))))</f>
        <v/>
      </c>
      <c r="J367">
        <f>IF($A367="","",DATE(YEAR($A367),MONTH($A367),1))</f>
        <v/>
      </c>
      <c r="K367">
        <f>IF($B367="","",IF(COUNTIF(Setup!$A$99:$A$128,$B367)&gt;0,0,1))</f>
        <v/>
      </c>
      <c r="L367">
        <f>IF($B367="","",IF(ISNUMBER(SEARCH("advance",$B367)),"ADV",IF(OR(ISNUMBER(SEARCH("payout",$B367)),ISNUMBER(SEARCH("pay out",$B367)),ISNUMBER(SEARCH("release",$B367))),"PAY","")))</f>
        <v/>
      </c>
      <c r="M367">
        <f>IF($B367="","",IF(ISNUMBER(SEARCH("bulk",$B367)),0,IF(ISNUMBER(SEARCH("fuel",$B367))+ISNUMBER(SEARCH("diesel",$B367))+ISNUMBER(SEARCH("krudo",$B367))+ISNUMBER(SEARCH("gasolina",$B367))&gt;0,1,0)))</f>
        <v/>
      </c>
      <c r="N367">
        <f>IF($B367="","",IF(ISNUMBER(SEARCH("fuel",$B367))+ISNUMBER(SEARCH("diesel",$B367))+ISNUMBER(SEARCH("krudo",$B367))+ISNUMBER(SEARCH("gasolina",$B367))&gt;0,1,0))</f>
        <v/>
      </c>
    </row>
    <row r="368">
      <c r="A368" s="94" t="n"/>
      <c r="B368" s="96" t="n"/>
      <c r="C368" s="96" t="n"/>
      <c r="D368" s="95" t="n"/>
      <c r="E368" s="96" t="n"/>
      <c r="F368" s="99" t="n"/>
      <c r="G368" s="95" t="n"/>
      <c r="H368" s="95" t="n"/>
      <c r="I368" s="101">
        <f>IF($B368="","",IF(COUNTIF(Setup!$A$99:$A$128,$B368)&gt;0,IF(INDEX(Setup!$B$99:$B$128,MATCH($B368,Setup!$A$99:$A$128,0))="","Overhead",INDEX(Setup!$B$99:$B$128,MATCH($B368,Setup!$A$99:$A$128,0))),IF(ISNUMBER(SEARCH("advance",$B368))+ISNUMBER(SEARCH("payout",$B368))+ISNUMBER(SEARCH("pay out",$B368))+ISNUMBER(SEARCH("reimburs",$B368))&gt;0,"Transfer",IF(ISNUMBER(SEARCH("loan",$B368))+ISNUMBER(SEARCH("amort",$B368))+ISNUMBER(SEARCH("installment",$B368))+ISNUMBER(SEARCH("instalment",$B368))&gt;0,"Financing",IF(ISNUMBER(SEARCH("draw",$B368))+ISNUMBER(SEARCH("owner",$B368))+ISNUMBER(SEARCH("asset",$B368))+ISNUMBER(SEARCH("capital",$B368))&gt;0,"Other",IF(ISNUMBER(SEARCH("fuel",$B368))+ISNUMBER(SEARCH("diesel",$B368))+ISNUMBER(SEARCH("krudo",$B368))+ISNUMBER(SEARCH("gasolina",$B368))+ISNUMBER(SEARCH("toll",$B368))+ISNUMBER(SEARCH("parking",$B368))+ISNUMBER(SEARCH("repair",$B368))+ISNUMBER(SEARCH("maintenance",$B368))+ISNUMBER(SEARCH("tire",$B368))+ISNUMBER(SEARCH("tyre",$B368))+ISNUMBER(SEARCH("battery",$B368))+ISNUMBER(SEARCH("oil",$B368))+ISNUMBER(SEARCH("filter",$B368))+ISNUMBER(SEARCH("spare",$B368))+ISNUMBER(SEARCH("insurance",$B368))+ISNUMBER(SEARCH("lto",$B368))+ISNUMBER(SEARCH("registration",$B368))+ISNUMBER(SEARCH("emission",$B368))+ISNUMBER(SEARCH("wash",$B368))+ISNUMBER(SEARCH("weigh",$B368))+ISNUMBER(SEARCH("tarp",$B368))&gt;0,"Vehicle",IF(ISNUMBER(SEARCH("rent",$B368))+ISNUMBER(SEARCH("upa",$B368))+ISNUMBER(SEARCH("salary",$B368))+ISNUMBER(SEARCH("sweldo",$B368))+ISNUMBER(SEARCH("wage",$B368))+ISNUMBER(SEARCH("electric",$B368))+ISNUMBER(SEARCH("kuryente",$B368))+ISNUMBER(SEARCH("water",$B368))+ISNUMBER(SEARCH("tubig",$B368))+ISNUMBER(SEARCH("internet",$B368))+ISNUMBER(SEARCH("pldt",$B368))+ISNUMBER(SEARCH("meralco",$B368))+ISNUMBER(SEARCH("supplies",$B368))+ISNUMBER(SEARCH("office",$B368))+ISNUMBER(SEARCH("professional",$B368))+ISNUMBER(SEARCH("accountant",$B368))+ISNUMBER(SEARCH("lawyer",$B368))+ISNUMBER(SEARCH("broker",$B368))+ISNUMBER(SEARCH("bank",$B368))+ISNUMBER(SEARCH("charge",$B368))+ISNUMBER(SEARCH("permit",$B368))+ISNUMBER(SEARCH("bir",$B368))+ISNUMBER(SEARCH("ltfrb",$B368))+ISNUMBER(SEARCH("misc",$B368))+ISNUMBER(SEARCH("fee",$B368))&gt;0,"Overhead","Overhead")))))))</f>
        <v/>
      </c>
      <c r="J368">
        <f>IF($A368="","",DATE(YEAR($A368),MONTH($A368),1))</f>
        <v/>
      </c>
      <c r="K368">
        <f>IF($B368="","",IF(COUNTIF(Setup!$A$99:$A$128,$B368)&gt;0,0,1))</f>
        <v/>
      </c>
      <c r="L368">
        <f>IF($B368="","",IF(ISNUMBER(SEARCH("advance",$B368)),"ADV",IF(OR(ISNUMBER(SEARCH("payout",$B368)),ISNUMBER(SEARCH("pay out",$B368)),ISNUMBER(SEARCH("release",$B368))),"PAY","")))</f>
        <v/>
      </c>
      <c r="M368">
        <f>IF($B368="","",IF(ISNUMBER(SEARCH("bulk",$B368)),0,IF(ISNUMBER(SEARCH("fuel",$B368))+ISNUMBER(SEARCH("diesel",$B368))+ISNUMBER(SEARCH("krudo",$B368))+ISNUMBER(SEARCH("gasolina",$B368))&gt;0,1,0)))</f>
        <v/>
      </c>
      <c r="N368">
        <f>IF($B368="","",IF(ISNUMBER(SEARCH("fuel",$B368))+ISNUMBER(SEARCH("diesel",$B368))+ISNUMBER(SEARCH("krudo",$B368))+ISNUMBER(SEARCH("gasolina",$B368))&gt;0,1,0))</f>
        <v/>
      </c>
    </row>
    <row r="369">
      <c r="A369" s="86" t="n"/>
      <c r="B369" s="88" t="n"/>
      <c r="C369" s="88" t="n"/>
      <c r="D369" s="87" t="n"/>
      <c r="E369" s="88" t="n"/>
      <c r="F369" s="92" t="n"/>
      <c r="G369" s="87" t="n"/>
      <c r="H369" s="87" t="n"/>
      <c r="I369" s="101">
        <f>IF($B369="","",IF(COUNTIF(Setup!$A$99:$A$128,$B369)&gt;0,IF(INDEX(Setup!$B$99:$B$128,MATCH($B369,Setup!$A$99:$A$128,0))="","Overhead",INDEX(Setup!$B$99:$B$128,MATCH($B369,Setup!$A$99:$A$128,0))),IF(ISNUMBER(SEARCH("advance",$B369))+ISNUMBER(SEARCH("payout",$B369))+ISNUMBER(SEARCH("pay out",$B369))+ISNUMBER(SEARCH("reimburs",$B369))&gt;0,"Transfer",IF(ISNUMBER(SEARCH("loan",$B369))+ISNUMBER(SEARCH("amort",$B369))+ISNUMBER(SEARCH("installment",$B369))+ISNUMBER(SEARCH("instalment",$B369))&gt;0,"Financing",IF(ISNUMBER(SEARCH("draw",$B369))+ISNUMBER(SEARCH("owner",$B369))+ISNUMBER(SEARCH("asset",$B369))+ISNUMBER(SEARCH("capital",$B369))&gt;0,"Other",IF(ISNUMBER(SEARCH("fuel",$B369))+ISNUMBER(SEARCH("diesel",$B369))+ISNUMBER(SEARCH("krudo",$B369))+ISNUMBER(SEARCH("gasolina",$B369))+ISNUMBER(SEARCH("toll",$B369))+ISNUMBER(SEARCH("parking",$B369))+ISNUMBER(SEARCH("repair",$B369))+ISNUMBER(SEARCH("maintenance",$B369))+ISNUMBER(SEARCH("tire",$B369))+ISNUMBER(SEARCH("tyre",$B369))+ISNUMBER(SEARCH("battery",$B369))+ISNUMBER(SEARCH("oil",$B369))+ISNUMBER(SEARCH("filter",$B369))+ISNUMBER(SEARCH("spare",$B369))+ISNUMBER(SEARCH("insurance",$B369))+ISNUMBER(SEARCH("lto",$B369))+ISNUMBER(SEARCH("registration",$B369))+ISNUMBER(SEARCH("emission",$B369))+ISNUMBER(SEARCH("wash",$B369))+ISNUMBER(SEARCH("weigh",$B369))+ISNUMBER(SEARCH("tarp",$B369))&gt;0,"Vehicle",IF(ISNUMBER(SEARCH("rent",$B369))+ISNUMBER(SEARCH("upa",$B369))+ISNUMBER(SEARCH("salary",$B369))+ISNUMBER(SEARCH("sweldo",$B369))+ISNUMBER(SEARCH("wage",$B369))+ISNUMBER(SEARCH("electric",$B369))+ISNUMBER(SEARCH("kuryente",$B369))+ISNUMBER(SEARCH("water",$B369))+ISNUMBER(SEARCH("tubig",$B369))+ISNUMBER(SEARCH("internet",$B369))+ISNUMBER(SEARCH("pldt",$B369))+ISNUMBER(SEARCH("meralco",$B369))+ISNUMBER(SEARCH("supplies",$B369))+ISNUMBER(SEARCH("office",$B369))+ISNUMBER(SEARCH("professional",$B369))+ISNUMBER(SEARCH("accountant",$B369))+ISNUMBER(SEARCH("lawyer",$B369))+ISNUMBER(SEARCH("broker",$B369))+ISNUMBER(SEARCH("bank",$B369))+ISNUMBER(SEARCH("charge",$B369))+ISNUMBER(SEARCH("permit",$B369))+ISNUMBER(SEARCH("bir",$B369))+ISNUMBER(SEARCH("ltfrb",$B369))+ISNUMBER(SEARCH("misc",$B369))+ISNUMBER(SEARCH("fee",$B369))&gt;0,"Overhead","Overhead")))))))</f>
        <v/>
      </c>
      <c r="J369">
        <f>IF($A369="","",DATE(YEAR($A369),MONTH($A369),1))</f>
        <v/>
      </c>
      <c r="K369">
        <f>IF($B369="","",IF(COUNTIF(Setup!$A$99:$A$128,$B369)&gt;0,0,1))</f>
        <v/>
      </c>
      <c r="L369">
        <f>IF($B369="","",IF(ISNUMBER(SEARCH("advance",$B369)),"ADV",IF(OR(ISNUMBER(SEARCH("payout",$B369)),ISNUMBER(SEARCH("pay out",$B369)),ISNUMBER(SEARCH("release",$B369))),"PAY","")))</f>
        <v/>
      </c>
      <c r="M369">
        <f>IF($B369="","",IF(ISNUMBER(SEARCH("bulk",$B369)),0,IF(ISNUMBER(SEARCH("fuel",$B369))+ISNUMBER(SEARCH("diesel",$B369))+ISNUMBER(SEARCH("krudo",$B369))+ISNUMBER(SEARCH("gasolina",$B369))&gt;0,1,0)))</f>
        <v/>
      </c>
      <c r="N369">
        <f>IF($B369="","",IF(ISNUMBER(SEARCH("fuel",$B369))+ISNUMBER(SEARCH("diesel",$B369))+ISNUMBER(SEARCH("krudo",$B369))+ISNUMBER(SEARCH("gasolina",$B369))&gt;0,1,0))</f>
        <v/>
      </c>
    </row>
    <row r="370">
      <c r="A370" s="94" t="n"/>
      <c r="B370" s="96" t="n"/>
      <c r="C370" s="96" t="n"/>
      <c r="D370" s="95" t="n"/>
      <c r="E370" s="96" t="n"/>
      <c r="F370" s="99" t="n"/>
      <c r="G370" s="95" t="n"/>
      <c r="H370" s="95" t="n"/>
      <c r="I370" s="101">
        <f>IF($B370="","",IF(COUNTIF(Setup!$A$99:$A$128,$B370)&gt;0,IF(INDEX(Setup!$B$99:$B$128,MATCH($B370,Setup!$A$99:$A$128,0))="","Overhead",INDEX(Setup!$B$99:$B$128,MATCH($B370,Setup!$A$99:$A$128,0))),IF(ISNUMBER(SEARCH("advance",$B370))+ISNUMBER(SEARCH("payout",$B370))+ISNUMBER(SEARCH("pay out",$B370))+ISNUMBER(SEARCH("reimburs",$B370))&gt;0,"Transfer",IF(ISNUMBER(SEARCH("loan",$B370))+ISNUMBER(SEARCH("amort",$B370))+ISNUMBER(SEARCH("installment",$B370))+ISNUMBER(SEARCH("instalment",$B370))&gt;0,"Financing",IF(ISNUMBER(SEARCH("draw",$B370))+ISNUMBER(SEARCH("owner",$B370))+ISNUMBER(SEARCH("asset",$B370))+ISNUMBER(SEARCH("capital",$B370))&gt;0,"Other",IF(ISNUMBER(SEARCH("fuel",$B370))+ISNUMBER(SEARCH("diesel",$B370))+ISNUMBER(SEARCH("krudo",$B370))+ISNUMBER(SEARCH("gasolina",$B370))+ISNUMBER(SEARCH("toll",$B370))+ISNUMBER(SEARCH("parking",$B370))+ISNUMBER(SEARCH("repair",$B370))+ISNUMBER(SEARCH("maintenance",$B370))+ISNUMBER(SEARCH("tire",$B370))+ISNUMBER(SEARCH("tyre",$B370))+ISNUMBER(SEARCH("battery",$B370))+ISNUMBER(SEARCH("oil",$B370))+ISNUMBER(SEARCH("filter",$B370))+ISNUMBER(SEARCH("spare",$B370))+ISNUMBER(SEARCH("insurance",$B370))+ISNUMBER(SEARCH("lto",$B370))+ISNUMBER(SEARCH("registration",$B370))+ISNUMBER(SEARCH("emission",$B370))+ISNUMBER(SEARCH("wash",$B370))+ISNUMBER(SEARCH("weigh",$B370))+ISNUMBER(SEARCH("tarp",$B370))&gt;0,"Vehicle",IF(ISNUMBER(SEARCH("rent",$B370))+ISNUMBER(SEARCH("upa",$B370))+ISNUMBER(SEARCH("salary",$B370))+ISNUMBER(SEARCH("sweldo",$B370))+ISNUMBER(SEARCH("wage",$B370))+ISNUMBER(SEARCH("electric",$B370))+ISNUMBER(SEARCH("kuryente",$B370))+ISNUMBER(SEARCH("water",$B370))+ISNUMBER(SEARCH("tubig",$B370))+ISNUMBER(SEARCH("internet",$B370))+ISNUMBER(SEARCH("pldt",$B370))+ISNUMBER(SEARCH("meralco",$B370))+ISNUMBER(SEARCH("supplies",$B370))+ISNUMBER(SEARCH("office",$B370))+ISNUMBER(SEARCH("professional",$B370))+ISNUMBER(SEARCH("accountant",$B370))+ISNUMBER(SEARCH("lawyer",$B370))+ISNUMBER(SEARCH("broker",$B370))+ISNUMBER(SEARCH("bank",$B370))+ISNUMBER(SEARCH("charge",$B370))+ISNUMBER(SEARCH("permit",$B370))+ISNUMBER(SEARCH("bir",$B370))+ISNUMBER(SEARCH("ltfrb",$B370))+ISNUMBER(SEARCH("misc",$B370))+ISNUMBER(SEARCH("fee",$B370))&gt;0,"Overhead","Overhead")))))))</f>
        <v/>
      </c>
      <c r="J370">
        <f>IF($A370="","",DATE(YEAR($A370),MONTH($A370),1))</f>
        <v/>
      </c>
      <c r="K370">
        <f>IF($B370="","",IF(COUNTIF(Setup!$A$99:$A$128,$B370)&gt;0,0,1))</f>
        <v/>
      </c>
      <c r="L370">
        <f>IF($B370="","",IF(ISNUMBER(SEARCH("advance",$B370)),"ADV",IF(OR(ISNUMBER(SEARCH("payout",$B370)),ISNUMBER(SEARCH("pay out",$B370)),ISNUMBER(SEARCH("release",$B370))),"PAY","")))</f>
        <v/>
      </c>
      <c r="M370">
        <f>IF($B370="","",IF(ISNUMBER(SEARCH("bulk",$B370)),0,IF(ISNUMBER(SEARCH("fuel",$B370))+ISNUMBER(SEARCH("diesel",$B370))+ISNUMBER(SEARCH("krudo",$B370))+ISNUMBER(SEARCH("gasolina",$B370))&gt;0,1,0)))</f>
        <v/>
      </c>
      <c r="N370">
        <f>IF($B370="","",IF(ISNUMBER(SEARCH("fuel",$B370))+ISNUMBER(SEARCH("diesel",$B370))+ISNUMBER(SEARCH("krudo",$B370))+ISNUMBER(SEARCH("gasolina",$B370))&gt;0,1,0))</f>
        <v/>
      </c>
    </row>
    <row r="371">
      <c r="A371" s="86" t="n"/>
      <c r="B371" s="88" t="n"/>
      <c r="C371" s="88" t="n"/>
      <c r="D371" s="87" t="n"/>
      <c r="E371" s="88" t="n"/>
      <c r="F371" s="92" t="n"/>
      <c r="G371" s="87" t="n"/>
      <c r="H371" s="87" t="n"/>
      <c r="I371" s="101">
        <f>IF($B371="","",IF(COUNTIF(Setup!$A$99:$A$128,$B371)&gt;0,IF(INDEX(Setup!$B$99:$B$128,MATCH($B371,Setup!$A$99:$A$128,0))="","Overhead",INDEX(Setup!$B$99:$B$128,MATCH($B371,Setup!$A$99:$A$128,0))),IF(ISNUMBER(SEARCH("advance",$B371))+ISNUMBER(SEARCH("payout",$B371))+ISNUMBER(SEARCH("pay out",$B371))+ISNUMBER(SEARCH("reimburs",$B371))&gt;0,"Transfer",IF(ISNUMBER(SEARCH("loan",$B371))+ISNUMBER(SEARCH("amort",$B371))+ISNUMBER(SEARCH("installment",$B371))+ISNUMBER(SEARCH("instalment",$B371))&gt;0,"Financing",IF(ISNUMBER(SEARCH("draw",$B371))+ISNUMBER(SEARCH("owner",$B371))+ISNUMBER(SEARCH("asset",$B371))+ISNUMBER(SEARCH("capital",$B371))&gt;0,"Other",IF(ISNUMBER(SEARCH("fuel",$B371))+ISNUMBER(SEARCH("diesel",$B371))+ISNUMBER(SEARCH("krudo",$B371))+ISNUMBER(SEARCH("gasolina",$B371))+ISNUMBER(SEARCH("toll",$B371))+ISNUMBER(SEARCH("parking",$B371))+ISNUMBER(SEARCH("repair",$B371))+ISNUMBER(SEARCH("maintenance",$B371))+ISNUMBER(SEARCH("tire",$B371))+ISNUMBER(SEARCH("tyre",$B371))+ISNUMBER(SEARCH("battery",$B371))+ISNUMBER(SEARCH("oil",$B371))+ISNUMBER(SEARCH("filter",$B371))+ISNUMBER(SEARCH("spare",$B371))+ISNUMBER(SEARCH("insurance",$B371))+ISNUMBER(SEARCH("lto",$B371))+ISNUMBER(SEARCH("registration",$B371))+ISNUMBER(SEARCH("emission",$B371))+ISNUMBER(SEARCH("wash",$B371))+ISNUMBER(SEARCH("weigh",$B371))+ISNUMBER(SEARCH("tarp",$B371))&gt;0,"Vehicle",IF(ISNUMBER(SEARCH("rent",$B371))+ISNUMBER(SEARCH("upa",$B371))+ISNUMBER(SEARCH("salary",$B371))+ISNUMBER(SEARCH("sweldo",$B371))+ISNUMBER(SEARCH("wage",$B371))+ISNUMBER(SEARCH("electric",$B371))+ISNUMBER(SEARCH("kuryente",$B371))+ISNUMBER(SEARCH("water",$B371))+ISNUMBER(SEARCH("tubig",$B371))+ISNUMBER(SEARCH("internet",$B371))+ISNUMBER(SEARCH("pldt",$B371))+ISNUMBER(SEARCH("meralco",$B371))+ISNUMBER(SEARCH("supplies",$B371))+ISNUMBER(SEARCH("office",$B371))+ISNUMBER(SEARCH("professional",$B371))+ISNUMBER(SEARCH("accountant",$B371))+ISNUMBER(SEARCH("lawyer",$B371))+ISNUMBER(SEARCH("broker",$B371))+ISNUMBER(SEARCH("bank",$B371))+ISNUMBER(SEARCH("charge",$B371))+ISNUMBER(SEARCH("permit",$B371))+ISNUMBER(SEARCH("bir",$B371))+ISNUMBER(SEARCH("ltfrb",$B371))+ISNUMBER(SEARCH("misc",$B371))+ISNUMBER(SEARCH("fee",$B371))&gt;0,"Overhead","Overhead")))))))</f>
        <v/>
      </c>
      <c r="J371">
        <f>IF($A371="","",DATE(YEAR($A371),MONTH($A371),1))</f>
        <v/>
      </c>
      <c r="K371">
        <f>IF($B371="","",IF(COUNTIF(Setup!$A$99:$A$128,$B371)&gt;0,0,1))</f>
        <v/>
      </c>
      <c r="L371">
        <f>IF($B371="","",IF(ISNUMBER(SEARCH("advance",$B371)),"ADV",IF(OR(ISNUMBER(SEARCH("payout",$B371)),ISNUMBER(SEARCH("pay out",$B371)),ISNUMBER(SEARCH("release",$B371))),"PAY","")))</f>
        <v/>
      </c>
      <c r="M371">
        <f>IF($B371="","",IF(ISNUMBER(SEARCH("bulk",$B371)),0,IF(ISNUMBER(SEARCH("fuel",$B371))+ISNUMBER(SEARCH("diesel",$B371))+ISNUMBER(SEARCH("krudo",$B371))+ISNUMBER(SEARCH("gasolina",$B371))&gt;0,1,0)))</f>
        <v/>
      </c>
      <c r="N371">
        <f>IF($B371="","",IF(ISNUMBER(SEARCH("fuel",$B371))+ISNUMBER(SEARCH("diesel",$B371))+ISNUMBER(SEARCH("krudo",$B371))+ISNUMBER(SEARCH("gasolina",$B371))&gt;0,1,0))</f>
        <v/>
      </c>
    </row>
    <row r="372">
      <c r="A372" s="94" t="n"/>
      <c r="B372" s="96" t="n"/>
      <c r="C372" s="96" t="n"/>
      <c r="D372" s="95" t="n"/>
      <c r="E372" s="96" t="n"/>
      <c r="F372" s="99" t="n"/>
      <c r="G372" s="95" t="n"/>
      <c r="H372" s="95" t="n"/>
      <c r="I372" s="101">
        <f>IF($B372="","",IF(COUNTIF(Setup!$A$99:$A$128,$B372)&gt;0,IF(INDEX(Setup!$B$99:$B$128,MATCH($B372,Setup!$A$99:$A$128,0))="","Overhead",INDEX(Setup!$B$99:$B$128,MATCH($B372,Setup!$A$99:$A$128,0))),IF(ISNUMBER(SEARCH("advance",$B372))+ISNUMBER(SEARCH("payout",$B372))+ISNUMBER(SEARCH("pay out",$B372))+ISNUMBER(SEARCH("reimburs",$B372))&gt;0,"Transfer",IF(ISNUMBER(SEARCH("loan",$B372))+ISNUMBER(SEARCH("amort",$B372))+ISNUMBER(SEARCH("installment",$B372))+ISNUMBER(SEARCH("instalment",$B372))&gt;0,"Financing",IF(ISNUMBER(SEARCH("draw",$B372))+ISNUMBER(SEARCH("owner",$B372))+ISNUMBER(SEARCH("asset",$B372))+ISNUMBER(SEARCH("capital",$B372))&gt;0,"Other",IF(ISNUMBER(SEARCH("fuel",$B372))+ISNUMBER(SEARCH("diesel",$B372))+ISNUMBER(SEARCH("krudo",$B372))+ISNUMBER(SEARCH("gasolina",$B372))+ISNUMBER(SEARCH("toll",$B372))+ISNUMBER(SEARCH("parking",$B372))+ISNUMBER(SEARCH("repair",$B372))+ISNUMBER(SEARCH("maintenance",$B372))+ISNUMBER(SEARCH("tire",$B372))+ISNUMBER(SEARCH("tyre",$B372))+ISNUMBER(SEARCH("battery",$B372))+ISNUMBER(SEARCH("oil",$B372))+ISNUMBER(SEARCH("filter",$B372))+ISNUMBER(SEARCH("spare",$B372))+ISNUMBER(SEARCH("insurance",$B372))+ISNUMBER(SEARCH("lto",$B372))+ISNUMBER(SEARCH("registration",$B372))+ISNUMBER(SEARCH("emission",$B372))+ISNUMBER(SEARCH("wash",$B372))+ISNUMBER(SEARCH("weigh",$B372))+ISNUMBER(SEARCH("tarp",$B372))&gt;0,"Vehicle",IF(ISNUMBER(SEARCH("rent",$B372))+ISNUMBER(SEARCH("upa",$B372))+ISNUMBER(SEARCH("salary",$B372))+ISNUMBER(SEARCH("sweldo",$B372))+ISNUMBER(SEARCH("wage",$B372))+ISNUMBER(SEARCH("electric",$B372))+ISNUMBER(SEARCH("kuryente",$B372))+ISNUMBER(SEARCH("water",$B372))+ISNUMBER(SEARCH("tubig",$B372))+ISNUMBER(SEARCH("internet",$B372))+ISNUMBER(SEARCH("pldt",$B372))+ISNUMBER(SEARCH("meralco",$B372))+ISNUMBER(SEARCH("supplies",$B372))+ISNUMBER(SEARCH("office",$B372))+ISNUMBER(SEARCH("professional",$B372))+ISNUMBER(SEARCH("accountant",$B372))+ISNUMBER(SEARCH("lawyer",$B372))+ISNUMBER(SEARCH("broker",$B372))+ISNUMBER(SEARCH("bank",$B372))+ISNUMBER(SEARCH("charge",$B372))+ISNUMBER(SEARCH("permit",$B372))+ISNUMBER(SEARCH("bir",$B372))+ISNUMBER(SEARCH("ltfrb",$B372))+ISNUMBER(SEARCH("misc",$B372))+ISNUMBER(SEARCH("fee",$B372))&gt;0,"Overhead","Overhead")))))))</f>
        <v/>
      </c>
      <c r="J372">
        <f>IF($A372="","",DATE(YEAR($A372),MONTH($A372),1))</f>
        <v/>
      </c>
      <c r="K372">
        <f>IF($B372="","",IF(COUNTIF(Setup!$A$99:$A$128,$B372)&gt;0,0,1))</f>
        <v/>
      </c>
      <c r="L372">
        <f>IF($B372="","",IF(ISNUMBER(SEARCH("advance",$B372)),"ADV",IF(OR(ISNUMBER(SEARCH("payout",$B372)),ISNUMBER(SEARCH("pay out",$B372)),ISNUMBER(SEARCH("release",$B372))),"PAY","")))</f>
        <v/>
      </c>
      <c r="M372">
        <f>IF($B372="","",IF(ISNUMBER(SEARCH("bulk",$B372)),0,IF(ISNUMBER(SEARCH("fuel",$B372))+ISNUMBER(SEARCH("diesel",$B372))+ISNUMBER(SEARCH("krudo",$B372))+ISNUMBER(SEARCH("gasolina",$B372))&gt;0,1,0)))</f>
        <v/>
      </c>
      <c r="N372">
        <f>IF($B372="","",IF(ISNUMBER(SEARCH("fuel",$B372))+ISNUMBER(SEARCH("diesel",$B372))+ISNUMBER(SEARCH("krudo",$B372))+ISNUMBER(SEARCH("gasolina",$B372))&gt;0,1,0))</f>
        <v/>
      </c>
    </row>
    <row r="373">
      <c r="A373" s="86" t="n"/>
      <c r="B373" s="88" t="n"/>
      <c r="C373" s="88" t="n"/>
      <c r="D373" s="87" t="n"/>
      <c r="E373" s="88" t="n"/>
      <c r="F373" s="92" t="n"/>
      <c r="G373" s="87" t="n"/>
      <c r="H373" s="87" t="n"/>
      <c r="I373" s="101">
        <f>IF($B373="","",IF(COUNTIF(Setup!$A$99:$A$128,$B373)&gt;0,IF(INDEX(Setup!$B$99:$B$128,MATCH($B373,Setup!$A$99:$A$128,0))="","Overhead",INDEX(Setup!$B$99:$B$128,MATCH($B373,Setup!$A$99:$A$128,0))),IF(ISNUMBER(SEARCH("advance",$B373))+ISNUMBER(SEARCH("payout",$B373))+ISNUMBER(SEARCH("pay out",$B373))+ISNUMBER(SEARCH("reimburs",$B373))&gt;0,"Transfer",IF(ISNUMBER(SEARCH("loan",$B373))+ISNUMBER(SEARCH("amort",$B373))+ISNUMBER(SEARCH("installment",$B373))+ISNUMBER(SEARCH("instalment",$B373))&gt;0,"Financing",IF(ISNUMBER(SEARCH("draw",$B373))+ISNUMBER(SEARCH("owner",$B373))+ISNUMBER(SEARCH("asset",$B373))+ISNUMBER(SEARCH("capital",$B373))&gt;0,"Other",IF(ISNUMBER(SEARCH("fuel",$B373))+ISNUMBER(SEARCH("diesel",$B373))+ISNUMBER(SEARCH("krudo",$B373))+ISNUMBER(SEARCH("gasolina",$B373))+ISNUMBER(SEARCH("toll",$B373))+ISNUMBER(SEARCH("parking",$B373))+ISNUMBER(SEARCH("repair",$B373))+ISNUMBER(SEARCH("maintenance",$B373))+ISNUMBER(SEARCH("tire",$B373))+ISNUMBER(SEARCH("tyre",$B373))+ISNUMBER(SEARCH("battery",$B373))+ISNUMBER(SEARCH("oil",$B373))+ISNUMBER(SEARCH("filter",$B373))+ISNUMBER(SEARCH("spare",$B373))+ISNUMBER(SEARCH("insurance",$B373))+ISNUMBER(SEARCH("lto",$B373))+ISNUMBER(SEARCH("registration",$B373))+ISNUMBER(SEARCH("emission",$B373))+ISNUMBER(SEARCH("wash",$B373))+ISNUMBER(SEARCH("weigh",$B373))+ISNUMBER(SEARCH("tarp",$B373))&gt;0,"Vehicle",IF(ISNUMBER(SEARCH("rent",$B373))+ISNUMBER(SEARCH("upa",$B373))+ISNUMBER(SEARCH("salary",$B373))+ISNUMBER(SEARCH("sweldo",$B373))+ISNUMBER(SEARCH("wage",$B373))+ISNUMBER(SEARCH("electric",$B373))+ISNUMBER(SEARCH("kuryente",$B373))+ISNUMBER(SEARCH("water",$B373))+ISNUMBER(SEARCH("tubig",$B373))+ISNUMBER(SEARCH("internet",$B373))+ISNUMBER(SEARCH("pldt",$B373))+ISNUMBER(SEARCH("meralco",$B373))+ISNUMBER(SEARCH("supplies",$B373))+ISNUMBER(SEARCH("office",$B373))+ISNUMBER(SEARCH("professional",$B373))+ISNUMBER(SEARCH("accountant",$B373))+ISNUMBER(SEARCH("lawyer",$B373))+ISNUMBER(SEARCH("broker",$B373))+ISNUMBER(SEARCH("bank",$B373))+ISNUMBER(SEARCH("charge",$B373))+ISNUMBER(SEARCH("permit",$B373))+ISNUMBER(SEARCH("bir",$B373))+ISNUMBER(SEARCH("ltfrb",$B373))+ISNUMBER(SEARCH("misc",$B373))+ISNUMBER(SEARCH("fee",$B373))&gt;0,"Overhead","Overhead")))))))</f>
        <v/>
      </c>
      <c r="J373">
        <f>IF($A373="","",DATE(YEAR($A373),MONTH($A373),1))</f>
        <v/>
      </c>
      <c r="K373">
        <f>IF($B373="","",IF(COUNTIF(Setup!$A$99:$A$128,$B373)&gt;0,0,1))</f>
        <v/>
      </c>
      <c r="L373">
        <f>IF($B373="","",IF(ISNUMBER(SEARCH("advance",$B373)),"ADV",IF(OR(ISNUMBER(SEARCH("payout",$B373)),ISNUMBER(SEARCH("pay out",$B373)),ISNUMBER(SEARCH("release",$B373))),"PAY","")))</f>
        <v/>
      </c>
      <c r="M373">
        <f>IF($B373="","",IF(ISNUMBER(SEARCH("bulk",$B373)),0,IF(ISNUMBER(SEARCH("fuel",$B373))+ISNUMBER(SEARCH("diesel",$B373))+ISNUMBER(SEARCH("krudo",$B373))+ISNUMBER(SEARCH("gasolina",$B373))&gt;0,1,0)))</f>
        <v/>
      </c>
      <c r="N373">
        <f>IF($B373="","",IF(ISNUMBER(SEARCH("fuel",$B373))+ISNUMBER(SEARCH("diesel",$B373))+ISNUMBER(SEARCH("krudo",$B373))+ISNUMBER(SEARCH("gasolina",$B373))&gt;0,1,0))</f>
        <v/>
      </c>
    </row>
    <row r="374">
      <c r="A374" s="94" t="n"/>
      <c r="B374" s="96" t="n"/>
      <c r="C374" s="96" t="n"/>
      <c r="D374" s="95" t="n"/>
      <c r="E374" s="96" t="n"/>
      <c r="F374" s="99" t="n"/>
      <c r="G374" s="95" t="n"/>
      <c r="H374" s="95" t="n"/>
      <c r="I374" s="101">
        <f>IF($B374="","",IF(COUNTIF(Setup!$A$99:$A$128,$B374)&gt;0,IF(INDEX(Setup!$B$99:$B$128,MATCH($B374,Setup!$A$99:$A$128,0))="","Overhead",INDEX(Setup!$B$99:$B$128,MATCH($B374,Setup!$A$99:$A$128,0))),IF(ISNUMBER(SEARCH("advance",$B374))+ISNUMBER(SEARCH("payout",$B374))+ISNUMBER(SEARCH("pay out",$B374))+ISNUMBER(SEARCH("reimburs",$B374))&gt;0,"Transfer",IF(ISNUMBER(SEARCH("loan",$B374))+ISNUMBER(SEARCH("amort",$B374))+ISNUMBER(SEARCH("installment",$B374))+ISNUMBER(SEARCH("instalment",$B374))&gt;0,"Financing",IF(ISNUMBER(SEARCH("draw",$B374))+ISNUMBER(SEARCH("owner",$B374))+ISNUMBER(SEARCH("asset",$B374))+ISNUMBER(SEARCH("capital",$B374))&gt;0,"Other",IF(ISNUMBER(SEARCH("fuel",$B374))+ISNUMBER(SEARCH("diesel",$B374))+ISNUMBER(SEARCH("krudo",$B374))+ISNUMBER(SEARCH("gasolina",$B374))+ISNUMBER(SEARCH("toll",$B374))+ISNUMBER(SEARCH("parking",$B374))+ISNUMBER(SEARCH("repair",$B374))+ISNUMBER(SEARCH("maintenance",$B374))+ISNUMBER(SEARCH("tire",$B374))+ISNUMBER(SEARCH("tyre",$B374))+ISNUMBER(SEARCH("battery",$B374))+ISNUMBER(SEARCH("oil",$B374))+ISNUMBER(SEARCH("filter",$B374))+ISNUMBER(SEARCH("spare",$B374))+ISNUMBER(SEARCH("insurance",$B374))+ISNUMBER(SEARCH("lto",$B374))+ISNUMBER(SEARCH("registration",$B374))+ISNUMBER(SEARCH("emission",$B374))+ISNUMBER(SEARCH("wash",$B374))+ISNUMBER(SEARCH("weigh",$B374))+ISNUMBER(SEARCH("tarp",$B374))&gt;0,"Vehicle",IF(ISNUMBER(SEARCH("rent",$B374))+ISNUMBER(SEARCH("upa",$B374))+ISNUMBER(SEARCH("salary",$B374))+ISNUMBER(SEARCH("sweldo",$B374))+ISNUMBER(SEARCH("wage",$B374))+ISNUMBER(SEARCH("electric",$B374))+ISNUMBER(SEARCH("kuryente",$B374))+ISNUMBER(SEARCH("water",$B374))+ISNUMBER(SEARCH("tubig",$B374))+ISNUMBER(SEARCH("internet",$B374))+ISNUMBER(SEARCH("pldt",$B374))+ISNUMBER(SEARCH("meralco",$B374))+ISNUMBER(SEARCH("supplies",$B374))+ISNUMBER(SEARCH("office",$B374))+ISNUMBER(SEARCH("professional",$B374))+ISNUMBER(SEARCH("accountant",$B374))+ISNUMBER(SEARCH("lawyer",$B374))+ISNUMBER(SEARCH("broker",$B374))+ISNUMBER(SEARCH("bank",$B374))+ISNUMBER(SEARCH("charge",$B374))+ISNUMBER(SEARCH("permit",$B374))+ISNUMBER(SEARCH("bir",$B374))+ISNUMBER(SEARCH("ltfrb",$B374))+ISNUMBER(SEARCH("misc",$B374))+ISNUMBER(SEARCH("fee",$B374))&gt;0,"Overhead","Overhead")))))))</f>
        <v/>
      </c>
      <c r="J374">
        <f>IF($A374="","",DATE(YEAR($A374),MONTH($A374),1))</f>
        <v/>
      </c>
      <c r="K374">
        <f>IF($B374="","",IF(COUNTIF(Setup!$A$99:$A$128,$B374)&gt;0,0,1))</f>
        <v/>
      </c>
      <c r="L374">
        <f>IF($B374="","",IF(ISNUMBER(SEARCH("advance",$B374)),"ADV",IF(OR(ISNUMBER(SEARCH("payout",$B374)),ISNUMBER(SEARCH("pay out",$B374)),ISNUMBER(SEARCH("release",$B374))),"PAY","")))</f>
        <v/>
      </c>
      <c r="M374">
        <f>IF($B374="","",IF(ISNUMBER(SEARCH("bulk",$B374)),0,IF(ISNUMBER(SEARCH("fuel",$B374))+ISNUMBER(SEARCH("diesel",$B374))+ISNUMBER(SEARCH("krudo",$B374))+ISNUMBER(SEARCH("gasolina",$B374))&gt;0,1,0)))</f>
        <v/>
      </c>
      <c r="N374">
        <f>IF($B374="","",IF(ISNUMBER(SEARCH("fuel",$B374))+ISNUMBER(SEARCH("diesel",$B374))+ISNUMBER(SEARCH("krudo",$B374))+ISNUMBER(SEARCH("gasolina",$B374))&gt;0,1,0))</f>
        <v/>
      </c>
    </row>
    <row r="375">
      <c r="A375" s="86" t="n"/>
      <c r="B375" s="88" t="n"/>
      <c r="C375" s="88" t="n"/>
      <c r="D375" s="87" t="n"/>
      <c r="E375" s="88" t="n"/>
      <c r="F375" s="92" t="n"/>
      <c r="G375" s="87" t="n"/>
      <c r="H375" s="87" t="n"/>
      <c r="I375" s="101">
        <f>IF($B375="","",IF(COUNTIF(Setup!$A$99:$A$128,$B375)&gt;0,IF(INDEX(Setup!$B$99:$B$128,MATCH($B375,Setup!$A$99:$A$128,0))="","Overhead",INDEX(Setup!$B$99:$B$128,MATCH($B375,Setup!$A$99:$A$128,0))),IF(ISNUMBER(SEARCH("advance",$B375))+ISNUMBER(SEARCH("payout",$B375))+ISNUMBER(SEARCH("pay out",$B375))+ISNUMBER(SEARCH("reimburs",$B375))&gt;0,"Transfer",IF(ISNUMBER(SEARCH("loan",$B375))+ISNUMBER(SEARCH("amort",$B375))+ISNUMBER(SEARCH("installment",$B375))+ISNUMBER(SEARCH("instalment",$B375))&gt;0,"Financing",IF(ISNUMBER(SEARCH("draw",$B375))+ISNUMBER(SEARCH("owner",$B375))+ISNUMBER(SEARCH("asset",$B375))+ISNUMBER(SEARCH("capital",$B375))&gt;0,"Other",IF(ISNUMBER(SEARCH("fuel",$B375))+ISNUMBER(SEARCH("diesel",$B375))+ISNUMBER(SEARCH("krudo",$B375))+ISNUMBER(SEARCH("gasolina",$B375))+ISNUMBER(SEARCH("toll",$B375))+ISNUMBER(SEARCH("parking",$B375))+ISNUMBER(SEARCH("repair",$B375))+ISNUMBER(SEARCH("maintenance",$B375))+ISNUMBER(SEARCH("tire",$B375))+ISNUMBER(SEARCH("tyre",$B375))+ISNUMBER(SEARCH("battery",$B375))+ISNUMBER(SEARCH("oil",$B375))+ISNUMBER(SEARCH("filter",$B375))+ISNUMBER(SEARCH("spare",$B375))+ISNUMBER(SEARCH("insurance",$B375))+ISNUMBER(SEARCH("lto",$B375))+ISNUMBER(SEARCH("registration",$B375))+ISNUMBER(SEARCH("emission",$B375))+ISNUMBER(SEARCH("wash",$B375))+ISNUMBER(SEARCH("weigh",$B375))+ISNUMBER(SEARCH("tarp",$B375))&gt;0,"Vehicle",IF(ISNUMBER(SEARCH("rent",$B375))+ISNUMBER(SEARCH("upa",$B375))+ISNUMBER(SEARCH("salary",$B375))+ISNUMBER(SEARCH("sweldo",$B375))+ISNUMBER(SEARCH("wage",$B375))+ISNUMBER(SEARCH("electric",$B375))+ISNUMBER(SEARCH("kuryente",$B375))+ISNUMBER(SEARCH("water",$B375))+ISNUMBER(SEARCH("tubig",$B375))+ISNUMBER(SEARCH("internet",$B375))+ISNUMBER(SEARCH("pldt",$B375))+ISNUMBER(SEARCH("meralco",$B375))+ISNUMBER(SEARCH("supplies",$B375))+ISNUMBER(SEARCH("office",$B375))+ISNUMBER(SEARCH("professional",$B375))+ISNUMBER(SEARCH("accountant",$B375))+ISNUMBER(SEARCH("lawyer",$B375))+ISNUMBER(SEARCH("broker",$B375))+ISNUMBER(SEARCH("bank",$B375))+ISNUMBER(SEARCH("charge",$B375))+ISNUMBER(SEARCH("permit",$B375))+ISNUMBER(SEARCH("bir",$B375))+ISNUMBER(SEARCH("ltfrb",$B375))+ISNUMBER(SEARCH("misc",$B375))+ISNUMBER(SEARCH("fee",$B375))&gt;0,"Overhead","Overhead")))))))</f>
        <v/>
      </c>
      <c r="J375">
        <f>IF($A375="","",DATE(YEAR($A375),MONTH($A375),1))</f>
        <v/>
      </c>
      <c r="K375">
        <f>IF($B375="","",IF(COUNTIF(Setup!$A$99:$A$128,$B375)&gt;0,0,1))</f>
        <v/>
      </c>
      <c r="L375">
        <f>IF($B375="","",IF(ISNUMBER(SEARCH("advance",$B375)),"ADV",IF(OR(ISNUMBER(SEARCH("payout",$B375)),ISNUMBER(SEARCH("pay out",$B375)),ISNUMBER(SEARCH("release",$B375))),"PAY","")))</f>
        <v/>
      </c>
      <c r="M375">
        <f>IF($B375="","",IF(ISNUMBER(SEARCH("bulk",$B375)),0,IF(ISNUMBER(SEARCH("fuel",$B375))+ISNUMBER(SEARCH("diesel",$B375))+ISNUMBER(SEARCH("krudo",$B375))+ISNUMBER(SEARCH("gasolina",$B375))&gt;0,1,0)))</f>
        <v/>
      </c>
      <c r="N375">
        <f>IF($B375="","",IF(ISNUMBER(SEARCH("fuel",$B375))+ISNUMBER(SEARCH("diesel",$B375))+ISNUMBER(SEARCH("krudo",$B375))+ISNUMBER(SEARCH("gasolina",$B375))&gt;0,1,0))</f>
        <v/>
      </c>
    </row>
    <row r="376">
      <c r="A376" s="94" t="n"/>
      <c r="B376" s="96" t="n"/>
      <c r="C376" s="96" t="n"/>
      <c r="D376" s="95" t="n"/>
      <c r="E376" s="96" t="n"/>
      <c r="F376" s="99" t="n"/>
      <c r="G376" s="95" t="n"/>
      <c r="H376" s="95" t="n"/>
      <c r="I376" s="101">
        <f>IF($B376="","",IF(COUNTIF(Setup!$A$99:$A$128,$B376)&gt;0,IF(INDEX(Setup!$B$99:$B$128,MATCH($B376,Setup!$A$99:$A$128,0))="","Overhead",INDEX(Setup!$B$99:$B$128,MATCH($B376,Setup!$A$99:$A$128,0))),IF(ISNUMBER(SEARCH("advance",$B376))+ISNUMBER(SEARCH("payout",$B376))+ISNUMBER(SEARCH("pay out",$B376))+ISNUMBER(SEARCH("reimburs",$B376))&gt;0,"Transfer",IF(ISNUMBER(SEARCH("loan",$B376))+ISNUMBER(SEARCH("amort",$B376))+ISNUMBER(SEARCH("installment",$B376))+ISNUMBER(SEARCH("instalment",$B376))&gt;0,"Financing",IF(ISNUMBER(SEARCH("draw",$B376))+ISNUMBER(SEARCH("owner",$B376))+ISNUMBER(SEARCH("asset",$B376))+ISNUMBER(SEARCH("capital",$B376))&gt;0,"Other",IF(ISNUMBER(SEARCH("fuel",$B376))+ISNUMBER(SEARCH("diesel",$B376))+ISNUMBER(SEARCH("krudo",$B376))+ISNUMBER(SEARCH("gasolina",$B376))+ISNUMBER(SEARCH("toll",$B376))+ISNUMBER(SEARCH("parking",$B376))+ISNUMBER(SEARCH("repair",$B376))+ISNUMBER(SEARCH("maintenance",$B376))+ISNUMBER(SEARCH("tire",$B376))+ISNUMBER(SEARCH("tyre",$B376))+ISNUMBER(SEARCH("battery",$B376))+ISNUMBER(SEARCH("oil",$B376))+ISNUMBER(SEARCH("filter",$B376))+ISNUMBER(SEARCH("spare",$B376))+ISNUMBER(SEARCH("insurance",$B376))+ISNUMBER(SEARCH("lto",$B376))+ISNUMBER(SEARCH("registration",$B376))+ISNUMBER(SEARCH("emission",$B376))+ISNUMBER(SEARCH("wash",$B376))+ISNUMBER(SEARCH("weigh",$B376))+ISNUMBER(SEARCH("tarp",$B376))&gt;0,"Vehicle",IF(ISNUMBER(SEARCH("rent",$B376))+ISNUMBER(SEARCH("upa",$B376))+ISNUMBER(SEARCH("salary",$B376))+ISNUMBER(SEARCH("sweldo",$B376))+ISNUMBER(SEARCH("wage",$B376))+ISNUMBER(SEARCH("electric",$B376))+ISNUMBER(SEARCH("kuryente",$B376))+ISNUMBER(SEARCH("water",$B376))+ISNUMBER(SEARCH("tubig",$B376))+ISNUMBER(SEARCH("internet",$B376))+ISNUMBER(SEARCH("pldt",$B376))+ISNUMBER(SEARCH("meralco",$B376))+ISNUMBER(SEARCH("supplies",$B376))+ISNUMBER(SEARCH("office",$B376))+ISNUMBER(SEARCH("professional",$B376))+ISNUMBER(SEARCH("accountant",$B376))+ISNUMBER(SEARCH("lawyer",$B376))+ISNUMBER(SEARCH("broker",$B376))+ISNUMBER(SEARCH("bank",$B376))+ISNUMBER(SEARCH("charge",$B376))+ISNUMBER(SEARCH("permit",$B376))+ISNUMBER(SEARCH("bir",$B376))+ISNUMBER(SEARCH("ltfrb",$B376))+ISNUMBER(SEARCH("misc",$B376))+ISNUMBER(SEARCH("fee",$B376))&gt;0,"Overhead","Overhead")))))))</f>
        <v/>
      </c>
      <c r="J376">
        <f>IF($A376="","",DATE(YEAR($A376),MONTH($A376),1))</f>
        <v/>
      </c>
      <c r="K376">
        <f>IF($B376="","",IF(COUNTIF(Setup!$A$99:$A$128,$B376)&gt;0,0,1))</f>
        <v/>
      </c>
      <c r="L376">
        <f>IF($B376="","",IF(ISNUMBER(SEARCH("advance",$B376)),"ADV",IF(OR(ISNUMBER(SEARCH("payout",$B376)),ISNUMBER(SEARCH("pay out",$B376)),ISNUMBER(SEARCH("release",$B376))),"PAY","")))</f>
        <v/>
      </c>
      <c r="M376">
        <f>IF($B376="","",IF(ISNUMBER(SEARCH("bulk",$B376)),0,IF(ISNUMBER(SEARCH("fuel",$B376))+ISNUMBER(SEARCH("diesel",$B376))+ISNUMBER(SEARCH("krudo",$B376))+ISNUMBER(SEARCH("gasolina",$B376))&gt;0,1,0)))</f>
        <v/>
      </c>
      <c r="N376">
        <f>IF($B376="","",IF(ISNUMBER(SEARCH("fuel",$B376))+ISNUMBER(SEARCH("diesel",$B376))+ISNUMBER(SEARCH("krudo",$B376))+ISNUMBER(SEARCH("gasolina",$B376))&gt;0,1,0))</f>
        <v/>
      </c>
    </row>
    <row r="377">
      <c r="A377" s="86" t="n"/>
      <c r="B377" s="88" t="n"/>
      <c r="C377" s="88" t="n"/>
      <c r="D377" s="87" t="n"/>
      <c r="E377" s="88" t="n"/>
      <c r="F377" s="92" t="n"/>
      <c r="G377" s="87" t="n"/>
      <c r="H377" s="87" t="n"/>
      <c r="I377" s="101">
        <f>IF($B377="","",IF(COUNTIF(Setup!$A$99:$A$128,$B377)&gt;0,IF(INDEX(Setup!$B$99:$B$128,MATCH($B377,Setup!$A$99:$A$128,0))="","Overhead",INDEX(Setup!$B$99:$B$128,MATCH($B377,Setup!$A$99:$A$128,0))),IF(ISNUMBER(SEARCH("advance",$B377))+ISNUMBER(SEARCH("payout",$B377))+ISNUMBER(SEARCH("pay out",$B377))+ISNUMBER(SEARCH("reimburs",$B377))&gt;0,"Transfer",IF(ISNUMBER(SEARCH("loan",$B377))+ISNUMBER(SEARCH("amort",$B377))+ISNUMBER(SEARCH("installment",$B377))+ISNUMBER(SEARCH("instalment",$B377))&gt;0,"Financing",IF(ISNUMBER(SEARCH("draw",$B377))+ISNUMBER(SEARCH("owner",$B377))+ISNUMBER(SEARCH("asset",$B377))+ISNUMBER(SEARCH("capital",$B377))&gt;0,"Other",IF(ISNUMBER(SEARCH("fuel",$B377))+ISNUMBER(SEARCH("diesel",$B377))+ISNUMBER(SEARCH("krudo",$B377))+ISNUMBER(SEARCH("gasolina",$B377))+ISNUMBER(SEARCH("toll",$B377))+ISNUMBER(SEARCH("parking",$B377))+ISNUMBER(SEARCH("repair",$B377))+ISNUMBER(SEARCH("maintenance",$B377))+ISNUMBER(SEARCH("tire",$B377))+ISNUMBER(SEARCH("tyre",$B377))+ISNUMBER(SEARCH("battery",$B377))+ISNUMBER(SEARCH("oil",$B377))+ISNUMBER(SEARCH("filter",$B377))+ISNUMBER(SEARCH("spare",$B377))+ISNUMBER(SEARCH("insurance",$B377))+ISNUMBER(SEARCH("lto",$B377))+ISNUMBER(SEARCH("registration",$B377))+ISNUMBER(SEARCH("emission",$B377))+ISNUMBER(SEARCH("wash",$B377))+ISNUMBER(SEARCH("weigh",$B377))+ISNUMBER(SEARCH("tarp",$B377))&gt;0,"Vehicle",IF(ISNUMBER(SEARCH("rent",$B377))+ISNUMBER(SEARCH("upa",$B377))+ISNUMBER(SEARCH("salary",$B377))+ISNUMBER(SEARCH("sweldo",$B377))+ISNUMBER(SEARCH("wage",$B377))+ISNUMBER(SEARCH("electric",$B377))+ISNUMBER(SEARCH("kuryente",$B377))+ISNUMBER(SEARCH("water",$B377))+ISNUMBER(SEARCH("tubig",$B377))+ISNUMBER(SEARCH("internet",$B377))+ISNUMBER(SEARCH("pldt",$B377))+ISNUMBER(SEARCH("meralco",$B377))+ISNUMBER(SEARCH("supplies",$B377))+ISNUMBER(SEARCH("office",$B377))+ISNUMBER(SEARCH("professional",$B377))+ISNUMBER(SEARCH("accountant",$B377))+ISNUMBER(SEARCH("lawyer",$B377))+ISNUMBER(SEARCH("broker",$B377))+ISNUMBER(SEARCH("bank",$B377))+ISNUMBER(SEARCH("charge",$B377))+ISNUMBER(SEARCH("permit",$B377))+ISNUMBER(SEARCH("bir",$B377))+ISNUMBER(SEARCH("ltfrb",$B377))+ISNUMBER(SEARCH("misc",$B377))+ISNUMBER(SEARCH("fee",$B377))&gt;0,"Overhead","Overhead")))))))</f>
        <v/>
      </c>
      <c r="J377">
        <f>IF($A377="","",DATE(YEAR($A377),MONTH($A377),1))</f>
        <v/>
      </c>
      <c r="K377">
        <f>IF($B377="","",IF(COUNTIF(Setup!$A$99:$A$128,$B377)&gt;0,0,1))</f>
        <v/>
      </c>
      <c r="L377">
        <f>IF($B377="","",IF(ISNUMBER(SEARCH("advance",$B377)),"ADV",IF(OR(ISNUMBER(SEARCH("payout",$B377)),ISNUMBER(SEARCH("pay out",$B377)),ISNUMBER(SEARCH("release",$B377))),"PAY","")))</f>
        <v/>
      </c>
      <c r="M377">
        <f>IF($B377="","",IF(ISNUMBER(SEARCH("bulk",$B377)),0,IF(ISNUMBER(SEARCH("fuel",$B377))+ISNUMBER(SEARCH("diesel",$B377))+ISNUMBER(SEARCH("krudo",$B377))+ISNUMBER(SEARCH("gasolina",$B377))&gt;0,1,0)))</f>
        <v/>
      </c>
      <c r="N377">
        <f>IF($B377="","",IF(ISNUMBER(SEARCH("fuel",$B377))+ISNUMBER(SEARCH("diesel",$B377))+ISNUMBER(SEARCH("krudo",$B377))+ISNUMBER(SEARCH("gasolina",$B377))&gt;0,1,0))</f>
        <v/>
      </c>
    </row>
    <row r="378">
      <c r="A378" s="94" t="n"/>
      <c r="B378" s="96" t="n"/>
      <c r="C378" s="96" t="n"/>
      <c r="D378" s="95" t="n"/>
      <c r="E378" s="96" t="n"/>
      <c r="F378" s="99" t="n"/>
      <c r="G378" s="95" t="n"/>
      <c r="H378" s="95" t="n"/>
      <c r="I378" s="101">
        <f>IF($B378="","",IF(COUNTIF(Setup!$A$99:$A$128,$B378)&gt;0,IF(INDEX(Setup!$B$99:$B$128,MATCH($B378,Setup!$A$99:$A$128,0))="","Overhead",INDEX(Setup!$B$99:$B$128,MATCH($B378,Setup!$A$99:$A$128,0))),IF(ISNUMBER(SEARCH("advance",$B378))+ISNUMBER(SEARCH("payout",$B378))+ISNUMBER(SEARCH("pay out",$B378))+ISNUMBER(SEARCH("reimburs",$B378))&gt;0,"Transfer",IF(ISNUMBER(SEARCH("loan",$B378))+ISNUMBER(SEARCH("amort",$B378))+ISNUMBER(SEARCH("installment",$B378))+ISNUMBER(SEARCH("instalment",$B378))&gt;0,"Financing",IF(ISNUMBER(SEARCH("draw",$B378))+ISNUMBER(SEARCH("owner",$B378))+ISNUMBER(SEARCH("asset",$B378))+ISNUMBER(SEARCH("capital",$B378))&gt;0,"Other",IF(ISNUMBER(SEARCH("fuel",$B378))+ISNUMBER(SEARCH("diesel",$B378))+ISNUMBER(SEARCH("krudo",$B378))+ISNUMBER(SEARCH("gasolina",$B378))+ISNUMBER(SEARCH("toll",$B378))+ISNUMBER(SEARCH("parking",$B378))+ISNUMBER(SEARCH("repair",$B378))+ISNUMBER(SEARCH("maintenance",$B378))+ISNUMBER(SEARCH("tire",$B378))+ISNUMBER(SEARCH("tyre",$B378))+ISNUMBER(SEARCH("battery",$B378))+ISNUMBER(SEARCH("oil",$B378))+ISNUMBER(SEARCH("filter",$B378))+ISNUMBER(SEARCH("spare",$B378))+ISNUMBER(SEARCH("insurance",$B378))+ISNUMBER(SEARCH("lto",$B378))+ISNUMBER(SEARCH("registration",$B378))+ISNUMBER(SEARCH("emission",$B378))+ISNUMBER(SEARCH("wash",$B378))+ISNUMBER(SEARCH("weigh",$B378))+ISNUMBER(SEARCH("tarp",$B378))&gt;0,"Vehicle",IF(ISNUMBER(SEARCH("rent",$B378))+ISNUMBER(SEARCH("upa",$B378))+ISNUMBER(SEARCH("salary",$B378))+ISNUMBER(SEARCH("sweldo",$B378))+ISNUMBER(SEARCH("wage",$B378))+ISNUMBER(SEARCH("electric",$B378))+ISNUMBER(SEARCH("kuryente",$B378))+ISNUMBER(SEARCH("water",$B378))+ISNUMBER(SEARCH("tubig",$B378))+ISNUMBER(SEARCH("internet",$B378))+ISNUMBER(SEARCH("pldt",$B378))+ISNUMBER(SEARCH("meralco",$B378))+ISNUMBER(SEARCH("supplies",$B378))+ISNUMBER(SEARCH("office",$B378))+ISNUMBER(SEARCH("professional",$B378))+ISNUMBER(SEARCH("accountant",$B378))+ISNUMBER(SEARCH("lawyer",$B378))+ISNUMBER(SEARCH("broker",$B378))+ISNUMBER(SEARCH("bank",$B378))+ISNUMBER(SEARCH("charge",$B378))+ISNUMBER(SEARCH("permit",$B378))+ISNUMBER(SEARCH("bir",$B378))+ISNUMBER(SEARCH("ltfrb",$B378))+ISNUMBER(SEARCH("misc",$B378))+ISNUMBER(SEARCH("fee",$B378))&gt;0,"Overhead","Overhead")))))))</f>
        <v/>
      </c>
      <c r="J378">
        <f>IF($A378="","",DATE(YEAR($A378),MONTH($A378),1))</f>
        <v/>
      </c>
      <c r="K378">
        <f>IF($B378="","",IF(COUNTIF(Setup!$A$99:$A$128,$B378)&gt;0,0,1))</f>
        <v/>
      </c>
      <c r="L378">
        <f>IF($B378="","",IF(ISNUMBER(SEARCH("advance",$B378)),"ADV",IF(OR(ISNUMBER(SEARCH("payout",$B378)),ISNUMBER(SEARCH("pay out",$B378)),ISNUMBER(SEARCH("release",$B378))),"PAY","")))</f>
        <v/>
      </c>
      <c r="M378">
        <f>IF($B378="","",IF(ISNUMBER(SEARCH("bulk",$B378)),0,IF(ISNUMBER(SEARCH("fuel",$B378))+ISNUMBER(SEARCH("diesel",$B378))+ISNUMBER(SEARCH("krudo",$B378))+ISNUMBER(SEARCH("gasolina",$B378))&gt;0,1,0)))</f>
        <v/>
      </c>
      <c r="N378">
        <f>IF($B378="","",IF(ISNUMBER(SEARCH("fuel",$B378))+ISNUMBER(SEARCH("diesel",$B378))+ISNUMBER(SEARCH("krudo",$B378))+ISNUMBER(SEARCH("gasolina",$B378))&gt;0,1,0))</f>
        <v/>
      </c>
    </row>
    <row r="379">
      <c r="A379" s="86" t="n"/>
      <c r="B379" s="88" t="n"/>
      <c r="C379" s="88" t="n"/>
      <c r="D379" s="87" t="n"/>
      <c r="E379" s="88" t="n"/>
      <c r="F379" s="92" t="n"/>
      <c r="G379" s="87" t="n"/>
      <c r="H379" s="87" t="n"/>
      <c r="I379" s="101">
        <f>IF($B379="","",IF(COUNTIF(Setup!$A$99:$A$128,$B379)&gt;0,IF(INDEX(Setup!$B$99:$B$128,MATCH($B379,Setup!$A$99:$A$128,0))="","Overhead",INDEX(Setup!$B$99:$B$128,MATCH($B379,Setup!$A$99:$A$128,0))),IF(ISNUMBER(SEARCH("advance",$B379))+ISNUMBER(SEARCH("payout",$B379))+ISNUMBER(SEARCH("pay out",$B379))+ISNUMBER(SEARCH("reimburs",$B379))&gt;0,"Transfer",IF(ISNUMBER(SEARCH("loan",$B379))+ISNUMBER(SEARCH("amort",$B379))+ISNUMBER(SEARCH("installment",$B379))+ISNUMBER(SEARCH("instalment",$B379))&gt;0,"Financing",IF(ISNUMBER(SEARCH("draw",$B379))+ISNUMBER(SEARCH("owner",$B379))+ISNUMBER(SEARCH("asset",$B379))+ISNUMBER(SEARCH("capital",$B379))&gt;0,"Other",IF(ISNUMBER(SEARCH("fuel",$B379))+ISNUMBER(SEARCH("diesel",$B379))+ISNUMBER(SEARCH("krudo",$B379))+ISNUMBER(SEARCH("gasolina",$B379))+ISNUMBER(SEARCH("toll",$B379))+ISNUMBER(SEARCH("parking",$B379))+ISNUMBER(SEARCH("repair",$B379))+ISNUMBER(SEARCH("maintenance",$B379))+ISNUMBER(SEARCH("tire",$B379))+ISNUMBER(SEARCH("tyre",$B379))+ISNUMBER(SEARCH("battery",$B379))+ISNUMBER(SEARCH("oil",$B379))+ISNUMBER(SEARCH("filter",$B379))+ISNUMBER(SEARCH("spare",$B379))+ISNUMBER(SEARCH("insurance",$B379))+ISNUMBER(SEARCH("lto",$B379))+ISNUMBER(SEARCH("registration",$B379))+ISNUMBER(SEARCH("emission",$B379))+ISNUMBER(SEARCH("wash",$B379))+ISNUMBER(SEARCH("weigh",$B379))+ISNUMBER(SEARCH("tarp",$B379))&gt;0,"Vehicle",IF(ISNUMBER(SEARCH("rent",$B379))+ISNUMBER(SEARCH("upa",$B379))+ISNUMBER(SEARCH("salary",$B379))+ISNUMBER(SEARCH("sweldo",$B379))+ISNUMBER(SEARCH("wage",$B379))+ISNUMBER(SEARCH("electric",$B379))+ISNUMBER(SEARCH("kuryente",$B379))+ISNUMBER(SEARCH("water",$B379))+ISNUMBER(SEARCH("tubig",$B379))+ISNUMBER(SEARCH("internet",$B379))+ISNUMBER(SEARCH("pldt",$B379))+ISNUMBER(SEARCH("meralco",$B379))+ISNUMBER(SEARCH("supplies",$B379))+ISNUMBER(SEARCH("office",$B379))+ISNUMBER(SEARCH("professional",$B379))+ISNUMBER(SEARCH("accountant",$B379))+ISNUMBER(SEARCH("lawyer",$B379))+ISNUMBER(SEARCH("broker",$B379))+ISNUMBER(SEARCH("bank",$B379))+ISNUMBER(SEARCH("charge",$B379))+ISNUMBER(SEARCH("permit",$B379))+ISNUMBER(SEARCH("bir",$B379))+ISNUMBER(SEARCH("ltfrb",$B379))+ISNUMBER(SEARCH("misc",$B379))+ISNUMBER(SEARCH("fee",$B379))&gt;0,"Overhead","Overhead")))))))</f>
        <v/>
      </c>
      <c r="J379">
        <f>IF($A379="","",DATE(YEAR($A379),MONTH($A379),1))</f>
        <v/>
      </c>
      <c r="K379">
        <f>IF($B379="","",IF(COUNTIF(Setup!$A$99:$A$128,$B379)&gt;0,0,1))</f>
        <v/>
      </c>
      <c r="L379">
        <f>IF($B379="","",IF(ISNUMBER(SEARCH("advance",$B379)),"ADV",IF(OR(ISNUMBER(SEARCH("payout",$B379)),ISNUMBER(SEARCH("pay out",$B379)),ISNUMBER(SEARCH("release",$B379))),"PAY","")))</f>
        <v/>
      </c>
      <c r="M379">
        <f>IF($B379="","",IF(ISNUMBER(SEARCH("bulk",$B379)),0,IF(ISNUMBER(SEARCH("fuel",$B379))+ISNUMBER(SEARCH("diesel",$B379))+ISNUMBER(SEARCH("krudo",$B379))+ISNUMBER(SEARCH("gasolina",$B379))&gt;0,1,0)))</f>
        <v/>
      </c>
      <c r="N379">
        <f>IF($B379="","",IF(ISNUMBER(SEARCH("fuel",$B379))+ISNUMBER(SEARCH("diesel",$B379))+ISNUMBER(SEARCH("krudo",$B379))+ISNUMBER(SEARCH("gasolina",$B379))&gt;0,1,0))</f>
        <v/>
      </c>
    </row>
    <row r="380">
      <c r="A380" s="94" t="n"/>
      <c r="B380" s="96" t="n"/>
      <c r="C380" s="96" t="n"/>
      <c r="D380" s="95" t="n"/>
      <c r="E380" s="96" t="n"/>
      <c r="F380" s="99" t="n"/>
      <c r="G380" s="95" t="n"/>
      <c r="H380" s="95" t="n"/>
      <c r="I380" s="101">
        <f>IF($B380="","",IF(COUNTIF(Setup!$A$99:$A$128,$B380)&gt;0,IF(INDEX(Setup!$B$99:$B$128,MATCH($B380,Setup!$A$99:$A$128,0))="","Overhead",INDEX(Setup!$B$99:$B$128,MATCH($B380,Setup!$A$99:$A$128,0))),IF(ISNUMBER(SEARCH("advance",$B380))+ISNUMBER(SEARCH("payout",$B380))+ISNUMBER(SEARCH("pay out",$B380))+ISNUMBER(SEARCH("reimburs",$B380))&gt;0,"Transfer",IF(ISNUMBER(SEARCH("loan",$B380))+ISNUMBER(SEARCH("amort",$B380))+ISNUMBER(SEARCH("installment",$B380))+ISNUMBER(SEARCH("instalment",$B380))&gt;0,"Financing",IF(ISNUMBER(SEARCH("draw",$B380))+ISNUMBER(SEARCH("owner",$B380))+ISNUMBER(SEARCH("asset",$B380))+ISNUMBER(SEARCH("capital",$B380))&gt;0,"Other",IF(ISNUMBER(SEARCH("fuel",$B380))+ISNUMBER(SEARCH("diesel",$B380))+ISNUMBER(SEARCH("krudo",$B380))+ISNUMBER(SEARCH("gasolina",$B380))+ISNUMBER(SEARCH("toll",$B380))+ISNUMBER(SEARCH("parking",$B380))+ISNUMBER(SEARCH("repair",$B380))+ISNUMBER(SEARCH("maintenance",$B380))+ISNUMBER(SEARCH("tire",$B380))+ISNUMBER(SEARCH("tyre",$B380))+ISNUMBER(SEARCH("battery",$B380))+ISNUMBER(SEARCH("oil",$B380))+ISNUMBER(SEARCH("filter",$B380))+ISNUMBER(SEARCH("spare",$B380))+ISNUMBER(SEARCH("insurance",$B380))+ISNUMBER(SEARCH("lto",$B380))+ISNUMBER(SEARCH("registration",$B380))+ISNUMBER(SEARCH("emission",$B380))+ISNUMBER(SEARCH("wash",$B380))+ISNUMBER(SEARCH("weigh",$B380))+ISNUMBER(SEARCH("tarp",$B380))&gt;0,"Vehicle",IF(ISNUMBER(SEARCH("rent",$B380))+ISNUMBER(SEARCH("upa",$B380))+ISNUMBER(SEARCH("salary",$B380))+ISNUMBER(SEARCH("sweldo",$B380))+ISNUMBER(SEARCH("wage",$B380))+ISNUMBER(SEARCH("electric",$B380))+ISNUMBER(SEARCH("kuryente",$B380))+ISNUMBER(SEARCH("water",$B380))+ISNUMBER(SEARCH("tubig",$B380))+ISNUMBER(SEARCH("internet",$B380))+ISNUMBER(SEARCH("pldt",$B380))+ISNUMBER(SEARCH("meralco",$B380))+ISNUMBER(SEARCH("supplies",$B380))+ISNUMBER(SEARCH("office",$B380))+ISNUMBER(SEARCH("professional",$B380))+ISNUMBER(SEARCH("accountant",$B380))+ISNUMBER(SEARCH("lawyer",$B380))+ISNUMBER(SEARCH("broker",$B380))+ISNUMBER(SEARCH("bank",$B380))+ISNUMBER(SEARCH("charge",$B380))+ISNUMBER(SEARCH("permit",$B380))+ISNUMBER(SEARCH("bir",$B380))+ISNUMBER(SEARCH("ltfrb",$B380))+ISNUMBER(SEARCH("misc",$B380))+ISNUMBER(SEARCH("fee",$B380))&gt;0,"Overhead","Overhead")))))))</f>
        <v/>
      </c>
      <c r="J380">
        <f>IF($A380="","",DATE(YEAR($A380),MONTH($A380),1))</f>
        <v/>
      </c>
      <c r="K380">
        <f>IF($B380="","",IF(COUNTIF(Setup!$A$99:$A$128,$B380)&gt;0,0,1))</f>
        <v/>
      </c>
      <c r="L380">
        <f>IF($B380="","",IF(ISNUMBER(SEARCH("advance",$B380)),"ADV",IF(OR(ISNUMBER(SEARCH("payout",$B380)),ISNUMBER(SEARCH("pay out",$B380)),ISNUMBER(SEARCH("release",$B380))),"PAY","")))</f>
        <v/>
      </c>
      <c r="M380">
        <f>IF($B380="","",IF(ISNUMBER(SEARCH("bulk",$B380)),0,IF(ISNUMBER(SEARCH("fuel",$B380))+ISNUMBER(SEARCH("diesel",$B380))+ISNUMBER(SEARCH("krudo",$B380))+ISNUMBER(SEARCH("gasolina",$B380))&gt;0,1,0)))</f>
        <v/>
      </c>
      <c r="N380">
        <f>IF($B380="","",IF(ISNUMBER(SEARCH("fuel",$B380))+ISNUMBER(SEARCH("diesel",$B380))+ISNUMBER(SEARCH("krudo",$B380))+ISNUMBER(SEARCH("gasolina",$B380))&gt;0,1,0))</f>
        <v/>
      </c>
    </row>
    <row r="381">
      <c r="A381" s="86" t="n"/>
      <c r="B381" s="88" t="n"/>
      <c r="C381" s="88" t="n"/>
      <c r="D381" s="87" t="n"/>
      <c r="E381" s="88" t="n"/>
      <c r="F381" s="92" t="n"/>
      <c r="G381" s="87" t="n"/>
      <c r="H381" s="87" t="n"/>
      <c r="I381" s="101">
        <f>IF($B381="","",IF(COUNTIF(Setup!$A$99:$A$128,$B381)&gt;0,IF(INDEX(Setup!$B$99:$B$128,MATCH($B381,Setup!$A$99:$A$128,0))="","Overhead",INDEX(Setup!$B$99:$B$128,MATCH($B381,Setup!$A$99:$A$128,0))),IF(ISNUMBER(SEARCH("advance",$B381))+ISNUMBER(SEARCH("payout",$B381))+ISNUMBER(SEARCH("pay out",$B381))+ISNUMBER(SEARCH("reimburs",$B381))&gt;0,"Transfer",IF(ISNUMBER(SEARCH("loan",$B381))+ISNUMBER(SEARCH("amort",$B381))+ISNUMBER(SEARCH("installment",$B381))+ISNUMBER(SEARCH("instalment",$B381))&gt;0,"Financing",IF(ISNUMBER(SEARCH("draw",$B381))+ISNUMBER(SEARCH("owner",$B381))+ISNUMBER(SEARCH("asset",$B381))+ISNUMBER(SEARCH("capital",$B381))&gt;0,"Other",IF(ISNUMBER(SEARCH("fuel",$B381))+ISNUMBER(SEARCH("diesel",$B381))+ISNUMBER(SEARCH("krudo",$B381))+ISNUMBER(SEARCH("gasolina",$B381))+ISNUMBER(SEARCH("toll",$B381))+ISNUMBER(SEARCH("parking",$B381))+ISNUMBER(SEARCH("repair",$B381))+ISNUMBER(SEARCH("maintenance",$B381))+ISNUMBER(SEARCH("tire",$B381))+ISNUMBER(SEARCH("tyre",$B381))+ISNUMBER(SEARCH("battery",$B381))+ISNUMBER(SEARCH("oil",$B381))+ISNUMBER(SEARCH("filter",$B381))+ISNUMBER(SEARCH("spare",$B381))+ISNUMBER(SEARCH("insurance",$B381))+ISNUMBER(SEARCH("lto",$B381))+ISNUMBER(SEARCH("registration",$B381))+ISNUMBER(SEARCH("emission",$B381))+ISNUMBER(SEARCH("wash",$B381))+ISNUMBER(SEARCH("weigh",$B381))+ISNUMBER(SEARCH("tarp",$B381))&gt;0,"Vehicle",IF(ISNUMBER(SEARCH("rent",$B381))+ISNUMBER(SEARCH("upa",$B381))+ISNUMBER(SEARCH("salary",$B381))+ISNUMBER(SEARCH("sweldo",$B381))+ISNUMBER(SEARCH("wage",$B381))+ISNUMBER(SEARCH("electric",$B381))+ISNUMBER(SEARCH("kuryente",$B381))+ISNUMBER(SEARCH("water",$B381))+ISNUMBER(SEARCH("tubig",$B381))+ISNUMBER(SEARCH("internet",$B381))+ISNUMBER(SEARCH("pldt",$B381))+ISNUMBER(SEARCH("meralco",$B381))+ISNUMBER(SEARCH("supplies",$B381))+ISNUMBER(SEARCH("office",$B381))+ISNUMBER(SEARCH("professional",$B381))+ISNUMBER(SEARCH("accountant",$B381))+ISNUMBER(SEARCH("lawyer",$B381))+ISNUMBER(SEARCH("broker",$B381))+ISNUMBER(SEARCH("bank",$B381))+ISNUMBER(SEARCH("charge",$B381))+ISNUMBER(SEARCH("permit",$B381))+ISNUMBER(SEARCH("bir",$B381))+ISNUMBER(SEARCH("ltfrb",$B381))+ISNUMBER(SEARCH("misc",$B381))+ISNUMBER(SEARCH("fee",$B381))&gt;0,"Overhead","Overhead")))))))</f>
        <v/>
      </c>
      <c r="J381">
        <f>IF($A381="","",DATE(YEAR($A381),MONTH($A381),1))</f>
        <v/>
      </c>
      <c r="K381">
        <f>IF($B381="","",IF(COUNTIF(Setup!$A$99:$A$128,$B381)&gt;0,0,1))</f>
        <v/>
      </c>
      <c r="L381">
        <f>IF($B381="","",IF(ISNUMBER(SEARCH("advance",$B381)),"ADV",IF(OR(ISNUMBER(SEARCH("payout",$B381)),ISNUMBER(SEARCH("pay out",$B381)),ISNUMBER(SEARCH("release",$B381))),"PAY","")))</f>
        <v/>
      </c>
      <c r="M381">
        <f>IF($B381="","",IF(ISNUMBER(SEARCH("bulk",$B381)),0,IF(ISNUMBER(SEARCH("fuel",$B381))+ISNUMBER(SEARCH("diesel",$B381))+ISNUMBER(SEARCH("krudo",$B381))+ISNUMBER(SEARCH("gasolina",$B381))&gt;0,1,0)))</f>
        <v/>
      </c>
      <c r="N381">
        <f>IF($B381="","",IF(ISNUMBER(SEARCH("fuel",$B381))+ISNUMBER(SEARCH("diesel",$B381))+ISNUMBER(SEARCH("krudo",$B381))+ISNUMBER(SEARCH("gasolina",$B381))&gt;0,1,0))</f>
        <v/>
      </c>
    </row>
    <row r="382">
      <c r="A382" s="94" t="n"/>
      <c r="B382" s="96" t="n"/>
      <c r="C382" s="96" t="n"/>
      <c r="D382" s="95" t="n"/>
      <c r="E382" s="96" t="n"/>
      <c r="F382" s="99" t="n"/>
      <c r="G382" s="95" t="n"/>
      <c r="H382" s="95" t="n"/>
      <c r="I382" s="101">
        <f>IF($B382="","",IF(COUNTIF(Setup!$A$99:$A$128,$B382)&gt;0,IF(INDEX(Setup!$B$99:$B$128,MATCH($B382,Setup!$A$99:$A$128,0))="","Overhead",INDEX(Setup!$B$99:$B$128,MATCH($B382,Setup!$A$99:$A$128,0))),IF(ISNUMBER(SEARCH("advance",$B382))+ISNUMBER(SEARCH("payout",$B382))+ISNUMBER(SEARCH("pay out",$B382))+ISNUMBER(SEARCH("reimburs",$B382))&gt;0,"Transfer",IF(ISNUMBER(SEARCH("loan",$B382))+ISNUMBER(SEARCH("amort",$B382))+ISNUMBER(SEARCH("installment",$B382))+ISNUMBER(SEARCH("instalment",$B382))&gt;0,"Financing",IF(ISNUMBER(SEARCH("draw",$B382))+ISNUMBER(SEARCH("owner",$B382))+ISNUMBER(SEARCH("asset",$B382))+ISNUMBER(SEARCH("capital",$B382))&gt;0,"Other",IF(ISNUMBER(SEARCH("fuel",$B382))+ISNUMBER(SEARCH("diesel",$B382))+ISNUMBER(SEARCH("krudo",$B382))+ISNUMBER(SEARCH("gasolina",$B382))+ISNUMBER(SEARCH("toll",$B382))+ISNUMBER(SEARCH("parking",$B382))+ISNUMBER(SEARCH("repair",$B382))+ISNUMBER(SEARCH("maintenance",$B382))+ISNUMBER(SEARCH("tire",$B382))+ISNUMBER(SEARCH("tyre",$B382))+ISNUMBER(SEARCH("battery",$B382))+ISNUMBER(SEARCH("oil",$B382))+ISNUMBER(SEARCH("filter",$B382))+ISNUMBER(SEARCH("spare",$B382))+ISNUMBER(SEARCH("insurance",$B382))+ISNUMBER(SEARCH("lto",$B382))+ISNUMBER(SEARCH("registration",$B382))+ISNUMBER(SEARCH("emission",$B382))+ISNUMBER(SEARCH("wash",$B382))+ISNUMBER(SEARCH("weigh",$B382))+ISNUMBER(SEARCH("tarp",$B382))&gt;0,"Vehicle",IF(ISNUMBER(SEARCH("rent",$B382))+ISNUMBER(SEARCH("upa",$B382))+ISNUMBER(SEARCH("salary",$B382))+ISNUMBER(SEARCH("sweldo",$B382))+ISNUMBER(SEARCH("wage",$B382))+ISNUMBER(SEARCH("electric",$B382))+ISNUMBER(SEARCH("kuryente",$B382))+ISNUMBER(SEARCH("water",$B382))+ISNUMBER(SEARCH("tubig",$B382))+ISNUMBER(SEARCH("internet",$B382))+ISNUMBER(SEARCH("pldt",$B382))+ISNUMBER(SEARCH("meralco",$B382))+ISNUMBER(SEARCH("supplies",$B382))+ISNUMBER(SEARCH("office",$B382))+ISNUMBER(SEARCH("professional",$B382))+ISNUMBER(SEARCH("accountant",$B382))+ISNUMBER(SEARCH("lawyer",$B382))+ISNUMBER(SEARCH("broker",$B382))+ISNUMBER(SEARCH("bank",$B382))+ISNUMBER(SEARCH("charge",$B382))+ISNUMBER(SEARCH("permit",$B382))+ISNUMBER(SEARCH("bir",$B382))+ISNUMBER(SEARCH("ltfrb",$B382))+ISNUMBER(SEARCH("misc",$B382))+ISNUMBER(SEARCH("fee",$B382))&gt;0,"Overhead","Overhead")))))))</f>
        <v/>
      </c>
      <c r="J382">
        <f>IF($A382="","",DATE(YEAR($A382),MONTH($A382),1))</f>
        <v/>
      </c>
      <c r="K382">
        <f>IF($B382="","",IF(COUNTIF(Setup!$A$99:$A$128,$B382)&gt;0,0,1))</f>
        <v/>
      </c>
      <c r="L382">
        <f>IF($B382="","",IF(ISNUMBER(SEARCH("advance",$B382)),"ADV",IF(OR(ISNUMBER(SEARCH("payout",$B382)),ISNUMBER(SEARCH("pay out",$B382)),ISNUMBER(SEARCH("release",$B382))),"PAY","")))</f>
        <v/>
      </c>
      <c r="M382">
        <f>IF($B382="","",IF(ISNUMBER(SEARCH("bulk",$B382)),0,IF(ISNUMBER(SEARCH("fuel",$B382))+ISNUMBER(SEARCH("diesel",$B382))+ISNUMBER(SEARCH("krudo",$B382))+ISNUMBER(SEARCH("gasolina",$B382))&gt;0,1,0)))</f>
        <v/>
      </c>
      <c r="N382">
        <f>IF($B382="","",IF(ISNUMBER(SEARCH("fuel",$B382))+ISNUMBER(SEARCH("diesel",$B382))+ISNUMBER(SEARCH("krudo",$B382))+ISNUMBER(SEARCH("gasolina",$B382))&gt;0,1,0))</f>
        <v/>
      </c>
    </row>
    <row r="383">
      <c r="A383" s="86" t="n"/>
      <c r="B383" s="88" t="n"/>
      <c r="C383" s="88" t="n"/>
      <c r="D383" s="87" t="n"/>
      <c r="E383" s="88" t="n"/>
      <c r="F383" s="92" t="n"/>
      <c r="G383" s="87" t="n"/>
      <c r="H383" s="87" t="n"/>
      <c r="I383" s="101">
        <f>IF($B383="","",IF(COUNTIF(Setup!$A$99:$A$128,$B383)&gt;0,IF(INDEX(Setup!$B$99:$B$128,MATCH($B383,Setup!$A$99:$A$128,0))="","Overhead",INDEX(Setup!$B$99:$B$128,MATCH($B383,Setup!$A$99:$A$128,0))),IF(ISNUMBER(SEARCH("advance",$B383))+ISNUMBER(SEARCH("payout",$B383))+ISNUMBER(SEARCH("pay out",$B383))+ISNUMBER(SEARCH("reimburs",$B383))&gt;0,"Transfer",IF(ISNUMBER(SEARCH("loan",$B383))+ISNUMBER(SEARCH("amort",$B383))+ISNUMBER(SEARCH("installment",$B383))+ISNUMBER(SEARCH("instalment",$B383))&gt;0,"Financing",IF(ISNUMBER(SEARCH("draw",$B383))+ISNUMBER(SEARCH("owner",$B383))+ISNUMBER(SEARCH("asset",$B383))+ISNUMBER(SEARCH("capital",$B383))&gt;0,"Other",IF(ISNUMBER(SEARCH("fuel",$B383))+ISNUMBER(SEARCH("diesel",$B383))+ISNUMBER(SEARCH("krudo",$B383))+ISNUMBER(SEARCH("gasolina",$B383))+ISNUMBER(SEARCH("toll",$B383))+ISNUMBER(SEARCH("parking",$B383))+ISNUMBER(SEARCH("repair",$B383))+ISNUMBER(SEARCH("maintenance",$B383))+ISNUMBER(SEARCH("tire",$B383))+ISNUMBER(SEARCH("tyre",$B383))+ISNUMBER(SEARCH("battery",$B383))+ISNUMBER(SEARCH("oil",$B383))+ISNUMBER(SEARCH("filter",$B383))+ISNUMBER(SEARCH("spare",$B383))+ISNUMBER(SEARCH("insurance",$B383))+ISNUMBER(SEARCH("lto",$B383))+ISNUMBER(SEARCH("registration",$B383))+ISNUMBER(SEARCH("emission",$B383))+ISNUMBER(SEARCH("wash",$B383))+ISNUMBER(SEARCH("weigh",$B383))+ISNUMBER(SEARCH("tarp",$B383))&gt;0,"Vehicle",IF(ISNUMBER(SEARCH("rent",$B383))+ISNUMBER(SEARCH("upa",$B383))+ISNUMBER(SEARCH("salary",$B383))+ISNUMBER(SEARCH("sweldo",$B383))+ISNUMBER(SEARCH("wage",$B383))+ISNUMBER(SEARCH("electric",$B383))+ISNUMBER(SEARCH("kuryente",$B383))+ISNUMBER(SEARCH("water",$B383))+ISNUMBER(SEARCH("tubig",$B383))+ISNUMBER(SEARCH("internet",$B383))+ISNUMBER(SEARCH("pldt",$B383))+ISNUMBER(SEARCH("meralco",$B383))+ISNUMBER(SEARCH("supplies",$B383))+ISNUMBER(SEARCH("office",$B383))+ISNUMBER(SEARCH("professional",$B383))+ISNUMBER(SEARCH("accountant",$B383))+ISNUMBER(SEARCH("lawyer",$B383))+ISNUMBER(SEARCH("broker",$B383))+ISNUMBER(SEARCH("bank",$B383))+ISNUMBER(SEARCH("charge",$B383))+ISNUMBER(SEARCH("permit",$B383))+ISNUMBER(SEARCH("bir",$B383))+ISNUMBER(SEARCH("ltfrb",$B383))+ISNUMBER(SEARCH("misc",$B383))+ISNUMBER(SEARCH("fee",$B383))&gt;0,"Overhead","Overhead")))))))</f>
        <v/>
      </c>
      <c r="J383">
        <f>IF($A383="","",DATE(YEAR($A383),MONTH($A383),1))</f>
        <v/>
      </c>
      <c r="K383">
        <f>IF($B383="","",IF(COUNTIF(Setup!$A$99:$A$128,$B383)&gt;0,0,1))</f>
        <v/>
      </c>
      <c r="L383">
        <f>IF($B383="","",IF(ISNUMBER(SEARCH("advance",$B383)),"ADV",IF(OR(ISNUMBER(SEARCH("payout",$B383)),ISNUMBER(SEARCH("pay out",$B383)),ISNUMBER(SEARCH("release",$B383))),"PAY","")))</f>
        <v/>
      </c>
      <c r="M383">
        <f>IF($B383="","",IF(ISNUMBER(SEARCH("bulk",$B383)),0,IF(ISNUMBER(SEARCH("fuel",$B383))+ISNUMBER(SEARCH("diesel",$B383))+ISNUMBER(SEARCH("krudo",$B383))+ISNUMBER(SEARCH("gasolina",$B383))&gt;0,1,0)))</f>
        <v/>
      </c>
      <c r="N383">
        <f>IF($B383="","",IF(ISNUMBER(SEARCH("fuel",$B383))+ISNUMBER(SEARCH("diesel",$B383))+ISNUMBER(SEARCH("krudo",$B383))+ISNUMBER(SEARCH("gasolina",$B383))&gt;0,1,0))</f>
        <v/>
      </c>
    </row>
    <row r="384">
      <c r="A384" s="94" t="n"/>
      <c r="B384" s="96" t="n"/>
      <c r="C384" s="96" t="n"/>
      <c r="D384" s="95" t="n"/>
      <c r="E384" s="96" t="n"/>
      <c r="F384" s="99" t="n"/>
      <c r="G384" s="95" t="n"/>
      <c r="H384" s="95" t="n"/>
      <c r="I384" s="101">
        <f>IF($B384="","",IF(COUNTIF(Setup!$A$99:$A$128,$B384)&gt;0,IF(INDEX(Setup!$B$99:$B$128,MATCH($B384,Setup!$A$99:$A$128,0))="","Overhead",INDEX(Setup!$B$99:$B$128,MATCH($B384,Setup!$A$99:$A$128,0))),IF(ISNUMBER(SEARCH("advance",$B384))+ISNUMBER(SEARCH("payout",$B384))+ISNUMBER(SEARCH("pay out",$B384))+ISNUMBER(SEARCH("reimburs",$B384))&gt;0,"Transfer",IF(ISNUMBER(SEARCH("loan",$B384))+ISNUMBER(SEARCH("amort",$B384))+ISNUMBER(SEARCH("installment",$B384))+ISNUMBER(SEARCH("instalment",$B384))&gt;0,"Financing",IF(ISNUMBER(SEARCH("draw",$B384))+ISNUMBER(SEARCH("owner",$B384))+ISNUMBER(SEARCH("asset",$B384))+ISNUMBER(SEARCH("capital",$B384))&gt;0,"Other",IF(ISNUMBER(SEARCH("fuel",$B384))+ISNUMBER(SEARCH("diesel",$B384))+ISNUMBER(SEARCH("krudo",$B384))+ISNUMBER(SEARCH("gasolina",$B384))+ISNUMBER(SEARCH("toll",$B384))+ISNUMBER(SEARCH("parking",$B384))+ISNUMBER(SEARCH("repair",$B384))+ISNUMBER(SEARCH("maintenance",$B384))+ISNUMBER(SEARCH("tire",$B384))+ISNUMBER(SEARCH("tyre",$B384))+ISNUMBER(SEARCH("battery",$B384))+ISNUMBER(SEARCH("oil",$B384))+ISNUMBER(SEARCH("filter",$B384))+ISNUMBER(SEARCH("spare",$B384))+ISNUMBER(SEARCH("insurance",$B384))+ISNUMBER(SEARCH("lto",$B384))+ISNUMBER(SEARCH("registration",$B384))+ISNUMBER(SEARCH("emission",$B384))+ISNUMBER(SEARCH("wash",$B384))+ISNUMBER(SEARCH("weigh",$B384))+ISNUMBER(SEARCH("tarp",$B384))&gt;0,"Vehicle",IF(ISNUMBER(SEARCH("rent",$B384))+ISNUMBER(SEARCH("upa",$B384))+ISNUMBER(SEARCH("salary",$B384))+ISNUMBER(SEARCH("sweldo",$B384))+ISNUMBER(SEARCH("wage",$B384))+ISNUMBER(SEARCH("electric",$B384))+ISNUMBER(SEARCH("kuryente",$B384))+ISNUMBER(SEARCH("water",$B384))+ISNUMBER(SEARCH("tubig",$B384))+ISNUMBER(SEARCH("internet",$B384))+ISNUMBER(SEARCH("pldt",$B384))+ISNUMBER(SEARCH("meralco",$B384))+ISNUMBER(SEARCH("supplies",$B384))+ISNUMBER(SEARCH("office",$B384))+ISNUMBER(SEARCH("professional",$B384))+ISNUMBER(SEARCH("accountant",$B384))+ISNUMBER(SEARCH("lawyer",$B384))+ISNUMBER(SEARCH("broker",$B384))+ISNUMBER(SEARCH("bank",$B384))+ISNUMBER(SEARCH("charge",$B384))+ISNUMBER(SEARCH("permit",$B384))+ISNUMBER(SEARCH("bir",$B384))+ISNUMBER(SEARCH("ltfrb",$B384))+ISNUMBER(SEARCH("misc",$B384))+ISNUMBER(SEARCH("fee",$B384))&gt;0,"Overhead","Overhead")))))))</f>
        <v/>
      </c>
      <c r="J384">
        <f>IF($A384="","",DATE(YEAR($A384),MONTH($A384),1))</f>
        <v/>
      </c>
      <c r="K384">
        <f>IF($B384="","",IF(COUNTIF(Setup!$A$99:$A$128,$B384)&gt;0,0,1))</f>
        <v/>
      </c>
      <c r="L384">
        <f>IF($B384="","",IF(ISNUMBER(SEARCH("advance",$B384)),"ADV",IF(OR(ISNUMBER(SEARCH("payout",$B384)),ISNUMBER(SEARCH("pay out",$B384)),ISNUMBER(SEARCH("release",$B384))),"PAY","")))</f>
        <v/>
      </c>
      <c r="M384">
        <f>IF($B384="","",IF(ISNUMBER(SEARCH("bulk",$B384)),0,IF(ISNUMBER(SEARCH("fuel",$B384))+ISNUMBER(SEARCH("diesel",$B384))+ISNUMBER(SEARCH("krudo",$B384))+ISNUMBER(SEARCH("gasolina",$B384))&gt;0,1,0)))</f>
        <v/>
      </c>
      <c r="N384">
        <f>IF($B384="","",IF(ISNUMBER(SEARCH("fuel",$B384))+ISNUMBER(SEARCH("diesel",$B384))+ISNUMBER(SEARCH("krudo",$B384))+ISNUMBER(SEARCH("gasolina",$B384))&gt;0,1,0))</f>
        <v/>
      </c>
    </row>
    <row r="385">
      <c r="A385" s="86" t="n"/>
      <c r="B385" s="88" t="n"/>
      <c r="C385" s="88" t="n"/>
      <c r="D385" s="87" t="n"/>
      <c r="E385" s="88" t="n"/>
      <c r="F385" s="92" t="n"/>
      <c r="G385" s="87" t="n"/>
      <c r="H385" s="87" t="n"/>
      <c r="I385" s="101">
        <f>IF($B385="","",IF(COUNTIF(Setup!$A$99:$A$128,$B385)&gt;0,IF(INDEX(Setup!$B$99:$B$128,MATCH($B385,Setup!$A$99:$A$128,0))="","Overhead",INDEX(Setup!$B$99:$B$128,MATCH($B385,Setup!$A$99:$A$128,0))),IF(ISNUMBER(SEARCH("advance",$B385))+ISNUMBER(SEARCH("payout",$B385))+ISNUMBER(SEARCH("pay out",$B385))+ISNUMBER(SEARCH("reimburs",$B385))&gt;0,"Transfer",IF(ISNUMBER(SEARCH("loan",$B385))+ISNUMBER(SEARCH("amort",$B385))+ISNUMBER(SEARCH("installment",$B385))+ISNUMBER(SEARCH("instalment",$B385))&gt;0,"Financing",IF(ISNUMBER(SEARCH("draw",$B385))+ISNUMBER(SEARCH("owner",$B385))+ISNUMBER(SEARCH("asset",$B385))+ISNUMBER(SEARCH("capital",$B385))&gt;0,"Other",IF(ISNUMBER(SEARCH("fuel",$B385))+ISNUMBER(SEARCH("diesel",$B385))+ISNUMBER(SEARCH("krudo",$B385))+ISNUMBER(SEARCH("gasolina",$B385))+ISNUMBER(SEARCH("toll",$B385))+ISNUMBER(SEARCH("parking",$B385))+ISNUMBER(SEARCH("repair",$B385))+ISNUMBER(SEARCH("maintenance",$B385))+ISNUMBER(SEARCH("tire",$B385))+ISNUMBER(SEARCH("tyre",$B385))+ISNUMBER(SEARCH("battery",$B385))+ISNUMBER(SEARCH("oil",$B385))+ISNUMBER(SEARCH("filter",$B385))+ISNUMBER(SEARCH("spare",$B385))+ISNUMBER(SEARCH("insurance",$B385))+ISNUMBER(SEARCH("lto",$B385))+ISNUMBER(SEARCH("registration",$B385))+ISNUMBER(SEARCH("emission",$B385))+ISNUMBER(SEARCH("wash",$B385))+ISNUMBER(SEARCH("weigh",$B385))+ISNUMBER(SEARCH("tarp",$B385))&gt;0,"Vehicle",IF(ISNUMBER(SEARCH("rent",$B385))+ISNUMBER(SEARCH("upa",$B385))+ISNUMBER(SEARCH("salary",$B385))+ISNUMBER(SEARCH("sweldo",$B385))+ISNUMBER(SEARCH("wage",$B385))+ISNUMBER(SEARCH("electric",$B385))+ISNUMBER(SEARCH("kuryente",$B385))+ISNUMBER(SEARCH("water",$B385))+ISNUMBER(SEARCH("tubig",$B385))+ISNUMBER(SEARCH("internet",$B385))+ISNUMBER(SEARCH("pldt",$B385))+ISNUMBER(SEARCH("meralco",$B385))+ISNUMBER(SEARCH("supplies",$B385))+ISNUMBER(SEARCH("office",$B385))+ISNUMBER(SEARCH("professional",$B385))+ISNUMBER(SEARCH("accountant",$B385))+ISNUMBER(SEARCH("lawyer",$B385))+ISNUMBER(SEARCH("broker",$B385))+ISNUMBER(SEARCH("bank",$B385))+ISNUMBER(SEARCH("charge",$B385))+ISNUMBER(SEARCH("permit",$B385))+ISNUMBER(SEARCH("bir",$B385))+ISNUMBER(SEARCH("ltfrb",$B385))+ISNUMBER(SEARCH("misc",$B385))+ISNUMBER(SEARCH("fee",$B385))&gt;0,"Overhead","Overhead")))))))</f>
        <v/>
      </c>
      <c r="J385">
        <f>IF($A385="","",DATE(YEAR($A385),MONTH($A385),1))</f>
        <v/>
      </c>
      <c r="K385">
        <f>IF($B385="","",IF(COUNTIF(Setup!$A$99:$A$128,$B385)&gt;0,0,1))</f>
        <v/>
      </c>
      <c r="L385">
        <f>IF($B385="","",IF(ISNUMBER(SEARCH("advance",$B385)),"ADV",IF(OR(ISNUMBER(SEARCH("payout",$B385)),ISNUMBER(SEARCH("pay out",$B385)),ISNUMBER(SEARCH("release",$B385))),"PAY","")))</f>
        <v/>
      </c>
      <c r="M385">
        <f>IF($B385="","",IF(ISNUMBER(SEARCH("bulk",$B385)),0,IF(ISNUMBER(SEARCH("fuel",$B385))+ISNUMBER(SEARCH("diesel",$B385))+ISNUMBER(SEARCH("krudo",$B385))+ISNUMBER(SEARCH("gasolina",$B385))&gt;0,1,0)))</f>
        <v/>
      </c>
      <c r="N385">
        <f>IF($B385="","",IF(ISNUMBER(SEARCH("fuel",$B385))+ISNUMBER(SEARCH("diesel",$B385))+ISNUMBER(SEARCH("krudo",$B385))+ISNUMBER(SEARCH("gasolina",$B385))&gt;0,1,0))</f>
        <v/>
      </c>
    </row>
    <row r="386">
      <c r="A386" s="94" t="n"/>
      <c r="B386" s="96" t="n"/>
      <c r="C386" s="96" t="n"/>
      <c r="D386" s="95" t="n"/>
      <c r="E386" s="96" t="n"/>
      <c r="F386" s="99" t="n"/>
      <c r="G386" s="95" t="n"/>
      <c r="H386" s="95" t="n"/>
      <c r="I386" s="101">
        <f>IF($B386="","",IF(COUNTIF(Setup!$A$99:$A$128,$B386)&gt;0,IF(INDEX(Setup!$B$99:$B$128,MATCH($B386,Setup!$A$99:$A$128,0))="","Overhead",INDEX(Setup!$B$99:$B$128,MATCH($B386,Setup!$A$99:$A$128,0))),IF(ISNUMBER(SEARCH("advance",$B386))+ISNUMBER(SEARCH("payout",$B386))+ISNUMBER(SEARCH("pay out",$B386))+ISNUMBER(SEARCH("reimburs",$B386))&gt;0,"Transfer",IF(ISNUMBER(SEARCH("loan",$B386))+ISNUMBER(SEARCH("amort",$B386))+ISNUMBER(SEARCH("installment",$B386))+ISNUMBER(SEARCH("instalment",$B386))&gt;0,"Financing",IF(ISNUMBER(SEARCH("draw",$B386))+ISNUMBER(SEARCH("owner",$B386))+ISNUMBER(SEARCH("asset",$B386))+ISNUMBER(SEARCH("capital",$B386))&gt;0,"Other",IF(ISNUMBER(SEARCH("fuel",$B386))+ISNUMBER(SEARCH("diesel",$B386))+ISNUMBER(SEARCH("krudo",$B386))+ISNUMBER(SEARCH("gasolina",$B386))+ISNUMBER(SEARCH("toll",$B386))+ISNUMBER(SEARCH("parking",$B386))+ISNUMBER(SEARCH("repair",$B386))+ISNUMBER(SEARCH("maintenance",$B386))+ISNUMBER(SEARCH("tire",$B386))+ISNUMBER(SEARCH("tyre",$B386))+ISNUMBER(SEARCH("battery",$B386))+ISNUMBER(SEARCH("oil",$B386))+ISNUMBER(SEARCH("filter",$B386))+ISNUMBER(SEARCH("spare",$B386))+ISNUMBER(SEARCH("insurance",$B386))+ISNUMBER(SEARCH("lto",$B386))+ISNUMBER(SEARCH("registration",$B386))+ISNUMBER(SEARCH("emission",$B386))+ISNUMBER(SEARCH("wash",$B386))+ISNUMBER(SEARCH("weigh",$B386))+ISNUMBER(SEARCH("tarp",$B386))&gt;0,"Vehicle",IF(ISNUMBER(SEARCH("rent",$B386))+ISNUMBER(SEARCH("upa",$B386))+ISNUMBER(SEARCH("salary",$B386))+ISNUMBER(SEARCH("sweldo",$B386))+ISNUMBER(SEARCH("wage",$B386))+ISNUMBER(SEARCH("electric",$B386))+ISNUMBER(SEARCH("kuryente",$B386))+ISNUMBER(SEARCH("water",$B386))+ISNUMBER(SEARCH("tubig",$B386))+ISNUMBER(SEARCH("internet",$B386))+ISNUMBER(SEARCH("pldt",$B386))+ISNUMBER(SEARCH("meralco",$B386))+ISNUMBER(SEARCH("supplies",$B386))+ISNUMBER(SEARCH("office",$B386))+ISNUMBER(SEARCH("professional",$B386))+ISNUMBER(SEARCH("accountant",$B386))+ISNUMBER(SEARCH("lawyer",$B386))+ISNUMBER(SEARCH("broker",$B386))+ISNUMBER(SEARCH("bank",$B386))+ISNUMBER(SEARCH("charge",$B386))+ISNUMBER(SEARCH("permit",$B386))+ISNUMBER(SEARCH("bir",$B386))+ISNUMBER(SEARCH("ltfrb",$B386))+ISNUMBER(SEARCH("misc",$B386))+ISNUMBER(SEARCH("fee",$B386))&gt;0,"Overhead","Overhead")))))))</f>
        <v/>
      </c>
      <c r="J386">
        <f>IF($A386="","",DATE(YEAR($A386),MONTH($A386),1))</f>
        <v/>
      </c>
      <c r="K386">
        <f>IF($B386="","",IF(COUNTIF(Setup!$A$99:$A$128,$B386)&gt;0,0,1))</f>
        <v/>
      </c>
      <c r="L386">
        <f>IF($B386="","",IF(ISNUMBER(SEARCH("advance",$B386)),"ADV",IF(OR(ISNUMBER(SEARCH("payout",$B386)),ISNUMBER(SEARCH("pay out",$B386)),ISNUMBER(SEARCH("release",$B386))),"PAY","")))</f>
        <v/>
      </c>
      <c r="M386">
        <f>IF($B386="","",IF(ISNUMBER(SEARCH("bulk",$B386)),0,IF(ISNUMBER(SEARCH("fuel",$B386))+ISNUMBER(SEARCH("diesel",$B386))+ISNUMBER(SEARCH("krudo",$B386))+ISNUMBER(SEARCH("gasolina",$B386))&gt;0,1,0)))</f>
        <v/>
      </c>
      <c r="N386">
        <f>IF($B386="","",IF(ISNUMBER(SEARCH("fuel",$B386))+ISNUMBER(SEARCH("diesel",$B386))+ISNUMBER(SEARCH("krudo",$B386))+ISNUMBER(SEARCH("gasolina",$B386))&gt;0,1,0))</f>
        <v/>
      </c>
    </row>
    <row r="387">
      <c r="A387" s="86" t="n"/>
      <c r="B387" s="88" t="n"/>
      <c r="C387" s="88" t="n"/>
      <c r="D387" s="87" t="n"/>
      <c r="E387" s="88" t="n"/>
      <c r="F387" s="92" t="n"/>
      <c r="G387" s="87" t="n"/>
      <c r="H387" s="87" t="n"/>
      <c r="I387" s="101">
        <f>IF($B387="","",IF(COUNTIF(Setup!$A$99:$A$128,$B387)&gt;0,IF(INDEX(Setup!$B$99:$B$128,MATCH($B387,Setup!$A$99:$A$128,0))="","Overhead",INDEX(Setup!$B$99:$B$128,MATCH($B387,Setup!$A$99:$A$128,0))),IF(ISNUMBER(SEARCH("advance",$B387))+ISNUMBER(SEARCH("payout",$B387))+ISNUMBER(SEARCH("pay out",$B387))+ISNUMBER(SEARCH("reimburs",$B387))&gt;0,"Transfer",IF(ISNUMBER(SEARCH("loan",$B387))+ISNUMBER(SEARCH("amort",$B387))+ISNUMBER(SEARCH("installment",$B387))+ISNUMBER(SEARCH("instalment",$B387))&gt;0,"Financing",IF(ISNUMBER(SEARCH("draw",$B387))+ISNUMBER(SEARCH("owner",$B387))+ISNUMBER(SEARCH("asset",$B387))+ISNUMBER(SEARCH("capital",$B387))&gt;0,"Other",IF(ISNUMBER(SEARCH("fuel",$B387))+ISNUMBER(SEARCH("diesel",$B387))+ISNUMBER(SEARCH("krudo",$B387))+ISNUMBER(SEARCH("gasolina",$B387))+ISNUMBER(SEARCH("toll",$B387))+ISNUMBER(SEARCH("parking",$B387))+ISNUMBER(SEARCH("repair",$B387))+ISNUMBER(SEARCH("maintenance",$B387))+ISNUMBER(SEARCH("tire",$B387))+ISNUMBER(SEARCH("tyre",$B387))+ISNUMBER(SEARCH("battery",$B387))+ISNUMBER(SEARCH("oil",$B387))+ISNUMBER(SEARCH("filter",$B387))+ISNUMBER(SEARCH("spare",$B387))+ISNUMBER(SEARCH("insurance",$B387))+ISNUMBER(SEARCH("lto",$B387))+ISNUMBER(SEARCH("registration",$B387))+ISNUMBER(SEARCH("emission",$B387))+ISNUMBER(SEARCH("wash",$B387))+ISNUMBER(SEARCH("weigh",$B387))+ISNUMBER(SEARCH("tarp",$B387))&gt;0,"Vehicle",IF(ISNUMBER(SEARCH("rent",$B387))+ISNUMBER(SEARCH("upa",$B387))+ISNUMBER(SEARCH("salary",$B387))+ISNUMBER(SEARCH("sweldo",$B387))+ISNUMBER(SEARCH("wage",$B387))+ISNUMBER(SEARCH("electric",$B387))+ISNUMBER(SEARCH("kuryente",$B387))+ISNUMBER(SEARCH("water",$B387))+ISNUMBER(SEARCH("tubig",$B387))+ISNUMBER(SEARCH("internet",$B387))+ISNUMBER(SEARCH("pldt",$B387))+ISNUMBER(SEARCH("meralco",$B387))+ISNUMBER(SEARCH("supplies",$B387))+ISNUMBER(SEARCH("office",$B387))+ISNUMBER(SEARCH("professional",$B387))+ISNUMBER(SEARCH("accountant",$B387))+ISNUMBER(SEARCH("lawyer",$B387))+ISNUMBER(SEARCH("broker",$B387))+ISNUMBER(SEARCH("bank",$B387))+ISNUMBER(SEARCH("charge",$B387))+ISNUMBER(SEARCH("permit",$B387))+ISNUMBER(SEARCH("bir",$B387))+ISNUMBER(SEARCH("ltfrb",$B387))+ISNUMBER(SEARCH("misc",$B387))+ISNUMBER(SEARCH("fee",$B387))&gt;0,"Overhead","Overhead")))))))</f>
        <v/>
      </c>
      <c r="J387">
        <f>IF($A387="","",DATE(YEAR($A387),MONTH($A387),1))</f>
        <v/>
      </c>
      <c r="K387">
        <f>IF($B387="","",IF(COUNTIF(Setup!$A$99:$A$128,$B387)&gt;0,0,1))</f>
        <v/>
      </c>
      <c r="L387">
        <f>IF($B387="","",IF(ISNUMBER(SEARCH("advance",$B387)),"ADV",IF(OR(ISNUMBER(SEARCH("payout",$B387)),ISNUMBER(SEARCH("pay out",$B387)),ISNUMBER(SEARCH("release",$B387))),"PAY","")))</f>
        <v/>
      </c>
      <c r="M387">
        <f>IF($B387="","",IF(ISNUMBER(SEARCH("bulk",$B387)),0,IF(ISNUMBER(SEARCH("fuel",$B387))+ISNUMBER(SEARCH("diesel",$B387))+ISNUMBER(SEARCH("krudo",$B387))+ISNUMBER(SEARCH("gasolina",$B387))&gt;0,1,0)))</f>
        <v/>
      </c>
      <c r="N387">
        <f>IF($B387="","",IF(ISNUMBER(SEARCH("fuel",$B387))+ISNUMBER(SEARCH("diesel",$B387))+ISNUMBER(SEARCH("krudo",$B387))+ISNUMBER(SEARCH("gasolina",$B387))&gt;0,1,0))</f>
        <v/>
      </c>
    </row>
    <row r="388">
      <c r="A388" s="94" t="n"/>
      <c r="B388" s="96" t="n"/>
      <c r="C388" s="96" t="n"/>
      <c r="D388" s="95" t="n"/>
      <c r="E388" s="96" t="n"/>
      <c r="F388" s="99" t="n"/>
      <c r="G388" s="95" t="n"/>
      <c r="H388" s="95" t="n"/>
      <c r="I388" s="101">
        <f>IF($B388="","",IF(COUNTIF(Setup!$A$99:$A$128,$B388)&gt;0,IF(INDEX(Setup!$B$99:$B$128,MATCH($B388,Setup!$A$99:$A$128,0))="","Overhead",INDEX(Setup!$B$99:$B$128,MATCH($B388,Setup!$A$99:$A$128,0))),IF(ISNUMBER(SEARCH("advance",$B388))+ISNUMBER(SEARCH("payout",$B388))+ISNUMBER(SEARCH("pay out",$B388))+ISNUMBER(SEARCH("reimburs",$B388))&gt;0,"Transfer",IF(ISNUMBER(SEARCH("loan",$B388))+ISNUMBER(SEARCH("amort",$B388))+ISNUMBER(SEARCH("installment",$B388))+ISNUMBER(SEARCH("instalment",$B388))&gt;0,"Financing",IF(ISNUMBER(SEARCH("draw",$B388))+ISNUMBER(SEARCH("owner",$B388))+ISNUMBER(SEARCH("asset",$B388))+ISNUMBER(SEARCH("capital",$B388))&gt;0,"Other",IF(ISNUMBER(SEARCH("fuel",$B388))+ISNUMBER(SEARCH("diesel",$B388))+ISNUMBER(SEARCH("krudo",$B388))+ISNUMBER(SEARCH("gasolina",$B388))+ISNUMBER(SEARCH("toll",$B388))+ISNUMBER(SEARCH("parking",$B388))+ISNUMBER(SEARCH("repair",$B388))+ISNUMBER(SEARCH("maintenance",$B388))+ISNUMBER(SEARCH("tire",$B388))+ISNUMBER(SEARCH("tyre",$B388))+ISNUMBER(SEARCH("battery",$B388))+ISNUMBER(SEARCH("oil",$B388))+ISNUMBER(SEARCH("filter",$B388))+ISNUMBER(SEARCH("spare",$B388))+ISNUMBER(SEARCH("insurance",$B388))+ISNUMBER(SEARCH("lto",$B388))+ISNUMBER(SEARCH("registration",$B388))+ISNUMBER(SEARCH("emission",$B388))+ISNUMBER(SEARCH("wash",$B388))+ISNUMBER(SEARCH("weigh",$B388))+ISNUMBER(SEARCH("tarp",$B388))&gt;0,"Vehicle",IF(ISNUMBER(SEARCH("rent",$B388))+ISNUMBER(SEARCH("upa",$B388))+ISNUMBER(SEARCH("salary",$B388))+ISNUMBER(SEARCH("sweldo",$B388))+ISNUMBER(SEARCH("wage",$B388))+ISNUMBER(SEARCH("electric",$B388))+ISNUMBER(SEARCH("kuryente",$B388))+ISNUMBER(SEARCH("water",$B388))+ISNUMBER(SEARCH("tubig",$B388))+ISNUMBER(SEARCH("internet",$B388))+ISNUMBER(SEARCH("pldt",$B388))+ISNUMBER(SEARCH("meralco",$B388))+ISNUMBER(SEARCH("supplies",$B388))+ISNUMBER(SEARCH("office",$B388))+ISNUMBER(SEARCH("professional",$B388))+ISNUMBER(SEARCH("accountant",$B388))+ISNUMBER(SEARCH("lawyer",$B388))+ISNUMBER(SEARCH("broker",$B388))+ISNUMBER(SEARCH("bank",$B388))+ISNUMBER(SEARCH("charge",$B388))+ISNUMBER(SEARCH("permit",$B388))+ISNUMBER(SEARCH("bir",$B388))+ISNUMBER(SEARCH("ltfrb",$B388))+ISNUMBER(SEARCH("misc",$B388))+ISNUMBER(SEARCH("fee",$B388))&gt;0,"Overhead","Overhead")))))))</f>
        <v/>
      </c>
      <c r="J388">
        <f>IF($A388="","",DATE(YEAR($A388),MONTH($A388),1))</f>
        <v/>
      </c>
      <c r="K388">
        <f>IF($B388="","",IF(COUNTIF(Setup!$A$99:$A$128,$B388)&gt;0,0,1))</f>
        <v/>
      </c>
      <c r="L388">
        <f>IF($B388="","",IF(ISNUMBER(SEARCH("advance",$B388)),"ADV",IF(OR(ISNUMBER(SEARCH("payout",$B388)),ISNUMBER(SEARCH("pay out",$B388)),ISNUMBER(SEARCH("release",$B388))),"PAY","")))</f>
        <v/>
      </c>
      <c r="M388">
        <f>IF($B388="","",IF(ISNUMBER(SEARCH("bulk",$B388)),0,IF(ISNUMBER(SEARCH("fuel",$B388))+ISNUMBER(SEARCH("diesel",$B388))+ISNUMBER(SEARCH("krudo",$B388))+ISNUMBER(SEARCH("gasolina",$B388))&gt;0,1,0)))</f>
        <v/>
      </c>
      <c r="N388">
        <f>IF($B388="","",IF(ISNUMBER(SEARCH("fuel",$B388))+ISNUMBER(SEARCH("diesel",$B388))+ISNUMBER(SEARCH("krudo",$B388))+ISNUMBER(SEARCH("gasolina",$B388))&gt;0,1,0))</f>
        <v/>
      </c>
    </row>
    <row r="389">
      <c r="A389" s="86" t="n"/>
      <c r="B389" s="88" t="n"/>
      <c r="C389" s="88" t="n"/>
      <c r="D389" s="87" t="n"/>
      <c r="E389" s="88" t="n"/>
      <c r="F389" s="92" t="n"/>
      <c r="G389" s="87" t="n"/>
      <c r="H389" s="87" t="n"/>
      <c r="I389" s="101">
        <f>IF($B389="","",IF(COUNTIF(Setup!$A$99:$A$128,$B389)&gt;0,IF(INDEX(Setup!$B$99:$B$128,MATCH($B389,Setup!$A$99:$A$128,0))="","Overhead",INDEX(Setup!$B$99:$B$128,MATCH($B389,Setup!$A$99:$A$128,0))),IF(ISNUMBER(SEARCH("advance",$B389))+ISNUMBER(SEARCH("payout",$B389))+ISNUMBER(SEARCH("pay out",$B389))+ISNUMBER(SEARCH("reimburs",$B389))&gt;0,"Transfer",IF(ISNUMBER(SEARCH("loan",$B389))+ISNUMBER(SEARCH("amort",$B389))+ISNUMBER(SEARCH("installment",$B389))+ISNUMBER(SEARCH("instalment",$B389))&gt;0,"Financing",IF(ISNUMBER(SEARCH("draw",$B389))+ISNUMBER(SEARCH("owner",$B389))+ISNUMBER(SEARCH("asset",$B389))+ISNUMBER(SEARCH("capital",$B389))&gt;0,"Other",IF(ISNUMBER(SEARCH("fuel",$B389))+ISNUMBER(SEARCH("diesel",$B389))+ISNUMBER(SEARCH("krudo",$B389))+ISNUMBER(SEARCH("gasolina",$B389))+ISNUMBER(SEARCH("toll",$B389))+ISNUMBER(SEARCH("parking",$B389))+ISNUMBER(SEARCH("repair",$B389))+ISNUMBER(SEARCH("maintenance",$B389))+ISNUMBER(SEARCH("tire",$B389))+ISNUMBER(SEARCH("tyre",$B389))+ISNUMBER(SEARCH("battery",$B389))+ISNUMBER(SEARCH("oil",$B389))+ISNUMBER(SEARCH("filter",$B389))+ISNUMBER(SEARCH("spare",$B389))+ISNUMBER(SEARCH("insurance",$B389))+ISNUMBER(SEARCH("lto",$B389))+ISNUMBER(SEARCH("registration",$B389))+ISNUMBER(SEARCH("emission",$B389))+ISNUMBER(SEARCH("wash",$B389))+ISNUMBER(SEARCH("weigh",$B389))+ISNUMBER(SEARCH("tarp",$B389))&gt;0,"Vehicle",IF(ISNUMBER(SEARCH("rent",$B389))+ISNUMBER(SEARCH("upa",$B389))+ISNUMBER(SEARCH("salary",$B389))+ISNUMBER(SEARCH("sweldo",$B389))+ISNUMBER(SEARCH("wage",$B389))+ISNUMBER(SEARCH("electric",$B389))+ISNUMBER(SEARCH("kuryente",$B389))+ISNUMBER(SEARCH("water",$B389))+ISNUMBER(SEARCH("tubig",$B389))+ISNUMBER(SEARCH("internet",$B389))+ISNUMBER(SEARCH("pldt",$B389))+ISNUMBER(SEARCH("meralco",$B389))+ISNUMBER(SEARCH("supplies",$B389))+ISNUMBER(SEARCH("office",$B389))+ISNUMBER(SEARCH("professional",$B389))+ISNUMBER(SEARCH("accountant",$B389))+ISNUMBER(SEARCH("lawyer",$B389))+ISNUMBER(SEARCH("broker",$B389))+ISNUMBER(SEARCH("bank",$B389))+ISNUMBER(SEARCH("charge",$B389))+ISNUMBER(SEARCH("permit",$B389))+ISNUMBER(SEARCH("bir",$B389))+ISNUMBER(SEARCH("ltfrb",$B389))+ISNUMBER(SEARCH("misc",$B389))+ISNUMBER(SEARCH("fee",$B389))&gt;0,"Overhead","Overhead")))))))</f>
        <v/>
      </c>
      <c r="J389">
        <f>IF($A389="","",DATE(YEAR($A389),MONTH($A389),1))</f>
        <v/>
      </c>
      <c r="K389">
        <f>IF($B389="","",IF(COUNTIF(Setup!$A$99:$A$128,$B389)&gt;0,0,1))</f>
        <v/>
      </c>
      <c r="L389">
        <f>IF($B389="","",IF(ISNUMBER(SEARCH("advance",$B389)),"ADV",IF(OR(ISNUMBER(SEARCH("payout",$B389)),ISNUMBER(SEARCH("pay out",$B389)),ISNUMBER(SEARCH("release",$B389))),"PAY","")))</f>
        <v/>
      </c>
      <c r="M389">
        <f>IF($B389="","",IF(ISNUMBER(SEARCH("bulk",$B389)),0,IF(ISNUMBER(SEARCH("fuel",$B389))+ISNUMBER(SEARCH("diesel",$B389))+ISNUMBER(SEARCH("krudo",$B389))+ISNUMBER(SEARCH("gasolina",$B389))&gt;0,1,0)))</f>
        <v/>
      </c>
      <c r="N389">
        <f>IF($B389="","",IF(ISNUMBER(SEARCH("fuel",$B389))+ISNUMBER(SEARCH("diesel",$B389))+ISNUMBER(SEARCH("krudo",$B389))+ISNUMBER(SEARCH("gasolina",$B389))&gt;0,1,0))</f>
        <v/>
      </c>
    </row>
    <row r="390">
      <c r="A390" s="94" t="n"/>
      <c r="B390" s="96" t="n"/>
      <c r="C390" s="96" t="n"/>
      <c r="D390" s="95" t="n"/>
      <c r="E390" s="96" t="n"/>
      <c r="F390" s="99" t="n"/>
      <c r="G390" s="95" t="n"/>
      <c r="H390" s="95" t="n"/>
      <c r="I390" s="101">
        <f>IF($B390="","",IF(COUNTIF(Setup!$A$99:$A$128,$B390)&gt;0,IF(INDEX(Setup!$B$99:$B$128,MATCH($B390,Setup!$A$99:$A$128,0))="","Overhead",INDEX(Setup!$B$99:$B$128,MATCH($B390,Setup!$A$99:$A$128,0))),IF(ISNUMBER(SEARCH("advance",$B390))+ISNUMBER(SEARCH("payout",$B390))+ISNUMBER(SEARCH("pay out",$B390))+ISNUMBER(SEARCH("reimburs",$B390))&gt;0,"Transfer",IF(ISNUMBER(SEARCH("loan",$B390))+ISNUMBER(SEARCH("amort",$B390))+ISNUMBER(SEARCH("installment",$B390))+ISNUMBER(SEARCH("instalment",$B390))&gt;0,"Financing",IF(ISNUMBER(SEARCH("draw",$B390))+ISNUMBER(SEARCH("owner",$B390))+ISNUMBER(SEARCH("asset",$B390))+ISNUMBER(SEARCH("capital",$B390))&gt;0,"Other",IF(ISNUMBER(SEARCH("fuel",$B390))+ISNUMBER(SEARCH("diesel",$B390))+ISNUMBER(SEARCH("krudo",$B390))+ISNUMBER(SEARCH("gasolina",$B390))+ISNUMBER(SEARCH("toll",$B390))+ISNUMBER(SEARCH("parking",$B390))+ISNUMBER(SEARCH("repair",$B390))+ISNUMBER(SEARCH("maintenance",$B390))+ISNUMBER(SEARCH("tire",$B390))+ISNUMBER(SEARCH("tyre",$B390))+ISNUMBER(SEARCH("battery",$B390))+ISNUMBER(SEARCH("oil",$B390))+ISNUMBER(SEARCH("filter",$B390))+ISNUMBER(SEARCH("spare",$B390))+ISNUMBER(SEARCH("insurance",$B390))+ISNUMBER(SEARCH("lto",$B390))+ISNUMBER(SEARCH("registration",$B390))+ISNUMBER(SEARCH("emission",$B390))+ISNUMBER(SEARCH("wash",$B390))+ISNUMBER(SEARCH("weigh",$B390))+ISNUMBER(SEARCH("tarp",$B390))&gt;0,"Vehicle",IF(ISNUMBER(SEARCH("rent",$B390))+ISNUMBER(SEARCH("upa",$B390))+ISNUMBER(SEARCH("salary",$B390))+ISNUMBER(SEARCH("sweldo",$B390))+ISNUMBER(SEARCH("wage",$B390))+ISNUMBER(SEARCH("electric",$B390))+ISNUMBER(SEARCH("kuryente",$B390))+ISNUMBER(SEARCH("water",$B390))+ISNUMBER(SEARCH("tubig",$B390))+ISNUMBER(SEARCH("internet",$B390))+ISNUMBER(SEARCH("pldt",$B390))+ISNUMBER(SEARCH("meralco",$B390))+ISNUMBER(SEARCH("supplies",$B390))+ISNUMBER(SEARCH("office",$B390))+ISNUMBER(SEARCH("professional",$B390))+ISNUMBER(SEARCH("accountant",$B390))+ISNUMBER(SEARCH("lawyer",$B390))+ISNUMBER(SEARCH("broker",$B390))+ISNUMBER(SEARCH("bank",$B390))+ISNUMBER(SEARCH("charge",$B390))+ISNUMBER(SEARCH("permit",$B390))+ISNUMBER(SEARCH("bir",$B390))+ISNUMBER(SEARCH("ltfrb",$B390))+ISNUMBER(SEARCH("misc",$B390))+ISNUMBER(SEARCH("fee",$B390))&gt;0,"Overhead","Overhead")))))))</f>
        <v/>
      </c>
      <c r="J390">
        <f>IF($A390="","",DATE(YEAR($A390),MONTH($A390),1))</f>
        <v/>
      </c>
      <c r="K390">
        <f>IF($B390="","",IF(COUNTIF(Setup!$A$99:$A$128,$B390)&gt;0,0,1))</f>
        <v/>
      </c>
      <c r="L390">
        <f>IF($B390="","",IF(ISNUMBER(SEARCH("advance",$B390)),"ADV",IF(OR(ISNUMBER(SEARCH("payout",$B390)),ISNUMBER(SEARCH("pay out",$B390)),ISNUMBER(SEARCH("release",$B390))),"PAY","")))</f>
        <v/>
      </c>
      <c r="M390">
        <f>IF($B390="","",IF(ISNUMBER(SEARCH("bulk",$B390)),0,IF(ISNUMBER(SEARCH("fuel",$B390))+ISNUMBER(SEARCH("diesel",$B390))+ISNUMBER(SEARCH("krudo",$B390))+ISNUMBER(SEARCH("gasolina",$B390))&gt;0,1,0)))</f>
        <v/>
      </c>
      <c r="N390">
        <f>IF($B390="","",IF(ISNUMBER(SEARCH("fuel",$B390))+ISNUMBER(SEARCH("diesel",$B390))+ISNUMBER(SEARCH("krudo",$B390))+ISNUMBER(SEARCH("gasolina",$B390))&gt;0,1,0))</f>
        <v/>
      </c>
    </row>
    <row r="391">
      <c r="A391" s="86" t="n"/>
      <c r="B391" s="88" t="n"/>
      <c r="C391" s="88" t="n"/>
      <c r="D391" s="87" t="n"/>
      <c r="E391" s="88" t="n"/>
      <c r="F391" s="92" t="n"/>
      <c r="G391" s="87" t="n"/>
      <c r="H391" s="87" t="n"/>
      <c r="I391" s="101">
        <f>IF($B391="","",IF(COUNTIF(Setup!$A$99:$A$128,$B391)&gt;0,IF(INDEX(Setup!$B$99:$B$128,MATCH($B391,Setup!$A$99:$A$128,0))="","Overhead",INDEX(Setup!$B$99:$B$128,MATCH($B391,Setup!$A$99:$A$128,0))),IF(ISNUMBER(SEARCH("advance",$B391))+ISNUMBER(SEARCH("payout",$B391))+ISNUMBER(SEARCH("pay out",$B391))+ISNUMBER(SEARCH("reimburs",$B391))&gt;0,"Transfer",IF(ISNUMBER(SEARCH("loan",$B391))+ISNUMBER(SEARCH("amort",$B391))+ISNUMBER(SEARCH("installment",$B391))+ISNUMBER(SEARCH("instalment",$B391))&gt;0,"Financing",IF(ISNUMBER(SEARCH("draw",$B391))+ISNUMBER(SEARCH("owner",$B391))+ISNUMBER(SEARCH("asset",$B391))+ISNUMBER(SEARCH("capital",$B391))&gt;0,"Other",IF(ISNUMBER(SEARCH("fuel",$B391))+ISNUMBER(SEARCH("diesel",$B391))+ISNUMBER(SEARCH("krudo",$B391))+ISNUMBER(SEARCH("gasolina",$B391))+ISNUMBER(SEARCH("toll",$B391))+ISNUMBER(SEARCH("parking",$B391))+ISNUMBER(SEARCH("repair",$B391))+ISNUMBER(SEARCH("maintenance",$B391))+ISNUMBER(SEARCH("tire",$B391))+ISNUMBER(SEARCH("tyre",$B391))+ISNUMBER(SEARCH("battery",$B391))+ISNUMBER(SEARCH("oil",$B391))+ISNUMBER(SEARCH("filter",$B391))+ISNUMBER(SEARCH("spare",$B391))+ISNUMBER(SEARCH("insurance",$B391))+ISNUMBER(SEARCH("lto",$B391))+ISNUMBER(SEARCH("registration",$B391))+ISNUMBER(SEARCH("emission",$B391))+ISNUMBER(SEARCH("wash",$B391))+ISNUMBER(SEARCH("weigh",$B391))+ISNUMBER(SEARCH("tarp",$B391))&gt;0,"Vehicle",IF(ISNUMBER(SEARCH("rent",$B391))+ISNUMBER(SEARCH("upa",$B391))+ISNUMBER(SEARCH("salary",$B391))+ISNUMBER(SEARCH("sweldo",$B391))+ISNUMBER(SEARCH("wage",$B391))+ISNUMBER(SEARCH("electric",$B391))+ISNUMBER(SEARCH("kuryente",$B391))+ISNUMBER(SEARCH("water",$B391))+ISNUMBER(SEARCH("tubig",$B391))+ISNUMBER(SEARCH("internet",$B391))+ISNUMBER(SEARCH("pldt",$B391))+ISNUMBER(SEARCH("meralco",$B391))+ISNUMBER(SEARCH("supplies",$B391))+ISNUMBER(SEARCH("office",$B391))+ISNUMBER(SEARCH("professional",$B391))+ISNUMBER(SEARCH("accountant",$B391))+ISNUMBER(SEARCH("lawyer",$B391))+ISNUMBER(SEARCH("broker",$B391))+ISNUMBER(SEARCH("bank",$B391))+ISNUMBER(SEARCH("charge",$B391))+ISNUMBER(SEARCH("permit",$B391))+ISNUMBER(SEARCH("bir",$B391))+ISNUMBER(SEARCH("ltfrb",$B391))+ISNUMBER(SEARCH("misc",$B391))+ISNUMBER(SEARCH("fee",$B391))&gt;0,"Overhead","Overhead")))))))</f>
        <v/>
      </c>
      <c r="J391">
        <f>IF($A391="","",DATE(YEAR($A391),MONTH($A391),1))</f>
        <v/>
      </c>
      <c r="K391">
        <f>IF($B391="","",IF(COUNTIF(Setup!$A$99:$A$128,$B391)&gt;0,0,1))</f>
        <v/>
      </c>
      <c r="L391">
        <f>IF($B391="","",IF(ISNUMBER(SEARCH("advance",$B391)),"ADV",IF(OR(ISNUMBER(SEARCH("payout",$B391)),ISNUMBER(SEARCH("pay out",$B391)),ISNUMBER(SEARCH("release",$B391))),"PAY","")))</f>
        <v/>
      </c>
      <c r="M391">
        <f>IF($B391="","",IF(ISNUMBER(SEARCH("bulk",$B391)),0,IF(ISNUMBER(SEARCH("fuel",$B391))+ISNUMBER(SEARCH("diesel",$B391))+ISNUMBER(SEARCH("krudo",$B391))+ISNUMBER(SEARCH("gasolina",$B391))&gt;0,1,0)))</f>
        <v/>
      </c>
      <c r="N391">
        <f>IF($B391="","",IF(ISNUMBER(SEARCH("fuel",$B391))+ISNUMBER(SEARCH("diesel",$B391))+ISNUMBER(SEARCH("krudo",$B391))+ISNUMBER(SEARCH("gasolina",$B391))&gt;0,1,0))</f>
        <v/>
      </c>
    </row>
    <row r="392">
      <c r="A392" s="94" t="n"/>
      <c r="B392" s="96" t="n"/>
      <c r="C392" s="96" t="n"/>
      <c r="D392" s="95" t="n"/>
      <c r="E392" s="96" t="n"/>
      <c r="F392" s="99" t="n"/>
      <c r="G392" s="95" t="n"/>
      <c r="H392" s="95" t="n"/>
      <c r="I392" s="101">
        <f>IF($B392="","",IF(COUNTIF(Setup!$A$99:$A$128,$B392)&gt;0,IF(INDEX(Setup!$B$99:$B$128,MATCH($B392,Setup!$A$99:$A$128,0))="","Overhead",INDEX(Setup!$B$99:$B$128,MATCH($B392,Setup!$A$99:$A$128,0))),IF(ISNUMBER(SEARCH("advance",$B392))+ISNUMBER(SEARCH("payout",$B392))+ISNUMBER(SEARCH("pay out",$B392))+ISNUMBER(SEARCH("reimburs",$B392))&gt;0,"Transfer",IF(ISNUMBER(SEARCH("loan",$B392))+ISNUMBER(SEARCH("amort",$B392))+ISNUMBER(SEARCH("installment",$B392))+ISNUMBER(SEARCH("instalment",$B392))&gt;0,"Financing",IF(ISNUMBER(SEARCH("draw",$B392))+ISNUMBER(SEARCH("owner",$B392))+ISNUMBER(SEARCH("asset",$B392))+ISNUMBER(SEARCH("capital",$B392))&gt;0,"Other",IF(ISNUMBER(SEARCH("fuel",$B392))+ISNUMBER(SEARCH("diesel",$B392))+ISNUMBER(SEARCH("krudo",$B392))+ISNUMBER(SEARCH("gasolina",$B392))+ISNUMBER(SEARCH("toll",$B392))+ISNUMBER(SEARCH("parking",$B392))+ISNUMBER(SEARCH("repair",$B392))+ISNUMBER(SEARCH("maintenance",$B392))+ISNUMBER(SEARCH("tire",$B392))+ISNUMBER(SEARCH("tyre",$B392))+ISNUMBER(SEARCH("battery",$B392))+ISNUMBER(SEARCH("oil",$B392))+ISNUMBER(SEARCH("filter",$B392))+ISNUMBER(SEARCH("spare",$B392))+ISNUMBER(SEARCH("insurance",$B392))+ISNUMBER(SEARCH("lto",$B392))+ISNUMBER(SEARCH("registration",$B392))+ISNUMBER(SEARCH("emission",$B392))+ISNUMBER(SEARCH("wash",$B392))+ISNUMBER(SEARCH("weigh",$B392))+ISNUMBER(SEARCH("tarp",$B392))&gt;0,"Vehicle",IF(ISNUMBER(SEARCH("rent",$B392))+ISNUMBER(SEARCH("upa",$B392))+ISNUMBER(SEARCH("salary",$B392))+ISNUMBER(SEARCH("sweldo",$B392))+ISNUMBER(SEARCH("wage",$B392))+ISNUMBER(SEARCH("electric",$B392))+ISNUMBER(SEARCH("kuryente",$B392))+ISNUMBER(SEARCH("water",$B392))+ISNUMBER(SEARCH("tubig",$B392))+ISNUMBER(SEARCH("internet",$B392))+ISNUMBER(SEARCH("pldt",$B392))+ISNUMBER(SEARCH("meralco",$B392))+ISNUMBER(SEARCH("supplies",$B392))+ISNUMBER(SEARCH("office",$B392))+ISNUMBER(SEARCH("professional",$B392))+ISNUMBER(SEARCH("accountant",$B392))+ISNUMBER(SEARCH("lawyer",$B392))+ISNUMBER(SEARCH("broker",$B392))+ISNUMBER(SEARCH("bank",$B392))+ISNUMBER(SEARCH("charge",$B392))+ISNUMBER(SEARCH("permit",$B392))+ISNUMBER(SEARCH("bir",$B392))+ISNUMBER(SEARCH("ltfrb",$B392))+ISNUMBER(SEARCH("misc",$B392))+ISNUMBER(SEARCH("fee",$B392))&gt;0,"Overhead","Overhead")))))))</f>
        <v/>
      </c>
      <c r="J392">
        <f>IF($A392="","",DATE(YEAR($A392),MONTH($A392),1))</f>
        <v/>
      </c>
      <c r="K392">
        <f>IF($B392="","",IF(COUNTIF(Setup!$A$99:$A$128,$B392)&gt;0,0,1))</f>
        <v/>
      </c>
      <c r="L392">
        <f>IF($B392="","",IF(ISNUMBER(SEARCH("advance",$B392)),"ADV",IF(OR(ISNUMBER(SEARCH("payout",$B392)),ISNUMBER(SEARCH("pay out",$B392)),ISNUMBER(SEARCH("release",$B392))),"PAY","")))</f>
        <v/>
      </c>
      <c r="M392">
        <f>IF($B392="","",IF(ISNUMBER(SEARCH("bulk",$B392)),0,IF(ISNUMBER(SEARCH("fuel",$B392))+ISNUMBER(SEARCH("diesel",$B392))+ISNUMBER(SEARCH("krudo",$B392))+ISNUMBER(SEARCH("gasolina",$B392))&gt;0,1,0)))</f>
        <v/>
      </c>
      <c r="N392">
        <f>IF($B392="","",IF(ISNUMBER(SEARCH("fuel",$B392))+ISNUMBER(SEARCH("diesel",$B392))+ISNUMBER(SEARCH("krudo",$B392))+ISNUMBER(SEARCH("gasolina",$B392))&gt;0,1,0))</f>
        <v/>
      </c>
    </row>
    <row r="393">
      <c r="A393" s="86" t="n"/>
      <c r="B393" s="88" t="n"/>
      <c r="C393" s="88" t="n"/>
      <c r="D393" s="87" t="n"/>
      <c r="E393" s="88" t="n"/>
      <c r="F393" s="92" t="n"/>
      <c r="G393" s="87" t="n"/>
      <c r="H393" s="87" t="n"/>
      <c r="I393" s="101">
        <f>IF($B393="","",IF(COUNTIF(Setup!$A$99:$A$128,$B393)&gt;0,IF(INDEX(Setup!$B$99:$B$128,MATCH($B393,Setup!$A$99:$A$128,0))="","Overhead",INDEX(Setup!$B$99:$B$128,MATCH($B393,Setup!$A$99:$A$128,0))),IF(ISNUMBER(SEARCH("advance",$B393))+ISNUMBER(SEARCH("payout",$B393))+ISNUMBER(SEARCH("pay out",$B393))+ISNUMBER(SEARCH("reimburs",$B393))&gt;0,"Transfer",IF(ISNUMBER(SEARCH("loan",$B393))+ISNUMBER(SEARCH("amort",$B393))+ISNUMBER(SEARCH("installment",$B393))+ISNUMBER(SEARCH("instalment",$B393))&gt;0,"Financing",IF(ISNUMBER(SEARCH("draw",$B393))+ISNUMBER(SEARCH("owner",$B393))+ISNUMBER(SEARCH("asset",$B393))+ISNUMBER(SEARCH("capital",$B393))&gt;0,"Other",IF(ISNUMBER(SEARCH("fuel",$B393))+ISNUMBER(SEARCH("diesel",$B393))+ISNUMBER(SEARCH("krudo",$B393))+ISNUMBER(SEARCH("gasolina",$B393))+ISNUMBER(SEARCH("toll",$B393))+ISNUMBER(SEARCH("parking",$B393))+ISNUMBER(SEARCH("repair",$B393))+ISNUMBER(SEARCH("maintenance",$B393))+ISNUMBER(SEARCH("tire",$B393))+ISNUMBER(SEARCH("tyre",$B393))+ISNUMBER(SEARCH("battery",$B393))+ISNUMBER(SEARCH("oil",$B393))+ISNUMBER(SEARCH("filter",$B393))+ISNUMBER(SEARCH("spare",$B393))+ISNUMBER(SEARCH("insurance",$B393))+ISNUMBER(SEARCH("lto",$B393))+ISNUMBER(SEARCH("registration",$B393))+ISNUMBER(SEARCH("emission",$B393))+ISNUMBER(SEARCH("wash",$B393))+ISNUMBER(SEARCH("weigh",$B393))+ISNUMBER(SEARCH("tarp",$B393))&gt;0,"Vehicle",IF(ISNUMBER(SEARCH("rent",$B393))+ISNUMBER(SEARCH("upa",$B393))+ISNUMBER(SEARCH("salary",$B393))+ISNUMBER(SEARCH("sweldo",$B393))+ISNUMBER(SEARCH("wage",$B393))+ISNUMBER(SEARCH("electric",$B393))+ISNUMBER(SEARCH("kuryente",$B393))+ISNUMBER(SEARCH("water",$B393))+ISNUMBER(SEARCH("tubig",$B393))+ISNUMBER(SEARCH("internet",$B393))+ISNUMBER(SEARCH("pldt",$B393))+ISNUMBER(SEARCH("meralco",$B393))+ISNUMBER(SEARCH("supplies",$B393))+ISNUMBER(SEARCH("office",$B393))+ISNUMBER(SEARCH("professional",$B393))+ISNUMBER(SEARCH("accountant",$B393))+ISNUMBER(SEARCH("lawyer",$B393))+ISNUMBER(SEARCH("broker",$B393))+ISNUMBER(SEARCH("bank",$B393))+ISNUMBER(SEARCH("charge",$B393))+ISNUMBER(SEARCH("permit",$B393))+ISNUMBER(SEARCH("bir",$B393))+ISNUMBER(SEARCH("ltfrb",$B393))+ISNUMBER(SEARCH("misc",$B393))+ISNUMBER(SEARCH("fee",$B393))&gt;0,"Overhead","Overhead")))))))</f>
        <v/>
      </c>
      <c r="J393">
        <f>IF($A393="","",DATE(YEAR($A393),MONTH($A393),1))</f>
        <v/>
      </c>
      <c r="K393">
        <f>IF($B393="","",IF(COUNTIF(Setup!$A$99:$A$128,$B393)&gt;0,0,1))</f>
        <v/>
      </c>
      <c r="L393">
        <f>IF($B393="","",IF(ISNUMBER(SEARCH("advance",$B393)),"ADV",IF(OR(ISNUMBER(SEARCH("payout",$B393)),ISNUMBER(SEARCH("pay out",$B393)),ISNUMBER(SEARCH("release",$B393))),"PAY","")))</f>
        <v/>
      </c>
      <c r="M393">
        <f>IF($B393="","",IF(ISNUMBER(SEARCH("bulk",$B393)),0,IF(ISNUMBER(SEARCH("fuel",$B393))+ISNUMBER(SEARCH("diesel",$B393))+ISNUMBER(SEARCH("krudo",$B393))+ISNUMBER(SEARCH("gasolina",$B393))&gt;0,1,0)))</f>
        <v/>
      </c>
      <c r="N393">
        <f>IF($B393="","",IF(ISNUMBER(SEARCH("fuel",$B393))+ISNUMBER(SEARCH("diesel",$B393))+ISNUMBER(SEARCH("krudo",$B393))+ISNUMBER(SEARCH("gasolina",$B393))&gt;0,1,0))</f>
        <v/>
      </c>
    </row>
    <row r="394">
      <c r="A394" s="94" t="n"/>
      <c r="B394" s="96" t="n"/>
      <c r="C394" s="96" t="n"/>
      <c r="D394" s="95" t="n"/>
      <c r="E394" s="96" t="n"/>
      <c r="F394" s="99" t="n"/>
      <c r="G394" s="95" t="n"/>
      <c r="H394" s="95" t="n"/>
      <c r="I394" s="101">
        <f>IF($B394="","",IF(COUNTIF(Setup!$A$99:$A$128,$B394)&gt;0,IF(INDEX(Setup!$B$99:$B$128,MATCH($B394,Setup!$A$99:$A$128,0))="","Overhead",INDEX(Setup!$B$99:$B$128,MATCH($B394,Setup!$A$99:$A$128,0))),IF(ISNUMBER(SEARCH("advance",$B394))+ISNUMBER(SEARCH("payout",$B394))+ISNUMBER(SEARCH("pay out",$B394))+ISNUMBER(SEARCH("reimburs",$B394))&gt;0,"Transfer",IF(ISNUMBER(SEARCH("loan",$B394))+ISNUMBER(SEARCH("amort",$B394))+ISNUMBER(SEARCH("installment",$B394))+ISNUMBER(SEARCH("instalment",$B394))&gt;0,"Financing",IF(ISNUMBER(SEARCH("draw",$B394))+ISNUMBER(SEARCH("owner",$B394))+ISNUMBER(SEARCH("asset",$B394))+ISNUMBER(SEARCH("capital",$B394))&gt;0,"Other",IF(ISNUMBER(SEARCH("fuel",$B394))+ISNUMBER(SEARCH("diesel",$B394))+ISNUMBER(SEARCH("krudo",$B394))+ISNUMBER(SEARCH("gasolina",$B394))+ISNUMBER(SEARCH("toll",$B394))+ISNUMBER(SEARCH("parking",$B394))+ISNUMBER(SEARCH("repair",$B394))+ISNUMBER(SEARCH("maintenance",$B394))+ISNUMBER(SEARCH("tire",$B394))+ISNUMBER(SEARCH("tyre",$B394))+ISNUMBER(SEARCH("battery",$B394))+ISNUMBER(SEARCH("oil",$B394))+ISNUMBER(SEARCH("filter",$B394))+ISNUMBER(SEARCH("spare",$B394))+ISNUMBER(SEARCH("insurance",$B394))+ISNUMBER(SEARCH("lto",$B394))+ISNUMBER(SEARCH("registration",$B394))+ISNUMBER(SEARCH("emission",$B394))+ISNUMBER(SEARCH("wash",$B394))+ISNUMBER(SEARCH("weigh",$B394))+ISNUMBER(SEARCH("tarp",$B394))&gt;0,"Vehicle",IF(ISNUMBER(SEARCH("rent",$B394))+ISNUMBER(SEARCH("upa",$B394))+ISNUMBER(SEARCH("salary",$B394))+ISNUMBER(SEARCH("sweldo",$B394))+ISNUMBER(SEARCH("wage",$B394))+ISNUMBER(SEARCH("electric",$B394))+ISNUMBER(SEARCH("kuryente",$B394))+ISNUMBER(SEARCH("water",$B394))+ISNUMBER(SEARCH("tubig",$B394))+ISNUMBER(SEARCH("internet",$B394))+ISNUMBER(SEARCH("pldt",$B394))+ISNUMBER(SEARCH("meralco",$B394))+ISNUMBER(SEARCH("supplies",$B394))+ISNUMBER(SEARCH("office",$B394))+ISNUMBER(SEARCH("professional",$B394))+ISNUMBER(SEARCH("accountant",$B394))+ISNUMBER(SEARCH("lawyer",$B394))+ISNUMBER(SEARCH("broker",$B394))+ISNUMBER(SEARCH("bank",$B394))+ISNUMBER(SEARCH("charge",$B394))+ISNUMBER(SEARCH("permit",$B394))+ISNUMBER(SEARCH("bir",$B394))+ISNUMBER(SEARCH("ltfrb",$B394))+ISNUMBER(SEARCH("misc",$B394))+ISNUMBER(SEARCH("fee",$B394))&gt;0,"Overhead","Overhead")))))))</f>
        <v/>
      </c>
      <c r="J394">
        <f>IF($A394="","",DATE(YEAR($A394),MONTH($A394),1))</f>
        <v/>
      </c>
      <c r="K394">
        <f>IF($B394="","",IF(COUNTIF(Setup!$A$99:$A$128,$B394)&gt;0,0,1))</f>
        <v/>
      </c>
      <c r="L394">
        <f>IF($B394="","",IF(ISNUMBER(SEARCH("advance",$B394)),"ADV",IF(OR(ISNUMBER(SEARCH("payout",$B394)),ISNUMBER(SEARCH("pay out",$B394)),ISNUMBER(SEARCH("release",$B394))),"PAY","")))</f>
        <v/>
      </c>
      <c r="M394">
        <f>IF($B394="","",IF(ISNUMBER(SEARCH("bulk",$B394)),0,IF(ISNUMBER(SEARCH("fuel",$B394))+ISNUMBER(SEARCH("diesel",$B394))+ISNUMBER(SEARCH("krudo",$B394))+ISNUMBER(SEARCH("gasolina",$B394))&gt;0,1,0)))</f>
        <v/>
      </c>
      <c r="N394">
        <f>IF($B394="","",IF(ISNUMBER(SEARCH("fuel",$B394))+ISNUMBER(SEARCH("diesel",$B394))+ISNUMBER(SEARCH("krudo",$B394))+ISNUMBER(SEARCH("gasolina",$B394))&gt;0,1,0))</f>
        <v/>
      </c>
    </row>
    <row r="395">
      <c r="A395" s="86" t="n"/>
      <c r="B395" s="88" t="n"/>
      <c r="C395" s="88" t="n"/>
      <c r="D395" s="87" t="n"/>
      <c r="E395" s="88" t="n"/>
      <c r="F395" s="92" t="n"/>
      <c r="G395" s="87" t="n"/>
      <c r="H395" s="87" t="n"/>
      <c r="I395" s="101">
        <f>IF($B395="","",IF(COUNTIF(Setup!$A$99:$A$128,$B395)&gt;0,IF(INDEX(Setup!$B$99:$B$128,MATCH($B395,Setup!$A$99:$A$128,0))="","Overhead",INDEX(Setup!$B$99:$B$128,MATCH($B395,Setup!$A$99:$A$128,0))),IF(ISNUMBER(SEARCH("advance",$B395))+ISNUMBER(SEARCH("payout",$B395))+ISNUMBER(SEARCH("pay out",$B395))+ISNUMBER(SEARCH("reimburs",$B395))&gt;0,"Transfer",IF(ISNUMBER(SEARCH("loan",$B395))+ISNUMBER(SEARCH("amort",$B395))+ISNUMBER(SEARCH("installment",$B395))+ISNUMBER(SEARCH("instalment",$B395))&gt;0,"Financing",IF(ISNUMBER(SEARCH("draw",$B395))+ISNUMBER(SEARCH("owner",$B395))+ISNUMBER(SEARCH("asset",$B395))+ISNUMBER(SEARCH("capital",$B395))&gt;0,"Other",IF(ISNUMBER(SEARCH("fuel",$B395))+ISNUMBER(SEARCH("diesel",$B395))+ISNUMBER(SEARCH("krudo",$B395))+ISNUMBER(SEARCH("gasolina",$B395))+ISNUMBER(SEARCH("toll",$B395))+ISNUMBER(SEARCH("parking",$B395))+ISNUMBER(SEARCH("repair",$B395))+ISNUMBER(SEARCH("maintenance",$B395))+ISNUMBER(SEARCH("tire",$B395))+ISNUMBER(SEARCH("tyre",$B395))+ISNUMBER(SEARCH("battery",$B395))+ISNUMBER(SEARCH("oil",$B395))+ISNUMBER(SEARCH("filter",$B395))+ISNUMBER(SEARCH("spare",$B395))+ISNUMBER(SEARCH("insurance",$B395))+ISNUMBER(SEARCH("lto",$B395))+ISNUMBER(SEARCH("registration",$B395))+ISNUMBER(SEARCH("emission",$B395))+ISNUMBER(SEARCH("wash",$B395))+ISNUMBER(SEARCH("weigh",$B395))+ISNUMBER(SEARCH("tarp",$B395))&gt;0,"Vehicle",IF(ISNUMBER(SEARCH("rent",$B395))+ISNUMBER(SEARCH("upa",$B395))+ISNUMBER(SEARCH("salary",$B395))+ISNUMBER(SEARCH("sweldo",$B395))+ISNUMBER(SEARCH("wage",$B395))+ISNUMBER(SEARCH("electric",$B395))+ISNUMBER(SEARCH("kuryente",$B395))+ISNUMBER(SEARCH("water",$B395))+ISNUMBER(SEARCH("tubig",$B395))+ISNUMBER(SEARCH("internet",$B395))+ISNUMBER(SEARCH("pldt",$B395))+ISNUMBER(SEARCH("meralco",$B395))+ISNUMBER(SEARCH("supplies",$B395))+ISNUMBER(SEARCH("office",$B395))+ISNUMBER(SEARCH("professional",$B395))+ISNUMBER(SEARCH("accountant",$B395))+ISNUMBER(SEARCH("lawyer",$B395))+ISNUMBER(SEARCH("broker",$B395))+ISNUMBER(SEARCH("bank",$B395))+ISNUMBER(SEARCH("charge",$B395))+ISNUMBER(SEARCH("permit",$B395))+ISNUMBER(SEARCH("bir",$B395))+ISNUMBER(SEARCH("ltfrb",$B395))+ISNUMBER(SEARCH("misc",$B395))+ISNUMBER(SEARCH("fee",$B395))&gt;0,"Overhead","Overhead")))))))</f>
        <v/>
      </c>
      <c r="J395">
        <f>IF($A395="","",DATE(YEAR($A395),MONTH($A395),1))</f>
        <v/>
      </c>
      <c r="K395">
        <f>IF($B395="","",IF(COUNTIF(Setup!$A$99:$A$128,$B395)&gt;0,0,1))</f>
        <v/>
      </c>
      <c r="L395">
        <f>IF($B395="","",IF(ISNUMBER(SEARCH("advance",$B395)),"ADV",IF(OR(ISNUMBER(SEARCH("payout",$B395)),ISNUMBER(SEARCH("pay out",$B395)),ISNUMBER(SEARCH("release",$B395))),"PAY","")))</f>
        <v/>
      </c>
      <c r="M395">
        <f>IF($B395="","",IF(ISNUMBER(SEARCH("bulk",$B395)),0,IF(ISNUMBER(SEARCH("fuel",$B395))+ISNUMBER(SEARCH("diesel",$B395))+ISNUMBER(SEARCH("krudo",$B395))+ISNUMBER(SEARCH("gasolina",$B395))&gt;0,1,0)))</f>
        <v/>
      </c>
      <c r="N395">
        <f>IF($B395="","",IF(ISNUMBER(SEARCH("fuel",$B395))+ISNUMBER(SEARCH("diesel",$B395))+ISNUMBER(SEARCH("krudo",$B395))+ISNUMBER(SEARCH("gasolina",$B395))&gt;0,1,0))</f>
        <v/>
      </c>
    </row>
    <row r="396">
      <c r="A396" s="94" t="n"/>
      <c r="B396" s="96" t="n"/>
      <c r="C396" s="96" t="n"/>
      <c r="D396" s="95" t="n"/>
      <c r="E396" s="96" t="n"/>
      <c r="F396" s="99" t="n"/>
      <c r="G396" s="95" t="n"/>
      <c r="H396" s="95" t="n"/>
      <c r="I396" s="101">
        <f>IF($B396="","",IF(COUNTIF(Setup!$A$99:$A$128,$B396)&gt;0,IF(INDEX(Setup!$B$99:$B$128,MATCH($B396,Setup!$A$99:$A$128,0))="","Overhead",INDEX(Setup!$B$99:$B$128,MATCH($B396,Setup!$A$99:$A$128,0))),IF(ISNUMBER(SEARCH("advance",$B396))+ISNUMBER(SEARCH("payout",$B396))+ISNUMBER(SEARCH("pay out",$B396))+ISNUMBER(SEARCH("reimburs",$B396))&gt;0,"Transfer",IF(ISNUMBER(SEARCH("loan",$B396))+ISNUMBER(SEARCH("amort",$B396))+ISNUMBER(SEARCH("installment",$B396))+ISNUMBER(SEARCH("instalment",$B396))&gt;0,"Financing",IF(ISNUMBER(SEARCH("draw",$B396))+ISNUMBER(SEARCH("owner",$B396))+ISNUMBER(SEARCH("asset",$B396))+ISNUMBER(SEARCH("capital",$B396))&gt;0,"Other",IF(ISNUMBER(SEARCH("fuel",$B396))+ISNUMBER(SEARCH("diesel",$B396))+ISNUMBER(SEARCH("krudo",$B396))+ISNUMBER(SEARCH("gasolina",$B396))+ISNUMBER(SEARCH("toll",$B396))+ISNUMBER(SEARCH("parking",$B396))+ISNUMBER(SEARCH("repair",$B396))+ISNUMBER(SEARCH("maintenance",$B396))+ISNUMBER(SEARCH("tire",$B396))+ISNUMBER(SEARCH("tyre",$B396))+ISNUMBER(SEARCH("battery",$B396))+ISNUMBER(SEARCH("oil",$B396))+ISNUMBER(SEARCH("filter",$B396))+ISNUMBER(SEARCH("spare",$B396))+ISNUMBER(SEARCH("insurance",$B396))+ISNUMBER(SEARCH("lto",$B396))+ISNUMBER(SEARCH("registration",$B396))+ISNUMBER(SEARCH("emission",$B396))+ISNUMBER(SEARCH("wash",$B396))+ISNUMBER(SEARCH("weigh",$B396))+ISNUMBER(SEARCH("tarp",$B396))&gt;0,"Vehicle",IF(ISNUMBER(SEARCH("rent",$B396))+ISNUMBER(SEARCH("upa",$B396))+ISNUMBER(SEARCH("salary",$B396))+ISNUMBER(SEARCH("sweldo",$B396))+ISNUMBER(SEARCH("wage",$B396))+ISNUMBER(SEARCH("electric",$B396))+ISNUMBER(SEARCH("kuryente",$B396))+ISNUMBER(SEARCH("water",$B396))+ISNUMBER(SEARCH("tubig",$B396))+ISNUMBER(SEARCH("internet",$B396))+ISNUMBER(SEARCH("pldt",$B396))+ISNUMBER(SEARCH("meralco",$B396))+ISNUMBER(SEARCH("supplies",$B396))+ISNUMBER(SEARCH("office",$B396))+ISNUMBER(SEARCH("professional",$B396))+ISNUMBER(SEARCH("accountant",$B396))+ISNUMBER(SEARCH("lawyer",$B396))+ISNUMBER(SEARCH("broker",$B396))+ISNUMBER(SEARCH("bank",$B396))+ISNUMBER(SEARCH("charge",$B396))+ISNUMBER(SEARCH("permit",$B396))+ISNUMBER(SEARCH("bir",$B396))+ISNUMBER(SEARCH("ltfrb",$B396))+ISNUMBER(SEARCH("misc",$B396))+ISNUMBER(SEARCH("fee",$B396))&gt;0,"Overhead","Overhead")))))))</f>
        <v/>
      </c>
      <c r="J396">
        <f>IF($A396="","",DATE(YEAR($A396),MONTH($A396),1))</f>
        <v/>
      </c>
      <c r="K396">
        <f>IF($B396="","",IF(COUNTIF(Setup!$A$99:$A$128,$B396)&gt;0,0,1))</f>
        <v/>
      </c>
      <c r="L396">
        <f>IF($B396="","",IF(ISNUMBER(SEARCH("advance",$B396)),"ADV",IF(OR(ISNUMBER(SEARCH("payout",$B396)),ISNUMBER(SEARCH("pay out",$B396)),ISNUMBER(SEARCH("release",$B396))),"PAY","")))</f>
        <v/>
      </c>
      <c r="M396">
        <f>IF($B396="","",IF(ISNUMBER(SEARCH("bulk",$B396)),0,IF(ISNUMBER(SEARCH("fuel",$B396))+ISNUMBER(SEARCH("diesel",$B396))+ISNUMBER(SEARCH("krudo",$B396))+ISNUMBER(SEARCH("gasolina",$B396))&gt;0,1,0)))</f>
        <v/>
      </c>
      <c r="N396">
        <f>IF($B396="","",IF(ISNUMBER(SEARCH("fuel",$B396))+ISNUMBER(SEARCH("diesel",$B396))+ISNUMBER(SEARCH("krudo",$B396))+ISNUMBER(SEARCH("gasolina",$B396))&gt;0,1,0))</f>
        <v/>
      </c>
    </row>
    <row r="397">
      <c r="A397" s="86" t="n"/>
      <c r="B397" s="88" t="n"/>
      <c r="C397" s="88" t="n"/>
      <c r="D397" s="87" t="n"/>
      <c r="E397" s="88" t="n"/>
      <c r="F397" s="92" t="n"/>
      <c r="G397" s="87" t="n"/>
      <c r="H397" s="87" t="n"/>
      <c r="I397" s="101">
        <f>IF($B397="","",IF(COUNTIF(Setup!$A$99:$A$128,$B397)&gt;0,IF(INDEX(Setup!$B$99:$B$128,MATCH($B397,Setup!$A$99:$A$128,0))="","Overhead",INDEX(Setup!$B$99:$B$128,MATCH($B397,Setup!$A$99:$A$128,0))),IF(ISNUMBER(SEARCH("advance",$B397))+ISNUMBER(SEARCH("payout",$B397))+ISNUMBER(SEARCH("pay out",$B397))+ISNUMBER(SEARCH("reimburs",$B397))&gt;0,"Transfer",IF(ISNUMBER(SEARCH("loan",$B397))+ISNUMBER(SEARCH("amort",$B397))+ISNUMBER(SEARCH("installment",$B397))+ISNUMBER(SEARCH("instalment",$B397))&gt;0,"Financing",IF(ISNUMBER(SEARCH("draw",$B397))+ISNUMBER(SEARCH("owner",$B397))+ISNUMBER(SEARCH("asset",$B397))+ISNUMBER(SEARCH("capital",$B397))&gt;0,"Other",IF(ISNUMBER(SEARCH("fuel",$B397))+ISNUMBER(SEARCH("diesel",$B397))+ISNUMBER(SEARCH("krudo",$B397))+ISNUMBER(SEARCH("gasolina",$B397))+ISNUMBER(SEARCH("toll",$B397))+ISNUMBER(SEARCH("parking",$B397))+ISNUMBER(SEARCH("repair",$B397))+ISNUMBER(SEARCH("maintenance",$B397))+ISNUMBER(SEARCH("tire",$B397))+ISNUMBER(SEARCH("tyre",$B397))+ISNUMBER(SEARCH("battery",$B397))+ISNUMBER(SEARCH("oil",$B397))+ISNUMBER(SEARCH("filter",$B397))+ISNUMBER(SEARCH("spare",$B397))+ISNUMBER(SEARCH("insurance",$B397))+ISNUMBER(SEARCH("lto",$B397))+ISNUMBER(SEARCH("registration",$B397))+ISNUMBER(SEARCH("emission",$B397))+ISNUMBER(SEARCH("wash",$B397))+ISNUMBER(SEARCH("weigh",$B397))+ISNUMBER(SEARCH("tarp",$B397))&gt;0,"Vehicle",IF(ISNUMBER(SEARCH("rent",$B397))+ISNUMBER(SEARCH("upa",$B397))+ISNUMBER(SEARCH("salary",$B397))+ISNUMBER(SEARCH("sweldo",$B397))+ISNUMBER(SEARCH("wage",$B397))+ISNUMBER(SEARCH("electric",$B397))+ISNUMBER(SEARCH("kuryente",$B397))+ISNUMBER(SEARCH("water",$B397))+ISNUMBER(SEARCH("tubig",$B397))+ISNUMBER(SEARCH("internet",$B397))+ISNUMBER(SEARCH("pldt",$B397))+ISNUMBER(SEARCH("meralco",$B397))+ISNUMBER(SEARCH("supplies",$B397))+ISNUMBER(SEARCH("office",$B397))+ISNUMBER(SEARCH("professional",$B397))+ISNUMBER(SEARCH("accountant",$B397))+ISNUMBER(SEARCH("lawyer",$B397))+ISNUMBER(SEARCH("broker",$B397))+ISNUMBER(SEARCH("bank",$B397))+ISNUMBER(SEARCH("charge",$B397))+ISNUMBER(SEARCH("permit",$B397))+ISNUMBER(SEARCH("bir",$B397))+ISNUMBER(SEARCH("ltfrb",$B397))+ISNUMBER(SEARCH("misc",$B397))+ISNUMBER(SEARCH("fee",$B397))&gt;0,"Overhead","Overhead")))))))</f>
        <v/>
      </c>
      <c r="J397">
        <f>IF($A397="","",DATE(YEAR($A397),MONTH($A397),1))</f>
        <v/>
      </c>
      <c r="K397">
        <f>IF($B397="","",IF(COUNTIF(Setup!$A$99:$A$128,$B397)&gt;0,0,1))</f>
        <v/>
      </c>
      <c r="L397">
        <f>IF($B397="","",IF(ISNUMBER(SEARCH("advance",$B397)),"ADV",IF(OR(ISNUMBER(SEARCH("payout",$B397)),ISNUMBER(SEARCH("pay out",$B397)),ISNUMBER(SEARCH("release",$B397))),"PAY","")))</f>
        <v/>
      </c>
      <c r="M397">
        <f>IF($B397="","",IF(ISNUMBER(SEARCH("bulk",$B397)),0,IF(ISNUMBER(SEARCH("fuel",$B397))+ISNUMBER(SEARCH("diesel",$B397))+ISNUMBER(SEARCH("krudo",$B397))+ISNUMBER(SEARCH("gasolina",$B397))&gt;0,1,0)))</f>
        <v/>
      </c>
      <c r="N397">
        <f>IF($B397="","",IF(ISNUMBER(SEARCH("fuel",$B397))+ISNUMBER(SEARCH("diesel",$B397))+ISNUMBER(SEARCH("krudo",$B397))+ISNUMBER(SEARCH("gasolina",$B397))&gt;0,1,0))</f>
        <v/>
      </c>
    </row>
    <row r="398">
      <c r="A398" s="94" t="n"/>
      <c r="B398" s="96" t="n"/>
      <c r="C398" s="96" t="n"/>
      <c r="D398" s="95" t="n"/>
      <c r="E398" s="96" t="n"/>
      <c r="F398" s="99" t="n"/>
      <c r="G398" s="95" t="n"/>
      <c r="H398" s="95" t="n"/>
      <c r="I398" s="101">
        <f>IF($B398="","",IF(COUNTIF(Setup!$A$99:$A$128,$B398)&gt;0,IF(INDEX(Setup!$B$99:$B$128,MATCH($B398,Setup!$A$99:$A$128,0))="","Overhead",INDEX(Setup!$B$99:$B$128,MATCH($B398,Setup!$A$99:$A$128,0))),IF(ISNUMBER(SEARCH("advance",$B398))+ISNUMBER(SEARCH("payout",$B398))+ISNUMBER(SEARCH("pay out",$B398))+ISNUMBER(SEARCH("reimburs",$B398))&gt;0,"Transfer",IF(ISNUMBER(SEARCH("loan",$B398))+ISNUMBER(SEARCH("amort",$B398))+ISNUMBER(SEARCH("installment",$B398))+ISNUMBER(SEARCH("instalment",$B398))&gt;0,"Financing",IF(ISNUMBER(SEARCH("draw",$B398))+ISNUMBER(SEARCH("owner",$B398))+ISNUMBER(SEARCH("asset",$B398))+ISNUMBER(SEARCH("capital",$B398))&gt;0,"Other",IF(ISNUMBER(SEARCH("fuel",$B398))+ISNUMBER(SEARCH("diesel",$B398))+ISNUMBER(SEARCH("krudo",$B398))+ISNUMBER(SEARCH("gasolina",$B398))+ISNUMBER(SEARCH("toll",$B398))+ISNUMBER(SEARCH("parking",$B398))+ISNUMBER(SEARCH("repair",$B398))+ISNUMBER(SEARCH("maintenance",$B398))+ISNUMBER(SEARCH("tire",$B398))+ISNUMBER(SEARCH("tyre",$B398))+ISNUMBER(SEARCH("battery",$B398))+ISNUMBER(SEARCH("oil",$B398))+ISNUMBER(SEARCH("filter",$B398))+ISNUMBER(SEARCH("spare",$B398))+ISNUMBER(SEARCH("insurance",$B398))+ISNUMBER(SEARCH("lto",$B398))+ISNUMBER(SEARCH("registration",$B398))+ISNUMBER(SEARCH("emission",$B398))+ISNUMBER(SEARCH("wash",$B398))+ISNUMBER(SEARCH("weigh",$B398))+ISNUMBER(SEARCH("tarp",$B398))&gt;0,"Vehicle",IF(ISNUMBER(SEARCH("rent",$B398))+ISNUMBER(SEARCH("upa",$B398))+ISNUMBER(SEARCH("salary",$B398))+ISNUMBER(SEARCH("sweldo",$B398))+ISNUMBER(SEARCH("wage",$B398))+ISNUMBER(SEARCH("electric",$B398))+ISNUMBER(SEARCH("kuryente",$B398))+ISNUMBER(SEARCH("water",$B398))+ISNUMBER(SEARCH("tubig",$B398))+ISNUMBER(SEARCH("internet",$B398))+ISNUMBER(SEARCH("pldt",$B398))+ISNUMBER(SEARCH("meralco",$B398))+ISNUMBER(SEARCH("supplies",$B398))+ISNUMBER(SEARCH("office",$B398))+ISNUMBER(SEARCH("professional",$B398))+ISNUMBER(SEARCH("accountant",$B398))+ISNUMBER(SEARCH("lawyer",$B398))+ISNUMBER(SEARCH("broker",$B398))+ISNUMBER(SEARCH("bank",$B398))+ISNUMBER(SEARCH("charge",$B398))+ISNUMBER(SEARCH("permit",$B398))+ISNUMBER(SEARCH("bir",$B398))+ISNUMBER(SEARCH("ltfrb",$B398))+ISNUMBER(SEARCH("misc",$B398))+ISNUMBER(SEARCH("fee",$B398))&gt;0,"Overhead","Overhead")))))))</f>
        <v/>
      </c>
      <c r="J398">
        <f>IF($A398="","",DATE(YEAR($A398),MONTH($A398),1))</f>
        <v/>
      </c>
      <c r="K398">
        <f>IF($B398="","",IF(COUNTIF(Setup!$A$99:$A$128,$B398)&gt;0,0,1))</f>
        <v/>
      </c>
      <c r="L398">
        <f>IF($B398="","",IF(ISNUMBER(SEARCH("advance",$B398)),"ADV",IF(OR(ISNUMBER(SEARCH("payout",$B398)),ISNUMBER(SEARCH("pay out",$B398)),ISNUMBER(SEARCH("release",$B398))),"PAY","")))</f>
        <v/>
      </c>
      <c r="M398">
        <f>IF($B398="","",IF(ISNUMBER(SEARCH("bulk",$B398)),0,IF(ISNUMBER(SEARCH("fuel",$B398))+ISNUMBER(SEARCH("diesel",$B398))+ISNUMBER(SEARCH("krudo",$B398))+ISNUMBER(SEARCH("gasolina",$B398))&gt;0,1,0)))</f>
        <v/>
      </c>
      <c r="N398">
        <f>IF($B398="","",IF(ISNUMBER(SEARCH("fuel",$B398))+ISNUMBER(SEARCH("diesel",$B398))+ISNUMBER(SEARCH("krudo",$B398))+ISNUMBER(SEARCH("gasolina",$B398))&gt;0,1,0))</f>
        <v/>
      </c>
    </row>
    <row r="399">
      <c r="A399" s="86" t="n"/>
      <c r="B399" s="88" t="n"/>
      <c r="C399" s="88" t="n"/>
      <c r="D399" s="87" t="n"/>
      <c r="E399" s="88" t="n"/>
      <c r="F399" s="92" t="n"/>
      <c r="G399" s="87" t="n"/>
      <c r="H399" s="87" t="n"/>
      <c r="I399" s="101">
        <f>IF($B399="","",IF(COUNTIF(Setup!$A$99:$A$128,$B399)&gt;0,IF(INDEX(Setup!$B$99:$B$128,MATCH($B399,Setup!$A$99:$A$128,0))="","Overhead",INDEX(Setup!$B$99:$B$128,MATCH($B399,Setup!$A$99:$A$128,0))),IF(ISNUMBER(SEARCH("advance",$B399))+ISNUMBER(SEARCH("payout",$B399))+ISNUMBER(SEARCH("pay out",$B399))+ISNUMBER(SEARCH("reimburs",$B399))&gt;0,"Transfer",IF(ISNUMBER(SEARCH("loan",$B399))+ISNUMBER(SEARCH("amort",$B399))+ISNUMBER(SEARCH("installment",$B399))+ISNUMBER(SEARCH("instalment",$B399))&gt;0,"Financing",IF(ISNUMBER(SEARCH("draw",$B399))+ISNUMBER(SEARCH("owner",$B399))+ISNUMBER(SEARCH("asset",$B399))+ISNUMBER(SEARCH("capital",$B399))&gt;0,"Other",IF(ISNUMBER(SEARCH("fuel",$B399))+ISNUMBER(SEARCH("diesel",$B399))+ISNUMBER(SEARCH("krudo",$B399))+ISNUMBER(SEARCH("gasolina",$B399))+ISNUMBER(SEARCH("toll",$B399))+ISNUMBER(SEARCH("parking",$B399))+ISNUMBER(SEARCH("repair",$B399))+ISNUMBER(SEARCH("maintenance",$B399))+ISNUMBER(SEARCH("tire",$B399))+ISNUMBER(SEARCH("tyre",$B399))+ISNUMBER(SEARCH("battery",$B399))+ISNUMBER(SEARCH("oil",$B399))+ISNUMBER(SEARCH("filter",$B399))+ISNUMBER(SEARCH("spare",$B399))+ISNUMBER(SEARCH("insurance",$B399))+ISNUMBER(SEARCH("lto",$B399))+ISNUMBER(SEARCH("registration",$B399))+ISNUMBER(SEARCH("emission",$B399))+ISNUMBER(SEARCH("wash",$B399))+ISNUMBER(SEARCH("weigh",$B399))+ISNUMBER(SEARCH("tarp",$B399))&gt;0,"Vehicle",IF(ISNUMBER(SEARCH("rent",$B399))+ISNUMBER(SEARCH("upa",$B399))+ISNUMBER(SEARCH("salary",$B399))+ISNUMBER(SEARCH("sweldo",$B399))+ISNUMBER(SEARCH("wage",$B399))+ISNUMBER(SEARCH("electric",$B399))+ISNUMBER(SEARCH("kuryente",$B399))+ISNUMBER(SEARCH("water",$B399))+ISNUMBER(SEARCH("tubig",$B399))+ISNUMBER(SEARCH("internet",$B399))+ISNUMBER(SEARCH("pldt",$B399))+ISNUMBER(SEARCH("meralco",$B399))+ISNUMBER(SEARCH("supplies",$B399))+ISNUMBER(SEARCH("office",$B399))+ISNUMBER(SEARCH("professional",$B399))+ISNUMBER(SEARCH("accountant",$B399))+ISNUMBER(SEARCH("lawyer",$B399))+ISNUMBER(SEARCH("broker",$B399))+ISNUMBER(SEARCH("bank",$B399))+ISNUMBER(SEARCH("charge",$B399))+ISNUMBER(SEARCH("permit",$B399))+ISNUMBER(SEARCH("bir",$B399))+ISNUMBER(SEARCH("ltfrb",$B399))+ISNUMBER(SEARCH("misc",$B399))+ISNUMBER(SEARCH("fee",$B399))&gt;0,"Overhead","Overhead")))))))</f>
        <v/>
      </c>
      <c r="J399">
        <f>IF($A399="","",DATE(YEAR($A399),MONTH($A399),1))</f>
        <v/>
      </c>
      <c r="K399">
        <f>IF($B399="","",IF(COUNTIF(Setup!$A$99:$A$128,$B399)&gt;0,0,1))</f>
        <v/>
      </c>
      <c r="L399">
        <f>IF($B399="","",IF(ISNUMBER(SEARCH("advance",$B399)),"ADV",IF(OR(ISNUMBER(SEARCH("payout",$B399)),ISNUMBER(SEARCH("pay out",$B399)),ISNUMBER(SEARCH("release",$B399))),"PAY","")))</f>
        <v/>
      </c>
      <c r="M399">
        <f>IF($B399="","",IF(ISNUMBER(SEARCH("bulk",$B399)),0,IF(ISNUMBER(SEARCH("fuel",$B399))+ISNUMBER(SEARCH("diesel",$B399))+ISNUMBER(SEARCH("krudo",$B399))+ISNUMBER(SEARCH("gasolina",$B399))&gt;0,1,0)))</f>
        <v/>
      </c>
      <c r="N399">
        <f>IF($B399="","",IF(ISNUMBER(SEARCH("fuel",$B399))+ISNUMBER(SEARCH("diesel",$B399))+ISNUMBER(SEARCH("krudo",$B399))+ISNUMBER(SEARCH("gasolina",$B399))&gt;0,1,0))</f>
        <v/>
      </c>
    </row>
    <row r="400">
      <c r="A400" s="94" t="n"/>
      <c r="B400" s="96" t="n"/>
      <c r="C400" s="96" t="n"/>
      <c r="D400" s="95" t="n"/>
      <c r="E400" s="96" t="n"/>
      <c r="F400" s="99" t="n"/>
      <c r="G400" s="95" t="n"/>
      <c r="H400" s="95" t="n"/>
      <c r="I400" s="101">
        <f>IF($B400="","",IF(COUNTIF(Setup!$A$99:$A$128,$B400)&gt;0,IF(INDEX(Setup!$B$99:$B$128,MATCH($B400,Setup!$A$99:$A$128,0))="","Overhead",INDEX(Setup!$B$99:$B$128,MATCH($B400,Setup!$A$99:$A$128,0))),IF(ISNUMBER(SEARCH("advance",$B400))+ISNUMBER(SEARCH("payout",$B400))+ISNUMBER(SEARCH("pay out",$B400))+ISNUMBER(SEARCH("reimburs",$B400))&gt;0,"Transfer",IF(ISNUMBER(SEARCH("loan",$B400))+ISNUMBER(SEARCH("amort",$B400))+ISNUMBER(SEARCH("installment",$B400))+ISNUMBER(SEARCH("instalment",$B400))&gt;0,"Financing",IF(ISNUMBER(SEARCH("draw",$B400))+ISNUMBER(SEARCH("owner",$B400))+ISNUMBER(SEARCH("asset",$B400))+ISNUMBER(SEARCH("capital",$B400))&gt;0,"Other",IF(ISNUMBER(SEARCH("fuel",$B400))+ISNUMBER(SEARCH("diesel",$B400))+ISNUMBER(SEARCH("krudo",$B400))+ISNUMBER(SEARCH("gasolina",$B400))+ISNUMBER(SEARCH("toll",$B400))+ISNUMBER(SEARCH("parking",$B400))+ISNUMBER(SEARCH("repair",$B400))+ISNUMBER(SEARCH("maintenance",$B400))+ISNUMBER(SEARCH("tire",$B400))+ISNUMBER(SEARCH("tyre",$B400))+ISNUMBER(SEARCH("battery",$B400))+ISNUMBER(SEARCH("oil",$B400))+ISNUMBER(SEARCH("filter",$B400))+ISNUMBER(SEARCH("spare",$B400))+ISNUMBER(SEARCH("insurance",$B400))+ISNUMBER(SEARCH("lto",$B400))+ISNUMBER(SEARCH("registration",$B400))+ISNUMBER(SEARCH("emission",$B400))+ISNUMBER(SEARCH("wash",$B400))+ISNUMBER(SEARCH("weigh",$B400))+ISNUMBER(SEARCH("tarp",$B400))&gt;0,"Vehicle",IF(ISNUMBER(SEARCH("rent",$B400))+ISNUMBER(SEARCH("upa",$B400))+ISNUMBER(SEARCH("salary",$B400))+ISNUMBER(SEARCH("sweldo",$B400))+ISNUMBER(SEARCH("wage",$B400))+ISNUMBER(SEARCH("electric",$B400))+ISNUMBER(SEARCH("kuryente",$B400))+ISNUMBER(SEARCH("water",$B400))+ISNUMBER(SEARCH("tubig",$B400))+ISNUMBER(SEARCH("internet",$B400))+ISNUMBER(SEARCH("pldt",$B400))+ISNUMBER(SEARCH("meralco",$B400))+ISNUMBER(SEARCH("supplies",$B400))+ISNUMBER(SEARCH("office",$B400))+ISNUMBER(SEARCH("professional",$B400))+ISNUMBER(SEARCH("accountant",$B400))+ISNUMBER(SEARCH("lawyer",$B400))+ISNUMBER(SEARCH("broker",$B400))+ISNUMBER(SEARCH("bank",$B400))+ISNUMBER(SEARCH("charge",$B400))+ISNUMBER(SEARCH("permit",$B400))+ISNUMBER(SEARCH("bir",$B400))+ISNUMBER(SEARCH("ltfrb",$B400))+ISNUMBER(SEARCH("misc",$B400))+ISNUMBER(SEARCH("fee",$B400))&gt;0,"Overhead","Overhead")))))))</f>
        <v/>
      </c>
      <c r="J400">
        <f>IF($A400="","",DATE(YEAR($A400),MONTH($A400),1))</f>
        <v/>
      </c>
      <c r="K400">
        <f>IF($B400="","",IF(COUNTIF(Setup!$A$99:$A$128,$B400)&gt;0,0,1))</f>
        <v/>
      </c>
      <c r="L400">
        <f>IF($B400="","",IF(ISNUMBER(SEARCH("advance",$B400)),"ADV",IF(OR(ISNUMBER(SEARCH("payout",$B400)),ISNUMBER(SEARCH("pay out",$B400)),ISNUMBER(SEARCH("release",$B400))),"PAY","")))</f>
        <v/>
      </c>
      <c r="M400">
        <f>IF($B400="","",IF(ISNUMBER(SEARCH("bulk",$B400)),0,IF(ISNUMBER(SEARCH("fuel",$B400))+ISNUMBER(SEARCH("diesel",$B400))+ISNUMBER(SEARCH("krudo",$B400))+ISNUMBER(SEARCH("gasolina",$B400))&gt;0,1,0)))</f>
        <v/>
      </c>
      <c r="N400">
        <f>IF($B400="","",IF(ISNUMBER(SEARCH("fuel",$B400))+ISNUMBER(SEARCH("diesel",$B400))+ISNUMBER(SEARCH("krudo",$B400))+ISNUMBER(SEARCH("gasolina",$B400))&gt;0,1,0))</f>
        <v/>
      </c>
    </row>
    <row r="401">
      <c r="A401" s="86" t="n"/>
      <c r="B401" s="88" t="n"/>
      <c r="C401" s="88" t="n"/>
      <c r="D401" s="87" t="n"/>
      <c r="E401" s="88" t="n"/>
      <c r="F401" s="92" t="n"/>
      <c r="G401" s="87" t="n"/>
      <c r="H401" s="87" t="n"/>
      <c r="I401" s="101">
        <f>IF($B401="","",IF(COUNTIF(Setup!$A$99:$A$128,$B401)&gt;0,IF(INDEX(Setup!$B$99:$B$128,MATCH($B401,Setup!$A$99:$A$128,0))="","Overhead",INDEX(Setup!$B$99:$B$128,MATCH($B401,Setup!$A$99:$A$128,0))),IF(ISNUMBER(SEARCH("advance",$B401))+ISNUMBER(SEARCH("payout",$B401))+ISNUMBER(SEARCH("pay out",$B401))+ISNUMBER(SEARCH("reimburs",$B401))&gt;0,"Transfer",IF(ISNUMBER(SEARCH("loan",$B401))+ISNUMBER(SEARCH("amort",$B401))+ISNUMBER(SEARCH("installment",$B401))+ISNUMBER(SEARCH("instalment",$B401))&gt;0,"Financing",IF(ISNUMBER(SEARCH("draw",$B401))+ISNUMBER(SEARCH("owner",$B401))+ISNUMBER(SEARCH("asset",$B401))+ISNUMBER(SEARCH("capital",$B401))&gt;0,"Other",IF(ISNUMBER(SEARCH("fuel",$B401))+ISNUMBER(SEARCH("diesel",$B401))+ISNUMBER(SEARCH("krudo",$B401))+ISNUMBER(SEARCH("gasolina",$B401))+ISNUMBER(SEARCH("toll",$B401))+ISNUMBER(SEARCH("parking",$B401))+ISNUMBER(SEARCH("repair",$B401))+ISNUMBER(SEARCH("maintenance",$B401))+ISNUMBER(SEARCH("tire",$B401))+ISNUMBER(SEARCH("tyre",$B401))+ISNUMBER(SEARCH("battery",$B401))+ISNUMBER(SEARCH("oil",$B401))+ISNUMBER(SEARCH("filter",$B401))+ISNUMBER(SEARCH("spare",$B401))+ISNUMBER(SEARCH("insurance",$B401))+ISNUMBER(SEARCH("lto",$B401))+ISNUMBER(SEARCH("registration",$B401))+ISNUMBER(SEARCH("emission",$B401))+ISNUMBER(SEARCH("wash",$B401))+ISNUMBER(SEARCH("weigh",$B401))+ISNUMBER(SEARCH("tarp",$B401))&gt;0,"Vehicle",IF(ISNUMBER(SEARCH("rent",$B401))+ISNUMBER(SEARCH("upa",$B401))+ISNUMBER(SEARCH("salary",$B401))+ISNUMBER(SEARCH("sweldo",$B401))+ISNUMBER(SEARCH("wage",$B401))+ISNUMBER(SEARCH("electric",$B401))+ISNUMBER(SEARCH("kuryente",$B401))+ISNUMBER(SEARCH("water",$B401))+ISNUMBER(SEARCH("tubig",$B401))+ISNUMBER(SEARCH("internet",$B401))+ISNUMBER(SEARCH("pldt",$B401))+ISNUMBER(SEARCH("meralco",$B401))+ISNUMBER(SEARCH("supplies",$B401))+ISNUMBER(SEARCH("office",$B401))+ISNUMBER(SEARCH("professional",$B401))+ISNUMBER(SEARCH("accountant",$B401))+ISNUMBER(SEARCH("lawyer",$B401))+ISNUMBER(SEARCH("broker",$B401))+ISNUMBER(SEARCH("bank",$B401))+ISNUMBER(SEARCH("charge",$B401))+ISNUMBER(SEARCH("permit",$B401))+ISNUMBER(SEARCH("bir",$B401))+ISNUMBER(SEARCH("ltfrb",$B401))+ISNUMBER(SEARCH("misc",$B401))+ISNUMBER(SEARCH("fee",$B401))&gt;0,"Overhead","Overhead")))))))</f>
        <v/>
      </c>
      <c r="J401">
        <f>IF($A401="","",DATE(YEAR($A401),MONTH($A401),1))</f>
        <v/>
      </c>
      <c r="K401">
        <f>IF($B401="","",IF(COUNTIF(Setup!$A$99:$A$128,$B401)&gt;0,0,1))</f>
        <v/>
      </c>
      <c r="L401">
        <f>IF($B401="","",IF(ISNUMBER(SEARCH("advance",$B401)),"ADV",IF(OR(ISNUMBER(SEARCH("payout",$B401)),ISNUMBER(SEARCH("pay out",$B401)),ISNUMBER(SEARCH("release",$B401))),"PAY","")))</f>
        <v/>
      </c>
      <c r="M401">
        <f>IF($B401="","",IF(ISNUMBER(SEARCH("bulk",$B401)),0,IF(ISNUMBER(SEARCH("fuel",$B401))+ISNUMBER(SEARCH("diesel",$B401))+ISNUMBER(SEARCH("krudo",$B401))+ISNUMBER(SEARCH("gasolina",$B401))&gt;0,1,0)))</f>
        <v/>
      </c>
      <c r="N401">
        <f>IF($B401="","",IF(ISNUMBER(SEARCH("fuel",$B401))+ISNUMBER(SEARCH("diesel",$B401))+ISNUMBER(SEARCH("krudo",$B401))+ISNUMBER(SEARCH("gasolina",$B401))&gt;0,1,0))</f>
        <v/>
      </c>
    </row>
    <row r="402">
      <c r="A402" s="94" t="n"/>
      <c r="B402" s="96" t="n"/>
      <c r="C402" s="96" t="n"/>
      <c r="D402" s="95" t="n"/>
      <c r="E402" s="96" t="n"/>
      <c r="F402" s="99" t="n"/>
      <c r="G402" s="95" t="n"/>
      <c r="H402" s="95" t="n"/>
      <c r="I402" s="101">
        <f>IF($B402="","",IF(COUNTIF(Setup!$A$99:$A$128,$B402)&gt;0,IF(INDEX(Setup!$B$99:$B$128,MATCH($B402,Setup!$A$99:$A$128,0))="","Overhead",INDEX(Setup!$B$99:$B$128,MATCH($B402,Setup!$A$99:$A$128,0))),IF(ISNUMBER(SEARCH("advance",$B402))+ISNUMBER(SEARCH("payout",$B402))+ISNUMBER(SEARCH("pay out",$B402))+ISNUMBER(SEARCH("reimburs",$B402))&gt;0,"Transfer",IF(ISNUMBER(SEARCH("loan",$B402))+ISNUMBER(SEARCH("amort",$B402))+ISNUMBER(SEARCH("installment",$B402))+ISNUMBER(SEARCH("instalment",$B402))&gt;0,"Financing",IF(ISNUMBER(SEARCH("draw",$B402))+ISNUMBER(SEARCH("owner",$B402))+ISNUMBER(SEARCH("asset",$B402))+ISNUMBER(SEARCH("capital",$B402))&gt;0,"Other",IF(ISNUMBER(SEARCH("fuel",$B402))+ISNUMBER(SEARCH("diesel",$B402))+ISNUMBER(SEARCH("krudo",$B402))+ISNUMBER(SEARCH("gasolina",$B402))+ISNUMBER(SEARCH("toll",$B402))+ISNUMBER(SEARCH("parking",$B402))+ISNUMBER(SEARCH("repair",$B402))+ISNUMBER(SEARCH("maintenance",$B402))+ISNUMBER(SEARCH("tire",$B402))+ISNUMBER(SEARCH("tyre",$B402))+ISNUMBER(SEARCH("battery",$B402))+ISNUMBER(SEARCH("oil",$B402))+ISNUMBER(SEARCH("filter",$B402))+ISNUMBER(SEARCH("spare",$B402))+ISNUMBER(SEARCH("insurance",$B402))+ISNUMBER(SEARCH("lto",$B402))+ISNUMBER(SEARCH("registration",$B402))+ISNUMBER(SEARCH("emission",$B402))+ISNUMBER(SEARCH("wash",$B402))+ISNUMBER(SEARCH("weigh",$B402))+ISNUMBER(SEARCH("tarp",$B402))&gt;0,"Vehicle",IF(ISNUMBER(SEARCH("rent",$B402))+ISNUMBER(SEARCH("upa",$B402))+ISNUMBER(SEARCH("salary",$B402))+ISNUMBER(SEARCH("sweldo",$B402))+ISNUMBER(SEARCH("wage",$B402))+ISNUMBER(SEARCH("electric",$B402))+ISNUMBER(SEARCH("kuryente",$B402))+ISNUMBER(SEARCH("water",$B402))+ISNUMBER(SEARCH("tubig",$B402))+ISNUMBER(SEARCH("internet",$B402))+ISNUMBER(SEARCH("pldt",$B402))+ISNUMBER(SEARCH("meralco",$B402))+ISNUMBER(SEARCH("supplies",$B402))+ISNUMBER(SEARCH("office",$B402))+ISNUMBER(SEARCH("professional",$B402))+ISNUMBER(SEARCH("accountant",$B402))+ISNUMBER(SEARCH("lawyer",$B402))+ISNUMBER(SEARCH("broker",$B402))+ISNUMBER(SEARCH("bank",$B402))+ISNUMBER(SEARCH("charge",$B402))+ISNUMBER(SEARCH("permit",$B402))+ISNUMBER(SEARCH("bir",$B402))+ISNUMBER(SEARCH("ltfrb",$B402))+ISNUMBER(SEARCH("misc",$B402))+ISNUMBER(SEARCH("fee",$B402))&gt;0,"Overhead","Overhead")))))))</f>
        <v/>
      </c>
      <c r="J402">
        <f>IF($A402="","",DATE(YEAR($A402),MONTH($A402),1))</f>
        <v/>
      </c>
      <c r="K402">
        <f>IF($B402="","",IF(COUNTIF(Setup!$A$99:$A$128,$B402)&gt;0,0,1))</f>
        <v/>
      </c>
      <c r="L402">
        <f>IF($B402="","",IF(ISNUMBER(SEARCH("advance",$B402)),"ADV",IF(OR(ISNUMBER(SEARCH("payout",$B402)),ISNUMBER(SEARCH("pay out",$B402)),ISNUMBER(SEARCH("release",$B402))),"PAY","")))</f>
        <v/>
      </c>
      <c r="M402">
        <f>IF($B402="","",IF(ISNUMBER(SEARCH("bulk",$B402)),0,IF(ISNUMBER(SEARCH("fuel",$B402))+ISNUMBER(SEARCH("diesel",$B402))+ISNUMBER(SEARCH("krudo",$B402))+ISNUMBER(SEARCH("gasolina",$B402))&gt;0,1,0)))</f>
        <v/>
      </c>
      <c r="N402">
        <f>IF($B402="","",IF(ISNUMBER(SEARCH("fuel",$B402))+ISNUMBER(SEARCH("diesel",$B402))+ISNUMBER(SEARCH("krudo",$B402))+ISNUMBER(SEARCH("gasolina",$B402))&gt;0,1,0))</f>
        <v/>
      </c>
    </row>
    <row r="403">
      <c r="A403" s="86" t="n"/>
      <c r="B403" s="88" t="n"/>
      <c r="C403" s="88" t="n"/>
      <c r="D403" s="87" t="n"/>
      <c r="E403" s="88" t="n"/>
      <c r="F403" s="92" t="n"/>
      <c r="G403" s="87" t="n"/>
      <c r="H403" s="87" t="n"/>
      <c r="I403" s="101">
        <f>IF($B403="","",IF(COUNTIF(Setup!$A$99:$A$128,$B403)&gt;0,IF(INDEX(Setup!$B$99:$B$128,MATCH($B403,Setup!$A$99:$A$128,0))="","Overhead",INDEX(Setup!$B$99:$B$128,MATCH($B403,Setup!$A$99:$A$128,0))),IF(ISNUMBER(SEARCH("advance",$B403))+ISNUMBER(SEARCH("payout",$B403))+ISNUMBER(SEARCH("pay out",$B403))+ISNUMBER(SEARCH("reimburs",$B403))&gt;0,"Transfer",IF(ISNUMBER(SEARCH("loan",$B403))+ISNUMBER(SEARCH("amort",$B403))+ISNUMBER(SEARCH("installment",$B403))+ISNUMBER(SEARCH("instalment",$B403))&gt;0,"Financing",IF(ISNUMBER(SEARCH("draw",$B403))+ISNUMBER(SEARCH("owner",$B403))+ISNUMBER(SEARCH("asset",$B403))+ISNUMBER(SEARCH("capital",$B403))&gt;0,"Other",IF(ISNUMBER(SEARCH("fuel",$B403))+ISNUMBER(SEARCH("diesel",$B403))+ISNUMBER(SEARCH("krudo",$B403))+ISNUMBER(SEARCH("gasolina",$B403))+ISNUMBER(SEARCH("toll",$B403))+ISNUMBER(SEARCH("parking",$B403))+ISNUMBER(SEARCH("repair",$B403))+ISNUMBER(SEARCH("maintenance",$B403))+ISNUMBER(SEARCH("tire",$B403))+ISNUMBER(SEARCH("tyre",$B403))+ISNUMBER(SEARCH("battery",$B403))+ISNUMBER(SEARCH("oil",$B403))+ISNUMBER(SEARCH("filter",$B403))+ISNUMBER(SEARCH("spare",$B403))+ISNUMBER(SEARCH("insurance",$B403))+ISNUMBER(SEARCH("lto",$B403))+ISNUMBER(SEARCH("registration",$B403))+ISNUMBER(SEARCH("emission",$B403))+ISNUMBER(SEARCH("wash",$B403))+ISNUMBER(SEARCH("weigh",$B403))+ISNUMBER(SEARCH("tarp",$B403))&gt;0,"Vehicle",IF(ISNUMBER(SEARCH("rent",$B403))+ISNUMBER(SEARCH("upa",$B403))+ISNUMBER(SEARCH("salary",$B403))+ISNUMBER(SEARCH("sweldo",$B403))+ISNUMBER(SEARCH("wage",$B403))+ISNUMBER(SEARCH("electric",$B403))+ISNUMBER(SEARCH("kuryente",$B403))+ISNUMBER(SEARCH("water",$B403))+ISNUMBER(SEARCH("tubig",$B403))+ISNUMBER(SEARCH("internet",$B403))+ISNUMBER(SEARCH("pldt",$B403))+ISNUMBER(SEARCH("meralco",$B403))+ISNUMBER(SEARCH("supplies",$B403))+ISNUMBER(SEARCH("office",$B403))+ISNUMBER(SEARCH("professional",$B403))+ISNUMBER(SEARCH("accountant",$B403))+ISNUMBER(SEARCH("lawyer",$B403))+ISNUMBER(SEARCH("broker",$B403))+ISNUMBER(SEARCH("bank",$B403))+ISNUMBER(SEARCH("charge",$B403))+ISNUMBER(SEARCH("permit",$B403))+ISNUMBER(SEARCH("bir",$B403))+ISNUMBER(SEARCH("ltfrb",$B403))+ISNUMBER(SEARCH("misc",$B403))+ISNUMBER(SEARCH("fee",$B403))&gt;0,"Overhead","Overhead")))))))</f>
        <v/>
      </c>
      <c r="J403">
        <f>IF($A403="","",DATE(YEAR($A403),MONTH($A403),1))</f>
        <v/>
      </c>
      <c r="K403">
        <f>IF($B403="","",IF(COUNTIF(Setup!$A$99:$A$128,$B403)&gt;0,0,1))</f>
        <v/>
      </c>
      <c r="L403">
        <f>IF($B403="","",IF(ISNUMBER(SEARCH("advance",$B403)),"ADV",IF(OR(ISNUMBER(SEARCH("payout",$B403)),ISNUMBER(SEARCH("pay out",$B403)),ISNUMBER(SEARCH("release",$B403))),"PAY","")))</f>
        <v/>
      </c>
      <c r="M403">
        <f>IF($B403="","",IF(ISNUMBER(SEARCH("bulk",$B403)),0,IF(ISNUMBER(SEARCH("fuel",$B403))+ISNUMBER(SEARCH("diesel",$B403))+ISNUMBER(SEARCH("krudo",$B403))+ISNUMBER(SEARCH("gasolina",$B403))&gt;0,1,0)))</f>
        <v/>
      </c>
      <c r="N403">
        <f>IF($B403="","",IF(ISNUMBER(SEARCH("fuel",$B403))+ISNUMBER(SEARCH("diesel",$B403))+ISNUMBER(SEARCH("krudo",$B403))+ISNUMBER(SEARCH("gasolina",$B403))&gt;0,1,0))</f>
        <v/>
      </c>
    </row>
    <row r="404">
      <c r="A404" s="94" t="n"/>
      <c r="B404" s="96" t="n"/>
      <c r="C404" s="96" t="n"/>
      <c r="D404" s="95" t="n"/>
      <c r="E404" s="96" t="n"/>
      <c r="F404" s="99" t="n"/>
      <c r="G404" s="95" t="n"/>
      <c r="H404" s="95" t="n"/>
      <c r="I404" s="101">
        <f>IF($B404="","",IF(COUNTIF(Setup!$A$99:$A$128,$B404)&gt;0,IF(INDEX(Setup!$B$99:$B$128,MATCH($B404,Setup!$A$99:$A$128,0))="","Overhead",INDEX(Setup!$B$99:$B$128,MATCH($B404,Setup!$A$99:$A$128,0))),IF(ISNUMBER(SEARCH("advance",$B404))+ISNUMBER(SEARCH("payout",$B404))+ISNUMBER(SEARCH("pay out",$B404))+ISNUMBER(SEARCH("reimburs",$B404))&gt;0,"Transfer",IF(ISNUMBER(SEARCH("loan",$B404))+ISNUMBER(SEARCH("amort",$B404))+ISNUMBER(SEARCH("installment",$B404))+ISNUMBER(SEARCH("instalment",$B404))&gt;0,"Financing",IF(ISNUMBER(SEARCH("draw",$B404))+ISNUMBER(SEARCH("owner",$B404))+ISNUMBER(SEARCH("asset",$B404))+ISNUMBER(SEARCH("capital",$B404))&gt;0,"Other",IF(ISNUMBER(SEARCH("fuel",$B404))+ISNUMBER(SEARCH("diesel",$B404))+ISNUMBER(SEARCH("krudo",$B404))+ISNUMBER(SEARCH("gasolina",$B404))+ISNUMBER(SEARCH("toll",$B404))+ISNUMBER(SEARCH("parking",$B404))+ISNUMBER(SEARCH("repair",$B404))+ISNUMBER(SEARCH("maintenance",$B404))+ISNUMBER(SEARCH("tire",$B404))+ISNUMBER(SEARCH("tyre",$B404))+ISNUMBER(SEARCH("battery",$B404))+ISNUMBER(SEARCH("oil",$B404))+ISNUMBER(SEARCH("filter",$B404))+ISNUMBER(SEARCH("spare",$B404))+ISNUMBER(SEARCH("insurance",$B404))+ISNUMBER(SEARCH("lto",$B404))+ISNUMBER(SEARCH("registration",$B404))+ISNUMBER(SEARCH("emission",$B404))+ISNUMBER(SEARCH("wash",$B404))+ISNUMBER(SEARCH("weigh",$B404))+ISNUMBER(SEARCH("tarp",$B404))&gt;0,"Vehicle",IF(ISNUMBER(SEARCH("rent",$B404))+ISNUMBER(SEARCH("upa",$B404))+ISNUMBER(SEARCH("salary",$B404))+ISNUMBER(SEARCH("sweldo",$B404))+ISNUMBER(SEARCH("wage",$B404))+ISNUMBER(SEARCH("electric",$B404))+ISNUMBER(SEARCH("kuryente",$B404))+ISNUMBER(SEARCH("water",$B404))+ISNUMBER(SEARCH("tubig",$B404))+ISNUMBER(SEARCH("internet",$B404))+ISNUMBER(SEARCH("pldt",$B404))+ISNUMBER(SEARCH("meralco",$B404))+ISNUMBER(SEARCH("supplies",$B404))+ISNUMBER(SEARCH("office",$B404))+ISNUMBER(SEARCH("professional",$B404))+ISNUMBER(SEARCH("accountant",$B404))+ISNUMBER(SEARCH("lawyer",$B404))+ISNUMBER(SEARCH("broker",$B404))+ISNUMBER(SEARCH("bank",$B404))+ISNUMBER(SEARCH("charge",$B404))+ISNUMBER(SEARCH("permit",$B404))+ISNUMBER(SEARCH("bir",$B404))+ISNUMBER(SEARCH("ltfrb",$B404))+ISNUMBER(SEARCH("misc",$B404))+ISNUMBER(SEARCH("fee",$B404))&gt;0,"Overhead","Overhead")))))))</f>
        <v/>
      </c>
      <c r="J404">
        <f>IF($A404="","",DATE(YEAR($A404),MONTH($A404),1))</f>
        <v/>
      </c>
      <c r="K404">
        <f>IF($B404="","",IF(COUNTIF(Setup!$A$99:$A$128,$B404)&gt;0,0,1))</f>
        <v/>
      </c>
      <c r="L404">
        <f>IF($B404="","",IF(ISNUMBER(SEARCH("advance",$B404)),"ADV",IF(OR(ISNUMBER(SEARCH("payout",$B404)),ISNUMBER(SEARCH("pay out",$B404)),ISNUMBER(SEARCH("release",$B404))),"PAY","")))</f>
        <v/>
      </c>
      <c r="M404">
        <f>IF($B404="","",IF(ISNUMBER(SEARCH("bulk",$B404)),0,IF(ISNUMBER(SEARCH("fuel",$B404))+ISNUMBER(SEARCH("diesel",$B404))+ISNUMBER(SEARCH("krudo",$B404))+ISNUMBER(SEARCH("gasolina",$B404))&gt;0,1,0)))</f>
        <v/>
      </c>
      <c r="N404">
        <f>IF($B404="","",IF(ISNUMBER(SEARCH("fuel",$B404))+ISNUMBER(SEARCH("diesel",$B404))+ISNUMBER(SEARCH("krudo",$B404))+ISNUMBER(SEARCH("gasolina",$B404))&gt;0,1,0))</f>
        <v/>
      </c>
    </row>
    <row r="405">
      <c r="A405" s="86" t="n"/>
      <c r="B405" s="88" t="n"/>
      <c r="C405" s="88" t="n"/>
      <c r="D405" s="87" t="n"/>
      <c r="E405" s="88" t="n"/>
      <c r="F405" s="92" t="n"/>
      <c r="G405" s="87" t="n"/>
      <c r="H405" s="87" t="n"/>
      <c r="I405" s="101">
        <f>IF($B405="","",IF(COUNTIF(Setup!$A$99:$A$128,$B405)&gt;0,IF(INDEX(Setup!$B$99:$B$128,MATCH($B405,Setup!$A$99:$A$128,0))="","Overhead",INDEX(Setup!$B$99:$B$128,MATCH($B405,Setup!$A$99:$A$128,0))),IF(ISNUMBER(SEARCH("advance",$B405))+ISNUMBER(SEARCH("payout",$B405))+ISNUMBER(SEARCH("pay out",$B405))+ISNUMBER(SEARCH("reimburs",$B405))&gt;0,"Transfer",IF(ISNUMBER(SEARCH("loan",$B405))+ISNUMBER(SEARCH("amort",$B405))+ISNUMBER(SEARCH("installment",$B405))+ISNUMBER(SEARCH("instalment",$B405))&gt;0,"Financing",IF(ISNUMBER(SEARCH("draw",$B405))+ISNUMBER(SEARCH("owner",$B405))+ISNUMBER(SEARCH("asset",$B405))+ISNUMBER(SEARCH("capital",$B405))&gt;0,"Other",IF(ISNUMBER(SEARCH("fuel",$B405))+ISNUMBER(SEARCH("diesel",$B405))+ISNUMBER(SEARCH("krudo",$B405))+ISNUMBER(SEARCH("gasolina",$B405))+ISNUMBER(SEARCH("toll",$B405))+ISNUMBER(SEARCH("parking",$B405))+ISNUMBER(SEARCH("repair",$B405))+ISNUMBER(SEARCH("maintenance",$B405))+ISNUMBER(SEARCH("tire",$B405))+ISNUMBER(SEARCH("tyre",$B405))+ISNUMBER(SEARCH("battery",$B405))+ISNUMBER(SEARCH("oil",$B405))+ISNUMBER(SEARCH("filter",$B405))+ISNUMBER(SEARCH("spare",$B405))+ISNUMBER(SEARCH("insurance",$B405))+ISNUMBER(SEARCH("lto",$B405))+ISNUMBER(SEARCH("registration",$B405))+ISNUMBER(SEARCH("emission",$B405))+ISNUMBER(SEARCH("wash",$B405))+ISNUMBER(SEARCH("weigh",$B405))+ISNUMBER(SEARCH("tarp",$B405))&gt;0,"Vehicle",IF(ISNUMBER(SEARCH("rent",$B405))+ISNUMBER(SEARCH("upa",$B405))+ISNUMBER(SEARCH("salary",$B405))+ISNUMBER(SEARCH("sweldo",$B405))+ISNUMBER(SEARCH("wage",$B405))+ISNUMBER(SEARCH("electric",$B405))+ISNUMBER(SEARCH("kuryente",$B405))+ISNUMBER(SEARCH("water",$B405))+ISNUMBER(SEARCH("tubig",$B405))+ISNUMBER(SEARCH("internet",$B405))+ISNUMBER(SEARCH("pldt",$B405))+ISNUMBER(SEARCH("meralco",$B405))+ISNUMBER(SEARCH("supplies",$B405))+ISNUMBER(SEARCH("office",$B405))+ISNUMBER(SEARCH("professional",$B405))+ISNUMBER(SEARCH("accountant",$B405))+ISNUMBER(SEARCH("lawyer",$B405))+ISNUMBER(SEARCH("broker",$B405))+ISNUMBER(SEARCH("bank",$B405))+ISNUMBER(SEARCH("charge",$B405))+ISNUMBER(SEARCH("permit",$B405))+ISNUMBER(SEARCH("bir",$B405))+ISNUMBER(SEARCH("ltfrb",$B405))+ISNUMBER(SEARCH("misc",$B405))+ISNUMBER(SEARCH("fee",$B405))&gt;0,"Overhead","Overhead")))))))</f>
        <v/>
      </c>
      <c r="J405">
        <f>IF($A405="","",DATE(YEAR($A405),MONTH($A405),1))</f>
        <v/>
      </c>
      <c r="K405">
        <f>IF($B405="","",IF(COUNTIF(Setup!$A$99:$A$128,$B405)&gt;0,0,1))</f>
        <v/>
      </c>
      <c r="L405">
        <f>IF($B405="","",IF(ISNUMBER(SEARCH("advance",$B405)),"ADV",IF(OR(ISNUMBER(SEARCH("payout",$B405)),ISNUMBER(SEARCH("pay out",$B405)),ISNUMBER(SEARCH("release",$B405))),"PAY","")))</f>
        <v/>
      </c>
      <c r="M405">
        <f>IF($B405="","",IF(ISNUMBER(SEARCH("bulk",$B405)),0,IF(ISNUMBER(SEARCH("fuel",$B405))+ISNUMBER(SEARCH("diesel",$B405))+ISNUMBER(SEARCH("krudo",$B405))+ISNUMBER(SEARCH("gasolina",$B405))&gt;0,1,0)))</f>
        <v/>
      </c>
      <c r="N405">
        <f>IF($B405="","",IF(ISNUMBER(SEARCH("fuel",$B405))+ISNUMBER(SEARCH("diesel",$B405))+ISNUMBER(SEARCH("krudo",$B405))+ISNUMBER(SEARCH("gasolina",$B405))&gt;0,1,0))</f>
        <v/>
      </c>
    </row>
    <row r="406">
      <c r="A406" s="94" t="n"/>
      <c r="B406" s="96" t="n"/>
      <c r="C406" s="96" t="n"/>
      <c r="D406" s="95" t="n"/>
      <c r="E406" s="96" t="n"/>
      <c r="F406" s="99" t="n"/>
      <c r="G406" s="95" t="n"/>
      <c r="H406" s="95" t="n"/>
      <c r="I406" s="101">
        <f>IF($B406="","",IF(COUNTIF(Setup!$A$99:$A$128,$B406)&gt;0,IF(INDEX(Setup!$B$99:$B$128,MATCH($B406,Setup!$A$99:$A$128,0))="","Overhead",INDEX(Setup!$B$99:$B$128,MATCH($B406,Setup!$A$99:$A$128,0))),IF(ISNUMBER(SEARCH("advance",$B406))+ISNUMBER(SEARCH("payout",$B406))+ISNUMBER(SEARCH("pay out",$B406))+ISNUMBER(SEARCH("reimburs",$B406))&gt;0,"Transfer",IF(ISNUMBER(SEARCH("loan",$B406))+ISNUMBER(SEARCH("amort",$B406))+ISNUMBER(SEARCH("installment",$B406))+ISNUMBER(SEARCH("instalment",$B406))&gt;0,"Financing",IF(ISNUMBER(SEARCH("draw",$B406))+ISNUMBER(SEARCH("owner",$B406))+ISNUMBER(SEARCH("asset",$B406))+ISNUMBER(SEARCH("capital",$B406))&gt;0,"Other",IF(ISNUMBER(SEARCH("fuel",$B406))+ISNUMBER(SEARCH("diesel",$B406))+ISNUMBER(SEARCH("krudo",$B406))+ISNUMBER(SEARCH("gasolina",$B406))+ISNUMBER(SEARCH("toll",$B406))+ISNUMBER(SEARCH("parking",$B406))+ISNUMBER(SEARCH("repair",$B406))+ISNUMBER(SEARCH("maintenance",$B406))+ISNUMBER(SEARCH("tire",$B406))+ISNUMBER(SEARCH("tyre",$B406))+ISNUMBER(SEARCH("battery",$B406))+ISNUMBER(SEARCH("oil",$B406))+ISNUMBER(SEARCH("filter",$B406))+ISNUMBER(SEARCH("spare",$B406))+ISNUMBER(SEARCH("insurance",$B406))+ISNUMBER(SEARCH("lto",$B406))+ISNUMBER(SEARCH("registration",$B406))+ISNUMBER(SEARCH("emission",$B406))+ISNUMBER(SEARCH("wash",$B406))+ISNUMBER(SEARCH("weigh",$B406))+ISNUMBER(SEARCH("tarp",$B406))&gt;0,"Vehicle",IF(ISNUMBER(SEARCH("rent",$B406))+ISNUMBER(SEARCH("upa",$B406))+ISNUMBER(SEARCH("salary",$B406))+ISNUMBER(SEARCH("sweldo",$B406))+ISNUMBER(SEARCH("wage",$B406))+ISNUMBER(SEARCH("electric",$B406))+ISNUMBER(SEARCH("kuryente",$B406))+ISNUMBER(SEARCH("water",$B406))+ISNUMBER(SEARCH("tubig",$B406))+ISNUMBER(SEARCH("internet",$B406))+ISNUMBER(SEARCH("pldt",$B406))+ISNUMBER(SEARCH("meralco",$B406))+ISNUMBER(SEARCH("supplies",$B406))+ISNUMBER(SEARCH("office",$B406))+ISNUMBER(SEARCH("professional",$B406))+ISNUMBER(SEARCH("accountant",$B406))+ISNUMBER(SEARCH("lawyer",$B406))+ISNUMBER(SEARCH("broker",$B406))+ISNUMBER(SEARCH("bank",$B406))+ISNUMBER(SEARCH("charge",$B406))+ISNUMBER(SEARCH("permit",$B406))+ISNUMBER(SEARCH("bir",$B406))+ISNUMBER(SEARCH("ltfrb",$B406))+ISNUMBER(SEARCH("misc",$B406))+ISNUMBER(SEARCH("fee",$B406))&gt;0,"Overhead","Overhead")))))))</f>
        <v/>
      </c>
      <c r="J406">
        <f>IF($A406="","",DATE(YEAR($A406),MONTH($A406),1))</f>
        <v/>
      </c>
      <c r="K406">
        <f>IF($B406="","",IF(COUNTIF(Setup!$A$99:$A$128,$B406)&gt;0,0,1))</f>
        <v/>
      </c>
      <c r="L406">
        <f>IF($B406="","",IF(ISNUMBER(SEARCH("advance",$B406)),"ADV",IF(OR(ISNUMBER(SEARCH("payout",$B406)),ISNUMBER(SEARCH("pay out",$B406)),ISNUMBER(SEARCH("release",$B406))),"PAY","")))</f>
        <v/>
      </c>
      <c r="M406">
        <f>IF($B406="","",IF(ISNUMBER(SEARCH("bulk",$B406)),0,IF(ISNUMBER(SEARCH("fuel",$B406))+ISNUMBER(SEARCH("diesel",$B406))+ISNUMBER(SEARCH("krudo",$B406))+ISNUMBER(SEARCH("gasolina",$B406))&gt;0,1,0)))</f>
        <v/>
      </c>
      <c r="N406">
        <f>IF($B406="","",IF(ISNUMBER(SEARCH("fuel",$B406))+ISNUMBER(SEARCH("diesel",$B406))+ISNUMBER(SEARCH("krudo",$B406))+ISNUMBER(SEARCH("gasolina",$B406))&gt;0,1,0))</f>
        <v/>
      </c>
    </row>
    <row r="407">
      <c r="A407" s="86" t="n"/>
      <c r="B407" s="88" t="n"/>
      <c r="C407" s="88" t="n"/>
      <c r="D407" s="87" t="n"/>
      <c r="E407" s="88" t="n"/>
      <c r="F407" s="92" t="n"/>
      <c r="G407" s="87" t="n"/>
      <c r="H407" s="87" t="n"/>
      <c r="I407" s="101">
        <f>IF($B407="","",IF(COUNTIF(Setup!$A$99:$A$128,$B407)&gt;0,IF(INDEX(Setup!$B$99:$B$128,MATCH($B407,Setup!$A$99:$A$128,0))="","Overhead",INDEX(Setup!$B$99:$B$128,MATCH($B407,Setup!$A$99:$A$128,0))),IF(ISNUMBER(SEARCH("advance",$B407))+ISNUMBER(SEARCH("payout",$B407))+ISNUMBER(SEARCH("pay out",$B407))+ISNUMBER(SEARCH("reimburs",$B407))&gt;0,"Transfer",IF(ISNUMBER(SEARCH("loan",$B407))+ISNUMBER(SEARCH("amort",$B407))+ISNUMBER(SEARCH("installment",$B407))+ISNUMBER(SEARCH("instalment",$B407))&gt;0,"Financing",IF(ISNUMBER(SEARCH("draw",$B407))+ISNUMBER(SEARCH("owner",$B407))+ISNUMBER(SEARCH("asset",$B407))+ISNUMBER(SEARCH("capital",$B407))&gt;0,"Other",IF(ISNUMBER(SEARCH("fuel",$B407))+ISNUMBER(SEARCH("diesel",$B407))+ISNUMBER(SEARCH("krudo",$B407))+ISNUMBER(SEARCH("gasolina",$B407))+ISNUMBER(SEARCH("toll",$B407))+ISNUMBER(SEARCH("parking",$B407))+ISNUMBER(SEARCH("repair",$B407))+ISNUMBER(SEARCH("maintenance",$B407))+ISNUMBER(SEARCH("tire",$B407))+ISNUMBER(SEARCH("tyre",$B407))+ISNUMBER(SEARCH("battery",$B407))+ISNUMBER(SEARCH("oil",$B407))+ISNUMBER(SEARCH("filter",$B407))+ISNUMBER(SEARCH("spare",$B407))+ISNUMBER(SEARCH("insurance",$B407))+ISNUMBER(SEARCH("lto",$B407))+ISNUMBER(SEARCH("registration",$B407))+ISNUMBER(SEARCH("emission",$B407))+ISNUMBER(SEARCH("wash",$B407))+ISNUMBER(SEARCH("weigh",$B407))+ISNUMBER(SEARCH("tarp",$B407))&gt;0,"Vehicle",IF(ISNUMBER(SEARCH("rent",$B407))+ISNUMBER(SEARCH("upa",$B407))+ISNUMBER(SEARCH("salary",$B407))+ISNUMBER(SEARCH("sweldo",$B407))+ISNUMBER(SEARCH("wage",$B407))+ISNUMBER(SEARCH("electric",$B407))+ISNUMBER(SEARCH("kuryente",$B407))+ISNUMBER(SEARCH("water",$B407))+ISNUMBER(SEARCH("tubig",$B407))+ISNUMBER(SEARCH("internet",$B407))+ISNUMBER(SEARCH("pldt",$B407))+ISNUMBER(SEARCH("meralco",$B407))+ISNUMBER(SEARCH("supplies",$B407))+ISNUMBER(SEARCH("office",$B407))+ISNUMBER(SEARCH("professional",$B407))+ISNUMBER(SEARCH("accountant",$B407))+ISNUMBER(SEARCH("lawyer",$B407))+ISNUMBER(SEARCH("broker",$B407))+ISNUMBER(SEARCH("bank",$B407))+ISNUMBER(SEARCH("charge",$B407))+ISNUMBER(SEARCH("permit",$B407))+ISNUMBER(SEARCH("bir",$B407))+ISNUMBER(SEARCH("ltfrb",$B407))+ISNUMBER(SEARCH("misc",$B407))+ISNUMBER(SEARCH("fee",$B407))&gt;0,"Overhead","Overhead")))))))</f>
        <v/>
      </c>
      <c r="J407">
        <f>IF($A407="","",DATE(YEAR($A407),MONTH($A407),1))</f>
        <v/>
      </c>
      <c r="K407">
        <f>IF($B407="","",IF(COUNTIF(Setup!$A$99:$A$128,$B407)&gt;0,0,1))</f>
        <v/>
      </c>
      <c r="L407">
        <f>IF($B407="","",IF(ISNUMBER(SEARCH("advance",$B407)),"ADV",IF(OR(ISNUMBER(SEARCH("payout",$B407)),ISNUMBER(SEARCH("pay out",$B407)),ISNUMBER(SEARCH("release",$B407))),"PAY","")))</f>
        <v/>
      </c>
      <c r="M407">
        <f>IF($B407="","",IF(ISNUMBER(SEARCH("bulk",$B407)),0,IF(ISNUMBER(SEARCH("fuel",$B407))+ISNUMBER(SEARCH("diesel",$B407))+ISNUMBER(SEARCH("krudo",$B407))+ISNUMBER(SEARCH("gasolina",$B407))&gt;0,1,0)))</f>
        <v/>
      </c>
      <c r="N407">
        <f>IF($B407="","",IF(ISNUMBER(SEARCH("fuel",$B407))+ISNUMBER(SEARCH("diesel",$B407))+ISNUMBER(SEARCH("krudo",$B407))+ISNUMBER(SEARCH("gasolina",$B407))&gt;0,1,0))</f>
        <v/>
      </c>
    </row>
    <row r="408">
      <c r="A408" s="94" t="n"/>
      <c r="B408" s="96" t="n"/>
      <c r="C408" s="96" t="n"/>
      <c r="D408" s="95" t="n"/>
      <c r="E408" s="96" t="n"/>
      <c r="F408" s="99" t="n"/>
      <c r="G408" s="95" t="n"/>
      <c r="H408" s="95" t="n"/>
      <c r="I408" s="101">
        <f>IF($B408="","",IF(COUNTIF(Setup!$A$99:$A$128,$B408)&gt;0,IF(INDEX(Setup!$B$99:$B$128,MATCH($B408,Setup!$A$99:$A$128,0))="","Overhead",INDEX(Setup!$B$99:$B$128,MATCH($B408,Setup!$A$99:$A$128,0))),IF(ISNUMBER(SEARCH("advance",$B408))+ISNUMBER(SEARCH("payout",$B408))+ISNUMBER(SEARCH("pay out",$B408))+ISNUMBER(SEARCH("reimburs",$B408))&gt;0,"Transfer",IF(ISNUMBER(SEARCH("loan",$B408))+ISNUMBER(SEARCH("amort",$B408))+ISNUMBER(SEARCH("installment",$B408))+ISNUMBER(SEARCH("instalment",$B408))&gt;0,"Financing",IF(ISNUMBER(SEARCH("draw",$B408))+ISNUMBER(SEARCH("owner",$B408))+ISNUMBER(SEARCH("asset",$B408))+ISNUMBER(SEARCH("capital",$B408))&gt;0,"Other",IF(ISNUMBER(SEARCH("fuel",$B408))+ISNUMBER(SEARCH("diesel",$B408))+ISNUMBER(SEARCH("krudo",$B408))+ISNUMBER(SEARCH("gasolina",$B408))+ISNUMBER(SEARCH("toll",$B408))+ISNUMBER(SEARCH("parking",$B408))+ISNUMBER(SEARCH("repair",$B408))+ISNUMBER(SEARCH("maintenance",$B408))+ISNUMBER(SEARCH("tire",$B408))+ISNUMBER(SEARCH("tyre",$B408))+ISNUMBER(SEARCH("battery",$B408))+ISNUMBER(SEARCH("oil",$B408))+ISNUMBER(SEARCH("filter",$B408))+ISNUMBER(SEARCH("spare",$B408))+ISNUMBER(SEARCH("insurance",$B408))+ISNUMBER(SEARCH("lto",$B408))+ISNUMBER(SEARCH("registration",$B408))+ISNUMBER(SEARCH("emission",$B408))+ISNUMBER(SEARCH("wash",$B408))+ISNUMBER(SEARCH("weigh",$B408))+ISNUMBER(SEARCH("tarp",$B408))&gt;0,"Vehicle",IF(ISNUMBER(SEARCH("rent",$B408))+ISNUMBER(SEARCH("upa",$B408))+ISNUMBER(SEARCH("salary",$B408))+ISNUMBER(SEARCH("sweldo",$B408))+ISNUMBER(SEARCH("wage",$B408))+ISNUMBER(SEARCH("electric",$B408))+ISNUMBER(SEARCH("kuryente",$B408))+ISNUMBER(SEARCH("water",$B408))+ISNUMBER(SEARCH("tubig",$B408))+ISNUMBER(SEARCH("internet",$B408))+ISNUMBER(SEARCH("pldt",$B408))+ISNUMBER(SEARCH("meralco",$B408))+ISNUMBER(SEARCH("supplies",$B408))+ISNUMBER(SEARCH("office",$B408))+ISNUMBER(SEARCH("professional",$B408))+ISNUMBER(SEARCH("accountant",$B408))+ISNUMBER(SEARCH("lawyer",$B408))+ISNUMBER(SEARCH("broker",$B408))+ISNUMBER(SEARCH("bank",$B408))+ISNUMBER(SEARCH("charge",$B408))+ISNUMBER(SEARCH("permit",$B408))+ISNUMBER(SEARCH("bir",$B408))+ISNUMBER(SEARCH("ltfrb",$B408))+ISNUMBER(SEARCH("misc",$B408))+ISNUMBER(SEARCH("fee",$B408))&gt;0,"Overhead","Overhead")))))))</f>
        <v/>
      </c>
      <c r="J408">
        <f>IF($A408="","",DATE(YEAR($A408),MONTH($A408),1))</f>
        <v/>
      </c>
      <c r="K408">
        <f>IF($B408="","",IF(COUNTIF(Setup!$A$99:$A$128,$B408)&gt;0,0,1))</f>
        <v/>
      </c>
      <c r="L408">
        <f>IF($B408="","",IF(ISNUMBER(SEARCH("advance",$B408)),"ADV",IF(OR(ISNUMBER(SEARCH("payout",$B408)),ISNUMBER(SEARCH("pay out",$B408)),ISNUMBER(SEARCH("release",$B408))),"PAY","")))</f>
        <v/>
      </c>
      <c r="M408">
        <f>IF($B408="","",IF(ISNUMBER(SEARCH("bulk",$B408)),0,IF(ISNUMBER(SEARCH("fuel",$B408))+ISNUMBER(SEARCH("diesel",$B408))+ISNUMBER(SEARCH("krudo",$B408))+ISNUMBER(SEARCH("gasolina",$B408))&gt;0,1,0)))</f>
        <v/>
      </c>
      <c r="N408">
        <f>IF($B408="","",IF(ISNUMBER(SEARCH("fuel",$B408))+ISNUMBER(SEARCH("diesel",$B408))+ISNUMBER(SEARCH("krudo",$B408))+ISNUMBER(SEARCH("gasolina",$B408))&gt;0,1,0))</f>
        <v/>
      </c>
    </row>
    <row r="409">
      <c r="A409" s="86" t="n"/>
      <c r="B409" s="88" t="n"/>
      <c r="C409" s="88" t="n"/>
      <c r="D409" s="87" t="n"/>
      <c r="E409" s="88" t="n"/>
      <c r="F409" s="92" t="n"/>
      <c r="G409" s="87" t="n"/>
      <c r="H409" s="87" t="n"/>
      <c r="I409" s="101">
        <f>IF($B409="","",IF(COUNTIF(Setup!$A$99:$A$128,$B409)&gt;0,IF(INDEX(Setup!$B$99:$B$128,MATCH($B409,Setup!$A$99:$A$128,0))="","Overhead",INDEX(Setup!$B$99:$B$128,MATCH($B409,Setup!$A$99:$A$128,0))),IF(ISNUMBER(SEARCH("advance",$B409))+ISNUMBER(SEARCH("payout",$B409))+ISNUMBER(SEARCH("pay out",$B409))+ISNUMBER(SEARCH("reimburs",$B409))&gt;0,"Transfer",IF(ISNUMBER(SEARCH("loan",$B409))+ISNUMBER(SEARCH("amort",$B409))+ISNUMBER(SEARCH("installment",$B409))+ISNUMBER(SEARCH("instalment",$B409))&gt;0,"Financing",IF(ISNUMBER(SEARCH("draw",$B409))+ISNUMBER(SEARCH("owner",$B409))+ISNUMBER(SEARCH("asset",$B409))+ISNUMBER(SEARCH("capital",$B409))&gt;0,"Other",IF(ISNUMBER(SEARCH("fuel",$B409))+ISNUMBER(SEARCH("diesel",$B409))+ISNUMBER(SEARCH("krudo",$B409))+ISNUMBER(SEARCH("gasolina",$B409))+ISNUMBER(SEARCH("toll",$B409))+ISNUMBER(SEARCH("parking",$B409))+ISNUMBER(SEARCH("repair",$B409))+ISNUMBER(SEARCH("maintenance",$B409))+ISNUMBER(SEARCH("tire",$B409))+ISNUMBER(SEARCH("tyre",$B409))+ISNUMBER(SEARCH("battery",$B409))+ISNUMBER(SEARCH("oil",$B409))+ISNUMBER(SEARCH("filter",$B409))+ISNUMBER(SEARCH("spare",$B409))+ISNUMBER(SEARCH("insurance",$B409))+ISNUMBER(SEARCH("lto",$B409))+ISNUMBER(SEARCH("registration",$B409))+ISNUMBER(SEARCH("emission",$B409))+ISNUMBER(SEARCH("wash",$B409))+ISNUMBER(SEARCH("weigh",$B409))+ISNUMBER(SEARCH("tarp",$B409))&gt;0,"Vehicle",IF(ISNUMBER(SEARCH("rent",$B409))+ISNUMBER(SEARCH("upa",$B409))+ISNUMBER(SEARCH("salary",$B409))+ISNUMBER(SEARCH("sweldo",$B409))+ISNUMBER(SEARCH("wage",$B409))+ISNUMBER(SEARCH("electric",$B409))+ISNUMBER(SEARCH("kuryente",$B409))+ISNUMBER(SEARCH("water",$B409))+ISNUMBER(SEARCH("tubig",$B409))+ISNUMBER(SEARCH("internet",$B409))+ISNUMBER(SEARCH("pldt",$B409))+ISNUMBER(SEARCH("meralco",$B409))+ISNUMBER(SEARCH("supplies",$B409))+ISNUMBER(SEARCH("office",$B409))+ISNUMBER(SEARCH("professional",$B409))+ISNUMBER(SEARCH("accountant",$B409))+ISNUMBER(SEARCH("lawyer",$B409))+ISNUMBER(SEARCH("broker",$B409))+ISNUMBER(SEARCH("bank",$B409))+ISNUMBER(SEARCH("charge",$B409))+ISNUMBER(SEARCH("permit",$B409))+ISNUMBER(SEARCH("bir",$B409))+ISNUMBER(SEARCH("ltfrb",$B409))+ISNUMBER(SEARCH("misc",$B409))+ISNUMBER(SEARCH("fee",$B409))&gt;0,"Overhead","Overhead")))))))</f>
        <v/>
      </c>
      <c r="J409">
        <f>IF($A409="","",DATE(YEAR($A409),MONTH($A409),1))</f>
        <v/>
      </c>
      <c r="K409">
        <f>IF($B409="","",IF(COUNTIF(Setup!$A$99:$A$128,$B409)&gt;0,0,1))</f>
        <v/>
      </c>
      <c r="L409">
        <f>IF($B409="","",IF(ISNUMBER(SEARCH("advance",$B409)),"ADV",IF(OR(ISNUMBER(SEARCH("payout",$B409)),ISNUMBER(SEARCH("pay out",$B409)),ISNUMBER(SEARCH("release",$B409))),"PAY","")))</f>
        <v/>
      </c>
      <c r="M409">
        <f>IF($B409="","",IF(ISNUMBER(SEARCH("bulk",$B409)),0,IF(ISNUMBER(SEARCH("fuel",$B409))+ISNUMBER(SEARCH("diesel",$B409))+ISNUMBER(SEARCH("krudo",$B409))+ISNUMBER(SEARCH("gasolina",$B409))&gt;0,1,0)))</f>
        <v/>
      </c>
      <c r="N409">
        <f>IF($B409="","",IF(ISNUMBER(SEARCH("fuel",$B409))+ISNUMBER(SEARCH("diesel",$B409))+ISNUMBER(SEARCH("krudo",$B409))+ISNUMBER(SEARCH("gasolina",$B409))&gt;0,1,0))</f>
        <v/>
      </c>
    </row>
    <row r="410">
      <c r="A410" s="94" t="n"/>
      <c r="B410" s="96" t="n"/>
      <c r="C410" s="96" t="n"/>
      <c r="D410" s="95" t="n"/>
      <c r="E410" s="96" t="n"/>
      <c r="F410" s="99" t="n"/>
      <c r="G410" s="95" t="n"/>
      <c r="H410" s="95" t="n"/>
      <c r="I410" s="101">
        <f>IF($B410="","",IF(COUNTIF(Setup!$A$99:$A$128,$B410)&gt;0,IF(INDEX(Setup!$B$99:$B$128,MATCH($B410,Setup!$A$99:$A$128,0))="","Overhead",INDEX(Setup!$B$99:$B$128,MATCH($B410,Setup!$A$99:$A$128,0))),IF(ISNUMBER(SEARCH("advance",$B410))+ISNUMBER(SEARCH("payout",$B410))+ISNUMBER(SEARCH("pay out",$B410))+ISNUMBER(SEARCH("reimburs",$B410))&gt;0,"Transfer",IF(ISNUMBER(SEARCH("loan",$B410))+ISNUMBER(SEARCH("amort",$B410))+ISNUMBER(SEARCH("installment",$B410))+ISNUMBER(SEARCH("instalment",$B410))&gt;0,"Financing",IF(ISNUMBER(SEARCH("draw",$B410))+ISNUMBER(SEARCH("owner",$B410))+ISNUMBER(SEARCH("asset",$B410))+ISNUMBER(SEARCH("capital",$B410))&gt;0,"Other",IF(ISNUMBER(SEARCH("fuel",$B410))+ISNUMBER(SEARCH("diesel",$B410))+ISNUMBER(SEARCH("krudo",$B410))+ISNUMBER(SEARCH("gasolina",$B410))+ISNUMBER(SEARCH("toll",$B410))+ISNUMBER(SEARCH("parking",$B410))+ISNUMBER(SEARCH("repair",$B410))+ISNUMBER(SEARCH("maintenance",$B410))+ISNUMBER(SEARCH("tire",$B410))+ISNUMBER(SEARCH("tyre",$B410))+ISNUMBER(SEARCH("battery",$B410))+ISNUMBER(SEARCH("oil",$B410))+ISNUMBER(SEARCH("filter",$B410))+ISNUMBER(SEARCH("spare",$B410))+ISNUMBER(SEARCH("insurance",$B410))+ISNUMBER(SEARCH("lto",$B410))+ISNUMBER(SEARCH("registration",$B410))+ISNUMBER(SEARCH("emission",$B410))+ISNUMBER(SEARCH("wash",$B410))+ISNUMBER(SEARCH("weigh",$B410))+ISNUMBER(SEARCH("tarp",$B410))&gt;0,"Vehicle",IF(ISNUMBER(SEARCH("rent",$B410))+ISNUMBER(SEARCH("upa",$B410))+ISNUMBER(SEARCH("salary",$B410))+ISNUMBER(SEARCH("sweldo",$B410))+ISNUMBER(SEARCH("wage",$B410))+ISNUMBER(SEARCH("electric",$B410))+ISNUMBER(SEARCH("kuryente",$B410))+ISNUMBER(SEARCH("water",$B410))+ISNUMBER(SEARCH("tubig",$B410))+ISNUMBER(SEARCH("internet",$B410))+ISNUMBER(SEARCH("pldt",$B410))+ISNUMBER(SEARCH("meralco",$B410))+ISNUMBER(SEARCH("supplies",$B410))+ISNUMBER(SEARCH("office",$B410))+ISNUMBER(SEARCH("professional",$B410))+ISNUMBER(SEARCH("accountant",$B410))+ISNUMBER(SEARCH("lawyer",$B410))+ISNUMBER(SEARCH("broker",$B410))+ISNUMBER(SEARCH("bank",$B410))+ISNUMBER(SEARCH("charge",$B410))+ISNUMBER(SEARCH("permit",$B410))+ISNUMBER(SEARCH("bir",$B410))+ISNUMBER(SEARCH("ltfrb",$B410))+ISNUMBER(SEARCH("misc",$B410))+ISNUMBER(SEARCH("fee",$B410))&gt;0,"Overhead","Overhead")))))))</f>
        <v/>
      </c>
      <c r="J410">
        <f>IF($A410="","",DATE(YEAR($A410),MONTH($A410),1))</f>
        <v/>
      </c>
      <c r="K410">
        <f>IF($B410="","",IF(COUNTIF(Setup!$A$99:$A$128,$B410)&gt;0,0,1))</f>
        <v/>
      </c>
      <c r="L410">
        <f>IF($B410="","",IF(ISNUMBER(SEARCH("advance",$B410)),"ADV",IF(OR(ISNUMBER(SEARCH("payout",$B410)),ISNUMBER(SEARCH("pay out",$B410)),ISNUMBER(SEARCH("release",$B410))),"PAY","")))</f>
        <v/>
      </c>
      <c r="M410">
        <f>IF($B410="","",IF(ISNUMBER(SEARCH("bulk",$B410)),0,IF(ISNUMBER(SEARCH("fuel",$B410))+ISNUMBER(SEARCH("diesel",$B410))+ISNUMBER(SEARCH("krudo",$B410))+ISNUMBER(SEARCH("gasolina",$B410))&gt;0,1,0)))</f>
        <v/>
      </c>
      <c r="N410">
        <f>IF($B410="","",IF(ISNUMBER(SEARCH("fuel",$B410))+ISNUMBER(SEARCH("diesel",$B410))+ISNUMBER(SEARCH("krudo",$B410))+ISNUMBER(SEARCH("gasolina",$B410))&gt;0,1,0))</f>
        <v/>
      </c>
    </row>
    <row r="411">
      <c r="A411" s="86" t="n"/>
      <c r="B411" s="88" t="n"/>
      <c r="C411" s="88" t="n"/>
      <c r="D411" s="87" t="n"/>
      <c r="E411" s="88" t="n"/>
      <c r="F411" s="92" t="n"/>
      <c r="G411" s="87" t="n"/>
      <c r="H411" s="87" t="n"/>
      <c r="I411" s="101">
        <f>IF($B411="","",IF(COUNTIF(Setup!$A$99:$A$128,$B411)&gt;0,IF(INDEX(Setup!$B$99:$B$128,MATCH($B411,Setup!$A$99:$A$128,0))="","Overhead",INDEX(Setup!$B$99:$B$128,MATCH($B411,Setup!$A$99:$A$128,0))),IF(ISNUMBER(SEARCH("advance",$B411))+ISNUMBER(SEARCH("payout",$B411))+ISNUMBER(SEARCH("pay out",$B411))+ISNUMBER(SEARCH("reimburs",$B411))&gt;0,"Transfer",IF(ISNUMBER(SEARCH("loan",$B411))+ISNUMBER(SEARCH("amort",$B411))+ISNUMBER(SEARCH("installment",$B411))+ISNUMBER(SEARCH("instalment",$B411))&gt;0,"Financing",IF(ISNUMBER(SEARCH("draw",$B411))+ISNUMBER(SEARCH("owner",$B411))+ISNUMBER(SEARCH("asset",$B411))+ISNUMBER(SEARCH("capital",$B411))&gt;0,"Other",IF(ISNUMBER(SEARCH("fuel",$B411))+ISNUMBER(SEARCH("diesel",$B411))+ISNUMBER(SEARCH("krudo",$B411))+ISNUMBER(SEARCH("gasolina",$B411))+ISNUMBER(SEARCH("toll",$B411))+ISNUMBER(SEARCH("parking",$B411))+ISNUMBER(SEARCH("repair",$B411))+ISNUMBER(SEARCH("maintenance",$B411))+ISNUMBER(SEARCH("tire",$B411))+ISNUMBER(SEARCH("tyre",$B411))+ISNUMBER(SEARCH("battery",$B411))+ISNUMBER(SEARCH("oil",$B411))+ISNUMBER(SEARCH("filter",$B411))+ISNUMBER(SEARCH("spare",$B411))+ISNUMBER(SEARCH("insurance",$B411))+ISNUMBER(SEARCH("lto",$B411))+ISNUMBER(SEARCH("registration",$B411))+ISNUMBER(SEARCH("emission",$B411))+ISNUMBER(SEARCH("wash",$B411))+ISNUMBER(SEARCH("weigh",$B411))+ISNUMBER(SEARCH("tarp",$B411))&gt;0,"Vehicle",IF(ISNUMBER(SEARCH("rent",$B411))+ISNUMBER(SEARCH("upa",$B411))+ISNUMBER(SEARCH("salary",$B411))+ISNUMBER(SEARCH("sweldo",$B411))+ISNUMBER(SEARCH("wage",$B411))+ISNUMBER(SEARCH("electric",$B411))+ISNUMBER(SEARCH("kuryente",$B411))+ISNUMBER(SEARCH("water",$B411))+ISNUMBER(SEARCH("tubig",$B411))+ISNUMBER(SEARCH("internet",$B411))+ISNUMBER(SEARCH("pldt",$B411))+ISNUMBER(SEARCH("meralco",$B411))+ISNUMBER(SEARCH("supplies",$B411))+ISNUMBER(SEARCH("office",$B411))+ISNUMBER(SEARCH("professional",$B411))+ISNUMBER(SEARCH("accountant",$B411))+ISNUMBER(SEARCH("lawyer",$B411))+ISNUMBER(SEARCH("broker",$B411))+ISNUMBER(SEARCH("bank",$B411))+ISNUMBER(SEARCH("charge",$B411))+ISNUMBER(SEARCH("permit",$B411))+ISNUMBER(SEARCH("bir",$B411))+ISNUMBER(SEARCH("ltfrb",$B411))+ISNUMBER(SEARCH("misc",$B411))+ISNUMBER(SEARCH("fee",$B411))&gt;0,"Overhead","Overhead")))))))</f>
        <v/>
      </c>
      <c r="J411">
        <f>IF($A411="","",DATE(YEAR($A411),MONTH($A411),1))</f>
        <v/>
      </c>
      <c r="K411">
        <f>IF($B411="","",IF(COUNTIF(Setup!$A$99:$A$128,$B411)&gt;0,0,1))</f>
        <v/>
      </c>
      <c r="L411">
        <f>IF($B411="","",IF(ISNUMBER(SEARCH("advance",$B411)),"ADV",IF(OR(ISNUMBER(SEARCH("payout",$B411)),ISNUMBER(SEARCH("pay out",$B411)),ISNUMBER(SEARCH("release",$B411))),"PAY","")))</f>
        <v/>
      </c>
      <c r="M411">
        <f>IF($B411="","",IF(ISNUMBER(SEARCH("bulk",$B411)),0,IF(ISNUMBER(SEARCH("fuel",$B411))+ISNUMBER(SEARCH("diesel",$B411))+ISNUMBER(SEARCH("krudo",$B411))+ISNUMBER(SEARCH("gasolina",$B411))&gt;0,1,0)))</f>
        <v/>
      </c>
      <c r="N411">
        <f>IF($B411="","",IF(ISNUMBER(SEARCH("fuel",$B411))+ISNUMBER(SEARCH("diesel",$B411))+ISNUMBER(SEARCH("krudo",$B411))+ISNUMBER(SEARCH("gasolina",$B411))&gt;0,1,0))</f>
        <v/>
      </c>
    </row>
    <row r="412">
      <c r="A412" s="94" t="n"/>
      <c r="B412" s="96" t="n"/>
      <c r="C412" s="96" t="n"/>
      <c r="D412" s="95" t="n"/>
      <c r="E412" s="96" t="n"/>
      <c r="F412" s="99" t="n"/>
      <c r="G412" s="95" t="n"/>
      <c r="H412" s="95" t="n"/>
      <c r="I412" s="101">
        <f>IF($B412="","",IF(COUNTIF(Setup!$A$99:$A$128,$B412)&gt;0,IF(INDEX(Setup!$B$99:$B$128,MATCH($B412,Setup!$A$99:$A$128,0))="","Overhead",INDEX(Setup!$B$99:$B$128,MATCH($B412,Setup!$A$99:$A$128,0))),IF(ISNUMBER(SEARCH("advance",$B412))+ISNUMBER(SEARCH("payout",$B412))+ISNUMBER(SEARCH("pay out",$B412))+ISNUMBER(SEARCH("reimburs",$B412))&gt;0,"Transfer",IF(ISNUMBER(SEARCH("loan",$B412))+ISNUMBER(SEARCH("amort",$B412))+ISNUMBER(SEARCH("installment",$B412))+ISNUMBER(SEARCH("instalment",$B412))&gt;0,"Financing",IF(ISNUMBER(SEARCH("draw",$B412))+ISNUMBER(SEARCH("owner",$B412))+ISNUMBER(SEARCH("asset",$B412))+ISNUMBER(SEARCH("capital",$B412))&gt;0,"Other",IF(ISNUMBER(SEARCH("fuel",$B412))+ISNUMBER(SEARCH("diesel",$B412))+ISNUMBER(SEARCH("krudo",$B412))+ISNUMBER(SEARCH("gasolina",$B412))+ISNUMBER(SEARCH("toll",$B412))+ISNUMBER(SEARCH("parking",$B412))+ISNUMBER(SEARCH("repair",$B412))+ISNUMBER(SEARCH("maintenance",$B412))+ISNUMBER(SEARCH("tire",$B412))+ISNUMBER(SEARCH("tyre",$B412))+ISNUMBER(SEARCH("battery",$B412))+ISNUMBER(SEARCH("oil",$B412))+ISNUMBER(SEARCH("filter",$B412))+ISNUMBER(SEARCH("spare",$B412))+ISNUMBER(SEARCH("insurance",$B412))+ISNUMBER(SEARCH("lto",$B412))+ISNUMBER(SEARCH("registration",$B412))+ISNUMBER(SEARCH("emission",$B412))+ISNUMBER(SEARCH("wash",$B412))+ISNUMBER(SEARCH("weigh",$B412))+ISNUMBER(SEARCH("tarp",$B412))&gt;0,"Vehicle",IF(ISNUMBER(SEARCH("rent",$B412))+ISNUMBER(SEARCH("upa",$B412))+ISNUMBER(SEARCH("salary",$B412))+ISNUMBER(SEARCH("sweldo",$B412))+ISNUMBER(SEARCH("wage",$B412))+ISNUMBER(SEARCH("electric",$B412))+ISNUMBER(SEARCH("kuryente",$B412))+ISNUMBER(SEARCH("water",$B412))+ISNUMBER(SEARCH("tubig",$B412))+ISNUMBER(SEARCH("internet",$B412))+ISNUMBER(SEARCH("pldt",$B412))+ISNUMBER(SEARCH("meralco",$B412))+ISNUMBER(SEARCH("supplies",$B412))+ISNUMBER(SEARCH("office",$B412))+ISNUMBER(SEARCH("professional",$B412))+ISNUMBER(SEARCH("accountant",$B412))+ISNUMBER(SEARCH("lawyer",$B412))+ISNUMBER(SEARCH("broker",$B412))+ISNUMBER(SEARCH("bank",$B412))+ISNUMBER(SEARCH("charge",$B412))+ISNUMBER(SEARCH("permit",$B412))+ISNUMBER(SEARCH("bir",$B412))+ISNUMBER(SEARCH("ltfrb",$B412))+ISNUMBER(SEARCH("misc",$B412))+ISNUMBER(SEARCH("fee",$B412))&gt;0,"Overhead","Overhead")))))))</f>
        <v/>
      </c>
      <c r="J412">
        <f>IF($A412="","",DATE(YEAR($A412),MONTH($A412),1))</f>
        <v/>
      </c>
      <c r="K412">
        <f>IF($B412="","",IF(COUNTIF(Setup!$A$99:$A$128,$B412)&gt;0,0,1))</f>
        <v/>
      </c>
      <c r="L412">
        <f>IF($B412="","",IF(ISNUMBER(SEARCH("advance",$B412)),"ADV",IF(OR(ISNUMBER(SEARCH("payout",$B412)),ISNUMBER(SEARCH("pay out",$B412)),ISNUMBER(SEARCH("release",$B412))),"PAY","")))</f>
        <v/>
      </c>
      <c r="M412">
        <f>IF($B412="","",IF(ISNUMBER(SEARCH("bulk",$B412)),0,IF(ISNUMBER(SEARCH("fuel",$B412))+ISNUMBER(SEARCH("diesel",$B412))+ISNUMBER(SEARCH("krudo",$B412))+ISNUMBER(SEARCH("gasolina",$B412))&gt;0,1,0)))</f>
        <v/>
      </c>
      <c r="N412">
        <f>IF($B412="","",IF(ISNUMBER(SEARCH("fuel",$B412))+ISNUMBER(SEARCH("diesel",$B412))+ISNUMBER(SEARCH("krudo",$B412))+ISNUMBER(SEARCH("gasolina",$B412))&gt;0,1,0))</f>
        <v/>
      </c>
    </row>
    <row r="413">
      <c r="A413" s="86" t="n"/>
      <c r="B413" s="88" t="n"/>
      <c r="C413" s="88" t="n"/>
      <c r="D413" s="87" t="n"/>
      <c r="E413" s="88" t="n"/>
      <c r="F413" s="92" t="n"/>
      <c r="G413" s="87" t="n"/>
      <c r="H413" s="87" t="n"/>
      <c r="I413" s="101">
        <f>IF($B413="","",IF(COUNTIF(Setup!$A$99:$A$128,$B413)&gt;0,IF(INDEX(Setup!$B$99:$B$128,MATCH($B413,Setup!$A$99:$A$128,0))="","Overhead",INDEX(Setup!$B$99:$B$128,MATCH($B413,Setup!$A$99:$A$128,0))),IF(ISNUMBER(SEARCH("advance",$B413))+ISNUMBER(SEARCH("payout",$B413))+ISNUMBER(SEARCH("pay out",$B413))+ISNUMBER(SEARCH("reimburs",$B413))&gt;0,"Transfer",IF(ISNUMBER(SEARCH("loan",$B413))+ISNUMBER(SEARCH("amort",$B413))+ISNUMBER(SEARCH("installment",$B413))+ISNUMBER(SEARCH("instalment",$B413))&gt;0,"Financing",IF(ISNUMBER(SEARCH("draw",$B413))+ISNUMBER(SEARCH("owner",$B413))+ISNUMBER(SEARCH("asset",$B413))+ISNUMBER(SEARCH("capital",$B413))&gt;0,"Other",IF(ISNUMBER(SEARCH("fuel",$B413))+ISNUMBER(SEARCH("diesel",$B413))+ISNUMBER(SEARCH("krudo",$B413))+ISNUMBER(SEARCH("gasolina",$B413))+ISNUMBER(SEARCH("toll",$B413))+ISNUMBER(SEARCH("parking",$B413))+ISNUMBER(SEARCH("repair",$B413))+ISNUMBER(SEARCH("maintenance",$B413))+ISNUMBER(SEARCH("tire",$B413))+ISNUMBER(SEARCH("tyre",$B413))+ISNUMBER(SEARCH("battery",$B413))+ISNUMBER(SEARCH("oil",$B413))+ISNUMBER(SEARCH("filter",$B413))+ISNUMBER(SEARCH("spare",$B413))+ISNUMBER(SEARCH("insurance",$B413))+ISNUMBER(SEARCH("lto",$B413))+ISNUMBER(SEARCH("registration",$B413))+ISNUMBER(SEARCH("emission",$B413))+ISNUMBER(SEARCH("wash",$B413))+ISNUMBER(SEARCH("weigh",$B413))+ISNUMBER(SEARCH("tarp",$B413))&gt;0,"Vehicle",IF(ISNUMBER(SEARCH("rent",$B413))+ISNUMBER(SEARCH("upa",$B413))+ISNUMBER(SEARCH("salary",$B413))+ISNUMBER(SEARCH("sweldo",$B413))+ISNUMBER(SEARCH("wage",$B413))+ISNUMBER(SEARCH("electric",$B413))+ISNUMBER(SEARCH("kuryente",$B413))+ISNUMBER(SEARCH("water",$B413))+ISNUMBER(SEARCH("tubig",$B413))+ISNUMBER(SEARCH("internet",$B413))+ISNUMBER(SEARCH("pldt",$B413))+ISNUMBER(SEARCH("meralco",$B413))+ISNUMBER(SEARCH("supplies",$B413))+ISNUMBER(SEARCH("office",$B413))+ISNUMBER(SEARCH("professional",$B413))+ISNUMBER(SEARCH("accountant",$B413))+ISNUMBER(SEARCH("lawyer",$B413))+ISNUMBER(SEARCH("broker",$B413))+ISNUMBER(SEARCH("bank",$B413))+ISNUMBER(SEARCH("charge",$B413))+ISNUMBER(SEARCH("permit",$B413))+ISNUMBER(SEARCH("bir",$B413))+ISNUMBER(SEARCH("ltfrb",$B413))+ISNUMBER(SEARCH("misc",$B413))+ISNUMBER(SEARCH("fee",$B413))&gt;0,"Overhead","Overhead")))))))</f>
        <v/>
      </c>
      <c r="J413">
        <f>IF($A413="","",DATE(YEAR($A413),MONTH($A413),1))</f>
        <v/>
      </c>
      <c r="K413">
        <f>IF($B413="","",IF(COUNTIF(Setup!$A$99:$A$128,$B413)&gt;0,0,1))</f>
        <v/>
      </c>
      <c r="L413">
        <f>IF($B413="","",IF(ISNUMBER(SEARCH("advance",$B413)),"ADV",IF(OR(ISNUMBER(SEARCH("payout",$B413)),ISNUMBER(SEARCH("pay out",$B413)),ISNUMBER(SEARCH("release",$B413))),"PAY","")))</f>
        <v/>
      </c>
      <c r="M413">
        <f>IF($B413="","",IF(ISNUMBER(SEARCH("bulk",$B413)),0,IF(ISNUMBER(SEARCH("fuel",$B413))+ISNUMBER(SEARCH("diesel",$B413))+ISNUMBER(SEARCH("krudo",$B413))+ISNUMBER(SEARCH("gasolina",$B413))&gt;0,1,0)))</f>
        <v/>
      </c>
      <c r="N413">
        <f>IF($B413="","",IF(ISNUMBER(SEARCH("fuel",$B413))+ISNUMBER(SEARCH("diesel",$B413))+ISNUMBER(SEARCH("krudo",$B413))+ISNUMBER(SEARCH("gasolina",$B413))&gt;0,1,0))</f>
        <v/>
      </c>
    </row>
    <row r="414">
      <c r="A414" s="94" t="n"/>
      <c r="B414" s="96" t="n"/>
      <c r="C414" s="96" t="n"/>
      <c r="D414" s="95" t="n"/>
      <c r="E414" s="96" t="n"/>
      <c r="F414" s="99" t="n"/>
      <c r="G414" s="95" t="n"/>
      <c r="H414" s="95" t="n"/>
      <c r="I414" s="101">
        <f>IF($B414="","",IF(COUNTIF(Setup!$A$99:$A$128,$B414)&gt;0,IF(INDEX(Setup!$B$99:$B$128,MATCH($B414,Setup!$A$99:$A$128,0))="","Overhead",INDEX(Setup!$B$99:$B$128,MATCH($B414,Setup!$A$99:$A$128,0))),IF(ISNUMBER(SEARCH("advance",$B414))+ISNUMBER(SEARCH("payout",$B414))+ISNUMBER(SEARCH("pay out",$B414))+ISNUMBER(SEARCH("reimburs",$B414))&gt;0,"Transfer",IF(ISNUMBER(SEARCH("loan",$B414))+ISNUMBER(SEARCH("amort",$B414))+ISNUMBER(SEARCH("installment",$B414))+ISNUMBER(SEARCH("instalment",$B414))&gt;0,"Financing",IF(ISNUMBER(SEARCH("draw",$B414))+ISNUMBER(SEARCH("owner",$B414))+ISNUMBER(SEARCH("asset",$B414))+ISNUMBER(SEARCH("capital",$B414))&gt;0,"Other",IF(ISNUMBER(SEARCH("fuel",$B414))+ISNUMBER(SEARCH("diesel",$B414))+ISNUMBER(SEARCH("krudo",$B414))+ISNUMBER(SEARCH("gasolina",$B414))+ISNUMBER(SEARCH("toll",$B414))+ISNUMBER(SEARCH("parking",$B414))+ISNUMBER(SEARCH("repair",$B414))+ISNUMBER(SEARCH("maintenance",$B414))+ISNUMBER(SEARCH("tire",$B414))+ISNUMBER(SEARCH("tyre",$B414))+ISNUMBER(SEARCH("battery",$B414))+ISNUMBER(SEARCH("oil",$B414))+ISNUMBER(SEARCH("filter",$B414))+ISNUMBER(SEARCH("spare",$B414))+ISNUMBER(SEARCH("insurance",$B414))+ISNUMBER(SEARCH("lto",$B414))+ISNUMBER(SEARCH("registration",$B414))+ISNUMBER(SEARCH("emission",$B414))+ISNUMBER(SEARCH("wash",$B414))+ISNUMBER(SEARCH("weigh",$B414))+ISNUMBER(SEARCH("tarp",$B414))&gt;0,"Vehicle",IF(ISNUMBER(SEARCH("rent",$B414))+ISNUMBER(SEARCH("upa",$B414))+ISNUMBER(SEARCH("salary",$B414))+ISNUMBER(SEARCH("sweldo",$B414))+ISNUMBER(SEARCH("wage",$B414))+ISNUMBER(SEARCH("electric",$B414))+ISNUMBER(SEARCH("kuryente",$B414))+ISNUMBER(SEARCH("water",$B414))+ISNUMBER(SEARCH("tubig",$B414))+ISNUMBER(SEARCH("internet",$B414))+ISNUMBER(SEARCH("pldt",$B414))+ISNUMBER(SEARCH("meralco",$B414))+ISNUMBER(SEARCH("supplies",$B414))+ISNUMBER(SEARCH("office",$B414))+ISNUMBER(SEARCH("professional",$B414))+ISNUMBER(SEARCH("accountant",$B414))+ISNUMBER(SEARCH("lawyer",$B414))+ISNUMBER(SEARCH("broker",$B414))+ISNUMBER(SEARCH("bank",$B414))+ISNUMBER(SEARCH("charge",$B414))+ISNUMBER(SEARCH("permit",$B414))+ISNUMBER(SEARCH("bir",$B414))+ISNUMBER(SEARCH("ltfrb",$B414))+ISNUMBER(SEARCH("misc",$B414))+ISNUMBER(SEARCH("fee",$B414))&gt;0,"Overhead","Overhead")))))))</f>
        <v/>
      </c>
      <c r="J414">
        <f>IF($A414="","",DATE(YEAR($A414),MONTH($A414),1))</f>
        <v/>
      </c>
      <c r="K414">
        <f>IF($B414="","",IF(COUNTIF(Setup!$A$99:$A$128,$B414)&gt;0,0,1))</f>
        <v/>
      </c>
      <c r="L414">
        <f>IF($B414="","",IF(ISNUMBER(SEARCH("advance",$B414)),"ADV",IF(OR(ISNUMBER(SEARCH("payout",$B414)),ISNUMBER(SEARCH("pay out",$B414)),ISNUMBER(SEARCH("release",$B414))),"PAY","")))</f>
        <v/>
      </c>
      <c r="M414">
        <f>IF($B414="","",IF(ISNUMBER(SEARCH("bulk",$B414)),0,IF(ISNUMBER(SEARCH("fuel",$B414))+ISNUMBER(SEARCH("diesel",$B414))+ISNUMBER(SEARCH("krudo",$B414))+ISNUMBER(SEARCH("gasolina",$B414))&gt;0,1,0)))</f>
        <v/>
      </c>
      <c r="N414">
        <f>IF($B414="","",IF(ISNUMBER(SEARCH("fuel",$B414))+ISNUMBER(SEARCH("diesel",$B414))+ISNUMBER(SEARCH("krudo",$B414))+ISNUMBER(SEARCH("gasolina",$B414))&gt;0,1,0))</f>
        <v/>
      </c>
    </row>
    <row r="415">
      <c r="A415" s="86" t="n"/>
      <c r="B415" s="88" t="n"/>
      <c r="C415" s="88" t="n"/>
      <c r="D415" s="87" t="n"/>
      <c r="E415" s="88" t="n"/>
      <c r="F415" s="92" t="n"/>
      <c r="G415" s="87" t="n"/>
      <c r="H415" s="87" t="n"/>
      <c r="I415" s="101">
        <f>IF($B415="","",IF(COUNTIF(Setup!$A$99:$A$128,$B415)&gt;0,IF(INDEX(Setup!$B$99:$B$128,MATCH($B415,Setup!$A$99:$A$128,0))="","Overhead",INDEX(Setup!$B$99:$B$128,MATCH($B415,Setup!$A$99:$A$128,0))),IF(ISNUMBER(SEARCH("advance",$B415))+ISNUMBER(SEARCH("payout",$B415))+ISNUMBER(SEARCH("pay out",$B415))+ISNUMBER(SEARCH("reimburs",$B415))&gt;0,"Transfer",IF(ISNUMBER(SEARCH("loan",$B415))+ISNUMBER(SEARCH("amort",$B415))+ISNUMBER(SEARCH("installment",$B415))+ISNUMBER(SEARCH("instalment",$B415))&gt;0,"Financing",IF(ISNUMBER(SEARCH("draw",$B415))+ISNUMBER(SEARCH("owner",$B415))+ISNUMBER(SEARCH("asset",$B415))+ISNUMBER(SEARCH("capital",$B415))&gt;0,"Other",IF(ISNUMBER(SEARCH("fuel",$B415))+ISNUMBER(SEARCH("diesel",$B415))+ISNUMBER(SEARCH("krudo",$B415))+ISNUMBER(SEARCH("gasolina",$B415))+ISNUMBER(SEARCH("toll",$B415))+ISNUMBER(SEARCH("parking",$B415))+ISNUMBER(SEARCH("repair",$B415))+ISNUMBER(SEARCH("maintenance",$B415))+ISNUMBER(SEARCH("tire",$B415))+ISNUMBER(SEARCH("tyre",$B415))+ISNUMBER(SEARCH("battery",$B415))+ISNUMBER(SEARCH("oil",$B415))+ISNUMBER(SEARCH("filter",$B415))+ISNUMBER(SEARCH("spare",$B415))+ISNUMBER(SEARCH("insurance",$B415))+ISNUMBER(SEARCH("lto",$B415))+ISNUMBER(SEARCH("registration",$B415))+ISNUMBER(SEARCH("emission",$B415))+ISNUMBER(SEARCH("wash",$B415))+ISNUMBER(SEARCH("weigh",$B415))+ISNUMBER(SEARCH("tarp",$B415))&gt;0,"Vehicle",IF(ISNUMBER(SEARCH("rent",$B415))+ISNUMBER(SEARCH("upa",$B415))+ISNUMBER(SEARCH("salary",$B415))+ISNUMBER(SEARCH("sweldo",$B415))+ISNUMBER(SEARCH("wage",$B415))+ISNUMBER(SEARCH("electric",$B415))+ISNUMBER(SEARCH("kuryente",$B415))+ISNUMBER(SEARCH("water",$B415))+ISNUMBER(SEARCH("tubig",$B415))+ISNUMBER(SEARCH("internet",$B415))+ISNUMBER(SEARCH("pldt",$B415))+ISNUMBER(SEARCH("meralco",$B415))+ISNUMBER(SEARCH("supplies",$B415))+ISNUMBER(SEARCH("office",$B415))+ISNUMBER(SEARCH("professional",$B415))+ISNUMBER(SEARCH("accountant",$B415))+ISNUMBER(SEARCH("lawyer",$B415))+ISNUMBER(SEARCH("broker",$B415))+ISNUMBER(SEARCH("bank",$B415))+ISNUMBER(SEARCH("charge",$B415))+ISNUMBER(SEARCH("permit",$B415))+ISNUMBER(SEARCH("bir",$B415))+ISNUMBER(SEARCH("ltfrb",$B415))+ISNUMBER(SEARCH("misc",$B415))+ISNUMBER(SEARCH("fee",$B415))&gt;0,"Overhead","Overhead")))))))</f>
        <v/>
      </c>
      <c r="J415">
        <f>IF($A415="","",DATE(YEAR($A415),MONTH($A415),1))</f>
        <v/>
      </c>
      <c r="K415">
        <f>IF($B415="","",IF(COUNTIF(Setup!$A$99:$A$128,$B415)&gt;0,0,1))</f>
        <v/>
      </c>
      <c r="L415">
        <f>IF($B415="","",IF(ISNUMBER(SEARCH("advance",$B415)),"ADV",IF(OR(ISNUMBER(SEARCH("payout",$B415)),ISNUMBER(SEARCH("pay out",$B415)),ISNUMBER(SEARCH("release",$B415))),"PAY","")))</f>
        <v/>
      </c>
      <c r="M415">
        <f>IF($B415="","",IF(ISNUMBER(SEARCH("bulk",$B415)),0,IF(ISNUMBER(SEARCH("fuel",$B415))+ISNUMBER(SEARCH("diesel",$B415))+ISNUMBER(SEARCH("krudo",$B415))+ISNUMBER(SEARCH("gasolina",$B415))&gt;0,1,0)))</f>
        <v/>
      </c>
      <c r="N415">
        <f>IF($B415="","",IF(ISNUMBER(SEARCH("fuel",$B415))+ISNUMBER(SEARCH("diesel",$B415))+ISNUMBER(SEARCH("krudo",$B415))+ISNUMBER(SEARCH("gasolina",$B415))&gt;0,1,0))</f>
        <v/>
      </c>
    </row>
    <row r="416">
      <c r="A416" s="94" t="n"/>
      <c r="B416" s="96" t="n"/>
      <c r="C416" s="96" t="n"/>
      <c r="D416" s="95" t="n"/>
      <c r="E416" s="96" t="n"/>
      <c r="F416" s="99" t="n"/>
      <c r="G416" s="95" t="n"/>
      <c r="H416" s="95" t="n"/>
      <c r="I416" s="101">
        <f>IF($B416="","",IF(COUNTIF(Setup!$A$99:$A$128,$B416)&gt;0,IF(INDEX(Setup!$B$99:$B$128,MATCH($B416,Setup!$A$99:$A$128,0))="","Overhead",INDEX(Setup!$B$99:$B$128,MATCH($B416,Setup!$A$99:$A$128,0))),IF(ISNUMBER(SEARCH("advance",$B416))+ISNUMBER(SEARCH("payout",$B416))+ISNUMBER(SEARCH("pay out",$B416))+ISNUMBER(SEARCH("reimburs",$B416))&gt;0,"Transfer",IF(ISNUMBER(SEARCH("loan",$B416))+ISNUMBER(SEARCH("amort",$B416))+ISNUMBER(SEARCH("installment",$B416))+ISNUMBER(SEARCH("instalment",$B416))&gt;0,"Financing",IF(ISNUMBER(SEARCH("draw",$B416))+ISNUMBER(SEARCH("owner",$B416))+ISNUMBER(SEARCH("asset",$B416))+ISNUMBER(SEARCH("capital",$B416))&gt;0,"Other",IF(ISNUMBER(SEARCH("fuel",$B416))+ISNUMBER(SEARCH("diesel",$B416))+ISNUMBER(SEARCH("krudo",$B416))+ISNUMBER(SEARCH("gasolina",$B416))+ISNUMBER(SEARCH("toll",$B416))+ISNUMBER(SEARCH("parking",$B416))+ISNUMBER(SEARCH("repair",$B416))+ISNUMBER(SEARCH("maintenance",$B416))+ISNUMBER(SEARCH("tire",$B416))+ISNUMBER(SEARCH("tyre",$B416))+ISNUMBER(SEARCH("battery",$B416))+ISNUMBER(SEARCH("oil",$B416))+ISNUMBER(SEARCH("filter",$B416))+ISNUMBER(SEARCH("spare",$B416))+ISNUMBER(SEARCH("insurance",$B416))+ISNUMBER(SEARCH("lto",$B416))+ISNUMBER(SEARCH("registration",$B416))+ISNUMBER(SEARCH("emission",$B416))+ISNUMBER(SEARCH("wash",$B416))+ISNUMBER(SEARCH("weigh",$B416))+ISNUMBER(SEARCH("tarp",$B416))&gt;0,"Vehicle",IF(ISNUMBER(SEARCH("rent",$B416))+ISNUMBER(SEARCH("upa",$B416))+ISNUMBER(SEARCH("salary",$B416))+ISNUMBER(SEARCH("sweldo",$B416))+ISNUMBER(SEARCH("wage",$B416))+ISNUMBER(SEARCH("electric",$B416))+ISNUMBER(SEARCH("kuryente",$B416))+ISNUMBER(SEARCH("water",$B416))+ISNUMBER(SEARCH("tubig",$B416))+ISNUMBER(SEARCH("internet",$B416))+ISNUMBER(SEARCH("pldt",$B416))+ISNUMBER(SEARCH("meralco",$B416))+ISNUMBER(SEARCH("supplies",$B416))+ISNUMBER(SEARCH("office",$B416))+ISNUMBER(SEARCH("professional",$B416))+ISNUMBER(SEARCH("accountant",$B416))+ISNUMBER(SEARCH("lawyer",$B416))+ISNUMBER(SEARCH("broker",$B416))+ISNUMBER(SEARCH("bank",$B416))+ISNUMBER(SEARCH("charge",$B416))+ISNUMBER(SEARCH("permit",$B416))+ISNUMBER(SEARCH("bir",$B416))+ISNUMBER(SEARCH("ltfrb",$B416))+ISNUMBER(SEARCH("misc",$B416))+ISNUMBER(SEARCH("fee",$B416))&gt;0,"Overhead","Overhead")))))))</f>
        <v/>
      </c>
      <c r="J416">
        <f>IF($A416="","",DATE(YEAR($A416),MONTH($A416),1))</f>
        <v/>
      </c>
      <c r="K416">
        <f>IF($B416="","",IF(COUNTIF(Setup!$A$99:$A$128,$B416)&gt;0,0,1))</f>
        <v/>
      </c>
      <c r="L416">
        <f>IF($B416="","",IF(ISNUMBER(SEARCH("advance",$B416)),"ADV",IF(OR(ISNUMBER(SEARCH("payout",$B416)),ISNUMBER(SEARCH("pay out",$B416)),ISNUMBER(SEARCH("release",$B416))),"PAY","")))</f>
        <v/>
      </c>
      <c r="M416">
        <f>IF($B416="","",IF(ISNUMBER(SEARCH("bulk",$B416)),0,IF(ISNUMBER(SEARCH("fuel",$B416))+ISNUMBER(SEARCH("diesel",$B416))+ISNUMBER(SEARCH("krudo",$B416))+ISNUMBER(SEARCH("gasolina",$B416))&gt;0,1,0)))</f>
        <v/>
      </c>
      <c r="N416">
        <f>IF($B416="","",IF(ISNUMBER(SEARCH("fuel",$B416))+ISNUMBER(SEARCH("diesel",$B416))+ISNUMBER(SEARCH("krudo",$B416))+ISNUMBER(SEARCH("gasolina",$B416))&gt;0,1,0))</f>
        <v/>
      </c>
    </row>
    <row r="417">
      <c r="A417" s="86" t="n"/>
      <c r="B417" s="88" t="n"/>
      <c r="C417" s="88" t="n"/>
      <c r="D417" s="87" t="n"/>
      <c r="E417" s="88" t="n"/>
      <c r="F417" s="92" t="n"/>
      <c r="G417" s="87" t="n"/>
      <c r="H417" s="87" t="n"/>
      <c r="I417" s="101">
        <f>IF($B417="","",IF(COUNTIF(Setup!$A$99:$A$128,$B417)&gt;0,IF(INDEX(Setup!$B$99:$B$128,MATCH($B417,Setup!$A$99:$A$128,0))="","Overhead",INDEX(Setup!$B$99:$B$128,MATCH($B417,Setup!$A$99:$A$128,0))),IF(ISNUMBER(SEARCH("advance",$B417))+ISNUMBER(SEARCH("payout",$B417))+ISNUMBER(SEARCH("pay out",$B417))+ISNUMBER(SEARCH("reimburs",$B417))&gt;0,"Transfer",IF(ISNUMBER(SEARCH("loan",$B417))+ISNUMBER(SEARCH("amort",$B417))+ISNUMBER(SEARCH("installment",$B417))+ISNUMBER(SEARCH("instalment",$B417))&gt;0,"Financing",IF(ISNUMBER(SEARCH("draw",$B417))+ISNUMBER(SEARCH("owner",$B417))+ISNUMBER(SEARCH("asset",$B417))+ISNUMBER(SEARCH("capital",$B417))&gt;0,"Other",IF(ISNUMBER(SEARCH("fuel",$B417))+ISNUMBER(SEARCH("diesel",$B417))+ISNUMBER(SEARCH("krudo",$B417))+ISNUMBER(SEARCH("gasolina",$B417))+ISNUMBER(SEARCH("toll",$B417))+ISNUMBER(SEARCH("parking",$B417))+ISNUMBER(SEARCH("repair",$B417))+ISNUMBER(SEARCH("maintenance",$B417))+ISNUMBER(SEARCH("tire",$B417))+ISNUMBER(SEARCH("tyre",$B417))+ISNUMBER(SEARCH("battery",$B417))+ISNUMBER(SEARCH("oil",$B417))+ISNUMBER(SEARCH("filter",$B417))+ISNUMBER(SEARCH("spare",$B417))+ISNUMBER(SEARCH("insurance",$B417))+ISNUMBER(SEARCH("lto",$B417))+ISNUMBER(SEARCH("registration",$B417))+ISNUMBER(SEARCH("emission",$B417))+ISNUMBER(SEARCH("wash",$B417))+ISNUMBER(SEARCH("weigh",$B417))+ISNUMBER(SEARCH("tarp",$B417))&gt;0,"Vehicle",IF(ISNUMBER(SEARCH("rent",$B417))+ISNUMBER(SEARCH("upa",$B417))+ISNUMBER(SEARCH("salary",$B417))+ISNUMBER(SEARCH("sweldo",$B417))+ISNUMBER(SEARCH("wage",$B417))+ISNUMBER(SEARCH("electric",$B417))+ISNUMBER(SEARCH("kuryente",$B417))+ISNUMBER(SEARCH("water",$B417))+ISNUMBER(SEARCH("tubig",$B417))+ISNUMBER(SEARCH("internet",$B417))+ISNUMBER(SEARCH("pldt",$B417))+ISNUMBER(SEARCH("meralco",$B417))+ISNUMBER(SEARCH("supplies",$B417))+ISNUMBER(SEARCH("office",$B417))+ISNUMBER(SEARCH("professional",$B417))+ISNUMBER(SEARCH("accountant",$B417))+ISNUMBER(SEARCH("lawyer",$B417))+ISNUMBER(SEARCH("broker",$B417))+ISNUMBER(SEARCH("bank",$B417))+ISNUMBER(SEARCH("charge",$B417))+ISNUMBER(SEARCH("permit",$B417))+ISNUMBER(SEARCH("bir",$B417))+ISNUMBER(SEARCH("ltfrb",$B417))+ISNUMBER(SEARCH("misc",$B417))+ISNUMBER(SEARCH("fee",$B417))&gt;0,"Overhead","Overhead")))))))</f>
        <v/>
      </c>
      <c r="J417">
        <f>IF($A417="","",DATE(YEAR($A417),MONTH($A417),1))</f>
        <v/>
      </c>
      <c r="K417">
        <f>IF($B417="","",IF(COUNTIF(Setup!$A$99:$A$128,$B417)&gt;0,0,1))</f>
        <v/>
      </c>
      <c r="L417">
        <f>IF($B417="","",IF(ISNUMBER(SEARCH("advance",$B417)),"ADV",IF(OR(ISNUMBER(SEARCH("payout",$B417)),ISNUMBER(SEARCH("pay out",$B417)),ISNUMBER(SEARCH("release",$B417))),"PAY","")))</f>
        <v/>
      </c>
      <c r="M417">
        <f>IF($B417="","",IF(ISNUMBER(SEARCH("bulk",$B417)),0,IF(ISNUMBER(SEARCH("fuel",$B417))+ISNUMBER(SEARCH("diesel",$B417))+ISNUMBER(SEARCH("krudo",$B417))+ISNUMBER(SEARCH("gasolina",$B417))&gt;0,1,0)))</f>
        <v/>
      </c>
      <c r="N417">
        <f>IF($B417="","",IF(ISNUMBER(SEARCH("fuel",$B417))+ISNUMBER(SEARCH("diesel",$B417))+ISNUMBER(SEARCH("krudo",$B417))+ISNUMBER(SEARCH("gasolina",$B417))&gt;0,1,0))</f>
        <v/>
      </c>
    </row>
    <row r="418">
      <c r="A418" s="94" t="n"/>
      <c r="B418" s="96" t="n"/>
      <c r="C418" s="96" t="n"/>
      <c r="D418" s="95" t="n"/>
      <c r="E418" s="96" t="n"/>
      <c r="F418" s="99" t="n"/>
      <c r="G418" s="95" t="n"/>
      <c r="H418" s="95" t="n"/>
      <c r="I418" s="101">
        <f>IF($B418="","",IF(COUNTIF(Setup!$A$99:$A$128,$B418)&gt;0,IF(INDEX(Setup!$B$99:$B$128,MATCH($B418,Setup!$A$99:$A$128,0))="","Overhead",INDEX(Setup!$B$99:$B$128,MATCH($B418,Setup!$A$99:$A$128,0))),IF(ISNUMBER(SEARCH("advance",$B418))+ISNUMBER(SEARCH("payout",$B418))+ISNUMBER(SEARCH("pay out",$B418))+ISNUMBER(SEARCH("reimburs",$B418))&gt;0,"Transfer",IF(ISNUMBER(SEARCH("loan",$B418))+ISNUMBER(SEARCH("amort",$B418))+ISNUMBER(SEARCH("installment",$B418))+ISNUMBER(SEARCH("instalment",$B418))&gt;0,"Financing",IF(ISNUMBER(SEARCH("draw",$B418))+ISNUMBER(SEARCH("owner",$B418))+ISNUMBER(SEARCH("asset",$B418))+ISNUMBER(SEARCH("capital",$B418))&gt;0,"Other",IF(ISNUMBER(SEARCH("fuel",$B418))+ISNUMBER(SEARCH("diesel",$B418))+ISNUMBER(SEARCH("krudo",$B418))+ISNUMBER(SEARCH("gasolina",$B418))+ISNUMBER(SEARCH("toll",$B418))+ISNUMBER(SEARCH("parking",$B418))+ISNUMBER(SEARCH("repair",$B418))+ISNUMBER(SEARCH("maintenance",$B418))+ISNUMBER(SEARCH("tire",$B418))+ISNUMBER(SEARCH("tyre",$B418))+ISNUMBER(SEARCH("battery",$B418))+ISNUMBER(SEARCH("oil",$B418))+ISNUMBER(SEARCH("filter",$B418))+ISNUMBER(SEARCH("spare",$B418))+ISNUMBER(SEARCH("insurance",$B418))+ISNUMBER(SEARCH("lto",$B418))+ISNUMBER(SEARCH("registration",$B418))+ISNUMBER(SEARCH("emission",$B418))+ISNUMBER(SEARCH("wash",$B418))+ISNUMBER(SEARCH("weigh",$B418))+ISNUMBER(SEARCH("tarp",$B418))&gt;0,"Vehicle",IF(ISNUMBER(SEARCH("rent",$B418))+ISNUMBER(SEARCH("upa",$B418))+ISNUMBER(SEARCH("salary",$B418))+ISNUMBER(SEARCH("sweldo",$B418))+ISNUMBER(SEARCH("wage",$B418))+ISNUMBER(SEARCH("electric",$B418))+ISNUMBER(SEARCH("kuryente",$B418))+ISNUMBER(SEARCH("water",$B418))+ISNUMBER(SEARCH("tubig",$B418))+ISNUMBER(SEARCH("internet",$B418))+ISNUMBER(SEARCH("pldt",$B418))+ISNUMBER(SEARCH("meralco",$B418))+ISNUMBER(SEARCH("supplies",$B418))+ISNUMBER(SEARCH("office",$B418))+ISNUMBER(SEARCH("professional",$B418))+ISNUMBER(SEARCH("accountant",$B418))+ISNUMBER(SEARCH("lawyer",$B418))+ISNUMBER(SEARCH("broker",$B418))+ISNUMBER(SEARCH("bank",$B418))+ISNUMBER(SEARCH("charge",$B418))+ISNUMBER(SEARCH("permit",$B418))+ISNUMBER(SEARCH("bir",$B418))+ISNUMBER(SEARCH("ltfrb",$B418))+ISNUMBER(SEARCH("misc",$B418))+ISNUMBER(SEARCH("fee",$B418))&gt;0,"Overhead","Overhead")))))))</f>
        <v/>
      </c>
      <c r="J418">
        <f>IF($A418="","",DATE(YEAR($A418),MONTH($A418),1))</f>
        <v/>
      </c>
      <c r="K418">
        <f>IF($B418="","",IF(COUNTIF(Setup!$A$99:$A$128,$B418)&gt;0,0,1))</f>
        <v/>
      </c>
      <c r="L418">
        <f>IF($B418="","",IF(ISNUMBER(SEARCH("advance",$B418)),"ADV",IF(OR(ISNUMBER(SEARCH("payout",$B418)),ISNUMBER(SEARCH("pay out",$B418)),ISNUMBER(SEARCH("release",$B418))),"PAY","")))</f>
        <v/>
      </c>
      <c r="M418">
        <f>IF($B418="","",IF(ISNUMBER(SEARCH("bulk",$B418)),0,IF(ISNUMBER(SEARCH("fuel",$B418))+ISNUMBER(SEARCH("diesel",$B418))+ISNUMBER(SEARCH("krudo",$B418))+ISNUMBER(SEARCH("gasolina",$B418))&gt;0,1,0)))</f>
        <v/>
      </c>
      <c r="N418">
        <f>IF($B418="","",IF(ISNUMBER(SEARCH("fuel",$B418))+ISNUMBER(SEARCH("diesel",$B418))+ISNUMBER(SEARCH("krudo",$B418))+ISNUMBER(SEARCH("gasolina",$B418))&gt;0,1,0))</f>
        <v/>
      </c>
    </row>
    <row r="419">
      <c r="A419" s="86" t="n"/>
      <c r="B419" s="88" t="n"/>
      <c r="C419" s="88" t="n"/>
      <c r="D419" s="87" t="n"/>
      <c r="E419" s="88" t="n"/>
      <c r="F419" s="92" t="n"/>
      <c r="G419" s="87" t="n"/>
      <c r="H419" s="87" t="n"/>
      <c r="I419" s="101">
        <f>IF($B419="","",IF(COUNTIF(Setup!$A$99:$A$128,$B419)&gt;0,IF(INDEX(Setup!$B$99:$B$128,MATCH($B419,Setup!$A$99:$A$128,0))="","Overhead",INDEX(Setup!$B$99:$B$128,MATCH($B419,Setup!$A$99:$A$128,0))),IF(ISNUMBER(SEARCH("advance",$B419))+ISNUMBER(SEARCH("payout",$B419))+ISNUMBER(SEARCH("pay out",$B419))+ISNUMBER(SEARCH("reimburs",$B419))&gt;0,"Transfer",IF(ISNUMBER(SEARCH("loan",$B419))+ISNUMBER(SEARCH("amort",$B419))+ISNUMBER(SEARCH("installment",$B419))+ISNUMBER(SEARCH("instalment",$B419))&gt;0,"Financing",IF(ISNUMBER(SEARCH("draw",$B419))+ISNUMBER(SEARCH("owner",$B419))+ISNUMBER(SEARCH("asset",$B419))+ISNUMBER(SEARCH("capital",$B419))&gt;0,"Other",IF(ISNUMBER(SEARCH("fuel",$B419))+ISNUMBER(SEARCH("diesel",$B419))+ISNUMBER(SEARCH("krudo",$B419))+ISNUMBER(SEARCH("gasolina",$B419))+ISNUMBER(SEARCH("toll",$B419))+ISNUMBER(SEARCH("parking",$B419))+ISNUMBER(SEARCH("repair",$B419))+ISNUMBER(SEARCH("maintenance",$B419))+ISNUMBER(SEARCH("tire",$B419))+ISNUMBER(SEARCH("tyre",$B419))+ISNUMBER(SEARCH("battery",$B419))+ISNUMBER(SEARCH("oil",$B419))+ISNUMBER(SEARCH("filter",$B419))+ISNUMBER(SEARCH("spare",$B419))+ISNUMBER(SEARCH("insurance",$B419))+ISNUMBER(SEARCH("lto",$B419))+ISNUMBER(SEARCH("registration",$B419))+ISNUMBER(SEARCH("emission",$B419))+ISNUMBER(SEARCH("wash",$B419))+ISNUMBER(SEARCH("weigh",$B419))+ISNUMBER(SEARCH("tarp",$B419))&gt;0,"Vehicle",IF(ISNUMBER(SEARCH("rent",$B419))+ISNUMBER(SEARCH("upa",$B419))+ISNUMBER(SEARCH("salary",$B419))+ISNUMBER(SEARCH("sweldo",$B419))+ISNUMBER(SEARCH("wage",$B419))+ISNUMBER(SEARCH("electric",$B419))+ISNUMBER(SEARCH("kuryente",$B419))+ISNUMBER(SEARCH("water",$B419))+ISNUMBER(SEARCH("tubig",$B419))+ISNUMBER(SEARCH("internet",$B419))+ISNUMBER(SEARCH("pldt",$B419))+ISNUMBER(SEARCH("meralco",$B419))+ISNUMBER(SEARCH("supplies",$B419))+ISNUMBER(SEARCH("office",$B419))+ISNUMBER(SEARCH("professional",$B419))+ISNUMBER(SEARCH("accountant",$B419))+ISNUMBER(SEARCH("lawyer",$B419))+ISNUMBER(SEARCH("broker",$B419))+ISNUMBER(SEARCH("bank",$B419))+ISNUMBER(SEARCH("charge",$B419))+ISNUMBER(SEARCH("permit",$B419))+ISNUMBER(SEARCH("bir",$B419))+ISNUMBER(SEARCH("ltfrb",$B419))+ISNUMBER(SEARCH("misc",$B419))+ISNUMBER(SEARCH("fee",$B419))&gt;0,"Overhead","Overhead")))))))</f>
        <v/>
      </c>
      <c r="J419">
        <f>IF($A419="","",DATE(YEAR($A419),MONTH($A419),1))</f>
        <v/>
      </c>
      <c r="K419">
        <f>IF($B419="","",IF(COUNTIF(Setup!$A$99:$A$128,$B419)&gt;0,0,1))</f>
        <v/>
      </c>
      <c r="L419">
        <f>IF($B419="","",IF(ISNUMBER(SEARCH("advance",$B419)),"ADV",IF(OR(ISNUMBER(SEARCH("payout",$B419)),ISNUMBER(SEARCH("pay out",$B419)),ISNUMBER(SEARCH("release",$B419))),"PAY","")))</f>
        <v/>
      </c>
      <c r="M419">
        <f>IF($B419="","",IF(ISNUMBER(SEARCH("bulk",$B419)),0,IF(ISNUMBER(SEARCH("fuel",$B419))+ISNUMBER(SEARCH("diesel",$B419))+ISNUMBER(SEARCH("krudo",$B419))+ISNUMBER(SEARCH("gasolina",$B419))&gt;0,1,0)))</f>
        <v/>
      </c>
      <c r="N419">
        <f>IF($B419="","",IF(ISNUMBER(SEARCH("fuel",$B419))+ISNUMBER(SEARCH("diesel",$B419))+ISNUMBER(SEARCH("krudo",$B419))+ISNUMBER(SEARCH("gasolina",$B419))&gt;0,1,0))</f>
        <v/>
      </c>
    </row>
    <row r="420">
      <c r="A420" s="94" t="n"/>
      <c r="B420" s="96" t="n"/>
      <c r="C420" s="96" t="n"/>
      <c r="D420" s="95" t="n"/>
      <c r="E420" s="96" t="n"/>
      <c r="F420" s="99" t="n"/>
      <c r="G420" s="95" t="n"/>
      <c r="H420" s="95" t="n"/>
      <c r="I420" s="101">
        <f>IF($B420="","",IF(COUNTIF(Setup!$A$99:$A$128,$B420)&gt;0,IF(INDEX(Setup!$B$99:$B$128,MATCH($B420,Setup!$A$99:$A$128,0))="","Overhead",INDEX(Setup!$B$99:$B$128,MATCH($B420,Setup!$A$99:$A$128,0))),IF(ISNUMBER(SEARCH("advance",$B420))+ISNUMBER(SEARCH("payout",$B420))+ISNUMBER(SEARCH("pay out",$B420))+ISNUMBER(SEARCH("reimburs",$B420))&gt;0,"Transfer",IF(ISNUMBER(SEARCH("loan",$B420))+ISNUMBER(SEARCH("amort",$B420))+ISNUMBER(SEARCH("installment",$B420))+ISNUMBER(SEARCH("instalment",$B420))&gt;0,"Financing",IF(ISNUMBER(SEARCH("draw",$B420))+ISNUMBER(SEARCH("owner",$B420))+ISNUMBER(SEARCH("asset",$B420))+ISNUMBER(SEARCH("capital",$B420))&gt;0,"Other",IF(ISNUMBER(SEARCH("fuel",$B420))+ISNUMBER(SEARCH("diesel",$B420))+ISNUMBER(SEARCH("krudo",$B420))+ISNUMBER(SEARCH("gasolina",$B420))+ISNUMBER(SEARCH("toll",$B420))+ISNUMBER(SEARCH("parking",$B420))+ISNUMBER(SEARCH("repair",$B420))+ISNUMBER(SEARCH("maintenance",$B420))+ISNUMBER(SEARCH("tire",$B420))+ISNUMBER(SEARCH("tyre",$B420))+ISNUMBER(SEARCH("battery",$B420))+ISNUMBER(SEARCH("oil",$B420))+ISNUMBER(SEARCH("filter",$B420))+ISNUMBER(SEARCH("spare",$B420))+ISNUMBER(SEARCH("insurance",$B420))+ISNUMBER(SEARCH("lto",$B420))+ISNUMBER(SEARCH("registration",$B420))+ISNUMBER(SEARCH("emission",$B420))+ISNUMBER(SEARCH("wash",$B420))+ISNUMBER(SEARCH("weigh",$B420))+ISNUMBER(SEARCH("tarp",$B420))&gt;0,"Vehicle",IF(ISNUMBER(SEARCH("rent",$B420))+ISNUMBER(SEARCH("upa",$B420))+ISNUMBER(SEARCH("salary",$B420))+ISNUMBER(SEARCH("sweldo",$B420))+ISNUMBER(SEARCH("wage",$B420))+ISNUMBER(SEARCH("electric",$B420))+ISNUMBER(SEARCH("kuryente",$B420))+ISNUMBER(SEARCH("water",$B420))+ISNUMBER(SEARCH("tubig",$B420))+ISNUMBER(SEARCH("internet",$B420))+ISNUMBER(SEARCH("pldt",$B420))+ISNUMBER(SEARCH("meralco",$B420))+ISNUMBER(SEARCH("supplies",$B420))+ISNUMBER(SEARCH("office",$B420))+ISNUMBER(SEARCH("professional",$B420))+ISNUMBER(SEARCH("accountant",$B420))+ISNUMBER(SEARCH("lawyer",$B420))+ISNUMBER(SEARCH("broker",$B420))+ISNUMBER(SEARCH("bank",$B420))+ISNUMBER(SEARCH("charge",$B420))+ISNUMBER(SEARCH("permit",$B420))+ISNUMBER(SEARCH("bir",$B420))+ISNUMBER(SEARCH("ltfrb",$B420))+ISNUMBER(SEARCH("misc",$B420))+ISNUMBER(SEARCH("fee",$B420))&gt;0,"Overhead","Overhead")))))))</f>
        <v/>
      </c>
      <c r="J420">
        <f>IF($A420="","",DATE(YEAR($A420),MONTH($A420),1))</f>
        <v/>
      </c>
      <c r="K420">
        <f>IF($B420="","",IF(COUNTIF(Setup!$A$99:$A$128,$B420)&gt;0,0,1))</f>
        <v/>
      </c>
      <c r="L420">
        <f>IF($B420="","",IF(ISNUMBER(SEARCH("advance",$B420)),"ADV",IF(OR(ISNUMBER(SEARCH("payout",$B420)),ISNUMBER(SEARCH("pay out",$B420)),ISNUMBER(SEARCH("release",$B420))),"PAY","")))</f>
        <v/>
      </c>
      <c r="M420">
        <f>IF($B420="","",IF(ISNUMBER(SEARCH("bulk",$B420)),0,IF(ISNUMBER(SEARCH("fuel",$B420))+ISNUMBER(SEARCH("diesel",$B420))+ISNUMBER(SEARCH("krudo",$B420))+ISNUMBER(SEARCH("gasolina",$B420))&gt;0,1,0)))</f>
        <v/>
      </c>
      <c r="N420">
        <f>IF($B420="","",IF(ISNUMBER(SEARCH("fuel",$B420))+ISNUMBER(SEARCH("diesel",$B420))+ISNUMBER(SEARCH("krudo",$B420))+ISNUMBER(SEARCH("gasolina",$B420))&gt;0,1,0))</f>
        <v/>
      </c>
    </row>
    <row r="421">
      <c r="A421" s="86" t="n"/>
      <c r="B421" s="88" t="n"/>
      <c r="C421" s="88" t="n"/>
      <c r="D421" s="87" t="n"/>
      <c r="E421" s="88" t="n"/>
      <c r="F421" s="92" t="n"/>
      <c r="G421" s="87" t="n"/>
      <c r="H421" s="87" t="n"/>
      <c r="I421" s="101">
        <f>IF($B421="","",IF(COUNTIF(Setup!$A$99:$A$128,$B421)&gt;0,IF(INDEX(Setup!$B$99:$B$128,MATCH($B421,Setup!$A$99:$A$128,0))="","Overhead",INDEX(Setup!$B$99:$B$128,MATCH($B421,Setup!$A$99:$A$128,0))),IF(ISNUMBER(SEARCH("advance",$B421))+ISNUMBER(SEARCH("payout",$B421))+ISNUMBER(SEARCH("pay out",$B421))+ISNUMBER(SEARCH("reimburs",$B421))&gt;0,"Transfer",IF(ISNUMBER(SEARCH("loan",$B421))+ISNUMBER(SEARCH("amort",$B421))+ISNUMBER(SEARCH("installment",$B421))+ISNUMBER(SEARCH("instalment",$B421))&gt;0,"Financing",IF(ISNUMBER(SEARCH("draw",$B421))+ISNUMBER(SEARCH("owner",$B421))+ISNUMBER(SEARCH("asset",$B421))+ISNUMBER(SEARCH("capital",$B421))&gt;0,"Other",IF(ISNUMBER(SEARCH("fuel",$B421))+ISNUMBER(SEARCH("diesel",$B421))+ISNUMBER(SEARCH("krudo",$B421))+ISNUMBER(SEARCH("gasolina",$B421))+ISNUMBER(SEARCH("toll",$B421))+ISNUMBER(SEARCH("parking",$B421))+ISNUMBER(SEARCH("repair",$B421))+ISNUMBER(SEARCH("maintenance",$B421))+ISNUMBER(SEARCH("tire",$B421))+ISNUMBER(SEARCH("tyre",$B421))+ISNUMBER(SEARCH("battery",$B421))+ISNUMBER(SEARCH("oil",$B421))+ISNUMBER(SEARCH("filter",$B421))+ISNUMBER(SEARCH("spare",$B421))+ISNUMBER(SEARCH("insurance",$B421))+ISNUMBER(SEARCH("lto",$B421))+ISNUMBER(SEARCH("registration",$B421))+ISNUMBER(SEARCH("emission",$B421))+ISNUMBER(SEARCH("wash",$B421))+ISNUMBER(SEARCH("weigh",$B421))+ISNUMBER(SEARCH("tarp",$B421))&gt;0,"Vehicle",IF(ISNUMBER(SEARCH("rent",$B421))+ISNUMBER(SEARCH("upa",$B421))+ISNUMBER(SEARCH("salary",$B421))+ISNUMBER(SEARCH("sweldo",$B421))+ISNUMBER(SEARCH("wage",$B421))+ISNUMBER(SEARCH("electric",$B421))+ISNUMBER(SEARCH("kuryente",$B421))+ISNUMBER(SEARCH("water",$B421))+ISNUMBER(SEARCH("tubig",$B421))+ISNUMBER(SEARCH("internet",$B421))+ISNUMBER(SEARCH("pldt",$B421))+ISNUMBER(SEARCH("meralco",$B421))+ISNUMBER(SEARCH("supplies",$B421))+ISNUMBER(SEARCH("office",$B421))+ISNUMBER(SEARCH("professional",$B421))+ISNUMBER(SEARCH("accountant",$B421))+ISNUMBER(SEARCH("lawyer",$B421))+ISNUMBER(SEARCH("broker",$B421))+ISNUMBER(SEARCH("bank",$B421))+ISNUMBER(SEARCH("charge",$B421))+ISNUMBER(SEARCH("permit",$B421))+ISNUMBER(SEARCH("bir",$B421))+ISNUMBER(SEARCH("ltfrb",$B421))+ISNUMBER(SEARCH("misc",$B421))+ISNUMBER(SEARCH("fee",$B421))&gt;0,"Overhead","Overhead")))))))</f>
        <v/>
      </c>
      <c r="J421">
        <f>IF($A421="","",DATE(YEAR($A421),MONTH($A421),1))</f>
        <v/>
      </c>
      <c r="K421">
        <f>IF($B421="","",IF(COUNTIF(Setup!$A$99:$A$128,$B421)&gt;0,0,1))</f>
        <v/>
      </c>
      <c r="L421">
        <f>IF($B421="","",IF(ISNUMBER(SEARCH("advance",$B421)),"ADV",IF(OR(ISNUMBER(SEARCH("payout",$B421)),ISNUMBER(SEARCH("pay out",$B421)),ISNUMBER(SEARCH("release",$B421))),"PAY","")))</f>
        <v/>
      </c>
      <c r="M421">
        <f>IF($B421="","",IF(ISNUMBER(SEARCH("bulk",$B421)),0,IF(ISNUMBER(SEARCH("fuel",$B421))+ISNUMBER(SEARCH("diesel",$B421))+ISNUMBER(SEARCH("krudo",$B421))+ISNUMBER(SEARCH("gasolina",$B421))&gt;0,1,0)))</f>
        <v/>
      </c>
      <c r="N421">
        <f>IF($B421="","",IF(ISNUMBER(SEARCH("fuel",$B421))+ISNUMBER(SEARCH("diesel",$B421))+ISNUMBER(SEARCH("krudo",$B421))+ISNUMBER(SEARCH("gasolina",$B421))&gt;0,1,0))</f>
        <v/>
      </c>
    </row>
    <row r="422">
      <c r="A422" s="94" t="n"/>
      <c r="B422" s="96" t="n"/>
      <c r="C422" s="96" t="n"/>
      <c r="D422" s="95" t="n"/>
      <c r="E422" s="96" t="n"/>
      <c r="F422" s="99" t="n"/>
      <c r="G422" s="95" t="n"/>
      <c r="H422" s="95" t="n"/>
      <c r="I422" s="101">
        <f>IF($B422="","",IF(COUNTIF(Setup!$A$99:$A$128,$B422)&gt;0,IF(INDEX(Setup!$B$99:$B$128,MATCH($B422,Setup!$A$99:$A$128,0))="","Overhead",INDEX(Setup!$B$99:$B$128,MATCH($B422,Setup!$A$99:$A$128,0))),IF(ISNUMBER(SEARCH("advance",$B422))+ISNUMBER(SEARCH("payout",$B422))+ISNUMBER(SEARCH("pay out",$B422))+ISNUMBER(SEARCH("reimburs",$B422))&gt;0,"Transfer",IF(ISNUMBER(SEARCH("loan",$B422))+ISNUMBER(SEARCH("amort",$B422))+ISNUMBER(SEARCH("installment",$B422))+ISNUMBER(SEARCH("instalment",$B422))&gt;0,"Financing",IF(ISNUMBER(SEARCH("draw",$B422))+ISNUMBER(SEARCH("owner",$B422))+ISNUMBER(SEARCH("asset",$B422))+ISNUMBER(SEARCH("capital",$B422))&gt;0,"Other",IF(ISNUMBER(SEARCH("fuel",$B422))+ISNUMBER(SEARCH("diesel",$B422))+ISNUMBER(SEARCH("krudo",$B422))+ISNUMBER(SEARCH("gasolina",$B422))+ISNUMBER(SEARCH("toll",$B422))+ISNUMBER(SEARCH("parking",$B422))+ISNUMBER(SEARCH("repair",$B422))+ISNUMBER(SEARCH("maintenance",$B422))+ISNUMBER(SEARCH("tire",$B422))+ISNUMBER(SEARCH("tyre",$B422))+ISNUMBER(SEARCH("battery",$B422))+ISNUMBER(SEARCH("oil",$B422))+ISNUMBER(SEARCH("filter",$B422))+ISNUMBER(SEARCH("spare",$B422))+ISNUMBER(SEARCH("insurance",$B422))+ISNUMBER(SEARCH("lto",$B422))+ISNUMBER(SEARCH("registration",$B422))+ISNUMBER(SEARCH("emission",$B422))+ISNUMBER(SEARCH("wash",$B422))+ISNUMBER(SEARCH("weigh",$B422))+ISNUMBER(SEARCH("tarp",$B422))&gt;0,"Vehicle",IF(ISNUMBER(SEARCH("rent",$B422))+ISNUMBER(SEARCH("upa",$B422))+ISNUMBER(SEARCH("salary",$B422))+ISNUMBER(SEARCH("sweldo",$B422))+ISNUMBER(SEARCH("wage",$B422))+ISNUMBER(SEARCH("electric",$B422))+ISNUMBER(SEARCH("kuryente",$B422))+ISNUMBER(SEARCH("water",$B422))+ISNUMBER(SEARCH("tubig",$B422))+ISNUMBER(SEARCH("internet",$B422))+ISNUMBER(SEARCH("pldt",$B422))+ISNUMBER(SEARCH("meralco",$B422))+ISNUMBER(SEARCH("supplies",$B422))+ISNUMBER(SEARCH("office",$B422))+ISNUMBER(SEARCH("professional",$B422))+ISNUMBER(SEARCH("accountant",$B422))+ISNUMBER(SEARCH("lawyer",$B422))+ISNUMBER(SEARCH("broker",$B422))+ISNUMBER(SEARCH("bank",$B422))+ISNUMBER(SEARCH("charge",$B422))+ISNUMBER(SEARCH("permit",$B422))+ISNUMBER(SEARCH("bir",$B422))+ISNUMBER(SEARCH("ltfrb",$B422))+ISNUMBER(SEARCH("misc",$B422))+ISNUMBER(SEARCH("fee",$B422))&gt;0,"Overhead","Overhead")))))))</f>
        <v/>
      </c>
      <c r="J422">
        <f>IF($A422="","",DATE(YEAR($A422),MONTH($A422),1))</f>
        <v/>
      </c>
      <c r="K422">
        <f>IF($B422="","",IF(COUNTIF(Setup!$A$99:$A$128,$B422)&gt;0,0,1))</f>
        <v/>
      </c>
      <c r="L422">
        <f>IF($B422="","",IF(ISNUMBER(SEARCH("advance",$B422)),"ADV",IF(OR(ISNUMBER(SEARCH("payout",$B422)),ISNUMBER(SEARCH("pay out",$B422)),ISNUMBER(SEARCH("release",$B422))),"PAY","")))</f>
        <v/>
      </c>
      <c r="M422">
        <f>IF($B422="","",IF(ISNUMBER(SEARCH("bulk",$B422)),0,IF(ISNUMBER(SEARCH("fuel",$B422))+ISNUMBER(SEARCH("diesel",$B422))+ISNUMBER(SEARCH("krudo",$B422))+ISNUMBER(SEARCH("gasolina",$B422))&gt;0,1,0)))</f>
        <v/>
      </c>
      <c r="N422">
        <f>IF($B422="","",IF(ISNUMBER(SEARCH("fuel",$B422))+ISNUMBER(SEARCH("diesel",$B422))+ISNUMBER(SEARCH("krudo",$B422))+ISNUMBER(SEARCH("gasolina",$B422))&gt;0,1,0))</f>
        <v/>
      </c>
    </row>
    <row r="423">
      <c r="A423" s="86" t="n"/>
      <c r="B423" s="88" t="n"/>
      <c r="C423" s="88" t="n"/>
      <c r="D423" s="87" t="n"/>
      <c r="E423" s="88" t="n"/>
      <c r="F423" s="92" t="n"/>
      <c r="G423" s="87" t="n"/>
      <c r="H423" s="87" t="n"/>
      <c r="I423" s="101">
        <f>IF($B423="","",IF(COUNTIF(Setup!$A$99:$A$128,$B423)&gt;0,IF(INDEX(Setup!$B$99:$B$128,MATCH($B423,Setup!$A$99:$A$128,0))="","Overhead",INDEX(Setup!$B$99:$B$128,MATCH($B423,Setup!$A$99:$A$128,0))),IF(ISNUMBER(SEARCH("advance",$B423))+ISNUMBER(SEARCH("payout",$B423))+ISNUMBER(SEARCH("pay out",$B423))+ISNUMBER(SEARCH("reimburs",$B423))&gt;0,"Transfer",IF(ISNUMBER(SEARCH("loan",$B423))+ISNUMBER(SEARCH("amort",$B423))+ISNUMBER(SEARCH("installment",$B423))+ISNUMBER(SEARCH("instalment",$B423))&gt;0,"Financing",IF(ISNUMBER(SEARCH("draw",$B423))+ISNUMBER(SEARCH("owner",$B423))+ISNUMBER(SEARCH("asset",$B423))+ISNUMBER(SEARCH("capital",$B423))&gt;0,"Other",IF(ISNUMBER(SEARCH("fuel",$B423))+ISNUMBER(SEARCH("diesel",$B423))+ISNUMBER(SEARCH("krudo",$B423))+ISNUMBER(SEARCH("gasolina",$B423))+ISNUMBER(SEARCH("toll",$B423))+ISNUMBER(SEARCH("parking",$B423))+ISNUMBER(SEARCH("repair",$B423))+ISNUMBER(SEARCH("maintenance",$B423))+ISNUMBER(SEARCH("tire",$B423))+ISNUMBER(SEARCH("tyre",$B423))+ISNUMBER(SEARCH("battery",$B423))+ISNUMBER(SEARCH("oil",$B423))+ISNUMBER(SEARCH("filter",$B423))+ISNUMBER(SEARCH("spare",$B423))+ISNUMBER(SEARCH("insurance",$B423))+ISNUMBER(SEARCH("lto",$B423))+ISNUMBER(SEARCH("registration",$B423))+ISNUMBER(SEARCH("emission",$B423))+ISNUMBER(SEARCH("wash",$B423))+ISNUMBER(SEARCH("weigh",$B423))+ISNUMBER(SEARCH("tarp",$B423))&gt;0,"Vehicle",IF(ISNUMBER(SEARCH("rent",$B423))+ISNUMBER(SEARCH("upa",$B423))+ISNUMBER(SEARCH("salary",$B423))+ISNUMBER(SEARCH("sweldo",$B423))+ISNUMBER(SEARCH("wage",$B423))+ISNUMBER(SEARCH("electric",$B423))+ISNUMBER(SEARCH("kuryente",$B423))+ISNUMBER(SEARCH("water",$B423))+ISNUMBER(SEARCH("tubig",$B423))+ISNUMBER(SEARCH("internet",$B423))+ISNUMBER(SEARCH("pldt",$B423))+ISNUMBER(SEARCH("meralco",$B423))+ISNUMBER(SEARCH("supplies",$B423))+ISNUMBER(SEARCH("office",$B423))+ISNUMBER(SEARCH("professional",$B423))+ISNUMBER(SEARCH("accountant",$B423))+ISNUMBER(SEARCH("lawyer",$B423))+ISNUMBER(SEARCH("broker",$B423))+ISNUMBER(SEARCH("bank",$B423))+ISNUMBER(SEARCH("charge",$B423))+ISNUMBER(SEARCH("permit",$B423))+ISNUMBER(SEARCH("bir",$B423))+ISNUMBER(SEARCH("ltfrb",$B423))+ISNUMBER(SEARCH("misc",$B423))+ISNUMBER(SEARCH("fee",$B423))&gt;0,"Overhead","Overhead")))))))</f>
        <v/>
      </c>
      <c r="J423">
        <f>IF($A423="","",DATE(YEAR($A423),MONTH($A423),1))</f>
        <v/>
      </c>
      <c r="K423">
        <f>IF($B423="","",IF(COUNTIF(Setup!$A$99:$A$128,$B423)&gt;0,0,1))</f>
        <v/>
      </c>
      <c r="L423">
        <f>IF($B423="","",IF(ISNUMBER(SEARCH("advance",$B423)),"ADV",IF(OR(ISNUMBER(SEARCH("payout",$B423)),ISNUMBER(SEARCH("pay out",$B423)),ISNUMBER(SEARCH("release",$B423))),"PAY","")))</f>
        <v/>
      </c>
      <c r="M423">
        <f>IF($B423="","",IF(ISNUMBER(SEARCH("bulk",$B423)),0,IF(ISNUMBER(SEARCH("fuel",$B423))+ISNUMBER(SEARCH("diesel",$B423))+ISNUMBER(SEARCH("krudo",$B423))+ISNUMBER(SEARCH("gasolina",$B423))&gt;0,1,0)))</f>
        <v/>
      </c>
      <c r="N423">
        <f>IF($B423="","",IF(ISNUMBER(SEARCH("fuel",$B423))+ISNUMBER(SEARCH("diesel",$B423))+ISNUMBER(SEARCH("krudo",$B423))+ISNUMBER(SEARCH("gasolina",$B423))&gt;0,1,0))</f>
        <v/>
      </c>
    </row>
    <row r="424">
      <c r="A424" s="94" t="n"/>
      <c r="B424" s="96" t="n"/>
      <c r="C424" s="96" t="n"/>
      <c r="D424" s="95" t="n"/>
      <c r="E424" s="96" t="n"/>
      <c r="F424" s="99" t="n"/>
      <c r="G424" s="95" t="n"/>
      <c r="H424" s="95" t="n"/>
      <c r="I424" s="101">
        <f>IF($B424="","",IF(COUNTIF(Setup!$A$99:$A$128,$B424)&gt;0,IF(INDEX(Setup!$B$99:$B$128,MATCH($B424,Setup!$A$99:$A$128,0))="","Overhead",INDEX(Setup!$B$99:$B$128,MATCH($B424,Setup!$A$99:$A$128,0))),IF(ISNUMBER(SEARCH("advance",$B424))+ISNUMBER(SEARCH("payout",$B424))+ISNUMBER(SEARCH("pay out",$B424))+ISNUMBER(SEARCH("reimburs",$B424))&gt;0,"Transfer",IF(ISNUMBER(SEARCH("loan",$B424))+ISNUMBER(SEARCH("amort",$B424))+ISNUMBER(SEARCH("installment",$B424))+ISNUMBER(SEARCH("instalment",$B424))&gt;0,"Financing",IF(ISNUMBER(SEARCH("draw",$B424))+ISNUMBER(SEARCH("owner",$B424))+ISNUMBER(SEARCH("asset",$B424))+ISNUMBER(SEARCH("capital",$B424))&gt;0,"Other",IF(ISNUMBER(SEARCH("fuel",$B424))+ISNUMBER(SEARCH("diesel",$B424))+ISNUMBER(SEARCH("krudo",$B424))+ISNUMBER(SEARCH("gasolina",$B424))+ISNUMBER(SEARCH("toll",$B424))+ISNUMBER(SEARCH("parking",$B424))+ISNUMBER(SEARCH("repair",$B424))+ISNUMBER(SEARCH("maintenance",$B424))+ISNUMBER(SEARCH("tire",$B424))+ISNUMBER(SEARCH("tyre",$B424))+ISNUMBER(SEARCH("battery",$B424))+ISNUMBER(SEARCH("oil",$B424))+ISNUMBER(SEARCH("filter",$B424))+ISNUMBER(SEARCH("spare",$B424))+ISNUMBER(SEARCH("insurance",$B424))+ISNUMBER(SEARCH("lto",$B424))+ISNUMBER(SEARCH("registration",$B424))+ISNUMBER(SEARCH("emission",$B424))+ISNUMBER(SEARCH("wash",$B424))+ISNUMBER(SEARCH("weigh",$B424))+ISNUMBER(SEARCH("tarp",$B424))&gt;0,"Vehicle",IF(ISNUMBER(SEARCH("rent",$B424))+ISNUMBER(SEARCH("upa",$B424))+ISNUMBER(SEARCH("salary",$B424))+ISNUMBER(SEARCH("sweldo",$B424))+ISNUMBER(SEARCH("wage",$B424))+ISNUMBER(SEARCH("electric",$B424))+ISNUMBER(SEARCH("kuryente",$B424))+ISNUMBER(SEARCH("water",$B424))+ISNUMBER(SEARCH("tubig",$B424))+ISNUMBER(SEARCH("internet",$B424))+ISNUMBER(SEARCH("pldt",$B424))+ISNUMBER(SEARCH("meralco",$B424))+ISNUMBER(SEARCH("supplies",$B424))+ISNUMBER(SEARCH("office",$B424))+ISNUMBER(SEARCH("professional",$B424))+ISNUMBER(SEARCH("accountant",$B424))+ISNUMBER(SEARCH("lawyer",$B424))+ISNUMBER(SEARCH("broker",$B424))+ISNUMBER(SEARCH("bank",$B424))+ISNUMBER(SEARCH("charge",$B424))+ISNUMBER(SEARCH("permit",$B424))+ISNUMBER(SEARCH("bir",$B424))+ISNUMBER(SEARCH("ltfrb",$B424))+ISNUMBER(SEARCH("misc",$B424))+ISNUMBER(SEARCH("fee",$B424))&gt;0,"Overhead","Overhead")))))))</f>
        <v/>
      </c>
      <c r="J424">
        <f>IF($A424="","",DATE(YEAR($A424),MONTH($A424),1))</f>
        <v/>
      </c>
      <c r="K424">
        <f>IF($B424="","",IF(COUNTIF(Setup!$A$99:$A$128,$B424)&gt;0,0,1))</f>
        <v/>
      </c>
      <c r="L424">
        <f>IF($B424="","",IF(ISNUMBER(SEARCH("advance",$B424)),"ADV",IF(OR(ISNUMBER(SEARCH("payout",$B424)),ISNUMBER(SEARCH("pay out",$B424)),ISNUMBER(SEARCH("release",$B424))),"PAY","")))</f>
        <v/>
      </c>
      <c r="M424">
        <f>IF($B424="","",IF(ISNUMBER(SEARCH("bulk",$B424)),0,IF(ISNUMBER(SEARCH("fuel",$B424))+ISNUMBER(SEARCH("diesel",$B424))+ISNUMBER(SEARCH("krudo",$B424))+ISNUMBER(SEARCH("gasolina",$B424))&gt;0,1,0)))</f>
        <v/>
      </c>
      <c r="N424">
        <f>IF($B424="","",IF(ISNUMBER(SEARCH("fuel",$B424))+ISNUMBER(SEARCH("diesel",$B424))+ISNUMBER(SEARCH("krudo",$B424))+ISNUMBER(SEARCH("gasolina",$B424))&gt;0,1,0))</f>
        <v/>
      </c>
    </row>
    <row r="425">
      <c r="A425" s="86" t="n"/>
      <c r="B425" s="88" t="n"/>
      <c r="C425" s="88" t="n"/>
      <c r="D425" s="87" t="n"/>
      <c r="E425" s="88" t="n"/>
      <c r="F425" s="92" t="n"/>
      <c r="G425" s="87" t="n"/>
      <c r="H425" s="87" t="n"/>
      <c r="I425" s="101">
        <f>IF($B425="","",IF(COUNTIF(Setup!$A$99:$A$128,$B425)&gt;0,IF(INDEX(Setup!$B$99:$B$128,MATCH($B425,Setup!$A$99:$A$128,0))="","Overhead",INDEX(Setup!$B$99:$B$128,MATCH($B425,Setup!$A$99:$A$128,0))),IF(ISNUMBER(SEARCH("advance",$B425))+ISNUMBER(SEARCH("payout",$B425))+ISNUMBER(SEARCH("pay out",$B425))+ISNUMBER(SEARCH("reimburs",$B425))&gt;0,"Transfer",IF(ISNUMBER(SEARCH("loan",$B425))+ISNUMBER(SEARCH("amort",$B425))+ISNUMBER(SEARCH("installment",$B425))+ISNUMBER(SEARCH("instalment",$B425))&gt;0,"Financing",IF(ISNUMBER(SEARCH("draw",$B425))+ISNUMBER(SEARCH("owner",$B425))+ISNUMBER(SEARCH("asset",$B425))+ISNUMBER(SEARCH("capital",$B425))&gt;0,"Other",IF(ISNUMBER(SEARCH("fuel",$B425))+ISNUMBER(SEARCH("diesel",$B425))+ISNUMBER(SEARCH("krudo",$B425))+ISNUMBER(SEARCH("gasolina",$B425))+ISNUMBER(SEARCH("toll",$B425))+ISNUMBER(SEARCH("parking",$B425))+ISNUMBER(SEARCH("repair",$B425))+ISNUMBER(SEARCH("maintenance",$B425))+ISNUMBER(SEARCH("tire",$B425))+ISNUMBER(SEARCH("tyre",$B425))+ISNUMBER(SEARCH("battery",$B425))+ISNUMBER(SEARCH("oil",$B425))+ISNUMBER(SEARCH("filter",$B425))+ISNUMBER(SEARCH("spare",$B425))+ISNUMBER(SEARCH("insurance",$B425))+ISNUMBER(SEARCH("lto",$B425))+ISNUMBER(SEARCH("registration",$B425))+ISNUMBER(SEARCH("emission",$B425))+ISNUMBER(SEARCH("wash",$B425))+ISNUMBER(SEARCH("weigh",$B425))+ISNUMBER(SEARCH("tarp",$B425))&gt;0,"Vehicle",IF(ISNUMBER(SEARCH("rent",$B425))+ISNUMBER(SEARCH("upa",$B425))+ISNUMBER(SEARCH("salary",$B425))+ISNUMBER(SEARCH("sweldo",$B425))+ISNUMBER(SEARCH("wage",$B425))+ISNUMBER(SEARCH("electric",$B425))+ISNUMBER(SEARCH("kuryente",$B425))+ISNUMBER(SEARCH("water",$B425))+ISNUMBER(SEARCH("tubig",$B425))+ISNUMBER(SEARCH("internet",$B425))+ISNUMBER(SEARCH("pldt",$B425))+ISNUMBER(SEARCH("meralco",$B425))+ISNUMBER(SEARCH("supplies",$B425))+ISNUMBER(SEARCH("office",$B425))+ISNUMBER(SEARCH("professional",$B425))+ISNUMBER(SEARCH("accountant",$B425))+ISNUMBER(SEARCH("lawyer",$B425))+ISNUMBER(SEARCH("broker",$B425))+ISNUMBER(SEARCH("bank",$B425))+ISNUMBER(SEARCH("charge",$B425))+ISNUMBER(SEARCH("permit",$B425))+ISNUMBER(SEARCH("bir",$B425))+ISNUMBER(SEARCH("ltfrb",$B425))+ISNUMBER(SEARCH("misc",$B425))+ISNUMBER(SEARCH("fee",$B425))&gt;0,"Overhead","Overhead")))))))</f>
        <v/>
      </c>
      <c r="J425">
        <f>IF($A425="","",DATE(YEAR($A425),MONTH($A425),1))</f>
        <v/>
      </c>
      <c r="K425">
        <f>IF($B425="","",IF(COUNTIF(Setup!$A$99:$A$128,$B425)&gt;0,0,1))</f>
        <v/>
      </c>
      <c r="L425">
        <f>IF($B425="","",IF(ISNUMBER(SEARCH("advance",$B425)),"ADV",IF(OR(ISNUMBER(SEARCH("payout",$B425)),ISNUMBER(SEARCH("pay out",$B425)),ISNUMBER(SEARCH("release",$B425))),"PAY","")))</f>
        <v/>
      </c>
      <c r="M425">
        <f>IF($B425="","",IF(ISNUMBER(SEARCH("bulk",$B425)),0,IF(ISNUMBER(SEARCH("fuel",$B425))+ISNUMBER(SEARCH("diesel",$B425))+ISNUMBER(SEARCH("krudo",$B425))+ISNUMBER(SEARCH("gasolina",$B425))&gt;0,1,0)))</f>
        <v/>
      </c>
      <c r="N425">
        <f>IF($B425="","",IF(ISNUMBER(SEARCH("fuel",$B425))+ISNUMBER(SEARCH("diesel",$B425))+ISNUMBER(SEARCH("krudo",$B425))+ISNUMBER(SEARCH("gasolina",$B425))&gt;0,1,0))</f>
        <v/>
      </c>
    </row>
    <row r="426">
      <c r="A426" s="94" t="n"/>
      <c r="B426" s="96" t="n"/>
      <c r="C426" s="96" t="n"/>
      <c r="D426" s="95" t="n"/>
      <c r="E426" s="96" t="n"/>
      <c r="F426" s="99" t="n"/>
      <c r="G426" s="95" t="n"/>
      <c r="H426" s="95" t="n"/>
      <c r="I426" s="101">
        <f>IF($B426="","",IF(COUNTIF(Setup!$A$99:$A$128,$B426)&gt;0,IF(INDEX(Setup!$B$99:$B$128,MATCH($B426,Setup!$A$99:$A$128,0))="","Overhead",INDEX(Setup!$B$99:$B$128,MATCH($B426,Setup!$A$99:$A$128,0))),IF(ISNUMBER(SEARCH("advance",$B426))+ISNUMBER(SEARCH("payout",$B426))+ISNUMBER(SEARCH("pay out",$B426))+ISNUMBER(SEARCH("reimburs",$B426))&gt;0,"Transfer",IF(ISNUMBER(SEARCH("loan",$B426))+ISNUMBER(SEARCH("amort",$B426))+ISNUMBER(SEARCH("installment",$B426))+ISNUMBER(SEARCH("instalment",$B426))&gt;0,"Financing",IF(ISNUMBER(SEARCH("draw",$B426))+ISNUMBER(SEARCH("owner",$B426))+ISNUMBER(SEARCH("asset",$B426))+ISNUMBER(SEARCH("capital",$B426))&gt;0,"Other",IF(ISNUMBER(SEARCH("fuel",$B426))+ISNUMBER(SEARCH("diesel",$B426))+ISNUMBER(SEARCH("krudo",$B426))+ISNUMBER(SEARCH("gasolina",$B426))+ISNUMBER(SEARCH("toll",$B426))+ISNUMBER(SEARCH("parking",$B426))+ISNUMBER(SEARCH("repair",$B426))+ISNUMBER(SEARCH("maintenance",$B426))+ISNUMBER(SEARCH("tire",$B426))+ISNUMBER(SEARCH("tyre",$B426))+ISNUMBER(SEARCH("battery",$B426))+ISNUMBER(SEARCH("oil",$B426))+ISNUMBER(SEARCH("filter",$B426))+ISNUMBER(SEARCH("spare",$B426))+ISNUMBER(SEARCH("insurance",$B426))+ISNUMBER(SEARCH("lto",$B426))+ISNUMBER(SEARCH("registration",$B426))+ISNUMBER(SEARCH("emission",$B426))+ISNUMBER(SEARCH("wash",$B426))+ISNUMBER(SEARCH("weigh",$B426))+ISNUMBER(SEARCH("tarp",$B426))&gt;0,"Vehicle",IF(ISNUMBER(SEARCH("rent",$B426))+ISNUMBER(SEARCH("upa",$B426))+ISNUMBER(SEARCH("salary",$B426))+ISNUMBER(SEARCH("sweldo",$B426))+ISNUMBER(SEARCH("wage",$B426))+ISNUMBER(SEARCH("electric",$B426))+ISNUMBER(SEARCH("kuryente",$B426))+ISNUMBER(SEARCH("water",$B426))+ISNUMBER(SEARCH("tubig",$B426))+ISNUMBER(SEARCH("internet",$B426))+ISNUMBER(SEARCH("pldt",$B426))+ISNUMBER(SEARCH("meralco",$B426))+ISNUMBER(SEARCH("supplies",$B426))+ISNUMBER(SEARCH("office",$B426))+ISNUMBER(SEARCH("professional",$B426))+ISNUMBER(SEARCH("accountant",$B426))+ISNUMBER(SEARCH("lawyer",$B426))+ISNUMBER(SEARCH("broker",$B426))+ISNUMBER(SEARCH("bank",$B426))+ISNUMBER(SEARCH("charge",$B426))+ISNUMBER(SEARCH("permit",$B426))+ISNUMBER(SEARCH("bir",$B426))+ISNUMBER(SEARCH("ltfrb",$B426))+ISNUMBER(SEARCH("misc",$B426))+ISNUMBER(SEARCH("fee",$B426))&gt;0,"Overhead","Overhead")))))))</f>
        <v/>
      </c>
      <c r="J426">
        <f>IF($A426="","",DATE(YEAR($A426),MONTH($A426),1))</f>
        <v/>
      </c>
      <c r="K426">
        <f>IF($B426="","",IF(COUNTIF(Setup!$A$99:$A$128,$B426)&gt;0,0,1))</f>
        <v/>
      </c>
      <c r="L426">
        <f>IF($B426="","",IF(ISNUMBER(SEARCH("advance",$B426)),"ADV",IF(OR(ISNUMBER(SEARCH("payout",$B426)),ISNUMBER(SEARCH("pay out",$B426)),ISNUMBER(SEARCH("release",$B426))),"PAY","")))</f>
        <v/>
      </c>
      <c r="M426">
        <f>IF($B426="","",IF(ISNUMBER(SEARCH("bulk",$B426)),0,IF(ISNUMBER(SEARCH("fuel",$B426))+ISNUMBER(SEARCH("diesel",$B426))+ISNUMBER(SEARCH("krudo",$B426))+ISNUMBER(SEARCH("gasolina",$B426))&gt;0,1,0)))</f>
        <v/>
      </c>
      <c r="N426">
        <f>IF($B426="","",IF(ISNUMBER(SEARCH("fuel",$B426))+ISNUMBER(SEARCH("diesel",$B426))+ISNUMBER(SEARCH("krudo",$B426))+ISNUMBER(SEARCH("gasolina",$B426))&gt;0,1,0))</f>
        <v/>
      </c>
    </row>
    <row r="427">
      <c r="A427" s="86" t="n"/>
      <c r="B427" s="88" t="n"/>
      <c r="C427" s="88" t="n"/>
      <c r="D427" s="87" t="n"/>
      <c r="E427" s="88" t="n"/>
      <c r="F427" s="92" t="n"/>
      <c r="G427" s="87" t="n"/>
      <c r="H427" s="87" t="n"/>
      <c r="I427" s="101">
        <f>IF($B427="","",IF(COUNTIF(Setup!$A$99:$A$128,$B427)&gt;0,IF(INDEX(Setup!$B$99:$B$128,MATCH($B427,Setup!$A$99:$A$128,0))="","Overhead",INDEX(Setup!$B$99:$B$128,MATCH($B427,Setup!$A$99:$A$128,0))),IF(ISNUMBER(SEARCH("advance",$B427))+ISNUMBER(SEARCH("payout",$B427))+ISNUMBER(SEARCH("pay out",$B427))+ISNUMBER(SEARCH("reimburs",$B427))&gt;0,"Transfer",IF(ISNUMBER(SEARCH("loan",$B427))+ISNUMBER(SEARCH("amort",$B427))+ISNUMBER(SEARCH("installment",$B427))+ISNUMBER(SEARCH("instalment",$B427))&gt;0,"Financing",IF(ISNUMBER(SEARCH("draw",$B427))+ISNUMBER(SEARCH("owner",$B427))+ISNUMBER(SEARCH("asset",$B427))+ISNUMBER(SEARCH("capital",$B427))&gt;0,"Other",IF(ISNUMBER(SEARCH("fuel",$B427))+ISNUMBER(SEARCH("diesel",$B427))+ISNUMBER(SEARCH("krudo",$B427))+ISNUMBER(SEARCH("gasolina",$B427))+ISNUMBER(SEARCH("toll",$B427))+ISNUMBER(SEARCH("parking",$B427))+ISNUMBER(SEARCH("repair",$B427))+ISNUMBER(SEARCH("maintenance",$B427))+ISNUMBER(SEARCH("tire",$B427))+ISNUMBER(SEARCH("tyre",$B427))+ISNUMBER(SEARCH("battery",$B427))+ISNUMBER(SEARCH("oil",$B427))+ISNUMBER(SEARCH("filter",$B427))+ISNUMBER(SEARCH("spare",$B427))+ISNUMBER(SEARCH("insurance",$B427))+ISNUMBER(SEARCH("lto",$B427))+ISNUMBER(SEARCH("registration",$B427))+ISNUMBER(SEARCH("emission",$B427))+ISNUMBER(SEARCH("wash",$B427))+ISNUMBER(SEARCH("weigh",$B427))+ISNUMBER(SEARCH("tarp",$B427))&gt;0,"Vehicle",IF(ISNUMBER(SEARCH("rent",$B427))+ISNUMBER(SEARCH("upa",$B427))+ISNUMBER(SEARCH("salary",$B427))+ISNUMBER(SEARCH("sweldo",$B427))+ISNUMBER(SEARCH("wage",$B427))+ISNUMBER(SEARCH("electric",$B427))+ISNUMBER(SEARCH("kuryente",$B427))+ISNUMBER(SEARCH("water",$B427))+ISNUMBER(SEARCH("tubig",$B427))+ISNUMBER(SEARCH("internet",$B427))+ISNUMBER(SEARCH("pldt",$B427))+ISNUMBER(SEARCH("meralco",$B427))+ISNUMBER(SEARCH("supplies",$B427))+ISNUMBER(SEARCH("office",$B427))+ISNUMBER(SEARCH("professional",$B427))+ISNUMBER(SEARCH("accountant",$B427))+ISNUMBER(SEARCH("lawyer",$B427))+ISNUMBER(SEARCH("broker",$B427))+ISNUMBER(SEARCH("bank",$B427))+ISNUMBER(SEARCH("charge",$B427))+ISNUMBER(SEARCH("permit",$B427))+ISNUMBER(SEARCH("bir",$B427))+ISNUMBER(SEARCH("ltfrb",$B427))+ISNUMBER(SEARCH("misc",$B427))+ISNUMBER(SEARCH("fee",$B427))&gt;0,"Overhead","Overhead")))))))</f>
        <v/>
      </c>
      <c r="J427">
        <f>IF($A427="","",DATE(YEAR($A427),MONTH($A427),1))</f>
        <v/>
      </c>
      <c r="K427">
        <f>IF($B427="","",IF(COUNTIF(Setup!$A$99:$A$128,$B427)&gt;0,0,1))</f>
        <v/>
      </c>
      <c r="L427">
        <f>IF($B427="","",IF(ISNUMBER(SEARCH("advance",$B427)),"ADV",IF(OR(ISNUMBER(SEARCH("payout",$B427)),ISNUMBER(SEARCH("pay out",$B427)),ISNUMBER(SEARCH("release",$B427))),"PAY","")))</f>
        <v/>
      </c>
      <c r="M427">
        <f>IF($B427="","",IF(ISNUMBER(SEARCH("bulk",$B427)),0,IF(ISNUMBER(SEARCH("fuel",$B427))+ISNUMBER(SEARCH("diesel",$B427))+ISNUMBER(SEARCH("krudo",$B427))+ISNUMBER(SEARCH("gasolina",$B427))&gt;0,1,0)))</f>
        <v/>
      </c>
      <c r="N427">
        <f>IF($B427="","",IF(ISNUMBER(SEARCH("fuel",$B427))+ISNUMBER(SEARCH("diesel",$B427))+ISNUMBER(SEARCH("krudo",$B427))+ISNUMBER(SEARCH("gasolina",$B427))&gt;0,1,0))</f>
        <v/>
      </c>
    </row>
    <row r="428">
      <c r="A428" s="94" t="n"/>
      <c r="B428" s="96" t="n"/>
      <c r="C428" s="96" t="n"/>
      <c r="D428" s="95" t="n"/>
      <c r="E428" s="96" t="n"/>
      <c r="F428" s="99" t="n"/>
      <c r="G428" s="95" t="n"/>
      <c r="H428" s="95" t="n"/>
      <c r="I428" s="101">
        <f>IF($B428="","",IF(COUNTIF(Setup!$A$99:$A$128,$B428)&gt;0,IF(INDEX(Setup!$B$99:$B$128,MATCH($B428,Setup!$A$99:$A$128,0))="","Overhead",INDEX(Setup!$B$99:$B$128,MATCH($B428,Setup!$A$99:$A$128,0))),IF(ISNUMBER(SEARCH("advance",$B428))+ISNUMBER(SEARCH("payout",$B428))+ISNUMBER(SEARCH("pay out",$B428))+ISNUMBER(SEARCH("reimburs",$B428))&gt;0,"Transfer",IF(ISNUMBER(SEARCH("loan",$B428))+ISNUMBER(SEARCH("amort",$B428))+ISNUMBER(SEARCH("installment",$B428))+ISNUMBER(SEARCH("instalment",$B428))&gt;0,"Financing",IF(ISNUMBER(SEARCH("draw",$B428))+ISNUMBER(SEARCH("owner",$B428))+ISNUMBER(SEARCH("asset",$B428))+ISNUMBER(SEARCH("capital",$B428))&gt;0,"Other",IF(ISNUMBER(SEARCH("fuel",$B428))+ISNUMBER(SEARCH("diesel",$B428))+ISNUMBER(SEARCH("krudo",$B428))+ISNUMBER(SEARCH("gasolina",$B428))+ISNUMBER(SEARCH("toll",$B428))+ISNUMBER(SEARCH("parking",$B428))+ISNUMBER(SEARCH("repair",$B428))+ISNUMBER(SEARCH("maintenance",$B428))+ISNUMBER(SEARCH("tire",$B428))+ISNUMBER(SEARCH("tyre",$B428))+ISNUMBER(SEARCH("battery",$B428))+ISNUMBER(SEARCH("oil",$B428))+ISNUMBER(SEARCH("filter",$B428))+ISNUMBER(SEARCH("spare",$B428))+ISNUMBER(SEARCH("insurance",$B428))+ISNUMBER(SEARCH("lto",$B428))+ISNUMBER(SEARCH("registration",$B428))+ISNUMBER(SEARCH("emission",$B428))+ISNUMBER(SEARCH("wash",$B428))+ISNUMBER(SEARCH("weigh",$B428))+ISNUMBER(SEARCH("tarp",$B428))&gt;0,"Vehicle",IF(ISNUMBER(SEARCH("rent",$B428))+ISNUMBER(SEARCH("upa",$B428))+ISNUMBER(SEARCH("salary",$B428))+ISNUMBER(SEARCH("sweldo",$B428))+ISNUMBER(SEARCH("wage",$B428))+ISNUMBER(SEARCH("electric",$B428))+ISNUMBER(SEARCH("kuryente",$B428))+ISNUMBER(SEARCH("water",$B428))+ISNUMBER(SEARCH("tubig",$B428))+ISNUMBER(SEARCH("internet",$B428))+ISNUMBER(SEARCH("pldt",$B428))+ISNUMBER(SEARCH("meralco",$B428))+ISNUMBER(SEARCH("supplies",$B428))+ISNUMBER(SEARCH("office",$B428))+ISNUMBER(SEARCH("professional",$B428))+ISNUMBER(SEARCH("accountant",$B428))+ISNUMBER(SEARCH("lawyer",$B428))+ISNUMBER(SEARCH("broker",$B428))+ISNUMBER(SEARCH("bank",$B428))+ISNUMBER(SEARCH("charge",$B428))+ISNUMBER(SEARCH("permit",$B428))+ISNUMBER(SEARCH("bir",$B428))+ISNUMBER(SEARCH("ltfrb",$B428))+ISNUMBER(SEARCH("misc",$B428))+ISNUMBER(SEARCH("fee",$B428))&gt;0,"Overhead","Overhead")))))))</f>
        <v/>
      </c>
      <c r="J428">
        <f>IF($A428="","",DATE(YEAR($A428),MONTH($A428),1))</f>
        <v/>
      </c>
      <c r="K428">
        <f>IF($B428="","",IF(COUNTIF(Setup!$A$99:$A$128,$B428)&gt;0,0,1))</f>
        <v/>
      </c>
      <c r="L428">
        <f>IF($B428="","",IF(ISNUMBER(SEARCH("advance",$B428)),"ADV",IF(OR(ISNUMBER(SEARCH("payout",$B428)),ISNUMBER(SEARCH("pay out",$B428)),ISNUMBER(SEARCH("release",$B428))),"PAY","")))</f>
        <v/>
      </c>
      <c r="M428">
        <f>IF($B428="","",IF(ISNUMBER(SEARCH("bulk",$B428)),0,IF(ISNUMBER(SEARCH("fuel",$B428))+ISNUMBER(SEARCH("diesel",$B428))+ISNUMBER(SEARCH("krudo",$B428))+ISNUMBER(SEARCH("gasolina",$B428))&gt;0,1,0)))</f>
        <v/>
      </c>
      <c r="N428">
        <f>IF($B428="","",IF(ISNUMBER(SEARCH("fuel",$B428))+ISNUMBER(SEARCH("diesel",$B428))+ISNUMBER(SEARCH("krudo",$B428))+ISNUMBER(SEARCH("gasolina",$B428))&gt;0,1,0))</f>
        <v/>
      </c>
    </row>
    <row r="429">
      <c r="A429" s="86" t="n"/>
      <c r="B429" s="88" t="n"/>
      <c r="C429" s="88" t="n"/>
      <c r="D429" s="87" t="n"/>
      <c r="E429" s="88" t="n"/>
      <c r="F429" s="92" t="n"/>
      <c r="G429" s="87" t="n"/>
      <c r="H429" s="87" t="n"/>
      <c r="I429" s="101">
        <f>IF($B429="","",IF(COUNTIF(Setup!$A$99:$A$128,$B429)&gt;0,IF(INDEX(Setup!$B$99:$B$128,MATCH($B429,Setup!$A$99:$A$128,0))="","Overhead",INDEX(Setup!$B$99:$B$128,MATCH($B429,Setup!$A$99:$A$128,0))),IF(ISNUMBER(SEARCH("advance",$B429))+ISNUMBER(SEARCH("payout",$B429))+ISNUMBER(SEARCH("pay out",$B429))+ISNUMBER(SEARCH("reimburs",$B429))&gt;0,"Transfer",IF(ISNUMBER(SEARCH("loan",$B429))+ISNUMBER(SEARCH("amort",$B429))+ISNUMBER(SEARCH("installment",$B429))+ISNUMBER(SEARCH("instalment",$B429))&gt;0,"Financing",IF(ISNUMBER(SEARCH("draw",$B429))+ISNUMBER(SEARCH("owner",$B429))+ISNUMBER(SEARCH("asset",$B429))+ISNUMBER(SEARCH("capital",$B429))&gt;0,"Other",IF(ISNUMBER(SEARCH("fuel",$B429))+ISNUMBER(SEARCH("diesel",$B429))+ISNUMBER(SEARCH("krudo",$B429))+ISNUMBER(SEARCH("gasolina",$B429))+ISNUMBER(SEARCH("toll",$B429))+ISNUMBER(SEARCH("parking",$B429))+ISNUMBER(SEARCH("repair",$B429))+ISNUMBER(SEARCH("maintenance",$B429))+ISNUMBER(SEARCH("tire",$B429))+ISNUMBER(SEARCH("tyre",$B429))+ISNUMBER(SEARCH("battery",$B429))+ISNUMBER(SEARCH("oil",$B429))+ISNUMBER(SEARCH("filter",$B429))+ISNUMBER(SEARCH("spare",$B429))+ISNUMBER(SEARCH("insurance",$B429))+ISNUMBER(SEARCH("lto",$B429))+ISNUMBER(SEARCH("registration",$B429))+ISNUMBER(SEARCH("emission",$B429))+ISNUMBER(SEARCH("wash",$B429))+ISNUMBER(SEARCH("weigh",$B429))+ISNUMBER(SEARCH("tarp",$B429))&gt;0,"Vehicle",IF(ISNUMBER(SEARCH("rent",$B429))+ISNUMBER(SEARCH("upa",$B429))+ISNUMBER(SEARCH("salary",$B429))+ISNUMBER(SEARCH("sweldo",$B429))+ISNUMBER(SEARCH("wage",$B429))+ISNUMBER(SEARCH("electric",$B429))+ISNUMBER(SEARCH("kuryente",$B429))+ISNUMBER(SEARCH("water",$B429))+ISNUMBER(SEARCH("tubig",$B429))+ISNUMBER(SEARCH("internet",$B429))+ISNUMBER(SEARCH("pldt",$B429))+ISNUMBER(SEARCH("meralco",$B429))+ISNUMBER(SEARCH("supplies",$B429))+ISNUMBER(SEARCH("office",$B429))+ISNUMBER(SEARCH("professional",$B429))+ISNUMBER(SEARCH("accountant",$B429))+ISNUMBER(SEARCH("lawyer",$B429))+ISNUMBER(SEARCH("broker",$B429))+ISNUMBER(SEARCH("bank",$B429))+ISNUMBER(SEARCH("charge",$B429))+ISNUMBER(SEARCH("permit",$B429))+ISNUMBER(SEARCH("bir",$B429))+ISNUMBER(SEARCH("ltfrb",$B429))+ISNUMBER(SEARCH("misc",$B429))+ISNUMBER(SEARCH("fee",$B429))&gt;0,"Overhead","Overhead")))))))</f>
        <v/>
      </c>
      <c r="J429">
        <f>IF($A429="","",DATE(YEAR($A429),MONTH($A429),1))</f>
        <v/>
      </c>
      <c r="K429">
        <f>IF($B429="","",IF(COUNTIF(Setup!$A$99:$A$128,$B429)&gt;0,0,1))</f>
        <v/>
      </c>
      <c r="L429">
        <f>IF($B429="","",IF(ISNUMBER(SEARCH("advance",$B429)),"ADV",IF(OR(ISNUMBER(SEARCH("payout",$B429)),ISNUMBER(SEARCH("pay out",$B429)),ISNUMBER(SEARCH("release",$B429))),"PAY","")))</f>
        <v/>
      </c>
      <c r="M429">
        <f>IF($B429="","",IF(ISNUMBER(SEARCH("bulk",$B429)),0,IF(ISNUMBER(SEARCH("fuel",$B429))+ISNUMBER(SEARCH("diesel",$B429))+ISNUMBER(SEARCH("krudo",$B429))+ISNUMBER(SEARCH("gasolina",$B429))&gt;0,1,0)))</f>
        <v/>
      </c>
      <c r="N429">
        <f>IF($B429="","",IF(ISNUMBER(SEARCH("fuel",$B429))+ISNUMBER(SEARCH("diesel",$B429))+ISNUMBER(SEARCH("krudo",$B429))+ISNUMBER(SEARCH("gasolina",$B429))&gt;0,1,0))</f>
        <v/>
      </c>
    </row>
    <row r="430">
      <c r="A430" s="94" t="n"/>
      <c r="B430" s="96" t="n"/>
      <c r="C430" s="96" t="n"/>
      <c r="D430" s="95" t="n"/>
      <c r="E430" s="96" t="n"/>
      <c r="F430" s="99" t="n"/>
      <c r="G430" s="95" t="n"/>
      <c r="H430" s="95" t="n"/>
      <c r="I430" s="101">
        <f>IF($B430="","",IF(COUNTIF(Setup!$A$99:$A$128,$B430)&gt;0,IF(INDEX(Setup!$B$99:$B$128,MATCH($B430,Setup!$A$99:$A$128,0))="","Overhead",INDEX(Setup!$B$99:$B$128,MATCH($B430,Setup!$A$99:$A$128,0))),IF(ISNUMBER(SEARCH("advance",$B430))+ISNUMBER(SEARCH("payout",$B430))+ISNUMBER(SEARCH("pay out",$B430))+ISNUMBER(SEARCH("reimburs",$B430))&gt;0,"Transfer",IF(ISNUMBER(SEARCH("loan",$B430))+ISNUMBER(SEARCH("amort",$B430))+ISNUMBER(SEARCH("installment",$B430))+ISNUMBER(SEARCH("instalment",$B430))&gt;0,"Financing",IF(ISNUMBER(SEARCH("draw",$B430))+ISNUMBER(SEARCH("owner",$B430))+ISNUMBER(SEARCH("asset",$B430))+ISNUMBER(SEARCH("capital",$B430))&gt;0,"Other",IF(ISNUMBER(SEARCH("fuel",$B430))+ISNUMBER(SEARCH("diesel",$B430))+ISNUMBER(SEARCH("krudo",$B430))+ISNUMBER(SEARCH("gasolina",$B430))+ISNUMBER(SEARCH("toll",$B430))+ISNUMBER(SEARCH("parking",$B430))+ISNUMBER(SEARCH("repair",$B430))+ISNUMBER(SEARCH("maintenance",$B430))+ISNUMBER(SEARCH("tire",$B430))+ISNUMBER(SEARCH("tyre",$B430))+ISNUMBER(SEARCH("battery",$B430))+ISNUMBER(SEARCH("oil",$B430))+ISNUMBER(SEARCH("filter",$B430))+ISNUMBER(SEARCH("spare",$B430))+ISNUMBER(SEARCH("insurance",$B430))+ISNUMBER(SEARCH("lto",$B430))+ISNUMBER(SEARCH("registration",$B430))+ISNUMBER(SEARCH("emission",$B430))+ISNUMBER(SEARCH("wash",$B430))+ISNUMBER(SEARCH("weigh",$B430))+ISNUMBER(SEARCH("tarp",$B430))&gt;0,"Vehicle",IF(ISNUMBER(SEARCH("rent",$B430))+ISNUMBER(SEARCH("upa",$B430))+ISNUMBER(SEARCH("salary",$B430))+ISNUMBER(SEARCH("sweldo",$B430))+ISNUMBER(SEARCH("wage",$B430))+ISNUMBER(SEARCH("electric",$B430))+ISNUMBER(SEARCH("kuryente",$B430))+ISNUMBER(SEARCH("water",$B430))+ISNUMBER(SEARCH("tubig",$B430))+ISNUMBER(SEARCH("internet",$B430))+ISNUMBER(SEARCH("pldt",$B430))+ISNUMBER(SEARCH("meralco",$B430))+ISNUMBER(SEARCH("supplies",$B430))+ISNUMBER(SEARCH("office",$B430))+ISNUMBER(SEARCH("professional",$B430))+ISNUMBER(SEARCH("accountant",$B430))+ISNUMBER(SEARCH("lawyer",$B430))+ISNUMBER(SEARCH("broker",$B430))+ISNUMBER(SEARCH("bank",$B430))+ISNUMBER(SEARCH("charge",$B430))+ISNUMBER(SEARCH("permit",$B430))+ISNUMBER(SEARCH("bir",$B430))+ISNUMBER(SEARCH("ltfrb",$B430))+ISNUMBER(SEARCH("misc",$B430))+ISNUMBER(SEARCH("fee",$B430))&gt;0,"Overhead","Overhead")))))))</f>
        <v/>
      </c>
      <c r="J430">
        <f>IF($A430="","",DATE(YEAR($A430),MONTH($A430),1))</f>
        <v/>
      </c>
      <c r="K430">
        <f>IF($B430="","",IF(COUNTIF(Setup!$A$99:$A$128,$B430)&gt;0,0,1))</f>
        <v/>
      </c>
      <c r="L430">
        <f>IF($B430="","",IF(ISNUMBER(SEARCH("advance",$B430)),"ADV",IF(OR(ISNUMBER(SEARCH("payout",$B430)),ISNUMBER(SEARCH("pay out",$B430)),ISNUMBER(SEARCH("release",$B430))),"PAY","")))</f>
        <v/>
      </c>
      <c r="M430">
        <f>IF($B430="","",IF(ISNUMBER(SEARCH("bulk",$B430)),0,IF(ISNUMBER(SEARCH("fuel",$B430))+ISNUMBER(SEARCH("diesel",$B430))+ISNUMBER(SEARCH("krudo",$B430))+ISNUMBER(SEARCH("gasolina",$B430))&gt;0,1,0)))</f>
        <v/>
      </c>
      <c r="N430">
        <f>IF($B430="","",IF(ISNUMBER(SEARCH("fuel",$B430))+ISNUMBER(SEARCH("diesel",$B430))+ISNUMBER(SEARCH("krudo",$B430))+ISNUMBER(SEARCH("gasolina",$B430))&gt;0,1,0))</f>
        <v/>
      </c>
    </row>
    <row r="431">
      <c r="A431" s="86" t="n"/>
      <c r="B431" s="88" t="n"/>
      <c r="C431" s="88" t="n"/>
      <c r="D431" s="87" t="n"/>
      <c r="E431" s="88" t="n"/>
      <c r="F431" s="92" t="n"/>
      <c r="G431" s="87" t="n"/>
      <c r="H431" s="87" t="n"/>
      <c r="I431" s="101">
        <f>IF($B431="","",IF(COUNTIF(Setup!$A$99:$A$128,$B431)&gt;0,IF(INDEX(Setup!$B$99:$B$128,MATCH($B431,Setup!$A$99:$A$128,0))="","Overhead",INDEX(Setup!$B$99:$B$128,MATCH($B431,Setup!$A$99:$A$128,0))),IF(ISNUMBER(SEARCH("advance",$B431))+ISNUMBER(SEARCH("payout",$B431))+ISNUMBER(SEARCH("pay out",$B431))+ISNUMBER(SEARCH("reimburs",$B431))&gt;0,"Transfer",IF(ISNUMBER(SEARCH("loan",$B431))+ISNUMBER(SEARCH("amort",$B431))+ISNUMBER(SEARCH("installment",$B431))+ISNUMBER(SEARCH("instalment",$B431))&gt;0,"Financing",IF(ISNUMBER(SEARCH("draw",$B431))+ISNUMBER(SEARCH("owner",$B431))+ISNUMBER(SEARCH("asset",$B431))+ISNUMBER(SEARCH("capital",$B431))&gt;0,"Other",IF(ISNUMBER(SEARCH("fuel",$B431))+ISNUMBER(SEARCH("diesel",$B431))+ISNUMBER(SEARCH("krudo",$B431))+ISNUMBER(SEARCH("gasolina",$B431))+ISNUMBER(SEARCH("toll",$B431))+ISNUMBER(SEARCH("parking",$B431))+ISNUMBER(SEARCH("repair",$B431))+ISNUMBER(SEARCH("maintenance",$B431))+ISNUMBER(SEARCH("tire",$B431))+ISNUMBER(SEARCH("tyre",$B431))+ISNUMBER(SEARCH("battery",$B431))+ISNUMBER(SEARCH("oil",$B431))+ISNUMBER(SEARCH("filter",$B431))+ISNUMBER(SEARCH("spare",$B431))+ISNUMBER(SEARCH("insurance",$B431))+ISNUMBER(SEARCH("lto",$B431))+ISNUMBER(SEARCH("registration",$B431))+ISNUMBER(SEARCH("emission",$B431))+ISNUMBER(SEARCH("wash",$B431))+ISNUMBER(SEARCH("weigh",$B431))+ISNUMBER(SEARCH("tarp",$B431))&gt;0,"Vehicle",IF(ISNUMBER(SEARCH("rent",$B431))+ISNUMBER(SEARCH("upa",$B431))+ISNUMBER(SEARCH("salary",$B431))+ISNUMBER(SEARCH("sweldo",$B431))+ISNUMBER(SEARCH("wage",$B431))+ISNUMBER(SEARCH("electric",$B431))+ISNUMBER(SEARCH("kuryente",$B431))+ISNUMBER(SEARCH("water",$B431))+ISNUMBER(SEARCH("tubig",$B431))+ISNUMBER(SEARCH("internet",$B431))+ISNUMBER(SEARCH("pldt",$B431))+ISNUMBER(SEARCH("meralco",$B431))+ISNUMBER(SEARCH("supplies",$B431))+ISNUMBER(SEARCH("office",$B431))+ISNUMBER(SEARCH("professional",$B431))+ISNUMBER(SEARCH("accountant",$B431))+ISNUMBER(SEARCH("lawyer",$B431))+ISNUMBER(SEARCH("broker",$B431))+ISNUMBER(SEARCH("bank",$B431))+ISNUMBER(SEARCH("charge",$B431))+ISNUMBER(SEARCH("permit",$B431))+ISNUMBER(SEARCH("bir",$B431))+ISNUMBER(SEARCH("ltfrb",$B431))+ISNUMBER(SEARCH("misc",$B431))+ISNUMBER(SEARCH("fee",$B431))&gt;0,"Overhead","Overhead")))))))</f>
        <v/>
      </c>
      <c r="J431">
        <f>IF($A431="","",DATE(YEAR($A431),MONTH($A431),1))</f>
        <v/>
      </c>
      <c r="K431">
        <f>IF($B431="","",IF(COUNTIF(Setup!$A$99:$A$128,$B431)&gt;0,0,1))</f>
        <v/>
      </c>
      <c r="L431">
        <f>IF($B431="","",IF(ISNUMBER(SEARCH("advance",$B431)),"ADV",IF(OR(ISNUMBER(SEARCH("payout",$B431)),ISNUMBER(SEARCH("pay out",$B431)),ISNUMBER(SEARCH("release",$B431))),"PAY","")))</f>
        <v/>
      </c>
      <c r="M431">
        <f>IF($B431="","",IF(ISNUMBER(SEARCH("bulk",$B431)),0,IF(ISNUMBER(SEARCH("fuel",$B431))+ISNUMBER(SEARCH("diesel",$B431))+ISNUMBER(SEARCH("krudo",$B431))+ISNUMBER(SEARCH("gasolina",$B431))&gt;0,1,0)))</f>
        <v/>
      </c>
      <c r="N431">
        <f>IF($B431="","",IF(ISNUMBER(SEARCH("fuel",$B431))+ISNUMBER(SEARCH("diesel",$B431))+ISNUMBER(SEARCH("krudo",$B431))+ISNUMBER(SEARCH("gasolina",$B431))&gt;0,1,0))</f>
        <v/>
      </c>
    </row>
    <row r="432">
      <c r="A432" s="94" t="n"/>
      <c r="B432" s="96" t="n"/>
      <c r="C432" s="96" t="n"/>
      <c r="D432" s="95" t="n"/>
      <c r="E432" s="96" t="n"/>
      <c r="F432" s="99" t="n"/>
      <c r="G432" s="95" t="n"/>
      <c r="H432" s="95" t="n"/>
      <c r="I432" s="101">
        <f>IF($B432="","",IF(COUNTIF(Setup!$A$99:$A$128,$B432)&gt;0,IF(INDEX(Setup!$B$99:$B$128,MATCH($B432,Setup!$A$99:$A$128,0))="","Overhead",INDEX(Setup!$B$99:$B$128,MATCH($B432,Setup!$A$99:$A$128,0))),IF(ISNUMBER(SEARCH("advance",$B432))+ISNUMBER(SEARCH("payout",$B432))+ISNUMBER(SEARCH("pay out",$B432))+ISNUMBER(SEARCH("reimburs",$B432))&gt;0,"Transfer",IF(ISNUMBER(SEARCH("loan",$B432))+ISNUMBER(SEARCH("amort",$B432))+ISNUMBER(SEARCH("installment",$B432))+ISNUMBER(SEARCH("instalment",$B432))&gt;0,"Financing",IF(ISNUMBER(SEARCH("draw",$B432))+ISNUMBER(SEARCH("owner",$B432))+ISNUMBER(SEARCH("asset",$B432))+ISNUMBER(SEARCH("capital",$B432))&gt;0,"Other",IF(ISNUMBER(SEARCH("fuel",$B432))+ISNUMBER(SEARCH("diesel",$B432))+ISNUMBER(SEARCH("krudo",$B432))+ISNUMBER(SEARCH("gasolina",$B432))+ISNUMBER(SEARCH("toll",$B432))+ISNUMBER(SEARCH("parking",$B432))+ISNUMBER(SEARCH("repair",$B432))+ISNUMBER(SEARCH("maintenance",$B432))+ISNUMBER(SEARCH("tire",$B432))+ISNUMBER(SEARCH("tyre",$B432))+ISNUMBER(SEARCH("battery",$B432))+ISNUMBER(SEARCH("oil",$B432))+ISNUMBER(SEARCH("filter",$B432))+ISNUMBER(SEARCH("spare",$B432))+ISNUMBER(SEARCH("insurance",$B432))+ISNUMBER(SEARCH("lto",$B432))+ISNUMBER(SEARCH("registration",$B432))+ISNUMBER(SEARCH("emission",$B432))+ISNUMBER(SEARCH("wash",$B432))+ISNUMBER(SEARCH("weigh",$B432))+ISNUMBER(SEARCH("tarp",$B432))&gt;0,"Vehicle",IF(ISNUMBER(SEARCH("rent",$B432))+ISNUMBER(SEARCH("upa",$B432))+ISNUMBER(SEARCH("salary",$B432))+ISNUMBER(SEARCH("sweldo",$B432))+ISNUMBER(SEARCH("wage",$B432))+ISNUMBER(SEARCH("electric",$B432))+ISNUMBER(SEARCH("kuryente",$B432))+ISNUMBER(SEARCH("water",$B432))+ISNUMBER(SEARCH("tubig",$B432))+ISNUMBER(SEARCH("internet",$B432))+ISNUMBER(SEARCH("pldt",$B432))+ISNUMBER(SEARCH("meralco",$B432))+ISNUMBER(SEARCH("supplies",$B432))+ISNUMBER(SEARCH("office",$B432))+ISNUMBER(SEARCH("professional",$B432))+ISNUMBER(SEARCH("accountant",$B432))+ISNUMBER(SEARCH("lawyer",$B432))+ISNUMBER(SEARCH("broker",$B432))+ISNUMBER(SEARCH("bank",$B432))+ISNUMBER(SEARCH("charge",$B432))+ISNUMBER(SEARCH("permit",$B432))+ISNUMBER(SEARCH("bir",$B432))+ISNUMBER(SEARCH("ltfrb",$B432))+ISNUMBER(SEARCH("misc",$B432))+ISNUMBER(SEARCH("fee",$B432))&gt;0,"Overhead","Overhead")))))))</f>
        <v/>
      </c>
      <c r="J432">
        <f>IF($A432="","",DATE(YEAR($A432),MONTH($A432),1))</f>
        <v/>
      </c>
      <c r="K432">
        <f>IF($B432="","",IF(COUNTIF(Setup!$A$99:$A$128,$B432)&gt;0,0,1))</f>
        <v/>
      </c>
      <c r="L432">
        <f>IF($B432="","",IF(ISNUMBER(SEARCH("advance",$B432)),"ADV",IF(OR(ISNUMBER(SEARCH("payout",$B432)),ISNUMBER(SEARCH("pay out",$B432)),ISNUMBER(SEARCH("release",$B432))),"PAY","")))</f>
        <v/>
      </c>
      <c r="M432">
        <f>IF($B432="","",IF(ISNUMBER(SEARCH("bulk",$B432)),0,IF(ISNUMBER(SEARCH("fuel",$B432))+ISNUMBER(SEARCH("diesel",$B432))+ISNUMBER(SEARCH("krudo",$B432))+ISNUMBER(SEARCH("gasolina",$B432))&gt;0,1,0)))</f>
        <v/>
      </c>
      <c r="N432">
        <f>IF($B432="","",IF(ISNUMBER(SEARCH("fuel",$B432))+ISNUMBER(SEARCH("diesel",$B432))+ISNUMBER(SEARCH("krudo",$B432))+ISNUMBER(SEARCH("gasolina",$B432))&gt;0,1,0))</f>
        <v/>
      </c>
    </row>
    <row r="433">
      <c r="A433" s="86" t="n"/>
      <c r="B433" s="88" t="n"/>
      <c r="C433" s="88" t="n"/>
      <c r="D433" s="87" t="n"/>
      <c r="E433" s="88" t="n"/>
      <c r="F433" s="92" t="n"/>
      <c r="G433" s="87" t="n"/>
      <c r="H433" s="87" t="n"/>
      <c r="I433" s="101">
        <f>IF($B433="","",IF(COUNTIF(Setup!$A$99:$A$128,$B433)&gt;0,IF(INDEX(Setup!$B$99:$B$128,MATCH($B433,Setup!$A$99:$A$128,0))="","Overhead",INDEX(Setup!$B$99:$B$128,MATCH($B433,Setup!$A$99:$A$128,0))),IF(ISNUMBER(SEARCH("advance",$B433))+ISNUMBER(SEARCH("payout",$B433))+ISNUMBER(SEARCH("pay out",$B433))+ISNUMBER(SEARCH("reimburs",$B433))&gt;0,"Transfer",IF(ISNUMBER(SEARCH("loan",$B433))+ISNUMBER(SEARCH("amort",$B433))+ISNUMBER(SEARCH("installment",$B433))+ISNUMBER(SEARCH("instalment",$B433))&gt;0,"Financing",IF(ISNUMBER(SEARCH("draw",$B433))+ISNUMBER(SEARCH("owner",$B433))+ISNUMBER(SEARCH("asset",$B433))+ISNUMBER(SEARCH("capital",$B433))&gt;0,"Other",IF(ISNUMBER(SEARCH("fuel",$B433))+ISNUMBER(SEARCH("diesel",$B433))+ISNUMBER(SEARCH("krudo",$B433))+ISNUMBER(SEARCH("gasolina",$B433))+ISNUMBER(SEARCH("toll",$B433))+ISNUMBER(SEARCH("parking",$B433))+ISNUMBER(SEARCH("repair",$B433))+ISNUMBER(SEARCH("maintenance",$B433))+ISNUMBER(SEARCH("tire",$B433))+ISNUMBER(SEARCH("tyre",$B433))+ISNUMBER(SEARCH("battery",$B433))+ISNUMBER(SEARCH("oil",$B433))+ISNUMBER(SEARCH("filter",$B433))+ISNUMBER(SEARCH("spare",$B433))+ISNUMBER(SEARCH("insurance",$B433))+ISNUMBER(SEARCH("lto",$B433))+ISNUMBER(SEARCH("registration",$B433))+ISNUMBER(SEARCH("emission",$B433))+ISNUMBER(SEARCH("wash",$B433))+ISNUMBER(SEARCH("weigh",$B433))+ISNUMBER(SEARCH("tarp",$B433))&gt;0,"Vehicle",IF(ISNUMBER(SEARCH("rent",$B433))+ISNUMBER(SEARCH("upa",$B433))+ISNUMBER(SEARCH("salary",$B433))+ISNUMBER(SEARCH("sweldo",$B433))+ISNUMBER(SEARCH("wage",$B433))+ISNUMBER(SEARCH("electric",$B433))+ISNUMBER(SEARCH("kuryente",$B433))+ISNUMBER(SEARCH("water",$B433))+ISNUMBER(SEARCH("tubig",$B433))+ISNUMBER(SEARCH("internet",$B433))+ISNUMBER(SEARCH("pldt",$B433))+ISNUMBER(SEARCH("meralco",$B433))+ISNUMBER(SEARCH("supplies",$B433))+ISNUMBER(SEARCH("office",$B433))+ISNUMBER(SEARCH("professional",$B433))+ISNUMBER(SEARCH("accountant",$B433))+ISNUMBER(SEARCH("lawyer",$B433))+ISNUMBER(SEARCH("broker",$B433))+ISNUMBER(SEARCH("bank",$B433))+ISNUMBER(SEARCH("charge",$B433))+ISNUMBER(SEARCH("permit",$B433))+ISNUMBER(SEARCH("bir",$B433))+ISNUMBER(SEARCH("ltfrb",$B433))+ISNUMBER(SEARCH("misc",$B433))+ISNUMBER(SEARCH("fee",$B433))&gt;0,"Overhead","Overhead")))))))</f>
        <v/>
      </c>
      <c r="J433">
        <f>IF($A433="","",DATE(YEAR($A433),MONTH($A433),1))</f>
        <v/>
      </c>
      <c r="K433">
        <f>IF($B433="","",IF(COUNTIF(Setup!$A$99:$A$128,$B433)&gt;0,0,1))</f>
        <v/>
      </c>
      <c r="L433">
        <f>IF($B433="","",IF(ISNUMBER(SEARCH("advance",$B433)),"ADV",IF(OR(ISNUMBER(SEARCH("payout",$B433)),ISNUMBER(SEARCH("pay out",$B433)),ISNUMBER(SEARCH("release",$B433))),"PAY","")))</f>
        <v/>
      </c>
      <c r="M433">
        <f>IF($B433="","",IF(ISNUMBER(SEARCH("bulk",$B433)),0,IF(ISNUMBER(SEARCH("fuel",$B433))+ISNUMBER(SEARCH("diesel",$B433))+ISNUMBER(SEARCH("krudo",$B433))+ISNUMBER(SEARCH("gasolina",$B433))&gt;0,1,0)))</f>
        <v/>
      </c>
      <c r="N433">
        <f>IF($B433="","",IF(ISNUMBER(SEARCH("fuel",$B433))+ISNUMBER(SEARCH("diesel",$B433))+ISNUMBER(SEARCH("krudo",$B433))+ISNUMBER(SEARCH("gasolina",$B433))&gt;0,1,0))</f>
        <v/>
      </c>
    </row>
    <row r="434">
      <c r="A434" s="94" t="n"/>
      <c r="B434" s="96" t="n"/>
      <c r="C434" s="96" t="n"/>
      <c r="D434" s="95" t="n"/>
      <c r="E434" s="96" t="n"/>
      <c r="F434" s="99" t="n"/>
      <c r="G434" s="95" t="n"/>
      <c r="H434" s="95" t="n"/>
      <c r="I434" s="101">
        <f>IF($B434="","",IF(COUNTIF(Setup!$A$99:$A$128,$B434)&gt;0,IF(INDEX(Setup!$B$99:$B$128,MATCH($B434,Setup!$A$99:$A$128,0))="","Overhead",INDEX(Setup!$B$99:$B$128,MATCH($B434,Setup!$A$99:$A$128,0))),IF(ISNUMBER(SEARCH("advance",$B434))+ISNUMBER(SEARCH("payout",$B434))+ISNUMBER(SEARCH("pay out",$B434))+ISNUMBER(SEARCH("reimburs",$B434))&gt;0,"Transfer",IF(ISNUMBER(SEARCH("loan",$B434))+ISNUMBER(SEARCH("amort",$B434))+ISNUMBER(SEARCH("installment",$B434))+ISNUMBER(SEARCH("instalment",$B434))&gt;0,"Financing",IF(ISNUMBER(SEARCH("draw",$B434))+ISNUMBER(SEARCH("owner",$B434))+ISNUMBER(SEARCH("asset",$B434))+ISNUMBER(SEARCH("capital",$B434))&gt;0,"Other",IF(ISNUMBER(SEARCH("fuel",$B434))+ISNUMBER(SEARCH("diesel",$B434))+ISNUMBER(SEARCH("krudo",$B434))+ISNUMBER(SEARCH("gasolina",$B434))+ISNUMBER(SEARCH("toll",$B434))+ISNUMBER(SEARCH("parking",$B434))+ISNUMBER(SEARCH("repair",$B434))+ISNUMBER(SEARCH("maintenance",$B434))+ISNUMBER(SEARCH("tire",$B434))+ISNUMBER(SEARCH("tyre",$B434))+ISNUMBER(SEARCH("battery",$B434))+ISNUMBER(SEARCH("oil",$B434))+ISNUMBER(SEARCH("filter",$B434))+ISNUMBER(SEARCH("spare",$B434))+ISNUMBER(SEARCH("insurance",$B434))+ISNUMBER(SEARCH("lto",$B434))+ISNUMBER(SEARCH("registration",$B434))+ISNUMBER(SEARCH("emission",$B434))+ISNUMBER(SEARCH("wash",$B434))+ISNUMBER(SEARCH("weigh",$B434))+ISNUMBER(SEARCH("tarp",$B434))&gt;0,"Vehicle",IF(ISNUMBER(SEARCH("rent",$B434))+ISNUMBER(SEARCH("upa",$B434))+ISNUMBER(SEARCH("salary",$B434))+ISNUMBER(SEARCH("sweldo",$B434))+ISNUMBER(SEARCH("wage",$B434))+ISNUMBER(SEARCH("electric",$B434))+ISNUMBER(SEARCH("kuryente",$B434))+ISNUMBER(SEARCH("water",$B434))+ISNUMBER(SEARCH("tubig",$B434))+ISNUMBER(SEARCH("internet",$B434))+ISNUMBER(SEARCH("pldt",$B434))+ISNUMBER(SEARCH("meralco",$B434))+ISNUMBER(SEARCH("supplies",$B434))+ISNUMBER(SEARCH("office",$B434))+ISNUMBER(SEARCH("professional",$B434))+ISNUMBER(SEARCH("accountant",$B434))+ISNUMBER(SEARCH("lawyer",$B434))+ISNUMBER(SEARCH("broker",$B434))+ISNUMBER(SEARCH("bank",$B434))+ISNUMBER(SEARCH("charge",$B434))+ISNUMBER(SEARCH("permit",$B434))+ISNUMBER(SEARCH("bir",$B434))+ISNUMBER(SEARCH("ltfrb",$B434))+ISNUMBER(SEARCH("misc",$B434))+ISNUMBER(SEARCH("fee",$B434))&gt;0,"Overhead","Overhead")))))))</f>
        <v/>
      </c>
      <c r="J434">
        <f>IF($A434="","",DATE(YEAR($A434),MONTH($A434),1))</f>
        <v/>
      </c>
      <c r="K434">
        <f>IF($B434="","",IF(COUNTIF(Setup!$A$99:$A$128,$B434)&gt;0,0,1))</f>
        <v/>
      </c>
      <c r="L434">
        <f>IF($B434="","",IF(ISNUMBER(SEARCH("advance",$B434)),"ADV",IF(OR(ISNUMBER(SEARCH("payout",$B434)),ISNUMBER(SEARCH("pay out",$B434)),ISNUMBER(SEARCH("release",$B434))),"PAY","")))</f>
        <v/>
      </c>
      <c r="M434">
        <f>IF($B434="","",IF(ISNUMBER(SEARCH("bulk",$B434)),0,IF(ISNUMBER(SEARCH("fuel",$B434))+ISNUMBER(SEARCH("diesel",$B434))+ISNUMBER(SEARCH("krudo",$B434))+ISNUMBER(SEARCH("gasolina",$B434))&gt;0,1,0)))</f>
        <v/>
      </c>
      <c r="N434">
        <f>IF($B434="","",IF(ISNUMBER(SEARCH("fuel",$B434))+ISNUMBER(SEARCH("diesel",$B434))+ISNUMBER(SEARCH("krudo",$B434))+ISNUMBER(SEARCH("gasolina",$B434))&gt;0,1,0))</f>
        <v/>
      </c>
    </row>
    <row r="435">
      <c r="A435" s="86" t="n"/>
      <c r="B435" s="88" t="n"/>
      <c r="C435" s="88" t="n"/>
      <c r="D435" s="87" t="n"/>
      <c r="E435" s="88" t="n"/>
      <c r="F435" s="92" t="n"/>
      <c r="G435" s="87" t="n"/>
      <c r="H435" s="87" t="n"/>
      <c r="I435" s="101">
        <f>IF($B435="","",IF(COUNTIF(Setup!$A$99:$A$128,$B435)&gt;0,IF(INDEX(Setup!$B$99:$B$128,MATCH($B435,Setup!$A$99:$A$128,0))="","Overhead",INDEX(Setup!$B$99:$B$128,MATCH($B435,Setup!$A$99:$A$128,0))),IF(ISNUMBER(SEARCH("advance",$B435))+ISNUMBER(SEARCH("payout",$B435))+ISNUMBER(SEARCH("pay out",$B435))+ISNUMBER(SEARCH("reimburs",$B435))&gt;0,"Transfer",IF(ISNUMBER(SEARCH("loan",$B435))+ISNUMBER(SEARCH("amort",$B435))+ISNUMBER(SEARCH("installment",$B435))+ISNUMBER(SEARCH("instalment",$B435))&gt;0,"Financing",IF(ISNUMBER(SEARCH("draw",$B435))+ISNUMBER(SEARCH("owner",$B435))+ISNUMBER(SEARCH("asset",$B435))+ISNUMBER(SEARCH("capital",$B435))&gt;0,"Other",IF(ISNUMBER(SEARCH("fuel",$B435))+ISNUMBER(SEARCH("diesel",$B435))+ISNUMBER(SEARCH("krudo",$B435))+ISNUMBER(SEARCH("gasolina",$B435))+ISNUMBER(SEARCH("toll",$B435))+ISNUMBER(SEARCH("parking",$B435))+ISNUMBER(SEARCH("repair",$B435))+ISNUMBER(SEARCH("maintenance",$B435))+ISNUMBER(SEARCH("tire",$B435))+ISNUMBER(SEARCH("tyre",$B435))+ISNUMBER(SEARCH("battery",$B435))+ISNUMBER(SEARCH("oil",$B435))+ISNUMBER(SEARCH("filter",$B435))+ISNUMBER(SEARCH("spare",$B435))+ISNUMBER(SEARCH("insurance",$B435))+ISNUMBER(SEARCH("lto",$B435))+ISNUMBER(SEARCH("registration",$B435))+ISNUMBER(SEARCH("emission",$B435))+ISNUMBER(SEARCH("wash",$B435))+ISNUMBER(SEARCH("weigh",$B435))+ISNUMBER(SEARCH("tarp",$B435))&gt;0,"Vehicle",IF(ISNUMBER(SEARCH("rent",$B435))+ISNUMBER(SEARCH("upa",$B435))+ISNUMBER(SEARCH("salary",$B435))+ISNUMBER(SEARCH("sweldo",$B435))+ISNUMBER(SEARCH("wage",$B435))+ISNUMBER(SEARCH("electric",$B435))+ISNUMBER(SEARCH("kuryente",$B435))+ISNUMBER(SEARCH("water",$B435))+ISNUMBER(SEARCH("tubig",$B435))+ISNUMBER(SEARCH("internet",$B435))+ISNUMBER(SEARCH("pldt",$B435))+ISNUMBER(SEARCH("meralco",$B435))+ISNUMBER(SEARCH("supplies",$B435))+ISNUMBER(SEARCH("office",$B435))+ISNUMBER(SEARCH("professional",$B435))+ISNUMBER(SEARCH("accountant",$B435))+ISNUMBER(SEARCH("lawyer",$B435))+ISNUMBER(SEARCH("broker",$B435))+ISNUMBER(SEARCH("bank",$B435))+ISNUMBER(SEARCH("charge",$B435))+ISNUMBER(SEARCH("permit",$B435))+ISNUMBER(SEARCH("bir",$B435))+ISNUMBER(SEARCH("ltfrb",$B435))+ISNUMBER(SEARCH("misc",$B435))+ISNUMBER(SEARCH("fee",$B435))&gt;0,"Overhead","Overhead")))))))</f>
        <v/>
      </c>
      <c r="J435">
        <f>IF($A435="","",DATE(YEAR($A435),MONTH($A435),1))</f>
        <v/>
      </c>
      <c r="K435">
        <f>IF($B435="","",IF(COUNTIF(Setup!$A$99:$A$128,$B435)&gt;0,0,1))</f>
        <v/>
      </c>
      <c r="L435">
        <f>IF($B435="","",IF(ISNUMBER(SEARCH("advance",$B435)),"ADV",IF(OR(ISNUMBER(SEARCH("payout",$B435)),ISNUMBER(SEARCH("pay out",$B435)),ISNUMBER(SEARCH("release",$B435))),"PAY","")))</f>
        <v/>
      </c>
      <c r="M435">
        <f>IF($B435="","",IF(ISNUMBER(SEARCH("bulk",$B435)),0,IF(ISNUMBER(SEARCH("fuel",$B435))+ISNUMBER(SEARCH("diesel",$B435))+ISNUMBER(SEARCH("krudo",$B435))+ISNUMBER(SEARCH("gasolina",$B435))&gt;0,1,0)))</f>
        <v/>
      </c>
      <c r="N435">
        <f>IF($B435="","",IF(ISNUMBER(SEARCH("fuel",$B435))+ISNUMBER(SEARCH("diesel",$B435))+ISNUMBER(SEARCH("krudo",$B435))+ISNUMBER(SEARCH("gasolina",$B435))&gt;0,1,0))</f>
        <v/>
      </c>
    </row>
    <row r="436">
      <c r="A436" s="94" t="n"/>
      <c r="B436" s="96" t="n"/>
      <c r="C436" s="96" t="n"/>
      <c r="D436" s="95" t="n"/>
      <c r="E436" s="96" t="n"/>
      <c r="F436" s="99" t="n"/>
      <c r="G436" s="95" t="n"/>
      <c r="H436" s="95" t="n"/>
      <c r="I436" s="101">
        <f>IF($B436="","",IF(COUNTIF(Setup!$A$99:$A$128,$B436)&gt;0,IF(INDEX(Setup!$B$99:$B$128,MATCH($B436,Setup!$A$99:$A$128,0))="","Overhead",INDEX(Setup!$B$99:$B$128,MATCH($B436,Setup!$A$99:$A$128,0))),IF(ISNUMBER(SEARCH("advance",$B436))+ISNUMBER(SEARCH("payout",$B436))+ISNUMBER(SEARCH("pay out",$B436))+ISNUMBER(SEARCH("reimburs",$B436))&gt;0,"Transfer",IF(ISNUMBER(SEARCH("loan",$B436))+ISNUMBER(SEARCH("amort",$B436))+ISNUMBER(SEARCH("installment",$B436))+ISNUMBER(SEARCH("instalment",$B436))&gt;0,"Financing",IF(ISNUMBER(SEARCH("draw",$B436))+ISNUMBER(SEARCH("owner",$B436))+ISNUMBER(SEARCH("asset",$B436))+ISNUMBER(SEARCH("capital",$B436))&gt;0,"Other",IF(ISNUMBER(SEARCH("fuel",$B436))+ISNUMBER(SEARCH("diesel",$B436))+ISNUMBER(SEARCH("krudo",$B436))+ISNUMBER(SEARCH("gasolina",$B436))+ISNUMBER(SEARCH("toll",$B436))+ISNUMBER(SEARCH("parking",$B436))+ISNUMBER(SEARCH("repair",$B436))+ISNUMBER(SEARCH("maintenance",$B436))+ISNUMBER(SEARCH("tire",$B436))+ISNUMBER(SEARCH("tyre",$B436))+ISNUMBER(SEARCH("battery",$B436))+ISNUMBER(SEARCH("oil",$B436))+ISNUMBER(SEARCH("filter",$B436))+ISNUMBER(SEARCH("spare",$B436))+ISNUMBER(SEARCH("insurance",$B436))+ISNUMBER(SEARCH("lto",$B436))+ISNUMBER(SEARCH("registration",$B436))+ISNUMBER(SEARCH("emission",$B436))+ISNUMBER(SEARCH("wash",$B436))+ISNUMBER(SEARCH("weigh",$B436))+ISNUMBER(SEARCH("tarp",$B436))&gt;0,"Vehicle",IF(ISNUMBER(SEARCH("rent",$B436))+ISNUMBER(SEARCH("upa",$B436))+ISNUMBER(SEARCH("salary",$B436))+ISNUMBER(SEARCH("sweldo",$B436))+ISNUMBER(SEARCH("wage",$B436))+ISNUMBER(SEARCH("electric",$B436))+ISNUMBER(SEARCH("kuryente",$B436))+ISNUMBER(SEARCH("water",$B436))+ISNUMBER(SEARCH("tubig",$B436))+ISNUMBER(SEARCH("internet",$B436))+ISNUMBER(SEARCH("pldt",$B436))+ISNUMBER(SEARCH("meralco",$B436))+ISNUMBER(SEARCH("supplies",$B436))+ISNUMBER(SEARCH("office",$B436))+ISNUMBER(SEARCH("professional",$B436))+ISNUMBER(SEARCH("accountant",$B436))+ISNUMBER(SEARCH("lawyer",$B436))+ISNUMBER(SEARCH("broker",$B436))+ISNUMBER(SEARCH("bank",$B436))+ISNUMBER(SEARCH("charge",$B436))+ISNUMBER(SEARCH("permit",$B436))+ISNUMBER(SEARCH("bir",$B436))+ISNUMBER(SEARCH("ltfrb",$B436))+ISNUMBER(SEARCH("misc",$B436))+ISNUMBER(SEARCH("fee",$B436))&gt;0,"Overhead","Overhead")))))))</f>
        <v/>
      </c>
      <c r="J436">
        <f>IF($A436="","",DATE(YEAR($A436),MONTH($A436),1))</f>
        <v/>
      </c>
      <c r="K436">
        <f>IF($B436="","",IF(COUNTIF(Setup!$A$99:$A$128,$B436)&gt;0,0,1))</f>
        <v/>
      </c>
      <c r="L436">
        <f>IF($B436="","",IF(ISNUMBER(SEARCH("advance",$B436)),"ADV",IF(OR(ISNUMBER(SEARCH("payout",$B436)),ISNUMBER(SEARCH("pay out",$B436)),ISNUMBER(SEARCH("release",$B436))),"PAY","")))</f>
        <v/>
      </c>
      <c r="M436">
        <f>IF($B436="","",IF(ISNUMBER(SEARCH("bulk",$B436)),0,IF(ISNUMBER(SEARCH("fuel",$B436))+ISNUMBER(SEARCH("diesel",$B436))+ISNUMBER(SEARCH("krudo",$B436))+ISNUMBER(SEARCH("gasolina",$B436))&gt;0,1,0)))</f>
        <v/>
      </c>
      <c r="N436">
        <f>IF($B436="","",IF(ISNUMBER(SEARCH("fuel",$B436))+ISNUMBER(SEARCH("diesel",$B436))+ISNUMBER(SEARCH("krudo",$B436))+ISNUMBER(SEARCH("gasolina",$B436))&gt;0,1,0))</f>
        <v/>
      </c>
    </row>
    <row r="437">
      <c r="A437" s="86" t="n"/>
      <c r="B437" s="88" t="n"/>
      <c r="C437" s="88" t="n"/>
      <c r="D437" s="87" t="n"/>
      <c r="E437" s="88" t="n"/>
      <c r="F437" s="92" t="n"/>
      <c r="G437" s="87" t="n"/>
      <c r="H437" s="87" t="n"/>
      <c r="I437" s="101">
        <f>IF($B437="","",IF(COUNTIF(Setup!$A$99:$A$128,$B437)&gt;0,IF(INDEX(Setup!$B$99:$B$128,MATCH($B437,Setup!$A$99:$A$128,0))="","Overhead",INDEX(Setup!$B$99:$B$128,MATCH($B437,Setup!$A$99:$A$128,0))),IF(ISNUMBER(SEARCH("advance",$B437))+ISNUMBER(SEARCH("payout",$B437))+ISNUMBER(SEARCH("pay out",$B437))+ISNUMBER(SEARCH("reimburs",$B437))&gt;0,"Transfer",IF(ISNUMBER(SEARCH("loan",$B437))+ISNUMBER(SEARCH("amort",$B437))+ISNUMBER(SEARCH("installment",$B437))+ISNUMBER(SEARCH("instalment",$B437))&gt;0,"Financing",IF(ISNUMBER(SEARCH("draw",$B437))+ISNUMBER(SEARCH("owner",$B437))+ISNUMBER(SEARCH("asset",$B437))+ISNUMBER(SEARCH("capital",$B437))&gt;0,"Other",IF(ISNUMBER(SEARCH("fuel",$B437))+ISNUMBER(SEARCH("diesel",$B437))+ISNUMBER(SEARCH("krudo",$B437))+ISNUMBER(SEARCH("gasolina",$B437))+ISNUMBER(SEARCH("toll",$B437))+ISNUMBER(SEARCH("parking",$B437))+ISNUMBER(SEARCH("repair",$B437))+ISNUMBER(SEARCH("maintenance",$B437))+ISNUMBER(SEARCH("tire",$B437))+ISNUMBER(SEARCH("tyre",$B437))+ISNUMBER(SEARCH("battery",$B437))+ISNUMBER(SEARCH("oil",$B437))+ISNUMBER(SEARCH("filter",$B437))+ISNUMBER(SEARCH("spare",$B437))+ISNUMBER(SEARCH("insurance",$B437))+ISNUMBER(SEARCH("lto",$B437))+ISNUMBER(SEARCH("registration",$B437))+ISNUMBER(SEARCH("emission",$B437))+ISNUMBER(SEARCH("wash",$B437))+ISNUMBER(SEARCH("weigh",$B437))+ISNUMBER(SEARCH("tarp",$B437))&gt;0,"Vehicle",IF(ISNUMBER(SEARCH("rent",$B437))+ISNUMBER(SEARCH("upa",$B437))+ISNUMBER(SEARCH("salary",$B437))+ISNUMBER(SEARCH("sweldo",$B437))+ISNUMBER(SEARCH("wage",$B437))+ISNUMBER(SEARCH("electric",$B437))+ISNUMBER(SEARCH("kuryente",$B437))+ISNUMBER(SEARCH("water",$B437))+ISNUMBER(SEARCH("tubig",$B437))+ISNUMBER(SEARCH("internet",$B437))+ISNUMBER(SEARCH("pldt",$B437))+ISNUMBER(SEARCH("meralco",$B437))+ISNUMBER(SEARCH("supplies",$B437))+ISNUMBER(SEARCH("office",$B437))+ISNUMBER(SEARCH("professional",$B437))+ISNUMBER(SEARCH("accountant",$B437))+ISNUMBER(SEARCH("lawyer",$B437))+ISNUMBER(SEARCH("broker",$B437))+ISNUMBER(SEARCH("bank",$B437))+ISNUMBER(SEARCH("charge",$B437))+ISNUMBER(SEARCH("permit",$B437))+ISNUMBER(SEARCH("bir",$B437))+ISNUMBER(SEARCH("ltfrb",$B437))+ISNUMBER(SEARCH("misc",$B437))+ISNUMBER(SEARCH("fee",$B437))&gt;0,"Overhead","Overhead")))))))</f>
        <v/>
      </c>
      <c r="J437">
        <f>IF($A437="","",DATE(YEAR($A437),MONTH($A437),1))</f>
        <v/>
      </c>
      <c r="K437">
        <f>IF($B437="","",IF(COUNTIF(Setup!$A$99:$A$128,$B437)&gt;0,0,1))</f>
        <v/>
      </c>
      <c r="L437">
        <f>IF($B437="","",IF(ISNUMBER(SEARCH("advance",$B437)),"ADV",IF(OR(ISNUMBER(SEARCH("payout",$B437)),ISNUMBER(SEARCH("pay out",$B437)),ISNUMBER(SEARCH("release",$B437))),"PAY","")))</f>
        <v/>
      </c>
      <c r="M437">
        <f>IF($B437="","",IF(ISNUMBER(SEARCH("bulk",$B437)),0,IF(ISNUMBER(SEARCH("fuel",$B437))+ISNUMBER(SEARCH("diesel",$B437))+ISNUMBER(SEARCH("krudo",$B437))+ISNUMBER(SEARCH("gasolina",$B437))&gt;0,1,0)))</f>
        <v/>
      </c>
      <c r="N437">
        <f>IF($B437="","",IF(ISNUMBER(SEARCH("fuel",$B437))+ISNUMBER(SEARCH("diesel",$B437))+ISNUMBER(SEARCH("krudo",$B437))+ISNUMBER(SEARCH("gasolina",$B437))&gt;0,1,0))</f>
        <v/>
      </c>
    </row>
    <row r="438">
      <c r="A438" s="94" t="n"/>
      <c r="B438" s="96" t="n"/>
      <c r="C438" s="96" t="n"/>
      <c r="D438" s="95" t="n"/>
      <c r="E438" s="96" t="n"/>
      <c r="F438" s="99" t="n"/>
      <c r="G438" s="95" t="n"/>
      <c r="H438" s="95" t="n"/>
      <c r="I438" s="101">
        <f>IF($B438="","",IF(COUNTIF(Setup!$A$99:$A$128,$B438)&gt;0,IF(INDEX(Setup!$B$99:$B$128,MATCH($B438,Setup!$A$99:$A$128,0))="","Overhead",INDEX(Setup!$B$99:$B$128,MATCH($B438,Setup!$A$99:$A$128,0))),IF(ISNUMBER(SEARCH("advance",$B438))+ISNUMBER(SEARCH("payout",$B438))+ISNUMBER(SEARCH("pay out",$B438))+ISNUMBER(SEARCH("reimburs",$B438))&gt;0,"Transfer",IF(ISNUMBER(SEARCH("loan",$B438))+ISNUMBER(SEARCH("amort",$B438))+ISNUMBER(SEARCH("installment",$B438))+ISNUMBER(SEARCH("instalment",$B438))&gt;0,"Financing",IF(ISNUMBER(SEARCH("draw",$B438))+ISNUMBER(SEARCH("owner",$B438))+ISNUMBER(SEARCH("asset",$B438))+ISNUMBER(SEARCH("capital",$B438))&gt;0,"Other",IF(ISNUMBER(SEARCH("fuel",$B438))+ISNUMBER(SEARCH("diesel",$B438))+ISNUMBER(SEARCH("krudo",$B438))+ISNUMBER(SEARCH("gasolina",$B438))+ISNUMBER(SEARCH("toll",$B438))+ISNUMBER(SEARCH("parking",$B438))+ISNUMBER(SEARCH("repair",$B438))+ISNUMBER(SEARCH("maintenance",$B438))+ISNUMBER(SEARCH("tire",$B438))+ISNUMBER(SEARCH("tyre",$B438))+ISNUMBER(SEARCH("battery",$B438))+ISNUMBER(SEARCH("oil",$B438))+ISNUMBER(SEARCH("filter",$B438))+ISNUMBER(SEARCH("spare",$B438))+ISNUMBER(SEARCH("insurance",$B438))+ISNUMBER(SEARCH("lto",$B438))+ISNUMBER(SEARCH("registration",$B438))+ISNUMBER(SEARCH("emission",$B438))+ISNUMBER(SEARCH("wash",$B438))+ISNUMBER(SEARCH("weigh",$B438))+ISNUMBER(SEARCH("tarp",$B438))&gt;0,"Vehicle",IF(ISNUMBER(SEARCH("rent",$B438))+ISNUMBER(SEARCH("upa",$B438))+ISNUMBER(SEARCH("salary",$B438))+ISNUMBER(SEARCH("sweldo",$B438))+ISNUMBER(SEARCH("wage",$B438))+ISNUMBER(SEARCH("electric",$B438))+ISNUMBER(SEARCH("kuryente",$B438))+ISNUMBER(SEARCH("water",$B438))+ISNUMBER(SEARCH("tubig",$B438))+ISNUMBER(SEARCH("internet",$B438))+ISNUMBER(SEARCH("pldt",$B438))+ISNUMBER(SEARCH("meralco",$B438))+ISNUMBER(SEARCH("supplies",$B438))+ISNUMBER(SEARCH("office",$B438))+ISNUMBER(SEARCH("professional",$B438))+ISNUMBER(SEARCH("accountant",$B438))+ISNUMBER(SEARCH("lawyer",$B438))+ISNUMBER(SEARCH("broker",$B438))+ISNUMBER(SEARCH("bank",$B438))+ISNUMBER(SEARCH("charge",$B438))+ISNUMBER(SEARCH("permit",$B438))+ISNUMBER(SEARCH("bir",$B438))+ISNUMBER(SEARCH("ltfrb",$B438))+ISNUMBER(SEARCH("misc",$B438))+ISNUMBER(SEARCH("fee",$B438))&gt;0,"Overhead","Overhead")))))))</f>
        <v/>
      </c>
      <c r="J438">
        <f>IF($A438="","",DATE(YEAR($A438),MONTH($A438),1))</f>
        <v/>
      </c>
      <c r="K438">
        <f>IF($B438="","",IF(COUNTIF(Setup!$A$99:$A$128,$B438)&gt;0,0,1))</f>
        <v/>
      </c>
      <c r="L438">
        <f>IF($B438="","",IF(ISNUMBER(SEARCH("advance",$B438)),"ADV",IF(OR(ISNUMBER(SEARCH("payout",$B438)),ISNUMBER(SEARCH("pay out",$B438)),ISNUMBER(SEARCH("release",$B438))),"PAY","")))</f>
        <v/>
      </c>
      <c r="M438">
        <f>IF($B438="","",IF(ISNUMBER(SEARCH("bulk",$B438)),0,IF(ISNUMBER(SEARCH("fuel",$B438))+ISNUMBER(SEARCH("diesel",$B438))+ISNUMBER(SEARCH("krudo",$B438))+ISNUMBER(SEARCH("gasolina",$B438))&gt;0,1,0)))</f>
        <v/>
      </c>
      <c r="N438">
        <f>IF($B438="","",IF(ISNUMBER(SEARCH("fuel",$B438))+ISNUMBER(SEARCH("diesel",$B438))+ISNUMBER(SEARCH("krudo",$B438))+ISNUMBER(SEARCH("gasolina",$B438))&gt;0,1,0))</f>
        <v/>
      </c>
    </row>
    <row r="439">
      <c r="A439" s="86" t="n"/>
      <c r="B439" s="88" t="n"/>
      <c r="C439" s="88" t="n"/>
      <c r="D439" s="87" t="n"/>
      <c r="E439" s="88" t="n"/>
      <c r="F439" s="92" t="n"/>
      <c r="G439" s="87" t="n"/>
      <c r="H439" s="87" t="n"/>
      <c r="I439" s="101">
        <f>IF($B439="","",IF(COUNTIF(Setup!$A$99:$A$128,$B439)&gt;0,IF(INDEX(Setup!$B$99:$B$128,MATCH($B439,Setup!$A$99:$A$128,0))="","Overhead",INDEX(Setup!$B$99:$B$128,MATCH($B439,Setup!$A$99:$A$128,0))),IF(ISNUMBER(SEARCH("advance",$B439))+ISNUMBER(SEARCH("payout",$B439))+ISNUMBER(SEARCH("pay out",$B439))+ISNUMBER(SEARCH("reimburs",$B439))&gt;0,"Transfer",IF(ISNUMBER(SEARCH("loan",$B439))+ISNUMBER(SEARCH("amort",$B439))+ISNUMBER(SEARCH("installment",$B439))+ISNUMBER(SEARCH("instalment",$B439))&gt;0,"Financing",IF(ISNUMBER(SEARCH("draw",$B439))+ISNUMBER(SEARCH("owner",$B439))+ISNUMBER(SEARCH("asset",$B439))+ISNUMBER(SEARCH("capital",$B439))&gt;0,"Other",IF(ISNUMBER(SEARCH("fuel",$B439))+ISNUMBER(SEARCH("diesel",$B439))+ISNUMBER(SEARCH("krudo",$B439))+ISNUMBER(SEARCH("gasolina",$B439))+ISNUMBER(SEARCH("toll",$B439))+ISNUMBER(SEARCH("parking",$B439))+ISNUMBER(SEARCH("repair",$B439))+ISNUMBER(SEARCH("maintenance",$B439))+ISNUMBER(SEARCH("tire",$B439))+ISNUMBER(SEARCH("tyre",$B439))+ISNUMBER(SEARCH("battery",$B439))+ISNUMBER(SEARCH("oil",$B439))+ISNUMBER(SEARCH("filter",$B439))+ISNUMBER(SEARCH("spare",$B439))+ISNUMBER(SEARCH("insurance",$B439))+ISNUMBER(SEARCH("lto",$B439))+ISNUMBER(SEARCH("registration",$B439))+ISNUMBER(SEARCH("emission",$B439))+ISNUMBER(SEARCH("wash",$B439))+ISNUMBER(SEARCH("weigh",$B439))+ISNUMBER(SEARCH("tarp",$B439))&gt;0,"Vehicle",IF(ISNUMBER(SEARCH("rent",$B439))+ISNUMBER(SEARCH("upa",$B439))+ISNUMBER(SEARCH("salary",$B439))+ISNUMBER(SEARCH("sweldo",$B439))+ISNUMBER(SEARCH("wage",$B439))+ISNUMBER(SEARCH("electric",$B439))+ISNUMBER(SEARCH("kuryente",$B439))+ISNUMBER(SEARCH("water",$B439))+ISNUMBER(SEARCH("tubig",$B439))+ISNUMBER(SEARCH("internet",$B439))+ISNUMBER(SEARCH("pldt",$B439))+ISNUMBER(SEARCH("meralco",$B439))+ISNUMBER(SEARCH("supplies",$B439))+ISNUMBER(SEARCH("office",$B439))+ISNUMBER(SEARCH("professional",$B439))+ISNUMBER(SEARCH("accountant",$B439))+ISNUMBER(SEARCH("lawyer",$B439))+ISNUMBER(SEARCH("broker",$B439))+ISNUMBER(SEARCH("bank",$B439))+ISNUMBER(SEARCH("charge",$B439))+ISNUMBER(SEARCH("permit",$B439))+ISNUMBER(SEARCH("bir",$B439))+ISNUMBER(SEARCH("ltfrb",$B439))+ISNUMBER(SEARCH("misc",$B439))+ISNUMBER(SEARCH("fee",$B439))&gt;0,"Overhead","Overhead")))))))</f>
        <v/>
      </c>
      <c r="J439">
        <f>IF($A439="","",DATE(YEAR($A439),MONTH($A439),1))</f>
        <v/>
      </c>
      <c r="K439">
        <f>IF($B439="","",IF(COUNTIF(Setup!$A$99:$A$128,$B439)&gt;0,0,1))</f>
        <v/>
      </c>
      <c r="L439">
        <f>IF($B439="","",IF(ISNUMBER(SEARCH("advance",$B439)),"ADV",IF(OR(ISNUMBER(SEARCH("payout",$B439)),ISNUMBER(SEARCH("pay out",$B439)),ISNUMBER(SEARCH("release",$B439))),"PAY","")))</f>
        <v/>
      </c>
      <c r="M439">
        <f>IF($B439="","",IF(ISNUMBER(SEARCH("bulk",$B439)),0,IF(ISNUMBER(SEARCH("fuel",$B439))+ISNUMBER(SEARCH("diesel",$B439))+ISNUMBER(SEARCH("krudo",$B439))+ISNUMBER(SEARCH("gasolina",$B439))&gt;0,1,0)))</f>
        <v/>
      </c>
      <c r="N439">
        <f>IF($B439="","",IF(ISNUMBER(SEARCH("fuel",$B439))+ISNUMBER(SEARCH("diesel",$B439))+ISNUMBER(SEARCH("krudo",$B439))+ISNUMBER(SEARCH("gasolina",$B439))&gt;0,1,0))</f>
        <v/>
      </c>
    </row>
    <row r="440">
      <c r="A440" s="94" t="n"/>
      <c r="B440" s="96" t="n"/>
      <c r="C440" s="96" t="n"/>
      <c r="D440" s="95" t="n"/>
      <c r="E440" s="96" t="n"/>
      <c r="F440" s="99" t="n"/>
      <c r="G440" s="95" t="n"/>
      <c r="H440" s="95" t="n"/>
      <c r="I440" s="101">
        <f>IF($B440="","",IF(COUNTIF(Setup!$A$99:$A$128,$B440)&gt;0,IF(INDEX(Setup!$B$99:$B$128,MATCH($B440,Setup!$A$99:$A$128,0))="","Overhead",INDEX(Setup!$B$99:$B$128,MATCH($B440,Setup!$A$99:$A$128,0))),IF(ISNUMBER(SEARCH("advance",$B440))+ISNUMBER(SEARCH("payout",$B440))+ISNUMBER(SEARCH("pay out",$B440))+ISNUMBER(SEARCH("reimburs",$B440))&gt;0,"Transfer",IF(ISNUMBER(SEARCH("loan",$B440))+ISNUMBER(SEARCH("amort",$B440))+ISNUMBER(SEARCH("installment",$B440))+ISNUMBER(SEARCH("instalment",$B440))&gt;0,"Financing",IF(ISNUMBER(SEARCH("draw",$B440))+ISNUMBER(SEARCH("owner",$B440))+ISNUMBER(SEARCH("asset",$B440))+ISNUMBER(SEARCH("capital",$B440))&gt;0,"Other",IF(ISNUMBER(SEARCH("fuel",$B440))+ISNUMBER(SEARCH("diesel",$B440))+ISNUMBER(SEARCH("krudo",$B440))+ISNUMBER(SEARCH("gasolina",$B440))+ISNUMBER(SEARCH("toll",$B440))+ISNUMBER(SEARCH("parking",$B440))+ISNUMBER(SEARCH("repair",$B440))+ISNUMBER(SEARCH("maintenance",$B440))+ISNUMBER(SEARCH("tire",$B440))+ISNUMBER(SEARCH("tyre",$B440))+ISNUMBER(SEARCH("battery",$B440))+ISNUMBER(SEARCH("oil",$B440))+ISNUMBER(SEARCH("filter",$B440))+ISNUMBER(SEARCH("spare",$B440))+ISNUMBER(SEARCH("insurance",$B440))+ISNUMBER(SEARCH("lto",$B440))+ISNUMBER(SEARCH("registration",$B440))+ISNUMBER(SEARCH("emission",$B440))+ISNUMBER(SEARCH("wash",$B440))+ISNUMBER(SEARCH("weigh",$B440))+ISNUMBER(SEARCH("tarp",$B440))&gt;0,"Vehicle",IF(ISNUMBER(SEARCH("rent",$B440))+ISNUMBER(SEARCH("upa",$B440))+ISNUMBER(SEARCH("salary",$B440))+ISNUMBER(SEARCH("sweldo",$B440))+ISNUMBER(SEARCH("wage",$B440))+ISNUMBER(SEARCH("electric",$B440))+ISNUMBER(SEARCH("kuryente",$B440))+ISNUMBER(SEARCH("water",$B440))+ISNUMBER(SEARCH("tubig",$B440))+ISNUMBER(SEARCH("internet",$B440))+ISNUMBER(SEARCH("pldt",$B440))+ISNUMBER(SEARCH("meralco",$B440))+ISNUMBER(SEARCH("supplies",$B440))+ISNUMBER(SEARCH("office",$B440))+ISNUMBER(SEARCH("professional",$B440))+ISNUMBER(SEARCH("accountant",$B440))+ISNUMBER(SEARCH("lawyer",$B440))+ISNUMBER(SEARCH("broker",$B440))+ISNUMBER(SEARCH("bank",$B440))+ISNUMBER(SEARCH("charge",$B440))+ISNUMBER(SEARCH("permit",$B440))+ISNUMBER(SEARCH("bir",$B440))+ISNUMBER(SEARCH("ltfrb",$B440))+ISNUMBER(SEARCH("misc",$B440))+ISNUMBER(SEARCH("fee",$B440))&gt;0,"Overhead","Overhead")))))))</f>
        <v/>
      </c>
      <c r="J440">
        <f>IF($A440="","",DATE(YEAR($A440),MONTH($A440),1))</f>
        <v/>
      </c>
      <c r="K440">
        <f>IF($B440="","",IF(COUNTIF(Setup!$A$99:$A$128,$B440)&gt;0,0,1))</f>
        <v/>
      </c>
      <c r="L440">
        <f>IF($B440="","",IF(ISNUMBER(SEARCH("advance",$B440)),"ADV",IF(OR(ISNUMBER(SEARCH("payout",$B440)),ISNUMBER(SEARCH("pay out",$B440)),ISNUMBER(SEARCH("release",$B440))),"PAY","")))</f>
        <v/>
      </c>
      <c r="M440">
        <f>IF($B440="","",IF(ISNUMBER(SEARCH("bulk",$B440)),0,IF(ISNUMBER(SEARCH("fuel",$B440))+ISNUMBER(SEARCH("diesel",$B440))+ISNUMBER(SEARCH("krudo",$B440))+ISNUMBER(SEARCH("gasolina",$B440))&gt;0,1,0)))</f>
        <v/>
      </c>
      <c r="N440">
        <f>IF($B440="","",IF(ISNUMBER(SEARCH("fuel",$B440))+ISNUMBER(SEARCH("diesel",$B440))+ISNUMBER(SEARCH("krudo",$B440))+ISNUMBER(SEARCH("gasolina",$B440))&gt;0,1,0))</f>
        <v/>
      </c>
    </row>
    <row r="441">
      <c r="A441" s="86" t="n"/>
      <c r="B441" s="88" t="n"/>
      <c r="C441" s="88" t="n"/>
      <c r="D441" s="87" t="n"/>
      <c r="E441" s="88" t="n"/>
      <c r="F441" s="92" t="n"/>
      <c r="G441" s="87" t="n"/>
      <c r="H441" s="87" t="n"/>
      <c r="I441" s="101">
        <f>IF($B441="","",IF(COUNTIF(Setup!$A$99:$A$128,$B441)&gt;0,IF(INDEX(Setup!$B$99:$B$128,MATCH($B441,Setup!$A$99:$A$128,0))="","Overhead",INDEX(Setup!$B$99:$B$128,MATCH($B441,Setup!$A$99:$A$128,0))),IF(ISNUMBER(SEARCH("advance",$B441))+ISNUMBER(SEARCH("payout",$B441))+ISNUMBER(SEARCH("pay out",$B441))+ISNUMBER(SEARCH("reimburs",$B441))&gt;0,"Transfer",IF(ISNUMBER(SEARCH("loan",$B441))+ISNUMBER(SEARCH("amort",$B441))+ISNUMBER(SEARCH("installment",$B441))+ISNUMBER(SEARCH("instalment",$B441))&gt;0,"Financing",IF(ISNUMBER(SEARCH("draw",$B441))+ISNUMBER(SEARCH("owner",$B441))+ISNUMBER(SEARCH("asset",$B441))+ISNUMBER(SEARCH("capital",$B441))&gt;0,"Other",IF(ISNUMBER(SEARCH("fuel",$B441))+ISNUMBER(SEARCH("diesel",$B441))+ISNUMBER(SEARCH("krudo",$B441))+ISNUMBER(SEARCH("gasolina",$B441))+ISNUMBER(SEARCH("toll",$B441))+ISNUMBER(SEARCH("parking",$B441))+ISNUMBER(SEARCH("repair",$B441))+ISNUMBER(SEARCH("maintenance",$B441))+ISNUMBER(SEARCH("tire",$B441))+ISNUMBER(SEARCH("tyre",$B441))+ISNUMBER(SEARCH("battery",$B441))+ISNUMBER(SEARCH("oil",$B441))+ISNUMBER(SEARCH("filter",$B441))+ISNUMBER(SEARCH("spare",$B441))+ISNUMBER(SEARCH("insurance",$B441))+ISNUMBER(SEARCH("lto",$B441))+ISNUMBER(SEARCH("registration",$B441))+ISNUMBER(SEARCH("emission",$B441))+ISNUMBER(SEARCH("wash",$B441))+ISNUMBER(SEARCH("weigh",$B441))+ISNUMBER(SEARCH("tarp",$B441))&gt;0,"Vehicle",IF(ISNUMBER(SEARCH("rent",$B441))+ISNUMBER(SEARCH("upa",$B441))+ISNUMBER(SEARCH("salary",$B441))+ISNUMBER(SEARCH("sweldo",$B441))+ISNUMBER(SEARCH("wage",$B441))+ISNUMBER(SEARCH("electric",$B441))+ISNUMBER(SEARCH("kuryente",$B441))+ISNUMBER(SEARCH("water",$B441))+ISNUMBER(SEARCH("tubig",$B441))+ISNUMBER(SEARCH("internet",$B441))+ISNUMBER(SEARCH("pldt",$B441))+ISNUMBER(SEARCH("meralco",$B441))+ISNUMBER(SEARCH("supplies",$B441))+ISNUMBER(SEARCH("office",$B441))+ISNUMBER(SEARCH("professional",$B441))+ISNUMBER(SEARCH("accountant",$B441))+ISNUMBER(SEARCH("lawyer",$B441))+ISNUMBER(SEARCH("broker",$B441))+ISNUMBER(SEARCH("bank",$B441))+ISNUMBER(SEARCH("charge",$B441))+ISNUMBER(SEARCH("permit",$B441))+ISNUMBER(SEARCH("bir",$B441))+ISNUMBER(SEARCH("ltfrb",$B441))+ISNUMBER(SEARCH("misc",$B441))+ISNUMBER(SEARCH("fee",$B441))&gt;0,"Overhead","Overhead")))))))</f>
        <v/>
      </c>
      <c r="J441">
        <f>IF($A441="","",DATE(YEAR($A441),MONTH($A441),1))</f>
        <v/>
      </c>
      <c r="K441">
        <f>IF($B441="","",IF(COUNTIF(Setup!$A$99:$A$128,$B441)&gt;0,0,1))</f>
        <v/>
      </c>
      <c r="L441">
        <f>IF($B441="","",IF(ISNUMBER(SEARCH("advance",$B441)),"ADV",IF(OR(ISNUMBER(SEARCH("payout",$B441)),ISNUMBER(SEARCH("pay out",$B441)),ISNUMBER(SEARCH("release",$B441))),"PAY","")))</f>
        <v/>
      </c>
      <c r="M441">
        <f>IF($B441="","",IF(ISNUMBER(SEARCH("bulk",$B441)),0,IF(ISNUMBER(SEARCH("fuel",$B441))+ISNUMBER(SEARCH("diesel",$B441))+ISNUMBER(SEARCH("krudo",$B441))+ISNUMBER(SEARCH("gasolina",$B441))&gt;0,1,0)))</f>
        <v/>
      </c>
      <c r="N441">
        <f>IF($B441="","",IF(ISNUMBER(SEARCH("fuel",$B441))+ISNUMBER(SEARCH("diesel",$B441))+ISNUMBER(SEARCH("krudo",$B441))+ISNUMBER(SEARCH("gasolina",$B441))&gt;0,1,0))</f>
        <v/>
      </c>
    </row>
    <row r="442">
      <c r="A442" s="94" t="n"/>
      <c r="B442" s="96" t="n"/>
      <c r="C442" s="96" t="n"/>
      <c r="D442" s="95" t="n"/>
      <c r="E442" s="96" t="n"/>
      <c r="F442" s="99" t="n"/>
      <c r="G442" s="95" t="n"/>
      <c r="H442" s="95" t="n"/>
      <c r="I442" s="101">
        <f>IF($B442="","",IF(COUNTIF(Setup!$A$99:$A$128,$B442)&gt;0,IF(INDEX(Setup!$B$99:$B$128,MATCH($B442,Setup!$A$99:$A$128,0))="","Overhead",INDEX(Setup!$B$99:$B$128,MATCH($B442,Setup!$A$99:$A$128,0))),IF(ISNUMBER(SEARCH("advance",$B442))+ISNUMBER(SEARCH("payout",$B442))+ISNUMBER(SEARCH("pay out",$B442))+ISNUMBER(SEARCH("reimburs",$B442))&gt;0,"Transfer",IF(ISNUMBER(SEARCH("loan",$B442))+ISNUMBER(SEARCH("amort",$B442))+ISNUMBER(SEARCH("installment",$B442))+ISNUMBER(SEARCH("instalment",$B442))&gt;0,"Financing",IF(ISNUMBER(SEARCH("draw",$B442))+ISNUMBER(SEARCH("owner",$B442))+ISNUMBER(SEARCH("asset",$B442))+ISNUMBER(SEARCH("capital",$B442))&gt;0,"Other",IF(ISNUMBER(SEARCH("fuel",$B442))+ISNUMBER(SEARCH("diesel",$B442))+ISNUMBER(SEARCH("krudo",$B442))+ISNUMBER(SEARCH("gasolina",$B442))+ISNUMBER(SEARCH("toll",$B442))+ISNUMBER(SEARCH("parking",$B442))+ISNUMBER(SEARCH("repair",$B442))+ISNUMBER(SEARCH("maintenance",$B442))+ISNUMBER(SEARCH("tire",$B442))+ISNUMBER(SEARCH("tyre",$B442))+ISNUMBER(SEARCH("battery",$B442))+ISNUMBER(SEARCH("oil",$B442))+ISNUMBER(SEARCH("filter",$B442))+ISNUMBER(SEARCH("spare",$B442))+ISNUMBER(SEARCH("insurance",$B442))+ISNUMBER(SEARCH("lto",$B442))+ISNUMBER(SEARCH("registration",$B442))+ISNUMBER(SEARCH("emission",$B442))+ISNUMBER(SEARCH("wash",$B442))+ISNUMBER(SEARCH("weigh",$B442))+ISNUMBER(SEARCH("tarp",$B442))&gt;0,"Vehicle",IF(ISNUMBER(SEARCH("rent",$B442))+ISNUMBER(SEARCH("upa",$B442))+ISNUMBER(SEARCH("salary",$B442))+ISNUMBER(SEARCH("sweldo",$B442))+ISNUMBER(SEARCH("wage",$B442))+ISNUMBER(SEARCH("electric",$B442))+ISNUMBER(SEARCH("kuryente",$B442))+ISNUMBER(SEARCH("water",$B442))+ISNUMBER(SEARCH("tubig",$B442))+ISNUMBER(SEARCH("internet",$B442))+ISNUMBER(SEARCH("pldt",$B442))+ISNUMBER(SEARCH("meralco",$B442))+ISNUMBER(SEARCH("supplies",$B442))+ISNUMBER(SEARCH("office",$B442))+ISNUMBER(SEARCH("professional",$B442))+ISNUMBER(SEARCH("accountant",$B442))+ISNUMBER(SEARCH("lawyer",$B442))+ISNUMBER(SEARCH("broker",$B442))+ISNUMBER(SEARCH("bank",$B442))+ISNUMBER(SEARCH("charge",$B442))+ISNUMBER(SEARCH("permit",$B442))+ISNUMBER(SEARCH("bir",$B442))+ISNUMBER(SEARCH("ltfrb",$B442))+ISNUMBER(SEARCH("misc",$B442))+ISNUMBER(SEARCH("fee",$B442))&gt;0,"Overhead","Overhead")))))))</f>
        <v/>
      </c>
      <c r="J442">
        <f>IF($A442="","",DATE(YEAR($A442),MONTH($A442),1))</f>
        <v/>
      </c>
      <c r="K442">
        <f>IF($B442="","",IF(COUNTIF(Setup!$A$99:$A$128,$B442)&gt;0,0,1))</f>
        <v/>
      </c>
      <c r="L442">
        <f>IF($B442="","",IF(ISNUMBER(SEARCH("advance",$B442)),"ADV",IF(OR(ISNUMBER(SEARCH("payout",$B442)),ISNUMBER(SEARCH("pay out",$B442)),ISNUMBER(SEARCH("release",$B442))),"PAY","")))</f>
        <v/>
      </c>
      <c r="M442">
        <f>IF($B442="","",IF(ISNUMBER(SEARCH("bulk",$B442)),0,IF(ISNUMBER(SEARCH("fuel",$B442))+ISNUMBER(SEARCH("diesel",$B442))+ISNUMBER(SEARCH("krudo",$B442))+ISNUMBER(SEARCH("gasolina",$B442))&gt;0,1,0)))</f>
        <v/>
      </c>
      <c r="N442">
        <f>IF($B442="","",IF(ISNUMBER(SEARCH("fuel",$B442))+ISNUMBER(SEARCH("diesel",$B442))+ISNUMBER(SEARCH("krudo",$B442))+ISNUMBER(SEARCH("gasolina",$B442))&gt;0,1,0))</f>
        <v/>
      </c>
    </row>
    <row r="443">
      <c r="A443" s="86" t="n"/>
      <c r="B443" s="88" t="n"/>
      <c r="C443" s="88" t="n"/>
      <c r="D443" s="87" t="n"/>
      <c r="E443" s="88" t="n"/>
      <c r="F443" s="92" t="n"/>
      <c r="G443" s="87" t="n"/>
      <c r="H443" s="87" t="n"/>
      <c r="I443" s="101">
        <f>IF($B443="","",IF(COUNTIF(Setup!$A$99:$A$128,$B443)&gt;0,IF(INDEX(Setup!$B$99:$B$128,MATCH($B443,Setup!$A$99:$A$128,0))="","Overhead",INDEX(Setup!$B$99:$B$128,MATCH($B443,Setup!$A$99:$A$128,0))),IF(ISNUMBER(SEARCH("advance",$B443))+ISNUMBER(SEARCH("payout",$B443))+ISNUMBER(SEARCH("pay out",$B443))+ISNUMBER(SEARCH("reimburs",$B443))&gt;0,"Transfer",IF(ISNUMBER(SEARCH("loan",$B443))+ISNUMBER(SEARCH("amort",$B443))+ISNUMBER(SEARCH("installment",$B443))+ISNUMBER(SEARCH("instalment",$B443))&gt;0,"Financing",IF(ISNUMBER(SEARCH("draw",$B443))+ISNUMBER(SEARCH("owner",$B443))+ISNUMBER(SEARCH("asset",$B443))+ISNUMBER(SEARCH("capital",$B443))&gt;0,"Other",IF(ISNUMBER(SEARCH("fuel",$B443))+ISNUMBER(SEARCH("diesel",$B443))+ISNUMBER(SEARCH("krudo",$B443))+ISNUMBER(SEARCH("gasolina",$B443))+ISNUMBER(SEARCH("toll",$B443))+ISNUMBER(SEARCH("parking",$B443))+ISNUMBER(SEARCH("repair",$B443))+ISNUMBER(SEARCH("maintenance",$B443))+ISNUMBER(SEARCH("tire",$B443))+ISNUMBER(SEARCH("tyre",$B443))+ISNUMBER(SEARCH("battery",$B443))+ISNUMBER(SEARCH("oil",$B443))+ISNUMBER(SEARCH("filter",$B443))+ISNUMBER(SEARCH("spare",$B443))+ISNUMBER(SEARCH("insurance",$B443))+ISNUMBER(SEARCH("lto",$B443))+ISNUMBER(SEARCH("registration",$B443))+ISNUMBER(SEARCH("emission",$B443))+ISNUMBER(SEARCH("wash",$B443))+ISNUMBER(SEARCH("weigh",$B443))+ISNUMBER(SEARCH("tarp",$B443))&gt;0,"Vehicle",IF(ISNUMBER(SEARCH("rent",$B443))+ISNUMBER(SEARCH("upa",$B443))+ISNUMBER(SEARCH("salary",$B443))+ISNUMBER(SEARCH("sweldo",$B443))+ISNUMBER(SEARCH("wage",$B443))+ISNUMBER(SEARCH("electric",$B443))+ISNUMBER(SEARCH("kuryente",$B443))+ISNUMBER(SEARCH("water",$B443))+ISNUMBER(SEARCH("tubig",$B443))+ISNUMBER(SEARCH("internet",$B443))+ISNUMBER(SEARCH("pldt",$B443))+ISNUMBER(SEARCH("meralco",$B443))+ISNUMBER(SEARCH("supplies",$B443))+ISNUMBER(SEARCH("office",$B443))+ISNUMBER(SEARCH("professional",$B443))+ISNUMBER(SEARCH("accountant",$B443))+ISNUMBER(SEARCH("lawyer",$B443))+ISNUMBER(SEARCH("broker",$B443))+ISNUMBER(SEARCH("bank",$B443))+ISNUMBER(SEARCH("charge",$B443))+ISNUMBER(SEARCH("permit",$B443))+ISNUMBER(SEARCH("bir",$B443))+ISNUMBER(SEARCH("ltfrb",$B443))+ISNUMBER(SEARCH("misc",$B443))+ISNUMBER(SEARCH("fee",$B443))&gt;0,"Overhead","Overhead")))))))</f>
        <v/>
      </c>
      <c r="J443">
        <f>IF($A443="","",DATE(YEAR($A443),MONTH($A443),1))</f>
        <v/>
      </c>
      <c r="K443">
        <f>IF($B443="","",IF(COUNTIF(Setup!$A$99:$A$128,$B443)&gt;0,0,1))</f>
        <v/>
      </c>
      <c r="L443">
        <f>IF($B443="","",IF(ISNUMBER(SEARCH("advance",$B443)),"ADV",IF(OR(ISNUMBER(SEARCH("payout",$B443)),ISNUMBER(SEARCH("pay out",$B443)),ISNUMBER(SEARCH("release",$B443))),"PAY","")))</f>
        <v/>
      </c>
      <c r="M443">
        <f>IF($B443="","",IF(ISNUMBER(SEARCH("bulk",$B443)),0,IF(ISNUMBER(SEARCH("fuel",$B443))+ISNUMBER(SEARCH("diesel",$B443))+ISNUMBER(SEARCH("krudo",$B443))+ISNUMBER(SEARCH("gasolina",$B443))&gt;0,1,0)))</f>
        <v/>
      </c>
      <c r="N443">
        <f>IF($B443="","",IF(ISNUMBER(SEARCH("fuel",$B443))+ISNUMBER(SEARCH("diesel",$B443))+ISNUMBER(SEARCH("krudo",$B443))+ISNUMBER(SEARCH("gasolina",$B443))&gt;0,1,0))</f>
        <v/>
      </c>
    </row>
    <row r="444">
      <c r="A444" s="94" t="n"/>
      <c r="B444" s="96" t="n"/>
      <c r="C444" s="96" t="n"/>
      <c r="D444" s="95" t="n"/>
      <c r="E444" s="96" t="n"/>
      <c r="F444" s="99" t="n"/>
      <c r="G444" s="95" t="n"/>
      <c r="H444" s="95" t="n"/>
      <c r="I444" s="101">
        <f>IF($B444="","",IF(COUNTIF(Setup!$A$99:$A$128,$B444)&gt;0,IF(INDEX(Setup!$B$99:$B$128,MATCH($B444,Setup!$A$99:$A$128,0))="","Overhead",INDEX(Setup!$B$99:$B$128,MATCH($B444,Setup!$A$99:$A$128,0))),IF(ISNUMBER(SEARCH("advance",$B444))+ISNUMBER(SEARCH("payout",$B444))+ISNUMBER(SEARCH("pay out",$B444))+ISNUMBER(SEARCH("reimburs",$B444))&gt;0,"Transfer",IF(ISNUMBER(SEARCH("loan",$B444))+ISNUMBER(SEARCH("amort",$B444))+ISNUMBER(SEARCH("installment",$B444))+ISNUMBER(SEARCH("instalment",$B444))&gt;0,"Financing",IF(ISNUMBER(SEARCH("draw",$B444))+ISNUMBER(SEARCH("owner",$B444))+ISNUMBER(SEARCH("asset",$B444))+ISNUMBER(SEARCH("capital",$B444))&gt;0,"Other",IF(ISNUMBER(SEARCH("fuel",$B444))+ISNUMBER(SEARCH("diesel",$B444))+ISNUMBER(SEARCH("krudo",$B444))+ISNUMBER(SEARCH("gasolina",$B444))+ISNUMBER(SEARCH("toll",$B444))+ISNUMBER(SEARCH("parking",$B444))+ISNUMBER(SEARCH("repair",$B444))+ISNUMBER(SEARCH("maintenance",$B444))+ISNUMBER(SEARCH("tire",$B444))+ISNUMBER(SEARCH("tyre",$B444))+ISNUMBER(SEARCH("battery",$B444))+ISNUMBER(SEARCH("oil",$B444))+ISNUMBER(SEARCH("filter",$B444))+ISNUMBER(SEARCH("spare",$B444))+ISNUMBER(SEARCH("insurance",$B444))+ISNUMBER(SEARCH("lto",$B444))+ISNUMBER(SEARCH("registration",$B444))+ISNUMBER(SEARCH("emission",$B444))+ISNUMBER(SEARCH("wash",$B444))+ISNUMBER(SEARCH("weigh",$B444))+ISNUMBER(SEARCH("tarp",$B444))&gt;0,"Vehicle",IF(ISNUMBER(SEARCH("rent",$B444))+ISNUMBER(SEARCH("upa",$B444))+ISNUMBER(SEARCH("salary",$B444))+ISNUMBER(SEARCH("sweldo",$B444))+ISNUMBER(SEARCH("wage",$B444))+ISNUMBER(SEARCH("electric",$B444))+ISNUMBER(SEARCH("kuryente",$B444))+ISNUMBER(SEARCH("water",$B444))+ISNUMBER(SEARCH("tubig",$B444))+ISNUMBER(SEARCH("internet",$B444))+ISNUMBER(SEARCH("pldt",$B444))+ISNUMBER(SEARCH("meralco",$B444))+ISNUMBER(SEARCH("supplies",$B444))+ISNUMBER(SEARCH("office",$B444))+ISNUMBER(SEARCH("professional",$B444))+ISNUMBER(SEARCH("accountant",$B444))+ISNUMBER(SEARCH("lawyer",$B444))+ISNUMBER(SEARCH("broker",$B444))+ISNUMBER(SEARCH("bank",$B444))+ISNUMBER(SEARCH("charge",$B444))+ISNUMBER(SEARCH("permit",$B444))+ISNUMBER(SEARCH("bir",$B444))+ISNUMBER(SEARCH("ltfrb",$B444))+ISNUMBER(SEARCH("misc",$B444))+ISNUMBER(SEARCH("fee",$B444))&gt;0,"Overhead","Overhead")))))))</f>
        <v/>
      </c>
      <c r="J444">
        <f>IF($A444="","",DATE(YEAR($A444),MONTH($A444),1))</f>
        <v/>
      </c>
      <c r="K444">
        <f>IF($B444="","",IF(COUNTIF(Setup!$A$99:$A$128,$B444)&gt;0,0,1))</f>
        <v/>
      </c>
      <c r="L444">
        <f>IF($B444="","",IF(ISNUMBER(SEARCH("advance",$B444)),"ADV",IF(OR(ISNUMBER(SEARCH("payout",$B444)),ISNUMBER(SEARCH("pay out",$B444)),ISNUMBER(SEARCH("release",$B444))),"PAY","")))</f>
        <v/>
      </c>
      <c r="M444">
        <f>IF($B444="","",IF(ISNUMBER(SEARCH("bulk",$B444)),0,IF(ISNUMBER(SEARCH("fuel",$B444))+ISNUMBER(SEARCH("diesel",$B444))+ISNUMBER(SEARCH("krudo",$B444))+ISNUMBER(SEARCH("gasolina",$B444))&gt;0,1,0)))</f>
        <v/>
      </c>
      <c r="N444">
        <f>IF($B444="","",IF(ISNUMBER(SEARCH("fuel",$B444))+ISNUMBER(SEARCH("diesel",$B444))+ISNUMBER(SEARCH("krudo",$B444))+ISNUMBER(SEARCH("gasolina",$B444))&gt;0,1,0))</f>
        <v/>
      </c>
    </row>
    <row r="445">
      <c r="A445" s="86" t="n"/>
      <c r="B445" s="88" t="n"/>
      <c r="C445" s="88" t="n"/>
      <c r="D445" s="87" t="n"/>
      <c r="E445" s="88" t="n"/>
      <c r="F445" s="92" t="n"/>
      <c r="G445" s="87" t="n"/>
      <c r="H445" s="87" t="n"/>
      <c r="I445" s="101">
        <f>IF($B445="","",IF(COUNTIF(Setup!$A$99:$A$128,$B445)&gt;0,IF(INDEX(Setup!$B$99:$B$128,MATCH($B445,Setup!$A$99:$A$128,0))="","Overhead",INDEX(Setup!$B$99:$B$128,MATCH($B445,Setup!$A$99:$A$128,0))),IF(ISNUMBER(SEARCH("advance",$B445))+ISNUMBER(SEARCH("payout",$B445))+ISNUMBER(SEARCH("pay out",$B445))+ISNUMBER(SEARCH("reimburs",$B445))&gt;0,"Transfer",IF(ISNUMBER(SEARCH("loan",$B445))+ISNUMBER(SEARCH("amort",$B445))+ISNUMBER(SEARCH("installment",$B445))+ISNUMBER(SEARCH("instalment",$B445))&gt;0,"Financing",IF(ISNUMBER(SEARCH("draw",$B445))+ISNUMBER(SEARCH("owner",$B445))+ISNUMBER(SEARCH("asset",$B445))+ISNUMBER(SEARCH("capital",$B445))&gt;0,"Other",IF(ISNUMBER(SEARCH("fuel",$B445))+ISNUMBER(SEARCH("diesel",$B445))+ISNUMBER(SEARCH("krudo",$B445))+ISNUMBER(SEARCH("gasolina",$B445))+ISNUMBER(SEARCH("toll",$B445))+ISNUMBER(SEARCH("parking",$B445))+ISNUMBER(SEARCH("repair",$B445))+ISNUMBER(SEARCH("maintenance",$B445))+ISNUMBER(SEARCH("tire",$B445))+ISNUMBER(SEARCH("tyre",$B445))+ISNUMBER(SEARCH("battery",$B445))+ISNUMBER(SEARCH("oil",$B445))+ISNUMBER(SEARCH("filter",$B445))+ISNUMBER(SEARCH("spare",$B445))+ISNUMBER(SEARCH("insurance",$B445))+ISNUMBER(SEARCH("lto",$B445))+ISNUMBER(SEARCH("registration",$B445))+ISNUMBER(SEARCH("emission",$B445))+ISNUMBER(SEARCH("wash",$B445))+ISNUMBER(SEARCH("weigh",$B445))+ISNUMBER(SEARCH("tarp",$B445))&gt;0,"Vehicle",IF(ISNUMBER(SEARCH("rent",$B445))+ISNUMBER(SEARCH("upa",$B445))+ISNUMBER(SEARCH("salary",$B445))+ISNUMBER(SEARCH("sweldo",$B445))+ISNUMBER(SEARCH("wage",$B445))+ISNUMBER(SEARCH("electric",$B445))+ISNUMBER(SEARCH("kuryente",$B445))+ISNUMBER(SEARCH("water",$B445))+ISNUMBER(SEARCH("tubig",$B445))+ISNUMBER(SEARCH("internet",$B445))+ISNUMBER(SEARCH("pldt",$B445))+ISNUMBER(SEARCH("meralco",$B445))+ISNUMBER(SEARCH("supplies",$B445))+ISNUMBER(SEARCH("office",$B445))+ISNUMBER(SEARCH("professional",$B445))+ISNUMBER(SEARCH("accountant",$B445))+ISNUMBER(SEARCH("lawyer",$B445))+ISNUMBER(SEARCH("broker",$B445))+ISNUMBER(SEARCH("bank",$B445))+ISNUMBER(SEARCH("charge",$B445))+ISNUMBER(SEARCH("permit",$B445))+ISNUMBER(SEARCH("bir",$B445))+ISNUMBER(SEARCH("ltfrb",$B445))+ISNUMBER(SEARCH("misc",$B445))+ISNUMBER(SEARCH("fee",$B445))&gt;0,"Overhead","Overhead")))))))</f>
        <v/>
      </c>
      <c r="J445">
        <f>IF($A445="","",DATE(YEAR($A445),MONTH($A445),1))</f>
        <v/>
      </c>
      <c r="K445">
        <f>IF($B445="","",IF(COUNTIF(Setup!$A$99:$A$128,$B445)&gt;0,0,1))</f>
        <v/>
      </c>
      <c r="L445">
        <f>IF($B445="","",IF(ISNUMBER(SEARCH("advance",$B445)),"ADV",IF(OR(ISNUMBER(SEARCH("payout",$B445)),ISNUMBER(SEARCH("pay out",$B445)),ISNUMBER(SEARCH("release",$B445))),"PAY","")))</f>
        <v/>
      </c>
      <c r="M445">
        <f>IF($B445="","",IF(ISNUMBER(SEARCH("bulk",$B445)),0,IF(ISNUMBER(SEARCH("fuel",$B445))+ISNUMBER(SEARCH("diesel",$B445))+ISNUMBER(SEARCH("krudo",$B445))+ISNUMBER(SEARCH("gasolina",$B445))&gt;0,1,0)))</f>
        <v/>
      </c>
      <c r="N445">
        <f>IF($B445="","",IF(ISNUMBER(SEARCH("fuel",$B445))+ISNUMBER(SEARCH("diesel",$B445))+ISNUMBER(SEARCH("krudo",$B445))+ISNUMBER(SEARCH("gasolina",$B445))&gt;0,1,0))</f>
        <v/>
      </c>
    </row>
    <row r="446">
      <c r="A446" s="94" t="n"/>
      <c r="B446" s="96" t="n"/>
      <c r="C446" s="96" t="n"/>
      <c r="D446" s="95" t="n"/>
      <c r="E446" s="96" t="n"/>
      <c r="F446" s="99" t="n"/>
      <c r="G446" s="95" t="n"/>
      <c r="H446" s="95" t="n"/>
      <c r="I446" s="101">
        <f>IF($B446="","",IF(COUNTIF(Setup!$A$99:$A$128,$B446)&gt;0,IF(INDEX(Setup!$B$99:$B$128,MATCH($B446,Setup!$A$99:$A$128,0))="","Overhead",INDEX(Setup!$B$99:$B$128,MATCH($B446,Setup!$A$99:$A$128,0))),IF(ISNUMBER(SEARCH("advance",$B446))+ISNUMBER(SEARCH("payout",$B446))+ISNUMBER(SEARCH("pay out",$B446))+ISNUMBER(SEARCH("reimburs",$B446))&gt;0,"Transfer",IF(ISNUMBER(SEARCH("loan",$B446))+ISNUMBER(SEARCH("amort",$B446))+ISNUMBER(SEARCH("installment",$B446))+ISNUMBER(SEARCH("instalment",$B446))&gt;0,"Financing",IF(ISNUMBER(SEARCH("draw",$B446))+ISNUMBER(SEARCH("owner",$B446))+ISNUMBER(SEARCH("asset",$B446))+ISNUMBER(SEARCH("capital",$B446))&gt;0,"Other",IF(ISNUMBER(SEARCH("fuel",$B446))+ISNUMBER(SEARCH("diesel",$B446))+ISNUMBER(SEARCH("krudo",$B446))+ISNUMBER(SEARCH("gasolina",$B446))+ISNUMBER(SEARCH("toll",$B446))+ISNUMBER(SEARCH("parking",$B446))+ISNUMBER(SEARCH("repair",$B446))+ISNUMBER(SEARCH("maintenance",$B446))+ISNUMBER(SEARCH("tire",$B446))+ISNUMBER(SEARCH("tyre",$B446))+ISNUMBER(SEARCH("battery",$B446))+ISNUMBER(SEARCH("oil",$B446))+ISNUMBER(SEARCH("filter",$B446))+ISNUMBER(SEARCH("spare",$B446))+ISNUMBER(SEARCH("insurance",$B446))+ISNUMBER(SEARCH("lto",$B446))+ISNUMBER(SEARCH("registration",$B446))+ISNUMBER(SEARCH("emission",$B446))+ISNUMBER(SEARCH("wash",$B446))+ISNUMBER(SEARCH("weigh",$B446))+ISNUMBER(SEARCH("tarp",$B446))&gt;0,"Vehicle",IF(ISNUMBER(SEARCH("rent",$B446))+ISNUMBER(SEARCH("upa",$B446))+ISNUMBER(SEARCH("salary",$B446))+ISNUMBER(SEARCH("sweldo",$B446))+ISNUMBER(SEARCH("wage",$B446))+ISNUMBER(SEARCH("electric",$B446))+ISNUMBER(SEARCH("kuryente",$B446))+ISNUMBER(SEARCH("water",$B446))+ISNUMBER(SEARCH("tubig",$B446))+ISNUMBER(SEARCH("internet",$B446))+ISNUMBER(SEARCH("pldt",$B446))+ISNUMBER(SEARCH("meralco",$B446))+ISNUMBER(SEARCH("supplies",$B446))+ISNUMBER(SEARCH("office",$B446))+ISNUMBER(SEARCH("professional",$B446))+ISNUMBER(SEARCH("accountant",$B446))+ISNUMBER(SEARCH("lawyer",$B446))+ISNUMBER(SEARCH("broker",$B446))+ISNUMBER(SEARCH("bank",$B446))+ISNUMBER(SEARCH("charge",$B446))+ISNUMBER(SEARCH("permit",$B446))+ISNUMBER(SEARCH("bir",$B446))+ISNUMBER(SEARCH("ltfrb",$B446))+ISNUMBER(SEARCH("misc",$B446))+ISNUMBER(SEARCH("fee",$B446))&gt;0,"Overhead","Overhead")))))))</f>
        <v/>
      </c>
      <c r="J446">
        <f>IF($A446="","",DATE(YEAR($A446),MONTH($A446),1))</f>
        <v/>
      </c>
      <c r="K446">
        <f>IF($B446="","",IF(COUNTIF(Setup!$A$99:$A$128,$B446)&gt;0,0,1))</f>
        <v/>
      </c>
      <c r="L446">
        <f>IF($B446="","",IF(ISNUMBER(SEARCH("advance",$B446)),"ADV",IF(OR(ISNUMBER(SEARCH("payout",$B446)),ISNUMBER(SEARCH("pay out",$B446)),ISNUMBER(SEARCH("release",$B446))),"PAY","")))</f>
        <v/>
      </c>
      <c r="M446">
        <f>IF($B446="","",IF(ISNUMBER(SEARCH("bulk",$B446)),0,IF(ISNUMBER(SEARCH("fuel",$B446))+ISNUMBER(SEARCH("diesel",$B446))+ISNUMBER(SEARCH("krudo",$B446))+ISNUMBER(SEARCH("gasolina",$B446))&gt;0,1,0)))</f>
        <v/>
      </c>
      <c r="N446">
        <f>IF($B446="","",IF(ISNUMBER(SEARCH("fuel",$B446))+ISNUMBER(SEARCH("diesel",$B446))+ISNUMBER(SEARCH("krudo",$B446))+ISNUMBER(SEARCH("gasolina",$B446))&gt;0,1,0))</f>
        <v/>
      </c>
    </row>
    <row r="447">
      <c r="A447" s="86" t="n"/>
      <c r="B447" s="88" t="n"/>
      <c r="C447" s="88" t="n"/>
      <c r="D447" s="87" t="n"/>
      <c r="E447" s="88" t="n"/>
      <c r="F447" s="92" t="n"/>
      <c r="G447" s="87" t="n"/>
      <c r="H447" s="87" t="n"/>
      <c r="I447" s="101">
        <f>IF($B447="","",IF(COUNTIF(Setup!$A$99:$A$128,$B447)&gt;0,IF(INDEX(Setup!$B$99:$B$128,MATCH($B447,Setup!$A$99:$A$128,0))="","Overhead",INDEX(Setup!$B$99:$B$128,MATCH($B447,Setup!$A$99:$A$128,0))),IF(ISNUMBER(SEARCH("advance",$B447))+ISNUMBER(SEARCH("payout",$B447))+ISNUMBER(SEARCH("pay out",$B447))+ISNUMBER(SEARCH("reimburs",$B447))&gt;0,"Transfer",IF(ISNUMBER(SEARCH("loan",$B447))+ISNUMBER(SEARCH("amort",$B447))+ISNUMBER(SEARCH("installment",$B447))+ISNUMBER(SEARCH("instalment",$B447))&gt;0,"Financing",IF(ISNUMBER(SEARCH("draw",$B447))+ISNUMBER(SEARCH("owner",$B447))+ISNUMBER(SEARCH("asset",$B447))+ISNUMBER(SEARCH("capital",$B447))&gt;0,"Other",IF(ISNUMBER(SEARCH("fuel",$B447))+ISNUMBER(SEARCH("diesel",$B447))+ISNUMBER(SEARCH("krudo",$B447))+ISNUMBER(SEARCH("gasolina",$B447))+ISNUMBER(SEARCH("toll",$B447))+ISNUMBER(SEARCH("parking",$B447))+ISNUMBER(SEARCH("repair",$B447))+ISNUMBER(SEARCH("maintenance",$B447))+ISNUMBER(SEARCH("tire",$B447))+ISNUMBER(SEARCH("tyre",$B447))+ISNUMBER(SEARCH("battery",$B447))+ISNUMBER(SEARCH("oil",$B447))+ISNUMBER(SEARCH("filter",$B447))+ISNUMBER(SEARCH("spare",$B447))+ISNUMBER(SEARCH("insurance",$B447))+ISNUMBER(SEARCH("lto",$B447))+ISNUMBER(SEARCH("registration",$B447))+ISNUMBER(SEARCH("emission",$B447))+ISNUMBER(SEARCH("wash",$B447))+ISNUMBER(SEARCH("weigh",$B447))+ISNUMBER(SEARCH("tarp",$B447))&gt;0,"Vehicle",IF(ISNUMBER(SEARCH("rent",$B447))+ISNUMBER(SEARCH("upa",$B447))+ISNUMBER(SEARCH("salary",$B447))+ISNUMBER(SEARCH("sweldo",$B447))+ISNUMBER(SEARCH("wage",$B447))+ISNUMBER(SEARCH("electric",$B447))+ISNUMBER(SEARCH("kuryente",$B447))+ISNUMBER(SEARCH("water",$B447))+ISNUMBER(SEARCH("tubig",$B447))+ISNUMBER(SEARCH("internet",$B447))+ISNUMBER(SEARCH("pldt",$B447))+ISNUMBER(SEARCH("meralco",$B447))+ISNUMBER(SEARCH("supplies",$B447))+ISNUMBER(SEARCH("office",$B447))+ISNUMBER(SEARCH("professional",$B447))+ISNUMBER(SEARCH("accountant",$B447))+ISNUMBER(SEARCH("lawyer",$B447))+ISNUMBER(SEARCH("broker",$B447))+ISNUMBER(SEARCH("bank",$B447))+ISNUMBER(SEARCH("charge",$B447))+ISNUMBER(SEARCH("permit",$B447))+ISNUMBER(SEARCH("bir",$B447))+ISNUMBER(SEARCH("ltfrb",$B447))+ISNUMBER(SEARCH("misc",$B447))+ISNUMBER(SEARCH("fee",$B447))&gt;0,"Overhead","Overhead")))))))</f>
        <v/>
      </c>
      <c r="J447">
        <f>IF($A447="","",DATE(YEAR($A447),MONTH($A447),1))</f>
        <v/>
      </c>
      <c r="K447">
        <f>IF($B447="","",IF(COUNTIF(Setup!$A$99:$A$128,$B447)&gt;0,0,1))</f>
        <v/>
      </c>
      <c r="L447">
        <f>IF($B447="","",IF(ISNUMBER(SEARCH("advance",$B447)),"ADV",IF(OR(ISNUMBER(SEARCH("payout",$B447)),ISNUMBER(SEARCH("pay out",$B447)),ISNUMBER(SEARCH("release",$B447))),"PAY","")))</f>
        <v/>
      </c>
      <c r="M447">
        <f>IF($B447="","",IF(ISNUMBER(SEARCH("bulk",$B447)),0,IF(ISNUMBER(SEARCH("fuel",$B447))+ISNUMBER(SEARCH("diesel",$B447))+ISNUMBER(SEARCH("krudo",$B447))+ISNUMBER(SEARCH("gasolina",$B447))&gt;0,1,0)))</f>
        <v/>
      </c>
      <c r="N447">
        <f>IF($B447="","",IF(ISNUMBER(SEARCH("fuel",$B447))+ISNUMBER(SEARCH("diesel",$B447))+ISNUMBER(SEARCH("krudo",$B447))+ISNUMBER(SEARCH("gasolina",$B447))&gt;0,1,0))</f>
        <v/>
      </c>
    </row>
    <row r="448">
      <c r="A448" s="94" t="n"/>
      <c r="B448" s="96" t="n"/>
      <c r="C448" s="96" t="n"/>
      <c r="D448" s="95" t="n"/>
      <c r="E448" s="96" t="n"/>
      <c r="F448" s="99" t="n"/>
      <c r="G448" s="95" t="n"/>
      <c r="H448" s="95" t="n"/>
      <c r="I448" s="101">
        <f>IF($B448="","",IF(COUNTIF(Setup!$A$99:$A$128,$B448)&gt;0,IF(INDEX(Setup!$B$99:$B$128,MATCH($B448,Setup!$A$99:$A$128,0))="","Overhead",INDEX(Setup!$B$99:$B$128,MATCH($B448,Setup!$A$99:$A$128,0))),IF(ISNUMBER(SEARCH("advance",$B448))+ISNUMBER(SEARCH("payout",$B448))+ISNUMBER(SEARCH("pay out",$B448))+ISNUMBER(SEARCH("reimburs",$B448))&gt;0,"Transfer",IF(ISNUMBER(SEARCH("loan",$B448))+ISNUMBER(SEARCH("amort",$B448))+ISNUMBER(SEARCH("installment",$B448))+ISNUMBER(SEARCH("instalment",$B448))&gt;0,"Financing",IF(ISNUMBER(SEARCH("draw",$B448))+ISNUMBER(SEARCH("owner",$B448))+ISNUMBER(SEARCH("asset",$B448))+ISNUMBER(SEARCH("capital",$B448))&gt;0,"Other",IF(ISNUMBER(SEARCH("fuel",$B448))+ISNUMBER(SEARCH("diesel",$B448))+ISNUMBER(SEARCH("krudo",$B448))+ISNUMBER(SEARCH("gasolina",$B448))+ISNUMBER(SEARCH("toll",$B448))+ISNUMBER(SEARCH("parking",$B448))+ISNUMBER(SEARCH("repair",$B448))+ISNUMBER(SEARCH("maintenance",$B448))+ISNUMBER(SEARCH("tire",$B448))+ISNUMBER(SEARCH("tyre",$B448))+ISNUMBER(SEARCH("battery",$B448))+ISNUMBER(SEARCH("oil",$B448))+ISNUMBER(SEARCH("filter",$B448))+ISNUMBER(SEARCH("spare",$B448))+ISNUMBER(SEARCH("insurance",$B448))+ISNUMBER(SEARCH("lto",$B448))+ISNUMBER(SEARCH("registration",$B448))+ISNUMBER(SEARCH("emission",$B448))+ISNUMBER(SEARCH("wash",$B448))+ISNUMBER(SEARCH("weigh",$B448))+ISNUMBER(SEARCH("tarp",$B448))&gt;0,"Vehicle",IF(ISNUMBER(SEARCH("rent",$B448))+ISNUMBER(SEARCH("upa",$B448))+ISNUMBER(SEARCH("salary",$B448))+ISNUMBER(SEARCH("sweldo",$B448))+ISNUMBER(SEARCH("wage",$B448))+ISNUMBER(SEARCH("electric",$B448))+ISNUMBER(SEARCH("kuryente",$B448))+ISNUMBER(SEARCH("water",$B448))+ISNUMBER(SEARCH("tubig",$B448))+ISNUMBER(SEARCH("internet",$B448))+ISNUMBER(SEARCH("pldt",$B448))+ISNUMBER(SEARCH("meralco",$B448))+ISNUMBER(SEARCH("supplies",$B448))+ISNUMBER(SEARCH("office",$B448))+ISNUMBER(SEARCH("professional",$B448))+ISNUMBER(SEARCH("accountant",$B448))+ISNUMBER(SEARCH("lawyer",$B448))+ISNUMBER(SEARCH("broker",$B448))+ISNUMBER(SEARCH("bank",$B448))+ISNUMBER(SEARCH("charge",$B448))+ISNUMBER(SEARCH("permit",$B448))+ISNUMBER(SEARCH("bir",$B448))+ISNUMBER(SEARCH("ltfrb",$B448))+ISNUMBER(SEARCH("misc",$B448))+ISNUMBER(SEARCH("fee",$B448))&gt;0,"Overhead","Overhead")))))))</f>
        <v/>
      </c>
      <c r="J448">
        <f>IF($A448="","",DATE(YEAR($A448),MONTH($A448),1))</f>
        <v/>
      </c>
      <c r="K448">
        <f>IF($B448="","",IF(COUNTIF(Setup!$A$99:$A$128,$B448)&gt;0,0,1))</f>
        <v/>
      </c>
      <c r="L448">
        <f>IF($B448="","",IF(ISNUMBER(SEARCH("advance",$B448)),"ADV",IF(OR(ISNUMBER(SEARCH("payout",$B448)),ISNUMBER(SEARCH("pay out",$B448)),ISNUMBER(SEARCH("release",$B448))),"PAY","")))</f>
        <v/>
      </c>
      <c r="M448">
        <f>IF($B448="","",IF(ISNUMBER(SEARCH("bulk",$B448)),0,IF(ISNUMBER(SEARCH("fuel",$B448))+ISNUMBER(SEARCH("diesel",$B448))+ISNUMBER(SEARCH("krudo",$B448))+ISNUMBER(SEARCH("gasolina",$B448))&gt;0,1,0)))</f>
        <v/>
      </c>
      <c r="N448">
        <f>IF($B448="","",IF(ISNUMBER(SEARCH("fuel",$B448))+ISNUMBER(SEARCH("diesel",$B448))+ISNUMBER(SEARCH("krudo",$B448))+ISNUMBER(SEARCH("gasolina",$B448))&gt;0,1,0))</f>
        <v/>
      </c>
    </row>
    <row r="449">
      <c r="A449" s="86" t="n"/>
      <c r="B449" s="88" t="n"/>
      <c r="C449" s="88" t="n"/>
      <c r="D449" s="87" t="n"/>
      <c r="E449" s="88" t="n"/>
      <c r="F449" s="92" t="n"/>
      <c r="G449" s="87" t="n"/>
      <c r="H449" s="87" t="n"/>
      <c r="I449" s="101">
        <f>IF($B449="","",IF(COUNTIF(Setup!$A$99:$A$128,$B449)&gt;0,IF(INDEX(Setup!$B$99:$B$128,MATCH($B449,Setup!$A$99:$A$128,0))="","Overhead",INDEX(Setup!$B$99:$B$128,MATCH($B449,Setup!$A$99:$A$128,0))),IF(ISNUMBER(SEARCH("advance",$B449))+ISNUMBER(SEARCH("payout",$B449))+ISNUMBER(SEARCH("pay out",$B449))+ISNUMBER(SEARCH("reimburs",$B449))&gt;0,"Transfer",IF(ISNUMBER(SEARCH("loan",$B449))+ISNUMBER(SEARCH("amort",$B449))+ISNUMBER(SEARCH("installment",$B449))+ISNUMBER(SEARCH("instalment",$B449))&gt;0,"Financing",IF(ISNUMBER(SEARCH("draw",$B449))+ISNUMBER(SEARCH("owner",$B449))+ISNUMBER(SEARCH("asset",$B449))+ISNUMBER(SEARCH("capital",$B449))&gt;0,"Other",IF(ISNUMBER(SEARCH("fuel",$B449))+ISNUMBER(SEARCH("diesel",$B449))+ISNUMBER(SEARCH("krudo",$B449))+ISNUMBER(SEARCH("gasolina",$B449))+ISNUMBER(SEARCH("toll",$B449))+ISNUMBER(SEARCH("parking",$B449))+ISNUMBER(SEARCH("repair",$B449))+ISNUMBER(SEARCH("maintenance",$B449))+ISNUMBER(SEARCH("tire",$B449))+ISNUMBER(SEARCH("tyre",$B449))+ISNUMBER(SEARCH("battery",$B449))+ISNUMBER(SEARCH("oil",$B449))+ISNUMBER(SEARCH("filter",$B449))+ISNUMBER(SEARCH("spare",$B449))+ISNUMBER(SEARCH("insurance",$B449))+ISNUMBER(SEARCH("lto",$B449))+ISNUMBER(SEARCH("registration",$B449))+ISNUMBER(SEARCH("emission",$B449))+ISNUMBER(SEARCH("wash",$B449))+ISNUMBER(SEARCH("weigh",$B449))+ISNUMBER(SEARCH("tarp",$B449))&gt;0,"Vehicle",IF(ISNUMBER(SEARCH("rent",$B449))+ISNUMBER(SEARCH("upa",$B449))+ISNUMBER(SEARCH("salary",$B449))+ISNUMBER(SEARCH("sweldo",$B449))+ISNUMBER(SEARCH("wage",$B449))+ISNUMBER(SEARCH("electric",$B449))+ISNUMBER(SEARCH("kuryente",$B449))+ISNUMBER(SEARCH("water",$B449))+ISNUMBER(SEARCH("tubig",$B449))+ISNUMBER(SEARCH("internet",$B449))+ISNUMBER(SEARCH("pldt",$B449))+ISNUMBER(SEARCH("meralco",$B449))+ISNUMBER(SEARCH("supplies",$B449))+ISNUMBER(SEARCH("office",$B449))+ISNUMBER(SEARCH("professional",$B449))+ISNUMBER(SEARCH("accountant",$B449))+ISNUMBER(SEARCH("lawyer",$B449))+ISNUMBER(SEARCH("broker",$B449))+ISNUMBER(SEARCH("bank",$B449))+ISNUMBER(SEARCH("charge",$B449))+ISNUMBER(SEARCH("permit",$B449))+ISNUMBER(SEARCH("bir",$B449))+ISNUMBER(SEARCH("ltfrb",$B449))+ISNUMBER(SEARCH("misc",$B449))+ISNUMBER(SEARCH("fee",$B449))&gt;0,"Overhead","Overhead")))))))</f>
        <v/>
      </c>
      <c r="J449">
        <f>IF($A449="","",DATE(YEAR($A449),MONTH($A449),1))</f>
        <v/>
      </c>
      <c r="K449">
        <f>IF($B449="","",IF(COUNTIF(Setup!$A$99:$A$128,$B449)&gt;0,0,1))</f>
        <v/>
      </c>
      <c r="L449">
        <f>IF($B449="","",IF(ISNUMBER(SEARCH("advance",$B449)),"ADV",IF(OR(ISNUMBER(SEARCH("payout",$B449)),ISNUMBER(SEARCH("pay out",$B449)),ISNUMBER(SEARCH("release",$B449))),"PAY","")))</f>
        <v/>
      </c>
      <c r="M449">
        <f>IF($B449="","",IF(ISNUMBER(SEARCH("bulk",$B449)),0,IF(ISNUMBER(SEARCH("fuel",$B449))+ISNUMBER(SEARCH("diesel",$B449))+ISNUMBER(SEARCH("krudo",$B449))+ISNUMBER(SEARCH("gasolina",$B449))&gt;0,1,0)))</f>
        <v/>
      </c>
      <c r="N449">
        <f>IF($B449="","",IF(ISNUMBER(SEARCH("fuel",$B449))+ISNUMBER(SEARCH("diesel",$B449))+ISNUMBER(SEARCH("krudo",$B449))+ISNUMBER(SEARCH("gasolina",$B449))&gt;0,1,0))</f>
        <v/>
      </c>
    </row>
    <row r="450">
      <c r="A450" s="94" t="n"/>
      <c r="B450" s="96" t="n"/>
      <c r="C450" s="96" t="n"/>
      <c r="D450" s="95" t="n"/>
      <c r="E450" s="96" t="n"/>
      <c r="F450" s="99" t="n"/>
      <c r="G450" s="95" t="n"/>
      <c r="H450" s="95" t="n"/>
      <c r="I450" s="101">
        <f>IF($B450="","",IF(COUNTIF(Setup!$A$99:$A$128,$B450)&gt;0,IF(INDEX(Setup!$B$99:$B$128,MATCH($B450,Setup!$A$99:$A$128,0))="","Overhead",INDEX(Setup!$B$99:$B$128,MATCH($B450,Setup!$A$99:$A$128,0))),IF(ISNUMBER(SEARCH("advance",$B450))+ISNUMBER(SEARCH("payout",$B450))+ISNUMBER(SEARCH("pay out",$B450))+ISNUMBER(SEARCH("reimburs",$B450))&gt;0,"Transfer",IF(ISNUMBER(SEARCH("loan",$B450))+ISNUMBER(SEARCH("amort",$B450))+ISNUMBER(SEARCH("installment",$B450))+ISNUMBER(SEARCH("instalment",$B450))&gt;0,"Financing",IF(ISNUMBER(SEARCH("draw",$B450))+ISNUMBER(SEARCH("owner",$B450))+ISNUMBER(SEARCH("asset",$B450))+ISNUMBER(SEARCH("capital",$B450))&gt;0,"Other",IF(ISNUMBER(SEARCH("fuel",$B450))+ISNUMBER(SEARCH("diesel",$B450))+ISNUMBER(SEARCH("krudo",$B450))+ISNUMBER(SEARCH("gasolina",$B450))+ISNUMBER(SEARCH("toll",$B450))+ISNUMBER(SEARCH("parking",$B450))+ISNUMBER(SEARCH("repair",$B450))+ISNUMBER(SEARCH("maintenance",$B450))+ISNUMBER(SEARCH("tire",$B450))+ISNUMBER(SEARCH("tyre",$B450))+ISNUMBER(SEARCH("battery",$B450))+ISNUMBER(SEARCH("oil",$B450))+ISNUMBER(SEARCH("filter",$B450))+ISNUMBER(SEARCH("spare",$B450))+ISNUMBER(SEARCH("insurance",$B450))+ISNUMBER(SEARCH("lto",$B450))+ISNUMBER(SEARCH("registration",$B450))+ISNUMBER(SEARCH("emission",$B450))+ISNUMBER(SEARCH("wash",$B450))+ISNUMBER(SEARCH("weigh",$B450))+ISNUMBER(SEARCH("tarp",$B450))&gt;0,"Vehicle",IF(ISNUMBER(SEARCH("rent",$B450))+ISNUMBER(SEARCH("upa",$B450))+ISNUMBER(SEARCH("salary",$B450))+ISNUMBER(SEARCH("sweldo",$B450))+ISNUMBER(SEARCH("wage",$B450))+ISNUMBER(SEARCH("electric",$B450))+ISNUMBER(SEARCH("kuryente",$B450))+ISNUMBER(SEARCH("water",$B450))+ISNUMBER(SEARCH("tubig",$B450))+ISNUMBER(SEARCH("internet",$B450))+ISNUMBER(SEARCH("pldt",$B450))+ISNUMBER(SEARCH("meralco",$B450))+ISNUMBER(SEARCH("supplies",$B450))+ISNUMBER(SEARCH("office",$B450))+ISNUMBER(SEARCH("professional",$B450))+ISNUMBER(SEARCH("accountant",$B450))+ISNUMBER(SEARCH("lawyer",$B450))+ISNUMBER(SEARCH("broker",$B450))+ISNUMBER(SEARCH("bank",$B450))+ISNUMBER(SEARCH("charge",$B450))+ISNUMBER(SEARCH("permit",$B450))+ISNUMBER(SEARCH("bir",$B450))+ISNUMBER(SEARCH("ltfrb",$B450))+ISNUMBER(SEARCH("misc",$B450))+ISNUMBER(SEARCH("fee",$B450))&gt;0,"Overhead","Overhead")))))))</f>
        <v/>
      </c>
      <c r="J450">
        <f>IF($A450="","",DATE(YEAR($A450),MONTH($A450),1))</f>
        <v/>
      </c>
      <c r="K450">
        <f>IF($B450="","",IF(COUNTIF(Setup!$A$99:$A$128,$B450)&gt;0,0,1))</f>
        <v/>
      </c>
      <c r="L450">
        <f>IF($B450="","",IF(ISNUMBER(SEARCH("advance",$B450)),"ADV",IF(OR(ISNUMBER(SEARCH("payout",$B450)),ISNUMBER(SEARCH("pay out",$B450)),ISNUMBER(SEARCH("release",$B450))),"PAY","")))</f>
        <v/>
      </c>
      <c r="M450">
        <f>IF($B450="","",IF(ISNUMBER(SEARCH("bulk",$B450)),0,IF(ISNUMBER(SEARCH("fuel",$B450))+ISNUMBER(SEARCH("diesel",$B450))+ISNUMBER(SEARCH("krudo",$B450))+ISNUMBER(SEARCH("gasolina",$B450))&gt;0,1,0)))</f>
        <v/>
      </c>
      <c r="N450">
        <f>IF($B450="","",IF(ISNUMBER(SEARCH("fuel",$B450))+ISNUMBER(SEARCH("diesel",$B450))+ISNUMBER(SEARCH("krudo",$B450))+ISNUMBER(SEARCH("gasolina",$B450))&gt;0,1,0))</f>
        <v/>
      </c>
    </row>
    <row r="451">
      <c r="A451" s="86" t="n"/>
      <c r="B451" s="88" t="n"/>
      <c r="C451" s="88" t="n"/>
      <c r="D451" s="87" t="n"/>
      <c r="E451" s="88" t="n"/>
      <c r="F451" s="92" t="n"/>
      <c r="G451" s="87" t="n"/>
      <c r="H451" s="87" t="n"/>
      <c r="I451" s="101">
        <f>IF($B451="","",IF(COUNTIF(Setup!$A$99:$A$128,$B451)&gt;0,IF(INDEX(Setup!$B$99:$B$128,MATCH($B451,Setup!$A$99:$A$128,0))="","Overhead",INDEX(Setup!$B$99:$B$128,MATCH($B451,Setup!$A$99:$A$128,0))),IF(ISNUMBER(SEARCH("advance",$B451))+ISNUMBER(SEARCH("payout",$B451))+ISNUMBER(SEARCH("pay out",$B451))+ISNUMBER(SEARCH("reimburs",$B451))&gt;0,"Transfer",IF(ISNUMBER(SEARCH("loan",$B451))+ISNUMBER(SEARCH("amort",$B451))+ISNUMBER(SEARCH("installment",$B451))+ISNUMBER(SEARCH("instalment",$B451))&gt;0,"Financing",IF(ISNUMBER(SEARCH("draw",$B451))+ISNUMBER(SEARCH("owner",$B451))+ISNUMBER(SEARCH("asset",$B451))+ISNUMBER(SEARCH("capital",$B451))&gt;0,"Other",IF(ISNUMBER(SEARCH("fuel",$B451))+ISNUMBER(SEARCH("diesel",$B451))+ISNUMBER(SEARCH("krudo",$B451))+ISNUMBER(SEARCH("gasolina",$B451))+ISNUMBER(SEARCH("toll",$B451))+ISNUMBER(SEARCH("parking",$B451))+ISNUMBER(SEARCH("repair",$B451))+ISNUMBER(SEARCH("maintenance",$B451))+ISNUMBER(SEARCH("tire",$B451))+ISNUMBER(SEARCH("tyre",$B451))+ISNUMBER(SEARCH("battery",$B451))+ISNUMBER(SEARCH("oil",$B451))+ISNUMBER(SEARCH("filter",$B451))+ISNUMBER(SEARCH("spare",$B451))+ISNUMBER(SEARCH("insurance",$B451))+ISNUMBER(SEARCH("lto",$B451))+ISNUMBER(SEARCH("registration",$B451))+ISNUMBER(SEARCH("emission",$B451))+ISNUMBER(SEARCH("wash",$B451))+ISNUMBER(SEARCH("weigh",$B451))+ISNUMBER(SEARCH("tarp",$B451))&gt;0,"Vehicle",IF(ISNUMBER(SEARCH("rent",$B451))+ISNUMBER(SEARCH("upa",$B451))+ISNUMBER(SEARCH("salary",$B451))+ISNUMBER(SEARCH("sweldo",$B451))+ISNUMBER(SEARCH("wage",$B451))+ISNUMBER(SEARCH("electric",$B451))+ISNUMBER(SEARCH("kuryente",$B451))+ISNUMBER(SEARCH("water",$B451))+ISNUMBER(SEARCH("tubig",$B451))+ISNUMBER(SEARCH("internet",$B451))+ISNUMBER(SEARCH("pldt",$B451))+ISNUMBER(SEARCH("meralco",$B451))+ISNUMBER(SEARCH("supplies",$B451))+ISNUMBER(SEARCH("office",$B451))+ISNUMBER(SEARCH("professional",$B451))+ISNUMBER(SEARCH("accountant",$B451))+ISNUMBER(SEARCH("lawyer",$B451))+ISNUMBER(SEARCH("broker",$B451))+ISNUMBER(SEARCH("bank",$B451))+ISNUMBER(SEARCH("charge",$B451))+ISNUMBER(SEARCH("permit",$B451))+ISNUMBER(SEARCH("bir",$B451))+ISNUMBER(SEARCH("ltfrb",$B451))+ISNUMBER(SEARCH("misc",$B451))+ISNUMBER(SEARCH("fee",$B451))&gt;0,"Overhead","Overhead")))))))</f>
        <v/>
      </c>
      <c r="J451">
        <f>IF($A451="","",DATE(YEAR($A451),MONTH($A451),1))</f>
        <v/>
      </c>
      <c r="K451">
        <f>IF($B451="","",IF(COUNTIF(Setup!$A$99:$A$128,$B451)&gt;0,0,1))</f>
        <v/>
      </c>
      <c r="L451">
        <f>IF($B451="","",IF(ISNUMBER(SEARCH("advance",$B451)),"ADV",IF(OR(ISNUMBER(SEARCH("payout",$B451)),ISNUMBER(SEARCH("pay out",$B451)),ISNUMBER(SEARCH("release",$B451))),"PAY","")))</f>
        <v/>
      </c>
      <c r="M451">
        <f>IF($B451="","",IF(ISNUMBER(SEARCH("bulk",$B451)),0,IF(ISNUMBER(SEARCH("fuel",$B451))+ISNUMBER(SEARCH("diesel",$B451))+ISNUMBER(SEARCH("krudo",$B451))+ISNUMBER(SEARCH("gasolina",$B451))&gt;0,1,0)))</f>
        <v/>
      </c>
      <c r="N451">
        <f>IF($B451="","",IF(ISNUMBER(SEARCH("fuel",$B451))+ISNUMBER(SEARCH("diesel",$B451))+ISNUMBER(SEARCH("krudo",$B451))+ISNUMBER(SEARCH("gasolina",$B451))&gt;0,1,0))</f>
        <v/>
      </c>
    </row>
    <row r="452">
      <c r="A452" s="94" t="n"/>
      <c r="B452" s="96" t="n"/>
      <c r="C452" s="96" t="n"/>
      <c r="D452" s="95" t="n"/>
      <c r="E452" s="96" t="n"/>
      <c r="F452" s="99" t="n"/>
      <c r="G452" s="95" t="n"/>
      <c r="H452" s="95" t="n"/>
      <c r="I452" s="101">
        <f>IF($B452="","",IF(COUNTIF(Setup!$A$99:$A$128,$B452)&gt;0,IF(INDEX(Setup!$B$99:$B$128,MATCH($B452,Setup!$A$99:$A$128,0))="","Overhead",INDEX(Setup!$B$99:$B$128,MATCH($B452,Setup!$A$99:$A$128,0))),IF(ISNUMBER(SEARCH("advance",$B452))+ISNUMBER(SEARCH("payout",$B452))+ISNUMBER(SEARCH("pay out",$B452))+ISNUMBER(SEARCH("reimburs",$B452))&gt;0,"Transfer",IF(ISNUMBER(SEARCH("loan",$B452))+ISNUMBER(SEARCH("amort",$B452))+ISNUMBER(SEARCH("installment",$B452))+ISNUMBER(SEARCH("instalment",$B452))&gt;0,"Financing",IF(ISNUMBER(SEARCH("draw",$B452))+ISNUMBER(SEARCH("owner",$B452))+ISNUMBER(SEARCH("asset",$B452))+ISNUMBER(SEARCH("capital",$B452))&gt;0,"Other",IF(ISNUMBER(SEARCH("fuel",$B452))+ISNUMBER(SEARCH("diesel",$B452))+ISNUMBER(SEARCH("krudo",$B452))+ISNUMBER(SEARCH("gasolina",$B452))+ISNUMBER(SEARCH("toll",$B452))+ISNUMBER(SEARCH("parking",$B452))+ISNUMBER(SEARCH("repair",$B452))+ISNUMBER(SEARCH("maintenance",$B452))+ISNUMBER(SEARCH("tire",$B452))+ISNUMBER(SEARCH("tyre",$B452))+ISNUMBER(SEARCH("battery",$B452))+ISNUMBER(SEARCH("oil",$B452))+ISNUMBER(SEARCH("filter",$B452))+ISNUMBER(SEARCH("spare",$B452))+ISNUMBER(SEARCH("insurance",$B452))+ISNUMBER(SEARCH("lto",$B452))+ISNUMBER(SEARCH("registration",$B452))+ISNUMBER(SEARCH("emission",$B452))+ISNUMBER(SEARCH("wash",$B452))+ISNUMBER(SEARCH("weigh",$B452))+ISNUMBER(SEARCH("tarp",$B452))&gt;0,"Vehicle",IF(ISNUMBER(SEARCH("rent",$B452))+ISNUMBER(SEARCH("upa",$B452))+ISNUMBER(SEARCH("salary",$B452))+ISNUMBER(SEARCH("sweldo",$B452))+ISNUMBER(SEARCH("wage",$B452))+ISNUMBER(SEARCH("electric",$B452))+ISNUMBER(SEARCH("kuryente",$B452))+ISNUMBER(SEARCH("water",$B452))+ISNUMBER(SEARCH("tubig",$B452))+ISNUMBER(SEARCH("internet",$B452))+ISNUMBER(SEARCH("pldt",$B452))+ISNUMBER(SEARCH("meralco",$B452))+ISNUMBER(SEARCH("supplies",$B452))+ISNUMBER(SEARCH("office",$B452))+ISNUMBER(SEARCH("professional",$B452))+ISNUMBER(SEARCH("accountant",$B452))+ISNUMBER(SEARCH("lawyer",$B452))+ISNUMBER(SEARCH("broker",$B452))+ISNUMBER(SEARCH("bank",$B452))+ISNUMBER(SEARCH("charge",$B452))+ISNUMBER(SEARCH("permit",$B452))+ISNUMBER(SEARCH("bir",$B452))+ISNUMBER(SEARCH("ltfrb",$B452))+ISNUMBER(SEARCH("misc",$B452))+ISNUMBER(SEARCH("fee",$B452))&gt;0,"Overhead","Overhead")))))))</f>
        <v/>
      </c>
      <c r="J452">
        <f>IF($A452="","",DATE(YEAR($A452),MONTH($A452),1))</f>
        <v/>
      </c>
      <c r="K452">
        <f>IF($B452="","",IF(COUNTIF(Setup!$A$99:$A$128,$B452)&gt;0,0,1))</f>
        <v/>
      </c>
      <c r="L452">
        <f>IF($B452="","",IF(ISNUMBER(SEARCH("advance",$B452)),"ADV",IF(OR(ISNUMBER(SEARCH("payout",$B452)),ISNUMBER(SEARCH("pay out",$B452)),ISNUMBER(SEARCH("release",$B452))),"PAY","")))</f>
        <v/>
      </c>
      <c r="M452">
        <f>IF($B452="","",IF(ISNUMBER(SEARCH("bulk",$B452)),0,IF(ISNUMBER(SEARCH("fuel",$B452))+ISNUMBER(SEARCH("diesel",$B452))+ISNUMBER(SEARCH("krudo",$B452))+ISNUMBER(SEARCH("gasolina",$B452))&gt;0,1,0)))</f>
        <v/>
      </c>
      <c r="N452">
        <f>IF($B452="","",IF(ISNUMBER(SEARCH("fuel",$B452))+ISNUMBER(SEARCH("diesel",$B452))+ISNUMBER(SEARCH("krudo",$B452))+ISNUMBER(SEARCH("gasolina",$B452))&gt;0,1,0))</f>
        <v/>
      </c>
    </row>
    <row r="453">
      <c r="A453" s="86" t="n"/>
      <c r="B453" s="88" t="n"/>
      <c r="C453" s="88" t="n"/>
      <c r="D453" s="87" t="n"/>
      <c r="E453" s="88" t="n"/>
      <c r="F453" s="92" t="n"/>
      <c r="G453" s="87" t="n"/>
      <c r="H453" s="87" t="n"/>
      <c r="I453" s="101">
        <f>IF($B453="","",IF(COUNTIF(Setup!$A$99:$A$128,$B453)&gt;0,IF(INDEX(Setup!$B$99:$B$128,MATCH($B453,Setup!$A$99:$A$128,0))="","Overhead",INDEX(Setup!$B$99:$B$128,MATCH($B453,Setup!$A$99:$A$128,0))),IF(ISNUMBER(SEARCH("advance",$B453))+ISNUMBER(SEARCH("payout",$B453))+ISNUMBER(SEARCH("pay out",$B453))+ISNUMBER(SEARCH("reimburs",$B453))&gt;0,"Transfer",IF(ISNUMBER(SEARCH("loan",$B453))+ISNUMBER(SEARCH("amort",$B453))+ISNUMBER(SEARCH("installment",$B453))+ISNUMBER(SEARCH("instalment",$B453))&gt;0,"Financing",IF(ISNUMBER(SEARCH("draw",$B453))+ISNUMBER(SEARCH("owner",$B453))+ISNUMBER(SEARCH("asset",$B453))+ISNUMBER(SEARCH("capital",$B453))&gt;0,"Other",IF(ISNUMBER(SEARCH("fuel",$B453))+ISNUMBER(SEARCH("diesel",$B453))+ISNUMBER(SEARCH("krudo",$B453))+ISNUMBER(SEARCH("gasolina",$B453))+ISNUMBER(SEARCH("toll",$B453))+ISNUMBER(SEARCH("parking",$B453))+ISNUMBER(SEARCH("repair",$B453))+ISNUMBER(SEARCH("maintenance",$B453))+ISNUMBER(SEARCH("tire",$B453))+ISNUMBER(SEARCH("tyre",$B453))+ISNUMBER(SEARCH("battery",$B453))+ISNUMBER(SEARCH("oil",$B453))+ISNUMBER(SEARCH("filter",$B453))+ISNUMBER(SEARCH("spare",$B453))+ISNUMBER(SEARCH("insurance",$B453))+ISNUMBER(SEARCH("lto",$B453))+ISNUMBER(SEARCH("registration",$B453))+ISNUMBER(SEARCH("emission",$B453))+ISNUMBER(SEARCH("wash",$B453))+ISNUMBER(SEARCH("weigh",$B453))+ISNUMBER(SEARCH("tarp",$B453))&gt;0,"Vehicle",IF(ISNUMBER(SEARCH("rent",$B453))+ISNUMBER(SEARCH("upa",$B453))+ISNUMBER(SEARCH("salary",$B453))+ISNUMBER(SEARCH("sweldo",$B453))+ISNUMBER(SEARCH("wage",$B453))+ISNUMBER(SEARCH("electric",$B453))+ISNUMBER(SEARCH("kuryente",$B453))+ISNUMBER(SEARCH("water",$B453))+ISNUMBER(SEARCH("tubig",$B453))+ISNUMBER(SEARCH("internet",$B453))+ISNUMBER(SEARCH("pldt",$B453))+ISNUMBER(SEARCH("meralco",$B453))+ISNUMBER(SEARCH("supplies",$B453))+ISNUMBER(SEARCH("office",$B453))+ISNUMBER(SEARCH("professional",$B453))+ISNUMBER(SEARCH("accountant",$B453))+ISNUMBER(SEARCH("lawyer",$B453))+ISNUMBER(SEARCH("broker",$B453))+ISNUMBER(SEARCH("bank",$B453))+ISNUMBER(SEARCH("charge",$B453))+ISNUMBER(SEARCH("permit",$B453))+ISNUMBER(SEARCH("bir",$B453))+ISNUMBER(SEARCH("ltfrb",$B453))+ISNUMBER(SEARCH("misc",$B453))+ISNUMBER(SEARCH("fee",$B453))&gt;0,"Overhead","Overhead")))))))</f>
        <v/>
      </c>
      <c r="J453">
        <f>IF($A453="","",DATE(YEAR($A453),MONTH($A453),1))</f>
        <v/>
      </c>
      <c r="K453">
        <f>IF($B453="","",IF(COUNTIF(Setup!$A$99:$A$128,$B453)&gt;0,0,1))</f>
        <v/>
      </c>
      <c r="L453">
        <f>IF($B453="","",IF(ISNUMBER(SEARCH("advance",$B453)),"ADV",IF(OR(ISNUMBER(SEARCH("payout",$B453)),ISNUMBER(SEARCH("pay out",$B453)),ISNUMBER(SEARCH("release",$B453))),"PAY","")))</f>
        <v/>
      </c>
      <c r="M453">
        <f>IF($B453="","",IF(ISNUMBER(SEARCH("bulk",$B453)),0,IF(ISNUMBER(SEARCH("fuel",$B453))+ISNUMBER(SEARCH("diesel",$B453))+ISNUMBER(SEARCH("krudo",$B453))+ISNUMBER(SEARCH("gasolina",$B453))&gt;0,1,0)))</f>
        <v/>
      </c>
      <c r="N453">
        <f>IF($B453="","",IF(ISNUMBER(SEARCH("fuel",$B453))+ISNUMBER(SEARCH("diesel",$B453))+ISNUMBER(SEARCH("krudo",$B453))+ISNUMBER(SEARCH("gasolina",$B453))&gt;0,1,0))</f>
        <v/>
      </c>
    </row>
    <row r="454">
      <c r="A454" s="94" t="n"/>
      <c r="B454" s="96" t="n"/>
      <c r="C454" s="96" t="n"/>
      <c r="D454" s="95" t="n"/>
      <c r="E454" s="96" t="n"/>
      <c r="F454" s="99" t="n"/>
      <c r="G454" s="95" t="n"/>
      <c r="H454" s="95" t="n"/>
      <c r="I454" s="101">
        <f>IF($B454="","",IF(COUNTIF(Setup!$A$99:$A$128,$B454)&gt;0,IF(INDEX(Setup!$B$99:$B$128,MATCH($B454,Setup!$A$99:$A$128,0))="","Overhead",INDEX(Setup!$B$99:$B$128,MATCH($B454,Setup!$A$99:$A$128,0))),IF(ISNUMBER(SEARCH("advance",$B454))+ISNUMBER(SEARCH("payout",$B454))+ISNUMBER(SEARCH("pay out",$B454))+ISNUMBER(SEARCH("reimburs",$B454))&gt;0,"Transfer",IF(ISNUMBER(SEARCH("loan",$B454))+ISNUMBER(SEARCH("amort",$B454))+ISNUMBER(SEARCH("installment",$B454))+ISNUMBER(SEARCH("instalment",$B454))&gt;0,"Financing",IF(ISNUMBER(SEARCH("draw",$B454))+ISNUMBER(SEARCH("owner",$B454))+ISNUMBER(SEARCH("asset",$B454))+ISNUMBER(SEARCH("capital",$B454))&gt;0,"Other",IF(ISNUMBER(SEARCH("fuel",$B454))+ISNUMBER(SEARCH("diesel",$B454))+ISNUMBER(SEARCH("krudo",$B454))+ISNUMBER(SEARCH("gasolina",$B454))+ISNUMBER(SEARCH("toll",$B454))+ISNUMBER(SEARCH("parking",$B454))+ISNUMBER(SEARCH("repair",$B454))+ISNUMBER(SEARCH("maintenance",$B454))+ISNUMBER(SEARCH("tire",$B454))+ISNUMBER(SEARCH("tyre",$B454))+ISNUMBER(SEARCH("battery",$B454))+ISNUMBER(SEARCH("oil",$B454))+ISNUMBER(SEARCH("filter",$B454))+ISNUMBER(SEARCH("spare",$B454))+ISNUMBER(SEARCH("insurance",$B454))+ISNUMBER(SEARCH("lto",$B454))+ISNUMBER(SEARCH("registration",$B454))+ISNUMBER(SEARCH("emission",$B454))+ISNUMBER(SEARCH("wash",$B454))+ISNUMBER(SEARCH("weigh",$B454))+ISNUMBER(SEARCH("tarp",$B454))&gt;0,"Vehicle",IF(ISNUMBER(SEARCH("rent",$B454))+ISNUMBER(SEARCH("upa",$B454))+ISNUMBER(SEARCH("salary",$B454))+ISNUMBER(SEARCH("sweldo",$B454))+ISNUMBER(SEARCH("wage",$B454))+ISNUMBER(SEARCH("electric",$B454))+ISNUMBER(SEARCH("kuryente",$B454))+ISNUMBER(SEARCH("water",$B454))+ISNUMBER(SEARCH("tubig",$B454))+ISNUMBER(SEARCH("internet",$B454))+ISNUMBER(SEARCH("pldt",$B454))+ISNUMBER(SEARCH("meralco",$B454))+ISNUMBER(SEARCH("supplies",$B454))+ISNUMBER(SEARCH("office",$B454))+ISNUMBER(SEARCH("professional",$B454))+ISNUMBER(SEARCH("accountant",$B454))+ISNUMBER(SEARCH("lawyer",$B454))+ISNUMBER(SEARCH("broker",$B454))+ISNUMBER(SEARCH("bank",$B454))+ISNUMBER(SEARCH("charge",$B454))+ISNUMBER(SEARCH("permit",$B454))+ISNUMBER(SEARCH("bir",$B454))+ISNUMBER(SEARCH("ltfrb",$B454))+ISNUMBER(SEARCH("misc",$B454))+ISNUMBER(SEARCH("fee",$B454))&gt;0,"Overhead","Overhead")))))))</f>
        <v/>
      </c>
      <c r="J454">
        <f>IF($A454="","",DATE(YEAR($A454),MONTH($A454),1))</f>
        <v/>
      </c>
      <c r="K454">
        <f>IF($B454="","",IF(COUNTIF(Setup!$A$99:$A$128,$B454)&gt;0,0,1))</f>
        <v/>
      </c>
      <c r="L454">
        <f>IF($B454="","",IF(ISNUMBER(SEARCH("advance",$B454)),"ADV",IF(OR(ISNUMBER(SEARCH("payout",$B454)),ISNUMBER(SEARCH("pay out",$B454)),ISNUMBER(SEARCH("release",$B454))),"PAY","")))</f>
        <v/>
      </c>
      <c r="M454">
        <f>IF($B454="","",IF(ISNUMBER(SEARCH("bulk",$B454)),0,IF(ISNUMBER(SEARCH("fuel",$B454))+ISNUMBER(SEARCH("diesel",$B454))+ISNUMBER(SEARCH("krudo",$B454))+ISNUMBER(SEARCH("gasolina",$B454))&gt;0,1,0)))</f>
        <v/>
      </c>
      <c r="N454">
        <f>IF($B454="","",IF(ISNUMBER(SEARCH("fuel",$B454))+ISNUMBER(SEARCH("diesel",$B454))+ISNUMBER(SEARCH("krudo",$B454))+ISNUMBER(SEARCH("gasolina",$B454))&gt;0,1,0))</f>
        <v/>
      </c>
    </row>
    <row r="455">
      <c r="A455" s="86" t="n"/>
      <c r="B455" s="88" t="n"/>
      <c r="C455" s="88" t="n"/>
      <c r="D455" s="87" t="n"/>
      <c r="E455" s="88" t="n"/>
      <c r="F455" s="92" t="n"/>
      <c r="G455" s="87" t="n"/>
      <c r="H455" s="87" t="n"/>
      <c r="I455" s="101">
        <f>IF($B455="","",IF(COUNTIF(Setup!$A$99:$A$128,$B455)&gt;0,IF(INDEX(Setup!$B$99:$B$128,MATCH($B455,Setup!$A$99:$A$128,0))="","Overhead",INDEX(Setup!$B$99:$B$128,MATCH($B455,Setup!$A$99:$A$128,0))),IF(ISNUMBER(SEARCH("advance",$B455))+ISNUMBER(SEARCH("payout",$B455))+ISNUMBER(SEARCH("pay out",$B455))+ISNUMBER(SEARCH("reimburs",$B455))&gt;0,"Transfer",IF(ISNUMBER(SEARCH("loan",$B455))+ISNUMBER(SEARCH("amort",$B455))+ISNUMBER(SEARCH("installment",$B455))+ISNUMBER(SEARCH("instalment",$B455))&gt;0,"Financing",IF(ISNUMBER(SEARCH("draw",$B455))+ISNUMBER(SEARCH("owner",$B455))+ISNUMBER(SEARCH("asset",$B455))+ISNUMBER(SEARCH("capital",$B455))&gt;0,"Other",IF(ISNUMBER(SEARCH("fuel",$B455))+ISNUMBER(SEARCH("diesel",$B455))+ISNUMBER(SEARCH("krudo",$B455))+ISNUMBER(SEARCH("gasolina",$B455))+ISNUMBER(SEARCH("toll",$B455))+ISNUMBER(SEARCH("parking",$B455))+ISNUMBER(SEARCH("repair",$B455))+ISNUMBER(SEARCH("maintenance",$B455))+ISNUMBER(SEARCH("tire",$B455))+ISNUMBER(SEARCH("tyre",$B455))+ISNUMBER(SEARCH("battery",$B455))+ISNUMBER(SEARCH("oil",$B455))+ISNUMBER(SEARCH("filter",$B455))+ISNUMBER(SEARCH("spare",$B455))+ISNUMBER(SEARCH("insurance",$B455))+ISNUMBER(SEARCH("lto",$B455))+ISNUMBER(SEARCH("registration",$B455))+ISNUMBER(SEARCH("emission",$B455))+ISNUMBER(SEARCH("wash",$B455))+ISNUMBER(SEARCH("weigh",$B455))+ISNUMBER(SEARCH("tarp",$B455))&gt;0,"Vehicle",IF(ISNUMBER(SEARCH("rent",$B455))+ISNUMBER(SEARCH("upa",$B455))+ISNUMBER(SEARCH("salary",$B455))+ISNUMBER(SEARCH("sweldo",$B455))+ISNUMBER(SEARCH("wage",$B455))+ISNUMBER(SEARCH("electric",$B455))+ISNUMBER(SEARCH("kuryente",$B455))+ISNUMBER(SEARCH("water",$B455))+ISNUMBER(SEARCH("tubig",$B455))+ISNUMBER(SEARCH("internet",$B455))+ISNUMBER(SEARCH("pldt",$B455))+ISNUMBER(SEARCH("meralco",$B455))+ISNUMBER(SEARCH("supplies",$B455))+ISNUMBER(SEARCH("office",$B455))+ISNUMBER(SEARCH("professional",$B455))+ISNUMBER(SEARCH("accountant",$B455))+ISNUMBER(SEARCH("lawyer",$B455))+ISNUMBER(SEARCH("broker",$B455))+ISNUMBER(SEARCH("bank",$B455))+ISNUMBER(SEARCH("charge",$B455))+ISNUMBER(SEARCH("permit",$B455))+ISNUMBER(SEARCH("bir",$B455))+ISNUMBER(SEARCH("ltfrb",$B455))+ISNUMBER(SEARCH("misc",$B455))+ISNUMBER(SEARCH("fee",$B455))&gt;0,"Overhead","Overhead")))))))</f>
        <v/>
      </c>
      <c r="J455">
        <f>IF($A455="","",DATE(YEAR($A455),MONTH($A455),1))</f>
        <v/>
      </c>
      <c r="K455">
        <f>IF($B455="","",IF(COUNTIF(Setup!$A$99:$A$128,$B455)&gt;0,0,1))</f>
        <v/>
      </c>
      <c r="L455">
        <f>IF($B455="","",IF(ISNUMBER(SEARCH("advance",$B455)),"ADV",IF(OR(ISNUMBER(SEARCH("payout",$B455)),ISNUMBER(SEARCH("pay out",$B455)),ISNUMBER(SEARCH("release",$B455))),"PAY","")))</f>
        <v/>
      </c>
      <c r="M455">
        <f>IF($B455="","",IF(ISNUMBER(SEARCH("bulk",$B455)),0,IF(ISNUMBER(SEARCH("fuel",$B455))+ISNUMBER(SEARCH("diesel",$B455))+ISNUMBER(SEARCH("krudo",$B455))+ISNUMBER(SEARCH("gasolina",$B455))&gt;0,1,0)))</f>
        <v/>
      </c>
      <c r="N455">
        <f>IF($B455="","",IF(ISNUMBER(SEARCH("fuel",$B455))+ISNUMBER(SEARCH("diesel",$B455))+ISNUMBER(SEARCH("krudo",$B455))+ISNUMBER(SEARCH("gasolina",$B455))&gt;0,1,0))</f>
        <v/>
      </c>
    </row>
    <row r="456">
      <c r="A456" s="94" t="n"/>
      <c r="B456" s="96" t="n"/>
      <c r="C456" s="96" t="n"/>
      <c r="D456" s="95" t="n"/>
      <c r="E456" s="96" t="n"/>
      <c r="F456" s="99" t="n"/>
      <c r="G456" s="95" t="n"/>
      <c r="H456" s="95" t="n"/>
      <c r="I456" s="101">
        <f>IF($B456="","",IF(COUNTIF(Setup!$A$99:$A$128,$B456)&gt;0,IF(INDEX(Setup!$B$99:$B$128,MATCH($B456,Setup!$A$99:$A$128,0))="","Overhead",INDEX(Setup!$B$99:$B$128,MATCH($B456,Setup!$A$99:$A$128,0))),IF(ISNUMBER(SEARCH("advance",$B456))+ISNUMBER(SEARCH("payout",$B456))+ISNUMBER(SEARCH("pay out",$B456))+ISNUMBER(SEARCH("reimburs",$B456))&gt;0,"Transfer",IF(ISNUMBER(SEARCH("loan",$B456))+ISNUMBER(SEARCH("amort",$B456))+ISNUMBER(SEARCH("installment",$B456))+ISNUMBER(SEARCH("instalment",$B456))&gt;0,"Financing",IF(ISNUMBER(SEARCH("draw",$B456))+ISNUMBER(SEARCH("owner",$B456))+ISNUMBER(SEARCH("asset",$B456))+ISNUMBER(SEARCH("capital",$B456))&gt;0,"Other",IF(ISNUMBER(SEARCH("fuel",$B456))+ISNUMBER(SEARCH("diesel",$B456))+ISNUMBER(SEARCH("krudo",$B456))+ISNUMBER(SEARCH("gasolina",$B456))+ISNUMBER(SEARCH("toll",$B456))+ISNUMBER(SEARCH("parking",$B456))+ISNUMBER(SEARCH("repair",$B456))+ISNUMBER(SEARCH("maintenance",$B456))+ISNUMBER(SEARCH("tire",$B456))+ISNUMBER(SEARCH("tyre",$B456))+ISNUMBER(SEARCH("battery",$B456))+ISNUMBER(SEARCH("oil",$B456))+ISNUMBER(SEARCH("filter",$B456))+ISNUMBER(SEARCH("spare",$B456))+ISNUMBER(SEARCH("insurance",$B456))+ISNUMBER(SEARCH("lto",$B456))+ISNUMBER(SEARCH("registration",$B456))+ISNUMBER(SEARCH("emission",$B456))+ISNUMBER(SEARCH("wash",$B456))+ISNUMBER(SEARCH("weigh",$B456))+ISNUMBER(SEARCH("tarp",$B456))&gt;0,"Vehicle",IF(ISNUMBER(SEARCH("rent",$B456))+ISNUMBER(SEARCH("upa",$B456))+ISNUMBER(SEARCH("salary",$B456))+ISNUMBER(SEARCH("sweldo",$B456))+ISNUMBER(SEARCH("wage",$B456))+ISNUMBER(SEARCH("electric",$B456))+ISNUMBER(SEARCH("kuryente",$B456))+ISNUMBER(SEARCH("water",$B456))+ISNUMBER(SEARCH("tubig",$B456))+ISNUMBER(SEARCH("internet",$B456))+ISNUMBER(SEARCH("pldt",$B456))+ISNUMBER(SEARCH("meralco",$B456))+ISNUMBER(SEARCH("supplies",$B456))+ISNUMBER(SEARCH("office",$B456))+ISNUMBER(SEARCH("professional",$B456))+ISNUMBER(SEARCH("accountant",$B456))+ISNUMBER(SEARCH("lawyer",$B456))+ISNUMBER(SEARCH("broker",$B456))+ISNUMBER(SEARCH("bank",$B456))+ISNUMBER(SEARCH("charge",$B456))+ISNUMBER(SEARCH("permit",$B456))+ISNUMBER(SEARCH("bir",$B456))+ISNUMBER(SEARCH("ltfrb",$B456))+ISNUMBER(SEARCH("misc",$B456))+ISNUMBER(SEARCH("fee",$B456))&gt;0,"Overhead","Overhead")))))))</f>
        <v/>
      </c>
      <c r="J456">
        <f>IF($A456="","",DATE(YEAR($A456),MONTH($A456),1))</f>
        <v/>
      </c>
      <c r="K456">
        <f>IF($B456="","",IF(COUNTIF(Setup!$A$99:$A$128,$B456)&gt;0,0,1))</f>
        <v/>
      </c>
      <c r="L456">
        <f>IF($B456="","",IF(ISNUMBER(SEARCH("advance",$B456)),"ADV",IF(OR(ISNUMBER(SEARCH("payout",$B456)),ISNUMBER(SEARCH("pay out",$B456)),ISNUMBER(SEARCH("release",$B456))),"PAY","")))</f>
        <v/>
      </c>
      <c r="M456">
        <f>IF($B456="","",IF(ISNUMBER(SEARCH("bulk",$B456)),0,IF(ISNUMBER(SEARCH("fuel",$B456))+ISNUMBER(SEARCH("diesel",$B456))+ISNUMBER(SEARCH("krudo",$B456))+ISNUMBER(SEARCH("gasolina",$B456))&gt;0,1,0)))</f>
        <v/>
      </c>
      <c r="N456">
        <f>IF($B456="","",IF(ISNUMBER(SEARCH("fuel",$B456))+ISNUMBER(SEARCH("diesel",$B456))+ISNUMBER(SEARCH("krudo",$B456))+ISNUMBER(SEARCH("gasolina",$B456))&gt;0,1,0))</f>
        <v/>
      </c>
    </row>
    <row r="457">
      <c r="A457" s="86" t="n"/>
      <c r="B457" s="88" t="n"/>
      <c r="C457" s="88" t="n"/>
      <c r="D457" s="87" t="n"/>
      <c r="E457" s="88" t="n"/>
      <c r="F457" s="92" t="n"/>
      <c r="G457" s="87" t="n"/>
      <c r="H457" s="87" t="n"/>
      <c r="I457" s="101">
        <f>IF($B457="","",IF(COUNTIF(Setup!$A$99:$A$128,$B457)&gt;0,IF(INDEX(Setup!$B$99:$B$128,MATCH($B457,Setup!$A$99:$A$128,0))="","Overhead",INDEX(Setup!$B$99:$B$128,MATCH($B457,Setup!$A$99:$A$128,0))),IF(ISNUMBER(SEARCH("advance",$B457))+ISNUMBER(SEARCH("payout",$B457))+ISNUMBER(SEARCH("pay out",$B457))+ISNUMBER(SEARCH("reimburs",$B457))&gt;0,"Transfer",IF(ISNUMBER(SEARCH("loan",$B457))+ISNUMBER(SEARCH("amort",$B457))+ISNUMBER(SEARCH("installment",$B457))+ISNUMBER(SEARCH("instalment",$B457))&gt;0,"Financing",IF(ISNUMBER(SEARCH("draw",$B457))+ISNUMBER(SEARCH("owner",$B457))+ISNUMBER(SEARCH("asset",$B457))+ISNUMBER(SEARCH("capital",$B457))&gt;0,"Other",IF(ISNUMBER(SEARCH("fuel",$B457))+ISNUMBER(SEARCH("diesel",$B457))+ISNUMBER(SEARCH("krudo",$B457))+ISNUMBER(SEARCH("gasolina",$B457))+ISNUMBER(SEARCH("toll",$B457))+ISNUMBER(SEARCH("parking",$B457))+ISNUMBER(SEARCH("repair",$B457))+ISNUMBER(SEARCH("maintenance",$B457))+ISNUMBER(SEARCH("tire",$B457))+ISNUMBER(SEARCH("tyre",$B457))+ISNUMBER(SEARCH("battery",$B457))+ISNUMBER(SEARCH("oil",$B457))+ISNUMBER(SEARCH("filter",$B457))+ISNUMBER(SEARCH("spare",$B457))+ISNUMBER(SEARCH("insurance",$B457))+ISNUMBER(SEARCH("lto",$B457))+ISNUMBER(SEARCH("registration",$B457))+ISNUMBER(SEARCH("emission",$B457))+ISNUMBER(SEARCH("wash",$B457))+ISNUMBER(SEARCH("weigh",$B457))+ISNUMBER(SEARCH("tarp",$B457))&gt;0,"Vehicle",IF(ISNUMBER(SEARCH("rent",$B457))+ISNUMBER(SEARCH("upa",$B457))+ISNUMBER(SEARCH("salary",$B457))+ISNUMBER(SEARCH("sweldo",$B457))+ISNUMBER(SEARCH("wage",$B457))+ISNUMBER(SEARCH("electric",$B457))+ISNUMBER(SEARCH("kuryente",$B457))+ISNUMBER(SEARCH("water",$B457))+ISNUMBER(SEARCH("tubig",$B457))+ISNUMBER(SEARCH("internet",$B457))+ISNUMBER(SEARCH("pldt",$B457))+ISNUMBER(SEARCH("meralco",$B457))+ISNUMBER(SEARCH("supplies",$B457))+ISNUMBER(SEARCH("office",$B457))+ISNUMBER(SEARCH("professional",$B457))+ISNUMBER(SEARCH("accountant",$B457))+ISNUMBER(SEARCH("lawyer",$B457))+ISNUMBER(SEARCH("broker",$B457))+ISNUMBER(SEARCH("bank",$B457))+ISNUMBER(SEARCH("charge",$B457))+ISNUMBER(SEARCH("permit",$B457))+ISNUMBER(SEARCH("bir",$B457))+ISNUMBER(SEARCH("ltfrb",$B457))+ISNUMBER(SEARCH("misc",$B457))+ISNUMBER(SEARCH("fee",$B457))&gt;0,"Overhead","Overhead")))))))</f>
        <v/>
      </c>
      <c r="J457">
        <f>IF($A457="","",DATE(YEAR($A457),MONTH($A457),1))</f>
        <v/>
      </c>
      <c r="K457">
        <f>IF($B457="","",IF(COUNTIF(Setup!$A$99:$A$128,$B457)&gt;0,0,1))</f>
        <v/>
      </c>
      <c r="L457">
        <f>IF($B457="","",IF(ISNUMBER(SEARCH("advance",$B457)),"ADV",IF(OR(ISNUMBER(SEARCH("payout",$B457)),ISNUMBER(SEARCH("pay out",$B457)),ISNUMBER(SEARCH("release",$B457))),"PAY","")))</f>
        <v/>
      </c>
      <c r="M457">
        <f>IF($B457="","",IF(ISNUMBER(SEARCH("bulk",$B457)),0,IF(ISNUMBER(SEARCH("fuel",$B457))+ISNUMBER(SEARCH("diesel",$B457))+ISNUMBER(SEARCH("krudo",$B457))+ISNUMBER(SEARCH("gasolina",$B457))&gt;0,1,0)))</f>
        <v/>
      </c>
      <c r="N457">
        <f>IF($B457="","",IF(ISNUMBER(SEARCH("fuel",$B457))+ISNUMBER(SEARCH("diesel",$B457))+ISNUMBER(SEARCH("krudo",$B457))+ISNUMBER(SEARCH("gasolina",$B457))&gt;0,1,0))</f>
        <v/>
      </c>
    </row>
    <row r="458">
      <c r="A458" s="94" t="n"/>
      <c r="B458" s="96" t="n"/>
      <c r="C458" s="96" t="n"/>
      <c r="D458" s="95" t="n"/>
      <c r="E458" s="96" t="n"/>
      <c r="F458" s="99" t="n"/>
      <c r="G458" s="95" t="n"/>
      <c r="H458" s="95" t="n"/>
      <c r="I458" s="101">
        <f>IF($B458="","",IF(COUNTIF(Setup!$A$99:$A$128,$B458)&gt;0,IF(INDEX(Setup!$B$99:$B$128,MATCH($B458,Setup!$A$99:$A$128,0))="","Overhead",INDEX(Setup!$B$99:$B$128,MATCH($B458,Setup!$A$99:$A$128,0))),IF(ISNUMBER(SEARCH("advance",$B458))+ISNUMBER(SEARCH("payout",$B458))+ISNUMBER(SEARCH("pay out",$B458))+ISNUMBER(SEARCH("reimburs",$B458))&gt;0,"Transfer",IF(ISNUMBER(SEARCH("loan",$B458))+ISNUMBER(SEARCH("amort",$B458))+ISNUMBER(SEARCH("installment",$B458))+ISNUMBER(SEARCH("instalment",$B458))&gt;0,"Financing",IF(ISNUMBER(SEARCH("draw",$B458))+ISNUMBER(SEARCH("owner",$B458))+ISNUMBER(SEARCH("asset",$B458))+ISNUMBER(SEARCH("capital",$B458))&gt;0,"Other",IF(ISNUMBER(SEARCH("fuel",$B458))+ISNUMBER(SEARCH("diesel",$B458))+ISNUMBER(SEARCH("krudo",$B458))+ISNUMBER(SEARCH("gasolina",$B458))+ISNUMBER(SEARCH("toll",$B458))+ISNUMBER(SEARCH("parking",$B458))+ISNUMBER(SEARCH("repair",$B458))+ISNUMBER(SEARCH("maintenance",$B458))+ISNUMBER(SEARCH("tire",$B458))+ISNUMBER(SEARCH("tyre",$B458))+ISNUMBER(SEARCH("battery",$B458))+ISNUMBER(SEARCH("oil",$B458))+ISNUMBER(SEARCH("filter",$B458))+ISNUMBER(SEARCH("spare",$B458))+ISNUMBER(SEARCH("insurance",$B458))+ISNUMBER(SEARCH("lto",$B458))+ISNUMBER(SEARCH("registration",$B458))+ISNUMBER(SEARCH("emission",$B458))+ISNUMBER(SEARCH("wash",$B458))+ISNUMBER(SEARCH("weigh",$B458))+ISNUMBER(SEARCH("tarp",$B458))&gt;0,"Vehicle",IF(ISNUMBER(SEARCH("rent",$B458))+ISNUMBER(SEARCH("upa",$B458))+ISNUMBER(SEARCH("salary",$B458))+ISNUMBER(SEARCH("sweldo",$B458))+ISNUMBER(SEARCH("wage",$B458))+ISNUMBER(SEARCH("electric",$B458))+ISNUMBER(SEARCH("kuryente",$B458))+ISNUMBER(SEARCH("water",$B458))+ISNUMBER(SEARCH("tubig",$B458))+ISNUMBER(SEARCH("internet",$B458))+ISNUMBER(SEARCH("pldt",$B458))+ISNUMBER(SEARCH("meralco",$B458))+ISNUMBER(SEARCH("supplies",$B458))+ISNUMBER(SEARCH("office",$B458))+ISNUMBER(SEARCH("professional",$B458))+ISNUMBER(SEARCH("accountant",$B458))+ISNUMBER(SEARCH("lawyer",$B458))+ISNUMBER(SEARCH("broker",$B458))+ISNUMBER(SEARCH("bank",$B458))+ISNUMBER(SEARCH("charge",$B458))+ISNUMBER(SEARCH("permit",$B458))+ISNUMBER(SEARCH("bir",$B458))+ISNUMBER(SEARCH("ltfrb",$B458))+ISNUMBER(SEARCH("misc",$B458))+ISNUMBER(SEARCH("fee",$B458))&gt;0,"Overhead","Overhead")))))))</f>
        <v/>
      </c>
      <c r="J458">
        <f>IF($A458="","",DATE(YEAR($A458),MONTH($A458),1))</f>
        <v/>
      </c>
      <c r="K458">
        <f>IF($B458="","",IF(COUNTIF(Setup!$A$99:$A$128,$B458)&gt;0,0,1))</f>
        <v/>
      </c>
      <c r="L458">
        <f>IF($B458="","",IF(ISNUMBER(SEARCH("advance",$B458)),"ADV",IF(OR(ISNUMBER(SEARCH("payout",$B458)),ISNUMBER(SEARCH("pay out",$B458)),ISNUMBER(SEARCH("release",$B458))),"PAY","")))</f>
        <v/>
      </c>
      <c r="M458">
        <f>IF($B458="","",IF(ISNUMBER(SEARCH("bulk",$B458)),0,IF(ISNUMBER(SEARCH("fuel",$B458))+ISNUMBER(SEARCH("diesel",$B458))+ISNUMBER(SEARCH("krudo",$B458))+ISNUMBER(SEARCH("gasolina",$B458))&gt;0,1,0)))</f>
        <v/>
      </c>
      <c r="N458">
        <f>IF($B458="","",IF(ISNUMBER(SEARCH("fuel",$B458))+ISNUMBER(SEARCH("diesel",$B458))+ISNUMBER(SEARCH("krudo",$B458))+ISNUMBER(SEARCH("gasolina",$B458))&gt;0,1,0))</f>
        <v/>
      </c>
    </row>
    <row r="459">
      <c r="A459" s="86" t="n"/>
      <c r="B459" s="88" t="n"/>
      <c r="C459" s="88" t="n"/>
      <c r="D459" s="87" t="n"/>
      <c r="E459" s="88" t="n"/>
      <c r="F459" s="92" t="n"/>
      <c r="G459" s="87" t="n"/>
      <c r="H459" s="87" t="n"/>
      <c r="I459" s="101">
        <f>IF($B459="","",IF(COUNTIF(Setup!$A$99:$A$128,$B459)&gt;0,IF(INDEX(Setup!$B$99:$B$128,MATCH($B459,Setup!$A$99:$A$128,0))="","Overhead",INDEX(Setup!$B$99:$B$128,MATCH($B459,Setup!$A$99:$A$128,0))),IF(ISNUMBER(SEARCH("advance",$B459))+ISNUMBER(SEARCH("payout",$B459))+ISNUMBER(SEARCH("pay out",$B459))+ISNUMBER(SEARCH("reimburs",$B459))&gt;0,"Transfer",IF(ISNUMBER(SEARCH("loan",$B459))+ISNUMBER(SEARCH("amort",$B459))+ISNUMBER(SEARCH("installment",$B459))+ISNUMBER(SEARCH("instalment",$B459))&gt;0,"Financing",IF(ISNUMBER(SEARCH("draw",$B459))+ISNUMBER(SEARCH("owner",$B459))+ISNUMBER(SEARCH("asset",$B459))+ISNUMBER(SEARCH("capital",$B459))&gt;0,"Other",IF(ISNUMBER(SEARCH("fuel",$B459))+ISNUMBER(SEARCH("diesel",$B459))+ISNUMBER(SEARCH("krudo",$B459))+ISNUMBER(SEARCH("gasolina",$B459))+ISNUMBER(SEARCH("toll",$B459))+ISNUMBER(SEARCH("parking",$B459))+ISNUMBER(SEARCH("repair",$B459))+ISNUMBER(SEARCH("maintenance",$B459))+ISNUMBER(SEARCH("tire",$B459))+ISNUMBER(SEARCH("tyre",$B459))+ISNUMBER(SEARCH("battery",$B459))+ISNUMBER(SEARCH("oil",$B459))+ISNUMBER(SEARCH("filter",$B459))+ISNUMBER(SEARCH("spare",$B459))+ISNUMBER(SEARCH("insurance",$B459))+ISNUMBER(SEARCH("lto",$B459))+ISNUMBER(SEARCH("registration",$B459))+ISNUMBER(SEARCH("emission",$B459))+ISNUMBER(SEARCH("wash",$B459))+ISNUMBER(SEARCH("weigh",$B459))+ISNUMBER(SEARCH("tarp",$B459))&gt;0,"Vehicle",IF(ISNUMBER(SEARCH("rent",$B459))+ISNUMBER(SEARCH("upa",$B459))+ISNUMBER(SEARCH("salary",$B459))+ISNUMBER(SEARCH("sweldo",$B459))+ISNUMBER(SEARCH("wage",$B459))+ISNUMBER(SEARCH("electric",$B459))+ISNUMBER(SEARCH("kuryente",$B459))+ISNUMBER(SEARCH("water",$B459))+ISNUMBER(SEARCH("tubig",$B459))+ISNUMBER(SEARCH("internet",$B459))+ISNUMBER(SEARCH("pldt",$B459))+ISNUMBER(SEARCH("meralco",$B459))+ISNUMBER(SEARCH("supplies",$B459))+ISNUMBER(SEARCH("office",$B459))+ISNUMBER(SEARCH("professional",$B459))+ISNUMBER(SEARCH("accountant",$B459))+ISNUMBER(SEARCH("lawyer",$B459))+ISNUMBER(SEARCH("broker",$B459))+ISNUMBER(SEARCH("bank",$B459))+ISNUMBER(SEARCH("charge",$B459))+ISNUMBER(SEARCH("permit",$B459))+ISNUMBER(SEARCH("bir",$B459))+ISNUMBER(SEARCH("ltfrb",$B459))+ISNUMBER(SEARCH("misc",$B459))+ISNUMBER(SEARCH("fee",$B459))&gt;0,"Overhead","Overhead")))))))</f>
        <v/>
      </c>
      <c r="J459">
        <f>IF($A459="","",DATE(YEAR($A459),MONTH($A459),1))</f>
        <v/>
      </c>
      <c r="K459">
        <f>IF($B459="","",IF(COUNTIF(Setup!$A$99:$A$128,$B459)&gt;0,0,1))</f>
        <v/>
      </c>
      <c r="L459">
        <f>IF($B459="","",IF(ISNUMBER(SEARCH("advance",$B459)),"ADV",IF(OR(ISNUMBER(SEARCH("payout",$B459)),ISNUMBER(SEARCH("pay out",$B459)),ISNUMBER(SEARCH("release",$B459))),"PAY","")))</f>
        <v/>
      </c>
      <c r="M459">
        <f>IF($B459="","",IF(ISNUMBER(SEARCH("bulk",$B459)),0,IF(ISNUMBER(SEARCH("fuel",$B459))+ISNUMBER(SEARCH("diesel",$B459))+ISNUMBER(SEARCH("krudo",$B459))+ISNUMBER(SEARCH("gasolina",$B459))&gt;0,1,0)))</f>
        <v/>
      </c>
      <c r="N459">
        <f>IF($B459="","",IF(ISNUMBER(SEARCH("fuel",$B459))+ISNUMBER(SEARCH("diesel",$B459))+ISNUMBER(SEARCH("krudo",$B459))+ISNUMBER(SEARCH("gasolina",$B459))&gt;0,1,0))</f>
        <v/>
      </c>
    </row>
    <row r="460">
      <c r="A460" s="94" t="n"/>
      <c r="B460" s="96" t="n"/>
      <c r="C460" s="96" t="n"/>
      <c r="D460" s="95" t="n"/>
      <c r="E460" s="96" t="n"/>
      <c r="F460" s="99" t="n"/>
      <c r="G460" s="95" t="n"/>
      <c r="H460" s="95" t="n"/>
      <c r="I460" s="101">
        <f>IF($B460="","",IF(COUNTIF(Setup!$A$99:$A$128,$B460)&gt;0,IF(INDEX(Setup!$B$99:$B$128,MATCH($B460,Setup!$A$99:$A$128,0))="","Overhead",INDEX(Setup!$B$99:$B$128,MATCH($B460,Setup!$A$99:$A$128,0))),IF(ISNUMBER(SEARCH("advance",$B460))+ISNUMBER(SEARCH("payout",$B460))+ISNUMBER(SEARCH("pay out",$B460))+ISNUMBER(SEARCH("reimburs",$B460))&gt;0,"Transfer",IF(ISNUMBER(SEARCH("loan",$B460))+ISNUMBER(SEARCH("amort",$B460))+ISNUMBER(SEARCH("installment",$B460))+ISNUMBER(SEARCH("instalment",$B460))&gt;0,"Financing",IF(ISNUMBER(SEARCH("draw",$B460))+ISNUMBER(SEARCH("owner",$B460))+ISNUMBER(SEARCH("asset",$B460))+ISNUMBER(SEARCH("capital",$B460))&gt;0,"Other",IF(ISNUMBER(SEARCH("fuel",$B460))+ISNUMBER(SEARCH("diesel",$B460))+ISNUMBER(SEARCH("krudo",$B460))+ISNUMBER(SEARCH("gasolina",$B460))+ISNUMBER(SEARCH("toll",$B460))+ISNUMBER(SEARCH("parking",$B460))+ISNUMBER(SEARCH("repair",$B460))+ISNUMBER(SEARCH("maintenance",$B460))+ISNUMBER(SEARCH("tire",$B460))+ISNUMBER(SEARCH("tyre",$B460))+ISNUMBER(SEARCH("battery",$B460))+ISNUMBER(SEARCH("oil",$B460))+ISNUMBER(SEARCH("filter",$B460))+ISNUMBER(SEARCH("spare",$B460))+ISNUMBER(SEARCH("insurance",$B460))+ISNUMBER(SEARCH("lto",$B460))+ISNUMBER(SEARCH("registration",$B460))+ISNUMBER(SEARCH("emission",$B460))+ISNUMBER(SEARCH("wash",$B460))+ISNUMBER(SEARCH("weigh",$B460))+ISNUMBER(SEARCH("tarp",$B460))&gt;0,"Vehicle",IF(ISNUMBER(SEARCH("rent",$B460))+ISNUMBER(SEARCH("upa",$B460))+ISNUMBER(SEARCH("salary",$B460))+ISNUMBER(SEARCH("sweldo",$B460))+ISNUMBER(SEARCH("wage",$B460))+ISNUMBER(SEARCH("electric",$B460))+ISNUMBER(SEARCH("kuryente",$B460))+ISNUMBER(SEARCH("water",$B460))+ISNUMBER(SEARCH("tubig",$B460))+ISNUMBER(SEARCH("internet",$B460))+ISNUMBER(SEARCH("pldt",$B460))+ISNUMBER(SEARCH("meralco",$B460))+ISNUMBER(SEARCH("supplies",$B460))+ISNUMBER(SEARCH("office",$B460))+ISNUMBER(SEARCH("professional",$B460))+ISNUMBER(SEARCH("accountant",$B460))+ISNUMBER(SEARCH("lawyer",$B460))+ISNUMBER(SEARCH("broker",$B460))+ISNUMBER(SEARCH("bank",$B460))+ISNUMBER(SEARCH("charge",$B460))+ISNUMBER(SEARCH("permit",$B460))+ISNUMBER(SEARCH("bir",$B460))+ISNUMBER(SEARCH("ltfrb",$B460))+ISNUMBER(SEARCH("misc",$B460))+ISNUMBER(SEARCH("fee",$B460))&gt;0,"Overhead","Overhead")))))))</f>
        <v/>
      </c>
      <c r="J460">
        <f>IF($A460="","",DATE(YEAR($A460),MONTH($A460),1))</f>
        <v/>
      </c>
      <c r="K460">
        <f>IF($B460="","",IF(COUNTIF(Setup!$A$99:$A$128,$B460)&gt;0,0,1))</f>
        <v/>
      </c>
      <c r="L460">
        <f>IF($B460="","",IF(ISNUMBER(SEARCH("advance",$B460)),"ADV",IF(OR(ISNUMBER(SEARCH("payout",$B460)),ISNUMBER(SEARCH("pay out",$B460)),ISNUMBER(SEARCH("release",$B460))),"PAY","")))</f>
        <v/>
      </c>
      <c r="M460">
        <f>IF($B460="","",IF(ISNUMBER(SEARCH("bulk",$B460)),0,IF(ISNUMBER(SEARCH("fuel",$B460))+ISNUMBER(SEARCH("diesel",$B460))+ISNUMBER(SEARCH("krudo",$B460))+ISNUMBER(SEARCH("gasolina",$B460))&gt;0,1,0)))</f>
        <v/>
      </c>
      <c r="N460">
        <f>IF($B460="","",IF(ISNUMBER(SEARCH("fuel",$B460))+ISNUMBER(SEARCH("diesel",$B460))+ISNUMBER(SEARCH("krudo",$B460))+ISNUMBER(SEARCH("gasolina",$B460))&gt;0,1,0))</f>
        <v/>
      </c>
    </row>
    <row r="461">
      <c r="A461" s="86" t="n"/>
      <c r="B461" s="88" t="n"/>
      <c r="C461" s="88" t="n"/>
      <c r="D461" s="87" t="n"/>
      <c r="E461" s="88" t="n"/>
      <c r="F461" s="92" t="n"/>
      <c r="G461" s="87" t="n"/>
      <c r="H461" s="87" t="n"/>
      <c r="I461" s="101">
        <f>IF($B461="","",IF(COUNTIF(Setup!$A$99:$A$128,$B461)&gt;0,IF(INDEX(Setup!$B$99:$B$128,MATCH($B461,Setup!$A$99:$A$128,0))="","Overhead",INDEX(Setup!$B$99:$B$128,MATCH($B461,Setup!$A$99:$A$128,0))),IF(ISNUMBER(SEARCH("advance",$B461))+ISNUMBER(SEARCH("payout",$B461))+ISNUMBER(SEARCH("pay out",$B461))+ISNUMBER(SEARCH("reimburs",$B461))&gt;0,"Transfer",IF(ISNUMBER(SEARCH("loan",$B461))+ISNUMBER(SEARCH("amort",$B461))+ISNUMBER(SEARCH("installment",$B461))+ISNUMBER(SEARCH("instalment",$B461))&gt;0,"Financing",IF(ISNUMBER(SEARCH("draw",$B461))+ISNUMBER(SEARCH("owner",$B461))+ISNUMBER(SEARCH("asset",$B461))+ISNUMBER(SEARCH("capital",$B461))&gt;0,"Other",IF(ISNUMBER(SEARCH("fuel",$B461))+ISNUMBER(SEARCH("diesel",$B461))+ISNUMBER(SEARCH("krudo",$B461))+ISNUMBER(SEARCH("gasolina",$B461))+ISNUMBER(SEARCH("toll",$B461))+ISNUMBER(SEARCH("parking",$B461))+ISNUMBER(SEARCH("repair",$B461))+ISNUMBER(SEARCH("maintenance",$B461))+ISNUMBER(SEARCH("tire",$B461))+ISNUMBER(SEARCH("tyre",$B461))+ISNUMBER(SEARCH("battery",$B461))+ISNUMBER(SEARCH("oil",$B461))+ISNUMBER(SEARCH("filter",$B461))+ISNUMBER(SEARCH("spare",$B461))+ISNUMBER(SEARCH("insurance",$B461))+ISNUMBER(SEARCH("lto",$B461))+ISNUMBER(SEARCH("registration",$B461))+ISNUMBER(SEARCH("emission",$B461))+ISNUMBER(SEARCH("wash",$B461))+ISNUMBER(SEARCH("weigh",$B461))+ISNUMBER(SEARCH("tarp",$B461))&gt;0,"Vehicle",IF(ISNUMBER(SEARCH("rent",$B461))+ISNUMBER(SEARCH("upa",$B461))+ISNUMBER(SEARCH("salary",$B461))+ISNUMBER(SEARCH("sweldo",$B461))+ISNUMBER(SEARCH("wage",$B461))+ISNUMBER(SEARCH("electric",$B461))+ISNUMBER(SEARCH("kuryente",$B461))+ISNUMBER(SEARCH("water",$B461))+ISNUMBER(SEARCH("tubig",$B461))+ISNUMBER(SEARCH("internet",$B461))+ISNUMBER(SEARCH("pldt",$B461))+ISNUMBER(SEARCH("meralco",$B461))+ISNUMBER(SEARCH("supplies",$B461))+ISNUMBER(SEARCH("office",$B461))+ISNUMBER(SEARCH("professional",$B461))+ISNUMBER(SEARCH("accountant",$B461))+ISNUMBER(SEARCH("lawyer",$B461))+ISNUMBER(SEARCH("broker",$B461))+ISNUMBER(SEARCH("bank",$B461))+ISNUMBER(SEARCH("charge",$B461))+ISNUMBER(SEARCH("permit",$B461))+ISNUMBER(SEARCH("bir",$B461))+ISNUMBER(SEARCH("ltfrb",$B461))+ISNUMBER(SEARCH("misc",$B461))+ISNUMBER(SEARCH("fee",$B461))&gt;0,"Overhead","Overhead")))))))</f>
        <v/>
      </c>
      <c r="J461">
        <f>IF($A461="","",DATE(YEAR($A461),MONTH($A461),1))</f>
        <v/>
      </c>
      <c r="K461">
        <f>IF($B461="","",IF(COUNTIF(Setup!$A$99:$A$128,$B461)&gt;0,0,1))</f>
        <v/>
      </c>
      <c r="L461">
        <f>IF($B461="","",IF(ISNUMBER(SEARCH("advance",$B461)),"ADV",IF(OR(ISNUMBER(SEARCH("payout",$B461)),ISNUMBER(SEARCH("pay out",$B461)),ISNUMBER(SEARCH("release",$B461))),"PAY","")))</f>
        <v/>
      </c>
      <c r="M461">
        <f>IF($B461="","",IF(ISNUMBER(SEARCH("bulk",$B461)),0,IF(ISNUMBER(SEARCH("fuel",$B461))+ISNUMBER(SEARCH("diesel",$B461))+ISNUMBER(SEARCH("krudo",$B461))+ISNUMBER(SEARCH("gasolina",$B461))&gt;0,1,0)))</f>
        <v/>
      </c>
      <c r="N461">
        <f>IF($B461="","",IF(ISNUMBER(SEARCH("fuel",$B461))+ISNUMBER(SEARCH("diesel",$B461))+ISNUMBER(SEARCH("krudo",$B461))+ISNUMBER(SEARCH("gasolina",$B461))&gt;0,1,0))</f>
        <v/>
      </c>
    </row>
    <row r="462">
      <c r="A462" s="94" t="n"/>
      <c r="B462" s="96" t="n"/>
      <c r="C462" s="96" t="n"/>
      <c r="D462" s="95" t="n"/>
      <c r="E462" s="96" t="n"/>
      <c r="F462" s="99" t="n"/>
      <c r="G462" s="95" t="n"/>
      <c r="H462" s="95" t="n"/>
      <c r="I462" s="101">
        <f>IF($B462="","",IF(COUNTIF(Setup!$A$99:$A$128,$B462)&gt;0,IF(INDEX(Setup!$B$99:$B$128,MATCH($B462,Setup!$A$99:$A$128,0))="","Overhead",INDEX(Setup!$B$99:$B$128,MATCH($B462,Setup!$A$99:$A$128,0))),IF(ISNUMBER(SEARCH("advance",$B462))+ISNUMBER(SEARCH("payout",$B462))+ISNUMBER(SEARCH("pay out",$B462))+ISNUMBER(SEARCH("reimburs",$B462))&gt;0,"Transfer",IF(ISNUMBER(SEARCH("loan",$B462))+ISNUMBER(SEARCH("amort",$B462))+ISNUMBER(SEARCH("installment",$B462))+ISNUMBER(SEARCH("instalment",$B462))&gt;0,"Financing",IF(ISNUMBER(SEARCH("draw",$B462))+ISNUMBER(SEARCH("owner",$B462))+ISNUMBER(SEARCH("asset",$B462))+ISNUMBER(SEARCH("capital",$B462))&gt;0,"Other",IF(ISNUMBER(SEARCH("fuel",$B462))+ISNUMBER(SEARCH("diesel",$B462))+ISNUMBER(SEARCH("krudo",$B462))+ISNUMBER(SEARCH("gasolina",$B462))+ISNUMBER(SEARCH("toll",$B462))+ISNUMBER(SEARCH("parking",$B462))+ISNUMBER(SEARCH("repair",$B462))+ISNUMBER(SEARCH("maintenance",$B462))+ISNUMBER(SEARCH("tire",$B462))+ISNUMBER(SEARCH("tyre",$B462))+ISNUMBER(SEARCH("battery",$B462))+ISNUMBER(SEARCH("oil",$B462))+ISNUMBER(SEARCH("filter",$B462))+ISNUMBER(SEARCH("spare",$B462))+ISNUMBER(SEARCH("insurance",$B462))+ISNUMBER(SEARCH("lto",$B462))+ISNUMBER(SEARCH("registration",$B462))+ISNUMBER(SEARCH("emission",$B462))+ISNUMBER(SEARCH("wash",$B462))+ISNUMBER(SEARCH("weigh",$B462))+ISNUMBER(SEARCH("tarp",$B462))&gt;0,"Vehicle",IF(ISNUMBER(SEARCH("rent",$B462))+ISNUMBER(SEARCH("upa",$B462))+ISNUMBER(SEARCH("salary",$B462))+ISNUMBER(SEARCH("sweldo",$B462))+ISNUMBER(SEARCH("wage",$B462))+ISNUMBER(SEARCH("electric",$B462))+ISNUMBER(SEARCH("kuryente",$B462))+ISNUMBER(SEARCH("water",$B462))+ISNUMBER(SEARCH("tubig",$B462))+ISNUMBER(SEARCH("internet",$B462))+ISNUMBER(SEARCH("pldt",$B462))+ISNUMBER(SEARCH("meralco",$B462))+ISNUMBER(SEARCH("supplies",$B462))+ISNUMBER(SEARCH("office",$B462))+ISNUMBER(SEARCH("professional",$B462))+ISNUMBER(SEARCH("accountant",$B462))+ISNUMBER(SEARCH("lawyer",$B462))+ISNUMBER(SEARCH("broker",$B462))+ISNUMBER(SEARCH("bank",$B462))+ISNUMBER(SEARCH("charge",$B462))+ISNUMBER(SEARCH("permit",$B462))+ISNUMBER(SEARCH("bir",$B462))+ISNUMBER(SEARCH("ltfrb",$B462))+ISNUMBER(SEARCH("misc",$B462))+ISNUMBER(SEARCH("fee",$B462))&gt;0,"Overhead","Overhead")))))))</f>
        <v/>
      </c>
      <c r="J462">
        <f>IF($A462="","",DATE(YEAR($A462),MONTH($A462),1))</f>
        <v/>
      </c>
      <c r="K462">
        <f>IF($B462="","",IF(COUNTIF(Setup!$A$99:$A$128,$B462)&gt;0,0,1))</f>
        <v/>
      </c>
      <c r="L462">
        <f>IF($B462="","",IF(ISNUMBER(SEARCH("advance",$B462)),"ADV",IF(OR(ISNUMBER(SEARCH("payout",$B462)),ISNUMBER(SEARCH("pay out",$B462)),ISNUMBER(SEARCH("release",$B462))),"PAY","")))</f>
        <v/>
      </c>
      <c r="M462">
        <f>IF($B462="","",IF(ISNUMBER(SEARCH("bulk",$B462)),0,IF(ISNUMBER(SEARCH("fuel",$B462))+ISNUMBER(SEARCH("diesel",$B462))+ISNUMBER(SEARCH("krudo",$B462))+ISNUMBER(SEARCH("gasolina",$B462))&gt;0,1,0)))</f>
        <v/>
      </c>
      <c r="N462">
        <f>IF($B462="","",IF(ISNUMBER(SEARCH("fuel",$B462))+ISNUMBER(SEARCH("diesel",$B462))+ISNUMBER(SEARCH("krudo",$B462))+ISNUMBER(SEARCH("gasolina",$B462))&gt;0,1,0))</f>
        <v/>
      </c>
    </row>
    <row r="463">
      <c r="A463" s="86" t="n"/>
      <c r="B463" s="88" t="n"/>
      <c r="C463" s="88" t="n"/>
      <c r="D463" s="87" t="n"/>
      <c r="E463" s="88" t="n"/>
      <c r="F463" s="92" t="n"/>
      <c r="G463" s="87" t="n"/>
      <c r="H463" s="87" t="n"/>
      <c r="I463" s="101">
        <f>IF($B463="","",IF(COUNTIF(Setup!$A$99:$A$128,$B463)&gt;0,IF(INDEX(Setup!$B$99:$B$128,MATCH($B463,Setup!$A$99:$A$128,0))="","Overhead",INDEX(Setup!$B$99:$B$128,MATCH($B463,Setup!$A$99:$A$128,0))),IF(ISNUMBER(SEARCH("advance",$B463))+ISNUMBER(SEARCH("payout",$B463))+ISNUMBER(SEARCH("pay out",$B463))+ISNUMBER(SEARCH("reimburs",$B463))&gt;0,"Transfer",IF(ISNUMBER(SEARCH("loan",$B463))+ISNUMBER(SEARCH("amort",$B463))+ISNUMBER(SEARCH("installment",$B463))+ISNUMBER(SEARCH("instalment",$B463))&gt;0,"Financing",IF(ISNUMBER(SEARCH("draw",$B463))+ISNUMBER(SEARCH("owner",$B463))+ISNUMBER(SEARCH("asset",$B463))+ISNUMBER(SEARCH("capital",$B463))&gt;0,"Other",IF(ISNUMBER(SEARCH("fuel",$B463))+ISNUMBER(SEARCH("diesel",$B463))+ISNUMBER(SEARCH("krudo",$B463))+ISNUMBER(SEARCH("gasolina",$B463))+ISNUMBER(SEARCH("toll",$B463))+ISNUMBER(SEARCH("parking",$B463))+ISNUMBER(SEARCH("repair",$B463))+ISNUMBER(SEARCH("maintenance",$B463))+ISNUMBER(SEARCH("tire",$B463))+ISNUMBER(SEARCH("tyre",$B463))+ISNUMBER(SEARCH("battery",$B463))+ISNUMBER(SEARCH("oil",$B463))+ISNUMBER(SEARCH("filter",$B463))+ISNUMBER(SEARCH("spare",$B463))+ISNUMBER(SEARCH("insurance",$B463))+ISNUMBER(SEARCH("lto",$B463))+ISNUMBER(SEARCH("registration",$B463))+ISNUMBER(SEARCH("emission",$B463))+ISNUMBER(SEARCH("wash",$B463))+ISNUMBER(SEARCH("weigh",$B463))+ISNUMBER(SEARCH("tarp",$B463))&gt;0,"Vehicle",IF(ISNUMBER(SEARCH("rent",$B463))+ISNUMBER(SEARCH("upa",$B463))+ISNUMBER(SEARCH("salary",$B463))+ISNUMBER(SEARCH("sweldo",$B463))+ISNUMBER(SEARCH("wage",$B463))+ISNUMBER(SEARCH("electric",$B463))+ISNUMBER(SEARCH("kuryente",$B463))+ISNUMBER(SEARCH("water",$B463))+ISNUMBER(SEARCH("tubig",$B463))+ISNUMBER(SEARCH("internet",$B463))+ISNUMBER(SEARCH("pldt",$B463))+ISNUMBER(SEARCH("meralco",$B463))+ISNUMBER(SEARCH("supplies",$B463))+ISNUMBER(SEARCH("office",$B463))+ISNUMBER(SEARCH("professional",$B463))+ISNUMBER(SEARCH("accountant",$B463))+ISNUMBER(SEARCH("lawyer",$B463))+ISNUMBER(SEARCH("broker",$B463))+ISNUMBER(SEARCH("bank",$B463))+ISNUMBER(SEARCH("charge",$B463))+ISNUMBER(SEARCH("permit",$B463))+ISNUMBER(SEARCH("bir",$B463))+ISNUMBER(SEARCH("ltfrb",$B463))+ISNUMBER(SEARCH("misc",$B463))+ISNUMBER(SEARCH("fee",$B463))&gt;0,"Overhead","Overhead")))))))</f>
        <v/>
      </c>
      <c r="J463">
        <f>IF($A463="","",DATE(YEAR($A463),MONTH($A463),1))</f>
        <v/>
      </c>
      <c r="K463">
        <f>IF($B463="","",IF(COUNTIF(Setup!$A$99:$A$128,$B463)&gt;0,0,1))</f>
        <v/>
      </c>
      <c r="L463">
        <f>IF($B463="","",IF(ISNUMBER(SEARCH("advance",$B463)),"ADV",IF(OR(ISNUMBER(SEARCH("payout",$B463)),ISNUMBER(SEARCH("pay out",$B463)),ISNUMBER(SEARCH("release",$B463))),"PAY","")))</f>
        <v/>
      </c>
      <c r="M463">
        <f>IF($B463="","",IF(ISNUMBER(SEARCH("bulk",$B463)),0,IF(ISNUMBER(SEARCH("fuel",$B463))+ISNUMBER(SEARCH("diesel",$B463))+ISNUMBER(SEARCH("krudo",$B463))+ISNUMBER(SEARCH("gasolina",$B463))&gt;0,1,0)))</f>
        <v/>
      </c>
      <c r="N463">
        <f>IF($B463="","",IF(ISNUMBER(SEARCH("fuel",$B463))+ISNUMBER(SEARCH("diesel",$B463))+ISNUMBER(SEARCH("krudo",$B463))+ISNUMBER(SEARCH("gasolina",$B463))&gt;0,1,0))</f>
        <v/>
      </c>
    </row>
    <row r="464">
      <c r="A464" s="94" t="n"/>
      <c r="B464" s="96" t="n"/>
      <c r="C464" s="96" t="n"/>
      <c r="D464" s="95" t="n"/>
      <c r="E464" s="96" t="n"/>
      <c r="F464" s="99" t="n"/>
      <c r="G464" s="95" t="n"/>
      <c r="H464" s="95" t="n"/>
      <c r="I464" s="101">
        <f>IF($B464="","",IF(COUNTIF(Setup!$A$99:$A$128,$B464)&gt;0,IF(INDEX(Setup!$B$99:$B$128,MATCH($B464,Setup!$A$99:$A$128,0))="","Overhead",INDEX(Setup!$B$99:$B$128,MATCH($B464,Setup!$A$99:$A$128,0))),IF(ISNUMBER(SEARCH("advance",$B464))+ISNUMBER(SEARCH("payout",$B464))+ISNUMBER(SEARCH("pay out",$B464))+ISNUMBER(SEARCH("reimburs",$B464))&gt;0,"Transfer",IF(ISNUMBER(SEARCH("loan",$B464))+ISNUMBER(SEARCH("amort",$B464))+ISNUMBER(SEARCH("installment",$B464))+ISNUMBER(SEARCH("instalment",$B464))&gt;0,"Financing",IF(ISNUMBER(SEARCH("draw",$B464))+ISNUMBER(SEARCH("owner",$B464))+ISNUMBER(SEARCH("asset",$B464))+ISNUMBER(SEARCH("capital",$B464))&gt;0,"Other",IF(ISNUMBER(SEARCH("fuel",$B464))+ISNUMBER(SEARCH("diesel",$B464))+ISNUMBER(SEARCH("krudo",$B464))+ISNUMBER(SEARCH("gasolina",$B464))+ISNUMBER(SEARCH("toll",$B464))+ISNUMBER(SEARCH("parking",$B464))+ISNUMBER(SEARCH("repair",$B464))+ISNUMBER(SEARCH("maintenance",$B464))+ISNUMBER(SEARCH("tire",$B464))+ISNUMBER(SEARCH("tyre",$B464))+ISNUMBER(SEARCH("battery",$B464))+ISNUMBER(SEARCH("oil",$B464))+ISNUMBER(SEARCH("filter",$B464))+ISNUMBER(SEARCH("spare",$B464))+ISNUMBER(SEARCH("insurance",$B464))+ISNUMBER(SEARCH("lto",$B464))+ISNUMBER(SEARCH("registration",$B464))+ISNUMBER(SEARCH("emission",$B464))+ISNUMBER(SEARCH("wash",$B464))+ISNUMBER(SEARCH("weigh",$B464))+ISNUMBER(SEARCH("tarp",$B464))&gt;0,"Vehicle",IF(ISNUMBER(SEARCH("rent",$B464))+ISNUMBER(SEARCH("upa",$B464))+ISNUMBER(SEARCH("salary",$B464))+ISNUMBER(SEARCH("sweldo",$B464))+ISNUMBER(SEARCH("wage",$B464))+ISNUMBER(SEARCH("electric",$B464))+ISNUMBER(SEARCH("kuryente",$B464))+ISNUMBER(SEARCH("water",$B464))+ISNUMBER(SEARCH("tubig",$B464))+ISNUMBER(SEARCH("internet",$B464))+ISNUMBER(SEARCH("pldt",$B464))+ISNUMBER(SEARCH("meralco",$B464))+ISNUMBER(SEARCH("supplies",$B464))+ISNUMBER(SEARCH("office",$B464))+ISNUMBER(SEARCH("professional",$B464))+ISNUMBER(SEARCH("accountant",$B464))+ISNUMBER(SEARCH("lawyer",$B464))+ISNUMBER(SEARCH("broker",$B464))+ISNUMBER(SEARCH("bank",$B464))+ISNUMBER(SEARCH("charge",$B464))+ISNUMBER(SEARCH("permit",$B464))+ISNUMBER(SEARCH("bir",$B464))+ISNUMBER(SEARCH("ltfrb",$B464))+ISNUMBER(SEARCH("misc",$B464))+ISNUMBER(SEARCH("fee",$B464))&gt;0,"Overhead","Overhead")))))))</f>
        <v/>
      </c>
      <c r="J464">
        <f>IF($A464="","",DATE(YEAR($A464),MONTH($A464),1))</f>
        <v/>
      </c>
      <c r="K464">
        <f>IF($B464="","",IF(COUNTIF(Setup!$A$99:$A$128,$B464)&gt;0,0,1))</f>
        <v/>
      </c>
      <c r="L464">
        <f>IF($B464="","",IF(ISNUMBER(SEARCH("advance",$B464)),"ADV",IF(OR(ISNUMBER(SEARCH("payout",$B464)),ISNUMBER(SEARCH("pay out",$B464)),ISNUMBER(SEARCH("release",$B464))),"PAY","")))</f>
        <v/>
      </c>
      <c r="M464">
        <f>IF($B464="","",IF(ISNUMBER(SEARCH("bulk",$B464)),0,IF(ISNUMBER(SEARCH("fuel",$B464))+ISNUMBER(SEARCH("diesel",$B464))+ISNUMBER(SEARCH("krudo",$B464))+ISNUMBER(SEARCH("gasolina",$B464))&gt;0,1,0)))</f>
        <v/>
      </c>
      <c r="N464">
        <f>IF($B464="","",IF(ISNUMBER(SEARCH("fuel",$B464))+ISNUMBER(SEARCH("diesel",$B464))+ISNUMBER(SEARCH("krudo",$B464))+ISNUMBER(SEARCH("gasolina",$B464))&gt;0,1,0))</f>
        <v/>
      </c>
    </row>
    <row r="465">
      <c r="A465" s="86" t="n"/>
      <c r="B465" s="88" t="n"/>
      <c r="C465" s="88" t="n"/>
      <c r="D465" s="87" t="n"/>
      <c r="E465" s="88" t="n"/>
      <c r="F465" s="92" t="n"/>
      <c r="G465" s="87" t="n"/>
      <c r="H465" s="87" t="n"/>
      <c r="I465" s="101">
        <f>IF($B465="","",IF(COUNTIF(Setup!$A$99:$A$128,$B465)&gt;0,IF(INDEX(Setup!$B$99:$B$128,MATCH($B465,Setup!$A$99:$A$128,0))="","Overhead",INDEX(Setup!$B$99:$B$128,MATCH($B465,Setup!$A$99:$A$128,0))),IF(ISNUMBER(SEARCH("advance",$B465))+ISNUMBER(SEARCH("payout",$B465))+ISNUMBER(SEARCH("pay out",$B465))+ISNUMBER(SEARCH("reimburs",$B465))&gt;0,"Transfer",IF(ISNUMBER(SEARCH("loan",$B465))+ISNUMBER(SEARCH("amort",$B465))+ISNUMBER(SEARCH("installment",$B465))+ISNUMBER(SEARCH("instalment",$B465))&gt;0,"Financing",IF(ISNUMBER(SEARCH("draw",$B465))+ISNUMBER(SEARCH("owner",$B465))+ISNUMBER(SEARCH("asset",$B465))+ISNUMBER(SEARCH("capital",$B465))&gt;0,"Other",IF(ISNUMBER(SEARCH("fuel",$B465))+ISNUMBER(SEARCH("diesel",$B465))+ISNUMBER(SEARCH("krudo",$B465))+ISNUMBER(SEARCH("gasolina",$B465))+ISNUMBER(SEARCH("toll",$B465))+ISNUMBER(SEARCH("parking",$B465))+ISNUMBER(SEARCH("repair",$B465))+ISNUMBER(SEARCH("maintenance",$B465))+ISNUMBER(SEARCH("tire",$B465))+ISNUMBER(SEARCH("tyre",$B465))+ISNUMBER(SEARCH("battery",$B465))+ISNUMBER(SEARCH("oil",$B465))+ISNUMBER(SEARCH("filter",$B465))+ISNUMBER(SEARCH("spare",$B465))+ISNUMBER(SEARCH("insurance",$B465))+ISNUMBER(SEARCH("lto",$B465))+ISNUMBER(SEARCH("registration",$B465))+ISNUMBER(SEARCH("emission",$B465))+ISNUMBER(SEARCH("wash",$B465))+ISNUMBER(SEARCH("weigh",$B465))+ISNUMBER(SEARCH("tarp",$B465))&gt;0,"Vehicle",IF(ISNUMBER(SEARCH("rent",$B465))+ISNUMBER(SEARCH("upa",$B465))+ISNUMBER(SEARCH("salary",$B465))+ISNUMBER(SEARCH("sweldo",$B465))+ISNUMBER(SEARCH("wage",$B465))+ISNUMBER(SEARCH("electric",$B465))+ISNUMBER(SEARCH("kuryente",$B465))+ISNUMBER(SEARCH("water",$B465))+ISNUMBER(SEARCH("tubig",$B465))+ISNUMBER(SEARCH("internet",$B465))+ISNUMBER(SEARCH("pldt",$B465))+ISNUMBER(SEARCH("meralco",$B465))+ISNUMBER(SEARCH("supplies",$B465))+ISNUMBER(SEARCH("office",$B465))+ISNUMBER(SEARCH("professional",$B465))+ISNUMBER(SEARCH("accountant",$B465))+ISNUMBER(SEARCH("lawyer",$B465))+ISNUMBER(SEARCH("broker",$B465))+ISNUMBER(SEARCH("bank",$B465))+ISNUMBER(SEARCH("charge",$B465))+ISNUMBER(SEARCH("permit",$B465))+ISNUMBER(SEARCH("bir",$B465))+ISNUMBER(SEARCH("ltfrb",$B465))+ISNUMBER(SEARCH("misc",$B465))+ISNUMBER(SEARCH("fee",$B465))&gt;0,"Overhead","Overhead")))))))</f>
        <v/>
      </c>
      <c r="J465">
        <f>IF($A465="","",DATE(YEAR($A465),MONTH($A465),1))</f>
        <v/>
      </c>
      <c r="K465">
        <f>IF($B465="","",IF(COUNTIF(Setup!$A$99:$A$128,$B465)&gt;0,0,1))</f>
        <v/>
      </c>
      <c r="L465">
        <f>IF($B465="","",IF(ISNUMBER(SEARCH("advance",$B465)),"ADV",IF(OR(ISNUMBER(SEARCH("payout",$B465)),ISNUMBER(SEARCH("pay out",$B465)),ISNUMBER(SEARCH("release",$B465))),"PAY","")))</f>
        <v/>
      </c>
      <c r="M465">
        <f>IF($B465="","",IF(ISNUMBER(SEARCH("bulk",$B465)),0,IF(ISNUMBER(SEARCH("fuel",$B465))+ISNUMBER(SEARCH("diesel",$B465))+ISNUMBER(SEARCH("krudo",$B465))+ISNUMBER(SEARCH("gasolina",$B465))&gt;0,1,0)))</f>
        <v/>
      </c>
      <c r="N465">
        <f>IF($B465="","",IF(ISNUMBER(SEARCH("fuel",$B465))+ISNUMBER(SEARCH("diesel",$B465))+ISNUMBER(SEARCH("krudo",$B465))+ISNUMBER(SEARCH("gasolina",$B465))&gt;0,1,0))</f>
        <v/>
      </c>
    </row>
    <row r="466">
      <c r="A466" s="94" t="n"/>
      <c r="B466" s="96" t="n"/>
      <c r="C466" s="96" t="n"/>
      <c r="D466" s="95" t="n"/>
      <c r="E466" s="96" t="n"/>
      <c r="F466" s="99" t="n"/>
      <c r="G466" s="95" t="n"/>
      <c r="H466" s="95" t="n"/>
      <c r="I466" s="101">
        <f>IF($B466="","",IF(COUNTIF(Setup!$A$99:$A$128,$B466)&gt;0,IF(INDEX(Setup!$B$99:$B$128,MATCH($B466,Setup!$A$99:$A$128,0))="","Overhead",INDEX(Setup!$B$99:$B$128,MATCH($B466,Setup!$A$99:$A$128,0))),IF(ISNUMBER(SEARCH("advance",$B466))+ISNUMBER(SEARCH("payout",$B466))+ISNUMBER(SEARCH("pay out",$B466))+ISNUMBER(SEARCH("reimburs",$B466))&gt;0,"Transfer",IF(ISNUMBER(SEARCH("loan",$B466))+ISNUMBER(SEARCH("amort",$B466))+ISNUMBER(SEARCH("installment",$B466))+ISNUMBER(SEARCH("instalment",$B466))&gt;0,"Financing",IF(ISNUMBER(SEARCH("draw",$B466))+ISNUMBER(SEARCH("owner",$B466))+ISNUMBER(SEARCH("asset",$B466))+ISNUMBER(SEARCH("capital",$B466))&gt;0,"Other",IF(ISNUMBER(SEARCH("fuel",$B466))+ISNUMBER(SEARCH("diesel",$B466))+ISNUMBER(SEARCH("krudo",$B466))+ISNUMBER(SEARCH("gasolina",$B466))+ISNUMBER(SEARCH("toll",$B466))+ISNUMBER(SEARCH("parking",$B466))+ISNUMBER(SEARCH("repair",$B466))+ISNUMBER(SEARCH("maintenance",$B466))+ISNUMBER(SEARCH("tire",$B466))+ISNUMBER(SEARCH("tyre",$B466))+ISNUMBER(SEARCH("battery",$B466))+ISNUMBER(SEARCH("oil",$B466))+ISNUMBER(SEARCH("filter",$B466))+ISNUMBER(SEARCH("spare",$B466))+ISNUMBER(SEARCH("insurance",$B466))+ISNUMBER(SEARCH("lto",$B466))+ISNUMBER(SEARCH("registration",$B466))+ISNUMBER(SEARCH("emission",$B466))+ISNUMBER(SEARCH("wash",$B466))+ISNUMBER(SEARCH("weigh",$B466))+ISNUMBER(SEARCH("tarp",$B466))&gt;0,"Vehicle",IF(ISNUMBER(SEARCH("rent",$B466))+ISNUMBER(SEARCH("upa",$B466))+ISNUMBER(SEARCH("salary",$B466))+ISNUMBER(SEARCH("sweldo",$B466))+ISNUMBER(SEARCH("wage",$B466))+ISNUMBER(SEARCH("electric",$B466))+ISNUMBER(SEARCH("kuryente",$B466))+ISNUMBER(SEARCH("water",$B466))+ISNUMBER(SEARCH("tubig",$B466))+ISNUMBER(SEARCH("internet",$B466))+ISNUMBER(SEARCH("pldt",$B466))+ISNUMBER(SEARCH("meralco",$B466))+ISNUMBER(SEARCH("supplies",$B466))+ISNUMBER(SEARCH("office",$B466))+ISNUMBER(SEARCH("professional",$B466))+ISNUMBER(SEARCH("accountant",$B466))+ISNUMBER(SEARCH("lawyer",$B466))+ISNUMBER(SEARCH("broker",$B466))+ISNUMBER(SEARCH("bank",$B466))+ISNUMBER(SEARCH("charge",$B466))+ISNUMBER(SEARCH("permit",$B466))+ISNUMBER(SEARCH("bir",$B466))+ISNUMBER(SEARCH("ltfrb",$B466))+ISNUMBER(SEARCH("misc",$B466))+ISNUMBER(SEARCH("fee",$B466))&gt;0,"Overhead","Overhead")))))))</f>
        <v/>
      </c>
      <c r="J466">
        <f>IF($A466="","",DATE(YEAR($A466),MONTH($A466),1))</f>
        <v/>
      </c>
      <c r="K466">
        <f>IF($B466="","",IF(COUNTIF(Setup!$A$99:$A$128,$B466)&gt;0,0,1))</f>
        <v/>
      </c>
      <c r="L466">
        <f>IF($B466="","",IF(ISNUMBER(SEARCH("advance",$B466)),"ADV",IF(OR(ISNUMBER(SEARCH("payout",$B466)),ISNUMBER(SEARCH("pay out",$B466)),ISNUMBER(SEARCH("release",$B466))),"PAY","")))</f>
        <v/>
      </c>
      <c r="M466">
        <f>IF($B466="","",IF(ISNUMBER(SEARCH("bulk",$B466)),0,IF(ISNUMBER(SEARCH("fuel",$B466))+ISNUMBER(SEARCH("diesel",$B466))+ISNUMBER(SEARCH("krudo",$B466))+ISNUMBER(SEARCH("gasolina",$B466))&gt;0,1,0)))</f>
        <v/>
      </c>
      <c r="N466">
        <f>IF($B466="","",IF(ISNUMBER(SEARCH("fuel",$B466))+ISNUMBER(SEARCH("diesel",$B466))+ISNUMBER(SEARCH("krudo",$B466))+ISNUMBER(SEARCH("gasolina",$B466))&gt;0,1,0))</f>
        <v/>
      </c>
    </row>
    <row r="467">
      <c r="A467" s="86" t="n"/>
      <c r="B467" s="88" t="n"/>
      <c r="C467" s="88" t="n"/>
      <c r="D467" s="87" t="n"/>
      <c r="E467" s="88" t="n"/>
      <c r="F467" s="92" t="n"/>
      <c r="G467" s="87" t="n"/>
      <c r="H467" s="87" t="n"/>
      <c r="I467" s="101">
        <f>IF($B467="","",IF(COUNTIF(Setup!$A$99:$A$128,$B467)&gt;0,IF(INDEX(Setup!$B$99:$B$128,MATCH($B467,Setup!$A$99:$A$128,0))="","Overhead",INDEX(Setup!$B$99:$B$128,MATCH($B467,Setup!$A$99:$A$128,0))),IF(ISNUMBER(SEARCH("advance",$B467))+ISNUMBER(SEARCH("payout",$B467))+ISNUMBER(SEARCH("pay out",$B467))+ISNUMBER(SEARCH("reimburs",$B467))&gt;0,"Transfer",IF(ISNUMBER(SEARCH("loan",$B467))+ISNUMBER(SEARCH("amort",$B467))+ISNUMBER(SEARCH("installment",$B467))+ISNUMBER(SEARCH("instalment",$B467))&gt;0,"Financing",IF(ISNUMBER(SEARCH("draw",$B467))+ISNUMBER(SEARCH("owner",$B467))+ISNUMBER(SEARCH("asset",$B467))+ISNUMBER(SEARCH("capital",$B467))&gt;0,"Other",IF(ISNUMBER(SEARCH("fuel",$B467))+ISNUMBER(SEARCH("diesel",$B467))+ISNUMBER(SEARCH("krudo",$B467))+ISNUMBER(SEARCH("gasolina",$B467))+ISNUMBER(SEARCH("toll",$B467))+ISNUMBER(SEARCH("parking",$B467))+ISNUMBER(SEARCH("repair",$B467))+ISNUMBER(SEARCH("maintenance",$B467))+ISNUMBER(SEARCH("tire",$B467))+ISNUMBER(SEARCH("tyre",$B467))+ISNUMBER(SEARCH("battery",$B467))+ISNUMBER(SEARCH("oil",$B467))+ISNUMBER(SEARCH("filter",$B467))+ISNUMBER(SEARCH("spare",$B467))+ISNUMBER(SEARCH("insurance",$B467))+ISNUMBER(SEARCH("lto",$B467))+ISNUMBER(SEARCH("registration",$B467))+ISNUMBER(SEARCH("emission",$B467))+ISNUMBER(SEARCH("wash",$B467))+ISNUMBER(SEARCH("weigh",$B467))+ISNUMBER(SEARCH("tarp",$B467))&gt;0,"Vehicle",IF(ISNUMBER(SEARCH("rent",$B467))+ISNUMBER(SEARCH("upa",$B467))+ISNUMBER(SEARCH("salary",$B467))+ISNUMBER(SEARCH("sweldo",$B467))+ISNUMBER(SEARCH("wage",$B467))+ISNUMBER(SEARCH("electric",$B467))+ISNUMBER(SEARCH("kuryente",$B467))+ISNUMBER(SEARCH("water",$B467))+ISNUMBER(SEARCH("tubig",$B467))+ISNUMBER(SEARCH("internet",$B467))+ISNUMBER(SEARCH("pldt",$B467))+ISNUMBER(SEARCH("meralco",$B467))+ISNUMBER(SEARCH("supplies",$B467))+ISNUMBER(SEARCH("office",$B467))+ISNUMBER(SEARCH("professional",$B467))+ISNUMBER(SEARCH("accountant",$B467))+ISNUMBER(SEARCH("lawyer",$B467))+ISNUMBER(SEARCH("broker",$B467))+ISNUMBER(SEARCH("bank",$B467))+ISNUMBER(SEARCH("charge",$B467))+ISNUMBER(SEARCH("permit",$B467))+ISNUMBER(SEARCH("bir",$B467))+ISNUMBER(SEARCH("ltfrb",$B467))+ISNUMBER(SEARCH("misc",$B467))+ISNUMBER(SEARCH("fee",$B467))&gt;0,"Overhead","Overhead")))))))</f>
        <v/>
      </c>
      <c r="J467">
        <f>IF($A467="","",DATE(YEAR($A467),MONTH($A467),1))</f>
        <v/>
      </c>
      <c r="K467">
        <f>IF($B467="","",IF(COUNTIF(Setup!$A$99:$A$128,$B467)&gt;0,0,1))</f>
        <v/>
      </c>
      <c r="L467">
        <f>IF($B467="","",IF(ISNUMBER(SEARCH("advance",$B467)),"ADV",IF(OR(ISNUMBER(SEARCH("payout",$B467)),ISNUMBER(SEARCH("pay out",$B467)),ISNUMBER(SEARCH("release",$B467))),"PAY","")))</f>
        <v/>
      </c>
      <c r="M467">
        <f>IF($B467="","",IF(ISNUMBER(SEARCH("bulk",$B467)),0,IF(ISNUMBER(SEARCH("fuel",$B467))+ISNUMBER(SEARCH("diesel",$B467))+ISNUMBER(SEARCH("krudo",$B467))+ISNUMBER(SEARCH("gasolina",$B467))&gt;0,1,0)))</f>
        <v/>
      </c>
      <c r="N467">
        <f>IF($B467="","",IF(ISNUMBER(SEARCH("fuel",$B467))+ISNUMBER(SEARCH("diesel",$B467))+ISNUMBER(SEARCH("krudo",$B467))+ISNUMBER(SEARCH("gasolina",$B467))&gt;0,1,0))</f>
        <v/>
      </c>
    </row>
    <row r="468">
      <c r="A468" s="94" t="n"/>
      <c r="B468" s="96" t="n"/>
      <c r="C468" s="96" t="n"/>
      <c r="D468" s="95" t="n"/>
      <c r="E468" s="96" t="n"/>
      <c r="F468" s="99" t="n"/>
      <c r="G468" s="95" t="n"/>
      <c r="H468" s="95" t="n"/>
      <c r="I468" s="101">
        <f>IF($B468="","",IF(COUNTIF(Setup!$A$99:$A$128,$B468)&gt;0,IF(INDEX(Setup!$B$99:$B$128,MATCH($B468,Setup!$A$99:$A$128,0))="","Overhead",INDEX(Setup!$B$99:$B$128,MATCH($B468,Setup!$A$99:$A$128,0))),IF(ISNUMBER(SEARCH("advance",$B468))+ISNUMBER(SEARCH("payout",$B468))+ISNUMBER(SEARCH("pay out",$B468))+ISNUMBER(SEARCH("reimburs",$B468))&gt;0,"Transfer",IF(ISNUMBER(SEARCH("loan",$B468))+ISNUMBER(SEARCH("amort",$B468))+ISNUMBER(SEARCH("installment",$B468))+ISNUMBER(SEARCH("instalment",$B468))&gt;0,"Financing",IF(ISNUMBER(SEARCH("draw",$B468))+ISNUMBER(SEARCH("owner",$B468))+ISNUMBER(SEARCH("asset",$B468))+ISNUMBER(SEARCH("capital",$B468))&gt;0,"Other",IF(ISNUMBER(SEARCH("fuel",$B468))+ISNUMBER(SEARCH("diesel",$B468))+ISNUMBER(SEARCH("krudo",$B468))+ISNUMBER(SEARCH("gasolina",$B468))+ISNUMBER(SEARCH("toll",$B468))+ISNUMBER(SEARCH("parking",$B468))+ISNUMBER(SEARCH("repair",$B468))+ISNUMBER(SEARCH("maintenance",$B468))+ISNUMBER(SEARCH("tire",$B468))+ISNUMBER(SEARCH("tyre",$B468))+ISNUMBER(SEARCH("battery",$B468))+ISNUMBER(SEARCH("oil",$B468))+ISNUMBER(SEARCH("filter",$B468))+ISNUMBER(SEARCH("spare",$B468))+ISNUMBER(SEARCH("insurance",$B468))+ISNUMBER(SEARCH("lto",$B468))+ISNUMBER(SEARCH("registration",$B468))+ISNUMBER(SEARCH("emission",$B468))+ISNUMBER(SEARCH("wash",$B468))+ISNUMBER(SEARCH("weigh",$B468))+ISNUMBER(SEARCH("tarp",$B468))&gt;0,"Vehicle",IF(ISNUMBER(SEARCH("rent",$B468))+ISNUMBER(SEARCH("upa",$B468))+ISNUMBER(SEARCH("salary",$B468))+ISNUMBER(SEARCH("sweldo",$B468))+ISNUMBER(SEARCH("wage",$B468))+ISNUMBER(SEARCH("electric",$B468))+ISNUMBER(SEARCH("kuryente",$B468))+ISNUMBER(SEARCH("water",$B468))+ISNUMBER(SEARCH("tubig",$B468))+ISNUMBER(SEARCH("internet",$B468))+ISNUMBER(SEARCH("pldt",$B468))+ISNUMBER(SEARCH("meralco",$B468))+ISNUMBER(SEARCH("supplies",$B468))+ISNUMBER(SEARCH("office",$B468))+ISNUMBER(SEARCH("professional",$B468))+ISNUMBER(SEARCH("accountant",$B468))+ISNUMBER(SEARCH("lawyer",$B468))+ISNUMBER(SEARCH("broker",$B468))+ISNUMBER(SEARCH("bank",$B468))+ISNUMBER(SEARCH("charge",$B468))+ISNUMBER(SEARCH("permit",$B468))+ISNUMBER(SEARCH("bir",$B468))+ISNUMBER(SEARCH("ltfrb",$B468))+ISNUMBER(SEARCH("misc",$B468))+ISNUMBER(SEARCH("fee",$B468))&gt;0,"Overhead","Overhead")))))))</f>
        <v/>
      </c>
      <c r="J468">
        <f>IF($A468="","",DATE(YEAR($A468),MONTH($A468),1))</f>
        <v/>
      </c>
      <c r="K468">
        <f>IF($B468="","",IF(COUNTIF(Setup!$A$99:$A$128,$B468)&gt;0,0,1))</f>
        <v/>
      </c>
      <c r="L468">
        <f>IF($B468="","",IF(ISNUMBER(SEARCH("advance",$B468)),"ADV",IF(OR(ISNUMBER(SEARCH("payout",$B468)),ISNUMBER(SEARCH("pay out",$B468)),ISNUMBER(SEARCH("release",$B468))),"PAY","")))</f>
        <v/>
      </c>
      <c r="M468">
        <f>IF($B468="","",IF(ISNUMBER(SEARCH("bulk",$B468)),0,IF(ISNUMBER(SEARCH("fuel",$B468))+ISNUMBER(SEARCH("diesel",$B468))+ISNUMBER(SEARCH("krudo",$B468))+ISNUMBER(SEARCH("gasolina",$B468))&gt;0,1,0)))</f>
        <v/>
      </c>
      <c r="N468">
        <f>IF($B468="","",IF(ISNUMBER(SEARCH("fuel",$B468))+ISNUMBER(SEARCH("diesel",$B468))+ISNUMBER(SEARCH("krudo",$B468))+ISNUMBER(SEARCH("gasolina",$B468))&gt;0,1,0))</f>
        <v/>
      </c>
    </row>
    <row r="469">
      <c r="A469" s="86" t="n"/>
      <c r="B469" s="88" t="n"/>
      <c r="C469" s="88" t="n"/>
      <c r="D469" s="87" t="n"/>
      <c r="E469" s="88" t="n"/>
      <c r="F469" s="92" t="n"/>
      <c r="G469" s="87" t="n"/>
      <c r="H469" s="87" t="n"/>
      <c r="I469" s="101">
        <f>IF($B469="","",IF(COUNTIF(Setup!$A$99:$A$128,$B469)&gt;0,IF(INDEX(Setup!$B$99:$B$128,MATCH($B469,Setup!$A$99:$A$128,0))="","Overhead",INDEX(Setup!$B$99:$B$128,MATCH($B469,Setup!$A$99:$A$128,0))),IF(ISNUMBER(SEARCH("advance",$B469))+ISNUMBER(SEARCH("payout",$B469))+ISNUMBER(SEARCH("pay out",$B469))+ISNUMBER(SEARCH("reimburs",$B469))&gt;0,"Transfer",IF(ISNUMBER(SEARCH("loan",$B469))+ISNUMBER(SEARCH("amort",$B469))+ISNUMBER(SEARCH("installment",$B469))+ISNUMBER(SEARCH("instalment",$B469))&gt;0,"Financing",IF(ISNUMBER(SEARCH("draw",$B469))+ISNUMBER(SEARCH("owner",$B469))+ISNUMBER(SEARCH("asset",$B469))+ISNUMBER(SEARCH("capital",$B469))&gt;0,"Other",IF(ISNUMBER(SEARCH("fuel",$B469))+ISNUMBER(SEARCH("diesel",$B469))+ISNUMBER(SEARCH("krudo",$B469))+ISNUMBER(SEARCH("gasolina",$B469))+ISNUMBER(SEARCH("toll",$B469))+ISNUMBER(SEARCH("parking",$B469))+ISNUMBER(SEARCH("repair",$B469))+ISNUMBER(SEARCH("maintenance",$B469))+ISNUMBER(SEARCH("tire",$B469))+ISNUMBER(SEARCH("tyre",$B469))+ISNUMBER(SEARCH("battery",$B469))+ISNUMBER(SEARCH("oil",$B469))+ISNUMBER(SEARCH("filter",$B469))+ISNUMBER(SEARCH("spare",$B469))+ISNUMBER(SEARCH("insurance",$B469))+ISNUMBER(SEARCH("lto",$B469))+ISNUMBER(SEARCH("registration",$B469))+ISNUMBER(SEARCH("emission",$B469))+ISNUMBER(SEARCH("wash",$B469))+ISNUMBER(SEARCH("weigh",$B469))+ISNUMBER(SEARCH("tarp",$B469))&gt;0,"Vehicle",IF(ISNUMBER(SEARCH("rent",$B469))+ISNUMBER(SEARCH("upa",$B469))+ISNUMBER(SEARCH("salary",$B469))+ISNUMBER(SEARCH("sweldo",$B469))+ISNUMBER(SEARCH("wage",$B469))+ISNUMBER(SEARCH("electric",$B469))+ISNUMBER(SEARCH("kuryente",$B469))+ISNUMBER(SEARCH("water",$B469))+ISNUMBER(SEARCH("tubig",$B469))+ISNUMBER(SEARCH("internet",$B469))+ISNUMBER(SEARCH("pldt",$B469))+ISNUMBER(SEARCH("meralco",$B469))+ISNUMBER(SEARCH("supplies",$B469))+ISNUMBER(SEARCH("office",$B469))+ISNUMBER(SEARCH("professional",$B469))+ISNUMBER(SEARCH("accountant",$B469))+ISNUMBER(SEARCH("lawyer",$B469))+ISNUMBER(SEARCH("broker",$B469))+ISNUMBER(SEARCH("bank",$B469))+ISNUMBER(SEARCH("charge",$B469))+ISNUMBER(SEARCH("permit",$B469))+ISNUMBER(SEARCH("bir",$B469))+ISNUMBER(SEARCH("ltfrb",$B469))+ISNUMBER(SEARCH("misc",$B469))+ISNUMBER(SEARCH("fee",$B469))&gt;0,"Overhead","Overhead")))))))</f>
        <v/>
      </c>
      <c r="J469">
        <f>IF($A469="","",DATE(YEAR($A469),MONTH($A469),1))</f>
        <v/>
      </c>
      <c r="K469">
        <f>IF($B469="","",IF(COUNTIF(Setup!$A$99:$A$128,$B469)&gt;0,0,1))</f>
        <v/>
      </c>
      <c r="L469">
        <f>IF($B469="","",IF(ISNUMBER(SEARCH("advance",$B469)),"ADV",IF(OR(ISNUMBER(SEARCH("payout",$B469)),ISNUMBER(SEARCH("pay out",$B469)),ISNUMBER(SEARCH("release",$B469))),"PAY","")))</f>
        <v/>
      </c>
      <c r="M469">
        <f>IF($B469="","",IF(ISNUMBER(SEARCH("bulk",$B469)),0,IF(ISNUMBER(SEARCH("fuel",$B469))+ISNUMBER(SEARCH("diesel",$B469))+ISNUMBER(SEARCH("krudo",$B469))+ISNUMBER(SEARCH("gasolina",$B469))&gt;0,1,0)))</f>
        <v/>
      </c>
      <c r="N469">
        <f>IF($B469="","",IF(ISNUMBER(SEARCH("fuel",$B469))+ISNUMBER(SEARCH("diesel",$B469))+ISNUMBER(SEARCH("krudo",$B469))+ISNUMBER(SEARCH("gasolina",$B469))&gt;0,1,0))</f>
        <v/>
      </c>
    </row>
    <row r="470">
      <c r="A470" s="94" t="n"/>
      <c r="B470" s="96" t="n"/>
      <c r="C470" s="96" t="n"/>
      <c r="D470" s="95" t="n"/>
      <c r="E470" s="96" t="n"/>
      <c r="F470" s="99" t="n"/>
      <c r="G470" s="95" t="n"/>
      <c r="H470" s="95" t="n"/>
      <c r="I470" s="101">
        <f>IF($B470="","",IF(COUNTIF(Setup!$A$99:$A$128,$B470)&gt;0,IF(INDEX(Setup!$B$99:$B$128,MATCH($B470,Setup!$A$99:$A$128,0))="","Overhead",INDEX(Setup!$B$99:$B$128,MATCH($B470,Setup!$A$99:$A$128,0))),IF(ISNUMBER(SEARCH("advance",$B470))+ISNUMBER(SEARCH("payout",$B470))+ISNUMBER(SEARCH("pay out",$B470))+ISNUMBER(SEARCH("reimburs",$B470))&gt;0,"Transfer",IF(ISNUMBER(SEARCH("loan",$B470))+ISNUMBER(SEARCH("amort",$B470))+ISNUMBER(SEARCH("installment",$B470))+ISNUMBER(SEARCH("instalment",$B470))&gt;0,"Financing",IF(ISNUMBER(SEARCH("draw",$B470))+ISNUMBER(SEARCH("owner",$B470))+ISNUMBER(SEARCH("asset",$B470))+ISNUMBER(SEARCH("capital",$B470))&gt;0,"Other",IF(ISNUMBER(SEARCH("fuel",$B470))+ISNUMBER(SEARCH("diesel",$B470))+ISNUMBER(SEARCH("krudo",$B470))+ISNUMBER(SEARCH("gasolina",$B470))+ISNUMBER(SEARCH("toll",$B470))+ISNUMBER(SEARCH("parking",$B470))+ISNUMBER(SEARCH("repair",$B470))+ISNUMBER(SEARCH("maintenance",$B470))+ISNUMBER(SEARCH("tire",$B470))+ISNUMBER(SEARCH("tyre",$B470))+ISNUMBER(SEARCH("battery",$B470))+ISNUMBER(SEARCH("oil",$B470))+ISNUMBER(SEARCH("filter",$B470))+ISNUMBER(SEARCH("spare",$B470))+ISNUMBER(SEARCH("insurance",$B470))+ISNUMBER(SEARCH("lto",$B470))+ISNUMBER(SEARCH("registration",$B470))+ISNUMBER(SEARCH("emission",$B470))+ISNUMBER(SEARCH("wash",$B470))+ISNUMBER(SEARCH("weigh",$B470))+ISNUMBER(SEARCH("tarp",$B470))&gt;0,"Vehicle",IF(ISNUMBER(SEARCH("rent",$B470))+ISNUMBER(SEARCH("upa",$B470))+ISNUMBER(SEARCH("salary",$B470))+ISNUMBER(SEARCH("sweldo",$B470))+ISNUMBER(SEARCH("wage",$B470))+ISNUMBER(SEARCH("electric",$B470))+ISNUMBER(SEARCH("kuryente",$B470))+ISNUMBER(SEARCH("water",$B470))+ISNUMBER(SEARCH("tubig",$B470))+ISNUMBER(SEARCH("internet",$B470))+ISNUMBER(SEARCH("pldt",$B470))+ISNUMBER(SEARCH("meralco",$B470))+ISNUMBER(SEARCH("supplies",$B470))+ISNUMBER(SEARCH("office",$B470))+ISNUMBER(SEARCH("professional",$B470))+ISNUMBER(SEARCH("accountant",$B470))+ISNUMBER(SEARCH("lawyer",$B470))+ISNUMBER(SEARCH("broker",$B470))+ISNUMBER(SEARCH("bank",$B470))+ISNUMBER(SEARCH("charge",$B470))+ISNUMBER(SEARCH("permit",$B470))+ISNUMBER(SEARCH("bir",$B470))+ISNUMBER(SEARCH("ltfrb",$B470))+ISNUMBER(SEARCH("misc",$B470))+ISNUMBER(SEARCH("fee",$B470))&gt;0,"Overhead","Overhead")))))))</f>
        <v/>
      </c>
      <c r="J470">
        <f>IF($A470="","",DATE(YEAR($A470),MONTH($A470),1))</f>
        <v/>
      </c>
      <c r="K470">
        <f>IF($B470="","",IF(COUNTIF(Setup!$A$99:$A$128,$B470)&gt;0,0,1))</f>
        <v/>
      </c>
      <c r="L470">
        <f>IF($B470="","",IF(ISNUMBER(SEARCH("advance",$B470)),"ADV",IF(OR(ISNUMBER(SEARCH("payout",$B470)),ISNUMBER(SEARCH("pay out",$B470)),ISNUMBER(SEARCH("release",$B470))),"PAY","")))</f>
        <v/>
      </c>
      <c r="M470">
        <f>IF($B470="","",IF(ISNUMBER(SEARCH("bulk",$B470)),0,IF(ISNUMBER(SEARCH("fuel",$B470))+ISNUMBER(SEARCH("diesel",$B470))+ISNUMBER(SEARCH("krudo",$B470))+ISNUMBER(SEARCH("gasolina",$B470))&gt;0,1,0)))</f>
        <v/>
      </c>
      <c r="N470">
        <f>IF($B470="","",IF(ISNUMBER(SEARCH("fuel",$B470))+ISNUMBER(SEARCH("diesel",$B470))+ISNUMBER(SEARCH("krudo",$B470))+ISNUMBER(SEARCH("gasolina",$B470))&gt;0,1,0))</f>
        <v/>
      </c>
    </row>
    <row r="471">
      <c r="A471" s="86" t="n"/>
      <c r="B471" s="88" t="n"/>
      <c r="C471" s="88" t="n"/>
      <c r="D471" s="87" t="n"/>
      <c r="E471" s="88" t="n"/>
      <c r="F471" s="92" t="n"/>
      <c r="G471" s="87" t="n"/>
      <c r="H471" s="87" t="n"/>
      <c r="I471" s="101">
        <f>IF($B471="","",IF(COUNTIF(Setup!$A$99:$A$128,$B471)&gt;0,IF(INDEX(Setup!$B$99:$B$128,MATCH($B471,Setup!$A$99:$A$128,0))="","Overhead",INDEX(Setup!$B$99:$B$128,MATCH($B471,Setup!$A$99:$A$128,0))),IF(ISNUMBER(SEARCH("advance",$B471))+ISNUMBER(SEARCH("payout",$B471))+ISNUMBER(SEARCH("pay out",$B471))+ISNUMBER(SEARCH("reimburs",$B471))&gt;0,"Transfer",IF(ISNUMBER(SEARCH("loan",$B471))+ISNUMBER(SEARCH("amort",$B471))+ISNUMBER(SEARCH("installment",$B471))+ISNUMBER(SEARCH("instalment",$B471))&gt;0,"Financing",IF(ISNUMBER(SEARCH("draw",$B471))+ISNUMBER(SEARCH("owner",$B471))+ISNUMBER(SEARCH("asset",$B471))+ISNUMBER(SEARCH("capital",$B471))&gt;0,"Other",IF(ISNUMBER(SEARCH("fuel",$B471))+ISNUMBER(SEARCH("diesel",$B471))+ISNUMBER(SEARCH("krudo",$B471))+ISNUMBER(SEARCH("gasolina",$B471))+ISNUMBER(SEARCH("toll",$B471))+ISNUMBER(SEARCH("parking",$B471))+ISNUMBER(SEARCH("repair",$B471))+ISNUMBER(SEARCH("maintenance",$B471))+ISNUMBER(SEARCH("tire",$B471))+ISNUMBER(SEARCH("tyre",$B471))+ISNUMBER(SEARCH("battery",$B471))+ISNUMBER(SEARCH("oil",$B471))+ISNUMBER(SEARCH("filter",$B471))+ISNUMBER(SEARCH("spare",$B471))+ISNUMBER(SEARCH("insurance",$B471))+ISNUMBER(SEARCH("lto",$B471))+ISNUMBER(SEARCH("registration",$B471))+ISNUMBER(SEARCH("emission",$B471))+ISNUMBER(SEARCH("wash",$B471))+ISNUMBER(SEARCH("weigh",$B471))+ISNUMBER(SEARCH("tarp",$B471))&gt;0,"Vehicle",IF(ISNUMBER(SEARCH("rent",$B471))+ISNUMBER(SEARCH("upa",$B471))+ISNUMBER(SEARCH("salary",$B471))+ISNUMBER(SEARCH("sweldo",$B471))+ISNUMBER(SEARCH("wage",$B471))+ISNUMBER(SEARCH("electric",$B471))+ISNUMBER(SEARCH("kuryente",$B471))+ISNUMBER(SEARCH("water",$B471))+ISNUMBER(SEARCH("tubig",$B471))+ISNUMBER(SEARCH("internet",$B471))+ISNUMBER(SEARCH("pldt",$B471))+ISNUMBER(SEARCH("meralco",$B471))+ISNUMBER(SEARCH("supplies",$B471))+ISNUMBER(SEARCH("office",$B471))+ISNUMBER(SEARCH("professional",$B471))+ISNUMBER(SEARCH("accountant",$B471))+ISNUMBER(SEARCH("lawyer",$B471))+ISNUMBER(SEARCH("broker",$B471))+ISNUMBER(SEARCH("bank",$B471))+ISNUMBER(SEARCH("charge",$B471))+ISNUMBER(SEARCH("permit",$B471))+ISNUMBER(SEARCH("bir",$B471))+ISNUMBER(SEARCH("ltfrb",$B471))+ISNUMBER(SEARCH("misc",$B471))+ISNUMBER(SEARCH("fee",$B471))&gt;0,"Overhead","Overhead")))))))</f>
        <v/>
      </c>
      <c r="J471">
        <f>IF($A471="","",DATE(YEAR($A471),MONTH($A471),1))</f>
        <v/>
      </c>
      <c r="K471">
        <f>IF($B471="","",IF(COUNTIF(Setup!$A$99:$A$128,$B471)&gt;0,0,1))</f>
        <v/>
      </c>
      <c r="L471">
        <f>IF($B471="","",IF(ISNUMBER(SEARCH("advance",$B471)),"ADV",IF(OR(ISNUMBER(SEARCH("payout",$B471)),ISNUMBER(SEARCH("pay out",$B471)),ISNUMBER(SEARCH("release",$B471))),"PAY","")))</f>
        <v/>
      </c>
      <c r="M471">
        <f>IF($B471="","",IF(ISNUMBER(SEARCH("bulk",$B471)),0,IF(ISNUMBER(SEARCH("fuel",$B471))+ISNUMBER(SEARCH("diesel",$B471))+ISNUMBER(SEARCH("krudo",$B471))+ISNUMBER(SEARCH("gasolina",$B471))&gt;0,1,0)))</f>
        <v/>
      </c>
      <c r="N471">
        <f>IF($B471="","",IF(ISNUMBER(SEARCH("fuel",$B471))+ISNUMBER(SEARCH("diesel",$B471))+ISNUMBER(SEARCH("krudo",$B471))+ISNUMBER(SEARCH("gasolina",$B471))&gt;0,1,0))</f>
        <v/>
      </c>
    </row>
    <row r="472">
      <c r="A472" s="94" t="n"/>
      <c r="B472" s="96" t="n"/>
      <c r="C472" s="96" t="n"/>
      <c r="D472" s="95" t="n"/>
      <c r="E472" s="96" t="n"/>
      <c r="F472" s="99" t="n"/>
      <c r="G472" s="95" t="n"/>
      <c r="H472" s="95" t="n"/>
      <c r="I472" s="101">
        <f>IF($B472="","",IF(COUNTIF(Setup!$A$99:$A$128,$B472)&gt;0,IF(INDEX(Setup!$B$99:$B$128,MATCH($B472,Setup!$A$99:$A$128,0))="","Overhead",INDEX(Setup!$B$99:$B$128,MATCH($B472,Setup!$A$99:$A$128,0))),IF(ISNUMBER(SEARCH("advance",$B472))+ISNUMBER(SEARCH("payout",$B472))+ISNUMBER(SEARCH("pay out",$B472))+ISNUMBER(SEARCH("reimburs",$B472))&gt;0,"Transfer",IF(ISNUMBER(SEARCH("loan",$B472))+ISNUMBER(SEARCH("amort",$B472))+ISNUMBER(SEARCH("installment",$B472))+ISNUMBER(SEARCH("instalment",$B472))&gt;0,"Financing",IF(ISNUMBER(SEARCH("draw",$B472))+ISNUMBER(SEARCH("owner",$B472))+ISNUMBER(SEARCH("asset",$B472))+ISNUMBER(SEARCH("capital",$B472))&gt;0,"Other",IF(ISNUMBER(SEARCH("fuel",$B472))+ISNUMBER(SEARCH("diesel",$B472))+ISNUMBER(SEARCH("krudo",$B472))+ISNUMBER(SEARCH("gasolina",$B472))+ISNUMBER(SEARCH("toll",$B472))+ISNUMBER(SEARCH("parking",$B472))+ISNUMBER(SEARCH("repair",$B472))+ISNUMBER(SEARCH("maintenance",$B472))+ISNUMBER(SEARCH("tire",$B472))+ISNUMBER(SEARCH("tyre",$B472))+ISNUMBER(SEARCH("battery",$B472))+ISNUMBER(SEARCH("oil",$B472))+ISNUMBER(SEARCH("filter",$B472))+ISNUMBER(SEARCH("spare",$B472))+ISNUMBER(SEARCH("insurance",$B472))+ISNUMBER(SEARCH("lto",$B472))+ISNUMBER(SEARCH("registration",$B472))+ISNUMBER(SEARCH("emission",$B472))+ISNUMBER(SEARCH("wash",$B472))+ISNUMBER(SEARCH("weigh",$B472))+ISNUMBER(SEARCH("tarp",$B472))&gt;0,"Vehicle",IF(ISNUMBER(SEARCH("rent",$B472))+ISNUMBER(SEARCH("upa",$B472))+ISNUMBER(SEARCH("salary",$B472))+ISNUMBER(SEARCH("sweldo",$B472))+ISNUMBER(SEARCH("wage",$B472))+ISNUMBER(SEARCH("electric",$B472))+ISNUMBER(SEARCH("kuryente",$B472))+ISNUMBER(SEARCH("water",$B472))+ISNUMBER(SEARCH("tubig",$B472))+ISNUMBER(SEARCH("internet",$B472))+ISNUMBER(SEARCH("pldt",$B472))+ISNUMBER(SEARCH("meralco",$B472))+ISNUMBER(SEARCH("supplies",$B472))+ISNUMBER(SEARCH("office",$B472))+ISNUMBER(SEARCH("professional",$B472))+ISNUMBER(SEARCH("accountant",$B472))+ISNUMBER(SEARCH("lawyer",$B472))+ISNUMBER(SEARCH("broker",$B472))+ISNUMBER(SEARCH("bank",$B472))+ISNUMBER(SEARCH("charge",$B472))+ISNUMBER(SEARCH("permit",$B472))+ISNUMBER(SEARCH("bir",$B472))+ISNUMBER(SEARCH("ltfrb",$B472))+ISNUMBER(SEARCH("misc",$B472))+ISNUMBER(SEARCH("fee",$B472))&gt;0,"Overhead","Overhead")))))))</f>
        <v/>
      </c>
      <c r="J472">
        <f>IF($A472="","",DATE(YEAR($A472),MONTH($A472),1))</f>
        <v/>
      </c>
      <c r="K472">
        <f>IF($B472="","",IF(COUNTIF(Setup!$A$99:$A$128,$B472)&gt;0,0,1))</f>
        <v/>
      </c>
      <c r="L472">
        <f>IF($B472="","",IF(ISNUMBER(SEARCH("advance",$B472)),"ADV",IF(OR(ISNUMBER(SEARCH("payout",$B472)),ISNUMBER(SEARCH("pay out",$B472)),ISNUMBER(SEARCH("release",$B472))),"PAY","")))</f>
        <v/>
      </c>
      <c r="M472">
        <f>IF($B472="","",IF(ISNUMBER(SEARCH("bulk",$B472)),0,IF(ISNUMBER(SEARCH("fuel",$B472))+ISNUMBER(SEARCH("diesel",$B472))+ISNUMBER(SEARCH("krudo",$B472))+ISNUMBER(SEARCH("gasolina",$B472))&gt;0,1,0)))</f>
        <v/>
      </c>
      <c r="N472">
        <f>IF($B472="","",IF(ISNUMBER(SEARCH("fuel",$B472))+ISNUMBER(SEARCH("diesel",$B472))+ISNUMBER(SEARCH("krudo",$B472))+ISNUMBER(SEARCH("gasolina",$B472))&gt;0,1,0))</f>
        <v/>
      </c>
    </row>
    <row r="473">
      <c r="A473" s="86" t="n"/>
      <c r="B473" s="88" t="n"/>
      <c r="C473" s="88" t="n"/>
      <c r="D473" s="87" t="n"/>
      <c r="E473" s="88" t="n"/>
      <c r="F473" s="92" t="n"/>
      <c r="G473" s="87" t="n"/>
      <c r="H473" s="87" t="n"/>
      <c r="I473" s="101">
        <f>IF($B473="","",IF(COUNTIF(Setup!$A$99:$A$128,$B473)&gt;0,IF(INDEX(Setup!$B$99:$B$128,MATCH($B473,Setup!$A$99:$A$128,0))="","Overhead",INDEX(Setup!$B$99:$B$128,MATCH($B473,Setup!$A$99:$A$128,0))),IF(ISNUMBER(SEARCH("advance",$B473))+ISNUMBER(SEARCH("payout",$B473))+ISNUMBER(SEARCH("pay out",$B473))+ISNUMBER(SEARCH("reimburs",$B473))&gt;0,"Transfer",IF(ISNUMBER(SEARCH("loan",$B473))+ISNUMBER(SEARCH("amort",$B473))+ISNUMBER(SEARCH("installment",$B473))+ISNUMBER(SEARCH("instalment",$B473))&gt;0,"Financing",IF(ISNUMBER(SEARCH("draw",$B473))+ISNUMBER(SEARCH("owner",$B473))+ISNUMBER(SEARCH("asset",$B473))+ISNUMBER(SEARCH("capital",$B473))&gt;0,"Other",IF(ISNUMBER(SEARCH("fuel",$B473))+ISNUMBER(SEARCH("diesel",$B473))+ISNUMBER(SEARCH("krudo",$B473))+ISNUMBER(SEARCH("gasolina",$B473))+ISNUMBER(SEARCH("toll",$B473))+ISNUMBER(SEARCH("parking",$B473))+ISNUMBER(SEARCH("repair",$B473))+ISNUMBER(SEARCH("maintenance",$B473))+ISNUMBER(SEARCH("tire",$B473))+ISNUMBER(SEARCH("tyre",$B473))+ISNUMBER(SEARCH("battery",$B473))+ISNUMBER(SEARCH("oil",$B473))+ISNUMBER(SEARCH("filter",$B473))+ISNUMBER(SEARCH("spare",$B473))+ISNUMBER(SEARCH("insurance",$B473))+ISNUMBER(SEARCH("lto",$B473))+ISNUMBER(SEARCH("registration",$B473))+ISNUMBER(SEARCH("emission",$B473))+ISNUMBER(SEARCH("wash",$B473))+ISNUMBER(SEARCH("weigh",$B473))+ISNUMBER(SEARCH("tarp",$B473))&gt;0,"Vehicle",IF(ISNUMBER(SEARCH("rent",$B473))+ISNUMBER(SEARCH("upa",$B473))+ISNUMBER(SEARCH("salary",$B473))+ISNUMBER(SEARCH("sweldo",$B473))+ISNUMBER(SEARCH("wage",$B473))+ISNUMBER(SEARCH("electric",$B473))+ISNUMBER(SEARCH("kuryente",$B473))+ISNUMBER(SEARCH("water",$B473))+ISNUMBER(SEARCH("tubig",$B473))+ISNUMBER(SEARCH("internet",$B473))+ISNUMBER(SEARCH("pldt",$B473))+ISNUMBER(SEARCH("meralco",$B473))+ISNUMBER(SEARCH("supplies",$B473))+ISNUMBER(SEARCH("office",$B473))+ISNUMBER(SEARCH("professional",$B473))+ISNUMBER(SEARCH("accountant",$B473))+ISNUMBER(SEARCH("lawyer",$B473))+ISNUMBER(SEARCH("broker",$B473))+ISNUMBER(SEARCH("bank",$B473))+ISNUMBER(SEARCH("charge",$B473))+ISNUMBER(SEARCH("permit",$B473))+ISNUMBER(SEARCH("bir",$B473))+ISNUMBER(SEARCH("ltfrb",$B473))+ISNUMBER(SEARCH("misc",$B473))+ISNUMBER(SEARCH("fee",$B473))&gt;0,"Overhead","Overhead")))))))</f>
        <v/>
      </c>
      <c r="J473">
        <f>IF($A473="","",DATE(YEAR($A473),MONTH($A473),1))</f>
        <v/>
      </c>
      <c r="K473">
        <f>IF($B473="","",IF(COUNTIF(Setup!$A$99:$A$128,$B473)&gt;0,0,1))</f>
        <v/>
      </c>
      <c r="L473">
        <f>IF($B473="","",IF(ISNUMBER(SEARCH("advance",$B473)),"ADV",IF(OR(ISNUMBER(SEARCH("payout",$B473)),ISNUMBER(SEARCH("pay out",$B473)),ISNUMBER(SEARCH("release",$B473))),"PAY","")))</f>
        <v/>
      </c>
      <c r="M473">
        <f>IF($B473="","",IF(ISNUMBER(SEARCH("bulk",$B473)),0,IF(ISNUMBER(SEARCH("fuel",$B473))+ISNUMBER(SEARCH("diesel",$B473))+ISNUMBER(SEARCH("krudo",$B473))+ISNUMBER(SEARCH("gasolina",$B473))&gt;0,1,0)))</f>
        <v/>
      </c>
      <c r="N473">
        <f>IF($B473="","",IF(ISNUMBER(SEARCH("fuel",$B473))+ISNUMBER(SEARCH("diesel",$B473))+ISNUMBER(SEARCH("krudo",$B473))+ISNUMBER(SEARCH("gasolina",$B473))&gt;0,1,0))</f>
        <v/>
      </c>
    </row>
    <row r="474">
      <c r="A474" s="94" t="n"/>
      <c r="B474" s="96" t="n"/>
      <c r="C474" s="96" t="n"/>
      <c r="D474" s="95" t="n"/>
      <c r="E474" s="96" t="n"/>
      <c r="F474" s="99" t="n"/>
      <c r="G474" s="95" t="n"/>
      <c r="H474" s="95" t="n"/>
      <c r="I474" s="101">
        <f>IF($B474="","",IF(COUNTIF(Setup!$A$99:$A$128,$B474)&gt;0,IF(INDEX(Setup!$B$99:$B$128,MATCH($B474,Setup!$A$99:$A$128,0))="","Overhead",INDEX(Setup!$B$99:$B$128,MATCH($B474,Setup!$A$99:$A$128,0))),IF(ISNUMBER(SEARCH("advance",$B474))+ISNUMBER(SEARCH("payout",$B474))+ISNUMBER(SEARCH("pay out",$B474))+ISNUMBER(SEARCH("reimburs",$B474))&gt;0,"Transfer",IF(ISNUMBER(SEARCH("loan",$B474))+ISNUMBER(SEARCH("amort",$B474))+ISNUMBER(SEARCH("installment",$B474))+ISNUMBER(SEARCH("instalment",$B474))&gt;0,"Financing",IF(ISNUMBER(SEARCH("draw",$B474))+ISNUMBER(SEARCH("owner",$B474))+ISNUMBER(SEARCH("asset",$B474))+ISNUMBER(SEARCH("capital",$B474))&gt;0,"Other",IF(ISNUMBER(SEARCH("fuel",$B474))+ISNUMBER(SEARCH("diesel",$B474))+ISNUMBER(SEARCH("krudo",$B474))+ISNUMBER(SEARCH("gasolina",$B474))+ISNUMBER(SEARCH("toll",$B474))+ISNUMBER(SEARCH("parking",$B474))+ISNUMBER(SEARCH("repair",$B474))+ISNUMBER(SEARCH("maintenance",$B474))+ISNUMBER(SEARCH("tire",$B474))+ISNUMBER(SEARCH("tyre",$B474))+ISNUMBER(SEARCH("battery",$B474))+ISNUMBER(SEARCH("oil",$B474))+ISNUMBER(SEARCH("filter",$B474))+ISNUMBER(SEARCH("spare",$B474))+ISNUMBER(SEARCH("insurance",$B474))+ISNUMBER(SEARCH("lto",$B474))+ISNUMBER(SEARCH("registration",$B474))+ISNUMBER(SEARCH("emission",$B474))+ISNUMBER(SEARCH("wash",$B474))+ISNUMBER(SEARCH("weigh",$B474))+ISNUMBER(SEARCH("tarp",$B474))&gt;0,"Vehicle",IF(ISNUMBER(SEARCH("rent",$B474))+ISNUMBER(SEARCH("upa",$B474))+ISNUMBER(SEARCH("salary",$B474))+ISNUMBER(SEARCH("sweldo",$B474))+ISNUMBER(SEARCH("wage",$B474))+ISNUMBER(SEARCH("electric",$B474))+ISNUMBER(SEARCH("kuryente",$B474))+ISNUMBER(SEARCH("water",$B474))+ISNUMBER(SEARCH("tubig",$B474))+ISNUMBER(SEARCH("internet",$B474))+ISNUMBER(SEARCH("pldt",$B474))+ISNUMBER(SEARCH("meralco",$B474))+ISNUMBER(SEARCH("supplies",$B474))+ISNUMBER(SEARCH("office",$B474))+ISNUMBER(SEARCH("professional",$B474))+ISNUMBER(SEARCH("accountant",$B474))+ISNUMBER(SEARCH("lawyer",$B474))+ISNUMBER(SEARCH("broker",$B474))+ISNUMBER(SEARCH("bank",$B474))+ISNUMBER(SEARCH("charge",$B474))+ISNUMBER(SEARCH("permit",$B474))+ISNUMBER(SEARCH("bir",$B474))+ISNUMBER(SEARCH("ltfrb",$B474))+ISNUMBER(SEARCH("misc",$B474))+ISNUMBER(SEARCH("fee",$B474))&gt;0,"Overhead","Overhead")))))))</f>
        <v/>
      </c>
      <c r="J474">
        <f>IF($A474="","",DATE(YEAR($A474),MONTH($A474),1))</f>
        <v/>
      </c>
      <c r="K474">
        <f>IF($B474="","",IF(COUNTIF(Setup!$A$99:$A$128,$B474)&gt;0,0,1))</f>
        <v/>
      </c>
      <c r="L474">
        <f>IF($B474="","",IF(ISNUMBER(SEARCH("advance",$B474)),"ADV",IF(OR(ISNUMBER(SEARCH("payout",$B474)),ISNUMBER(SEARCH("pay out",$B474)),ISNUMBER(SEARCH("release",$B474))),"PAY","")))</f>
        <v/>
      </c>
      <c r="M474">
        <f>IF($B474="","",IF(ISNUMBER(SEARCH("bulk",$B474)),0,IF(ISNUMBER(SEARCH("fuel",$B474))+ISNUMBER(SEARCH("diesel",$B474))+ISNUMBER(SEARCH("krudo",$B474))+ISNUMBER(SEARCH("gasolina",$B474))&gt;0,1,0)))</f>
        <v/>
      </c>
      <c r="N474">
        <f>IF($B474="","",IF(ISNUMBER(SEARCH("fuel",$B474))+ISNUMBER(SEARCH("diesel",$B474))+ISNUMBER(SEARCH("krudo",$B474))+ISNUMBER(SEARCH("gasolina",$B474))&gt;0,1,0))</f>
        <v/>
      </c>
    </row>
    <row r="475">
      <c r="A475" s="86" t="n"/>
      <c r="B475" s="88" t="n"/>
      <c r="C475" s="88" t="n"/>
      <c r="D475" s="87" t="n"/>
      <c r="E475" s="88" t="n"/>
      <c r="F475" s="92" t="n"/>
      <c r="G475" s="87" t="n"/>
      <c r="H475" s="87" t="n"/>
      <c r="I475" s="101">
        <f>IF($B475="","",IF(COUNTIF(Setup!$A$99:$A$128,$B475)&gt;0,IF(INDEX(Setup!$B$99:$B$128,MATCH($B475,Setup!$A$99:$A$128,0))="","Overhead",INDEX(Setup!$B$99:$B$128,MATCH($B475,Setup!$A$99:$A$128,0))),IF(ISNUMBER(SEARCH("advance",$B475))+ISNUMBER(SEARCH("payout",$B475))+ISNUMBER(SEARCH("pay out",$B475))+ISNUMBER(SEARCH("reimburs",$B475))&gt;0,"Transfer",IF(ISNUMBER(SEARCH("loan",$B475))+ISNUMBER(SEARCH("amort",$B475))+ISNUMBER(SEARCH("installment",$B475))+ISNUMBER(SEARCH("instalment",$B475))&gt;0,"Financing",IF(ISNUMBER(SEARCH("draw",$B475))+ISNUMBER(SEARCH("owner",$B475))+ISNUMBER(SEARCH("asset",$B475))+ISNUMBER(SEARCH("capital",$B475))&gt;0,"Other",IF(ISNUMBER(SEARCH("fuel",$B475))+ISNUMBER(SEARCH("diesel",$B475))+ISNUMBER(SEARCH("krudo",$B475))+ISNUMBER(SEARCH("gasolina",$B475))+ISNUMBER(SEARCH("toll",$B475))+ISNUMBER(SEARCH("parking",$B475))+ISNUMBER(SEARCH("repair",$B475))+ISNUMBER(SEARCH("maintenance",$B475))+ISNUMBER(SEARCH("tire",$B475))+ISNUMBER(SEARCH("tyre",$B475))+ISNUMBER(SEARCH("battery",$B475))+ISNUMBER(SEARCH("oil",$B475))+ISNUMBER(SEARCH("filter",$B475))+ISNUMBER(SEARCH("spare",$B475))+ISNUMBER(SEARCH("insurance",$B475))+ISNUMBER(SEARCH("lto",$B475))+ISNUMBER(SEARCH("registration",$B475))+ISNUMBER(SEARCH("emission",$B475))+ISNUMBER(SEARCH("wash",$B475))+ISNUMBER(SEARCH("weigh",$B475))+ISNUMBER(SEARCH("tarp",$B475))&gt;0,"Vehicle",IF(ISNUMBER(SEARCH("rent",$B475))+ISNUMBER(SEARCH("upa",$B475))+ISNUMBER(SEARCH("salary",$B475))+ISNUMBER(SEARCH("sweldo",$B475))+ISNUMBER(SEARCH("wage",$B475))+ISNUMBER(SEARCH("electric",$B475))+ISNUMBER(SEARCH("kuryente",$B475))+ISNUMBER(SEARCH("water",$B475))+ISNUMBER(SEARCH("tubig",$B475))+ISNUMBER(SEARCH("internet",$B475))+ISNUMBER(SEARCH("pldt",$B475))+ISNUMBER(SEARCH("meralco",$B475))+ISNUMBER(SEARCH("supplies",$B475))+ISNUMBER(SEARCH("office",$B475))+ISNUMBER(SEARCH("professional",$B475))+ISNUMBER(SEARCH("accountant",$B475))+ISNUMBER(SEARCH("lawyer",$B475))+ISNUMBER(SEARCH("broker",$B475))+ISNUMBER(SEARCH("bank",$B475))+ISNUMBER(SEARCH("charge",$B475))+ISNUMBER(SEARCH("permit",$B475))+ISNUMBER(SEARCH("bir",$B475))+ISNUMBER(SEARCH("ltfrb",$B475))+ISNUMBER(SEARCH("misc",$B475))+ISNUMBER(SEARCH("fee",$B475))&gt;0,"Overhead","Overhead")))))))</f>
        <v/>
      </c>
      <c r="J475">
        <f>IF($A475="","",DATE(YEAR($A475),MONTH($A475),1))</f>
        <v/>
      </c>
      <c r="K475">
        <f>IF($B475="","",IF(COUNTIF(Setup!$A$99:$A$128,$B475)&gt;0,0,1))</f>
        <v/>
      </c>
      <c r="L475">
        <f>IF($B475="","",IF(ISNUMBER(SEARCH("advance",$B475)),"ADV",IF(OR(ISNUMBER(SEARCH("payout",$B475)),ISNUMBER(SEARCH("pay out",$B475)),ISNUMBER(SEARCH("release",$B475))),"PAY","")))</f>
        <v/>
      </c>
      <c r="M475">
        <f>IF($B475="","",IF(ISNUMBER(SEARCH("bulk",$B475)),0,IF(ISNUMBER(SEARCH("fuel",$B475))+ISNUMBER(SEARCH("diesel",$B475))+ISNUMBER(SEARCH("krudo",$B475))+ISNUMBER(SEARCH("gasolina",$B475))&gt;0,1,0)))</f>
        <v/>
      </c>
      <c r="N475">
        <f>IF($B475="","",IF(ISNUMBER(SEARCH("fuel",$B475))+ISNUMBER(SEARCH("diesel",$B475))+ISNUMBER(SEARCH("krudo",$B475))+ISNUMBER(SEARCH("gasolina",$B475))&gt;0,1,0))</f>
        <v/>
      </c>
    </row>
    <row r="476">
      <c r="A476" s="94" t="n"/>
      <c r="B476" s="96" t="n"/>
      <c r="C476" s="96" t="n"/>
      <c r="D476" s="95" t="n"/>
      <c r="E476" s="96" t="n"/>
      <c r="F476" s="99" t="n"/>
      <c r="G476" s="95" t="n"/>
      <c r="H476" s="95" t="n"/>
      <c r="I476" s="101">
        <f>IF($B476="","",IF(COUNTIF(Setup!$A$99:$A$128,$B476)&gt;0,IF(INDEX(Setup!$B$99:$B$128,MATCH($B476,Setup!$A$99:$A$128,0))="","Overhead",INDEX(Setup!$B$99:$B$128,MATCH($B476,Setup!$A$99:$A$128,0))),IF(ISNUMBER(SEARCH("advance",$B476))+ISNUMBER(SEARCH("payout",$B476))+ISNUMBER(SEARCH("pay out",$B476))+ISNUMBER(SEARCH("reimburs",$B476))&gt;0,"Transfer",IF(ISNUMBER(SEARCH("loan",$B476))+ISNUMBER(SEARCH("amort",$B476))+ISNUMBER(SEARCH("installment",$B476))+ISNUMBER(SEARCH("instalment",$B476))&gt;0,"Financing",IF(ISNUMBER(SEARCH("draw",$B476))+ISNUMBER(SEARCH("owner",$B476))+ISNUMBER(SEARCH("asset",$B476))+ISNUMBER(SEARCH("capital",$B476))&gt;0,"Other",IF(ISNUMBER(SEARCH("fuel",$B476))+ISNUMBER(SEARCH("diesel",$B476))+ISNUMBER(SEARCH("krudo",$B476))+ISNUMBER(SEARCH("gasolina",$B476))+ISNUMBER(SEARCH("toll",$B476))+ISNUMBER(SEARCH("parking",$B476))+ISNUMBER(SEARCH("repair",$B476))+ISNUMBER(SEARCH("maintenance",$B476))+ISNUMBER(SEARCH("tire",$B476))+ISNUMBER(SEARCH("tyre",$B476))+ISNUMBER(SEARCH("battery",$B476))+ISNUMBER(SEARCH("oil",$B476))+ISNUMBER(SEARCH("filter",$B476))+ISNUMBER(SEARCH("spare",$B476))+ISNUMBER(SEARCH("insurance",$B476))+ISNUMBER(SEARCH("lto",$B476))+ISNUMBER(SEARCH("registration",$B476))+ISNUMBER(SEARCH("emission",$B476))+ISNUMBER(SEARCH("wash",$B476))+ISNUMBER(SEARCH("weigh",$B476))+ISNUMBER(SEARCH("tarp",$B476))&gt;0,"Vehicle",IF(ISNUMBER(SEARCH("rent",$B476))+ISNUMBER(SEARCH("upa",$B476))+ISNUMBER(SEARCH("salary",$B476))+ISNUMBER(SEARCH("sweldo",$B476))+ISNUMBER(SEARCH("wage",$B476))+ISNUMBER(SEARCH("electric",$B476))+ISNUMBER(SEARCH("kuryente",$B476))+ISNUMBER(SEARCH("water",$B476))+ISNUMBER(SEARCH("tubig",$B476))+ISNUMBER(SEARCH("internet",$B476))+ISNUMBER(SEARCH("pldt",$B476))+ISNUMBER(SEARCH("meralco",$B476))+ISNUMBER(SEARCH("supplies",$B476))+ISNUMBER(SEARCH("office",$B476))+ISNUMBER(SEARCH("professional",$B476))+ISNUMBER(SEARCH("accountant",$B476))+ISNUMBER(SEARCH("lawyer",$B476))+ISNUMBER(SEARCH("broker",$B476))+ISNUMBER(SEARCH("bank",$B476))+ISNUMBER(SEARCH("charge",$B476))+ISNUMBER(SEARCH("permit",$B476))+ISNUMBER(SEARCH("bir",$B476))+ISNUMBER(SEARCH("ltfrb",$B476))+ISNUMBER(SEARCH("misc",$B476))+ISNUMBER(SEARCH("fee",$B476))&gt;0,"Overhead","Overhead")))))))</f>
        <v/>
      </c>
      <c r="J476">
        <f>IF($A476="","",DATE(YEAR($A476),MONTH($A476),1))</f>
        <v/>
      </c>
      <c r="K476">
        <f>IF($B476="","",IF(COUNTIF(Setup!$A$99:$A$128,$B476)&gt;0,0,1))</f>
        <v/>
      </c>
      <c r="L476">
        <f>IF($B476="","",IF(ISNUMBER(SEARCH("advance",$B476)),"ADV",IF(OR(ISNUMBER(SEARCH("payout",$B476)),ISNUMBER(SEARCH("pay out",$B476)),ISNUMBER(SEARCH("release",$B476))),"PAY","")))</f>
        <v/>
      </c>
      <c r="M476">
        <f>IF($B476="","",IF(ISNUMBER(SEARCH("bulk",$B476)),0,IF(ISNUMBER(SEARCH("fuel",$B476))+ISNUMBER(SEARCH("diesel",$B476))+ISNUMBER(SEARCH("krudo",$B476))+ISNUMBER(SEARCH("gasolina",$B476))&gt;0,1,0)))</f>
        <v/>
      </c>
      <c r="N476">
        <f>IF($B476="","",IF(ISNUMBER(SEARCH("fuel",$B476))+ISNUMBER(SEARCH("diesel",$B476))+ISNUMBER(SEARCH("krudo",$B476))+ISNUMBER(SEARCH("gasolina",$B476))&gt;0,1,0))</f>
        <v/>
      </c>
    </row>
    <row r="477">
      <c r="A477" s="86" t="n"/>
      <c r="B477" s="88" t="n"/>
      <c r="C477" s="88" t="n"/>
      <c r="D477" s="87" t="n"/>
      <c r="E477" s="88" t="n"/>
      <c r="F477" s="92" t="n"/>
      <c r="G477" s="87" t="n"/>
      <c r="H477" s="87" t="n"/>
      <c r="I477" s="101">
        <f>IF($B477="","",IF(COUNTIF(Setup!$A$99:$A$128,$B477)&gt;0,IF(INDEX(Setup!$B$99:$B$128,MATCH($B477,Setup!$A$99:$A$128,0))="","Overhead",INDEX(Setup!$B$99:$B$128,MATCH($B477,Setup!$A$99:$A$128,0))),IF(ISNUMBER(SEARCH("advance",$B477))+ISNUMBER(SEARCH("payout",$B477))+ISNUMBER(SEARCH("pay out",$B477))+ISNUMBER(SEARCH("reimburs",$B477))&gt;0,"Transfer",IF(ISNUMBER(SEARCH("loan",$B477))+ISNUMBER(SEARCH("amort",$B477))+ISNUMBER(SEARCH("installment",$B477))+ISNUMBER(SEARCH("instalment",$B477))&gt;0,"Financing",IF(ISNUMBER(SEARCH("draw",$B477))+ISNUMBER(SEARCH("owner",$B477))+ISNUMBER(SEARCH("asset",$B477))+ISNUMBER(SEARCH("capital",$B477))&gt;0,"Other",IF(ISNUMBER(SEARCH("fuel",$B477))+ISNUMBER(SEARCH("diesel",$B477))+ISNUMBER(SEARCH("krudo",$B477))+ISNUMBER(SEARCH("gasolina",$B477))+ISNUMBER(SEARCH("toll",$B477))+ISNUMBER(SEARCH("parking",$B477))+ISNUMBER(SEARCH("repair",$B477))+ISNUMBER(SEARCH("maintenance",$B477))+ISNUMBER(SEARCH("tire",$B477))+ISNUMBER(SEARCH("tyre",$B477))+ISNUMBER(SEARCH("battery",$B477))+ISNUMBER(SEARCH("oil",$B477))+ISNUMBER(SEARCH("filter",$B477))+ISNUMBER(SEARCH("spare",$B477))+ISNUMBER(SEARCH("insurance",$B477))+ISNUMBER(SEARCH("lto",$B477))+ISNUMBER(SEARCH("registration",$B477))+ISNUMBER(SEARCH("emission",$B477))+ISNUMBER(SEARCH("wash",$B477))+ISNUMBER(SEARCH("weigh",$B477))+ISNUMBER(SEARCH("tarp",$B477))&gt;0,"Vehicle",IF(ISNUMBER(SEARCH("rent",$B477))+ISNUMBER(SEARCH("upa",$B477))+ISNUMBER(SEARCH("salary",$B477))+ISNUMBER(SEARCH("sweldo",$B477))+ISNUMBER(SEARCH("wage",$B477))+ISNUMBER(SEARCH("electric",$B477))+ISNUMBER(SEARCH("kuryente",$B477))+ISNUMBER(SEARCH("water",$B477))+ISNUMBER(SEARCH("tubig",$B477))+ISNUMBER(SEARCH("internet",$B477))+ISNUMBER(SEARCH("pldt",$B477))+ISNUMBER(SEARCH("meralco",$B477))+ISNUMBER(SEARCH("supplies",$B477))+ISNUMBER(SEARCH("office",$B477))+ISNUMBER(SEARCH("professional",$B477))+ISNUMBER(SEARCH("accountant",$B477))+ISNUMBER(SEARCH("lawyer",$B477))+ISNUMBER(SEARCH("broker",$B477))+ISNUMBER(SEARCH("bank",$B477))+ISNUMBER(SEARCH("charge",$B477))+ISNUMBER(SEARCH("permit",$B477))+ISNUMBER(SEARCH("bir",$B477))+ISNUMBER(SEARCH("ltfrb",$B477))+ISNUMBER(SEARCH("misc",$B477))+ISNUMBER(SEARCH("fee",$B477))&gt;0,"Overhead","Overhead")))))))</f>
        <v/>
      </c>
      <c r="J477">
        <f>IF($A477="","",DATE(YEAR($A477),MONTH($A477),1))</f>
        <v/>
      </c>
      <c r="K477">
        <f>IF($B477="","",IF(COUNTIF(Setup!$A$99:$A$128,$B477)&gt;0,0,1))</f>
        <v/>
      </c>
      <c r="L477">
        <f>IF($B477="","",IF(ISNUMBER(SEARCH("advance",$B477)),"ADV",IF(OR(ISNUMBER(SEARCH("payout",$B477)),ISNUMBER(SEARCH("pay out",$B477)),ISNUMBER(SEARCH("release",$B477))),"PAY","")))</f>
        <v/>
      </c>
      <c r="M477">
        <f>IF($B477="","",IF(ISNUMBER(SEARCH("bulk",$B477)),0,IF(ISNUMBER(SEARCH("fuel",$B477))+ISNUMBER(SEARCH("diesel",$B477))+ISNUMBER(SEARCH("krudo",$B477))+ISNUMBER(SEARCH("gasolina",$B477))&gt;0,1,0)))</f>
        <v/>
      </c>
      <c r="N477">
        <f>IF($B477="","",IF(ISNUMBER(SEARCH("fuel",$B477))+ISNUMBER(SEARCH("diesel",$B477))+ISNUMBER(SEARCH("krudo",$B477))+ISNUMBER(SEARCH("gasolina",$B477))&gt;0,1,0))</f>
        <v/>
      </c>
    </row>
    <row r="478">
      <c r="A478" s="94" t="n"/>
      <c r="B478" s="96" t="n"/>
      <c r="C478" s="96" t="n"/>
      <c r="D478" s="95" t="n"/>
      <c r="E478" s="96" t="n"/>
      <c r="F478" s="99" t="n"/>
      <c r="G478" s="95" t="n"/>
      <c r="H478" s="95" t="n"/>
      <c r="I478" s="101">
        <f>IF($B478="","",IF(COUNTIF(Setup!$A$99:$A$128,$B478)&gt;0,IF(INDEX(Setup!$B$99:$B$128,MATCH($B478,Setup!$A$99:$A$128,0))="","Overhead",INDEX(Setup!$B$99:$B$128,MATCH($B478,Setup!$A$99:$A$128,0))),IF(ISNUMBER(SEARCH("advance",$B478))+ISNUMBER(SEARCH("payout",$B478))+ISNUMBER(SEARCH("pay out",$B478))+ISNUMBER(SEARCH("reimburs",$B478))&gt;0,"Transfer",IF(ISNUMBER(SEARCH("loan",$B478))+ISNUMBER(SEARCH("amort",$B478))+ISNUMBER(SEARCH("installment",$B478))+ISNUMBER(SEARCH("instalment",$B478))&gt;0,"Financing",IF(ISNUMBER(SEARCH("draw",$B478))+ISNUMBER(SEARCH("owner",$B478))+ISNUMBER(SEARCH("asset",$B478))+ISNUMBER(SEARCH("capital",$B478))&gt;0,"Other",IF(ISNUMBER(SEARCH("fuel",$B478))+ISNUMBER(SEARCH("diesel",$B478))+ISNUMBER(SEARCH("krudo",$B478))+ISNUMBER(SEARCH("gasolina",$B478))+ISNUMBER(SEARCH("toll",$B478))+ISNUMBER(SEARCH("parking",$B478))+ISNUMBER(SEARCH("repair",$B478))+ISNUMBER(SEARCH("maintenance",$B478))+ISNUMBER(SEARCH("tire",$B478))+ISNUMBER(SEARCH("tyre",$B478))+ISNUMBER(SEARCH("battery",$B478))+ISNUMBER(SEARCH("oil",$B478))+ISNUMBER(SEARCH("filter",$B478))+ISNUMBER(SEARCH("spare",$B478))+ISNUMBER(SEARCH("insurance",$B478))+ISNUMBER(SEARCH("lto",$B478))+ISNUMBER(SEARCH("registration",$B478))+ISNUMBER(SEARCH("emission",$B478))+ISNUMBER(SEARCH("wash",$B478))+ISNUMBER(SEARCH("weigh",$B478))+ISNUMBER(SEARCH("tarp",$B478))&gt;0,"Vehicle",IF(ISNUMBER(SEARCH("rent",$B478))+ISNUMBER(SEARCH("upa",$B478))+ISNUMBER(SEARCH("salary",$B478))+ISNUMBER(SEARCH("sweldo",$B478))+ISNUMBER(SEARCH("wage",$B478))+ISNUMBER(SEARCH("electric",$B478))+ISNUMBER(SEARCH("kuryente",$B478))+ISNUMBER(SEARCH("water",$B478))+ISNUMBER(SEARCH("tubig",$B478))+ISNUMBER(SEARCH("internet",$B478))+ISNUMBER(SEARCH("pldt",$B478))+ISNUMBER(SEARCH("meralco",$B478))+ISNUMBER(SEARCH("supplies",$B478))+ISNUMBER(SEARCH("office",$B478))+ISNUMBER(SEARCH("professional",$B478))+ISNUMBER(SEARCH("accountant",$B478))+ISNUMBER(SEARCH("lawyer",$B478))+ISNUMBER(SEARCH("broker",$B478))+ISNUMBER(SEARCH("bank",$B478))+ISNUMBER(SEARCH("charge",$B478))+ISNUMBER(SEARCH("permit",$B478))+ISNUMBER(SEARCH("bir",$B478))+ISNUMBER(SEARCH("ltfrb",$B478))+ISNUMBER(SEARCH("misc",$B478))+ISNUMBER(SEARCH("fee",$B478))&gt;0,"Overhead","Overhead")))))))</f>
        <v/>
      </c>
      <c r="J478">
        <f>IF($A478="","",DATE(YEAR($A478),MONTH($A478),1))</f>
        <v/>
      </c>
      <c r="K478">
        <f>IF($B478="","",IF(COUNTIF(Setup!$A$99:$A$128,$B478)&gt;0,0,1))</f>
        <v/>
      </c>
      <c r="L478">
        <f>IF($B478="","",IF(ISNUMBER(SEARCH("advance",$B478)),"ADV",IF(OR(ISNUMBER(SEARCH("payout",$B478)),ISNUMBER(SEARCH("pay out",$B478)),ISNUMBER(SEARCH("release",$B478))),"PAY","")))</f>
        <v/>
      </c>
      <c r="M478">
        <f>IF($B478="","",IF(ISNUMBER(SEARCH("bulk",$B478)),0,IF(ISNUMBER(SEARCH("fuel",$B478))+ISNUMBER(SEARCH("diesel",$B478))+ISNUMBER(SEARCH("krudo",$B478))+ISNUMBER(SEARCH("gasolina",$B478))&gt;0,1,0)))</f>
        <v/>
      </c>
      <c r="N478">
        <f>IF($B478="","",IF(ISNUMBER(SEARCH("fuel",$B478))+ISNUMBER(SEARCH("diesel",$B478))+ISNUMBER(SEARCH("krudo",$B478))+ISNUMBER(SEARCH("gasolina",$B478))&gt;0,1,0))</f>
        <v/>
      </c>
    </row>
    <row r="479">
      <c r="A479" s="86" t="n"/>
      <c r="B479" s="88" t="n"/>
      <c r="C479" s="88" t="n"/>
      <c r="D479" s="87" t="n"/>
      <c r="E479" s="88" t="n"/>
      <c r="F479" s="92" t="n"/>
      <c r="G479" s="87" t="n"/>
      <c r="H479" s="87" t="n"/>
      <c r="I479" s="101">
        <f>IF($B479="","",IF(COUNTIF(Setup!$A$99:$A$128,$B479)&gt;0,IF(INDEX(Setup!$B$99:$B$128,MATCH($B479,Setup!$A$99:$A$128,0))="","Overhead",INDEX(Setup!$B$99:$B$128,MATCH($B479,Setup!$A$99:$A$128,0))),IF(ISNUMBER(SEARCH("advance",$B479))+ISNUMBER(SEARCH("payout",$B479))+ISNUMBER(SEARCH("pay out",$B479))+ISNUMBER(SEARCH("reimburs",$B479))&gt;0,"Transfer",IF(ISNUMBER(SEARCH("loan",$B479))+ISNUMBER(SEARCH("amort",$B479))+ISNUMBER(SEARCH("installment",$B479))+ISNUMBER(SEARCH("instalment",$B479))&gt;0,"Financing",IF(ISNUMBER(SEARCH("draw",$B479))+ISNUMBER(SEARCH("owner",$B479))+ISNUMBER(SEARCH("asset",$B479))+ISNUMBER(SEARCH("capital",$B479))&gt;0,"Other",IF(ISNUMBER(SEARCH("fuel",$B479))+ISNUMBER(SEARCH("diesel",$B479))+ISNUMBER(SEARCH("krudo",$B479))+ISNUMBER(SEARCH("gasolina",$B479))+ISNUMBER(SEARCH("toll",$B479))+ISNUMBER(SEARCH("parking",$B479))+ISNUMBER(SEARCH("repair",$B479))+ISNUMBER(SEARCH("maintenance",$B479))+ISNUMBER(SEARCH("tire",$B479))+ISNUMBER(SEARCH("tyre",$B479))+ISNUMBER(SEARCH("battery",$B479))+ISNUMBER(SEARCH("oil",$B479))+ISNUMBER(SEARCH("filter",$B479))+ISNUMBER(SEARCH("spare",$B479))+ISNUMBER(SEARCH("insurance",$B479))+ISNUMBER(SEARCH("lto",$B479))+ISNUMBER(SEARCH("registration",$B479))+ISNUMBER(SEARCH("emission",$B479))+ISNUMBER(SEARCH("wash",$B479))+ISNUMBER(SEARCH("weigh",$B479))+ISNUMBER(SEARCH("tarp",$B479))&gt;0,"Vehicle",IF(ISNUMBER(SEARCH("rent",$B479))+ISNUMBER(SEARCH("upa",$B479))+ISNUMBER(SEARCH("salary",$B479))+ISNUMBER(SEARCH("sweldo",$B479))+ISNUMBER(SEARCH("wage",$B479))+ISNUMBER(SEARCH("electric",$B479))+ISNUMBER(SEARCH("kuryente",$B479))+ISNUMBER(SEARCH("water",$B479))+ISNUMBER(SEARCH("tubig",$B479))+ISNUMBER(SEARCH("internet",$B479))+ISNUMBER(SEARCH("pldt",$B479))+ISNUMBER(SEARCH("meralco",$B479))+ISNUMBER(SEARCH("supplies",$B479))+ISNUMBER(SEARCH("office",$B479))+ISNUMBER(SEARCH("professional",$B479))+ISNUMBER(SEARCH("accountant",$B479))+ISNUMBER(SEARCH("lawyer",$B479))+ISNUMBER(SEARCH("broker",$B479))+ISNUMBER(SEARCH("bank",$B479))+ISNUMBER(SEARCH("charge",$B479))+ISNUMBER(SEARCH("permit",$B479))+ISNUMBER(SEARCH("bir",$B479))+ISNUMBER(SEARCH("ltfrb",$B479))+ISNUMBER(SEARCH("misc",$B479))+ISNUMBER(SEARCH("fee",$B479))&gt;0,"Overhead","Overhead")))))))</f>
        <v/>
      </c>
      <c r="J479">
        <f>IF($A479="","",DATE(YEAR($A479),MONTH($A479),1))</f>
        <v/>
      </c>
      <c r="K479">
        <f>IF($B479="","",IF(COUNTIF(Setup!$A$99:$A$128,$B479)&gt;0,0,1))</f>
        <v/>
      </c>
      <c r="L479">
        <f>IF($B479="","",IF(ISNUMBER(SEARCH("advance",$B479)),"ADV",IF(OR(ISNUMBER(SEARCH("payout",$B479)),ISNUMBER(SEARCH("pay out",$B479)),ISNUMBER(SEARCH("release",$B479))),"PAY","")))</f>
        <v/>
      </c>
      <c r="M479">
        <f>IF($B479="","",IF(ISNUMBER(SEARCH("bulk",$B479)),0,IF(ISNUMBER(SEARCH("fuel",$B479))+ISNUMBER(SEARCH("diesel",$B479))+ISNUMBER(SEARCH("krudo",$B479))+ISNUMBER(SEARCH("gasolina",$B479))&gt;0,1,0)))</f>
        <v/>
      </c>
      <c r="N479">
        <f>IF($B479="","",IF(ISNUMBER(SEARCH("fuel",$B479))+ISNUMBER(SEARCH("diesel",$B479))+ISNUMBER(SEARCH("krudo",$B479))+ISNUMBER(SEARCH("gasolina",$B479))&gt;0,1,0))</f>
        <v/>
      </c>
    </row>
    <row r="480">
      <c r="A480" s="94" t="n"/>
      <c r="B480" s="96" t="n"/>
      <c r="C480" s="96" t="n"/>
      <c r="D480" s="95" t="n"/>
      <c r="E480" s="96" t="n"/>
      <c r="F480" s="99" t="n"/>
      <c r="G480" s="95" t="n"/>
      <c r="H480" s="95" t="n"/>
      <c r="I480" s="101">
        <f>IF($B480="","",IF(COUNTIF(Setup!$A$99:$A$128,$B480)&gt;0,IF(INDEX(Setup!$B$99:$B$128,MATCH($B480,Setup!$A$99:$A$128,0))="","Overhead",INDEX(Setup!$B$99:$B$128,MATCH($B480,Setup!$A$99:$A$128,0))),IF(ISNUMBER(SEARCH("advance",$B480))+ISNUMBER(SEARCH("payout",$B480))+ISNUMBER(SEARCH("pay out",$B480))+ISNUMBER(SEARCH("reimburs",$B480))&gt;0,"Transfer",IF(ISNUMBER(SEARCH("loan",$B480))+ISNUMBER(SEARCH("amort",$B480))+ISNUMBER(SEARCH("installment",$B480))+ISNUMBER(SEARCH("instalment",$B480))&gt;0,"Financing",IF(ISNUMBER(SEARCH("draw",$B480))+ISNUMBER(SEARCH("owner",$B480))+ISNUMBER(SEARCH("asset",$B480))+ISNUMBER(SEARCH("capital",$B480))&gt;0,"Other",IF(ISNUMBER(SEARCH("fuel",$B480))+ISNUMBER(SEARCH("diesel",$B480))+ISNUMBER(SEARCH("krudo",$B480))+ISNUMBER(SEARCH("gasolina",$B480))+ISNUMBER(SEARCH("toll",$B480))+ISNUMBER(SEARCH("parking",$B480))+ISNUMBER(SEARCH("repair",$B480))+ISNUMBER(SEARCH("maintenance",$B480))+ISNUMBER(SEARCH("tire",$B480))+ISNUMBER(SEARCH("tyre",$B480))+ISNUMBER(SEARCH("battery",$B480))+ISNUMBER(SEARCH("oil",$B480))+ISNUMBER(SEARCH("filter",$B480))+ISNUMBER(SEARCH("spare",$B480))+ISNUMBER(SEARCH("insurance",$B480))+ISNUMBER(SEARCH("lto",$B480))+ISNUMBER(SEARCH("registration",$B480))+ISNUMBER(SEARCH("emission",$B480))+ISNUMBER(SEARCH("wash",$B480))+ISNUMBER(SEARCH("weigh",$B480))+ISNUMBER(SEARCH("tarp",$B480))&gt;0,"Vehicle",IF(ISNUMBER(SEARCH("rent",$B480))+ISNUMBER(SEARCH("upa",$B480))+ISNUMBER(SEARCH("salary",$B480))+ISNUMBER(SEARCH("sweldo",$B480))+ISNUMBER(SEARCH("wage",$B480))+ISNUMBER(SEARCH("electric",$B480))+ISNUMBER(SEARCH("kuryente",$B480))+ISNUMBER(SEARCH("water",$B480))+ISNUMBER(SEARCH("tubig",$B480))+ISNUMBER(SEARCH("internet",$B480))+ISNUMBER(SEARCH("pldt",$B480))+ISNUMBER(SEARCH("meralco",$B480))+ISNUMBER(SEARCH("supplies",$B480))+ISNUMBER(SEARCH("office",$B480))+ISNUMBER(SEARCH("professional",$B480))+ISNUMBER(SEARCH("accountant",$B480))+ISNUMBER(SEARCH("lawyer",$B480))+ISNUMBER(SEARCH("broker",$B480))+ISNUMBER(SEARCH("bank",$B480))+ISNUMBER(SEARCH("charge",$B480))+ISNUMBER(SEARCH("permit",$B480))+ISNUMBER(SEARCH("bir",$B480))+ISNUMBER(SEARCH("ltfrb",$B480))+ISNUMBER(SEARCH("misc",$B480))+ISNUMBER(SEARCH("fee",$B480))&gt;0,"Overhead","Overhead")))))))</f>
        <v/>
      </c>
      <c r="J480">
        <f>IF($A480="","",DATE(YEAR($A480),MONTH($A480),1))</f>
        <v/>
      </c>
      <c r="K480">
        <f>IF($B480="","",IF(COUNTIF(Setup!$A$99:$A$128,$B480)&gt;0,0,1))</f>
        <v/>
      </c>
      <c r="L480">
        <f>IF($B480="","",IF(ISNUMBER(SEARCH("advance",$B480)),"ADV",IF(OR(ISNUMBER(SEARCH("payout",$B480)),ISNUMBER(SEARCH("pay out",$B480)),ISNUMBER(SEARCH("release",$B480))),"PAY","")))</f>
        <v/>
      </c>
      <c r="M480">
        <f>IF($B480="","",IF(ISNUMBER(SEARCH("bulk",$B480)),0,IF(ISNUMBER(SEARCH("fuel",$B480))+ISNUMBER(SEARCH("diesel",$B480))+ISNUMBER(SEARCH("krudo",$B480))+ISNUMBER(SEARCH("gasolina",$B480))&gt;0,1,0)))</f>
        <v/>
      </c>
      <c r="N480">
        <f>IF($B480="","",IF(ISNUMBER(SEARCH("fuel",$B480))+ISNUMBER(SEARCH("diesel",$B480))+ISNUMBER(SEARCH("krudo",$B480))+ISNUMBER(SEARCH("gasolina",$B480))&gt;0,1,0))</f>
        <v/>
      </c>
    </row>
    <row r="481">
      <c r="A481" s="86" t="n"/>
      <c r="B481" s="88" t="n"/>
      <c r="C481" s="88" t="n"/>
      <c r="D481" s="87" t="n"/>
      <c r="E481" s="88" t="n"/>
      <c r="F481" s="92" t="n"/>
      <c r="G481" s="87" t="n"/>
      <c r="H481" s="87" t="n"/>
      <c r="I481" s="101">
        <f>IF($B481="","",IF(COUNTIF(Setup!$A$99:$A$128,$B481)&gt;0,IF(INDEX(Setup!$B$99:$B$128,MATCH($B481,Setup!$A$99:$A$128,0))="","Overhead",INDEX(Setup!$B$99:$B$128,MATCH($B481,Setup!$A$99:$A$128,0))),IF(ISNUMBER(SEARCH("advance",$B481))+ISNUMBER(SEARCH("payout",$B481))+ISNUMBER(SEARCH("pay out",$B481))+ISNUMBER(SEARCH("reimburs",$B481))&gt;0,"Transfer",IF(ISNUMBER(SEARCH("loan",$B481))+ISNUMBER(SEARCH("amort",$B481))+ISNUMBER(SEARCH("installment",$B481))+ISNUMBER(SEARCH("instalment",$B481))&gt;0,"Financing",IF(ISNUMBER(SEARCH("draw",$B481))+ISNUMBER(SEARCH("owner",$B481))+ISNUMBER(SEARCH("asset",$B481))+ISNUMBER(SEARCH("capital",$B481))&gt;0,"Other",IF(ISNUMBER(SEARCH("fuel",$B481))+ISNUMBER(SEARCH("diesel",$B481))+ISNUMBER(SEARCH("krudo",$B481))+ISNUMBER(SEARCH("gasolina",$B481))+ISNUMBER(SEARCH("toll",$B481))+ISNUMBER(SEARCH("parking",$B481))+ISNUMBER(SEARCH("repair",$B481))+ISNUMBER(SEARCH("maintenance",$B481))+ISNUMBER(SEARCH("tire",$B481))+ISNUMBER(SEARCH("tyre",$B481))+ISNUMBER(SEARCH("battery",$B481))+ISNUMBER(SEARCH("oil",$B481))+ISNUMBER(SEARCH("filter",$B481))+ISNUMBER(SEARCH("spare",$B481))+ISNUMBER(SEARCH("insurance",$B481))+ISNUMBER(SEARCH("lto",$B481))+ISNUMBER(SEARCH("registration",$B481))+ISNUMBER(SEARCH("emission",$B481))+ISNUMBER(SEARCH("wash",$B481))+ISNUMBER(SEARCH("weigh",$B481))+ISNUMBER(SEARCH("tarp",$B481))&gt;0,"Vehicle",IF(ISNUMBER(SEARCH("rent",$B481))+ISNUMBER(SEARCH("upa",$B481))+ISNUMBER(SEARCH("salary",$B481))+ISNUMBER(SEARCH("sweldo",$B481))+ISNUMBER(SEARCH("wage",$B481))+ISNUMBER(SEARCH("electric",$B481))+ISNUMBER(SEARCH("kuryente",$B481))+ISNUMBER(SEARCH("water",$B481))+ISNUMBER(SEARCH("tubig",$B481))+ISNUMBER(SEARCH("internet",$B481))+ISNUMBER(SEARCH("pldt",$B481))+ISNUMBER(SEARCH("meralco",$B481))+ISNUMBER(SEARCH("supplies",$B481))+ISNUMBER(SEARCH("office",$B481))+ISNUMBER(SEARCH("professional",$B481))+ISNUMBER(SEARCH("accountant",$B481))+ISNUMBER(SEARCH("lawyer",$B481))+ISNUMBER(SEARCH("broker",$B481))+ISNUMBER(SEARCH("bank",$B481))+ISNUMBER(SEARCH("charge",$B481))+ISNUMBER(SEARCH("permit",$B481))+ISNUMBER(SEARCH("bir",$B481))+ISNUMBER(SEARCH("ltfrb",$B481))+ISNUMBER(SEARCH("misc",$B481))+ISNUMBER(SEARCH("fee",$B481))&gt;0,"Overhead","Overhead")))))))</f>
        <v/>
      </c>
      <c r="J481">
        <f>IF($A481="","",DATE(YEAR($A481),MONTH($A481),1))</f>
        <v/>
      </c>
      <c r="K481">
        <f>IF($B481="","",IF(COUNTIF(Setup!$A$99:$A$128,$B481)&gt;0,0,1))</f>
        <v/>
      </c>
      <c r="L481">
        <f>IF($B481="","",IF(ISNUMBER(SEARCH("advance",$B481)),"ADV",IF(OR(ISNUMBER(SEARCH("payout",$B481)),ISNUMBER(SEARCH("pay out",$B481)),ISNUMBER(SEARCH("release",$B481))),"PAY","")))</f>
        <v/>
      </c>
      <c r="M481">
        <f>IF($B481="","",IF(ISNUMBER(SEARCH("bulk",$B481)),0,IF(ISNUMBER(SEARCH("fuel",$B481))+ISNUMBER(SEARCH("diesel",$B481))+ISNUMBER(SEARCH("krudo",$B481))+ISNUMBER(SEARCH("gasolina",$B481))&gt;0,1,0)))</f>
        <v/>
      </c>
      <c r="N481">
        <f>IF($B481="","",IF(ISNUMBER(SEARCH("fuel",$B481))+ISNUMBER(SEARCH("diesel",$B481))+ISNUMBER(SEARCH("krudo",$B481))+ISNUMBER(SEARCH("gasolina",$B481))&gt;0,1,0))</f>
        <v/>
      </c>
    </row>
    <row r="482">
      <c r="A482" s="94" t="n"/>
      <c r="B482" s="96" t="n"/>
      <c r="C482" s="96" t="n"/>
      <c r="D482" s="95" t="n"/>
      <c r="E482" s="96" t="n"/>
      <c r="F482" s="99" t="n"/>
      <c r="G482" s="95" t="n"/>
      <c r="H482" s="95" t="n"/>
      <c r="I482" s="101">
        <f>IF($B482="","",IF(COUNTIF(Setup!$A$99:$A$128,$B482)&gt;0,IF(INDEX(Setup!$B$99:$B$128,MATCH($B482,Setup!$A$99:$A$128,0))="","Overhead",INDEX(Setup!$B$99:$B$128,MATCH($B482,Setup!$A$99:$A$128,0))),IF(ISNUMBER(SEARCH("advance",$B482))+ISNUMBER(SEARCH("payout",$B482))+ISNUMBER(SEARCH("pay out",$B482))+ISNUMBER(SEARCH("reimburs",$B482))&gt;0,"Transfer",IF(ISNUMBER(SEARCH("loan",$B482))+ISNUMBER(SEARCH("amort",$B482))+ISNUMBER(SEARCH("installment",$B482))+ISNUMBER(SEARCH("instalment",$B482))&gt;0,"Financing",IF(ISNUMBER(SEARCH("draw",$B482))+ISNUMBER(SEARCH("owner",$B482))+ISNUMBER(SEARCH("asset",$B482))+ISNUMBER(SEARCH("capital",$B482))&gt;0,"Other",IF(ISNUMBER(SEARCH("fuel",$B482))+ISNUMBER(SEARCH("diesel",$B482))+ISNUMBER(SEARCH("krudo",$B482))+ISNUMBER(SEARCH("gasolina",$B482))+ISNUMBER(SEARCH("toll",$B482))+ISNUMBER(SEARCH("parking",$B482))+ISNUMBER(SEARCH("repair",$B482))+ISNUMBER(SEARCH("maintenance",$B482))+ISNUMBER(SEARCH("tire",$B482))+ISNUMBER(SEARCH("tyre",$B482))+ISNUMBER(SEARCH("battery",$B482))+ISNUMBER(SEARCH("oil",$B482))+ISNUMBER(SEARCH("filter",$B482))+ISNUMBER(SEARCH("spare",$B482))+ISNUMBER(SEARCH("insurance",$B482))+ISNUMBER(SEARCH("lto",$B482))+ISNUMBER(SEARCH("registration",$B482))+ISNUMBER(SEARCH("emission",$B482))+ISNUMBER(SEARCH("wash",$B482))+ISNUMBER(SEARCH("weigh",$B482))+ISNUMBER(SEARCH("tarp",$B482))&gt;0,"Vehicle",IF(ISNUMBER(SEARCH("rent",$B482))+ISNUMBER(SEARCH("upa",$B482))+ISNUMBER(SEARCH("salary",$B482))+ISNUMBER(SEARCH("sweldo",$B482))+ISNUMBER(SEARCH("wage",$B482))+ISNUMBER(SEARCH("electric",$B482))+ISNUMBER(SEARCH("kuryente",$B482))+ISNUMBER(SEARCH("water",$B482))+ISNUMBER(SEARCH("tubig",$B482))+ISNUMBER(SEARCH("internet",$B482))+ISNUMBER(SEARCH("pldt",$B482))+ISNUMBER(SEARCH("meralco",$B482))+ISNUMBER(SEARCH("supplies",$B482))+ISNUMBER(SEARCH("office",$B482))+ISNUMBER(SEARCH("professional",$B482))+ISNUMBER(SEARCH("accountant",$B482))+ISNUMBER(SEARCH("lawyer",$B482))+ISNUMBER(SEARCH("broker",$B482))+ISNUMBER(SEARCH("bank",$B482))+ISNUMBER(SEARCH("charge",$B482))+ISNUMBER(SEARCH("permit",$B482))+ISNUMBER(SEARCH("bir",$B482))+ISNUMBER(SEARCH("ltfrb",$B482))+ISNUMBER(SEARCH("misc",$B482))+ISNUMBER(SEARCH("fee",$B482))&gt;0,"Overhead","Overhead")))))))</f>
        <v/>
      </c>
      <c r="J482">
        <f>IF($A482="","",DATE(YEAR($A482),MONTH($A482),1))</f>
        <v/>
      </c>
      <c r="K482">
        <f>IF($B482="","",IF(COUNTIF(Setup!$A$99:$A$128,$B482)&gt;0,0,1))</f>
        <v/>
      </c>
      <c r="L482">
        <f>IF($B482="","",IF(ISNUMBER(SEARCH("advance",$B482)),"ADV",IF(OR(ISNUMBER(SEARCH("payout",$B482)),ISNUMBER(SEARCH("pay out",$B482)),ISNUMBER(SEARCH("release",$B482))),"PAY","")))</f>
        <v/>
      </c>
      <c r="M482">
        <f>IF($B482="","",IF(ISNUMBER(SEARCH("bulk",$B482)),0,IF(ISNUMBER(SEARCH("fuel",$B482))+ISNUMBER(SEARCH("diesel",$B482))+ISNUMBER(SEARCH("krudo",$B482))+ISNUMBER(SEARCH("gasolina",$B482))&gt;0,1,0)))</f>
        <v/>
      </c>
      <c r="N482">
        <f>IF($B482="","",IF(ISNUMBER(SEARCH("fuel",$B482))+ISNUMBER(SEARCH("diesel",$B482))+ISNUMBER(SEARCH("krudo",$B482))+ISNUMBER(SEARCH("gasolina",$B482))&gt;0,1,0))</f>
        <v/>
      </c>
    </row>
    <row r="483">
      <c r="A483" s="86" t="n"/>
      <c r="B483" s="88" t="n"/>
      <c r="C483" s="88" t="n"/>
      <c r="D483" s="87" t="n"/>
      <c r="E483" s="88" t="n"/>
      <c r="F483" s="92" t="n"/>
      <c r="G483" s="87" t="n"/>
      <c r="H483" s="87" t="n"/>
      <c r="I483" s="101">
        <f>IF($B483="","",IF(COUNTIF(Setup!$A$99:$A$128,$B483)&gt;0,IF(INDEX(Setup!$B$99:$B$128,MATCH($B483,Setup!$A$99:$A$128,0))="","Overhead",INDEX(Setup!$B$99:$B$128,MATCH($B483,Setup!$A$99:$A$128,0))),IF(ISNUMBER(SEARCH("advance",$B483))+ISNUMBER(SEARCH("payout",$B483))+ISNUMBER(SEARCH("pay out",$B483))+ISNUMBER(SEARCH("reimburs",$B483))&gt;0,"Transfer",IF(ISNUMBER(SEARCH("loan",$B483))+ISNUMBER(SEARCH("amort",$B483))+ISNUMBER(SEARCH("installment",$B483))+ISNUMBER(SEARCH("instalment",$B483))&gt;0,"Financing",IF(ISNUMBER(SEARCH("draw",$B483))+ISNUMBER(SEARCH("owner",$B483))+ISNUMBER(SEARCH("asset",$B483))+ISNUMBER(SEARCH("capital",$B483))&gt;0,"Other",IF(ISNUMBER(SEARCH("fuel",$B483))+ISNUMBER(SEARCH("diesel",$B483))+ISNUMBER(SEARCH("krudo",$B483))+ISNUMBER(SEARCH("gasolina",$B483))+ISNUMBER(SEARCH("toll",$B483))+ISNUMBER(SEARCH("parking",$B483))+ISNUMBER(SEARCH("repair",$B483))+ISNUMBER(SEARCH("maintenance",$B483))+ISNUMBER(SEARCH("tire",$B483))+ISNUMBER(SEARCH("tyre",$B483))+ISNUMBER(SEARCH("battery",$B483))+ISNUMBER(SEARCH("oil",$B483))+ISNUMBER(SEARCH("filter",$B483))+ISNUMBER(SEARCH("spare",$B483))+ISNUMBER(SEARCH("insurance",$B483))+ISNUMBER(SEARCH("lto",$B483))+ISNUMBER(SEARCH("registration",$B483))+ISNUMBER(SEARCH("emission",$B483))+ISNUMBER(SEARCH("wash",$B483))+ISNUMBER(SEARCH("weigh",$B483))+ISNUMBER(SEARCH("tarp",$B483))&gt;0,"Vehicle",IF(ISNUMBER(SEARCH("rent",$B483))+ISNUMBER(SEARCH("upa",$B483))+ISNUMBER(SEARCH("salary",$B483))+ISNUMBER(SEARCH("sweldo",$B483))+ISNUMBER(SEARCH("wage",$B483))+ISNUMBER(SEARCH("electric",$B483))+ISNUMBER(SEARCH("kuryente",$B483))+ISNUMBER(SEARCH("water",$B483))+ISNUMBER(SEARCH("tubig",$B483))+ISNUMBER(SEARCH("internet",$B483))+ISNUMBER(SEARCH("pldt",$B483))+ISNUMBER(SEARCH("meralco",$B483))+ISNUMBER(SEARCH("supplies",$B483))+ISNUMBER(SEARCH("office",$B483))+ISNUMBER(SEARCH("professional",$B483))+ISNUMBER(SEARCH("accountant",$B483))+ISNUMBER(SEARCH("lawyer",$B483))+ISNUMBER(SEARCH("broker",$B483))+ISNUMBER(SEARCH("bank",$B483))+ISNUMBER(SEARCH("charge",$B483))+ISNUMBER(SEARCH("permit",$B483))+ISNUMBER(SEARCH("bir",$B483))+ISNUMBER(SEARCH("ltfrb",$B483))+ISNUMBER(SEARCH("misc",$B483))+ISNUMBER(SEARCH("fee",$B483))&gt;0,"Overhead","Overhead")))))))</f>
        <v/>
      </c>
      <c r="J483">
        <f>IF($A483="","",DATE(YEAR($A483),MONTH($A483),1))</f>
        <v/>
      </c>
      <c r="K483">
        <f>IF($B483="","",IF(COUNTIF(Setup!$A$99:$A$128,$B483)&gt;0,0,1))</f>
        <v/>
      </c>
      <c r="L483">
        <f>IF($B483="","",IF(ISNUMBER(SEARCH("advance",$B483)),"ADV",IF(OR(ISNUMBER(SEARCH("payout",$B483)),ISNUMBER(SEARCH("pay out",$B483)),ISNUMBER(SEARCH("release",$B483))),"PAY","")))</f>
        <v/>
      </c>
      <c r="M483">
        <f>IF($B483="","",IF(ISNUMBER(SEARCH("bulk",$B483)),0,IF(ISNUMBER(SEARCH("fuel",$B483))+ISNUMBER(SEARCH("diesel",$B483))+ISNUMBER(SEARCH("krudo",$B483))+ISNUMBER(SEARCH("gasolina",$B483))&gt;0,1,0)))</f>
        <v/>
      </c>
      <c r="N483">
        <f>IF($B483="","",IF(ISNUMBER(SEARCH("fuel",$B483))+ISNUMBER(SEARCH("diesel",$B483))+ISNUMBER(SEARCH("krudo",$B483))+ISNUMBER(SEARCH("gasolina",$B483))&gt;0,1,0))</f>
        <v/>
      </c>
    </row>
    <row r="484">
      <c r="A484" s="94" t="n"/>
      <c r="B484" s="96" t="n"/>
      <c r="C484" s="96" t="n"/>
      <c r="D484" s="95" t="n"/>
      <c r="E484" s="96" t="n"/>
      <c r="F484" s="99" t="n"/>
      <c r="G484" s="95" t="n"/>
      <c r="H484" s="95" t="n"/>
      <c r="I484" s="101">
        <f>IF($B484="","",IF(COUNTIF(Setup!$A$99:$A$128,$B484)&gt;0,IF(INDEX(Setup!$B$99:$B$128,MATCH($B484,Setup!$A$99:$A$128,0))="","Overhead",INDEX(Setup!$B$99:$B$128,MATCH($B484,Setup!$A$99:$A$128,0))),IF(ISNUMBER(SEARCH("advance",$B484))+ISNUMBER(SEARCH("payout",$B484))+ISNUMBER(SEARCH("pay out",$B484))+ISNUMBER(SEARCH("reimburs",$B484))&gt;0,"Transfer",IF(ISNUMBER(SEARCH("loan",$B484))+ISNUMBER(SEARCH("amort",$B484))+ISNUMBER(SEARCH("installment",$B484))+ISNUMBER(SEARCH("instalment",$B484))&gt;0,"Financing",IF(ISNUMBER(SEARCH("draw",$B484))+ISNUMBER(SEARCH("owner",$B484))+ISNUMBER(SEARCH("asset",$B484))+ISNUMBER(SEARCH("capital",$B484))&gt;0,"Other",IF(ISNUMBER(SEARCH("fuel",$B484))+ISNUMBER(SEARCH("diesel",$B484))+ISNUMBER(SEARCH("krudo",$B484))+ISNUMBER(SEARCH("gasolina",$B484))+ISNUMBER(SEARCH("toll",$B484))+ISNUMBER(SEARCH("parking",$B484))+ISNUMBER(SEARCH("repair",$B484))+ISNUMBER(SEARCH("maintenance",$B484))+ISNUMBER(SEARCH("tire",$B484))+ISNUMBER(SEARCH("tyre",$B484))+ISNUMBER(SEARCH("battery",$B484))+ISNUMBER(SEARCH("oil",$B484))+ISNUMBER(SEARCH("filter",$B484))+ISNUMBER(SEARCH("spare",$B484))+ISNUMBER(SEARCH("insurance",$B484))+ISNUMBER(SEARCH("lto",$B484))+ISNUMBER(SEARCH("registration",$B484))+ISNUMBER(SEARCH("emission",$B484))+ISNUMBER(SEARCH("wash",$B484))+ISNUMBER(SEARCH("weigh",$B484))+ISNUMBER(SEARCH("tarp",$B484))&gt;0,"Vehicle",IF(ISNUMBER(SEARCH("rent",$B484))+ISNUMBER(SEARCH("upa",$B484))+ISNUMBER(SEARCH("salary",$B484))+ISNUMBER(SEARCH("sweldo",$B484))+ISNUMBER(SEARCH("wage",$B484))+ISNUMBER(SEARCH("electric",$B484))+ISNUMBER(SEARCH("kuryente",$B484))+ISNUMBER(SEARCH("water",$B484))+ISNUMBER(SEARCH("tubig",$B484))+ISNUMBER(SEARCH("internet",$B484))+ISNUMBER(SEARCH("pldt",$B484))+ISNUMBER(SEARCH("meralco",$B484))+ISNUMBER(SEARCH("supplies",$B484))+ISNUMBER(SEARCH("office",$B484))+ISNUMBER(SEARCH("professional",$B484))+ISNUMBER(SEARCH("accountant",$B484))+ISNUMBER(SEARCH("lawyer",$B484))+ISNUMBER(SEARCH("broker",$B484))+ISNUMBER(SEARCH("bank",$B484))+ISNUMBER(SEARCH("charge",$B484))+ISNUMBER(SEARCH("permit",$B484))+ISNUMBER(SEARCH("bir",$B484))+ISNUMBER(SEARCH("ltfrb",$B484))+ISNUMBER(SEARCH("misc",$B484))+ISNUMBER(SEARCH("fee",$B484))&gt;0,"Overhead","Overhead")))))))</f>
        <v/>
      </c>
      <c r="J484">
        <f>IF($A484="","",DATE(YEAR($A484),MONTH($A484),1))</f>
        <v/>
      </c>
      <c r="K484">
        <f>IF($B484="","",IF(COUNTIF(Setup!$A$99:$A$128,$B484)&gt;0,0,1))</f>
        <v/>
      </c>
      <c r="L484">
        <f>IF($B484="","",IF(ISNUMBER(SEARCH("advance",$B484)),"ADV",IF(OR(ISNUMBER(SEARCH("payout",$B484)),ISNUMBER(SEARCH("pay out",$B484)),ISNUMBER(SEARCH("release",$B484))),"PAY","")))</f>
        <v/>
      </c>
      <c r="M484">
        <f>IF($B484="","",IF(ISNUMBER(SEARCH("bulk",$B484)),0,IF(ISNUMBER(SEARCH("fuel",$B484))+ISNUMBER(SEARCH("diesel",$B484))+ISNUMBER(SEARCH("krudo",$B484))+ISNUMBER(SEARCH("gasolina",$B484))&gt;0,1,0)))</f>
        <v/>
      </c>
      <c r="N484">
        <f>IF($B484="","",IF(ISNUMBER(SEARCH("fuel",$B484))+ISNUMBER(SEARCH("diesel",$B484))+ISNUMBER(SEARCH("krudo",$B484))+ISNUMBER(SEARCH("gasolina",$B484))&gt;0,1,0))</f>
        <v/>
      </c>
    </row>
    <row r="485">
      <c r="A485" s="86" t="n"/>
      <c r="B485" s="88" t="n"/>
      <c r="C485" s="88" t="n"/>
      <c r="D485" s="87" t="n"/>
      <c r="E485" s="88" t="n"/>
      <c r="F485" s="92" t="n"/>
      <c r="G485" s="87" t="n"/>
      <c r="H485" s="87" t="n"/>
      <c r="I485" s="101">
        <f>IF($B485="","",IF(COUNTIF(Setup!$A$99:$A$128,$B485)&gt;0,IF(INDEX(Setup!$B$99:$B$128,MATCH($B485,Setup!$A$99:$A$128,0))="","Overhead",INDEX(Setup!$B$99:$B$128,MATCH($B485,Setup!$A$99:$A$128,0))),IF(ISNUMBER(SEARCH("advance",$B485))+ISNUMBER(SEARCH("payout",$B485))+ISNUMBER(SEARCH("pay out",$B485))+ISNUMBER(SEARCH("reimburs",$B485))&gt;0,"Transfer",IF(ISNUMBER(SEARCH("loan",$B485))+ISNUMBER(SEARCH("amort",$B485))+ISNUMBER(SEARCH("installment",$B485))+ISNUMBER(SEARCH("instalment",$B485))&gt;0,"Financing",IF(ISNUMBER(SEARCH("draw",$B485))+ISNUMBER(SEARCH("owner",$B485))+ISNUMBER(SEARCH("asset",$B485))+ISNUMBER(SEARCH("capital",$B485))&gt;0,"Other",IF(ISNUMBER(SEARCH("fuel",$B485))+ISNUMBER(SEARCH("diesel",$B485))+ISNUMBER(SEARCH("krudo",$B485))+ISNUMBER(SEARCH("gasolina",$B485))+ISNUMBER(SEARCH("toll",$B485))+ISNUMBER(SEARCH("parking",$B485))+ISNUMBER(SEARCH("repair",$B485))+ISNUMBER(SEARCH("maintenance",$B485))+ISNUMBER(SEARCH("tire",$B485))+ISNUMBER(SEARCH("tyre",$B485))+ISNUMBER(SEARCH("battery",$B485))+ISNUMBER(SEARCH("oil",$B485))+ISNUMBER(SEARCH("filter",$B485))+ISNUMBER(SEARCH("spare",$B485))+ISNUMBER(SEARCH("insurance",$B485))+ISNUMBER(SEARCH("lto",$B485))+ISNUMBER(SEARCH("registration",$B485))+ISNUMBER(SEARCH("emission",$B485))+ISNUMBER(SEARCH("wash",$B485))+ISNUMBER(SEARCH("weigh",$B485))+ISNUMBER(SEARCH("tarp",$B485))&gt;0,"Vehicle",IF(ISNUMBER(SEARCH("rent",$B485))+ISNUMBER(SEARCH("upa",$B485))+ISNUMBER(SEARCH("salary",$B485))+ISNUMBER(SEARCH("sweldo",$B485))+ISNUMBER(SEARCH("wage",$B485))+ISNUMBER(SEARCH("electric",$B485))+ISNUMBER(SEARCH("kuryente",$B485))+ISNUMBER(SEARCH("water",$B485))+ISNUMBER(SEARCH("tubig",$B485))+ISNUMBER(SEARCH("internet",$B485))+ISNUMBER(SEARCH("pldt",$B485))+ISNUMBER(SEARCH("meralco",$B485))+ISNUMBER(SEARCH("supplies",$B485))+ISNUMBER(SEARCH("office",$B485))+ISNUMBER(SEARCH("professional",$B485))+ISNUMBER(SEARCH("accountant",$B485))+ISNUMBER(SEARCH("lawyer",$B485))+ISNUMBER(SEARCH("broker",$B485))+ISNUMBER(SEARCH("bank",$B485))+ISNUMBER(SEARCH("charge",$B485))+ISNUMBER(SEARCH("permit",$B485))+ISNUMBER(SEARCH("bir",$B485))+ISNUMBER(SEARCH("ltfrb",$B485))+ISNUMBER(SEARCH("misc",$B485))+ISNUMBER(SEARCH("fee",$B485))&gt;0,"Overhead","Overhead")))))))</f>
        <v/>
      </c>
      <c r="J485">
        <f>IF($A485="","",DATE(YEAR($A485),MONTH($A485),1))</f>
        <v/>
      </c>
      <c r="K485">
        <f>IF($B485="","",IF(COUNTIF(Setup!$A$99:$A$128,$B485)&gt;0,0,1))</f>
        <v/>
      </c>
      <c r="L485">
        <f>IF($B485="","",IF(ISNUMBER(SEARCH("advance",$B485)),"ADV",IF(OR(ISNUMBER(SEARCH("payout",$B485)),ISNUMBER(SEARCH("pay out",$B485)),ISNUMBER(SEARCH("release",$B485))),"PAY","")))</f>
        <v/>
      </c>
      <c r="M485">
        <f>IF($B485="","",IF(ISNUMBER(SEARCH("bulk",$B485)),0,IF(ISNUMBER(SEARCH("fuel",$B485))+ISNUMBER(SEARCH("diesel",$B485))+ISNUMBER(SEARCH("krudo",$B485))+ISNUMBER(SEARCH("gasolina",$B485))&gt;0,1,0)))</f>
        <v/>
      </c>
      <c r="N485">
        <f>IF($B485="","",IF(ISNUMBER(SEARCH("fuel",$B485))+ISNUMBER(SEARCH("diesel",$B485))+ISNUMBER(SEARCH("krudo",$B485))+ISNUMBER(SEARCH("gasolina",$B485))&gt;0,1,0))</f>
        <v/>
      </c>
    </row>
    <row r="486">
      <c r="A486" s="94" t="n"/>
      <c r="B486" s="96" t="n"/>
      <c r="C486" s="96" t="n"/>
      <c r="D486" s="95" t="n"/>
      <c r="E486" s="96" t="n"/>
      <c r="F486" s="99" t="n"/>
      <c r="G486" s="95" t="n"/>
      <c r="H486" s="95" t="n"/>
      <c r="I486" s="101">
        <f>IF($B486="","",IF(COUNTIF(Setup!$A$99:$A$128,$B486)&gt;0,IF(INDEX(Setup!$B$99:$B$128,MATCH($B486,Setup!$A$99:$A$128,0))="","Overhead",INDEX(Setup!$B$99:$B$128,MATCH($B486,Setup!$A$99:$A$128,0))),IF(ISNUMBER(SEARCH("advance",$B486))+ISNUMBER(SEARCH("payout",$B486))+ISNUMBER(SEARCH("pay out",$B486))+ISNUMBER(SEARCH("reimburs",$B486))&gt;0,"Transfer",IF(ISNUMBER(SEARCH("loan",$B486))+ISNUMBER(SEARCH("amort",$B486))+ISNUMBER(SEARCH("installment",$B486))+ISNUMBER(SEARCH("instalment",$B486))&gt;0,"Financing",IF(ISNUMBER(SEARCH("draw",$B486))+ISNUMBER(SEARCH("owner",$B486))+ISNUMBER(SEARCH("asset",$B486))+ISNUMBER(SEARCH("capital",$B486))&gt;0,"Other",IF(ISNUMBER(SEARCH("fuel",$B486))+ISNUMBER(SEARCH("diesel",$B486))+ISNUMBER(SEARCH("krudo",$B486))+ISNUMBER(SEARCH("gasolina",$B486))+ISNUMBER(SEARCH("toll",$B486))+ISNUMBER(SEARCH("parking",$B486))+ISNUMBER(SEARCH("repair",$B486))+ISNUMBER(SEARCH("maintenance",$B486))+ISNUMBER(SEARCH("tire",$B486))+ISNUMBER(SEARCH("tyre",$B486))+ISNUMBER(SEARCH("battery",$B486))+ISNUMBER(SEARCH("oil",$B486))+ISNUMBER(SEARCH("filter",$B486))+ISNUMBER(SEARCH("spare",$B486))+ISNUMBER(SEARCH("insurance",$B486))+ISNUMBER(SEARCH("lto",$B486))+ISNUMBER(SEARCH("registration",$B486))+ISNUMBER(SEARCH("emission",$B486))+ISNUMBER(SEARCH("wash",$B486))+ISNUMBER(SEARCH("weigh",$B486))+ISNUMBER(SEARCH("tarp",$B486))&gt;0,"Vehicle",IF(ISNUMBER(SEARCH("rent",$B486))+ISNUMBER(SEARCH("upa",$B486))+ISNUMBER(SEARCH("salary",$B486))+ISNUMBER(SEARCH("sweldo",$B486))+ISNUMBER(SEARCH("wage",$B486))+ISNUMBER(SEARCH("electric",$B486))+ISNUMBER(SEARCH("kuryente",$B486))+ISNUMBER(SEARCH("water",$B486))+ISNUMBER(SEARCH("tubig",$B486))+ISNUMBER(SEARCH("internet",$B486))+ISNUMBER(SEARCH("pldt",$B486))+ISNUMBER(SEARCH("meralco",$B486))+ISNUMBER(SEARCH("supplies",$B486))+ISNUMBER(SEARCH("office",$B486))+ISNUMBER(SEARCH("professional",$B486))+ISNUMBER(SEARCH("accountant",$B486))+ISNUMBER(SEARCH("lawyer",$B486))+ISNUMBER(SEARCH("broker",$B486))+ISNUMBER(SEARCH("bank",$B486))+ISNUMBER(SEARCH("charge",$B486))+ISNUMBER(SEARCH("permit",$B486))+ISNUMBER(SEARCH("bir",$B486))+ISNUMBER(SEARCH("ltfrb",$B486))+ISNUMBER(SEARCH("misc",$B486))+ISNUMBER(SEARCH("fee",$B486))&gt;0,"Overhead","Overhead")))))))</f>
        <v/>
      </c>
      <c r="J486">
        <f>IF($A486="","",DATE(YEAR($A486),MONTH($A486),1))</f>
        <v/>
      </c>
      <c r="K486">
        <f>IF($B486="","",IF(COUNTIF(Setup!$A$99:$A$128,$B486)&gt;0,0,1))</f>
        <v/>
      </c>
      <c r="L486">
        <f>IF($B486="","",IF(ISNUMBER(SEARCH("advance",$B486)),"ADV",IF(OR(ISNUMBER(SEARCH("payout",$B486)),ISNUMBER(SEARCH("pay out",$B486)),ISNUMBER(SEARCH("release",$B486))),"PAY","")))</f>
        <v/>
      </c>
      <c r="M486">
        <f>IF($B486="","",IF(ISNUMBER(SEARCH("bulk",$B486)),0,IF(ISNUMBER(SEARCH("fuel",$B486))+ISNUMBER(SEARCH("diesel",$B486))+ISNUMBER(SEARCH("krudo",$B486))+ISNUMBER(SEARCH("gasolina",$B486))&gt;0,1,0)))</f>
        <v/>
      </c>
      <c r="N486">
        <f>IF($B486="","",IF(ISNUMBER(SEARCH("fuel",$B486))+ISNUMBER(SEARCH("diesel",$B486))+ISNUMBER(SEARCH("krudo",$B486))+ISNUMBER(SEARCH("gasolina",$B486))&gt;0,1,0))</f>
        <v/>
      </c>
    </row>
    <row r="487">
      <c r="A487" s="86" t="n"/>
      <c r="B487" s="88" t="n"/>
      <c r="C487" s="88" t="n"/>
      <c r="D487" s="87" t="n"/>
      <c r="E487" s="88" t="n"/>
      <c r="F487" s="92" t="n"/>
      <c r="G487" s="87" t="n"/>
      <c r="H487" s="87" t="n"/>
      <c r="I487" s="101">
        <f>IF($B487="","",IF(COUNTIF(Setup!$A$99:$A$128,$B487)&gt;0,IF(INDEX(Setup!$B$99:$B$128,MATCH($B487,Setup!$A$99:$A$128,0))="","Overhead",INDEX(Setup!$B$99:$B$128,MATCH($B487,Setup!$A$99:$A$128,0))),IF(ISNUMBER(SEARCH("advance",$B487))+ISNUMBER(SEARCH("payout",$B487))+ISNUMBER(SEARCH("pay out",$B487))+ISNUMBER(SEARCH("reimburs",$B487))&gt;0,"Transfer",IF(ISNUMBER(SEARCH("loan",$B487))+ISNUMBER(SEARCH("amort",$B487))+ISNUMBER(SEARCH("installment",$B487))+ISNUMBER(SEARCH("instalment",$B487))&gt;0,"Financing",IF(ISNUMBER(SEARCH("draw",$B487))+ISNUMBER(SEARCH("owner",$B487))+ISNUMBER(SEARCH("asset",$B487))+ISNUMBER(SEARCH("capital",$B487))&gt;0,"Other",IF(ISNUMBER(SEARCH("fuel",$B487))+ISNUMBER(SEARCH("diesel",$B487))+ISNUMBER(SEARCH("krudo",$B487))+ISNUMBER(SEARCH("gasolina",$B487))+ISNUMBER(SEARCH("toll",$B487))+ISNUMBER(SEARCH("parking",$B487))+ISNUMBER(SEARCH("repair",$B487))+ISNUMBER(SEARCH("maintenance",$B487))+ISNUMBER(SEARCH("tire",$B487))+ISNUMBER(SEARCH("tyre",$B487))+ISNUMBER(SEARCH("battery",$B487))+ISNUMBER(SEARCH("oil",$B487))+ISNUMBER(SEARCH("filter",$B487))+ISNUMBER(SEARCH("spare",$B487))+ISNUMBER(SEARCH("insurance",$B487))+ISNUMBER(SEARCH("lto",$B487))+ISNUMBER(SEARCH("registration",$B487))+ISNUMBER(SEARCH("emission",$B487))+ISNUMBER(SEARCH("wash",$B487))+ISNUMBER(SEARCH("weigh",$B487))+ISNUMBER(SEARCH("tarp",$B487))&gt;0,"Vehicle",IF(ISNUMBER(SEARCH("rent",$B487))+ISNUMBER(SEARCH("upa",$B487))+ISNUMBER(SEARCH("salary",$B487))+ISNUMBER(SEARCH("sweldo",$B487))+ISNUMBER(SEARCH("wage",$B487))+ISNUMBER(SEARCH("electric",$B487))+ISNUMBER(SEARCH("kuryente",$B487))+ISNUMBER(SEARCH("water",$B487))+ISNUMBER(SEARCH("tubig",$B487))+ISNUMBER(SEARCH("internet",$B487))+ISNUMBER(SEARCH("pldt",$B487))+ISNUMBER(SEARCH("meralco",$B487))+ISNUMBER(SEARCH("supplies",$B487))+ISNUMBER(SEARCH("office",$B487))+ISNUMBER(SEARCH("professional",$B487))+ISNUMBER(SEARCH("accountant",$B487))+ISNUMBER(SEARCH("lawyer",$B487))+ISNUMBER(SEARCH("broker",$B487))+ISNUMBER(SEARCH("bank",$B487))+ISNUMBER(SEARCH("charge",$B487))+ISNUMBER(SEARCH("permit",$B487))+ISNUMBER(SEARCH("bir",$B487))+ISNUMBER(SEARCH("ltfrb",$B487))+ISNUMBER(SEARCH("misc",$B487))+ISNUMBER(SEARCH("fee",$B487))&gt;0,"Overhead","Overhead")))))))</f>
        <v/>
      </c>
      <c r="J487">
        <f>IF($A487="","",DATE(YEAR($A487),MONTH($A487),1))</f>
        <v/>
      </c>
      <c r="K487">
        <f>IF($B487="","",IF(COUNTIF(Setup!$A$99:$A$128,$B487)&gt;0,0,1))</f>
        <v/>
      </c>
      <c r="L487">
        <f>IF($B487="","",IF(ISNUMBER(SEARCH("advance",$B487)),"ADV",IF(OR(ISNUMBER(SEARCH("payout",$B487)),ISNUMBER(SEARCH("pay out",$B487)),ISNUMBER(SEARCH("release",$B487))),"PAY","")))</f>
        <v/>
      </c>
      <c r="M487">
        <f>IF($B487="","",IF(ISNUMBER(SEARCH("bulk",$B487)),0,IF(ISNUMBER(SEARCH("fuel",$B487))+ISNUMBER(SEARCH("diesel",$B487))+ISNUMBER(SEARCH("krudo",$B487))+ISNUMBER(SEARCH("gasolina",$B487))&gt;0,1,0)))</f>
        <v/>
      </c>
      <c r="N487">
        <f>IF($B487="","",IF(ISNUMBER(SEARCH("fuel",$B487))+ISNUMBER(SEARCH("diesel",$B487))+ISNUMBER(SEARCH("krudo",$B487))+ISNUMBER(SEARCH("gasolina",$B487))&gt;0,1,0))</f>
        <v/>
      </c>
    </row>
    <row r="488">
      <c r="A488" s="94" t="n"/>
      <c r="B488" s="96" t="n"/>
      <c r="C488" s="96" t="n"/>
      <c r="D488" s="95" t="n"/>
      <c r="E488" s="96" t="n"/>
      <c r="F488" s="99" t="n"/>
      <c r="G488" s="95" t="n"/>
      <c r="H488" s="95" t="n"/>
      <c r="I488" s="101">
        <f>IF($B488="","",IF(COUNTIF(Setup!$A$99:$A$128,$B488)&gt;0,IF(INDEX(Setup!$B$99:$B$128,MATCH($B488,Setup!$A$99:$A$128,0))="","Overhead",INDEX(Setup!$B$99:$B$128,MATCH($B488,Setup!$A$99:$A$128,0))),IF(ISNUMBER(SEARCH("advance",$B488))+ISNUMBER(SEARCH("payout",$B488))+ISNUMBER(SEARCH("pay out",$B488))+ISNUMBER(SEARCH("reimburs",$B488))&gt;0,"Transfer",IF(ISNUMBER(SEARCH("loan",$B488))+ISNUMBER(SEARCH("amort",$B488))+ISNUMBER(SEARCH("installment",$B488))+ISNUMBER(SEARCH("instalment",$B488))&gt;0,"Financing",IF(ISNUMBER(SEARCH("draw",$B488))+ISNUMBER(SEARCH("owner",$B488))+ISNUMBER(SEARCH("asset",$B488))+ISNUMBER(SEARCH("capital",$B488))&gt;0,"Other",IF(ISNUMBER(SEARCH("fuel",$B488))+ISNUMBER(SEARCH("diesel",$B488))+ISNUMBER(SEARCH("krudo",$B488))+ISNUMBER(SEARCH("gasolina",$B488))+ISNUMBER(SEARCH("toll",$B488))+ISNUMBER(SEARCH("parking",$B488))+ISNUMBER(SEARCH("repair",$B488))+ISNUMBER(SEARCH("maintenance",$B488))+ISNUMBER(SEARCH("tire",$B488))+ISNUMBER(SEARCH("tyre",$B488))+ISNUMBER(SEARCH("battery",$B488))+ISNUMBER(SEARCH("oil",$B488))+ISNUMBER(SEARCH("filter",$B488))+ISNUMBER(SEARCH("spare",$B488))+ISNUMBER(SEARCH("insurance",$B488))+ISNUMBER(SEARCH("lto",$B488))+ISNUMBER(SEARCH("registration",$B488))+ISNUMBER(SEARCH("emission",$B488))+ISNUMBER(SEARCH("wash",$B488))+ISNUMBER(SEARCH("weigh",$B488))+ISNUMBER(SEARCH("tarp",$B488))&gt;0,"Vehicle",IF(ISNUMBER(SEARCH("rent",$B488))+ISNUMBER(SEARCH("upa",$B488))+ISNUMBER(SEARCH("salary",$B488))+ISNUMBER(SEARCH("sweldo",$B488))+ISNUMBER(SEARCH("wage",$B488))+ISNUMBER(SEARCH("electric",$B488))+ISNUMBER(SEARCH("kuryente",$B488))+ISNUMBER(SEARCH("water",$B488))+ISNUMBER(SEARCH("tubig",$B488))+ISNUMBER(SEARCH("internet",$B488))+ISNUMBER(SEARCH("pldt",$B488))+ISNUMBER(SEARCH("meralco",$B488))+ISNUMBER(SEARCH("supplies",$B488))+ISNUMBER(SEARCH("office",$B488))+ISNUMBER(SEARCH("professional",$B488))+ISNUMBER(SEARCH("accountant",$B488))+ISNUMBER(SEARCH("lawyer",$B488))+ISNUMBER(SEARCH("broker",$B488))+ISNUMBER(SEARCH("bank",$B488))+ISNUMBER(SEARCH("charge",$B488))+ISNUMBER(SEARCH("permit",$B488))+ISNUMBER(SEARCH("bir",$B488))+ISNUMBER(SEARCH("ltfrb",$B488))+ISNUMBER(SEARCH("misc",$B488))+ISNUMBER(SEARCH("fee",$B488))&gt;0,"Overhead","Overhead")))))))</f>
        <v/>
      </c>
      <c r="J488">
        <f>IF($A488="","",DATE(YEAR($A488),MONTH($A488),1))</f>
        <v/>
      </c>
      <c r="K488">
        <f>IF($B488="","",IF(COUNTIF(Setup!$A$99:$A$128,$B488)&gt;0,0,1))</f>
        <v/>
      </c>
      <c r="L488">
        <f>IF($B488="","",IF(ISNUMBER(SEARCH("advance",$B488)),"ADV",IF(OR(ISNUMBER(SEARCH("payout",$B488)),ISNUMBER(SEARCH("pay out",$B488)),ISNUMBER(SEARCH("release",$B488))),"PAY","")))</f>
        <v/>
      </c>
      <c r="M488">
        <f>IF($B488="","",IF(ISNUMBER(SEARCH("bulk",$B488)),0,IF(ISNUMBER(SEARCH("fuel",$B488))+ISNUMBER(SEARCH("diesel",$B488))+ISNUMBER(SEARCH("krudo",$B488))+ISNUMBER(SEARCH("gasolina",$B488))&gt;0,1,0)))</f>
        <v/>
      </c>
      <c r="N488">
        <f>IF($B488="","",IF(ISNUMBER(SEARCH("fuel",$B488))+ISNUMBER(SEARCH("diesel",$B488))+ISNUMBER(SEARCH("krudo",$B488))+ISNUMBER(SEARCH("gasolina",$B488))&gt;0,1,0))</f>
        <v/>
      </c>
    </row>
    <row r="489">
      <c r="A489" s="86" t="n"/>
      <c r="B489" s="88" t="n"/>
      <c r="C489" s="88" t="n"/>
      <c r="D489" s="87" t="n"/>
      <c r="E489" s="88" t="n"/>
      <c r="F489" s="92" t="n"/>
      <c r="G489" s="87" t="n"/>
      <c r="H489" s="87" t="n"/>
      <c r="I489" s="101">
        <f>IF($B489="","",IF(COUNTIF(Setup!$A$99:$A$128,$B489)&gt;0,IF(INDEX(Setup!$B$99:$B$128,MATCH($B489,Setup!$A$99:$A$128,0))="","Overhead",INDEX(Setup!$B$99:$B$128,MATCH($B489,Setup!$A$99:$A$128,0))),IF(ISNUMBER(SEARCH("advance",$B489))+ISNUMBER(SEARCH("payout",$B489))+ISNUMBER(SEARCH("pay out",$B489))+ISNUMBER(SEARCH("reimburs",$B489))&gt;0,"Transfer",IF(ISNUMBER(SEARCH("loan",$B489))+ISNUMBER(SEARCH("amort",$B489))+ISNUMBER(SEARCH("installment",$B489))+ISNUMBER(SEARCH("instalment",$B489))&gt;0,"Financing",IF(ISNUMBER(SEARCH("draw",$B489))+ISNUMBER(SEARCH("owner",$B489))+ISNUMBER(SEARCH("asset",$B489))+ISNUMBER(SEARCH("capital",$B489))&gt;0,"Other",IF(ISNUMBER(SEARCH("fuel",$B489))+ISNUMBER(SEARCH("diesel",$B489))+ISNUMBER(SEARCH("krudo",$B489))+ISNUMBER(SEARCH("gasolina",$B489))+ISNUMBER(SEARCH("toll",$B489))+ISNUMBER(SEARCH("parking",$B489))+ISNUMBER(SEARCH("repair",$B489))+ISNUMBER(SEARCH("maintenance",$B489))+ISNUMBER(SEARCH("tire",$B489))+ISNUMBER(SEARCH("tyre",$B489))+ISNUMBER(SEARCH("battery",$B489))+ISNUMBER(SEARCH("oil",$B489))+ISNUMBER(SEARCH("filter",$B489))+ISNUMBER(SEARCH("spare",$B489))+ISNUMBER(SEARCH("insurance",$B489))+ISNUMBER(SEARCH("lto",$B489))+ISNUMBER(SEARCH("registration",$B489))+ISNUMBER(SEARCH("emission",$B489))+ISNUMBER(SEARCH("wash",$B489))+ISNUMBER(SEARCH("weigh",$B489))+ISNUMBER(SEARCH("tarp",$B489))&gt;0,"Vehicle",IF(ISNUMBER(SEARCH("rent",$B489))+ISNUMBER(SEARCH("upa",$B489))+ISNUMBER(SEARCH("salary",$B489))+ISNUMBER(SEARCH("sweldo",$B489))+ISNUMBER(SEARCH("wage",$B489))+ISNUMBER(SEARCH("electric",$B489))+ISNUMBER(SEARCH("kuryente",$B489))+ISNUMBER(SEARCH("water",$B489))+ISNUMBER(SEARCH("tubig",$B489))+ISNUMBER(SEARCH("internet",$B489))+ISNUMBER(SEARCH("pldt",$B489))+ISNUMBER(SEARCH("meralco",$B489))+ISNUMBER(SEARCH("supplies",$B489))+ISNUMBER(SEARCH("office",$B489))+ISNUMBER(SEARCH("professional",$B489))+ISNUMBER(SEARCH("accountant",$B489))+ISNUMBER(SEARCH("lawyer",$B489))+ISNUMBER(SEARCH("broker",$B489))+ISNUMBER(SEARCH("bank",$B489))+ISNUMBER(SEARCH("charge",$B489))+ISNUMBER(SEARCH("permit",$B489))+ISNUMBER(SEARCH("bir",$B489))+ISNUMBER(SEARCH("ltfrb",$B489))+ISNUMBER(SEARCH("misc",$B489))+ISNUMBER(SEARCH("fee",$B489))&gt;0,"Overhead","Overhead")))))))</f>
        <v/>
      </c>
      <c r="J489">
        <f>IF($A489="","",DATE(YEAR($A489),MONTH($A489),1))</f>
        <v/>
      </c>
      <c r="K489">
        <f>IF($B489="","",IF(COUNTIF(Setup!$A$99:$A$128,$B489)&gt;0,0,1))</f>
        <v/>
      </c>
      <c r="L489">
        <f>IF($B489="","",IF(ISNUMBER(SEARCH("advance",$B489)),"ADV",IF(OR(ISNUMBER(SEARCH("payout",$B489)),ISNUMBER(SEARCH("pay out",$B489)),ISNUMBER(SEARCH("release",$B489))),"PAY","")))</f>
        <v/>
      </c>
      <c r="M489">
        <f>IF($B489="","",IF(ISNUMBER(SEARCH("bulk",$B489)),0,IF(ISNUMBER(SEARCH("fuel",$B489))+ISNUMBER(SEARCH("diesel",$B489))+ISNUMBER(SEARCH("krudo",$B489))+ISNUMBER(SEARCH("gasolina",$B489))&gt;0,1,0)))</f>
        <v/>
      </c>
      <c r="N489">
        <f>IF($B489="","",IF(ISNUMBER(SEARCH("fuel",$B489))+ISNUMBER(SEARCH("diesel",$B489))+ISNUMBER(SEARCH("krudo",$B489))+ISNUMBER(SEARCH("gasolina",$B489))&gt;0,1,0))</f>
        <v/>
      </c>
    </row>
    <row r="490">
      <c r="A490" s="94" t="n"/>
      <c r="B490" s="96" t="n"/>
      <c r="C490" s="96" t="n"/>
      <c r="D490" s="95" t="n"/>
      <c r="E490" s="96" t="n"/>
      <c r="F490" s="99" t="n"/>
      <c r="G490" s="95" t="n"/>
      <c r="H490" s="95" t="n"/>
      <c r="I490" s="101">
        <f>IF($B490="","",IF(COUNTIF(Setup!$A$99:$A$128,$B490)&gt;0,IF(INDEX(Setup!$B$99:$B$128,MATCH($B490,Setup!$A$99:$A$128,0))="","Overhead",INDEX(Setup!$B$99:$B$128,MATCH($B490,Setup!$A$99:$A$128,0))),IF(ISNUMBER(SEARCH("advance",$B490))+ISNUMBER(SEARCH("payout",$B490))+ISNUMBER(SEARCH("pay out",$B490))+ISNUMBER(SEARCH("reimburs",$B490))&gt;0,"Transfer",IF(ISNUMBER(SEARCH("loan",$B490))+ISNUMBER(SEARCH("amort",$B490))+ISNUMBER(SEARCH("installment",$B490))+ISNUMBER(SEARCH("instalment",$B490))&gt;0,"Financing",IF(ISNUMBER(SEARCH("draw",$B490))+ISNUMBER(SEARCH("owner",$B490))+ISNUMBER(SEARCH("asset",$B490))+ISNUMBER(SEARCH("capital",$B490))&gt;0,"Other",IF(ISNUMBER(SEARCH("fuel",$B490))+ISNUMBER(SEARCH("diesel",$B490))+ISNUMBER(SEARCH("krudo",$B490))+ISNUMBER(SEARCH("gasolina",$B490))+ISNUMBER(SEARCH("toll",$B490))+ISNUMBER(SEARCH("parking",$B490))+ISNUMBER(SEARCH("repair",$B490))+ISNUMBER(SEARCH("maintenance",$B490))+ISNUMBER(SEARCH("tire",$B490))+ISNUMBER(SEARCH("tyre",$B490))+ISNUMBER(SEARCH("battery",$B490))+ISNUMBER(SEARCH("oil",$B490))+ISNUMBER(SEARCH("filter",$B490))+ISNUMBER(SEARCH("spare",$B490))+ISNUMBER(SEARCH("insurance",$B490))+ISNUMBER(SEARCH("lto",$B490))+ISNUMBER(SEARCH("registration",$B490))+ISNUMBER(SEARCH("emission",$B490))+ISNUMBER(SEARCH("wash",$B490))+ISNUMBER(SEARCH("weigh",$B490))+ISNUMBER(SEARCH("tarp",$B490))&gt;0,"Vehicle",IF(ISNUMBER(SEARCH("rent",$B490))+ISNUMBER(SEARCH("upa",$B490))+ISNUMBER(SEARCH("salary",$B490))+ISNUMBER(SEARCH("sweldo",$B490))+ISNUMBER(SEARCH("wage",$B490))+ISNUMBER(SEARCH("electric",$B490))+ISNUMBER(SEARCH("kuryente",$B490))+ISNUMBER(SEARCH("water",$B490))+ISNUMBER(SEARCH("tubig",$B490))+ISNUMBER(SEARCH("internet",$B490))+ISNUMBER(SEARCH("pldt",$B490))+ISNUMBER(SEARCH("meralco",$B490))+ISNUMBER(SEARCH("supplies",$B490))+ISNUMBER(SEARCH("office",$B490))+ISNUMBER(SEARCH("professional",$B490))+ISNUMBER(SEARCH("accountant",$B490))+ISNUMBER(SEARCH("lawyer",$B490))+ISNUMBER(SEARCH("broker",$B490))+ISNUMBER(SEARCH("bank",$B490))+ISNUMBER(SEARCH("charge",$B490))+ISNUMBER(SEARCH("permit",$B490))+ISNUMBER(SEARCH("bir",$B490))+ISNUMBER(SEARCH("ltfrb",$B490))+ISNUMBER(SEARCH("misc",$B490))+ISNUMBER(SEARCH("fee",$B490))&gt;0,"Overhead","Overhead")))))))</f>
        <v/>
      </c>
      <c r="J490">
        <f>IF($A490="","",DATE(YEAR($A490),MONTH($A490),1))</f>
        <v/>
      </c>
      <c r="K490">
        <f>IF($B490="","",IF(COUNTIF(Setup!$A$99:$A$128,$B490)&gt;0,0,1))</f>
        <v/>
      </c>
      <c r="L490">
        <f>IF($B490="","",IF(ISNUMBER(SEARCH("advance",$B490)),"ADV",IF(OR(ISNUMBER(SEARCH("payout",$B490)),ISNUMBER(SEARCH("pay out",$B490)),ISNUMBER(SEARCH("release",$B490))),"PAY","")))</f>
        <v/>
      </c>
      <c r="M490">
        <f>IF($B490="","",IF(ISNUMBER(SEARCH("bulk",$B490)),0,IF(ISNUMBER(SEARCH("fuel",$B490))+ISNUMBER(SEARCH("diesel",$B490))+ISNUMBER(SEARCH("krudo",$B490))+ISNUMBER(SEARCH("gasolina",$B490))&gt;0,1,0)))</f>
        <v/>
      </c>
      <c r="N490">
        <f>IF($B490="","",IF(ISNUMBER(SEARCH("fuel",$B490))+ISNUMBER(SEARCH("diesel",$B490))+ISNUMBER(SEARCH("krudo",$B490))+ISNUMBER(SEARCH("gasolina",$B490))&gt;0,1,0))</f>
        <v/>
      </c>
    </row>
    <row r="491">
      <c r="A491" s="86" t="n"/>
      <c r="B491" s="88" t="n"/>
      <c r="C491" s="88" t="n"/>
      <c r="D491" s="87" t="n"/>
      <c r="E491" s="88" t="n"/>
      <c r="F491" s="92" t="n"/>
      <c r="G491" s="87" t="n"/>
      <c r="H491" s="87" t="n"/>
      <c r="I491" s="101">
        <f>IF($B491="","",IF(COUNTIF(Setup!$A$99:$A$128,$B491)&gt;0,IF(INDEX(Setup!$B$99:$B$128,MATCH($B491,Setup!$A$99:$A$128,0))="","Overhead",INDEX(Setup!$B$99:$B$128,MATCH($B491,Setup!$A$99:$A$128,0))),IF(ISNUMBER(SEARCH("advance",$B491))+ISNUMBER(SEARCH("payout",$B491))+ISNUMBER(SEARCH("pay out",$B491))+ISNUMBER(SEARCH("reimburs",$B491))&gt;0,"Transfer",IF(ISNUMBER(SEARCH("loan",$B491))+ISNUMBER(SEARCH("amort",$B491))+ISNUMBER(SEARCH("installment",$B491))+ISNUMBER(SEARCH("instalment",$B491))&gt;0,"Financing",IF(ISNUMBER(SEARCH("draw",$B491))+ISNUMBER(SEARCH("owner",$B491))+ISNUMBER(SEARCH("asset",$B491))+ISNUMBER(SEARCH("capital",$B491))&gt;0,"Other",IF(ISNUMBER(SEARCH("fuel",$B491))+ISNUMBER(SEARCH("diesel",$B491))+ISNUMBER(SEARCH("krudo",$B491))+ISNUMBER(SEARCH("gasolina",$B491))+ISNUMBER(SEARCH("toll",$B491))+ISNUMBER(SEARCH("parking",$B491))+ISNUMBER(SEARCH("repair",$B491))+ISNUMBER(SEARCH("maintenance",$B491))+ISNUMBER(SEARCH("tire",$B491))+ISNUMBER(SEARCH("tyre",$B491))+ISNUMBER(SEARCH("battery",$B491))+ISNUMBER(SEARCH("oil",$B491))+ISNUMBER(SEARCH("filter",$B491))+ISNUMBER(SEARCH("spare",$B491))+ISNUMBER(SEARCH("insurance",$B491))+ISNUMBER(SEARCH("lto",$B491))+ISNUMBER(SEARCH("registration",$B491))+ISNUMBER(SEARCH("emission",$B491))+ISNUMBER(SEARCH("wash",$B491))+ISNUMBER(SEARCH("weigh",$B491))+ISNUMBER(SEARCH("tarp",$B491))&gt;0,"Vehicle",IF(ISNUMBER(SEARCH("rent",$B491))+ISNUMBER(SEARCH("upa",$B491))+ISNUMBER(SEARCH("salary",$B491))+ISNUMBER(SEARCH("sweldo",$B491))+ISNUMBER(SEARCH("wage",$B491))+ISNUMBER(SEARCH("electric",$B491))+ISNUMBER(SEARCH("kuryente",$B491))+ISNUMBER(SEARCH("water",$B491))+ISNUMBER(SEARCH("tubig",$B491))+ISNUMBER(SEARCH("internet",$B491))+ISNUMBER(SEARCH("pldt",$B491))+ISNUMBER(SEARCH("meralco",$B491))+ISNUMBER(SEARCH("supplies",$B491))+ISNUMBER(SEARCH("office",$B491))+ISNUMBER(SEARCH("professional",$B491))+ISNUMBER(SEARCH("accountant",$B491))+ISNUMBER(SEARCH("lawyer",$B491))+ISNUMBER(SEARCH("broker",$B491))+ISNUMBER(SEARCH("bank",$B491))+ISNUMBER(SEARCH("charge",$B491))+ISNUMBER(SEARCH("permit",$B491))+ISNUMBER(SEARCH("bir",$B491))+ISNUMBER(SEARCH("ltfrb",$B491))+ISNUMBER(SEARCH("misc",$B491))+ISNUMBER(SEARCH("fee",$B491))&gt;0,"Overhead","Overhead")))))))</f>
        <v/>
      </c>
      <c r="J491">
        <f>IF($A491="","",DATE(YEAR($A491),MONTH($A491),1))</f>
        <v/>
      </c>
      <c r="K491">
        <f>IF($B491="","",IF(COUNTIF(Setup!$A$99:$A$128,$B491)&gt;0,0,1))</f>
        <v/>
      </c>
      <c r="L491">
        <f>IF($B491="","",IF(ISNUMBER(SEARCH("advance",$B491)),"ADV",IF(OR(ISNUMBER(SEARCH("payout",$B491)),ISNUMBER(SEARCH("pay out",$B491)),ISNUMBER(SEARCH("release",$B491))),"PAY","")))</f>
        <v/>
      </c>
      <c r="M491">
        <f>IF($B491="","",IF(ISNUMBER(SEARCH("bulk",$B491)),0,IF(ISNUMBER(SEARCH("fuel",$B491))+ISNUMBER(SEARCH("diesel",$B491))+ISNUMBER(SEARCH("krudo",$B491))+ISNUMBER(SEARCH("gasolina",$B491))&gt;0,1,0)))</f>
        <v/>
      </c>
      <c r="N491">
        <f>IF($B491="","",IF(ISNUMBER(SEARCH("fuel",$B491))+ISNUMBER(SEARCH("diesel",$B491))+ISNUMBER(SEARCH("krudo",$B491))+ISNUMBER(SEARCH("gasolina",$B491))&gt;0,1,0))</f>
        <v/>
      </c>
    </row>
    <row r="492">
      <c r="A492" s="94" t="n"/>
      <c r="B492" s="96" t="n"/>
      <c r="C492" s="96" t="n"/>
      <c r="D492" s="95" t="n"/>
      <c r="E492" s="96" t="n"/>
      <c r="F492" s="99" t="n"/>
      <c r="G492" s="95" t="n"/>
      <c r="H492" s="95" t="n"/>
      <c r="I492" s="101">
        <f>IF($B492="","",IF(COUNTIF(Setup!$A$99:$A$128,$B492)&gt;0,IF(INDEX(Setup!$B$99:$B$128,MATCH($B492,Setup!$A$99:$A$128,0))="","Overhead",INDEX(Setup!$B$99:$B$128,MATCH($B492,Setup!$A$99:$A$128,0))),IF(ISNUMBER(SEARCH("advance",$B492))+ISNUMBER(SEARCH("payout",$B492))+ISNUMBER(SEARCH("pay out",$B492))+ISNUMBER(SEARCH("reimburs",$B492))&gt;0,"Transfer",IF(ISNUMBER(SEARCH("loan",$B492))+ISNUMBER(SEARCH("amort",$B492))+ISNUMBER(SEARCH("installment",$B492))+ISNUMBER(SEARCH("instalment",$B492))&gt;0,"Financing",IF(ISNUMBER(SEARCH("draw",$B492))+ISNUMBER(SEARCH("owner",$B492))+ISNUMBER(SEARCH("asset",$B492))+ISNUMBER(SEARCH("capital",$B492))&gt;0,"Other",IF(ISNUMBER(SEARCH("fuel",$B492))+ISNUMBER(SEARCH("diesel",$B492))+ISNUMBER(SEARCH("krudo",$B492))+ISNUMBER(SEARCH("gasolina",$B492))+ISNUMBER(SEARCH("toll",$B492))+ISNUMBER(SEARCH("parking",$B492))+ISNUMBER(SEARCH("repair",$B492))+ISNUMBER(SEARCH("maintenance",$B492))+ISNUMBER(SEARCH("tire",$B492))+ISNUMBER(SEARCH("tyre",$B492))+ISNUMBER(SEARCH("battery",$B492))+ISNUMBER(SEARCH("oil",$B492))+ISNUMBER(SEARCH("filter",$B492))+ISNUMBER(SEARCH("spare",$B492))+ISNUMBER(SEARCH("insurance",$B492))+ISNUMBER(SEARCH("lto",$B492))+ISNUMBER(SEARCH("registration",$B492))+ISNUMBER(SEARCH("emission",$B492))+ISNUMBER(SEARCH("wash",$B492))+ISNUMBER(SEARCH("weigh",$B492))+ISNUMBER(SEARCH("tarp",$B492))&gt;0,"Vehicle",IF(ISNUMBER(SEARCH("rent",$B492))+ISNUMBER(SEARCH("upa",$B492))+ISNUMBER(SEARCH("salary",$B492))+ISNUMBER(SEARCH("sweldo",$B492))+ISNUMBER(SEARCH("wage",$B492))+ISNUMBER(SEARCH("electric",$B492))+ISNUMBER(SEARCH("kuryente",$B492))+ISNUMBER(SEARCH("water",$B492))+ISNUMBER(SEARCH("tubig",$B492))+ISNUMBER(SEARCH("internet",$B492))+ISNUMBER(SEARCH("pldt",$B492))+ISNUMBER(SEARCH("meralco",$B492))+ISNUMBER(SEARCH("supplies",$B492))+ISNUMBER(SEARCH("office",$B492))+ISNUMBER(SEARCH("professional",$B492))+ISNUMBER(SEARCH("accountant",$B492))+ISNUMBER(SEARCH("lawyer",$B492))+ISNUMBER(SEARCH("broker",$B492))+ISNUMBER(SEARCH("bank",$B492))+ISNUMBER(SEARCH("charge",$B492))+ISNUMBER(SEARCH("permit",$B492))+ISNUMBER(SEARCH("bir",$B492))+ISNUMBER(SEARCH("ltfrb",$B492))+ISNUMBER(SEARCH("misc",$B492))+ISNUMBER(SEARCH("fee",$B492))&gt;0,"Overhead","Overhead")))))))</f>
        <v/>
      </c>
      <c r="J492">
        <f>IF($A492="","",DATE(YEAR($A492),MONTH($A492),1))</f>
        <v/>
      </c>
      <c r="K492">
        <f>IF($B492="","",IF(COUNTIF(Setup!$A$99:$A$128,$B492)&gt;0,0,1))</f>
        <v/>
      </c>
      <c r="L492">
        <f>IF($B492="","",IF(ISNUMBER(SEARCH("advance",$B492)),"ADV",IF(OR(ISNUMBER(SEARCH("payout",$B492)),ISNUMBER(SEARCH("pay out",$B492)),ISNUMBER(SEARCH("release",$B492))),"PAY","")))</f>
        <v/>
      </c>
      <c r="M492">
        <f>IF($B492="","",IF(ISNUMBER(SEARCH("bulk",$B492)),0,IF(ISNUMBER(SEARCH("fuel",$B492))+ISNUMBER(SEARCH("diesel",$B492))+ISNUMBER(SEARCH("krudo",$B492))+ISNUMBER(SEARCH("gasolina",$B492))&gt;0,1,0)))</f>
        <v/>
      </c>
      <c r="N492">
        <f>IF($B492="","",IF(ISNUMBER(SEARCH("fuel",$B492))+ISNUMBER(SEARCH("diesel",$B492))+ISNUMBER(SEARCH("krudo",$B492))+ISNUMBER(SEARCH("gasolina",$B492))&gt;0,1,0))</f>
        <v/>
      </c>
    </row>
    <row r="493">
      <c r="A493" s="86" t="n"/>
      <c r="B493" s="88" t="n"/>
      <c r="C493" s="88" t="n"/>
      <c r="D493" s="87" t="n"/>
      <c r="E493" s="88" t="n"/>
      <c r="F493" s="92" t="n"/>
      <c r="G493" s="87" t="n"/>
      <c r="H493" s="87" t="n"/>
      <c r="I493" s="101">
        <f>IF($B493="","",IF(COUNTIF(Setup!$A$99:$A$128,$B493)&gt;0,IF(INDEX(Setup!$B$99:$B$128,MATCH($B493,Setup!$A$99:$A$128,0))="","Overhead",INDEX(Setup!$B$99:$B$128,MATCH($B493,Setup!$A$99:$A$128,0))),IF(ISNUMBER(SEARCH("advance",$B493))+ISNUMBER(SEARCH("payout",$B493))+ISNUMBER(SEARCH("pay out",$B493))+ISNUMBER(SEARCH("reimburs",$B493))&gt;0,"Transfer",IF(ISNUMBER(SEARCH("loan",$B493))+ISNUMBER(SEARCH("amort",$B493))+ISNUMBER(SEARCH("installment",$B493))+ISNUMBER(SEARCH("instalment",$B493))&gt;0,"Financing",IF(ISNUMBER(SEARCH("draw",$B493))+ISNUMBER(SEARCH("owner",$B493))+ISNUMBER(SEARCH("asset",$B493))+ISNUMBER(SEARCH("capital",$B493))&gt;0,"Other",IF(ISNUMBER(SEARCH("fuel",$B493))+ISNUMBER(SEARCH("diesel",$B493))+ISNUMBER(SEARCH("krudo",$B493))+ISNUMBER(SEARCH("gasolina",$B493))+ISNUMBER(SEARCH("toll",$B493))+ISNUMBER(SEARCH("parking",$B493))+ISNUMBER(SEARCH("repair",$B493))+ISNUMBER(SEARCH("maintenance",$B493))+ISNUMBER(SEARCH("tire",$B493))+ISNUMBER(SEARCH("tyre",$B493))+ISNUMBER(SEARCH("battery",$B493))+ISNUMBER(SEARCH("oil",$B493))+ISNUMBER(SEARCH("filter",$B493))+ISNUMBER(SEARCH("spare",$B493))+ISNUMBER(SEARCH("insurance",$B493))+ISNUMBER(SEARCH("lto",$B493))+ISNUMBER(SEARCH("registration",$B493))+ISNUMBER(SEARCH("emission",$B493))+ISNUMBER(SEARCH("wash",$B493))+ISNUMBER(SEARCH("weigh",$B493))+ISNUMBER(SEARCH("tarp",$B493))&gt;0,"Vehicle",IF(ISNUMBER(SEARCH("rent",$B493))+ISNUMBER(SEARCH("upa",$B493))+ISNUMBER(SEARCH("salary",$B493))+ISNUMBER(SEARCH("sweldo",$B493))+ISNUMBER(SEARCH("wage",$B493))+ISNUMBER(SEARCH("electric",$B493))+ISNUMBER(SEARCH("kuryente",$B493))+ISNUMBER(SEARCH("water",$B493))+ISNUMBER(SEARCH("tubig",$B493))+ISNUMBER(SEARCH("internet",$B493))+ISNUMBER(SEARCH("pldt",$B493))+ISNUMBER(SEARCH("meralco",$B493))+ISNUMBER(SEARCH("supplies",$B493))+ISNUMBER(SEARCH("office",$B493))+ISNUMBER(SEARCH("professional",$B493))+ISNUMBER(SEARCH("accountant",$B493))+ISNUMBER(SEARCH("lawyer",$B493))+ISNUMBER(SEARCH("broker",$B493))+ISNUMBER(SEARCH("bank",$B493))+ISNUMBER(SEARCH("charge",$B493))+ISNUMBER(SEARCH("permit",$B493))+ISNUMBER(SEARCH("bir",$B493))+ISNUMBER(SEARCH("ltfrb",$B493))+ISNUMBER(SEARCH("misc",$B493))+ISNUMBER(SEARCH("fee",$B493))&gt;0,"Overhead","Overhead")))))))</f>
        <v/>
      </c>
      <c r="J493">
        <f>IF($A493="","",DATE(YEAR($A493),MONTH($A493),1))</f>
        <v/>
      </c>
      <c r="K493">
        <f>IF($B493="","",IF(COUNTIF(Setup!$A$99:$A$128,$B493)&gt;0,0,1))</f>
        <v/>
      </c>
      <c r="L493">
        <f>IF($B493="","",IF(ISNUMBER(SEARCH("advance",$B493)),"ADV",IF(OR(ISNUMBER(SEARCH("payout",$B493)),ISNUMBER(SEARCH("pay out",$B493)),ISNUMBER(SEARCH("release",$B493))),"PAY","")))</f>
        <v/>
      </c>
      <c r="M493">
        <f>IF($B493="","",IF(ISNUMBER(SEARCH("bulk",$B493)),0,IF(ISNUMBER(SEARCH("fuel",$B493))+ISNUMBER(SEARCH("diesel",$B493))+ISNUMBER(SEARCH("krudo",$B493))+ISNUMBER(SEARCH("gasolina",$B493))&gt;0,1,0)))</f>
        <v/>
      </c>
      <c r="N493">
        <f>IF($B493="","",IF(ISNUMBER(SEARCH("fuel",$B493))+ISNUMBER(SEARCH("diesel",$B493))+ISNUMBER(SEARCH("krudo",$B493))+ISNUMBER(SEARCH("gasolina",$B493))&gt;0,1,0))</f>
        <v/>
      </c>
    </row>
    <row r="494">
      <c r="A494" s="94" t="n"/>
      <c r="B494" s="96" t="n"/>
      <c r="C494" s="96" t="n"/>
      <c r="D494" s="95" t="n"/>
      <c r="E494" s="96" t="n"/>
      <c r="F494" s="99" t="n"/>
      <c r="G494" s="95" t="n"/>
      <c r="H494" s="95" t="n"/>
      <c r="I494" s="101">
        <f>IF($B494="","",IF(COUNTIF(Setup!$A$99:$A$128,$B494)&gt;0,IF(INDEX(Setup!$B$99:$B$128,MATCH($B494,Setup!$A$99:$A$128,0))="","Overhead",INDEX(Setup!$B$99:$B$128,MATCH($B494,Setup!$A$99:$A$128,0))),IF(ISNUMBER(SEARCH("advance",$B494))+ISNUMBER(SEARCH("payout",$B494))+ISNUMBER(SEARCH("pay out",$B494))+ISNUMBER(SEARCH("reimburs",$B494))&gt;0,"Transfer",IF(ISNUMBER(SEARCH("loan",$B494))+ISNUMBER(SEARCH("amort",$B494))+ISNUMBER(SEARCH("installment",$B494))+ISNUMBER(SEARCH("instalment",$B494))&gt;0,"Financing",IF(ISNUMBER(SEARCH("draw",$B494))+ISNUMBER(SEARCH("owner",$B494))+ISNUMBER(SEARCH("asset",$B494))+ISNUMBER(SEARCH("capital",$B494))&gt;0,"Other",IF(ISNUMBER(SEARCH("fuel",$B494))+ISNUMBER(SEARCH("diesel",$B494))+ISNUMBER(SEARCH("krudo",$B494))+ISNUMBER(SEARCH("gasolina",$B494))+ISNUMBER(SEARCH("toll",$B494))+ISNUMBER(SEARCH("parking",$B494))+ISNUMBER(SEARCH("repair",$B494))+ISNUMBER(SEARCH("maintenance",$B494))+ISNUMBER(SEARCH("tire",$B494))+ISNUMBER(SEARCH("tyre",$B494))+ISNUMBER(SEARCH("battery",$B494))+ISNUMBER(SEARCH("oil",$B494))+ISNUMBER(SEARCH("filter",$B494))+ISNUMBER(SEARCH("spare",$B494))+ISNUMBER(SEARCH("insurance",$B494))+ISNUMBER(SEARCH("lto",$B494))+ISNUMBER(SEARCH("registration",$B494))+ISNUMBER(SEARCH("emission",$B494))+ISNUMBER(SEARCH("wash",$B494))+ISNUMBER(SEARCH("weigh",$B494))+ISNUMBER(SEARCH("tarp",$B494))&gt;0,"Vehicle",IF(ISNUMBER(SEARCH("rent",$B494))+ISNUMBER(SEARCH("upa",$B494))+ISNUMBER(SEARCH("salary",$B494))+ISNUMBER(SEARCH("sweldo",$B494))+ISNUMBER(SEARCH("wage",$B494))+ISNUMBER(SEARCH("electric",$B494))+ISNUMBER(SEARCH("kuryente",$B494))+ISNUMBER(SEARCH("water",$B494))+ISNUMBER(SEARCH("tubig",$B494))+ISNUMBER(SEARCH("internet",$B494))+ISNUMBER(SEARCH("pldt",$B494))+ISNUMBER(SEARCH("meralco",$B494))+ISNUMBER(SEARCH("supplies",$B494))+ISNUMBER(SEARCH("office",$B494))+ISNUMBER(SEARCH("professional",$B494))+ISNUMBER(SEARCH("accountant",$B494))+ISNUMBER(SEARCH("lawyer",$B494))+ISNUMBER(SEARCH("broker",$B494))+ISNUMBER(SEARCH("bank",$B494))+ISNUMBER(SEARCH("charge",$B494))+ISNUMBER(SEARCH("permit",$B494))+ISNUMBER(SEARCH("bir",$B494))+ISNUMBER(SEARCH("ltfrb",$B494))+ISNUMBER(SEARCH("misc",$B494))+ISNUMBER(SEARCH("fee",$B494))&gt;0,"Overhead","Overhead")))))))</f>
        <v/>
      </c>
      <c r="J494">
        <f>IF($A494="","",DATE(YEAR($A494),MONTH($A494),1))</f>
        <v/>
      </c>
      <c r="K494">
        <f>IF($B494="","",IF(COUNTIF(Setup!$A$99:$A$128,$B494)&gt;0,0,1))</f>
        <v/>
      </c>
      <c r="L494">
        <f>IF($B494="","",IF(ISNUMBER(SEARCH("advance",$B494)),"ADV",IF(OR(ISNUMBER(SEARCH("payout",$B494)),ISNUMBER(SEARCH("pay out",$B494)),ISNUMBER(SEARCH("release",$B494))),"PAY","")))</f>
        <v/>
      </c>
      <c r="M494">
        <f>IF($B494="","",IF(ISNUMBER(SEARCH("bulk",$B494)),0,IF(ISNUMBER(SEARCH("fuel",$B494))+ISNUMBER(SEARCH("diesel",$B494))+ISNUMBER(SEARCH("krudo",$B494))+ISNUMBER(SEARCH("gasolina",$B494))&gt;0,1,0)))</f>
        <v/>
      </c>
      <c r="N494">
        <f>IF($B494="","",IF(ISNUMBER(SEARCH("fuel",$B494))+ISNUMBER(SEARCH("diesel",$B494))+ISNUMBER(SEARCH("krudo",$B494))+ISNUMBER(SEARCH("gasolina",$B494))&gt;0,1,0))</f>
        <v/>
      </c>
    </row>
    <row r="495">
      <c r="A495" s="86" t="n"/>
      <c r="B495" s="88" t="n"/>
      <c r="C495" s="88" t="n"/>
      <c r="D495" s="87" t="n"/>
      <c r="E495" s="88" t="n"/>
      <c r="F495" s="92" t="n"/>
      <c r="G495" s="87" t="n"/>
      <c r="H495" s="87" t="n"/>
      <c r="I495" s="101">
        <f>IF($B495="","",IF(COUNTIF(Setup!$A$99:$A$128,$B495)&gt;0,IF(INDEX(Setup!$B$99:$B$128,MATCH($B495,Setup!$A$99:$A$128,0))="","Overhead",INDEX(Setup!$B$99:$B$128,MATCH($B495,Setup!$A$99:$A$128,0))),IF(ISNUMBER(SEARCH("advance",$B495))+ISNUMBER(SEARCH("payout",$B495))+ISNUMBER(SEARCH("pay out",$B495))+ISNUMBER(SEARCH("reimburs",$B495))&gt;0,"Transfer",IF(ISNUMBER(SEARCH("loan",$B495))+ISNUMBER(SEARCH("amort",$B495))+ISNUMBER(SEARCH("installment",$B495))+ISNUMBER(SEARCH("instalment",$B495))&gt;0,"Financing",IF(ISNUMBER(SEARCH("draw",$B495))+ISNUMBER(SEARCH("owner",$B495))+ISNUMBER(SEARCH("asset",$B495))+ISNUMBER(SEARCH("capital",$B495))&gt;0,"Other",IF(ISNUMBER(SEARCH("fuel",$B495))+ISNUMBER(SEARCH("diesel",$B495))+ISNUMBER(SEARCH("krudo",$B495))+ISNUMBER(SEARCH("gasolina",$B495))+ISNUMBER(SEARCH("toll",$B495))+ISNUMBER(SEARCH("parking",$B495))+ISNUMBER(SEARCH("repair",$B495))+ISNUMBER(SEARCH("maintenance",$B495))+ISNUMBER(SEARCH("tire",$B495))+ISNUMBER(SEARCH("tyre",$B495))+ISNUMBER(SEARCH("battery",$B495))+ISNUMBER(SEARCH("oil",$B495))+ISNUMBER(SEARCH("filter",$B495))+ISNUMBER(SEARCH("spare",$B495))+ISNUMBER(SEARCH("insurance",$B495))+ISNUMBER(SEARCH("lto",$B495))+ISNUMBER(SEARCH("registration",$B495))+ISNUMBER(SEARCH("emission",$B495))+ISNUMBER(SEARCH("wash",$B495))+ISNUMBER(SEARCH("weigh",$B495))+ISNUMBER(SEARCH("tarp",$B495))&gt;0,"Vehicle",IF(ISNUMBER(SEARCH("rent",$B495))+ISNUMBER(SEARCH("upa",$B495))+ISNUMBER(SEARCH("salary",$B495))+ISNUMBER(SEARCH("sweldo",$B495))+ISNUMBER(SEARCH("wage",$B495))+ISNUMBER(SEARCH("electric",$B495))+ISNUMBER(SEARCH("kuryente",$B495))+ISNUMBER(SEARCH("water",$B495))+ISNUMBER(SEARCH("tubig",$B495))+ISNUMBER(SEARCH("internet",$B495))+ISNUMBER(SEARCH("pldt",$B495))+ISNUMBER(SEARCH("meralco",$B495))+ISNUMBER(SEARCH("supplies",$B495))+ISNUMBER(SEARCH("office",$B495))+ISNUMBER(SEARCH("professional",$B495))+ISNUMBER(SEARCH("accountant",$B495))+ISNUMBER(SEARCH("lawyer",$B495))+ISNUMBER(SEARCH("broker",$B495))+ISNUMBER(SEARCH("bank",$B495))+ISNUMBER(SEARCH("charge",$B495))+ISNUMBER(SEARCH("permit",$B495))+ISNUMBER(SEARCH("bir",$B495))+ISNUMBER(SEARCH("ltfrb",$B495))+ISNUMBER(SEARCH("misc",$B495))+ISNUMBER(SEARCH("fee",$B495))&gt;0,"Overhead","Overhead")))))))</f>
        <v/>
      </c>
      <c r="J495">
        <f>IF($A495="","",DATE(YEAR($A495),MONTH($A495),1))</f>
        <v/>
      </c>
      <c r="K495">
        <f>IF($B495="","",IF(COUNTIF(Setup!$A$99:$A$128,$B495)&gt;0,0,1))</f>
        <v/>
      </c>
      <c r="L495">
        <f>IF($B495="","",IF(ISNUMBER(SEARCH("advance",$B495)),"ADV",IF(OR(ISNUMBER(SEARCH("payout",$B495)),ISNUMBER(SEARCH("pay out",$B495)),ISNUMBER(SEARCH("release",$B495))),"PAY","")))</f>
        <v/>
      </c>
      <c r="M495">
        <f>IF($B495="","",IF(ISNUMBER(SEARCH("bulk",$B495)),0,IF(ISNUMBER(SEARCH("fuel",$B495))+ISNUMBER(SEARCH("diesel",$B495))+ISNUMBER(SEARCH("krudo",$B495))+ISNUMBER(SEARCH("gasolina",$B495))&gt;0,1,0)))</f>
        <v/>
      </c>
      <c r="N495">
        <f>IF($B495="","",IF(ISNUMBER(SEARCH("fuel",$B495))+ISNUMBER(SEARCH("diesel",$B495))+ISNUMBER(SEARCH("krudo",$B495))+ISNUMBER(SEARCH("gasolina",$B495))&gt;0,1,0))</f>
        <v/>
      </c>
    </row>
    <row r="496">
      <c r="A496" s="94" t="n"/>
      <c r="B496" s="96" t="n"/>
      <c r="C496" s="96" t="n"/>
      <c r="D496" s="95" t="n"/>
      <c r="E496" s="96" t="n"/>
      <c r="F496" s="99" t="n"/>
      <c r="G496" s="95" t="n"/>
      <c r="H496" s="95" t="n"/>
      <c r="I496" s="101">
        <f>IF($B496="","",IF(COUNTIF(Setup!$A$99:$A$128,$B496)&gt;0,IF(INDEX(Setup!$B$99:$B$128,MATCH($B496,Setup!$A$99:$A$128,0))="","Overhead",INDEX(Setup!$B$99:$B$128,MATCH($B496,Setup!$A$99:$A$128,0))),IF(ISNUMBER(SEARCH("advance",$B496))+ISNUMBER(SEARCH("payout",$B496))+ISNUMBER(SEARCH("pay out",$B496))+ISNUMBER(SEARCH("reimburs",$B496))&gt;0,"Transfer",IF(ISNUMBER(SEARCH("loan",$B496))+ISNUMBER(SEARCH("amort",$B496))+ISNUMBER(SEARCH("installment",$B496))+ISNUMBER(SEARCH("instalment",$B496))&gt;0,"Financing",IF(ISNUMBER(SEARCH("draw",$B496))+ISNUMBER(SEARCH("owner",$B496))+ISNUMBER(SEARCH("asset",$B496))+ISNUMBER(SEARCH("capital",$B496))&gt;0,"Other",IF(ISNUMBER(SEARCH("fuel",$B496))+ISNUMBER(SEARCH("diesel",$B496))+ISNUMBER(SEARCH("krudo",$B496))+ISNUMBER(SEARCH("gasolina",$B496))+ISNUMBER(SEARCH("toll",$B496))+ISNUMBER(SEARCH("parking",$B496))+ISNUMBER(SEARCH("repair",$B496))+ISNUMBER(SEARCH("maintenance",$B496))+ISNUMBER(SEARCH("tire",$B496))+ISNUMBER(SEARCH("tyre",$B496))+ISNUMBER(SEARCH("battery",$B496))+ISNUMBER(SEARCH("oil",$B496))+ISNUMBER(SEARCH("filter",$B496))+ISNUMBER(SEARCH("spare",$B496))+ISNUMBER(SEARCH("insurance",$B496))+ISNUMBER(SEARCH("lto",$B496))+ISNUMBER(SEARCH("registration",$B496))+ISNUMBER(SEARCH("emission",$B496))+ISNUMBER(SEARCH("wash",$B496))+ISNUMBER(SEARCH("weigh",$B496))+ISNUMBER(SEARCH("tarp",$B496))&gt;0,"Vehicle",IF(ISNUMBER(SEARCH("rent",$B496))+ISNUMBER(SEARCH("upa",$B496))+ISNUMBER(SEARCH("salary",$B496))+ISNUMBER(SEARCH("sweldo",$B496))+ISNUMBER(SEARCH("wage",$B496))+ISNUMBER(SEARCH("electric",$B496))+ISNUMBER(SEARCH("kuryente",$B496))+ISNUMBER(SEARCH("water",$B496))+ISNUMBER(SEARCH("tubig",$B496))+ISNUMBER(SEARCH("internet",$B496))+ISNUMBER(SEARCH("pldt",$B496))+ISNUMBER(SEARCH("meralco",$B496))+ISNUMBER(SEARCH("supplies",$B496))+ISNUMBER(SEARCH("office",$B496))+ISNUMBER(SEARCH("professional",$B496))+ISNUMBER(SEARCH("accountant",$B496))+ISNUMBER(SEARCH("lawyer",$B496))+ISNUMBER(SEARCH("broker",$B496))+ISNUMBER(SEARCH("bank",$B496))+ISNUMBER(SEARCH("charge",$B496))+ISNUMBER(SEARCH("permit",$B496))+ISNUMBER(SEARCH("bir",$B496))+ISNUMBER(SEARCH("ltfrb",$B496))+ISNUMBER(SEARCH("misc",$B496))+ISNUMBER(SEARCH("fee",$B496))&gt;0,"Overhead","Overhead")))))))</f>
        <v/>
      </c>
      <c r="J496">
        <f>IF($A496="","",DATE(YEAR($A496),MONTH($A496),1))</f>
        <v/>
      </c>
      <c r="K496">
        <f>IF($B496="","",IF(COUNTIF(Setup!$A$99:$A$128,$B496)&gt;0,0,1))</f>
        <v/>
      </c>
      <c r="L496">
        <f>IF($B496="","",IF(ISNUMBER(SEARCH("advance",$B496)),"ADV",IF(OR(ISNUMBER(SEARCH("payout",$B496)),ISNUMBER(SEARCH("pay out",$B496)),ISNUMBER(SEARCH("release",$B496))),"PAY","")))</f>
        <v/>
      </c>
      <c r="M496">
        <f>IF($B496="","",IF(ISNUMBER(SEARCH("bulk",$B496)),0,IF(ISNUMBER(SEARCH("fuel",$B496))+ISNUMBER(SEARCH("diesel",$B496))+ISNUMBER(SEARCH("krudo",$B496))+ISNUMBER(SEARCH("gasolina",$B496))&gt;0,1,0)))</f>
        <v/>
      </c>
      <c r="N496">
        <f>IF($B496="","",IF(ISNUMBER(SEARCH("fuel",$B496))+ISNUMBER(SEARCH("diesel",$B496))+ISNUMBER(SEARCH("krudo",$B496))+ISNUMBER(SEARCH("gasolina",$B496))&gt;0,1,0))</f>
        <v/>
      </c>
    </row>
    <row r="497">
      <c r="A497" s="86" t="n"/>
      <c r="B497" s="88" t="n"/>
      <c r="C497" s="88" t="n"/>
      <c r="D497" s="87" t="n"/>
      <c r="E497" s="88" t="n"/>
      <c r="F497" s="92" t="n"/>
      <c r="G497" s="87" t="n"/>
      <c r="H497" s="87" t="n"/>
      <c r="I497" s="101">
        <f>IF($B497="","",IF(COUNTIF(Setup!$A$99:$A$128,$B497)&gt;0,IF(INDEX(Setup!$B$99:$B$128,MATCH($B497,Setup!$A$99:$A$128,0))="","Overhead",INDEX(Setup!$B$99:$B$128,MATCH($B497,Setup!$A$99:$A$128,0))),IF(ISNUMBER(SEARCH("advance",$B497))+ISNUMBER(SEARCH("payout",$B497))+ISNUMBER(SEARCH("pay out",$B497))+ISNUMBER(SEARCH("reimburs",$B497))&gt;0,"Transfer",IF(ISNUMBER(SEARCH("loan",$B497))+ISNUMBER(SEARCH("amort",$B497))+ISNUMBER(SEARCH("installment",$B497))+ISNUMBER(SEARCH("instalment",$B497))&gt;0,"Financing",IF(ISNUMBER(SEARCH("draw",$B497))+ISNUMBER(SEARCH("owner",$B497))+ISNUMBER(SEARCH("asset",$B497))+ISNUMBER(SEARCH("capital",$B497))&gt;0,"Other",IF(ISNUMBER(SEARCH("fuel",$B497))+ISNUMBER(SEARCH("diesel",$B497))+ISNUMBER(SEARCH("krudo",$B497))+ISNUMBER(SEARCH("gasolina",$B497))+ISNUMBER(SEARCH("toll",$B497))+ISNUMBER(SEARCH("parking",$B497))+ISNUMBER(SEARCH("repair",$B497))+ISNUMBER(SEARCH("maintenance",$B497))+ISNUMBER(SEARCH("tire",$B497))+ISNUMBER(SEARCH("tyre",$B497))+ISNUMBER(SEARCH("battery",$B497))+ISNUMBER(SEARCH("oil",$B497))+ISNUMBER(SEARCH("filter",$B497))+ISNUMBER(SEARCH("spare",$B497))+ISNUMBER(SEARCH("insurance",$B497))+ISNUMBER(SEARCH("lto",$B497))+ISNUMBER(SEARCH("registration",$B497))+ISNUMBER(SEARCH("emission",$B497))+ISNUMBER(SEARCH("wash",$B497))+ISNUMBER(SEARCH("weigh",$B497))+ISNUMBER(SEARCH("tarp",$B497))&gt;0,"Vehicle",IF(ISNUMBER(SEARCH("rent",$B497))+ISNUMBER(SEARCH("upa",$B497))+ISNUMBER(SEARCH("salary",$B497))+ISNUMBER(SEARCH("sweldo",$B497))+ISNUMBER(SEARCH("wage",$B497))+ISNUMBER(SEARCH("electric",$B497))+ISNUMBER(SEARCH("kuryente",$B497))+ISNUMBER(SEARCH("water",$B497))+ISNUMBER(SEARCH("tubig",$B497))+ISNUMBER(SEARCH("internet",$B497))+ISNUMBER(SEARCH("pldt",$B497))+ISNUMBER(SEARCH("meralco",$B497))+ISNUMBER(SEARCH("supplies",$B497))+ISNUMBER(SEARCH("office",$B497))+ISNUMBER(SEARCH("professional",$B497))+ISNUMBER(SEARCH("accountant",$B497))+ISNUMBER(SEARCH("lawyer",$B497))+ISNUMBER(SEARCH("broker",$B497))+ISNUMBER(SEARCH("bank",$B497))+ISNUMBER(SEARCH("charge",$B497))+ISNUMBER(SEARCH("permit",$B497))+ISNUMBER(SEARCH("bir",$B497))+ISNUMBER(SEARCH("ltfrb",$B497))+ISNUMBER(SEARCH("misc",$B497))+ISNUMBER(SEARCH("fee",$B497))&gt;0,"Overhead","Overhead")))))))</f>
        <v/>
      </c>
      <c r="J497">
        <f>IF($A497="","",DATE(YEAR($A497),MONTH($A497),1))</f>
        <v/>
      </c>
      <c r="K497">
        <f>IF($B497="","",IF(COUNTIF(Setup!$A$99:$A$128,$B497)&gt;0,0,1))</f>
        <v/>
      </c>
      <c r="L497">
        <f>IF($B497="","",IF(ISNUMBER(SEARCH("advance",$B497)),"ADV",IF(OR(ISNUMBER(SEARCH("payout",$B497)),ISNUMBER(SEARCH("pay out",$B497)),ISNUMBER(SEARCH("release",$B497))),"PAY","")))</f>
        <v/>
      </c>
      <c r="M497">
        <f>IF($B497="","",IF(ISNUMBER(SEARCH("bulk",$B497)),0,IF(ISNUMBER(SEARCH("fuel",$B497))+ISNUMBER(SEARCH("diesel",$B497))+ISNUMBER(SEARCH("krudo",$B497))+ISNUMBER(SEARCH("gasolina",$B497))&gt;0,1,0)))</f>
        <v/>
      </c>
      <c r="N497">
        <f>IF($B497="","",IF(ISNUMBER(SEARCH("fuel",$B497))+ISNUMBER(SEARCH("diesel",$B497))+ISNUMBER(SEARCH("krudo",$B497))+ISNUMBER(SEARCH("gasolina",$B497))&gt;0,1,0))</f>
        <v/>
      </c>
    </row>
    <row r="498">
      <c r="A498" s="94" t="n"/>
      <c r="B498" s="96" t="n"/>
      <c r="C498" s="96" t="n"/>
      <c r="D498" s="95" t="n"/>
      <c r="E498" s="96" t="n"/>
      <c r="F498" s="99" t="n"/>
      <c r="G498" s="95" t="n"/>
      <c r="H498" s="95" t="n"/>
      <c r="I498" s="101">
        <f>IF($B498="","",IF(COUNTIF(Setup!$A$99:$A$128,$B498)&gt;0,IF(INDEX(Setup!$B$99:$B$128,MATCH($B498,Setup!$A$99:$A$128,0))="","Overhead",INDEX(Setup!$B$99:$B$128,MATCH($B498,Setup!$A$99:$A$128,0))),IF(ISNUMBER(SEARCH("advance",$B498))+ISNUMBER(SEARCH("payout",$B498))+ISNUMBER(SEARCH("pay out",$B498))+ISNUMBER(SEARCH("reimburs",$B498))&gt;0,"Transfer",IF(ISNUMBER(SEARCH("loan",$B498))+ISNUMBER(SEARCH("amort",$B498))+ISNUMBER(SEARCH("installment",$B498))+ISNUMBER(SEARCH("instalment",$B498))&gt;0,"Financing",IF(ISNUMBER(SEARCH("draw",$B498))+ISNUMBER(SEARCH("owner",$B498))+ISNUMBER(SEARCH("asset",$B498))+ISNUMBER(SEARCH("capital",$B498))&gt;0,"Other",IF(ISNUMBER(SEARCH("fuel",$B498))+ISNUMBER(SEARCH("diesel",$B498))+ISNUMBER(SEARCH("krudo",$B498))+ISNUMBER(SEARCH("gasolina",$B498))+ISNUMBER(SEARCH("toll",$B498))+ISNUMBER(SEARCH("parking",$B498))+ISNUMBER(SEARCH("repair",$B498))+ISNUMBER(SEARCH("maintenance",$B498))+ISNUMBER(SEARCH("tire",$B498))+ISNUMBER(SEARCH("tyre",$B498))+ISNUMBER(SEARCH("battery",$B498))+ISNUMBER(SEARCH("oil",$B498))+ISNUMBER(SEARCH("filter",$B498))+ISNUMBER(SEARCH("spare",$B498))+ISNUMBER(SEARCH("insurance",$B498))+ISNUMBER(SEARCH("lto",$B498))+ISNUMBER(SEARCH("registration",$B498))+ISNUMBER(SEARCH("emission",$B498))+ISNUMBER(SEARCH("wash",$B498))+ISNUMBER(SEARCH("weigh",$B498))+ISNUMBER(SEARCH("tarp",$B498))&gt;0,"Vehicle",IF(ISNUMBER(SEARCH("rent",$B498))+ISNUMBER(SEARCH("upa",$B498))+ISNUMBER(SEARCH("salary",$B498))+ISNUMBER(SEARCH("sweldo",$B498))+ISNUMBER(SEARCH("wage",$B498))+ISNUMBER(SEARCH("electric",$B498))+ISNUMBER(SEARCH("kuryente",$B498))+ISNUMBER(SEARCH("water",$B498))+ISNUMBER(SEARCH("tubig",$B498))+ISNUMBER(SEARCH("internet",$B498))+ISNUMBER(SEARCH("pldt",$B498))+ISNUMBER(SEARCH("meralco",$B498))+ISNUMBER(SEARCH("supplies",$B498))+ISNUMBER(SEARCH("office",$B498))+ISNUMBER(SEARCH("professional",$B498))+ISNUMBER(SEARCH("accountant",$B498))+ISNUMBER(SEARCH("lawyer",$B498))+ISNUMBER(SEARCH("broker",$B498))+ISNUMBER(SEARCH("bank",$B498))+ISNUMBER(SEARCH("charge",$B498))+ISNUMBER(SEARCH("permit",$B498))+ISNUMBER(SEARCH("bir",$B498))+ISNUMBER(SEARCH("ltfrb",$B498))+ISNUMBER(SEARCH("misc",$B498))+ISNUMBER(SEARCH("fee",$B498))&gt;0,"Overhead","Overhead")))))))</f>
        <v/>
      </c>
      <c r="J498">
        <f>IF($A498="","",DATE(YEAR($A498),MONTH($A498),1))</f>
        <v/>
      </c>
      <c r="K498">
        <f>IF($B498="","",IF(COUNTIF(Setup!$A$99:$A$128,$B498)&gt;0,0,1))</f>
        <v/>
      </c>
      <c r="L498">
        <f>IF($B498="","",IF(ISNUMBER(SEARCH("advance",$B498)),"ADV",IF(OR(ISNUMBER(SEARCH("payout",$B498)),ISNUMBER(SEARCH("pay out",$B498)),ISNUMBER(SEARCH("release",$B498))),"PAY","")))</f>
        <v/>
      </c>
      <c r="M498">
        <f>IF($B498="","",IF(ISNUMBER(SEARCH("bulk",$B498)),0,IF(ISNUMBER(SEARCH("fuel",$B498))+ISNUMBER(SEARCH("diesel",$B498))+ISNUMBER(SEARCH("krudo",$B498))+ISNUMBER(SEARCH("gasolina",$B498))&gt;0,1,0)))</f>
        <v/>
      </c>
      <c r="N498">
        <f>IF($B498="","",IF(ISNUMBER(SEARCH("fuel",$B498))+ISNUMBER(SEARCH("diesel",$B498))+ISNUMBER(SEARCH("krudo",$B498))+ISNUMBER(SEARCH("gasolina",$B498))&gt;0,1,0))</f>
        <v/>
      </c>
    </row>
    <row r="499">
      <c r="A499" s="86" t="n"/>
      <c r="B499" s="88" t="n"/>
      <c r="C499" s="88" t="n"/>
      <c r="D499" s="87" t="n"/>
      <c r="E499" s="88" t="n"/>
      <c r="F499" s="92" t="n"/>
      <c r="G499" s="87" t="n"/>
      <c r="H499" s="87" t="n"/>
      <c r="I499" s="101">
        <f>IF($B499="","",IF(COUNTIF(Setup!$A$99:$A$128,$B499)&gt;0,IF(INDEX(Setup!$B$99:$B$128,MATCH($B499,Setup!$A$99:$A$128,0))="","Overhead",INDEX(Setup!$B$99:$B$128,MATCH($B499,Setup!$A$99:$A$128,0))),IF(ISNUMBER(SEARCH("advance",$B499))+ISNUMBER(SEARCH("payout",$B499))+ISNUMBER(SEARCH("pay out",$B499))+ISNUMBER(SEARCH("reimburs",$B499))&gt;0,"Transfer",IF(ISNUMBER(SEARCH("loan",$B499))+ISNUMBER(SEARCH("amort",$B499))+ISNUMBER(SEARCH("installment",$B499))+ISNUMBER(SEARCH("instalment",$B499))&gt;0,"Financing",IF(ISNUMBER(SEARCH("draw",$B499))+ISNUMBER(SEARCH("owner",$B499))+ISNUMBER(SEARCH("asset",$B499))+ISNUMBER(SEARCH("capital",$B499))&gt;0,"Other",IF(ISNUMBER(SEARCH("fuel",$B499))+ISNUMBER(SEARCH("diesel",$B499))+ISNUMBER(SEARCH("krudo",$B499))+ISNUMBER(SEARCH("gasolina",$B499))+ISNUMBER(SEARCH("toll",$B499))+ISNUMBER(SEARCH("parking",$B499))+ISNUMBER(SEARCH("repair",$B499))+ISNUMBER(SEARCH("maintenance",$B499))+ISNUMBER(SEARCH("tire",$B499))+ISNUMBER(SEARCH("tyre",$B499))+ISNUMBER(SEARCH("battery",$B499))+ISNUMBER(SEARCH("oil",$B499))+ISNUMBER(SEARCH("filter",$B499))+ISNUMBER(SEARCH("spare",$B499))+ISNUMBER(SEARCH("insurance",$B499))+ISNUMBER(SEARCH("lto",$B499))+ISNUMBER(SEARCH("registration",$B499))+ISNUMBER(SEARCH("emission",$B499))+ISNUMBER(SEARCH("wash",$B499))+ISNUMBER(SEARCH("weigh",$B499))+ISNUMBER(SEARCH("tarp",$B499))&gt;0,"Vehicle",IF(ISNUMBER(SEARCH("rent",$B499))+ISNUMBER(SEARCH("upa",$B499))+ISNUMBER(SEARCH("salary",$B499))+ISNUMBER(SEARCH("sweldo",$B499))+ISNUMBER(SEARCH("wage",$B499))+ISNUMBER(SEARCH("electric",$B499))+ISNUMBER(SEARCH("kuryente",$B499))+ISNUMBER(SEARCH("water",$B499))+ISNUMBER(SEARCH("tubig",$B499))+ISNUMBER(SEARCH("internet",$B499))+ISNUMBER(SEARCH("pldt",$B499))+ISNUMBER(SEARCH("meralco",$B499))+ISNUMBER(SEARCH("supplies",$B499))+ISNUMBER(SEARCH("office",$B499))+ISNUMBER(SEARCH("professional",$B499))+ISNUMBER(SEARCH("accountant",$B499))+ISNUMBER(SEARCH("lawyer",$B499))+ISNUMBER(SEARCH("broker",$B499))+ISNUMBER(SEARCH("bank",$B499))+ISNUMBER(SEARCH("charge",$B499))+ISNUMBER(SEARCH("permit",$B499))+ISNUMBER(SEARCH("bir",$B499))+ISNUMBER(SEARCH("ltfrb",$B499))+ISNUMBER(SEARCH("misc",$B499))+ISNUMBER(SEARCH("fee",$B499))&gt;0,"Overhead","Overhead")))))))</f>
        <v/>
      </c>
      <c r="J499">
        <f>IF($A499="","",DATE(YEAR($A499),MONTH($A499),1))</f>
        <v/>
      </c>
      <c r="K499">
        <f>IF($B499="","",IF(COUNTIF(Setup!$A$99:$A$128,$B499)&gt;0,0,1))</f>
        <v/>
      </c>
      <c r="L499">
        <f>IF($B499="","",IF(ISNUMBER(SEARCH("advance",$B499)),"ADV",IF(OR(ISNUMBER(SEARCH("payout",$B499)),ISNUMBER(SEARCH("pay out",$B499)),ISNUMBER(SEARCH("release",$B499))),"PAY","")))</f>
        <v/>
      </c>
      <c r="M499">
        <f>IF($B499="","",IF(ISNUMBER(SEARCH("bulk",$B499)),0,IF(ISNUMBER(SEARCH("fuel",$B499))+ISNUMBER(SEARCH("diesel",$B499))+ISNUMBER(SEARCH("krudo",$B499))+ISNUMBER(SEARCH("gasolina",$B499))&gt;0,1,0)))</f>
        <v/>
      </c>
      <c r="N499">
        <f>IF($B499="","",IF(ISNUMBER(SEARCH("fuel",$B499))+ISNUMBER(SEARCH("diesel",$B499))+ISNUMBER(SEARCH("krudo",$B499))+ISNUMBER(SEARCH("gasolina",$B499))&gt;0,1,0))</f>
        <v/>
      </c>
    </row>
    <row r="500">
      <c r="A500" s="94" t="n"/>
      <c r="B500" s="96" t="n"/>
      <c r="C500" s="96" t="n"/>
      <c r="D500" s="95" t="n"/>
      <c r="E500" s="96" t="n"/>
      <c r="F500" s="99" t="n"/>
      <c r="G500" s="95" t="n"/>
      <c r="H500" s="95" t="n"/>
      <c r="I500" s="101">
        <f>IF($B500="","",IF(COUNTIF(Setup!$A$99:$A$128,$B500)&gt;0,IF(INDEX(Setup!$B$99:$B$128,MATCH($B500,Setup!$A$99:$A$128,0))="","Overhead",INDEX(Setup!$B$99:$B$128,MATCH($B500,Setup!$A$99:$A$128,0))),IF(ISNUMBER(SEARCH("advance",$B500))+ISNUMBER(SEARCH("payout",$B500))+ISNUMBER(SEARCH("pay out",$B500))+ISNUMBER(SEARCH("reimburs",$B500))&gt;0,"Transfer",IF(ISNUMBER(SEARCH("loan",$B500))+ISNUMBER(SEARCH("amort",$B500))+ISNUMBER(SEARCH("installment",$B500))+ISNUMBER(SEARCH("instalment",$B500))&gt;0,"Financing",IF(ISNUMBER(SEARCH("draw",$B500))+ISNUMBER(SEARCH("owner",$B500))+ISNUMBER(SEARCH("asset",$B500))+ISNUMBER(SEARCH("capital",$B500))&gt;0,"Other",IF(ISNUMBER(SEARCH("fuel",$B500))+ISNUMBER(SEARCH("diesel",$B500))+ISNUMBER(SEARCH("krudo",$B500))+ISNUMBER(SEARCH("gasolina",$B500))+ISNUMBER(SEARCH("toll",$B500))+ISNUMBER(SEARCH("parking",$B500))+ISNUMBER(SEARCH("repair",$B500))+ISNUMBER(SEARCH("maintenance",$B500))+ISNUMBER(SEARCH("tire",$B500))+ISNUMBER(SEARCH("tyre",$B500))+ISNUMBER(SEARCH("battery",$B500))+ISNUMBER(SEARCH("oil",$B500))+ISNUMBER(SEARCH("filter",$B500))+ISNUMBER(SEARCH("spare",$B500))+ISNUMBER(SEARCH("insurance",$B500))+ISNUMBER(SEARCH("lto",$B500))+ISNUMBER(SEARCH("registration",$B500))+ISNUMBER(SEARCH("emission",$B500))+ISNUMBER(SEARCH("wash",$B500))+ISNUMBER(SEARCH("weigh",$B500))+ISNUMBER(SEARCH("tarp",$B500))&gt;0,"Vehicle",IF(ISNUMBER(SEARCH("rent",$B500))+ISNUMBER(SEARCH("upa",$B500))+ISNUMBER(SEARCH("salary",$B500))+ISNUMBER(SEARCH("sweldo",$B500))+ISNUMBER(SEARCH("wage",$B500))+ISNUMBER(SEARCH("electric",$B500))+ISNUMBER(SEARCH("kuryente",$B500))+ISNUMBER(SEARCH("water",$B500))+ISNUMBER(SEARCH("tubig",$B500))+ISNUMBER(SEARCH("internet",$B500))+ISNUMBER(SEARCH("pldt",$B500))+ISNUMBER(SEARCH("meralco",$B500))+ISNUMBER(SEARCH("supplies",$B500))+ISNUMBER(SEARCH("office",$B500))+ISNUMBER(SEARCH("professional",$B500))+ISNUMBER(SEARCH("accountant",$B500))+ISNUMBER(SEARCH("lawyer",$B500))+ISNUMBER(SEARCH("broker",$B500))+ISNUMBER(SEARCH("bank",$B500))+ISNUMBER(SEARCH("charge",$B500))+ISNUMBER(SEARCH("permit",$B500))+ISNUMBER(SEARCH("bir",$B500))+ISNUMBER(SEARCH("ltfrb",$B500))+ISNUMBER(SEARCH("misc",$B500))+ISNUMBER(SEARCH("fee",$B500))&gt;0,"Overhead","Overhead")))))))</f>
        <v/>
      </c>
      <c r="J500">
        <f>IF($A500="","",DATE(YEAR($A500),MONTH($A500),1))</f>
        <v/>
      </c>
      <c r="K500">
        <f>IF($B500="","",IF(COUNTIF(Setup!$A$99:$A$128,$B500)&gt;0,0,1))</f>
        <v/>
      </c>
      <c r="L500">
        <f>IF($B500="","",IF(ISNUMBER(SEARCH("advance",$B500)),"ADV",IF(OR(ISNUMBER(SEARCH("payout",$B500)),ISNUMBER(SEARCH("pay out",$B500)),ISNUMBER(SEARCH("release",$B500))),"PAY","")))</f>
        <v/>
      </c>
      <c r="M500">
        <f>IF($B500="","",IF(ISNUMBER(SEARCH("bulk",$B500)),0,IF(ISNUMBER(SEARCH("fuel",$B500))+ISNUMBER(SEARCH("diesel",$B500))+ISNUMBER(SEARCH("krudo",$B500))+ISNUMBER(SEARCH("gasolina",$B500))&gt;0,1,0)))</f>
        <v/>
      </c>
      <c r="N500">
        <f>IF($B500="","",IF(ISNUMBER(SEARCH("fuel",$B500))+ISNUMBER(SEARCH("diesel",$B500))+ISNUMBER(SEARCH("krudo",$B500))+ISNUMBER(SEARCH("gasolina",$B500))&gt;0,1,0))</f>
        <v/>
      </c>
    </row>
    <row r="501">
      <c r="A501" s="86" t="n"/>
      <c r="B501" s="88" t="n"/>
      <c r="C501" s="88" t="n"/>
      <c r="D501" s="87" t="n"/>
      <c r="E501" s="88" t="n"/>
      <c r="F501" s="92" t="n"/>
      <c r="G501" s="87" t="n"/>
      <c r="H501" s="87" t="n"/>
      <c r="I501" s="101">
        <f>IF($B501="","",IF(COUNTIF(Setup!$A$99:$A$128,$B501)&gt;0,IF(INDEX(Setup!$B$99:$B$128,MATCH($B501,Setup!$A$99:$A$128,0))="","Overhead",INDEX(Setup!$B$99:$B$128,MATCH($B501,Setup!$A$99:$A$128,0))),IF(ISNUMBER(SEARCH("advance",$B501))+ISNUMBER(SEARCH("payout",$B501))+ISNUMBER(SEARCH("pay out",$B501))+ISNUMBER(SEARCH("reimburs",$B501))&gt;0,"Transfer",IF(ISNUMBER(SEARCH("loan",$B501))+ISNUMBER(SEARCH("amort",$B501))+ISNUMBER(SEARCH("installment",$B501))+ISNUMBER(SEARCH("instalment",$B501))&gt;0,"Financing",IF(ISNUMBER(SEARCH("draw",$B501))+ISNUMBER(SEARCH("owner",$B501))+ISNUMBER(SEARCH("asset",$B501))+ISNUMBER(SEARCH("capital",$B501))&gt;0,"Other",IF(ISNUMBER(SEARCH("fuel",$B501))+ISNUMBER(SEARCH("diesel",$B501))+ISNUMBER(SEARCH("krudo",$B501))+ISNUMBER(SEARCH("gasolina",$B501))+ISNUMBER(SEARCH("toll",$B501))+ISNUMBER(SEARCH("parking",$B501))+ISNUMBER(SEARCH("repair",$B501))+ISNUMBER(SEARCH("maintenance",$B501))+ISNUMBER(SEARCH("tire",$B501))+ISNUMBER(SEARCH("tyre",$B501))+ISNUMBER(SEARCH("battery",$B501))+ISNUMBER(SEARCH("oil",$B501))+ISNUMBER(SEARCH("filter",$B501))+ISNUMBER(SEARCH("spare",$B501))+ISNUMBER(SEARCH("insurance",$B501))+ISNUMBER(SEARCH("lto",$B501))+ISNUMBER(SEARCH("registration",$B501))+ISNUMBER(SEARCH("emission",$B501))+ISNUMBER(SEARCH("wash",$B501))+ISNUMBER(SEARCH("weigh",$B501))+ISNUMBER(SEARCH("tarp",$B501))&gt;0,"Vehicle",IF(ISNUMBER(SEARCH("rent",$B501))+ISNUMBER(SEARCH("upa",$B501))+ISNUMBER(SEARCH("salary",$B501))+ISNUMBER(SEARCH("sweldo",$B501))+ISNUMBER(SEARCH("wage",$B501))+ISNUMBER(SEARCH("electric",$B501))+ISNUMBER(SEARCH("kuryente",$B501))+ISNUMBER(SEARCH("water",$B501))+ISNUMBER(SEARCH("tubig",$B501))+ISNUMBER(SEARCH("internet",$B501))+ISNUMBER(SEARCH("pldt",$B501))+ISNUMBER(SEARCH("meralco",$B501))+ISNUMBER(SEARCH("supplies",$B501))+ISNUMBER(SEARCH("office",$B501))+ISNUMBER(SEARCH("professional",$B501))+ISNUMBER(SEARCH("accountant",$B501))+ISNUMBER(SEARCH("lawyer",$B501))+ISNUMBER(SEARCH("broker",$B501))+ISNUMBER(SEARCH("bank",$B501))+ISNUMBER(SEARCH("charge",$B501))+ISNUMBER(SEARCH("permit",$B501))+ISNUMBER(SEARCH("bir",$B501))+ISNUMBER(SEARCH("ltfrb",$B501))+ISNUMBER(SEARCH("misc",$B501))+ISNUMBER(SEARCH("fee",$B501))&gt;0,"Overhead","Overhead")))))))</f>
        <v/>
      </c>
      <c r="J501">
        <f>IF($A501="","",DATE(YEAR($A501),MONTH($A501),1))</f>
        <v/>
      </c>
      <c r="K501">
        <f>IF($B501="","",IF(COUNTIF(Setup!$A$99:$A$128,$B501)&gt;0,0,1))</f>
        <v/>
      </c>
      <c r="L501">
        <f>IF($B501="","",IF(ISNUMBER(SEARCH("advance",$B501)),"ADV",IF(OR(ISNUMBER(SEARCH("payout",$B501)),ISNUMBER(SEARCH("pay out",$B501)),ISNUMBER(SEARCH("release",$B501))),"PAY","")))</f>
        <v/>
      </c>
      <c r="M501">
        <f>IF($B501="","",IF(ISNUMBER(SEARCH("bulk",$B501)),0,IF(ISNUMBER(SEARCH("fuel",$B501))+ISNUMBER(SEARCH("diesel",$B501))+ISNUMBER(SEARCH("krudo",$B501))+ISNUMBER(SEARCH("gasolina",$B501))&gt;0,1,0)))</f>
        <v/>
      </c>
      <c r="N501">
        <f>IF($B501="","",IF(ISNUMBER(SEARCH("fuel",$B501))+ISNUMBER(SEARCH("diesel",$B501))+ISNUMBER(SEARCH("krudo",$B501))+ISNUMBER(SEARCH("gasolina",$B501))&gt;0,1,0))</f>
        <v/>
      </c>
    </row>
    <row r="502">
      <c r="A502" s="94" t="n"/>
      <c r="B502" s="96" t="n"/>
      <c r="C502" s="96" t="n"/>
      <c r="D502" s="95" t="n"/>
      <c r="E502" s="96" t="n"/>
      <c r="F502" s="99" t="n"/>
      <c r="G502" s="95" t="n"/>
      <c r="H502" s="95" t="n"/>
      <c r="I502" s="101">
        <f>IF($B502="","",IF(COUNTIF(Setup!$A$99:$A$128,$B502)&gt;0,IF(INDEX(Setup!$B$99:$B$128,MATCH($B502,Setup!$A$99:$A$128,0))="","Overhead",INDEX(Setup!$B$99:$B$128,MATCH($B502,Setup!$A$99:$A$128,0))),IF(ISNUMBER(SEARCH("advance",$B502))+ISNUMBER(SEARCH("payout",$B502))+ISNUMBER(SEARCH("pay out",$B502))+ISNUMBER(SEARCH("reimburs",$B502))&gt;0,"Transfer",IF(ISNUMBER(SEARCH("loan",$B502))+ISNUMBER(SEARCH("amort",$B502))+ISNUMBER(SEARCH("installment",$B502))+ISNUMBER(SEARCH("instalment",$B502))&gt;0,"Financing",IF(ISNUMBER(SEARCH("draw",$B502))+ISNUMBER(SEARCH("owner",$B502))+ISNUMBER(SEARCH("asset",$B502))+ISNUMBER(SEARCH("capital",$B502))&gt;0,"Other",IF(ISNUMBER(SEARCH("fuel",$B502))+ISNUMBER(SEARCH("diesel",$B502))+ISNUMBER(SEARCH("krudo",$B502))+ISNUMBER(SEARCH("gasolina",$B502))+ISNUMBER(SEARCH("toll",$B502))+ISNUMBER(SEARCH("parking",$B502))+ISNUMBER(SEARCH("repair",$B502))+ISNUMBER(SEARCH("maintenance",$B502))+ISNUMBER(SEARCH("tire",$B502))+ISNUMBER(SEARCH("tyre",$B502))+ISNUMBER(SEARCH("battery",$B502))+ISNUMBER(SEARCH("oil",$B502))+ISNUMBER(SEARCH("filter",$B502))+ISNUMBER(SEARCH("spare",$B502))+ISNUMBER(SEARCH("insurance",$B502))+ISNUMBER(SEARCH("lto",$B502))+ISNUMBER(SEARCH("registration",$B502))+ISNUMBER(SEARCH("emission",$B502))+ISNUMBER(SEARCH("wash",$B502))+ISNUMBER(SEARCH("weigh",$B502))+ISNUMBER(SEARCH("tarp",$B502))&gt;0,"Vehicle",IF(ISNUMBER(SEARCH("rent",$B502))+ISNUMBER(SEARCH("upa",$B502))+ISNUMBER(SEARCH("salary",$B502))+ISNUMBER(SEARCH("sweldo",$B502))+ISNUMBER(SEARCH("wage",$B502))+ISNUMBER(SEARCH("electric",$B502))+ISNUMBER(SEARCH("kuryente",$B502))+ISNUMBER(SEARCH("water",$B502))+ISNUMBER(SEARCH("tubig",$B502))+ISNUMBER(SEARCH("internet",$B502))+ISNUMBER(SEARCH("pldt",$B502))+ISNUMBER(SEARCH("meralco",$B502))+ISNUMBER(SEARCH("supplies",$B502))+ISNUMBER(SEARCH("office",$B502))+ISNUMBER(SEARCH("professional",$B502))+ISNUMBER(SEARCH("accountant",$B502))+ISNUMBER(SEARCH("lawyer",$B502))+ISNUMBER(SEARCH("broker",$B502))+ISNUMBER(SEARCH("bank",$B502))+ISNUMBER(SEARCH("charge",$B502))+ISNUMBER(SEARCH("permit",$B502))+ISNUMBER(SEARCH("bir",$B502))+ISNUMBER(SEARCH("ltfrb",$B502))+ISNUMBER(SEARCH("misc",$B502))+ISNUMBER(SEARCH("fee",$B502))&gt;0,"Overhead","Overhead")))))))</f>
        <v/>
      </c>
      <c r="J502">
        <f>IF($A502="","",DATE(YEAR($A502),MONTH($A502),1))</f>
        <v/>
      </c>
      <c r="K502">
        <f>IF($B502="","",IF(COUNTIF(Setup!$A$99:$A$128,$B502)&gt;0,0,1))</f>
        <v/>
      </c>
      <c r="L502">
        <f>IF($B502="","",IF(ISNUMBER(SEARCH("advance",$B502)),"ADV",IF(OR(ISNUMBER(SEARCH("payout",$B502)),ISNUMBER(SEARCH("pay out",$B502)),ISNUMBER(SEARCH("release",$B502))),"PAY","")))</f>
        <v/>
      </c>
      <c r="M502">
        <f>IF($B502="","",IF(ISNUMBER(SEARCH("bulk",$B502)),0,IF(ISNUMBER(SEARCH("fuel",$B502))+ISNUMBER(SEARCH("diesel",$B502))+ISNUMBER(SEARCH("krudo",$B502))+ISNUMBER(SEARCH("gasolina",$B502))&gt;0,1,0)))</f>
        <v/>
      </c>
      <c r="N502">
        <f>IF($B502="","",IF(ISNUMBER(SEARCH("fuel",$B502))+ISNUMBER(SEARCH("diesel",$B502))+ISNUMBER(SEARCH("krudo",$B502))+ISNUMBER(SEARCH("gasolina",$B502))&gt;0,1,0))</f>
        <v/>
      </c>
    </row>
    <row r="503">
      <c r="A503" s="86" t="n"/>
      <c r="B503" s="88" t="n"/>
      <c r="C503" s="88" t="n"/>
      <c r="D503" s="87" t="n"/>
      <c r="E503" s="88" t="n"/>
      <c r="F503" s="92" t="n"/>
      <c r="G503" s="87" t="n"/>
      <c r="H503" s="87" t="n"/>
      <c r="I503" s="101">
        <f>IF($B503="","",IF(COUNTIF(Setup!$A$99:$A$128,$B503)&gt;0,IF(INDEX(Setup!$B$99:$B$128,MATCH($B503,Setup!$A$99:$A$128,0))="","Overhead",INDEX(Setup!$B$99:$B$128,MATCH($B503,Setup!$A$99:$A$128,0))),IF(ISNUMBER(SEARCH("advance",$B503))+ISNUMBER(SEARCH("payout",$B503))+ISNUMBER(SEARCH("pay out",$B503))+ISNUMBER(SEARCH("reimburs",$B503))&gt;0,"Transfer",IF(ISNUMBER(SEARCH("loan",$B503))+ISNUMBER(SEARCH("amort",$B503))+ISNUMBER(SEARCH("installment",$B503))+ISNUMBER(SEARCH("instalment",$B503))&gt;0,"Financing",IF(ISNUMBER(SEARCH("draw",$B503))+ISNUMBER(SEARCH("owner",$B503))+ISNUMBER(SEARCH("asset",$B503))+ISNUMBER(SEARCH("capital",$B503))&gt;0,"Other",IF(ISNUMBER(SEARCH("fuel",$B503))+ISNUMBER(SEARCH("diesel",$B503))+ISNUMBER(SEARCH("krudo",$B503))+ISNUMBER(SEARCH("gasolina",$B503))+ISNUMBER(SEARCH("toll",$B503))+ISNUMBER(SEARCH("parking",$B503))+ISNUMBER(SEARCH("repair",$B503))+ISNUMBER(SEARCH("maintenance",$B503))+ISNUMBER(SEARCH("tire",$B503))+ISNUMBER(SEARCH("tyre",$B503))+ISNUMBER(SEARCH("battery",$B503))+ISNUMBER(SEARCH("oil",$B503))+ISNUMBER(SEARCH("filter",$B503))+ISNUMBER(SEARCH("spare",$B503))+ISNUMBER(SEARCH("insurance",$B503))+ISNUMBER(SEARCH("lto",$B503))+ISNUMBER(SEARCH("registration",$B503))+ISNUMBER(SEARCH("emission",$B503))+ISNUMBER(SEARCH("wash",$B503))+ISNUMBER(SEARCH("weigh",$B503))+ISNUMBER(SEARCH("tarp",$B503))&gt;0,"Vehicle",IF(ISNUMBER(SEARCH("rent",$B503))+ISNUMBER(SEARCH("upa",$B503))+ISNUMBER(SEARCH("salary",$B503))+ISNUMBER(SEARCH("sweldo",$B503))+ISNUMBER(SEARCH("wage",$B503))+ISNUMBER(SEARCH("electric",$B503))+ISNUMBER(SEARCH("kuryente",$B503))+ISNUMBER(SEARCH("water",$B503))+ISNUMBER(SEARCH("tubig",$B503))+ISNUMBER(SEARCH("internet",$B503))+ISNUMBER(SEARCH("pldt",$B503))+ISNUMBER(SEARCH("meralco",$B503))+ISNUMBER(SEARCH("supplies",$B503))+ISNUMBER(SEARCH("office",$B503))+ISNUMBER(SEARCH("professional",$B503))+ISNUMBER(SEARCH("accountant",$B503))+ISNUMBER(SEARCH("lawyer",$B503))+ISNUMBER(SEARCH("broker",$B503))+ISNUMBER(SEARCH("bank",$B503))+ISNUMBER(SEARCH("charge",$B503))+ISNUMBER(SEARCH("permit",$B503))+ISNUMBER(SEARCH("bir",$B503))+ISNUMBER(SEARCH("ltfrb",$B503))+ISNUMBER(SEARCH("misc",$B503))+ISNUMBER(SEARCH("fee",$B503))&gt;0,"Overhead","Overhead")))))))</f>
        <v/>
      </c>
      <c r="J503">
        <f>IF($A503="","",DATE(YEAR($A503),MONTH($A503),1))</f>
        <v/>
      </c>
      <c r="K503">
        <f>IF($B503="","",IF(COUNTIF(Setup!$A$99:$A$128,$B503)&gt;0,0,1))</f>
        <v/>
      </c>
      <c r="L503">
        <f>IF($B503="","",IF(ISNUMBER(SEARCH("advance",$B503)),"ADV",IF(OR(ISNUMBER(SEARCH("payout",$B503)),ISNUMBER(SEARCH("pay out",$B503)),ISNUMBER(SEARCH("release",$B503))),"PAY","")))</f>
        <v/>
      </c>
      <c r="M503">
        <f>IF($B503="","",IF(ISNUMBER(SEARCH("bulk",$B503)),0,IF(ISNUMBER(SEARCH("fuel",$B503))+ISNUMBER(SEARCH("diesel",$B503))+ISNUMBER(SEARCH("krudo",$B503))+ISNUMBER(SEARCH("gasolina",$B503))&gt;0,1,0)))</f>
        <v/>
      </c>
      <c r="N503">
        <f>IF($B503="","",IF(ISNUMBER(SEARCH("fuel",$B503))+ISNUMBER(SEARCH("diesel",$B503))+ISNUMBER(SEARCH("krudo",$B503))+ISNUMBER(SEARCH("gasolina",$B503))&gt;0,1,0))</f>
        <v/>
      </c>
    </row>
    <row r="504">
      <c r="A504" s="94" t="n"/>
      <c r="B504" s="96" t="n"/>
      <c r="C504" s="96" t="n"/>
      <c r="D504" s="95" t="n"/>
      <c r="E504" s="96" t="n"/>
      <c r="F504" s="99" t="n"/>
      <c r="G504" s="95" t="n"/>
      <c r="H504" s="95" t="n"/>
      <c r="I504" s="101">
        <f>IF($B504="","",IF(COUNTIF(Setup!$A$99:$A$128,$B504)&gt;0,IF(INDEX(Setup!$B$99:$B$128,MATCH($B504,Setup!$A$99:$A$128,0))="","Overhead",INDEX(Setup!$B$99:$B$128,MATCH($B504,Setup!$A$99:$A$128,0))),IF(ISNUMBER(SEARCH("advance",$B504))+ISNUMBER(SEARCH("payout",$B504))+ISNUMBER(SEARCH("pay out",$B504))+ISNUMBER(SEARCH("reimburs",$B504))&gt;0,"Transfer",IF(ISNUMBER(SEARCH("loan",$B504))+ISNUMBER(SEARCH("amort",$B504))+ISNUMBER(SEARCH("installment",$B504))+ISNUMBER(SEARCH("instalment",$B504))&gt;0,"Financing",IF(ISNUMBER(SEARCH("draw",$B504))+ISNUMBER(SEARCH("owner",$B504))+ISNUMBER(SEARCH("asset",$B504))+ISNUMBER(SEARCH("capital",$B504))&gt;0,"Other",IF(ISNUMBER(SEARCH("fuel",$B504))+ISNUMBER(SEARCH("diesel",$B504))+ISNUMBER(SEARCH("krudo",$B504))+ISNUMBER(SEARCH("gasolina",$B504))+ISNUMBER(SEARCH("toll",$B504))+ISNUMBER(SEARCH("parking",$B504))+ISNUMBER(SEARCH("repair",$B504))+ISNUMBER(SEARCH("maintenance",$B504))+ISNUMBER(SEARCH("tire",$B504))+ISNUMBER(SEARCH("tyre",$B504))+ISNUMBER(SEARCH("battery",$B504))+ISNUMBER(SEARCH("oil",$B504))+ISNUMBER(SEARCH("filter",$B504))+ISNUMBER(SEARCH("spare",$B504))+ISNUMBER(SEARCH("insurance",$B504))+ISNUMBER(SEARCH("lto",$B504))+ISNUMBER(SEARCH("registration",$B504))+ISNUMBER(SEARCH("emission",$B504))+ISNUMBER(SEARCH("wash",$B504))+ISNUMBER(SEARCH("weigh",$B504))+ISNUMBER(SEARCH("tarp",$B504))&gt;0,"Vehicle",IF(ISNUMBER(SEARCH("rent",$B504))+ISNUMBER(SEARCH("upa",$B504))+ISNUMBER(SEARCH("salary",$B504))+ISNUMBER(SEARCH("sweldo",$B504))+ISNUMBER(SEARCH("wage",$B504))+ISNUMBER(SEARCH("electric",$B504))+ISNUMBER(SEARCH("kuryente",$B504))+ISNUMBER(SEARCH("water",$B504))+ISNUMBER(SEARCH("tubig",$B504))+ISNUMBER(SEARCH("internet",$B504))+ISNUMBER(SEARCH("pldt",$B504))+ISNUMBER(SEARCH("meralco",$B504))+ISNUMBER(SEARCH("supplies",$B504))+ISNUMBER(SEARCH("office",$B504))+ISNUMBER(SEARCH("professional",$B504))+ISNUMBER(SEARCH("accountant",$B504))+ISNUMBER(SEARCH("lawyer",$B504))+ISNUMBER(SEARCH("broker",$B504))+ISNUMBER(SEARCH("bank",$B504))+ISNUMBER(SEARCH("charge",$B504))+ISNUMBER(SEARCH("permit",$B504))+ISNUMBER(SEARCH("bir",$B504))+ISNUMBER(SEARCH("ltfrb",$B504))+ISNUMBER(SEARCH("misc",$B504))+ISNUMBER(SEARCH("fee",$B504))&gt;0,"Overhead","Overhead")))))))</f>
        <v/>
      </c>
      <c r="J504">
        <f>IF($A504="","",DATE(YEAR($A504),MONTH($A504),1))</f>
        <v/>
      </c>
      <c r="K504">
        <f>IF($B504="","",IF(COUNTIF(Setup!$A$99:$A$128,$B504)&gt;0,0,1))</f>
        <v/>
      </c>
      <c r="L504">
        <f>IF($B504="","",IF(ISNUMBER(SEARCH("advance",$B504)),"ADV",IF(OR(ISNUMBER(SEARCH("payout",$B504)),ISNUMBER(SEARCH("pay out",$B504)),ISNUMBER(SEARCH("release",$B504))),"PAY","")))</f>
        <v/>
      </c>
      <c r="M504">
        <f>IF($B504="","",IF(ISNUMBER(SEARCH("bulk",$B504)),0,IF(ISNUMBER(SEARCH("fuel",$B504))+ISNUMBER(SEARCH("diesel",$B504))+ISNUMBER(SEARCH("krudo",$B504))+ISNUMBER(SEARCH("gasolina",$B504))&gt;0,1,0)))</f>
        <v/>
      </c>
      <c r="N504">
        <f>IF($B504="","",IF(ISNUMBER(SEARCH("fuel",$B504))+ISNUMBER(SEARCH("diesel",$B504))+ISNUMBER(SEARCH("krudo",$B504))+ISNUMBER(SEARCH("gasolina",$B504))&gt;0,1,0))</f>
        <v/>
      </c>
    </row>
    <row r="505">
      <c r="A505" s="86" t="n"/>
      <c r="B505" s="88" t="n"/>
      <c r="C505" s="88" t="n"/>
      <c r="D505" s="87" t="n"/>
      <c r="E505" s="88" t="n"/>
      <c r="F505" s="92" t="n"/>
      <c r="G505" s="87" t="n"/>
      <c r="H505" s="87" t="n"/>
      <c r="I505" s="101">
        <f>IF($B505="","",IF(COUNTIF(Setup!$A$99:$A$128,$B505)&gt;0,IF(INDEX(Setup!$B$99:$B$128,MATCH($B505,Setup!$A$99:$A$128,0))="","Overhead",INDEX(Setup!$B$99:$B$128,MATCH($B505,Setup!$A$99:$A$128,0))),IF(ISNUMBER(SEARCH("advance",$B505))+ISNUMBER(SEARCH("payout",$B505))+ISNUMBER(SEARCH("pay out",$B505))+ISNUMBER(SEARCH("reimburs",$B505))&gt;0,"Transfer",IF(ISNUMBER(SEARCH("loan",$B505))+ISNUMBER(SEARCH("amort",$B505))+ISNUMBER(SEARCH("installment",$B505))+ISNUMBER(SEARCH("instalment",$B505))&gt;0,"Financing",IF(ISNUMBER(SEARCH("draw",$B505))+ISNUMBER(SEARCH("owner",$B505))+ISNUMBER(SEARCH("asset",$B505))+ISNUMBER(SEARCH("capital",$B505))&gt;0,"Other",IF(ISNUMBER(SEARCH("fuel",$B505))+ISNUMBER(SEARCH("diesel",$B505))+ISNUMBER(SEARCH("krudo",$B505))+ISNUMBER(SEARCH("gasolina",$B505))+ISNUMBER(SEARCH("toll",$B505))+ISNUMBER(SEARCH("parking",$B505))+ISNUMBER(SEARCH("repair",$B505))+ISNUMBER(SEARCH("maintenance",$B505))+ISNUMBER(SEARCH("tire",$B505))+ISNUMBER(SEARCH("tyre",$B505))+ISNUMBER(SEARCH("battery",$B505))+ISNUMBER(SEARCH("oil",$B505))+ISNUMBER(SEARCH("filter",$B505))+ISNUMBER(SEARCH("spare",$B505))+ISNUMBER(SEARCH("insurance",$B505))+ISNUMBER(SEARCH("lto",$B505))+ISNUMBER(SEARCH("registration",$B505))+ISNUMBER(SEARCH("emission",$B505))+ISNUMBER(SEARCH("wash",$B505))+ISNUMBER(SEARCH("weigh",$B505))+ISNUMBER(SEARCH("tarp",$B505))&gt;0,"Vehicle",IF(ISNUMBER(SEARCH("rent",$B505))+ISNUMBER(SEARCH("upa",$B505))+ISNUMBER(SEARCH("salary",$B505))+ISNUMBER(SEARCH("sweldo",$B505))+ISNUMBER(SEARCH("wage",$B505))+ISNUMBER(SEARCH("electric",$B505))+ISNUMBER(SEARCH("kuryente",$B505))+ISNUMBER(SEARCH("water",$B505))+ISNUMBER(SEARCH("tubig",$B505))+ISNUMBER(SEARCH("internet",$B505))+ISNUMBER(SEARCH("pldt",$B505))+ISNUMBER(SEARCH("meralco",$B505))+ISNUMBER(SEARCH("supplies",$B505))+ISNUMBER(SEARCH("office",$B505))+ISNUMBER(SEARCH("professional",$B505))+ISNUMBER(SEARCH("accountant",$B505))+ISNUMBER(SEARCH("lawyer",$B505))+ISNUMBER(SEARCH("broker",$B505))+ISNUMBER(SEARCH("bank",$B505))+ISNUMBER(SEARCH("charge",$B505))+ISNUMBER(SEARCH("permit",$B505))+ISNUMBER(SEARCH("bir",$B505))+ISNUMBER(SEARCH("ltfrb",$B505))+ISNUMBER(SEARCH("misc",$B505))+ISNUMBER(SEARCH("fee",$B505))&gt;0,"Overhead","Overhead")))))))</f>
        <v/>
      </c>
      <c r="J505">
        <f>IF($A505="","",DATE(YEAR($A505),MONTH($A505),1))</f>
        <v/>
      </c>
      <c r="K505">
        <f>IF($B505="","",IF(COUNTIF(Setup!$A$99:$A$128,$B505)&gt;0,0,1))</f>
        <v/>
      </c>
      <c r="L505">
        <f>IF($B505="","",IF(ISNUMBER(SEARCH("advance",$B505)),"ADV",IF(OR(ISNUMBER(SEARCH("payout",$B505)),ISNUMBER(SEARCH("pay out",$B505)),ISNUMBER(SEARCH("release",$B505))),"PAY","")))</f>
        <v/>
      </c>
      <c r="M505">
        <f>IF($B505="","",IF(ISNUMBER(SEARCH("bulk",$B505)),0,IF(ISNUMBER(SEARCH("fuel",$B505))+ISNUMBER(SEARCH("diesel",$B505))+ISNUMBER(SEARCH("krudo",$B505))+ISNUMBER(SEARCH("gasolina",$B505))&gt;0,1,0)))</f>
        <v/>
      </c>
      <c r="N505">
        <f>IF($B505="","",IF(ISNUMBER(SEARCH("fuel",$B505))+ISNUMBER(SEARCH("diesel",$B505))+ISNUMBER(SEARCH("krudo",$B505))+ISNUMBER(SEARCH("gasolina",$B505))&gt;0,1,0))</f>
        <v/>
      </c>
    </row>
    <row r="506">
      <c r="A506" s="94" t="n"/>
      <c r="B506" s="96" t="n"/>
      <c r="C506" s="96" t="n"/>
      <c r="D506" s="95" t="n"/>
      <c r="E506" s="96" t="n"/>
      <c r="F506" s="99" t="n"/>
      <c r="G506" s="95" t="n"/>
      <c r="H506" s="95" t="n"/>
      <c r="I506" s="101">
        <f>IF($B506="","",IF(COUNTIF(Setup!$A$99:$A$128,$B506)&gt;0,IF(INDEX(Setup!$B$99:$B$128,MATCH($B506,Setup!$A$99:$A$128,0))="","Overhead",INDEX(Setup!$B$99:$B$128,MATCH($B506,Setup!$A$99:$A$128,0))),IF(ISNUMBER(SEARCH("advance",$B506))+ISNUMBER(SEARCH("payout",$B506))+ISNUMBER(SEARCH("pay out",$B506))+ISNUMBER(SEARCH("reimburs",$B506))&gt;0,"Transfer",IF(ISNUMBER(SEARCH("loan",$B506))+ISNUMBER(SEARCH("amort",$B506))+ISNUMBER(SEARCH("installment",$B506))+ISNUMBER(SEARCH("instalment",$B506))&gt;0,"Financing",IF(ISNUMBER(SEARCH("draw",$B506))+ISNUMBER(SEARCH("owner",$B506))+ISNUMBER(SEARCH("asset",$B506))+ISNUMBER(SEARCH("capital",$B506))&gt;0,"Other",IF(ISNUMBER(SEARCH("fuel",$B506))+ISNUMBER(SEARCH("diesel",$B506))+ISNUMBER(SEARCH("krudo",$B506))+ISNUMBER(SEARCH("gasolina",$B506))+ISNUMBER(SEARCH("toll",$B506))+ISNUMBER(SEARCH("parking",$B506))+ISNUMBER(SEARCH("repair",$B506))+ISNUMBER(SEARCH("maintenance",$B506))+ISNUMBER(SEARCH("tire",$B506))+ISNUMBER(SEARCH("tyre",$B506))+ISNUMBER(SEARCH("battery",$B506))+ISNUMBER(SEARCH("oil",$B506))+ISNUMBER(SEARCH("filter",$B506))+ISNUMBER(SEARCH("spare",$B506))+ISNUMBER(SEARCH("insurance",$B506))+ISNUMBER(SEARCH("lto",$B506))+ISNUMBER(SEARCH("registration",$B506))+ISNUMBER(SEARCH("emission",$B506))+ISNUMBER(SEARCH("wash",$B506))+ISNUMBER(SEARCH("weigh",$B506))+ISNUMBER(SEARCH("tarp",$B506))&gt;0,"Vehicle",IF(ISNUMBER(SEARCH("rent",$B506))+ISNUMBER(SEARCH("upa",$B506))+ISNUMBER(SEARCH("salary",$B506))+ISNUMBER(SEARCH("sweldo",$B506))+ISNUMBER(SEARCH("wage",$B506))+ISNUMBER(SEARCH("electric",$B506))+ISNUMBER(SEARCH("kuryente",$B506))+ISNUMBER(SEARCH("water",$B506))+ISNUMBER(SEARCH("tubig",$B506))+ISNUMBER(SEARCH("internet",$B506))+ISNUMBER(SEARCH("pldt",$B506))+ISNUMBER(SEARCH("meralco",$B506))+ISNUMBER(SEARCH("supplies",$B506))+ISNUMBER(SEARCH("office",$B506))+ISNUMBER(SEARCH("professional",$B506))+ISNUMBER(SEARCH("accountant",$B506))+ISNUMBER(SEARCH("lawyer",$B506))+ISNUMBER(SEARCH("broker",$B506))+ISNUMBER(SEARCH("bank",$B506))+ISNUMBER(SEARCH("charge",$B506))+ISNUMBER(SEARCH("permit",$B506))+ISNUMBER(SEARCH("bir",$B506))+ISNUMBER(SEARCH("ltfrb",$B506))+ISNUMBER(SEARCH("misc",$B506))+ISNUMBER(SEARCH("fee",$B506))&gt;0,"Overhead","Overhead")))))))</f>
        <v/>
      </c>
      <c r="J506">
        <f>IF($A506="","",DATE(YEAR($A506),MONTH($A506),1))</f>
        <v/>
      </c>
      <c r="K506">
        <f>IF($B506="","",IF(COUNTIF(Setup!$A$99:$A$128,$B506)&gt;0,0,1))</f>
        <v/>
      </c>
      <c r="L506">
        <f>IF($B506="","",IF(ISNUMBER(SEARCH("advance",$B506)),"ADV",IF(OR(ISNUMBER(SEARCH("payout",$B506)),ISNUMBER(SEARCH("pay out",$B506)),ISNUMBER(SEARCH("release",$B506))),"PAY","")))</f>
        <v/>
      </c>
      <c r="M506">
        <f>IF($B506="","",IF(ISNUMBER(SEARCH("bulk",$B506)),0,IF(ISNUMBER(SEARCH("fuel",$B506))+ISNUMBER(SEARCH("diesel",$B506))+ISNUMBER(SEARCH("krudo",$B506))+ISNUMBER(SEARCH("gasolina",$B506))&gt;0,1,0)))</f>
        <v/>
      </c>
      <c r="N506">
        <f>IF($B506="","",IF(ISNUMBER(SEARCH("fuel",$B506))+ISNUMBER(SEARCH("diesel",$B506))+ISNUMBER(SEARCH("krudo",$B506))+ISNUMBER(SEARCH("gasolina",$B506))&gt;0,1,0))</f>
        <v/>
      </c>
    </row>
    <row r="507">
      <c r="A507" s="86" t="n"/>
      <c r="B507" s="88" t="n"/>
      <c r="C507" s="88" t="n"/>
      <c r="D507" s="87" t="n"/>
      <c r="E507" s="88" t="n"/>
      <c r="F507" s="92" t="n"/>
      <c r="G507" s="87" t="n"/>
      <c r="H507" s="87" t="n"/>
      <c r="I507" s="101">
        <f>IF($B507="","",IF(COUNTIF(Setup!$A$99:$A$128,$B507)&gt;0,IF(INDEX(Setup!$B$99:$B$128,MATCH($B507,Setup!$A$99:$A$128,0))="","Overhead",INDEX(Setup!$B$99:$B$128,MATCH($B507,Setup!$A$99:$A$128,0))),IF(ISNUMBER(SEARCH("advance",$B507))+ISNUMBER(SEARCH("payout",$B507))+ISNUMBER(SEARCH("pay out",$B507))+ISNUMBER(SEARCH("reimburs",$B507))&gt;0,"Transfer",IF(ISNUMBER(SEARCH("loan",$B507))+ISNUMBER(SEARCH("amort",$B507))+ISNUMBER(SEARCH("installment",$B507))+ISNUMBER(SEARCH("instalment",$B507))&gt;0,"Financing",IF(ISNUMBER(SEARCH("draw",$B507))+ISNUMBER(SEARCH("owner",$B507))+ISNUMBER(SEARCH("asset",$B507))+ISNUMBER(SEARCH("capital",$B507))&gt;0,"Other",IF(ISNUMBER(SEARCH("fuel",$B507))+ISNUMBER(SEARCH("diesel",$B507))+ISNUMBER(SEARCH("krudo",$B507))+ISNUMBER(SEARCH("gasolina",$B507))+ISNUMBER(SEARCH("toll",$B507))+ISNUMBER(SEARCH("parking",$B507))+ISNUMBER(SEARCH("repair",$B507))+ISNUMBER(SEARCH("maintenance",$B507))+ISNUMBER(SEARCH("tire",$B507))+ISNUMBER(SEARCH("tyre",$B507))+ISNUMBER(SEARCH("battery",$B507))+ISNUMBER(SEARCH("oil",$B507))+ISNUMBER(SEARCH("filter",$B507))+ISNUMBER(SEARCH("spare",$B507))+ISNUMBER(SEARCH("insurance",$B507))+ISNUMBER(SEARCH("lto",$B507))+ISNUMBER(SEARCH("registration",$B507))+ISNUMBER(SEARCH("emission",$B507))+ISNUMBER(SEARCH("wash",$B507))+ISNUMBER(SEARCH("weigh",$B507))+ISNUMBER(SEARCH("tarp",$B507))&gt;0,"Vehicle",IF(ISNUMBER(SEARCH("rent",$B507))+ISNUMBER(SEARCH("upa",$B507))+ISNUMBER(SEARCH("salary",$B507))+ISNUMBER(SEARCH("sweldo",$B507))+ISNUMBER(SEARCH("wage",$B507))+ISNUMBER(SEARCH("electric",$B507))+ISNUMBER(SEARCH("kuryente",$B507))+ISNUMBER(SEARCH("water",$B507))+ISNUMBER(SEARCH("tubig",$B507))+ISNUMBER(SEARCH("internet",$B507))+ISNUMBER(SEARCH("pldt",$B507))+ISNUMBER(SEARCH("meralco",$B507))+ISNUMBER(SEARCH("supplies",$B507))+ISNUMBER(SEARCH("office",$B507))+ISNUMBER(SEARCH("professional",$B507))+ISNUMBER(SEARCH("accountant",$B507))+ISNUMBER(SEARCH("lawyer",$B507))+ISNUMBER(SEARCH("broker",$B507))+ISNUMBER(SEARCH("bank",$B507))+ISNUMBER(SEARCH("charge",$B507))+ISNUMBER(SEARCH("permit",$B507))+ISNUMBER(SEARCH("bir",$B507))+ISNUMBER(SEARCH("ltfrb",$B507))+ISNUMBER(SEARCH("misc",$B507))+ISNUMBER(SEARCH("fee",$B507))&gt;0,"Overhead","Overhead")))))))</f>
        <v/>
      </c>
      <c r="J507">
        <f>IF($A507="","",DATE(YEAR($A507),MONTH($A507),1))</f>
        <v/>
      </c>
      <c r="K507">
        <f>IF($B507="","",IF(COUNTIF(Setup!$A$99:$A$128,$B507)&gt;0,0,1))</f>
        <v/>
      </c>
      <c r="L507">
        <f>IF($B507="","",IF(ISNUMBER(SEARCH("advance",$B507)),"ADV",IF(OR(ISNUMBER(SEARCH("payout",$B507)),ISNUMBER(SEARCH("pay out",$B507)),ISNUMBER(SEARCH("release",$B507))),"PAY","")))</f>
        <v/>
      </c>
      <c r="M507">
        <f>IF($B507="","",IF(ISNUMBER(SEARCH("bulk",$B507)),0,IF(ISNUMBER(SEARCH("fuel",$B507))+ISNUMBER(SEARCH("diesel",$B507))+ISNUMBER(SEARCH("krudo",$B507))+ISNUMBER(SEARCH("gasolina",$B507))&gt;0,1,0)))</f>
        <v/>
      </c>
      <c r="N507">
        <f>IF($B507="","",IF(ISNUMBER(SEARCH("fuel",$B507))+ISNUMBER(SEARCH("diesel",$B507))+ISNUMBER(SEARCH("krudo",$B507))+ISNUMBER(SEARCH("gasolina",$B507))&gt;0,1,0))</f>
        <v/>
      </c>
    </row>
    <row r="508">
      <c r="A508" s="94" t="n"/>
      <c r="B508" s="96" t="n"/>
      <c r="C508" s="96" t="n"/>
      <c r="D508" s="95" t="n"/>
      <c r="E508" s="96" t="n"/>
      <c r="F508" s="99" t="n"/>
      <c r="G508" s="95" t="n"/>
      <c r="H508" s="95" t="n"/>
      <c r="I508" s="101">
        <f>IF($B508="","",IF(COUNTIF(Setup!$A$99:$A$128,$B508)&gt;0,IF(INDEX(Setup!$B$99:$B$128,MATCH($B508,Setup!$A$99:$A$128,0))="","Overhead",INDEX(Setup!$B$99:$B$128,MATCH($B508,Setup!$A$99:$A$128,0))),IF(ISNUMBER(SEARCH("advance",$B508))+ISNUMBER(SEARCH("payout",$B508))+ISNUMBER(SEARCH("pay out",$B508))+ISNUMBER(SEARCH("reimburs",$B508))&gt;0,"Transfer",IF(ISNUMBER(SEARCH("loan",$B508))+ISNUMBER(SEARCH("amort",$B508))+ISNUMBER(SEARCH("installment",$B508))+ISNUMBER(SEARCH("instalment",$B508))&gt;0,"Financing",IF(ISNUMBER(SEARCH("draw",$B508))+ISNUMBER(SEARCH("owner",$B508))+ISNUMBER(SEARCH("asset",$B508))+ISNUMBER(SEARCH("capital",$B508))&gt;0,"Other",IF(ISNUMBER(SEARCH("fuel",$B508))+ISNUMBER(SEARCH("diesel",$B508))+ISNUMBER(SEARCH("krudo",$B508))+ISNUMBER(SEARCH("gasolina",$B508))+ISNUMBER(SEARCH("toll",$B508))+ISNUMBER(SEARCH("parking",$B508))+ISNUMBER(SEARCH("repair",$B508))+ISNUMBER(SEARCH("maintenance",$B508))+ISNUMBER(SEARCH("tire",$B508))+ISNUMBER(SEARCH("tyre",$B508))+ISNUMBER(SEARCH("battery",$B508))+ISNUMBER(SEARCH("oil",$B508))+ISNUMBER(SEARCH("filter",$B508))+ISNUMBER(SEARCH("spare",$B508))+ISNUMBER(SEARCH("insurance",$B508))+ISNUMBER(SEARCH("lto",$B508))+ISNUMBER(SEARCH("registration",$B508))+ISNUMBER(SEARCH("emission",$B508))+ISNUMBER(SEARCH("wash",$B508))+ISNUMBER(SEARCH("weigh",$B508))+ISNUMBER(SEARCH("tarp",$B508))&gt;0,"Vehicle",IF(ISNUMBER(SEARCH("rent",$B508))+ISNUMBER(SEARCH("upa",$B508))+ISNUMBER(SEARCH("salary",$B508))+ISNUMBER(SEARCH("sweldo",$B508))+ISNUMBER(SEARCH("wage",$B508))+ISNUMBER(SEARCH("electric",$B508))+ISNUMBER(SEARCH("kuryente",$B508))+ISNUMBER(SEARCH("water",$B508))+ISNUMBER(SEARCH("tubig",$B508))+ISNUMBER(SEARCH("internet",$B508))+ISNUMBER(SEARCH("pldt",$B508))+ISNUMBER(SEARCH("meralco",$B508))+ISNUMBER(SEARCH("supplies",$B508))+ISNUMBER(SEARCH("office",$B508))+ISNUMBER(SEARCH("professional",$B508))+ISNUMBER(SEARCH("accountant",$B508))+ISNUMBER(SEARCH("lawyer",$B508))+ISNUMBER(SEARCH("broker",$B508))+ISNUMBER(SEARCH("bank",$B508))+ISNUMBER(SEARCH("charge",$B508))+ISNUMBER(SEARCH("permit",$B508))+ISNUMBER(SEARCH("bir",$B508))+ISNUMBER(SEARCH("ltfrb",$B508))+ISNUMBER(SEARCH("misc",$B508))+ISNUMBER(SEARCH("fee",$B508))&gt;0,"Overhead","Overhead")))))))</f>
        <v/>
      </c>
      <c r="J508">
        <f>IF($A508="","",DATE(YEAR($A508),MONTH($A508),1))</f>
        <v/>
      </c>
      <c r="K508">
        <f>IF($B508="","",IF(COUNTIF(Setup!$A$99:$A$128,$B508)&gt;0,0,1))</f>
        <v/>
      </c>
      <c r="L508">
        <f>IF($B508="","",IF(ISNUMBER(SEARCH("advance",$B508)),"ADV",IF(OR(ISNUMBER(SEARCH("payout",$B508)),ISNUMBER(SEARCH("pay out",$B508)),ISNUMBER(SEARCH("release",$B508))),"PAY","")))</f>
        <v/>
      </c>
      <c r="M508">
        <f>IF($B508="","",IF(ISNUMBER(SEARCH("bulk",$B508)),0,IF(ISNUMBER(SEARCH("fuel",$B508))+ISNUMBER(SEARCH("diesel",$B508))+ISNUMBER(SEARCH("krudo",$B508))+ISNUMBER(SEARCH("gasolina",$B508))&gt;0,1,0)))</f>
        <v/>
      </c>
      <c r="N508">
        <f>IF($B508="","",IF(ISNUMBER(SEARCH("fuel",$B508))+ISNUMBER(SEARCH("diesel",$B508))+ISNUMBER(SEARCH("krudo",$B508))+ISNUMBER(SEARCH("gasolina",$B508))&gt;0,1,0))</f>
        <v/>
      </c>
    </row>
    <row r="509">
      <c r="A509" s="86" t="n"/>
      <c r="B509" s="88" t="n"/>
      <c r="C509" s="88" t="n"/>
      <c r="D509" s="87" t="n"/>
      <c r="E509" s="88" t="n"/>
      <c r="F509" s="92" t="n"/>
      <c r="G509" s="87" t="n"/>
      <c r="H509" s="87" t="n"/>
      <c r="I509" s="101">
        <f>IF($B509="","",IF(COUNTIF(Setup!$A$99:$A$128,$B509)&gt;0,IF(INDEX(Setup!$B$99:$B$128,MATCH($B509,Setup!$A$99:$A$128,0))="","Overhead",INDEX(Setup!$B$99:$B$128,MATCH($B509,Setup!$A$99:$A$128,0))),IF(ISNUMBER(SEARCH("advance",$B509))+ISNUMBER(SEARCH("payout",$B509))+ISNUMBER(SEARCH("pay out",$B509))+ISNUMBER(SEARCH("reimburs",$B509))&gt;0,"Transfer",IF(ISNUMBER(SEARCH("loan",$B509))+ISNUMBER(SEARCH("amort",$B509))+ISNUMBER(SEARCH("installment",$B509))+ISNUMBER(SEARCH("instalment",$B509))&gt;0,"Financing",IF(ISNUMBER(SEARCH("draw",$B509))+ISNUMBER(SEARCH("owner",$B509))+ISNUMBER(SEARCH("asset",$B509))+ISNUMBER(SEARCH("capital",$B509))&gt;0,"Other",IF(ISNUMBER(SEARCH("fuel",$B509))+ISNUMBER(SEARCH("diesel",$B509))+ISNUMBER(SEARCH("krudo",$B509))+ISNUMBER(SEARCH("gasolina",$B509))+ISNUMBER(SEARCH("toll",$B509))+ISNUMBER(SEARCH("parking",$B509))+ISNUMBER(SEARCH("repair",$B509))+ISNUMBER(SEARCH("maintenance",$B509))+ISNUMBER(SEARCH("tire",$B509))+ISNUMBER(SEARCH("tyre",$B509))+ISNUMBER(SEARCH("battery",$B509))+ISNUMBER(SEARCH("oil",$B509))+ISNUMBER(SEARCH("filter",$B509))+ISNUMBER(SEARCH("spare",$B509))+ISNUMBER(SEARCH("insurance",$B509))+ISNUMBER(SEARCH("lto",$B509))+ISNUMBER(SEARCH("registration",$B509))+ISNUMBER(SEARCH("emission",$B509))+ISNUMBER(SEARCH("wash",$B509))+ISNUMBER(SEARCH("weigh",$B509))+ISNUMBER(SEARCH("tarp",$B509))&gt;0,"Vehicle",IF(ISNUMBER(SEARCH("rent",$B509))+ISNUMBER(SEARCH("upa",$B509))+ISNUMBER(SEARCH("salary",$B509))+ISNUMBER(SEARCH("sweldo",$B509))+ISNUMBER(SEARCH("wage",$B509))+ISNUMBER(SEARCH("electric",$B509))+ISNUMBER(SEARCH("kuryente",$B509))+ISNUMBER(SEARCH("water",$B509))+ISNUMBER(SEARCH("tubig",$B509))+ISNUMBER(SEARCH("internet",$B509))+ISNUMBER(SEARCH("pldt",$B509))+ISNUMBER(SEARCH("meralco",$B509))+ISNUMBER(SEARCH("supplies",$B509))+ISNUMBER(SEARCH("office",$B509))+ISNUMBER(SEARCH("professional",$B509))+ISNUMBER(SEARCH("accountant",$B509))+ISNUMBER(SEARCH("lawyer",$B509))+ISNUMBER(SEARCH("broker",$B509))+ISNUMBER(SEARCH("bank",$B509))+ISNUMBER(SEARCH("charge",$B509))+ISNUMBER(SEARCH("permit",$B509))+ISNUMBER(SEARCH("bir",$B509))+ISNUMBER(SEARCH("ltfrb",$B509))+ISNUMBER(SEARCH("misc",$B509))+ISNUMBER(SEARCH("fee",$B509))&gt;0,"Overhead","Overhead")))))))</f>
        <v/>
      </c>
      <c r="J509">
        <f>IF($A509="","",DATE(YEAR($A509),MONTH($A509),1))</f>
        <v/>
      </c>
      <c r="K509">
        <f>IF($B509="","",IF(COUNTIF(Setup!$A$99:$A$128,$B509)&gt;0,0,1))</f>
        <v/>
      </c>
      <c r="L509">
        <f>IF($B509="","",IF(ISNUMBER(SEARCH("advance",$B509)),"ADV",IF(OR(ISNUMBER(SEARCH("payout",$B509)),ISNUMBER(SEARCH("pay out",$B509)),ISNUMBER(SEARCH("release",$B509))),"PAY","")))</f>
        <v/>
      </c>
      <c r="M509">
        <f>IF($B509="","",IF(ISNUMBER(SEARCH("bulk",$B509)),0,IF(ISNUMBER(SEARCH("fuel",$B509))+ISNUMBER(SEARCH("diesel",$B509))+ISNUMBER(SEARCH("krudo",$B509))+ISNUMBER(SEARCH("gasolina",$B509))&gt;0,1,0)))</f>
        <v/>
      </c>
      <c r="N509">
        <f>IF($B509="","",IF(ISNUMBER(SEARCH("fuel",$B509))+ISNUMBER(SEARCH("diesel",$B509))+ISNUMBER(SEARCH("krudo",$B509))+ISNUMBER(SEARCH("gasolina",$B509))&gt;0,1,0))</f>
        <v/>
      </c>
    </row>
    <row r="510">
      <c r="A510" s="94" t="n"/>
      <c r="B510" s="96" t="n"/>
      <c r="C510" s="96" t="n"/>
      <c r="D510" s="95" t="n"/>
      <c r="E510" s="96" t="n"/>
      <c r="F510" s="99" t="n"/>
      <c r="G510" s="95" t="n"/>
      <c r="H510" s="95" t="n"/>
      <c r="I510" s="101">
        <f>IF($B510="","",IF(COUNTIF(Setup!$A$99:$A$128,$B510)&gt;0,IF(INDEX(Setup!$B$99:$B$128,MATCH($B510,Setup!$A$99:$A$128,0))="","Overhead",INDEX(Setup!$B$99:$B$128,MATCH($B510,Setup!$A$99:$A$128,0))),IF(ISNUMBER(SEARCH("advance",$B510))+ISNUMBER(SEARCH("payout",$B510))+ISNUMBER(SEARCH("pay out",$B510))+ISNUMBER(SEARCH("reimburs",$B510))&gt;0,"Transfer",IF(ISNUMBER(SEARCH("loan",$B510))+ISNUMBER(SEARCH("amort",$B510))+ISNUMBER(SEARCH("installment",$B510))+ISNUMBER(SEARCH("instalment",$B510))&gt;0,"Financing",IF(ISNUMBER(SEARCH("draw",$B510))+ISNUMBER(SEARCH("owner",$B510))+ISNUMBER(SEARCH("asset",$B510))+ISNUMBER(SEARCH("capital",$B510))&gt;0,"Other",IF(ISNUMBER(SEARCH("fuel",$B510))+ISNUMBER(SEARCH("diesel",$B510))+ISNUMBER(SEARCH("krudo",$B510))+ISNUMBER(SEARCH("gasolina",$B510))+ISNUMBER(SEARCH("toll",$B510))+ISNUMBER(SEARCH("parking",$B510))+ISNUMBER(SEARCH("repair",$B510))+ISNUMBER(SEARCH("maintenance",$B510))+ISNUMBER(SEARCH("tire",$B510))+ISNUMBER(SEARCH("tyre",$B510))+ISNUMBER(SEARCH("battery",$B510))+ISNUMBER(SEARCH("oil",$B510))+ISNUMBER(SEARCH("filter",$B510))+ISNUMBER(SEARCH("spare",$B510))+ISNUMBER(SEARCH("insurance",$B510))+ISNUMBER(SEARCH("lto",$B510))+ISNUMBER(SEARCH("registration",$B510))+ISNUMBER(SEARCH("emission",$B510))+ISNUMBER(SEARCH("wash",$B510))+ISNUMBER(SEARCH("weigh",$B510))+ISNUMBER(SEARCH("tarp",$B510))&gt;0,"Vehicle",IF(ISNUMBER(SEARCH("rent",$B510))+ISNUMBER(SEARCH("upa",$B510))+ISNUMBER(SEARCH("salary",$B510))+ISNUMBER(SEARCH("sweldo",$B510))+ISNUMBER(SEARCH("wage",$B510))+ISNUMBER(SEARCH("electric",$B510))+ISNUMBER(SEARCH("kuryente",$B510))+ISNUMBER(SEARCH("water",$B510))+ISNUMBER(SEARCH("tubig",$B510))+ISNUMBER(SEARCH("internet",$B510))+ISNUMBER(SEARCH("pldt",$B510))+ISNUMBER(SEARCH("meralco",$B510))+ISNUMBER(SEARCH("supplies",$B510))+ISNUMBER(SEARCH("office",$B510))+ISNUMBER(SEARCH("professional",$B510))+ISNUMBER(SEARCH("accountant",$B510))+ISNUMBER(SEARCH("lawyer",$B510))+ISNUMBER(SEARCH("broker",$B510))+ISNUMBER(SEARCH("bank",$B510))+ISNUMBER(SEARCH("charge",$B510))+ISNUMBER(SEARCH("permit",$B510))+ISNUMBER(SEARCH("bir",$B510))+ISNUMBER(SEARCH("ltfrb",$B510))+ISNUMBER(SEARCH("misc",$B510))+ISNUMBER(SEARCH("fee",$B510))&gt;0,"Overhead","Overhead")))))))</f>
        <v/>
      </c>
      <c r="J510">
        <f>IF($A510="","",DATE(YEAR($A510),MONTH($A510),1))</f>
        <v/>
      </c>
      <c r="K510">
        <f>IF($B510="","",IF(COUNTIF(Setup!$A$99:$A$128,$B510)&gt;0,0,1))</f>
        <v/>
      </c>
      <c r="L510">
        <f>IF($B510="","",IF(ISNUMBER(SEARCH("advance",$B510)),"ADV",IF(OR(ISNUMBER(SEARCH("payout",$B510)),ISNUMBER(SEARCH("pay out",$B510)),ISNUMBER(SEARCH("release",$B510))),"PAY","")))</f>
        <v/>
      </c>
      <c r="M510">
        <f>IF($B510="","",IF(ISNUMBER(SEARCH("bulk",$B510)),0,IF(ISNUMBER(SEARCH("fuel",$B510))+ISNUMBER(SEARCH("diesel",$B510))+ISNUMBER(SEARCH("krudo",$B510))+ISNUMBER(SEARCH("gasolina",$B510))&gt;0,1,0)))</f>
        <v/>
      </c>
      <c r="N510">
        <f>IF($B510="","",IF(ISNUMBER(SEARCH("fuel",$B510))+ISNUMBER(SEARCH("diesel",$B510))+ISNUMBER(SEARCH("krudo",$B510))+ISNUMBER(SEARCH("gasolina",$B510))&gt;0,1,0))</f>
        <v/>
      </c>
    </row>
    <row r="511">
      <c r="A511" s="86" t="n"/>
      <c r="B511" s="88" t="n"/>
      <c r="C511" s="88" t="n"/>
      <c r="D511" s="87" t="n"/>
      <c r="E511" s="88" t="n"/>
      <c r="F511" s="92" t="n"/>
      <c r="G511" s="87" t="n"/>
      <c r="H511" s="87" t="n"/>
      <c r="I511" s="101">
        <f>IF($B511="","",IF(COUNTIF(Setup!$A$99:$A$128,$B511)&gt;0,IF(INDEX(Setup!$B$99:$B$128,MATCH($B511,Setup!$A$99:$A$128,0))="","Overhead",INDEX(Setup!$B$99:$B$128,MATCH($B511,Setup!$A$99:$A$128,0))),IF(ISNUMBER(SEARCH("advance",$B511))+ISNUMBER(SEARCH("payout",$B511))+ISNUMBER(SEARCH("pay out",$B511))+ISNUMBER(SEARCH("reimburs",$B511))&gt;0,"Transfer",IF(ISNUMBER(SEARCH("loan",$B511))+ISNUMBER(SEARCH("amort",$B511))+ISNUMBER(SEARCH("installment",$B511))+ISNUMBER(SEARCH("instalment",$B511))&gt;0,"Financing",IF(ISNUMBER(SEARCH("draw",$B511))+ISNUMBER(SEARCH("owner",$B511))+ISNUMBER(SEARCH("asset",$B511))+ISNUMBER(SEARCH("capital",$B511))&gt;0,"Other",IF(ISNUMBER(SEARCH("fuel",$B511))+ISNUMBER(SEARCH("diesel",$B511))+ISNUMBER(SEARCH("krudo",$B511))+ISNUMBER(SEARCH("gasolina",$B511))+ISNUMBER(SEARCH("toll",$B511))+ISNUMBER(SEARCH("parking",$B511))+ISNUMBER(SEARCH("repair",$B511))+ISNUMBER(SEARCH("maintenance",$B511))+ISNUMBER(SEARCH("tire",$B511))+ISNUMBER(SEARCH("tyre",$B511))+ISNUMBER(SEARCH("battery",$B511))+ISNUMBER(SEARCH("oil",$B511))+ISNUMBER(SEARCH("filter",$B511))+ISNUMBER(SEARCH("spare",$B511))+ISNUMBER(SEARCH("insurance",$B511))+ISNUMBER(SEARCH("lto",$B511))+ISNUMBER(SEARCH("registration",$B511))+ISNUMBER(SEARCH("emission",$B511))+ISNUMBER(SEARCH("wash",$B511))+ISNUMBER(SEARCH("weigh",$B511))+ISNUMBER(SEARCH("tarp",$B511))&gt;0,"Vehicle",IF(ISNUMBER(SEARCH("rent",$B511))+ISNUMBER(SEARCH("upa",$B511))+ISNUMBER(SEARCH("salary",$B511))+ISNUMBER(SEARCH("sweldo",$B511))+ISNUMBER(SEARCH("wage",$B511))+ISNUMBER(SEARCH("electric",$B511))+ISNUMBER(SEARCH("kuryente",$B511))+ISNUMBER(SEARCH("water",$B511))+ISNUMBER(SEARCH("tubig",$B511))+ISNUMBER(SEARCH("internet",$B511))+ISNUMBER(SEARCH("pldt",$B511))+ISNUMBER(SEARCH("meralco",$B511))+ISNUMBER(SEARCH("supplies",$B511))+ISNUMBER(SEARCH("office",$B511))+ISNUMBER(SEARCH("professional",$B511))+ISNUMBER(SEARCH("accountant",$B511))+ISNUMBER(SEARCH("lawyer",$B511))+ISNUMBER(SEARCH("broker",$B511))+ISNUMBER(SEARCH("bank",$B511))+ISNUMBER(SEARCH("charge",$B511))+ISNUMBER(SEARCH("permit",$B511))+ISNUMBER(SEARCH("bir",$B511))+ISNUMBER(SEARCH("ltfrb",$B511))+ISNUMBER(SEARCH("misc",$B511))+ISNUMBER(SEARCH("fee",$B511))&gt;0,"Overhead","Overhead")))))))</f>
        <v/>
      </c>
      <c r="J511">
        <f>IF($A511="","",DATE(YEAR($A511),MONTH($A511),1))</f>
        <v/>
      </c>
      <c r="K511">
        <f>IF($B511="","",IF(COUNTIF(Setup!$A$99:$A$128,$B511)&gt;0,0,1))</f>
        <v/>
      </c>
      <c r="L511">
        <f>IF($B511="","",IF(ISNUMBER(SEARCH("advance",$B511)),"ADV",IF(OR(ISNUMBER(SEARCH("payout",$B511)),ISNUMBER(SEARCH("pay out",$B511)),ISNUMBER(SEARCH("release",$B511))),"PAY","")))</f>
        <v/>
      </c>
      <c r="M511">
        <f>IF($B511="","",IF(ISNUMBER(SEARCH("bulk",$B511)),0,IF(ISNUMBER(SEARCH("fuel",$B511))+ISNUMBER(SEARCH("diesel",$B511))+ISNUMBER(SEARCH("krudo",$B511))+ISNUMBER(SEARCH("gasolina",$B511))&gt;0,1,0)))</f>
        <v/>
      </c>
      <c r="N511">
        <f>IF($B511="","",IF(ISNUMBER(SEARCH("fuel",$B511))+ISNUMBER(SEARCH("diesel",$B511))+ISNUMBER(SEARCH("krudo",$B511))+ISNUMBER(SEARCH("gasolina",$B511))&gt;0,1,0))</f>
        <v/>
      </c>
    </row>
    <row r="512">
      <c r="A512" s="94" t="n"/>
      <c r="B512" s="96" t="n"/>
      <c r="C512" s="96" t="n"/>
      <c r="D512" s="95" t="n"/>
      <c r="E512" s="96" t="n"/>
      <c r="F512" s="99" t="n"/>
      <c r="G512" s="95" t="n"/>
      <c r="H512" s="95" t="n"/>
      <c r="I512" s="101">
        <f>IF($B512="","",IF(COUNTIF(Setup!$A$99:$A$128,$B512)&gt;0,IF(INDEX(Setup!$B$99:$B$128,MATCH($B512,Setup!$A$99:$A$128,0))="","Overhead",INDEX(Setup!$B$99:$B$128,MATCH($B512,Setup!$A$99:$A$128,0))),IF(ISNUMBER(SEARCH("advance",$B512))+ISNUMBER(SEARCH("payout",$B512))+ISNUMBER(SEARCH("pay out",$B512))+ISNUMBER(SEARCH("reimburs",$B512))&gt;0,"Transfer",IF(ISNUMBER(SEARCH("loan",$B512))+ISNUMBER(SEARCH("amort",$B512))+ISNUMBER(SEARCH("installment",$B512))+ISNUMBER(SEARCH("instalment",$B512))&gt;0,"Financing",IF(ISNUMBER(SEARCH("draw",$B512))+ISNUMBER(SEARCH("owner",$B512))+ISNUMBER(SEARCH("asset",$B512))+ISNUMBER(SEARCH("capital",$B512))&gt;0,"Other",IF(ISNUMBER(SEARCH("fuel",$B512))+ISNUMBER(SEARCH("diesel",$B512))+ISNUMBER(SEARCH("krudo",$B512))+ISNUMBER(SEARCH("gasolina",$B512))+ISNUMBER(SEARCH("toll",$B512))+ISNUMBER(SEARCH("parking",$B512))+ISNUMBER(SEARCH("repair",$B512))+ISNUMBER(SEARCH("maintenance",$B512))+ISNUMBER(SEARCH("tire",$B512))+ISNUMBER(SEARCH("tyre",$B512))+ISNUMBER(SEARCH("battery",$B512))+ISNUMBER(SEARCH("oil",$B512))+ISNUMBER(SEARCH("filter",$B512))+ISNUMBER(SEARCH("spare",$B512))+ISNUMBER(SEARCH("insurance",$B512))+ISNUMBER(SEARCH("lto",$B512))+ISNUMBER(SEARCH("registration",$B512))+ISNUMBER(SEARCH("emission",$B512))+ISNUMBER(SEARCH("wash",$B512))+ISNUMBER(SEARCH("weigh",$B512))+ISNUMBER(SEARCH("tarp",$B512))&gt;0,"Vehicle",IF(ISNUMBER(SEARCH("rent",$B512))+ISNUMBER(SEARCH("upa",$B512))+ISNUMBER(SEARCH("salary",$B512))+ISNUMBER(SEARCH("sweldo",$B512))+ISNUMBER(SEARCH("wage",$B512))+ISNUMBER(SEARCH("electric",$B512))+ISNUMBER(SEARCH("kuryente",$B512))+ISNUMBER(SEARCH("water",$B512))+ISNUMBER(SEARCH("tubig",$B512))+ISNUMBER(SEARCH("internet",$B512))+ISNUMBER(SEARCH("pldt",$B512))+ISNUMBER(SEARCH("meralco",$B512))+ISNUMBER(SEARCH("supplies",$B512))+ISNUMBER(SEARCH("office",$B512))+ISNUMBER(SEARCH("professional",$B512))+ISNUMBER(SEARCH("accountant",$B512))+ISNUMBER(SEARCH("lawyer",$B512))+ISNUMBER(SEARCH("broker",$B512))+ISNUMBER(SEARCH("bank",$B512))+ISNUMBER(SEARCH("charge",$B512))+ISNUMBER(SEARCH("permit",$B512))+ISNUMBER(SEARCH("bir",$B512))+ISNUMBER(SEARCH("ltfrb",$B512))+ISNUMBER(SEARCH("misc",$B512))+ISNUMBER(SEARCH("fee",$B512))&gt;0,"Overhead","Overhead")))))))</f>
        <v/>
      </c>
      <c r="J512">
        <f>IF($A512="","",DATE(YEAR($A512),MONTH($A512),1))</f>
        <v/>
      </c>
      <c r="K512">
        <f>IF($B512="","",IF(COUNTIF(Setup!$A$99:$A$128,$B512)&gt;0,0,1))</f>
        <v/>
      </c>
      <c r="L512">
        <f>IF($B512="","",IF(ISNUMBER(SEARCH("advance",$B512)),"ADV",IF(OR(ISNUMBER(SEARCH("payout",$B512)),ISNUMBER(SEARCH("pay out",$B512)),ISNUMBER(SEARCH("release",$B512))),"PAY","")))</f>
        <v/>
      </c>
      <c r="M512">
        <f>IF($B512="","",IF(ISNUMBER(SEARCH("bulk",$B512)),0,IF(ISNUMBER(SEARCH("fuel",$B512))+ISNUMBER(SEARCH("diesel",$B512))+ISNUMBER(SEARCH("krudo",$B512))+ISNUMBER(SEARCH("gasolina",$B512))&gt;0,1,0)))</f>
        <v/>
      </c>
      <c r="N512">
        <f>IF($B512="","",IF(ISNUMBER(SEARCH("fuel",$B512))+ISNUMBER(SEARCH("diesel",$B512))+ISNUMBER(SEARCH("krudo",$B512))+ISNUMBER(SEARCH("gasolina",$B512))&gt;0,1,0))</f>
        <v/>
      </c>
    </row>
    <row r="513">
      <c r="A513" s="86" t="n"/>
      <c r="B513" s="88" t="n"/>
      <c r="C513" s="88" t="n"/>
      <c r="D513" s="87" t="n"/>
      <c r="E513" s="88" t="n"/>
      <c r="F513" s="92" t="n"/>
      <c r="G513" s="87" t="n"/>
      <c r="H513" s="87" t="n"/>
      <c r="I513" s="101">
        <f>IF($B513="","",IF(COUNTIF(Setup!$A$99:$A$128,$B513)&gt;0,IF(INDEX(Setup!$B$99:$B$128,MATCH($B513,Setup!$A$99:$A$128,0))="","Overhead",INDEX(Setup!$B$99:$B$128,MATCH($B513,Setup!$A$99:$A$128,0))),IF(ISNUMBER(SEARCH("advance",$B513))+ISNUMBER(SEARCH("payout",$B513))+ISNUMBER(SEARCH("pay out",$B513))+ISNUMBER(SEARCH("reimburs",$B513))&gt;0,"Transfer",IF(ISNUMBER(SEARCH("loan",$B513))+ISNUMBER(SEARCH("amort",$B513))+ISNUMBER(SEARCH("installment",$B513))+ISNUMBER(SEARCH("instalment",$B513))&gt;0,"Financing",IF(ISNUMBER(SEARCH("draw",$B513))+ISNUMBER(SEARCH("owner",$B513))+ISNUMBER(SEARCH("asset",$B513))+ISNUMBER(SEARCH("capital",$B513))&gt;0,"Other",IF(ISNUMBER(SEARCH("fuel",$B513))+ISNUMBER(SEARCH("diesel",$B513))+ISNUMBER(SEARCH("krudo",$B513))+ISNUMBER(SEARCH("gasolina",$B513))+ISNUMBER(SEARCH("toll",$B513))+ISNUMBER(SEARCH("parking",$B513))+ISNUMBER(SEARCH("repair",$B513))+ISNUMBER(SEARCH("maintenance",$B513))+ISNUMBER(SEARCH("tire",$B513))+ISNUMBER(SEARCH("tyre",$B513))+ISNUMBER(SEARCH("battery",$B513))+ISNUMBER(SEARCH("oil",$B513))+ISNUMBER(SEARCH("filter",$B513))+ISNUMBER(SEARCH("spare",$B513))+ISNUMBER(SEARCH("insurance",$B513))+ISNUMBER(SEARCH("lto",$B513))+ISNUMBER(SEARCH("registration",$B513))+ISNUMBER(SEARCH("emission",$B513))+ISNUMBER(SEARCH("wash",$B513))+ISNUMBER(SEARCH("weigh",$B513))+ISNUMBER(SEARCH("tarp",$B513))&gt;0,"Vehicle",IF(ISNUMBER(SEARCH("rent",$B513))+ISNUMBER(SEARCH("upa",$B513))+ISNUMBER(SEARCH("salary",$B513))+ISNUMBER(SEARCH("sweldo",$B513))+ISNUMBER(SEARCH("wage",$B513))+ISNUMBER(SEARCH("electric",$B513))+ISNUMBER(SEARCH("kuryente",$B513))+ISNUMBER(SEARCH("water",$B513))+ISNUMBER(SEARCH("tubig",$B513))+ISNUMBER(SEARCH("internet",$B513))+ISNUMBER(SEARCH("pldt",$B513))+ISNUMBER(SEARCH("meralco",$B513))+ISNUMBER(SEARCH("supplies",$B513))+ISNUMBER(SEARCH("office",$B513))+ISNUMBER(SEARCH("professional",$B513))+ISNUMBER(SEARCH("accountant",$B513))+ISNUMBER(SEARCH("lawyer",$B513))+ISNUMBER(SEARCH("broker",$B513))+ISNUMBER(SEARCH("bank",$B513))+ISNUMBER(SEARCH("charge",$B513))+ISNUMBER(SEARCH("permit",$B513))+ISNUMBER(SEARCH("bir",$B513))+ISNUMBER(SEARCH("ltfrb",$B513))+ISNUMBER(SEARCH("misc",$B513))+ISNUMBER(SEARCH("fee",$B513))&gt;0,"Overhead","Overhead")))))))</f>
        <v/>
      </c>
      <c r="J513">
        <f>IF($A513="","",DATE(YEAR($A513),MONTH($A513),1))</f>
        <v/>
      </c>
      <c r="K513">
        <f>IF($B513="","",IF(COUNTIF(Setup!$A$99:$A$128,$B513)&gt;0,0,1))</f>
        <v/>
      </c>
      <c r="L513">
        <f>IF($B513="","",IF(ISNUMBER(SEARCH("advance",$B513)),"ADV",IF(OR(ISNUMBER(SEARCH("payout",$B513)),ISNUMBER(SEARCH("pay out",$B513)),ISNUMBER(SEARCH("release",$B513))),"PAY","")))</f>
        <v/>
      </c>
      <c r="M513">
        <f>IF($B513="","",IF(ISNUMBER(SEARCH("bulk",$B513)),0,IF(ISNUMBER(SEARCH("fuel",$B513))+ISNUMBER(SEARCH("diesel",$B513))+ISNUMBER(SEARCH("krudo",$B513))+ISNUMBER(SEARCH("gasolina",$B513))&gt;0,1,0)))</f>
        <v/>
      </c>
      <c r="N513">
        <f>IF($B513="","",IF(ISNUMBER(SEARCH("fuel",$B513))+ISNUMBER(SEARCH("diesel",$B513))+ISNUMBER(SEARCH("krudo",$B513))+ISNUMBER(SEARCH("gasolina",$B513))&gt;0,1,0))</f>
        <v/>
      </c>
    </row>
    <row r="514">
      <c r="A514" s="94" t="n"/>
      <c r="B514" s="96" t="n"/>
      <c r="C514" s="96" t="n"/>
      <c r="D514" s="95" t="n"/>
      <c r="E514" s="96" t="n"/>
      <c r="F514" s="99" t="n"/>
      <c r="G514" s="95" t="n"/>
      <c r="H514" s="95" t="n"/>
      <c r="I514" s="101">
        <f>IF($B514="","",IF(COUNTIF(Setup!$A$99:$A$128,$B514)&gt;0,IF(INDEX(Setup!$B$99:$B$128,MATCH($B514,Setup!$A$99:$A$128,0))="","Overhead",INDEX(Setup!$B$99:$B$128,MATCH($B514,Setup!$A$99:$A$128,0))),IF(ISNUMBER(SEARCH("advance",$B514))+ISNUMBER(SEARCH("payout",$B514))+ISNUMBER(SEARCH("pay out",$B514))+ISNUMBER(SEARCH("reimburs",$B514))&gt;0,"Transfer",IF(ISNUMBER(SEARCH("loan",$B514))+ISNUMBER(SEARCH("amort",$B514))+ISNUMBER(SEARCH("installment",$B514))+ISNUMBER(SEARCH("instalment",$B514))&gt;0,"Financing",IF(ISNUMBER(SEARCH("draw",$B514))+ISNUMBER(SEARCH("owner",$B514))+ISNUMBER(SEARCH("asset",$B514))+ISNUMBER(SEARCH("capital",$B514))&gt;0,"Other",IF(ISNUMBER(SEARCH("fuel",$B514))+ISNUMBER(SEARCH("diesel",$B514))+ISNUMBER(SEARCH("krudo",$B514))+ISNUMBER(SEARCH("gasolina",$B514))+ISNUMBER(SEARCH("toll",$B514))+ISNUMBER(SEARCH("parking",$B514))+ISNUMBER(SEARCH("repair",$B514))+ISNUMBER(SEARCH("maintenance",$B514))+ISNUMBER(SEARCH("tire",$B514))+ISNUMBER(SEARCH("tyre",$B514))+ISNUMBER(SEARCH("battery",$B514))+ISNUMBER(SEARCH("oil",$B514))+ISNUMBER(SEARCH("filter",$B514))+ISNUMBER(SEARCH("spare",$B514))+ISNUMBER(SEARCH("insurance",$B514))+ISNUMBER(SEARCH("lto",$B514))+ISNUMBER(SEARCH("registration",$B514))+ISNUMBER(SEARCH("emission",$B514))+ISNUMBER(SEARCH("wash",$B514))+ISNUMBER(SEARCH("weigh",$B514))+ISNUMBER(SEARCH("tarp",$B514))&gt;0,"Vehicle",IF(ISNUMBER(SEARCH("rent",$B514))+ISNUMBER(SEARCH("upa",$B514))+ISNUMBER(SEARCH("salary",$B514))+ISNUMBER(SEARCH("sweldo",$B514))+ISNUMBER(SEARCH("wage",$B514))+ISNUMBER(SEARCH("electric",$B514))+ISNUMBER(SEARCH("kuryente",$B514))+ISNUMBER(SEARCH("water",$B514))+ISNUMBER(SEARCH("tubig",$B514))+ISNUMBER(SEARCH("internet",$B514))+ISNUMBER(SEARCH("pldt",$B514))+ISNUMBER(SEARCH("meralco",$B514))+ISNUMBER(SEARCH("supplies",$B514))+ISNUMBER(SEARCH("office",$B514))+ISNUMBER(SEARCH("professional",$B514))+ISNUMBER(SEARCH("accountant",$B514))+ISNUMBER(SEARCH("lawyer",$B514))+ISNUMBER(SEARCH("broker",$B514))+ISNUMBER(SEARCH("bank",$B514))+ISNUMBER(SEARCH("charge",$B514))+ISNUMBER(SEARCH("permit",$B514))+ISNUMBER(SEARCH("bir",$B514))+ISNUMBER(SEARCH("ltfrb",$B514))+ISNUMBER(SEARCH("misc",$B514))+ISNUMBER(SEARCH("fee",$B514))&gt;0,"Overhead","Overhead")))))))</f>
        <v/>
      </c>
      <c r="J514">
        <f>IF($A514="","",DATE(YEAR($A514),MONTH($A514),1))</f>
        <v/>
      </c>
      <c r="K514">
        <f>IF($B514="","",IF(COUNTIF(Setup!$A$99:$A$128,$B514)&gt;0,0,1))</f>
        <v/>
      </c>
      <c r="L514">
        <f>IF($B514="","",IF(ISNUMBER(SEARCH("advance",$B514)),"ADV",IF(OR(ISNUMBER(SEARCH("payout",$B514)),ISNUMBER(SEARCH("pay out",$B514)),ISNUMBER(SEARCH("release",$B514))),"PAY","")))</f>
        <v/>
      </c>
      <c r="M514">
        <f>IF($B514="","",IF(ISNUMBER(SEARCH("bulk",$B514)),0,IF(ISNUMBER(SEARCH("fuel",$B514))+ISNUMBER(SEARCH("diesel",$B514))+ISNUMBER(SEARCH("krudo",$B514))+ISNUMBER(SEARCH("gasolina",$B514))&gt;0,1,0)))</f>
        <v/>
      </c>
      <c r="N514">
        <f>IF($B514="","",IF(ISNUMBER(SEARCH("fuel",$B514))+ISNUMBER(SEARCH("diesel",$B514))+ISNUMBER(SEARCH("krudo",$B514))+ISNUMBER(SEARCH("gasolina",$B514))&gt;0,1,0))</f>
        <v/>
      </c>
    </row>
    <row r="515">
      <c r="A515" s="86" t="n"/>
      <c r="B515" s="88" t="n"/>
      <c r="C515" s="88" t="n"/>
      <c r="D515" s="87" t="n"/>
      <c r="E515" s="88" t="n"/>
      <c r="F515" s="92" t="n"/>
      <c r="G515" s="87" t="n"/>
      <c r="H515" s="87" t="n"/>
      <c r="I515" s="101">
        <f>IF($B515="","",IF(COUNTIF(Setup!$A$99:$A$128,$B515)&gt;0,IF(INDEX(Setup!$B$99:$B$128,MATCH($B515,Setup!$A$99:$A$128,0))="","Overhead",INDEX(Setup!$B$99:$B$128,MATCH($B515,Setup!$A$99:$A$128,0))),IF(ISNUMBER(SEARCH("advance",$B515))+ISNUMBER(SEARCH("payout",$B515))+ISNUMBER(SEARCH("pay out",$B515))+ISNUMBER(SEARCH("reimburs",$B515))&gt;0,"Transfer",IF(ISNUMBER(SEARCH("loan",$B515))+ISNUMBER(SEARCH("amort",$B515))+ISNUMBER(SEARCH("installment",$B515))+ISNUMBER(SEARCH("instalment",$B515))&gt;0,"Financing",IF(ISNUMBER(SEARCH("draw",$B515))+ISNUMBER(SEARCH("owner",$B515))+ISNUMBER(SEARCH("asset",$B515))+ISNUMBER(SEARCH("capital",$B515))&gt;0,"Other",IF(ISNUMBER(SEARCH("fuel",$B515))+ISNUMBER(SEARCH("diesel",$B515))+ISNUMBER(SEARCH("krudo",$B515))+ISNUMBER(SEARCH("gasolina",$B515))+ISNUMBER(SEARCH("toll",$B515))+ISNUMBER(SEARCH("parking",$B515))+ISNUMBER(SEARCH("repair",$B515))+ISNUMBER(SEARCH("maintenance",$B515))+ISNUMBER(SEARCH("tire",$B515))+ISNUMBER(SEARCH("tyre",$B515))+ISNUMBER(SEARCH("battery",$B515))+ISNUMBER(SEARCH("oil",$B515))+ISNUMBER(SEARCH("filter",$B515))+ISNUMBER(SEARCH("spare",$B515))+ISNUMBER(SEARCH("insurance",$B515))+ISNUMBER(SEARCH("lto",$B515))+ISNUMBER(SEARCH("registration",$B515))+ISNUMBER(SEARCH("emission",$B515))+ISNUMBER(SEARCH("wash",$B515))+ISNUMBER(SEARCH("weigh",$B515))+ISNUMBER(SEARCH("tarp",$B515))&gt;0,"Vehicle",IF(ISNUMBER(SEARCH("rent",$B515))+ISNUMBER(SEARCH("upa",$B515))+ISNUMBER(SEARCH("salary",$B515))+ISNUMBER(SEARCH("sweldo",$B515))+ISNUMBER(SEARCH("wage",$B515))+ISNUMBER(SEARCH("electric",$B515))+ISNUMBER(SEARCH("kuryente",$B515))+ISNUMBER(SEARCH("water",$B515))+ISNUMBER(SEARCH("tubig",$B515))+ISNUMBER(SEARCH("internet",$B515))+ISNUMBER(SEARCH("pldt",$B515))+ISNUMBER(SEARCH("meralco",$B515))+ISNUMBER(SEARCH("supplies",$B515))+ISNUMBER(SEARCH("office",$B515))+ISNUMBER(SEARCH("professional",$B515))+ISNUMBER(SEARCH("accountant",$B515))+ISNUMBER(SEARCH("lawyer",$B515))+ISNUMBER(SEARCH("broker",$B515))+ISNUMBER(SEARCH("bank",$B515))+ISNUMBER(SEARCH("charge",$B515))+ISNUMBER(SEARCH("permit",$B515))+ISNUMBER(SEARCH("bir",$B515))+ISNUMBER(SEARCH("ltfrb",$B515))+ISNUMBER(SEARCH("misc",$B515))+ISNUMBER(SEARCH("fee",$B515))&gt;0,"Overhead","Overhead")))))))</f>
        <v/>
      </c>
      <c r="J515">
        <f>IF($A515="","",DATE(YEAR($A515),MONTH($A515),1))</f>
        <v/>
      </c>
      <c r="K515">
        <f>IF($B515="","",IF(COUNTIF(Setup!$A$99:$A$128,$B515)&gt;0,0,1))</f>
        <v/>
      </c>
      <c r="L515">
        <f>IF($B515="","",IF(ISNUMBER(SEARCH("advance",$B515)),"ADV",IF(OR(ISNUMBER(SEARCH("payout",$B515)),ISNUMBER(SEARCH("pay out",$B515)),ISNUMBER(SEARCH("release",$B515))),"PAY","")))</f>
        <v/>
      </c>
      <c r="M515">
        <f>IF($B515="","",IF(ISNUMBER(SEARCH("bulk",$B515)),0,IF(ISNUMBER(SEARCH("fuel",$B515))+ISNUMBER(SEARCH("diesel",$B515))+ISNUMBER(SEARCH("krudo",$B515))+ISNUMBER(SEARCH("gasolina",$B515))&gt;0,1,0)))</f>
        <v/>
      </c>
      <c r="N515">
        <f>IF($B515="","",IF(ISNUMBER(SEARCH("fuel",$B515))+ISNUMBER(SEARCH("diesel",$B515))+ISNUMBER(SEARCH("krudo",$B515))+ISNUMBER(SEARCH("gasolina",$B515))&gt;0,1,0))</f>
        <v/>
      </c>
    </row>
    <row r="516">
      <c r="A516" s="94" t="n"/>
      <c r="B516" s="96" t="n"/>
      <c r="C516" s="96" t="n"/>
      <c r="D516" s="95" t="n"/>
      <c r="E516" s="96" t="n"/>
      <c r="F516" s="99" t="n"/>
      <c r="G516" s="95" t="n"/>
      <c r="H516" s="95" t="n"/>
      <c r="I516" s="101">
        <f>IF($B516="","",IF(COUNTIF(Setup!$A$99:$A$128,$B516)&gt;0,IF(INDEX(Setup!$B$99:$B$128,MATCH($B516,Setup!$A$99:$A$128,0))="","Overhead",INDEX(Setup!$B$99:$B$128,MATCH($B516,Setup!$A$99:$A$128,0))),IF(ISNUMBER(SEARCH("advance",$B516))+ISNUMBER(SEARCH("payout",$B516))+ISNUMBER(SEARCH("pay out",$B516))+ISNUMBER(SEARCH("reimburs",$B516))&gt;0,"Transfer",IF(ISNUMBER(SEARCH("loan",$B516))+ISNUMBER(SEARCH("amort",$B516))+ISNUMBER(SEARCH("installment",$B516))+ISNUMBER(SEARCH("instalment",$B516))&gt;0,"Financing",IF(ISNUMBER(SEARCH("draw",$B516))+ISNUMBER(SEARCH("owner",$B516))+ISNUMBER(SEARCH("asset",$B516))+ISNUMBER(SEARCH("capital",$B516))&gt;0,"Other",IF(ISNUMBER(SEARCH("fuel",$B516))+ISNUMBER(SEARCH("diesel",$B516))+ISNUMBER(SEARCH("krudo",$B516))+ISNUMBER(SEARCH("gasolina",$B516))+ISNUMBER(SEARCH("toll",$B516))+ISNUMBER(SEARCH("parking",$B516))+ISNUMBER(SEARCH("repair",$B516))+ISNUMBER(SEARCH("maintenance",$B516))+ISNUMBER(SEARCH("tire",$B516))+ISNUMBER(SEARCH("tyre",$B516))+ISNUMBER(SEARCH("battery",$B516))+ISNUMBER(SEARCH("oil",$B516))+ISNUMBER(SEARCH("filter",$B516))+ISNUMBER(SEARCH("spare",$B516))+ISNUMBER(SEARCH("insurance",$B516))+ISNUMBER(SEARCH("lto",$B516))+ISNUMBER(SEARCH("registration",$B516))+ISNUMBER(SEARCH("emission",$B516))+ISNUMBER(SEARCH("wash",$B516))+ISNUMBER(SEARCH("weigh",$B516))+ISNUMBER(SEARCH("tarp",$B516))&gt;0,"Vehicle",IF(ISNUMBER(SEARCH("rent",$B516))+ISNUMBER(SEARCH("upa",$B516))+ISNUMBER(SEARCH("salary",$B516))+ISNUMBER(SEARCH("sweldo",$B516))+ISNUMBER(SEARCH("wage",$B516))+ISNUMBER(SEARCH("electric",$B516))+ISNUMBER(SEARCH("kuryente",$B516))+ISNUMBER(SEARCH("water",$B516))+ISNUMBER(SEARCH("tubig",$B516))+ISNUMBER(SEARCH("internet",$B516))+ISNUMBER(SEARCH("pldt",$B516))+ISNUMBER(SEARCH("meralco",$B516))+ISNUMBER(SEARCH("supplies",$B516))+ISNUMBER(SEARCH("office",$B516))+ISNUMBER(SEARCH("professional",$B516))+ISNUMBER(SEARCH("accountant",$B516))+ISNUMBER(SEARCH("lawyer",$B516))+ISNUMBER(SEARCH("broker",$B516))+ISNUMBER(SEARCH("bank",$B516))+ISNUMBER(SEARCH("charge",$B516))+ISNUMBER(SEARCH("permit",$B516))+ISNUMBER(SEARCH("bir",$B516))+ISNUMBER(SEARCH("ltfrb",$B516))+ISNUMBER(SEARCH("misc",$B516))+ISNUMBER(SEARCH("fee",$B516))&gt;0,"Overhead","Overhead")))))))</f>
        <v/>
      </c>
      <c r="J516">
        <f>IF($A516="","",DATE(YEAR($A516),MONTH($A516),1))</f>
        <v/>
      </c>
      <c r="K516">
        <f>IF($B516="","",IF(COUNTIF(Setup!$A$99:$A$128,$B516)&gt;0,0,1))</f>
        <v/>
      </c>
      <c r="L516">
        <f>IF($B516="","",IF(ISNUMBER(SEARCH("advance",$B516)),"ADV",IF(OR(ISNUMBER(SEARCH("payout",$B516)),ISNUMBER(SEARCH("pay out",$B516)),ISNUMBER(SEARCH("release",$B516))),"PAY","")))</f>
        <v/>
      </c>
      <c r="M516">
        <f>IF($B516="","",IF(ISNUMBER(SEARCH("bulk",$B516)),0,IF(ISNUMBER(SEARCH("fuel",$B516))+ISNUMBER(SEARCH("diesel",$B516))+ISNUMBER(SEARCH("krudo",$B516))+ISNUMBER(SEARCH("gasolina",$B516))&gt;0,1,0)))</f>
        <v/>
      </c>
      <c r="N516">
        <f>IF($B516="","",IF(ISNUMBER(SEARCH("fuel",$B516))+ISNUMBER(SEARCH("diesel",$B516))+ISNUMBER(SEARCH("krudo",$B516))+ISNUMBER(SEARCH("gasolina",$B516))&gt;0,1,0))</f>
        <v/>
      </c>
    </row>
    <row r="517">
      <c r="A517" s="86" t="n"/>
      <c r="B517" s="88" t="n"/>
      <c r="C517" s="88" t="n"/>
      <c r="D517" s="87" t="n"/>
      <c r="E517" s="88" t="n"/>
      <c r="F517" s="92" t="n"/>
      <c r="G517" s="87" t="n"/>
      <c r="H517" s="87" t="n"/>
      <c r="I517" s="101">
        <f>IF($B517="","",IF(COUNTIF(Setup!$A$99:$A$128,$B517)&gt;0,IF(INDEX(Setup!$B$99:$B$128,MATCH($B517,Setup!$A$99:$A$128,0))="","Overhead",INDEX(Setup!$B$99:$B$128,MATCH($B517,Setup!$A$99:$A$128,0))),IF(ISNUMBER(SEARCH("advance",$B517))+ISNUMBER(SEARCH("payout",$B517))+ISNUMBER(SEARCH("pay out",$B517))+ISNUMBER(SEARCH("reimburs",$B517))&gt;0,"Transfer",IF(ISNUMBER(SEARCH("loan",$B517))+ISNUMBER(SEARCH("amort",$B517))+ISNUMBER(SEARCH("installment",$B517))+ISNUMBER(SEARCH("instalment",$B517))&gt;0,"Financing",IF(ISNUMBER(SEARCH("draw",$B517))+ISNUMBER(SEARCH("owner",$B517))+ISNUMBER(SEARCH("asset",$B517))+ISNUMBER(SEARCH("capital",$B517))&gt;0,"Other",IF(ISNUMBER(SEARCH("fuel",$B517))+ISNUMBER(SEARCH("diesel",$B517))+ISNUMBER(SEARCH("krudo",$B517))+ISNUMBER(SEARCH("gasolina",$B517))+ISNUMBER(SEARCH("toll",$B517))+ISNUMBER(SEARCH("parking",$B517))+ISNUMBER(SEARCH("repair",$B517))+ISNUMBER(SEARCH("maintenance",$B517))+ISNUMBER(SEARCH("tire",$B517))+ISNUMBER(SEARCH("tyre",$B517))+ISNUMBER(SEARCH("battery",$B517))+ISNUMBER(SEARCH("oil",$B517))+ISNUMBER(SEARCH("filter",$B517))+ISNUMBER(SEARCH("spare",$B517))+ISNUMBER(SEARCH("insurance",$B517))+ISNUMBER(SEARCH("lto",$B517))+ISNUMBER(SEARCH("registration",$B517))+ISNUMBER(SEARCH("emission",$B517))+ISNUMBER(SEARCH("wash",$B517))+ISNUMBER(SEARCH("weigh",$B517))+ISNUMBER(SEARCH("tarp",$B517))&gt;0,"Vehicle",IF(ISNUMBER(SEARCH("rent",$B517))+ISNUMBER(SEARCH("upa",$B517))+ISNUMBER(SEARCH("salary",$B517))+ISNUMBER(SEARCH("sweldo",$B517))+ISNUMBER(SEARCH("wage",$B517))+ISNUMBER(SEARCH("electric",$B517))+ISNUMBER(SEARCH("kuryente",$B517))+ISNUMBER(SEARCH("water",$B517))+ISNUMBER(SEARCH("tubig",$B517))+ISNUMBER(SEARCH("internet",$B517))+ISNUMBER(SEARCH("pldt",$B517))+ISNUMBER(SEARCH("meralco",$B517))+ISNUMBER(SEARCH("supplies",$B517))+ISNUMBER(SEARCH("office",$B517))+ISNUMBER(SEARCH("professional",$B517))+ISNUMBER(SEARCH("accountant",$B517))+ISNUMBER(SEARCH("lawyer",$B517))+ISNUMBER(SEARCH("broker",$B517))+ISNUMBER(SEARCH("bank",$B517))+ISNUMBER(SEARCH("charge",$B517))+ISNUMBER(SEARCH("permit",$B517))+ISNUMBER(SEARCH("bir",$B517))+ISNUMBER(SEARCH("ltfrb",$B517))+ISNUMBER(SEARCH("misc",$B517))+ISNUMBER(SEARCH("fee",$B517))&gt;0,"Overhead","Overhead")))))))</f>
        <v/>
      </c>
      <c r="J517">
        <f>IF($A517="","",DATE(YEAR($A517),MONTH($A517),1))</f>
        <v/>
      </c>
      <c r="K517">
        <f>IF($B517="","",IF(COUNTIF(Setup!$A$99:$A$128,$B517)&gt;0,0,1))</f>
        <v/>
      </c>
      <c r="L517">
        <f>IF($B517="","",IF(ISNUMBER(SEARCH("advance",$B517)),"ADV",IF(OR(ISNUMBER(SEARCH("payout",$B517)),ISNUMBER(SEARCH("pay out",$B517)),ISNUMBER(SEARCH("release",$B517))),"PAY","")))</f>
        <v/>
      </c>
      <c r="M517">
        <f>IF($B517="","",IF(ISNUMBER(SEARCH("bulk",$B517)),0,IF(ISNUMBER(SEARCH("fuel",$B517))+ISNUMBER(SEARCH("diesel",$B517))+ISNUMBER(SEARCH("krudo",$B517))+ISNUMBER(SEARCH("gasolina",$B517))&gt;0,1,0)))</f>
        <v/>
      </c>
      <c r="N517">
        <f>IF($B517="","",IF(ISNUMBER(SEARCH("fuel",$B517))+ISNUMBER(SEARCH("diesel",$B517))+ISNUMBER(SEARCH("krudo",$B517))+ISNUMBER(SEARCH("gasolina",$B517))&gt;0,1,0))</f>
        <v/>
      </c>
    </row>
    <row r="518">
      <c r="A518" s="94" t="n"/>
      <c r="B518" s="96" t="n"/>
      <c r="C518" s="96" t="n"/>
      <c r="D518" s="95" t="n"/>
      <c r="E518" s="96" t="n"/>
      <c r="F518" s="99" t="n"/>
      <c r="G518" s="95" t="n"/>
      <c r="H518" s="95" t="n"/>
      <c r="I518" s="101">
        <f>IF($B518="","",IF(COUNTIF(Setup!$A$99:$A$128,$B518)&gt;0,IF(INDEX(Setup!$B$99:$B$128,MATCH($B518,Setup!$A$99:$A$128,0))="","Overhead",INDEX(Setup!$B$99:$B$128,MATCH($B518,Setup!$A$99:$A$128,0))),IF(ISNUMBER(SEARCH("advance",$B518))+ISNUMBER(SEARCH("payout",$B518))+ISNUMBER(SEARCH("pay out",$B518))+ISNUMBER(SEARCH("reimburs",$B518))&gt;0,"Transfer",IF(ISNUMBER(SEARCH("loan",$B518))+ISNUMBER(SEARCH("amort",$B518))+ISNUMBER(SEARCH("installment",$B518))+ISNUMBER(SEARCH("instalment",$B518))&gt;0,"Financing",IF(ISNUMBER(SEARCH("draw",$B518))+ISNUMBER(SEARCH("owner",$B518))+ISNUMBER(SEARCH("asset",$B518))+ISNUMBER(SEARCH("capital",$B518))&gt;0,"Other",IF(ISNUMBER(SEARCH("fuel",$B518))+ISNUMBER(SEARCH("diesel",$B518))+ISNUMBER(SEARCH("krudo",$B518))+ISNUMBER(SEARCH("gasolina",$B518))+ISNUMBER(SEARCH("toll",$B518))+ISNUMBER(SEARCH("parking",$B518))+ISNUMBER(SEARCH("repair",$B518))+ISNUMBER(SEARCH("maintenance",$B518))+ISNUMBER(SEARCH("tire",$B518))+ISNUMBER(SEARCH("tyre",$B518))+ISNUMBER(SEARCH("battery",$B518))+ISNUMBER(SEARCH("oil",$B518))+ISNUMBER(SEARCH("filter",$B518))+ISNUMBER(SEARCH("spare",$B518))+ISNUMBER(SEARCH("insurance",$B518))+ISNUMBER(SEARCH("lto",$B518))+ISNUMBER(SEARCH("registration",$B518))+ISNUMBER(SEARCH("emission",$B518))+ISNUMBER(SEARCH("wash",$B518))+ISNUMBER(SEARCH("weigh",$B518))+ISNUMBER(SEARCH("tarp",$B518))&gt;0,"Vehicle",IF(ISNUMBER(SEARCH("rent",$B518))+ISNUMBER(SEARCH("upa",$B518))+ISNUMBER(SEARCH("salary",$B518))+ISNUMBER(SEARCH("sweldo",$B518))+ISNUMBER(SEARCH("wage",$B518))+ISNUMBER(SEARCH("electric",$B518))+ISNUMBER(SEARCH("kuryente",$B518))+ISNUMBER(SEARCH("water",$B518))+ISNUMBER(SEARCH("tubig",$B518))+ISNUMBER(SEARCH("internet",$B518))+ISNUMBER(SEARCH("pldt",$B518))+ISNUMBER(SEARCH("meralco",$B518))+ISNUMBER(SEARCH("supplies",$B518))+ISNUMBER(SEARCH("office",$B518))+ISNUMBER(SEARCH("professional",$B518))+ISNUMBER(SEARCH("accountant",$B518))+ISNUMBER(SEARCH("lawyer",$B518))+ISNUMBER(SEARCH("broker",$B518))+ISNUMBER(SEARCH("bank",$B518))+ISNUMBER(SEARCH("charge",$B518))+ISNUMBER(SEARCH("permit",$B518))+ISNUMBER(SEARCH("bir",$B518))+ISNUMBER(SEARCH("ltfrb",$B518))+ISNUMBER(SEARCH("misc",$B518))+ISNUMBER(SEARCH("fee",$B518))&gt;0,"Overhead","Overhead")))))))</f>
        <v/>
      </c>
      <c r="J518">
        <f>IF($A518="","",DATE(YEAR($A518),MONTH($A518),1))</f>
        <v/>
      </c>
      <c r="K518">
        <f>IF($B518="","",IF(COUNTIF(Setup!$A$99:$A$128,$B518)&gt;0,0,1))</f>
        <v/>
      </c>
      <c r="L518">
        <f>IF($B518="","",IF(ISNUMBER(SEARCH("advance",$B518)),"ADV",IF(OR(ISNUMBER(SEARCH("payout",$B518)),ISNUMBER(SEARCH("pay out",$B518)),ISNUMBER(SEARCH("release",$B518))),"PAY","")))</f>
        <v/>
      </c>
      <c r="M518">
        <f>IF($B518="","",IF(ISNUMBER(SEARCH("bulk",$B518)),0,IF(ISNUMBER(SEARCH("fuel",$B518))+ISNUMBER(SEARCH("diesel",$B518))+ISNUMBER(SEARCH("krudo",$B518))+ISNUMBER(SEARCH("gasolina",$B518))&gt;0,1,0)))</f>
        <v/>
      </c>
      <c r="N518">
        <f>IF($B518="","",IF(ISNUMBER(SEARCH("fuel",$B518))+ISNUMBER(SEARCH("diesel",$B518))+ISNUMBER(SEARCH("krudo",$B518))+ISNUMBER(SEARCH("gasolina",$B518))&gt;0,1,0))</f>
        <v/>
      </c>
    </row>
    <row r="519">
      <c r="A519" s="86" t="n"/>
      <c r="B519" s="88" t="n"/>
      <c r="C519" s="88" t="n"/>
      <c r="D519" s="87" t="n"/>
      <c r="E519" s="88" t="n"/>
      <c r="F519" s="92" t="n"/>
      <c r="G519" s="87" t="n"/>
      <c r="H519" s="87" t="n"/>
      <c r="I519" s="101">
        <f>IF($B519="","",IF(COUNTIF(Setup!$A$99:$A$128,$B519)&gt;0,IF(INDEX(Setup!$B$99:$B$128,MATCH($B519,Setup!$A$99:$A$128,0))="","Overhead",INDEX(Setup!$B$99:$B$128,MATCH($B519,Setup!$A$99:$A$128,0))),IF(ISNUMBER(SEARCH("advance",$B519))+ISNUMBER(SEARCH("payout",$B519))+ISNUMBER(SEARCH("pay out",$B519))+ISNUMBER(SEARCH("reimburs",$B519))&gt;0,"Transfer",IF(ISNUMBER(SEARCH("loan",$B519))+ISNUMBER(SEARCH("amort",$B519))+ISNUMBER(SEARCH("installment",$B519))+ISNUMBER(SEARCH("instalment",$B519))&gt;0,"Financing",IF(ISNUMBER(SEARCH("draw",$B519))+ISNUMBER(SEARCH("owner",$B519))+ISNUMBER(SEARCH("asset",$B519))+ISNUMBER(SEARCH("capital",$B519))&gt;0,"Other",IF(ISNUMBER(SEARCH("fuel",$B519))+ISNUMBER(SEARCH("diesel",$B519))+ISNUMBER(SEARCH("krudo",$B519))+ISNUMBER(SEARCH("gasolina",$B519))+ISNUMBER(SEARCH("toll",$B519))+ISNUMBER(SEARCH("parking",$B519))+ISNUMBER(SEARCH("repair",$B519))+ISNUMBER(SEARCH("maintenance",$B519))+ISNUMBER(SEARCH("tire",$B519))+ISNUMBER(SEARCH("tyre",$B519))+ISNUMBER(SEARCH("battery",$B519))+ISNUMBER(SEARCH("oil",$B519))+ISNUMBER(SEARCH("filter",$B519))+ISNUMBER(SEARCH("spare",$B519))+ISNUMBER(SEARCH("insurance",$B519))+ISNUMBER(SEARCH("lto",$B519))+ISNUMBER(SEARCH("registration",$B519))+ISNUMBER(SEARCH("emission",$B519))+ISNUMBER(SEARCH("wash",$B519))+ISNUMBER(SEARCH("weigh",$B519))+ISNUMBER(SEARCH("tarp",$B519))&gt;0,"Vehicle",IF(ISNUMBER(SEARCH("rent",$B519))+ISNUMBER(SEARCH("upa",$B519))+ISNUMBER(SEARCH("salary",$B519))+ISNUMBER(SEARCH("sweldo",$B519))+ISNUMBER(SEARCH("wage",$B519))+ISNUMBER(SEARCH("electric",$B519))+ISNUMBER(SEARCH("kuryente",$B519))+ISNUMBER(SEARCH("water",$B519))+ISNUMBER(SEARCH("tubig",$B519))+ISNUMBER(SEARCH("internet",$B519))+ISNUMBER(SEARCH("pldt",$B519))+ISNUMBER(SEARCH("meralco",$B519))+ISNUMBER(SEARCH("supplies",$B519))+ISNUMBER(SEARCH("office",$B519))+ISNUMBER(SEARCH("professional",$B519))+ISNUMBER(SEARCH("accountant",$B519))+ISNUMBER(SEARCH("lawyer",$B519))+ISNUMBER(SEARCH("broker",$B519))+ISNUMBER(SEARCH("bank",$B519))+ISNUMBER(SEARCH("charge",$B519))+ISNUMBER(SEARCH("permit",$B519))+ISNUMBER(SEARCH("bir",$B519))+ISNUMBER(SEARCH("ltfrb",$B519))+ISNUMBER(SEARCH("misc",$B519))+ISNUMBER(SEARCH("fee",$B519))&gt;0,"Overhead","Overhead")))))))</f>
        <v/>
      </c>
      <c r="J519">
        <f>IF($A519="","",DATE(YEAR($A519),MONTH($A519),1))</f>
        <v/>
      </c>
      <c r="K519">
        <f>IF($B519="","",IF(COUNTIF(Setup!$A$99:$A$128,$B519)&gt;0,0,1))</f>
        <v/>
      </c>
      <c r="L519">
        <f>IF($B519="","",IF(ISNUMBER(SEARCH("advance",$B519)),"ADV",IF(OR(ISNUMBER(SEARCH("payout",$B519)),ISNUMBER(SEARCH("pay out",$B519)),ISNUMBER(SEARCH("release",$B519))),"PAY","")))</f>
        <v/>
      </c>
      <c r="M519">
        <f>IF($B519="","",IF(ISNUMBER(SEARCH("bulk",$B519)),0,IF(ISNUMBER(SEARCH("fuel",$B519))+ISNUMBER(SEARCH("diesel",$B519))+ISNUMBER(SEARCH("krudo",$B519))+ISNUMBER(SEARCH("gasolina",$B519))&gt;0,1,0)))</f>
        <v/>
      </c>
      <c r="N519">
        <f>IF($B519="","",IF(ISNUMBER(SEARCH("fuel",$B519))+ISNUMBER(SEARCH("diesel",$B519))+ISNUMBER(SEARCH("krudo",$B519))+ISNUMBER(SEARCH("gasolina",$B519))&gt;0,1,0))</f>
        <v/>
      </c>
    </row>
    <row r="520">
      <c r="A520" s="94" t="n"/>
      <c r="B520" s="96" t="n"/>
      <c r="C520" s="96" t="n"/>
      <c r="D520" s="95" t="n"/>
      <c r="E520" s="96" t="n"/>
      <c r="F520" s="99" t="n"/>
      <c r="G520" s="95" t="n"/>
      <c r="H520" s="95" t="n"/>
      <c r="I520" s="101">
        <f>IF($B520="","",IF(COUNTIF(Setup!$A$99:$A$128,$B520)&gt;0,IF(INDEX(Setup!$B$99:$B$128,MATCH($B520,Setup!$A$99:$A$128,0))="","Overhead",INDEX(Setup!$B$99:$B$128,MATCH($B520,Setup!$A$99:$A$128,0))),IF(ISNUMBER(SEARCH("advance",$B520))+ISNUMBER(SEARCH("payout",$B520))+ISNUMBER(SEARCH("pay out",$B520))+ISNUMBER(SEARCH("reimburs",$B520))&gt;0,"Transfer",IF(ISNUMBER(SEARCH("loan",$B520))+ISNUMBER(SEARCH("amort",$B520))+ISNUMBER(SEARCH("installment",$B520))+ISNUMBER(SEARCH("instalment",$B520))&gt;0,"Financing",IF(ISNUMBER(SEARCH("draw",$B520))+ISNUMBER(SEARCH("owner",$B520))+ISNUMBER(SEARCH("asset",$B520))+ISNUMBER(SEARCH("capital",$B520))&gt;0,"Other",IF(ISNUMBER(SEARCH("fuel",$B520))+ISNUMBER(SEARCH("diesel",$B520))+ISNUMBER(SEARCH("krudo",$B520))+ISNUMBER(SEARCH("gasolina",$B520))+ISNUMBER(SEARCH("toll",$B520))+ISNUMBER(SEARCH("parking",$B520))+ISNUMBER(SEARCH("repair",$B520))+ISNUMBER(SEARCH("maintenance",$B520))+ISNUMBER(SEARCH("tire",$B520))+ISNUMBER(SEARCH("tyre",$B520))+ISNUMBER(SEARCH("battery",$B520))+ISNUMBER(SEARCH("oil",$B520))+ISNUMBER(SEARCH("filter",$B520))+ISNUMBER(SEARCH("spare",$B520))+ISNUMBER(SEARCH("insurance",$B520))+ISNUMBER(SEARCH("lto",$B520))+ISNUMBER(SEARCH("registration",$B520))+ISNUMBER(SEARCH("emission",$B520))+ISNUMBER(SEARCH("wash",$B520))+ISNUMBER(SEARCH("weigh",$B520))+ISNUMBER(SEARCH("tarp",$B520))&gt;0,"Vehicle",IF(ISNUMBER(SEARCH("rent",$B520))+ISNUMBER(SEARCH("upa",$B520))+ISNUMBER(SEARCH("salary",$B520))+ISNUMBER(SEARCH("sweldo",$B520))+ISNUMBER(SEARCH("wage",$B520))+ISNUMBER(SEARCH("electric",$B520))+ISNUMBER(SEARCH("kuryente",$B520))+ISNUMBER(SEARCH("water",$B520))+ISNUMBER(SEARCH("tubig",$B520))+ISNUMBER(SEARCH("internet",$B520))+ISNUMBER(SEARCH("pldt",$B520))+ISNUMBER(SEARCH("meralco",$B520))+ISNUMBER(SEARCH("supplies",$B520))+ISNUMBER(SEARCH("office",$B520))+ISNUMBER(SEARCH("professional",$B520))+ISNUMBER(SEARCH("accountant",$B520))+ISNUMBER(SEARCH("lawyer",$B520))+ISNUMBER(SEARCH("broker",$B520))+ISNUMBER(SEARCH("bank",$B520))+ISNUMBER(SEARCH("charge",$B520))+ISNUMBER(SEARCH("permit",$B520))+ISNUMBER(SEARCH("bir",$B520))+ISNUMBER(SEARCH("ltfrb",$B520))+ISNUMBER(SEARCH("misc",$B520))+ISNUMBER(SEARCH("fee",$B520))&gt;0,"Overhead","Overhead")))))))</f>
        <v/>
      </c>
      <c r="J520">
        <f>IF($A520="","",DATE(YEAR($A520),MONTH($A520),1))</f>
        <v/>
      </c>
      <c r="K520">
        <f>IF($B520="","",IF(COUNTIF(Setup!$A$99:$A$128,$B520)&gt;0,0,1))</f>
        <v/>
      </c>
      <c r="L520">
        <f>IF($B520="","",IF(ISNUMBER(SEARCH("advance",$B520)),"ADV",IF(OR(ISNUMBER(SEARCH("payout",$B520)),ISNUMBER(SEARCH("pay out",$B520)),ISNUMBER(SEARCH("release",$B520))),"PAY","")))</f>
        <v/>
      </c>
      <c r="M520">
        <f>IF($B520="","",IF(ISNUMBER(SEARCH("bulk",$B520)),0,IF(ISNUMBER(SEARCH("fuel",$B520))+ISNUMBER(SEARCH("diesel",$B520))+ISNUMBER(SEARCH("krudo",$B520))+ISNUMBER(SEARCH("gasolina",$B520))&gt;0,1,0)))</f>
        <v/>
      </c>
      <c r="N520">
        <f>IF($B520="","",IF(ISNUMBER(SEARCH("fuel",$B520))+ISNUMBER(SEARCH("diesel",$B520))+ISNUMBER(SEARCH("krudo",$B520))+ISNUMBER(SEARCH("gasolina",$B520))&gt;0,1,0))</f>
        <v/>
      </c>
    </row>
    <row r="521">
      <c r="A521" s="86" t="n"/>
      <c r="B521" s="88" t="n"/>
      <c r="C521" s="88" t="n"/>
      <c r="D521" s="87" t="n"/>
      <c r="E521" s="88" t="n"/>
      <c r="F521" s="92" t="n"/>
      <c r="G521" s="87" t="n"/>
      <c r="H521" s="87" t="n"/>
      <c r="I521" s="101">
        <f>IF($B521="","",IF(COUNTIF(Setup!$A$99:$A$128,$B521)&gt;0,IF(INDEX(Setup!$B$99:$B$128,MATCH($B521,Setup!$A$99:$A$128,0))="","Overhead",INDEX(Setup!$B$99:$B$128,MATCH($B521,Setup!$A$99:$A$128,0))),IF(ISNUMBER(SEARCH("advance",$B521))+ISNUMBER(SEARCH("payout",$B521))+ISNUMBER(SEARCH("pay out",$B521))+ISNUMBER(SEARCH("reimburs",$B521))&gt;0,"Transfer",IF(ISNUMBER(SEARCH("loan",$B521))+ISNUMBER(SEARCH("amort",$B521))+ISNUMBER(SEARCH("installment",$B521))+ISNUMBER(SEARCH("instalment",$B521))&gt;0,"Financing",IF(ISNUMBER(SEARCH("draw",$B521))+ISNUMBER(SEARCH("owner",$B521))+ISNUMBER(SEARCH("asset",$B521))+ISNUMBER(SEARCH("capital",$B521))&gt;0,"Other",IF(ISNUMBER(SEARCH("fuel",$B521))+ISNUMBER(SEARCH("diesel",$B521))+ISNUMBER(SEARCH("krudo",$B521))+ISNUMBER(SEARCH("gasolina",$B521))+ISNUMBER(SEARCH("toll",$B521))+ISNUMBER(SEARCH("parking",$B521))+ISNUMBER(SEARCH("repair",$B521))+ISNUMBER(SEARCH("maintenance",$B521))+ISNUMBER(SEARCH("tire",$B521))+ISNUMBER(SEARCH("tyre",$B521))+ISNUMBER(SEARCH("battery",$B521))+ISNUMBER(SEARCH("oil",$B521))+ISNUMBER(SEARCH("filter",$B521))+ISNUMBER(SEARCH("spare",$B521))+ISNUMBER(SEARCH("insurance",$B521))+ISNUMBER(SEARCH("lto",$B521))+ISNUMBER(SEARCH("registration",$B521))+ISNUMBER(SEARCH("emission",$B521))+ISNUMBER(SEARCH("wash",$B521))+ISNUMBER(SEARCH("weigh",$B521))+ISNUMBER(SEARCH("tarp",$B521))&gt;0,"Vehicle",IF(ISNUMBER(SEARCH("rent",$B521))+ISNUMBER(SEARCH("upa",$B521))+ISNUMBER(SEARCH("salary",$B521))+ISNUMBER(SEARCH("sweldo",$B521))+ISNUMBER(SEARCH("wage",$B521))+ISNUMBER(SEARCH("electric",$B521))+ISNUMBER(SEARCH("kuryente",$B521))+ISNUMBER(SEARCH("water",$B521))+ISNUMBER(SEARCH("tubig",$B521))+ISNUMBER(SEARCH("internet",$B521))+ISNUMBER(SEARCH("pldt",$B521))+ISNUMBER(SEARCH("meralco",$B521))+ISNUMBER(SEARCH("supplies",$B521))+ISNUMBER(SEARCH("office",$B521))+ISNUMBER(SEARCH("professional",$B521))+ISNUMBER(SEARCH("accountant",$B521))+ISNUMBER(SEARCH("lawyer",$B521))+ISNUMBER(SEARCH("broker",$B521))+ISNUMBER(SEARCH("bank",$B521))+ISNUMBER(SEARCH("charge",$B521))+ISNUMBER(SEARCH("permit",$B521))+ISNUMBER(SEARCH("bir",$B521))+ISNUMBER(SEARCH("ltfrb",$B521))+ISNUMBER(SEARCH("misc",$B521))+ISNUMBER(SEARCH("fee",$B521))&gt;0,"Overhead","Overhead")))))))</f>
        <v/>
      </c>
      <c r="J521">
        <f>IF($A521="","",DATE(YEAR($A521),MONTH($A521),1))</f>
        <v/>
      </c>
      <c r="K521">
        <f>IF($B521="","",IF(COUNTIF(Setup!$A$99:$A$128,$B521)&gt;0,0,1))</f>
        <v/>
      </c>
      <c r="L521">
        <f>IF($B521="","",IF(ISNUMBER(SEARCH("advance",$B521)),"ADV",IF(OR(ISNUMBER(SEARCH("payout",$B521)),ISNUMBER(SEARCH("pay out",$B521)),ISNUMBER(SEARCH("release",$B521))),"PAY","")))</f>
        <v/>
      </c>
      <c r="M521">
        <f>IF($B521="","",IF(ISNUMBER(SEARCH("bulk",$B521)),0,IF(ISNUMBER(SEARCH("fuel",$B521))+ISNUMBER(SEARCH("diesel",$B521))+ISNUMBER(SEARCH("krudo",$B521))+ISNUMBER(SEARCH("gasolina",$B521))&gt;0,1,0)))</f>
        <v/>
      </c>
      <c r="N521">
        <f>IF($B521="","",IF(ISNUMBER(SEARCH("fuel",$B521))+ISNUMBER(SEARCH("diesel",$B521))+ISNUMBER(SEARCH("krudo",$B521))+ISNUMBER(SEARCH("gasolina",$B521))&gt;0,1,0))</f>
        <v/>
      </c>
    </row>
    <row r="522">
      <c r="A522" s="94" t="n"/>
      <c r="B522" s="96" t="n"/>
      <c r="C522" s="96" t="n"/>
      <c r="D522" s="95" t="n"/>
      <c r="E522" s="96" t="n"/>
      <c r="F522" s="99" t="n"/>
      <c r="G522" s="95" t="n"/>
      <c r="H522" s="95" t="n"/>
      <c r="I522" s="101">
        <f>IF($B522="","",IF(COUNTIF(Setup!$A$99:$A$128,$B522)&gt;0,IF(INDEX(Setup!$B$99:$B$128,MATCH($B522,Setup!$A$99:$A$128,0))="","Overhead",INDEX(Setup!$B$99:$B$128,MATCH($B522,Setup!$A$99:$A$128,0))),IF(ISNUMBER(SEARCH("advance",$B522))+ISNUMBER(SEARCH("payout",$B522))+ISNUMBER(SEARCH("pay out",$B522))+ISNUMBER(SEARCH("reimburs",$B522))&gt;0,"Transfer",IF(ISNUMBER(SEARCH("loan",$B522))+ISNUMBER(SEARCH("amort",$B522))+ISNUMBER(SEARCH("installment",$B522))+ISNUMBER(SEARCH("instalment",$B522))&gt;0,"Financing",IF(ISNUMBER(SEARCH("draw",$B522))+ISNUMBER(SEARCH("owner",$B522))+ISNUMBER(SEARCH("asset",$B522))+ISNUMBER(SEARCH("capital",$B522))&gt;0,"Other",IF(ISNUMBER(SEARCH("fuel",$B522))+ISNUMBER(SEARCH("diesel",$B522))+ISNUMBER(SEARCH("krudo",$B522))+ISNUMBER(SEARCH("gasolina",$B522))+ISNUMBER(SEARCH("toll",$B522))+ISNUMBER(SEARCH("parking",$B522))+ISNUMBER(SEARCH("repair",$B522))+ISNUMBER(SEARCH("maintenance",$B522))+ISNUMBER(SEARCH("tire",$B522))+ISNUMBER(SEARCH("tyre",$B522))+ISNUMBER(SEARCH("battery",$B522))+ISNUMBER(SEARCH("oil",$B522))+ISNUMBER(SEARCH("filter",$B522))+ISNUMBER(SEARCH("spare",$B522))+ISNUMBER(SEARCH("insurance",$B522))+ISNUMBER(SEARCH("lto",$B522))+ISNUMBER(SEARCH("registration",$B522))+ISNUMBER(SEARCH("emission",$B522))+ISNUMBER(SEARCH("wash",$B522))+ISNUMBER(SEARCH("weigh",$B522))+ISNUMBER(SEARCH("tarp",$B522))&gt;0,"Vehicle",IF(ISNUMBER(SEARCH("rent",$B522))+ISNUMBER(SEARCH("upa",$B522))+ISNUMBER(SEARCH("salary",$B522))+ISNUMBER(SEARCH("sweldo",$B522))+ISNUMBER(SEARCH("wage",$B522))+ISNUMBER(SEARCH("electric",$B522))+ISNUMBER(SEARCH("kuryente",$B522))+ISNUMBER(SEARCH("water",$B522))+ISNUMBER(SEARCH("tubig",$B522))+ISNUMBER(SEARCH("internet",$B522))+ISNUMBER(SEARCH("pldt",$B522))+ISNUMBER(SEARCH("meralco",$B522))+ISNUMBER(SEARCH("supplies",$B522))+ISNUMBER(SEARCH("office",$B522))+ISNUMBER(SEARCH("professional",$B522))+ISNUMBER(SEARCH("accountant",$B522))+ISNUMBER(SEARCH("lawyer",$B522))+ISNUMBER(SEARCH("broker",$B522))+ISNUMBER(SEARCH("bank",$B522))+ISNUMBER(SEARCH("charge",$B522))+ISNUMBER(SEARCH("permit",$B522))+ISNUMBER(SEARCH("bir",$B522))+ISNUMBER(SEARCH("ltfrb",$B522))+ISNUMBER(SEARCH("misc",$B522))+ISNUMBER(SEARCH("fee",$B522))&gt;0,"Overhead","Overhead")))))))</f>
        <v/>
      </c>
      <c r="J522">
        <f>IF($A522="","",DATE(YEAR($A522),MONTH($A522),1))</f>
        <v/>
      </c>
      <c r="K522">
        <f>IF($B522="","",IF(COUNTIF(Setup!$A$99:$A$128,$B522)&gt;0,0,1))</f>
        <v/>
      </c>
      <c r="L522">
        <f>IF($B522="","",IF(ISNUMBER(SEARCH("advance",$B522)),"ADV",IF(OR(ISNUMBER(SEARCH("payout",$B522)),ISNUMBER(SEARCH("pay out",$B522)),ISNUMBER(SEARCH("release",$B522))),"PAY","")))</f>
        <v/>
      </c>
      <c r="M522">
        <f>IF($B522="","",IF(ISNUMBER(SEARCH("bulk",$B522)),0,IF(ISNUMBER(SEARCH("fuel",$B522))+ISNUMBER(SEARCH("diesel",$B522))+ISNUMBER(SEARCH("krudo",$B522))+ISNUMBER(SEARCH("gasolina",$B522))&gt;0,1,0)))</f>
        <v/>
      </c>
      <c r="N522">
        <f>IF($B522="","",IF(ISNUMBER(SEARCH("fuel",$B522))+ISNUMBER(SEARCH("diesel",$B522))+ISNUMBER(SEARCH("krudo",$B522))+ISNUMBER(SEARCH("gasolina",$B522))&gt;0,1,0))</f>
        <v/>
      </c>
    </row>
    <row r="523">
      <c r="A523" s="86" t="n"/>
      <c r="B523" s="88" t="n"/>
      <c r="C523" s="88" t="n"/>
      <c r="D523" s="87" t="n"/>
      <c r="E523" s="88" t="n"/>
      <c r="F523" s="92" t="n"/>
      <c r="G523" s="87" t="n"/>
      <c r="H523" s="87" t="n"/>
      <c r="I523" s="101">
        <f>IF($B523="","",IF(COUNTIF(Setup!$A$99:$A$128,$B523)&gt;0,IF(INDEX(Setup!$B$99:$B$128,MATCH($B523,Setup!$A$99:$A$128,0))="","Overhead",INDEX(Setup!$B$99:$B$128,MATCH($B523,Setup!$A$99:$A$128,0))),IF(ISNUMBER(SEARCH("advance",$B523))+ISNUMBER(SEARCH("payout",$B523))+ISNUMBER(SEARCH("pay out",$B523))+ISNUMBER(SEARCH("reimburs",$B523))&gt;0,"Transfer",IF(ISNUMBER(SEARCH("loan",$B523))+ISNUMBER(SEARCH("amort",$B523))+ISNUMBER(SEARCH("installment",$B523))+ISNUMBER(SEARCH("instalment",$B523))&gt;0,"Financing",IF(ISNUMBER(SEARCH("draw",$B523))+ISNUMBER(SEARCH("owner",$B523))+ISNUMBER(SEARCH("asset",$B523))+ISNUMBER(SEARCH("capital",$B523))&gt;0,"Other",IF(ISNUMBER(SEARCH("fuel",$B523))+ISNUMBER(SEARCH("diesel",$B523))+ISNUMBER(SEARCH("krudo",$B523))+ISNUMBER(SEARCH("gasolina",$B523))+ISNUMBER(SEARCH("toll",$B523))+ISNUMBER(SEARCH("parking",$B523))+ISNUMBER(SEARCH("repair",$B523))+ISNUMBER(SEARCH("maintenance",$B523))+ISNUMBER(SEARCH("tire",$B523))+ISNUMBER(SEARCH("tyre",$B523))+ISNUMBER(SEARCH("battery",$B523))+ISNUMBER(SEARCH("oil",$B523))+ISNUMBER(SEARCH("filter",$B523))+ISNUMBER(SEARCH("spare",$B523))+ISNUMBER(SEARCH("insurance",$B523))+ISNUMBER(SEARCH("lto",$B523))+ISNUMBER(SEARCH("registration",$B523))+ISNUMBER(SEARCH("emission",$B523))+ISNUMBER(SEARCH("wash",$B523))+ISNUMBER(SEARCH("weigh",$B523))+ISNUMBER(SEARCH("tarp",$B523))&gt;0,"Vehicle",IF(ISNUMBER(SEARCH("rent",$B523))+ISNUMBER(SEARCH("upa",$B523))+ISNUMBER(SEARCH("salary",$B523))+ISNUMBER(SEARCH("sweldo",$B523))+ISNUMBER(SEARCH("wage",$B523))+ISNUMBER(SEARCH("electric",$B523))+ISNUMBER(SEARCH("kuryente",$B523))+ISNUMBER(SEARCH("water",$B523))+ISNUMBER(SEARCH("tubig",$B523))+ISNUMBER(SEARCH("internet",$B523))+ISNUMBER(SEARCH("pldt",$B523))+ISNUMBER(SEARCH("meralco",$B523))+ISNUMBER(SEARCH("supplies",$B523))+ISNUMBER(SEARCH("office",$B523))+ISNUMBER(SEARCH("professional",$B523))+ISNUMBER(SEARCH("accountant",$B523))+ISNUMBER(SEARCH("lawyer",$B523))+ISNUMBER(SEARCH("broker",$B523))+ISNUMBER(SEARCH("bank",$B523))+ISNUMBER(SEARCH("charge",$B523))+ISNUMBER(SEARCH("permit",$B523))+ISNUMBER(SEARCH("bir",$B523))+ISNUMBER(SEARCH("ltfrb",$B523))+ISNUMBER(SEARCH("misc",$B523))+ISNUMBER(SEARCH("fee",$B523))&gt;0,"Overhead","Overhead")))))))</f>
        <v/>
      </c>
      <c r="J523">
        <f>IF($A523="","",DATE(YEAR($A523),MONTH($A523),1))</f>
        <v/>
      </c>
      <c r="K523">
        <f>IF($B523="","",IF(COUNTIF(Setup!$A$99:$A$128,$B523)&gt;0,0,1))</f>
        <v/>
      </c>
      <c r="L523">
        <f>IF($B523="","",IF(ISNUMBER(SEARCH("advance",$B523)),"ADV",IF(OR(ISNUMBER(SEARCH("payout",$B523)),ISNUMBER(SEARCH("pay out",$B523)),ISNUMBER(SEARCH("release",$B523))),"PAY","")))</f>
        <v/>
      </c>
      <c r="M523">
        <f>IF($B523="","",IF(ISNUMBER(SEARCH("bulk",$B523)),0,IF(ISNUMBER(SEARCH("fuel",$B523))+ISNUMBER(SEARCH("diesel",$B523))+ISNUMBER(SEARCH("krudo",$B523))+ISNUMBER(SEARCH("gasolina",$B523))&gt;0,1,0)))</f>
        <v/>
      </c>
      <c r="N523">
        <f>IF($B523="","",IF(ISNUMBER(SEARCH("fuel",$B523))+ISNUMBER(SEARCH("diesel",$B523))+ISNUMBER(SEARCH("krudo",$B523))+ISNUMBER(SEARCH("gasolina",$B523))&gt;0,1,0))</f>
        <v/>
      </c>
    </row>
    <row r="524">
      <c r="A524" s="94" t="n"/>
      <c r="B524" s="96" t="n"/>
      <c r="C524" s="96" t="n"/>
      <c r="D524" s="95" t="n"/>
      <c r="E524" s="96" t="n"/>
      <c r="F524" s="99" t="n"/>
      <c r="G524" s="95" t="n"/>
      <c r="H524" s="95" t="n"/>
      <c r="I524" s="101">
        <f>IF($B524="","",IF(COUNTIF(Setup!$A$99:$A$128,$B524)&gt;0,IF(INDEX(Setup!$B$99:$B$128,MATCH($B524,Setup!$A$99:$A$128,0))="","Overhead",INDEX(Setup!$B$99:$B$128,MATCH($B524,Setup!$A$99:$A$128,0))),IF(ISNUMBER(SEARCH("advance",$B524))+ISNUMBER(SEARCH("payout",$B524))+ISNUMBER(SEARCH("pay out",$B524))+ISNUMBER(SEARCH("reimburs",$B524))&gt;0,"Transfer",IF(ISNUMBER(SEARCH("loan",$B524))+ISNUMBER(SEARCH("amort",$B524))+ISNUMBER(SEARCH("installment",$B524))+ISNUMBER(SEARCH("instalment",$B524))&gt;0,"Financing",IF(ISNUMBER(SEARCH("draw",$B524))+ISNUMBER(SEARCH("owner",$B524))+ISNUMBER(SEARCH("asset",$B524))+ISNUMBER(SEARCH("capital",$B524))&gt;0,"Other",IF(ISNUMBER(SEARCH("fuel",$B524))+ISNUMBER(SEARCH("diesel",$B524))+ISNUMBER(SEARCH("krudo",$B524))+ISNUMBER(SEARCH("gasolina",$B524))+ISNUMBER(SEARCH("toll",$B524))+ISNUMBER(SEARCH("parking",$B524))+ISNUMBER(SEARCH("repair",$B524))+ISNUMBER(SEARCH("maintenance",$B524))+ISNUMBER(SEARCH("tire",$B524))+ISNUMBER(SEARCH("tyre",$B524))+ISNUMBER(SEARCH("battery",$B524))+ISNUMBER(SEARCH("oil",$B524))+ISNUMBER(SEARCH("filter",$B524))+ISNUMBER(SEARCH("spare",$B524))+ISNUMBER(SEARCH("insurance",$B524))+ISNUMBER(SEARCH("lto",$B524))+ISNUMBER(SEARCH("registration",$B524))+ISNUMBER(SEARCH("emission",$B524))+ISNUMBER(SEARCH("wash",$B524))+ISNUMBER(SEARCH("weigh",$B524))+ISNUMBER(SEARCH("tarp",$B524))&gt;0,"Vehicle",IF(ISNUMBER(SEARCH("rent",$B524))+ISNUMBER(SEARCH("upa",$B524))+ISNUMBER(SEARCH("salary",$B524))+ISNUMBER(SEARCH("sweldo",$B524))+ISNUMBER(SEARCH("wage",$B524))+ISNUMBER(SEARCH("electric",$B524))+ISNUMBER(SEARCH("kuryente",$B524))+ISNUMBER(SEARCH("water",$B524))+ISNUMBER(SEARCH("tubig",$B524))+ISNUMBER(SEARCH("internet",$B524))+ISNUMBER(SEARCH("pldt",$B524))+ISNUMBER(SEARCH("meralco",$B524))+ISNUMBER(SEARCH("supplies",$B524))+ISNUMBER(SEARCH("office",$B524))+ISNUMBER(SEARCH("professional",$B524))+ISNUMBER(SEARCH("accountant",$B524))+ISNUMBER(SEARCH("lawyer",$B524))+ISNUMBER(SEARCH("broker",$B524))+ISNUMBER(SEARCH("bank",$B524))+ISNUMBER(SEARCH("charge",$B524))+ISNUMBER(SEARCH("permit",$B524))+ISNUMBER(SEARCH("bir",$B524))+ISNUMBER(SEARCH("ltfrb",$B524))+ISNUMBER(SEARCH("misc",$B524))+ISNUMBER(SEARCH("fee",$B524))&gt;0,"Overhead","Overhead")))))))</f>
        <v/>
      </c>
      <c r="J524">
        <f>IF($A524="","",DATE(YEAR($A524),MONTH($A524),1))</f>
        <v/>
      </c>
      <c r="K524">
        <f>IF($B524="","",IF(COUNTIF(Setup!$A$99:$A$128,$B524)&gt;0,0,1))</f>
        <v/>
      </c>
      <c r="L524">
        <f>IF($B524="","",IF(ISNUMBER(SEARCH("advance",$B524)),"ADV",IF(OR(ISNUMBER(SEARCH("payout",$B524)),ISNUMBER(SEARCH("pay out",$B524)),ISNUMBER(SEARCH("release",$B524))),"PAY","")))</f>
        <v/>
      </c>
      <c r="M524">
        <f>IF($B524="","",IF(ISNUMBER(SEARCH("bulk",$B524)),0,IF(ISNUMBER(SEARCH("fuel",$B524))+ISNUMBER(SEARCH("diesel",$B524))+ISNUMBER(SEARCH("krudo",$B524))+ISNUMBER(SEARCH("gasolina",$B524))&gt;0,1,0)))</f>
        <v/>
      </c>
      <c r="N524">
        <f>IF($B524="","",IF(ISNUMBER(SEARCH("fuel",$B524))+ISNUMBER(SEARCH("diesel",$B524))+ISNUMBER(SEARCH("krudo",$B524))+ISNUMBER(SEARCH("gasolina",$B524))&gt;0,1,0))</f>
        <v/>
      </c>
    </row>
    <row r="525">
      <c r="A525" s="86" t="n"/>
      <c r="B525" s="88" t="n"/>
      <c r="C525" s="88" t="n"/>
      <c r="D525" s="87" t="n"/>
      <c r="E525" s="88" t="n"/>
      <c r="F525" s="92" t="n"/>
      <c r="G525" s="87" t="n"/>
      <c r="H525" s="87" t="n"/>
      <c r="I525" s="101">
        <f>IF($B525="","",IF(COUNTIF(Setup!$A$99:$A$128,$B525)&gt;0,IF(INDEX(Setup!$B$99:$B$128,MATCH($B525,Setup!$A$99:$A$128,0))="","Overhead",INDEX(Setup!$B$99:$B$128,MATCH($B525,Setup!$A$99:$A$128,0))),IF(ISNUMBER(SEARCH("advance",$B525))+ISNUMBER(SEARCH("payout",$B525))+ISNUMBER(SEARCH("pay out",$B525))+ISNUMBER(SEARCH("reimburs",$B525))&gt;0,"Transfer",IF(ISNUMBER(SEARCH("loan",$B525))+ISNUMBER(SEARCH("amort",$B525))+ISNUMBER(SEARCH("installment",$B525))+ISNUMBER(SEARCH("instalment",$B525))&gt;0,"Financing",IF(ISNUMBER(SEARCH("draw",$B525))+ISNUMBER(SEARCH("owner",$B525))+ISNUMBER(SEARCH("asset",$B525))+ISNUMBER(SEARCH("capital",$B525))&gt;0,"Other",IF(ISNUMBER(SEARCH("fuel",$B525))+ISNUMBER(SEARCH("diesel",$B525))+ISNUMBER(SEARCH("krudo",$B525))+ISNUMBER(SEARCH("gasolina",$B525))+ISNUMBER(SEARCH("toll",$B525))+ISNUMBER(SEARCH("parking",$B525))+ISNUMBER(SEARCH("repair",$B525))+ISNUMBER(SEARCH("maintenance",$B525))+ISNUMBER(SEARCH("tire",$B525))+ISNUMBER(SEARCH("tyre",$B525))+ISNUMBER(SEARCH("battery",$B525))+ISNUMBER(SEARCH("oil",$B525))+ISNUMBER(SEARCH("filter",$B525))+ISNUMBER(SEARCH("spare",$B525))+ISNUMBER(SEARCH("insurance",$B525))+ISNUMBER(SEARCH("lto",$B525))+ISNUMBER(SEARCH("registration",$B525))+ISNUMBER(SEARCH("emission",$B525))+ISNUMBER(SEARCH("wash",$B525))+ISNUMBER(SEARCH("weigh",$B525))+ISNUMBER(SEARCH("tarp",$B525))&gt;0,"Vehicle",IF(ISNUMBER(SEARCH("rent",$B525))+ISNUMBER(SEARCH("upa",$B525))+ISNUMBER(SEARCH("salary",$B525))+ISNUMBER(SEARCH("sweldo",$B525))+ISNUMBER(SEARCH("wage",$B525))+ISNUMBER(SEARCH("electric",$B525))+ISNUMBER(SEARCH("kuryente",$B525))+ISNUMBER(SEARCH("water",$B525))+ISNUMBER(SEARCH("tubig",$B525))+ISNUMBER(SEARCH("internet",$B525))+ISNUMBER(SEARCH("pldt",$B525))+ISNUMBER(SEARCH("meralco",$B525))+ISNUMBER(SEARCH("supplies",$B525))+ISNUMBER(SEARCH("office",$B525))+ISNUMBER(SEARCH("professional",$B525))+ISNUMBER(SEARCH("accountant",$B525))+ISNUMBER(SEARCH("lawyer",$B525))+ISNUMBER(SEARCH("broker",$B525))+ISNUMBER(SEARCH("bank",$B525))+ISNUMBER(SEARCH("charge",$B525))+ISNUMBER(SEARCH("permit",$B525))+ISNUMBER(SEARCH("bir",$B525))+ISNUMBER(SEARCH("ltfrb",$B525))+ISNUMBER(SEARCH("misc",$B525))+ISNUMBER(SEARCH("fee",$B525))&gt;0,"Overhead","Overhead")))))))</f>
        <v/>
      </c>
      <c r="J525">
        <f>IF($A525="","",DATE(YEAR($A525),MONTH($A525),1))</f>
        <v/>
      </c>
      <c r="K525">
        <f>IF($B525="","",IF(COUNTIF(Setup!$A$99:$A$128,$B525)&gt;0,0,1))</f>
        <v/>
      </c>
      <c r="L525">
        <f>IF($B525="","",IF(ISNUMBER(SEARCH("advance",$B525)),"ADV",IF(OR(ISNUMBER(SEARCH("payout",$B525)),ISNUMBER(SEARCH("pay out",$B525)),ISNUMBER(SEARCH("release",$B525))),"PAY","")))</f>
        <v/>
      </c>
      <c r="M525">
        <f>IF($B525="","",IF(ISNUMBER(SEARCH("bulk",$B525)),0,IF(ISNUMBER(SEARCH("fuel",$B525))+ISNUMBER(SEARCH("diesel",$B525))+ISNUMBER(SEARCH("krudo",$B525))+ISNUMBER(SEARCH("gasolina",$B525))&gt;0,1,0)))</f>
        <v/>
      </c>
      <c r="N525">
        <f>IF($B525="","",IF(ISNUMBER(SEARCH("fuel",$B525))+ISNUMBER(SEARCH("diesel",$B525))+ISNUMBER(SEARCH("krudo",$B525))+ISNUMBER(SEARCH("gasolina",$B525))&gt;0,1,0))</f>
        <v/>
      </c>
    </row>
    <row r="526">
      <c r="A526" s="94" t="n"/>
      <c r="B526" s="96" t="n"/>
      <c r="C526" s="96" t="n"/>
      <c r="D526" s="95" t="n"/>
      <c r="E526" s="96" t="n"/>
      <c r="F526" s="99" t="n"/>
      <c r="G526" s="95" t="n"/>
      <c r="H526" s="95" t="n"/>
      <c r="I526" s="101">
        <f>IF($B526="","",IF(COUNTIF(Setup!$A$99:$A$128,$B526)&gt;0,IF(INDEX(Setup!$B$99:$B$128,MATCH($B526,Setup!$A$99:$A$128,0))="","Overhead",INDEX(Setup!$B$99:$B$128,MATCH($B526,Setup!$A$99:$A$128,0))),IF(ISNUMBER(SEARCH("advance",$B526))+ISNUMBER(SEARCH("payout",$B526))+ISNUMBER(SEARCH("pay out",$B526))+ISNUMBER(SEARCH("reimburs",$B526))&gt;0,"Transfer",IF(ISNUMBER(SEARCH("loan",$B526))+ISNUMBER(SEARCH("amort",$B526))+ISNUMBER(SEARCH("installment",$B526))+ISNUMBER(SEARCH("instalment",$B526))&gt;0,"Financing",IF(ISNUMBER(SEARCH("draw",$B526))+ISNUMBER(SEARCH("owner",$B526))+ISNUMBER(SEARCH("asset",$B526))+ISNUMBER(SEARCH("capital",$B526))&gt;0,"Other",IF(ISNUMBER(SEARCH("fuel",$B526))+ISNUMBER(SEARCH("diesel",$B526))+ISNUMBER(SEARCH("krudo",$B526))+ISNUMBER(SEARCH("gasolina",$B526))+ISNUMBER(SEARCH("toll",$B526))+ISNUMBER(SEARCH("parking",$B526))+ISNUMBER(SEARCH("repair",$B526))+ISNUMBER(SEARCH("maintenance",$B526))+ISNUMBER(SEARCH("tire",$B526))+ISNUMBER(SEARCH("tyre",$B526))+ISNUMBER(SEARCH("battery",$B526))+ISNUMBER(SEARCH("oil",$B526))+ISNUMBER(SEARCH("filter",$B526))+ISNUMBER(SEARCH("spare",$B526))+ISNUMBER(SEARCH("insurance",$B526))+ISNUMBER(SEARCH("lto",$B526))+ISNUMBER(SEARCH("registration",$B526))+ISNUMBER(SEARCH("emission",$B526))+ISNUMBER(SEARCH("wash",$B526))+ISNUMBER(SEARCH("weigh",$B526))+ISNUMBER(SEARCH("tarp",$B526))&gt;0,"Vehicle",IF(ISNUMBER(SEARCH("rent",$B526))+ISNUMBER(SEARCH("upa",$B526))+ISNUMBER(SEARCH("salary",$B526))+ISNUMBER(SEARCH("sweldo",$B526))+ISNUMBER(SEARCH("wage",$B526))+ISNUMBER(SEARCH("electric",$B526))+ISNUMBER(SEARCH("kuryente",$B526))+ISNUMBER(SEARCH("water",$B526))+ISNUMBER(SEARCH("tubig",$B526))+ISNUMBER(SEARCH("internet",$B526))+ISNUMBER(SEARCH("pldt",$B526))+ISNUMBER(SEARCH("meralco",$B526))+ISNUMBER(SEARCH("supplies",$B526))+ISNUMBER(SEARCH("office",$B526))+ISNUMBER(SEARCH("professional",$B526))+ISNUMBER(SEARCH("accountant",$B526))+ISNUMBER(SEARCH("lawyer",$B526))+ISNUMBER(SEARCH("broker",$B526))+ISNUMBER(SEARCH("bank",$B526))+ISNUMBER(SEARCH("charge",$B526))+ISNUMBER(SEARCH("permit",$B526))+ISNUMBER(SEARCH("bir",$B526))+ISNUMBER(SEARCH("ltfrb",$B526))+ISNUMBER(SEARCH("misc",$B526))+ISNUMBER(SEARCH("fee",$B526))&gt;0,"Overhead","Overhead")))))))</f>
        <v/>
      </c>
      <c r="J526">
        <f>IF($A526="","",DATE(YEAR($A526),MONTH($A526),1))</f>
        <v/>
      </c>
      <c r="K526">
        <f>IF($B526="","",IF(COUNTIF(Setup!$A$99:$A$128,$B526)&gt;0,0,1))</f>
        <v/>
      </c>
      <c r="L526">
        <f>IF($B526="","",IF(ISNUMBER(SEARCH("advance",$B526)),"ADV",IF(OR(ISNUMBER(SEARCH("payout",$B526)),ISNUMBER(SEARCH("pay out",$B526)),ISNUMBER(SEARCH("release",$B526))),"PAY","")))</f>
        <v/>
      </c>
      <c r="M526">
        <f>IF($B526="","",IF(ISNUMBER(SEARCH("bulk",$B526)),0,IF(ISNUMBER(SEARCH("fuel",$B526))+ISNUMBER(SEARCH("diesel",$B526))+ISNUMBER(SEARCH("krudo",$B526))+ISNUMBER(SEARCH("gasolina",$B526))&gt;0,1,0)))</f>
        <v/>
      </c>
      <c r="N526">
        <f>IF($B526="","",IF(ISNUMBER(SEARCH("fuel",$B526))+ISNUMBER(SEARCH("diesel",$B526))+ISNUMBER(SEARCH("krudo",$B526))+ISNUMBER(SEARCH("gasolina",$B526))&gt;0,1,0))</f>
        <v/>
      </c>
    </row>
    <row r="527">
      <c r="A527" s="86" t="n"/>
      <c r="B527" s="88" t="n"/>
      <c r="C527" s="88" t="n"/>
      <c r="D527" s="87" t="n"/>
      <c r="E527" s="88" t="n"/>
      <c r="F527" s="92" t="n"/>
      <c r="G527" s="87" t="n"/>
      <c r="H527" s="87" t="n"/>
      <c r="I527" s="101">
        <f>IF($B527="","",IF(COUNTIF(Setup!$A$99:$A$128,$B527)&gt;0,IF(INDEX(Setup!$B$99:$B$128,MATCH($B527,Setup!$A$99:$A$128,0))="","Overhead",INDEX(Setup!$B$99:$B$128,MATCH($B527,Setup!$A$99:$A$128,0))),IF(ISNUMBER(SEARCH("advance",$B527))+ISNUMBER(SEARCH("payout",$B527))+ISNUMBER(SEARCH("pay out",$B527))+ISNUMBER(SEARCH("reimburs",$B527))&gt;0,"Transfer",IF(ISNUMBER(SEARCH("loan",$B527))+ISNUMBER(SEARCH("amort",$B527))+ISNUMBER(SEARCH("installment",$B527))+ISNUMBER(SEARCH("instalment",$B527))&gt;0,"Financing",IF(ISNUMBER(SEARCH("draw",$B527))+ISNUMBER(SEARCH("owner",$B527))+ISNUMBER(SEARCH("asset",$B527))+ISNUMBER(SEARCH("capital",$B527))&gt;0,"Other",IF(ISNUMBER(SEARCH("fuel",$B527))+ISNUMBER(SEARCH("diesel",$B527))+ISNUMBER(SEARCH("krudo",$B527))+ISNUMBER(SEARCH("gasolina",$B527))+ISNUMBER(SEARCH("toll",$B527))+ISNUMBER(SEARCH("parking",$B527))+ISNUMBER(SEARCH("repair",$B527))+ISNUMBER(SEARCH("maintenance",$B527))+ISNUMBER(SEARCH("tire",$B527))+ISNUMBER(SEARCH("tyre",$B527))+ISNUMBER(SEARCH("battery",$B527))+ISNUMBER(SEARCH("oil",$B527))+ISNUMBER(SEARCH("filter",$B527))+ISNUMBER(SEARCH("spare",$B527))+ISNUMBER(SEARCH("insurance",$B527))+ISNUMBER(SEARCH("lto",$B527))+ISNUMBER(SEARCH("registration",$B527))+ISNUMBER(SEARCH("emission",$B527))+ISNUMBER(SEARCH("wash",$B527))+ISNUMBER(SEARCH("weigh",$B527))+ISNUMBER(SEARCH("tarp",$B527))&gt;0,"Vehicle",IF(ISNUMBER(SEARCH("rent",$B527))+ISNUMBER(SEARCH("upa",$B527))+ISNUMBER(SEARCH("salary",$B527))+ISNUMBER(SEARCH("sweldo",$B527))+ISNUMBER(SEARCH("wage",$B527))+ISNUMBER(SEARCH("electric",$B527))+ISNUMBER(SEARCH("kuryente",$B527))+ISNUMBER(SEARCH("water",$B527))+ISNUMBER(SEARCH("tubig",$B527))+ISNUMBER(SEARCH("internet",$B527))+ISNUMBER(SEARCH("pldt",$B527))+ISNUMBER(SEARCH("meralco",$B527))+ISNUMBER(SEARCH("supplies",$B527))+ISNUMBER(SEARCH("office",$B527))+ISNUMBER(SEARCH("professional",$B527))+ISNUMBER(SEARCH("accountant",$B527))+ISNUMBER(SEARCH("lawyer",$B527))+ISNUMBER(SEARCH("broker",$B527))+ISNUMBER(SEARCH("bank",$B527))+ISNUMBER(SEARCH("charge",$B527))+ISNUMBER(SEARCH("permit",$B527))+ISNUMBER(SEARCH("bir",$B527))+ISNUMBER(SEARCH("ltfrb",$B527))+ISNUMBER(SEARCH("misc",$B527))+ISNUMBER(SEARCH("fee",$B527))&gt;0,"Overhead","Overhead")))))))</f>
        <v/>
      </c>
      <c r="J527">
        <f>IF($A527="","",DATE(YEAR($A527),MONTH($A527),1))</f>
        <v/>
      </c>
      <c r="K527">
        <f>IF($B527="","",IF(COUNTIF(Setup!$A$99:$A$128,$B527)&gt;0,0,1))</f>
        <v/>
      </c>
      <c r="L527">
        <f>IF($B527="","",IF(ISNUMBER(SEARCH("advance",$B527)),"ADV",IF(OR(ISNUMBER(SEARCH("payout",$B527)),ISNUMBER(SEARCH("pay out",$B527)),ISNUMBER(SEARCH("release",$B527))),"PAY","")))</f>
        <v/>
      </c>
      <c r="M527">
        <f>IF($B527="","",IF(ISNUMBER(SEARCH("bulk",$B527)),0,IF(ISNUMBER(SEARCH("fuel",$B527))+ISNUMBER(SEARCH("diesel",$B527))+ISNUMBER(SEARCH("krudo",$B527))+ISNUMBER(SEARCH("gasolina",$B527))&gt;0,1,0)))</f>
        <v/>
      </c>
      <c r="N527">
        <f>IF($B527="","",IF(ISNUMBER(SEARCH("fuel",$B527))+ISNUMBER(SEARCH("diesel",$B527))+ISNUMBER(SEARCH("krudo",$B527))+ISNUMBER(SEARCH("gasolina",$B527))&gt;0,1,0))</f>
        <v/>
      </c>
    </row>
    <row r="528">
      <c r="A528" s="94" t="n"/>
      <c r="B528" s="96" t="n"/>
      <c r="C528" s="96" t="n"/>
      <c r="D528" s="95" t="n"/>
      <c r="E528" s="96" t="n"/>
      <c r="F528" s="99" t="n"/>
      <c r="G528" s="95" t="n"/>
      <c r="H528" s="95" t="n"/>
      <c r="I528" s="101">
        <f>IF($B528="","",IF(COUNTIF(Setup!$A$99:$A$128,$B528)&gt;0,IF(INDEX(Setup!$B$99:$B$128,MATCH($B528,Setup!$A$99:$A$128,0))="","Overhead",INDEX(Setup!$B$99:$B$128,MATCH($B528,Setup!$A$99:$A$128,0))),IF(ISNUMBER(SEARCH("advance",$B528))+ISNUMBER(SEARCH("payout",$B528))+ISNUMBER(SEARCH("pay out",$B528))+ISNUMBER(SEARCH("reimburs",$B528))&gt;0,"Transfer",IF(ISNUMBER(SEARCH("loan",$B528))+ISNUMBER(SEARCH("amort",$B528))+ISNUMBER(SEARCH("installment",$B528))+ISNUMBER(SEARCH("instalment",$B528))&gt;0,"Financing",IF(ISNUMBER(SEARCH("draw",$B528))+ISNUMBER(SEARCH("owner",$B528))+ISNUMBER(SEARCH("asset",$B528))+ISNUMBER(SEARCH("capital",$B528))&gt;0,"Other",IF(ISNUMBER(SEARCH("fuel",$B528))+ISNUMBER(SEARCH("diesel",$B528))+ISNUMBER(SEARCH("krudo",$B528))+ISNUMBER(SEARCH("gasolina",$B528))+ISNUMBER(SEARCH("toll",$B528))+ISNUMBER(SEARCH("parking",$B528))+ISNUMBER(SEARCH("repair",$B528))+ISNUMBER(SEARCH("maintenance",$B528))+ISNUMBER(SEARCH("tire",$B528))+ISNUMBER(SEARCH("tyre",$B528))+ISNUMBER(SEARCH("battery",$B528))+ISNUMBER(SEARCH("oil",$B528))+ISNUMBER(SEARCH("filter",$B528))+ISNUMBER(SEARCH("spare",$B528))+ISNUMBER(SEARCH("insurance",$B528))+ISNUMBER(SEARCH("lto",$B528))+ISNUMBER(SEARCH("registration",$B528))+ISNUMBER(SEARCH("emission",$B528))+ISNUMBER(SEARCH("wash",$B528))+ISNUMBER(SEARCH("weigh",$B528))+ISNUMBER(SEARCH("tarp",$B528))&gt;0,"Vehicle",IF(ISNUMBER(SEARCH("rent",$B528))+ISNUMBER(SEARCH("upa",$B528))+ISNUMBER(SEARCH("salary",$B528))+ISNUMBER(SEARCH("sweldo",$B528))+ISNUMBER(SEARCH("wage",$B528))+ISNUMBER(SEARCH("electric",$B528))+ISNUMBER(SEARCH("kuryente",$B528))+ISNUMBER(SEARCH("water",$B528))+ISNUMBER(SEARCH("tubig",$B528))+ISNUMBER(SEARCH("internet",$B528))+ISNUMBER(SEARCH("pldt",$B528))+ISNUMBER(SEARCH("meralco",$B528))+ISNUMBER(SEARCH("supplies",$B528))+ISNUMBER(SEARCH("office",$B528))+ISNUMBER(SEARCH("professional",$B528))+ISNUMBER(SEARCH("accountant",$B528))+ISNUMBER(SEARCH("lawyer",$B528))+ISNUMBER(SEARCH("broker",$B528))+ISNUMBER(SEARCH("bank",$B528))+ISNUMBER(SEARCH("charge",$B528))+ISNUMBER(SEARCH("permit",$B528))+ISNUMBER(SEARCH("bir",$B528))+ISNUMBER(SEARCH("ltfrb",$B528))+ISNUMBER(SEARCH("misc",$B528))+ISNUMBER(SEARCH("fee",$B528))&gt;0,"Overhead","Overhead")))))))</f>
        <v/>
      </c>
      <c r="J528">
        <f>IF($A528="","",DATE(YEAR($A528),MONTH($A528),1))</f>
        <v/>
      </c>
      <c r="K528">
        <f>IF($B528="","",IF(COUNTIF(Setup!$A$99:$A$128,$B528)&gt;0,0,1))</f>
        <v/>
      </c>
      <c r="L528">
        <f>IF($B528="","",IF(ISNUMBER(SEARCH("advance",$B528)),"ADV",IF(OR(ISNUMBER(SEARCH("payout",$B528)),ISNUMBER(SEARCH("pay out",$B528)),ISNUMBER(SEARCH("release",$B528))),"PAY","")))</f>
        <v/>
      </c>
      <c r="M528">
        <f>IF($B528="","",IF(ISNUMBER(SEARCH("bulk",$B528)),0,IF(ISNUMBER(SEARCH("fuel",$B528))+ISNUMBER(SEARCH("diesel",$B528))+ISNUMBER(SEARCH("krudo",$B528))+ISNUMBER(SEARCH("gasolina",$B528))&gt;0,1,0)))</f>
        <v/>
      </c>
      <c r="N528">
        <f>IF($B528="","",IF(ISNUMBER(SEARCH("fuel",$B528))+ISNUMBER(SEARCH("diesel",$B528))+ISNUMBER(SEARCH("krudo",$B528))+ISNUMBER(SEARCH("gasolina",$B528))&gt;0,1,0))</f>
        <v/>
      </c>
    </row>
    <row r="529">
      <c r="A529" s="86" t="n"/>
      <c r="B529" s="88" t="n"/>
      <c r="C529" s="88" t="n"/>
      <c r="D529" s="87" t="n"/>
      <c r="E529" s="88" t="n"/>
      <c r="F529" s="92" t="n"/>
      <c r="G529" s="87" t="n"/>
      <c r="H529" s="87" t="n"/>
      <c r="I529" s="101">
        <f>IF($B529="","",IF(COUNTIF(Setup!$A$99:$A$128,$B529)&gt;0,IF(INDEX(Setup!$B$99:$B$128,MATCH($B529,Setup!$A$99:$A$128,0))="","Overhead",INDEX(Setup!$B$99:$B$128,MATCH($B529,Setup!$A$99:$A$128,0))),IF(ISNUMBER(SEARCH("advance",$B529))+ISNUMBER(SEARCH("payout",$B529))+ISNUMBER(SEARCH("pay out",$B529))+ISNUMBER(SEARCH("reimburs",$B529))&gt;0,"Transfer",IF(ISNUMBER(SEARCH("loan",$B529))+ISNUMBER(SEARCH("amort",$B529))+ISNUMBER(SEARCH("installment",$B529))+ISNUMBER(SEARCH("instalment",$B529))&gt;0,"Financing",IF(ISNUMBER(SEARCH("draw",$B529))+ISNUMBER(SEARCH("owner",$B529))+ISNUMBER(SEARCH("asset",$B529))+ISNUMBER(SEARCH("capital",$B529))&gt;0,"Other",IF(ISNUMBER(SEARCH("fuel",$B529))+ISNUMBER(SEARCH("diesel",$B529))+ISNUMBER(SEARCH("krudo",$B529))+ISNUMBER(SEARCH("gasolina",$B529))+ISNUMBER(SEARCH("toll",$B529))+ISNUMBER(SEARCH("parking",$B529))+ISNUMBER(SEARCH("repair",$B529))+ISNUMBER(SEARCH("maintenance",$B529))+ISNUMBER(SEARCH("tire",$B529))+ISNUMBER(SEARCH("tyre",$B529))+ISNUMBER(SEARCH("battery",$B529))+ISNUMBER(SEARCH("oil",$B529))+ISNUMBER(SEARCH("filter",$B529))+ISNUMBER(SEARCH("spare",$B529))+ISNUMBER(SEARCH("insurance",$B529))+ISNUMBER(SEARCH("lto",$B529))+ISNUMBER(SEARCH("registration",$B529))+ISNUMBER(SEARCH("emission",$B529))+ISNUMBER(SEARCH("wash",$B529))+ISNUMBER(SEARCH("weigh",$B529))+ISNUMBER(SEARCH("tarp",$B529))&gt;0,"Vehicle",IF(ISNUMBER(SEARCH("rent",$B529))+ISNUMBER(SEARCH("upa",$B529))+ISNUMBER(SEARCH("salary",$B529))+ISNUMBER(SEARCH("sweldo",$B529))+ISNUMBER(SEARCH("wage",$B529))+ISNUMBER(SEARCH("electric",$B529))+ISNUMBER(SEARCH("kuryente",$B529))+ISNUMBER(SEARCH("water",$B529))+ISNUMBER(SEARCH("tubig",$B529))+ISNUMBER(SEARCH("internet",$B529))+ISNUMBER(SEARCH("pldt",$B529))+ISNUMBER(SEARCH("meralco",$B529))+ISNUMBER(SEARCH("supplies",$B529))+ISNUMBER(SEARCH("office",$B529))+ISNUMBER(SEARCH("professional",$B529))+ISNUMBER(SEARCH("accountant",$B529))+ISNUMBER(SEARCH("lawyer",$B529))+ISNUMBER(SEARCH("broker",$B529))+ISNUMBER(SEARCH("bank",$B529))+ISNUMBER(SEARCH("charge",$B529))+ISNUMBER(SEARCH("permit",$B529))+ISNUMBER(SEARCH("bir",$B529))+ISNUMBER(SEARCH("ltfrb",$B529))+ISNUMBER(SEARCH("misc",$B529))+ISNUMBER(SEARCH("fee",$B529))&gt;0,"Overhead","Overhead")))))))</f>
        <v/>
      </c>
      <c r="J529">
        <f>IF($A529="","",DATE(YEAR($A529),MONTH($A529),1))</f>
        <v/>
      </c>
      <c r="K529">
        <f>IF($B529="","",IF(COUNTIF(Setup!$A$99:$A$128,$B529)&gt;0,0,1))</f>
        <v/>
      </c>
      <c r="L529">
        <f>IF($B529="","",IF(ISNUMBER(SEARCH("advance",$B529)),"ADV",IF(OR(ISNUMBER(SEARCH("payout",$B529)),ISNUMBER(SEARCH("pay out",$B529)),ISNUMBER(SEARCH("release",$B529))),"PAY","")))</f>
        <v/>
      </c>
      <c r="M529">
        <f>IF($B529="","",IF(ISNUMBER(SEARCH("bulk",$B529)),0,IF(ISNUMBER(SEARCH("fuel",$B529))+ISNUMBER(SEARCH("diesel",$B529))+ISNUMBER(SEARCH("krudo",$B529))+ISNUMBER(SEARCH("gasolina",$B529))&gt;0,1,0)))</f>
        <v/>
      </c>
      <c r="N529">
        <f>IF($B529="","",IF(ISNUMBER(SEARCH("fuel",$B529))+ISNUMBER(SEARCH("diesel",$B529))+ISNUMBER(SEARCH("krudo",$B529))+ISNUMBER(SEARCH("gasolina",$B529))&gt;0,1,0))</f>
        <v/>
      </c>
    </row>
    <row r="530">
      <c r="A530" s="94" t="n"/>
      <c r="B530" s="96" t="n"/>
      <c r="C530" s="96" t="n"/>
      <c r="D530" s="95" t="n"/>
      <c r="E530" s="96" t="n"/>
      <c r="F530" s="99" t="n"/>
      <c r="G530" s="95" t="n"/>
      <c r="H530" s="95" t="n"/>
      <c r="I530" s="101">
        <f>IF($B530="","",IF(COUNTIF(Setup!$A$99:$A$128,$B530)&gt;0,IF(INDEX(Setup!$B$99:$B$128,MATCH($B530,Setup!$A$99:$A$128,0))="","Overhead",INDEX(Setup!$B$99:$B$128,MATCH($B530,Setup!$A$99:$A$128,0))),IF(ISNUMBER(SEARCH("advance",$B530))+ISNUMBER(SEARCH("payout",$B530))+ISNUMBER(SEARCH("pay out",$B530))+ISNUMBER(SEARCH("reimburs",$B530))&gt;0,"Transfer",IF(ISNUMBER(SEARCH("loan",$B530))+ISNUMBER(SEARCH("amort",$B530))+ISNUMBER(SEARCH("installment",$B530))+ISNUMBER(SEARCH("instalment",$B530))&gt;0,"Financing",IF(ISNUMBER(SEARCH("draw",$B530))+ISNUMBER(SEARCH("owner",$B530))+ISNUMBER(SEARCH("asset",$B530))+ISNUMBER(SEARCH("capital",$B530))&gt;0,"Other",IF(ISNUMBER(SEARCH("fuel",$B530))+ISNUMBER(SEARCH("diesel",$B530))+ISNUMBER(SEARCH("krudo",$B530))+ISNUMBER(SEARCH("gasolina",$B530))+ISNUMBER(SEARCH("toll",$B530))+ISNUMBER(SEARCH("parking",$B530))+ISNUMBER(SEARCH("repair",$B530))+ISNUMBER(SEARCH("maintenance",$B530))+ISNUMBER(SEARCH("tire",$B530))+ISNUMBER(SEARCH("tyre",$B530))+ISNUMBER(SEARCH("battery",$B530))+ISNUMBER(SEARCH("oil",$B530))+ISNUMBER(SEARCH("filter",$B530))+ISNUMBER(SEARCH("spare",$B530))+ISNUMBER(SEARCH("insurance",$B530))+ISNUMBER(SEARCH("lto",$B530))+ISNUMBER(SEARCH("registration",$B530))+ISNUMBER(SEARCH("emission",$B530))+ISNUMBER(SEARCH("wash",$B530))+ISNUMBER(SEARCH("weigh",$B530))+ISNUMBER(SEARCH("tarp",$B530))&gt;0,"Vehicle",IF(ISNUMBER(SEARCH("rent",$B530))+ISNUMBER(SEARCH("upa",$B530))+ISNUMBER(SEARCH("salary",$B530))+ISNUMBER(SEARCH("sweldo",$B530))+ISNUMBER(SEARCH("wage",$B530))+ISNUMBER(SEARCH("electric",$B530))+ISNUMBER(SEARCH("kuryente",$B530))+ISNUMBER(SEARCH("water",$B530))+ISNUMBER(SEARCH("tubig",$B530))+ISNUMBER(SEARCH("internet",$B530))+ISNUMBER(SEARCH("pldt",$B530))+ISNUMBER(SEARCH("meralco",$B530))+ISNUMBER(SEARCH("supplies",$B530))+ISNUMBER(SEARCH("office",$B530))+ISNUMBER(SEARCH("professional",$B530))+ISNUMBER(SEARCH("accountant",$B530))+ISNUMBER(SEARCH("lawyer",$B530))+ISNUMBER(SEARCH("broker",$B530))+ISNUMBER(SEARCH("bank",$B530))+ISNUMBER(SEARCH("charge",$B530))+ISNUMBER(SEARCH("permit",$B530))+ISNUMBER(SEARCH("bir",$B530))+ISNUMBER(SEARCH("ltfrb",$B530))+ISNUMBER(SEARCH("misc",$B530))+ISNUMBER(SEARCH("fee",$B530))&gt;0,"Overhead","Overhead")))))))</f>
        <v/>
      </c>
      <c r="J530">
        <f>IF($A530="","",DATE(YEAR($A530),MONTH($A530),1))</f>
        <v/>
      </c>
      <c r="K530">
        <f>IF($B530="","",IF(COUNTIF(Setup!$A$99:$A$128,$B530)&gt;0,0,1))</f>
        <v/>
      </c>
      <c r="L530">
        <f>IF($B530="","",IF(ISNUMBER(SEARCH("advance",$B530)),"ADV",IF(OR(ISNUMBER(SEARCH("payout",$B530)),ISNUMBER(SEARCH("pay out",$B530)),ISNUMBER(SEARCH("release",$B530))),"PAY","")))</f>
        <v/>
      </c>
      <c r="M530">
        <f>IF($B530="","",IF(ISNUMBER(SEARCH("bulk",$B530)),0,IF(ISNUMBER(SEARCH("fuel",$B530))+ISNUMBER(SEARCH("diesel",$B530))+ISNUMBER(SEARCH("krudo",$B530))+ISNUMBER(SEARCH("gasolina",$B530))&gt;0,1,0)))</f>
        <v/>
      </c>
      <c r="N530">
        <f>IF($B530="","",IF(ISNUMBER(SEARCH("fuel",$B530))+ISNUMBER(SEARCH("diesel",$B530))+ISNUMBER(SEARCH("krudo",$B530))+ISNUMBER(SEARCH("gasolina",$B530))&gt;0,1,0))</f>
        <v/>
      </c>
    </row>
    <row r="531">
      <c r="A531" s="86" t="n"/>
      <c r="B531" s="88" t="n"/>
      <c r="C531" s="88" t="n"/>
      <c r="D531" s="87" t="n"/>
      <c r="E531" s="88" t="n"/>
      <c r="F531" s="92" t="n"/>
      <c r="G531" s="87" t="n"/>
      <c r="H531" s="87" t="n"/>
      <c r="I531" s="101">
        <f>IF($B531="","",IF(COUNTIF(Setup!$A$99:$A$128,$B531)&gt;0,IF(INDEX(Setup!$B$99:$B$128,MATCH($B531,Setup!$A$99:$A$128,0))="","Overhead",INDEX(Setup!$B$99:$B$128,MATCH($B531,Setup!$A$99:$A$128,0))),IF(ISNUMBER(SEARCH("advance",$B531))+ISNUMBER(SEARCH("payout",$B531))+ISNUMBER(SEARCH("pay out",$B531))+ISNUMBER(SEARCH("reimburs",$B531))&gt;0,"Transfer",IF(ISNUMBER(SEARCH("loan",$B531))+ISNUMBER(SEARCH("amort",$B531))+ISNUMBER(SEARCH("installment",$B531))+ISNUMBER(SEARCH("instalment",$B531))&gt;0,"Financing",IF(ISNUMBER(SEARCH("draw",$B531))+ISNUMBER(SEARCH("owner",$B531))+ISNUMBER(SEARCH("asset",$B531))+ISNUMBER(SEARCH("capital",$B531))&gt;0,"Other",IF(ISNUMBER(SEARCH("fuel",$B531))+ISNUMBER(SEARCH("diesel",$B531))+ISNUMBER(SEARCH("krudo",$B531))+ISNUMBER(SEARCH("gasolina",$B531))+ISNUMBER(SEARCH("toll",$B531))+ISNUMBER(SEARCH("parking",$B531))+ISNUMBER(SEARCH("repair",$B531))+ISNUMBER(SEARCH("maintenance",$B531))+ISNUMBER(SEARCH("tire",$B531))+ISNUMBER(SEARCH("tyre",$B531))+ISNUMBER(SEARCH("battery",$B531))+ISNUMBER(SEARCH("oil",$B531))+ISNUMBER(SEARCH("filter",$B531))+ISNUMBER(SEARCH("spare",$B531))+ISNUMBER(SEARCH("insurance",$B531))+ISNUMBER(SEARCH("lto",$B531))+ISNUMBER(SEARCH("registration",$B531))+ISNUMBER(SEARCH("emission",$B531))+ISNUMBER(SEARCH("wash",$B531))+ISNUMBER(SEARCH("weigh",$B531))+ISNUMBER(SEARCH("tarp",$B531))&gt;0,"Vehicle",IF(ISNUMBER(SEARCH("rent",$B531))+ISNUMBER(SEARCH("upa",$B531))+ISNUMBER(SEARCH("salary",$B531))+ISNUMBER(SEARCH("sweldo",$B531))+ISNUMBER(SEARCH("wage",$B531))+ISNUMBER(SEARCH("electric",$B531))+ISNUMBER(SEARCH("kuryente",$B531))+ISNUMBER(SEARCH("water",$B531))+ISNUMBER(SEARCH("tubig",$B531))+ISNUMBER(SEARCH("internet",$B531))+ISNUMBER(SEARCH("pldt",$B531))+ISNUMBER(SEARCH("meralco",$B531))+ISNUMBER(SEARCH("supplies",$B531))+ISNUMBER(SEARCH("office",$B531))+ISNUMBER(SEARCH("professional",$B531))+ISNUMBER(SEARCH("accountant",$B531))+ISNUMBER(SEARCH("lawyer",$B531))+ISNUMBER(SEARCH("broker",$B531))+ISNUMBER(SEARCH("bank",$B531))+ISNUMBER(SEARCH("charge",$B531))+ISNUMBER(SEARCH("permit",$B531))+ISNUMBER(SEARCH("bir",$B531))+ISNUMBER(SEARCH("ltfrb",$B531))+ISNUMBER(SEARCH("misc",$B531))+ISNUMBER(SEARCH("fee",$B531))&gt;0,"Overhead","Overhead")))))))</f>
        <v/>
      </c>
      <c r="J531">
        <f>IF($A531="","",DATE(YEAR($A531),MONTH($A531),1))</f>
        <v/>
      </c>
      <c r="K531">
        <f>IF($B531="","",IF(COUNTIF(Setup!$A$99:$A$128,$B531)&gt;0,0,1))</f>
        <v/>
      </c>
      <c r="L531">
        <f>IF($B531="","",IF(ISNUMBER(SEARCH("advance",$B531)),"ADV",IF(OR(ISNUMBER(SEARCH("payout",$B531)),ISNUMBER(SEARCH("pay out",$B531)),ISNUMBER(SEARCH("release",$B531))),"PAY","")))</f>
        <v/>
      </c>
      <c r="M531">
        <f>IF($B531="","",IF(ISNUMBER(SEARCH("bulk",$B531)),0,IF(ISNUMBER(SEARCH("fuel",$B531))+ISNUMBER(SEARCH("diesel",$B531))+ISNUMBER(SEARCH("krudo",$B531))+ISNUMBER(SEARCH("gasolina",$B531))&gt;0,1,0)))</f>
        <v/>
      </c>
      <c r="N531">
        <f>IF($B531="","",IF(ISNUMBER(SEARCH("fuel",$B531))+ISNUMBER(SEARCH("diesel",$B531))+ISNUMBER(SEARCH("krudo",$B531))+ISNUMBER(SEARCH("gasolina",$B531))&gt;0,1,0))</f>
        <v/>
      </c>
    </row>
    <row r="532">
      <c r="A532" s="94" t="n"/>
      <c r="B532" s="96" t="n"/>
      <c r="C532" s="96" t="n"/>
      <c r="D532" s="95" t="n"/>
      <c r="E532" s="96" t="n"/>
      <c r="F532" s="99" t="n"/>
      <c r="G532" s="95" t="n"/>
      <c r="H532" s="95" t="n"/>
      <c r="I532" s="101">
        <f>IF($B532="","",IF(COUNTIF(Setup!$A$99:$A$128,$B532)&gt;0,IF(INDEX(Setup!$B$99:$B$128,MATCH($B532,Setup!$A$99:$A$128,0))="","Overhead",INDEX(Setup!$B$99:$B$128,MATCH($B532,Setup!$A$99:$A$128,0))),IF(ISNUMBER(SEARCH("advance",$B532))+ISNUMBER(SEARCH("payout",$B532))+ISNUMBER(SEARCH("pay out",$B532))+ISNUMBER(SEARCH("reimburs",$B532))&gt;0,"Transfer",IF(ISNUMBER(SEARCH("loan",$B532))+ISNUMBER(SEARCH("amort",$B532))+ISNUMBER(SEARCH("installment",$B532))+ISNUMBER(SEARCH("instalment",$B532))&gt;0,"Financing",IF(ISNUMBER(SEARCH("draw",$B532))+ISNUMBER(SEARCH("owner",$B532))+ISNUMBER(SEARCH("asset",$B532))+ISNUMBER(SEARCH("capital",$B532))&gt;0,"Other",IF(ISNUMBER(SEARCH("fuel",$B532))+ISNUMBER(SEARCH("diesel",$B532))+ISNUMBER(SEARCH("krudo",$B532))+ISNUMBER(SEARCH("gasolina",$B532))+ISNUMBER(SEARCH("toll",$B532))+ISNUMBER(SEARCH("parking",$B532))+ISNUMBER(SEARCH("repair",$B532))+ISNUMBER(SEARCH("maintenance",$B532))+ISNUMBER(SEARCH("tire",$B532))+ISNUMBER(SEARCH("tyre",$B532))+ISNUMBER(SEARCH("battery",$B532))+ISNUMBER(SEARCH("oil",$B532))+ISNUMBER(SEARCH("filter",$B532))+ISNUMBER(SEARCH("spare",$B532))+ISNUMBER(SEARCH("insurance",$B532))+ISNUMBER(SEARCH("lto",$B532))+ISNUMBER(SEARCH("registration",$B532))+ISNUMBER(SEARCH("emission",$B532))+ISNUMBER(SEARCH("wash",$B532))+ISNUMBER(SEARCH("weigh",$B532))+ISNUMBER(SEARCH("tarp",$B532))&gt;0,"Vehicle",IF(ISNUMBER(SEARCH("rent",$B532))+ISNUMBER(SEARCH("upa",$B532))+ISNUMBER(SEARCH("salary",$B532))+ISNUMBER(SEARCH("sweldo",$B532))+ISNUMBER(SEARCH("wage",$B532))+ISNUMBER(SEARCH("electric",$B532))+ISNUMBER(SEARCH("kuryente",$B532))+ISNUMBER(SEARCH("water",$B532))+ISNUMBER(SEARCH("tubig",$B532))+ISNUMBER(SEARCH("internet",$B532))+ISNUMBER(SEARCH("pldt",$B532))+ISNUMBER(SEARCH("meralco",$B532))+ISNUMBER(SEARCH("supplies",$B532))+ISNUMBER(SEARCH("office",$B532))+ISNUMBER(SEARCH("professional",$B532))+ISNUMBER(SEARCH("accountant",$B532))+ISNUMBER(SEARCH("lawyer",$B532))+ISNUMBER(SEARCH("broker",$B532))+ISNUMBER(SEARCH("bank",$B532))+ISNUMBER(SEARCH("charge",$B532))+ISNUMBER(SEARCH("permit",$B532))+ISNUMBER(SEARCH("bir",$B532))+ISNUMBER(SEARCH("ltfrb",$B532))+ISNUMBER(SEARCH("misc",$B532))+ISNUMBER(SEARCH("fee",$B532))&gt;0,"Overhead","Overhead")))))))</f>
        <v/>
      </c>
      <c r="J532">
        <f>IF($A532="","",DATE(YEAR($A532),MONTH($A532),1))</f>
        <v/>
      </c>
      <c r="K532">
        <f>IF($B532="","",IF(COUNTIF(Setup!$A$99:$A$128,$B532)&gt;0,0,1))</f>
        <v/>
      </c>
      <c r="L532">
        <f>IF($B532="","",IF(ISNUMBER(SEARCH("advance",$B532)),"ADV",IF(OR(ISNUMBER(SEARCH("payout",$B532)),ISNUMBER(SEARCH("pay out",$B532)),ISNUMBER(SEARCH("release",$B532))),"PAY","")))</f>
        <v/>
      </c>
      <c r="M532">
        <f>IF($B532="","",IF(ISNUMBER(SEARCH("bulk",$B532)),0,IF(ISNUMBER(SEARCH("fuel",$B532))+ISNUMBER(SEARCH("diesel",$B532))+ISNUMBER(SEARCH("krudo",$B532))+ISNUMBER(SEARCH("gasolina",$B532))&gt;0,1,0)))</f>
        <v/>
      </c>
      <c r="N532">
        <f>IF($B532="","",IF(ISNUMBER(SEARCH("fuel",$B532))+ISNUMBER(SEARCH("diesel",$B532))+ISNUMBER(SEARCH("krudo",$B532))+ISNUMBER(SEARCH("gasolina",$B532))&gt;0,1,0))</f>
        <v/>
      </c>
    </row>
    <row r="533">
      <c r="A533" s="86" t="n"/>
      <c r="B533" s="88" t="n"/>
      <c r="C533" s="88" t="n"/>
      <c r="D533" s="87" t="n"/>
      <c r="E533" s="88" t="n"/>
      <c r="F533" s="92" t="n"/>
      <c r="G533" s="87" t="n"/>
      <c r="H533" s="87" t="n"/>
      <c r="I533" s="101">
        <f>IF($B533="","",IF(COUNTIF(Setup!$A$99:$A$128,$B533)&gt;0,IF(INDEX(Setup!$B$99:$B$128,MATCH($B533,Setup!$A$99:$A$128,0))="","Overhead",INDEX(Setup!$B$99:$B$128,MATCH($B533,Setup!$A$99:$A$128,0))),IF(ISNUMBER(SEARCH("advance",$B533))+ISNUMBER(SEARCH("payout",$B533))+ISNUMBER(SEARCH("pay out",$B533))+ISNUMBER(SEARCH("reimburs",$B533))&gt;0,"Transfer",IF(ISNUMBER(SEARCH("loan",$B533))+ISNUMBER(SEARCH("amort",$B533))+ISNUMBER(SEARCH("installment",$B533))+ISNUMBER(SEARCH("instalment",$B533))&gt;0,"Financing",IF(ISNUMBER(SEARCH("draw",$B533))+ISNUMBER(SEARCH("owner",$B533))+ISNUMBER(SEARCH("asset",$B533))+ISNUMBER(SEARCH("capital",$B533))&gt;0,"Other",IF(ISNUMBER(SEARCH("fuel",$B533))+ISNUMBER(SEARCH("diesel",$B533))+ISNUMBER(SEARCH("krudo",$B533))+ISNUMBER(SEARCH("gasolina",$B533))+ISNUMBER(SEARCH("toll",$B533))+ISNUMBER(SEARCH("parking",$B533))+ISNUMBER(SEARCH("repair",$B533))+ISNUMBER(SEARCH("maintenance",$B533))+ISNUMBER(SEARCH("tire",$B533))+ISNUMBER(SEARCH("tyre",$B533))+ISNUMBER(SEARCH("battery",$B533))+ISNUMBER(SEARCH("oil",$B533))+ISNUMBER(SEARCH("filter",$B533))+ISNUMBER(SEARCH("spare",$B533))+ISNUMBER(SEARCH("insurance",$B533))+ISNUMBER(SEARCH("lto",$B533))+ISNUMBER(SEARCH("registration",$B533))+ISNUMBER(SEARCH("emission",$B533))+ISNUMBER(SEARCH("wash",$B533))+ISNUMBER(SEARCH("weigh",$B533))+ISNUMBER(SEARCH("tarp",$B533))&gt;0,"Vehicle",IF(ISNUMBER(SEARCH("rent",$B533))+ISNUMBER(SEARCH("upa",$B533))+ISNUMBER(SEARCH("salary",$B533))+ISNUMBER(SEARCH("sweldo",$B533))+ISNUMBER(SEARCH("wage",$B533))+ISNUMBER(SEARCH("electric",$B533))+ISNUMBER(SEARCH("kuryente",$B533))+ISNUMBER(SEARCH("water",$B533))+ISNUMBER(SEARCH("tubig",$B533))+ISNUMBER(SEARCH("internet",$B533))+ISNUMBER(SEARCH("pldt",$B533))+ISNUMBER(SEARCH("meralco",$B533))+ISNUMBER(SEARCH("supplies",$B533))+ISNUMBER(SEARCH("office",$B533))+ISNUMBER(SEARCH("professional",$B533))+ISNUMBER(SEARCH("accountant",$B533))+ISNUMBER(SEARCH("lawyer",$B533))+ISNUMBER(SEARCH("broker",$B533))+ISNUMBER(SEARCH("bank",$B533))+ISNUMBER(SEARCH("charge",$B533))+ISNUMBER(SEARCH("permit",$B533))+ISNUMBER(SEARCH("bir",$B533))+ISNUMBER(SEARCH("ltfrb",$B533))+ISNUMBER(SEARCH("misc",$B533))+ISNUMBER(SEARCH("fee",$B533))&gt;0,"Overhead","Overhead")))))))</f>
        <v/>
      </c>
      <c r="J533">
        <f>IF($A533="","",DATE(YEAR($A533),MONTH($A533),1))</f>
        <v/>
      </c>
      <c r="K533">
        <f>IF($B533="","",IF(COUNTIF(Setup!$A$99:$A$128,$B533)&gt;0,0,1))</f>
        <v/>
      </c>
      <c r="L533">
        <f>IF($B533="","",IF(ISNUMBER(SEARCH("advance",$B533)),"ADV",IF(OR(ISNUMBER(SEARCH("payout",$B533)),ISNUMBER(SEARCH("pay out",$B533)),ISNUMBER(SEARCH("release",$B533))),"PAY","")))</f>
        <v/>
      </c>
      <c r="M533">
        <f>IF($B533="","",IF(ISNUMBER(SEARCH("bulk",$B533)),0,IF(ISNUMBER(SEARCH("fuel",$B533))+ISNUMBER(SEARCH("diesel",$B533))+ISNUMBER(SEARCH("krudo",$B533))+ISNUMBER(SEARCH("gasolina",$B533))&gt;0,1,0)))</f>
        <v/>
      </c>
      <c r="N533">
        <f>IF($B533="","",IF(ISNUMBER(SEARCH("fuel",$B533))+ISNUMBER(SEARCH("diesel",$B533))+ISNUMBER(SEARCH("krudo",$B533))+ISNUMBER(SEARCH("gasolina",$B533))&gt;0,1,0))</f>
        <v/>
      </c>
    </row>
    <row r="534">
      <c r="A534" s="94" t="n"/>
      <c r="B534" s="96" t="n"/>
      <c r="C534" s="96" t="n"/>
      <c r="D534" s="95" t="n"/>
      <c r="E534" s="96" t="n"/>
      <c r="F534" s="99" t="n"/>
      <c r="G534" s="95" t="n"/>
      <c r="H534" s="95" t="n"/>
      <c r="I534" s="101">
        <f>IF($B534="","",IF(COUNTIF(Setup!$A$99:$A$128,$B534)&gt;0,IF(INDEX(Setup!$B$99:$B$128,MATCH($B534,Setup!$A$99:$A$128,0))="","Overhead",INDEX(Setup!$B$99:$B$128,MATCH($B534,Setup!$A$99:$A$128,0))),IF(ISNUMBER(SEARCH("advance",$B534))+ISNUMBER(SEARCH("payout",$B534))+ISNUMBER(SEARCH("pay out",$B534))+ISNUMBER(SEARCH("reimburs",$B534))&gt;0,"Transfer",IF(ISNUMBER(SEARCH("loan",$B534))+ISNUMBER(SEARCH("amort",$B534))+ISNUMBER(SEARCH("installment",$B534))+ISNUMBER(SEARCH("instalment",$B534))&gt;0,"Financing",IF(ISNUMBER(SEARCH("draw",$B534))+ISNUMBER(SEARCH("owner",$B534))+ISNUMBER(SEARCH("asset",$B534))+ISNUMBER(SEARCH("capital",$B534))&gt;0,"Other",IF(ISNUMBER(SEARCH("fuel",$B534))+ISNUMBER(SEARCH("diesel",$B534))+ISNUMBER(SEARCH("krudo",$B534))+ISNUMBER(SEARCH("gasolina",$B534))+ISNUMBER(SEARCH("toll",$B534))+ISNUMBER(SEARCH("parking",$B534))+ISNUMBER(SEARCH("repair",$B534))+ISNUMBER(SEARCH("maintenance",$B534))+ISNUMBER(SEARCH("tire",$B534))+ISNUMBER(SEARCH("tyre",$B534))+ISNUMBER(SEARCH("battery",$B534))+ISNUMBER(SEARCH("oil",$B534))+ISNUMBER(SEARCH("filter",$B534))+ISNUMBER(SEARCH("spare",$B534))+ISNUMBER(SEARCH("insurance",$B534))+ISNUMBER(SEARCH("lto",$B534))+ISNUMBER(SEARCH("registration",$B534))+ISNUMBER(SEARCH("emission",$B534))+ISNUMBER(SEARCH("wash",$B534))+ISNUMBER(SEARCH("weigh",$B534))+ISNUMBER(SEARCH("tarp",$B534))&gt;0,"Vehicle",IF(ISNUMBER(SEARCH("rent",$B534))+ISNUMBER(SEARCH("upa",$B534))+ISNUMBER(SEARCH("salary",$B534))+ISNUMBER(SEARCH("sweldo",$B534))+ISNUMBER(SEARCH("wage",$B534))+ISNUMBER(SEARCH("electric",$B534))+ISNUMBER(SEARCH("kuryente",$B534))+ISNUMBER(SEARCH("water",$B534))+ISNUMBER(SEARCH("tubig",$B534))+ISNUMBER(SEARCH("internet",$B534))+ISNUMBER(SEARCH("pldt",$B534))+ISNUMBER(SEARCH("meralco",$B534))+ISNUMBER(SEARCH("supplies",$B534))+ISNUMBER(SEARCH("office",$B534))+ISNUMBER(SEARCH("professional",$B534))+ISNUMBER(SEARCH("accountant",$B534))+ISNUMBER(SEARCH("lawyer",$B534))+ISNUMBER(SEARCH("broker",$B534))+ISNUMBER(SEARCH("bank",$B534))+ISNUMBER(SEARCH("charge",$B534))+ISNUMBER(SEARCH("permit",$B534))+ISNUMBER(SEARCH("bir",$B534))+ISNUMBER(SEARCH("ltfrb",$B534))+ISNUMBER(SEARCH("misc",$B534))+ISNUMBER(SEARCH("fee",$B534))&gt;0,"Overhead","Overhead")))))))</f>
        <v/>
      </c>
      <c r="J534">
        <f>IF($A534="","",DATE(YEAR($A534),MONTH($A534),1))</f>
        <v/>
      </c>
      <c r="K534">
        <f>IF($B534="","",IF(COUNTIF(Setup!$A$99:$A$128,$B534)&gt;0,0,1))</f>
        <v/>
      </c>
      <c r="L534">
        <f>IF($B534="","",IF(ISNUMBER(SEARCH("advance",$B534)),"ADV",IF(OR(ISNUMBER(SEARCH("payout",$B534)),ISNUMBER(SEARCH("pay out",$B534)),ISNUMBER(SEARCH("release",$B534))),"PAY","")))</f>
        <v/>
      </c>
      <c r="M534">
        <f>IF($B534="","",IF(ISNUMBER(SEARCH("bulk",$B534)),0,IF(ISNUMBER(SEARCH("fuel",$B534))+ISNUMBER(SEARCH("diesel",$B534))+ISNUMBER(SEARCH("krudo",$B534))+ISNUMBER(SEARCH("gasolina",$B534))&gt;0,1,0)))</f>
        <v/>
      </c>
      <c r="N534">
        <f>IF($B534="","",IF(ISNUMBER(SEARCH("fuel",$B534))+ISNUMBER(SEARCH("diesel",$B534))+ISNUMBER(SEARCH("krudo",$B534))+ISNUMBER(SEARCH("gasolina",$B534))&gt;0,1,0))</f>
        <v/>
      </c>
    </row>
    <row r="535">
      <c r="A535" s="86" t="n"/>
      <c r="B535" s="88" t="n"/>
      <c r="C535" s="88" t="n"/>
      <c r="D535" s="87" t="n"/>
      <c r="E535" s="88" t="n"/>
      <c r="F535" s="92" t="n"/>
      <c r="G535" s="87" t="n"/>
      <c r="H535" s="87" t="n"/>
      <c r="I535" s="101">
        <f>IF($B535="","",IF(COUNTIF(Setup!$A$99:$A$128,$B535)&gt;0,IF(INDEX(Setup!$B$99:$B$128,MATCH($B535,Setup!$A$99:$A$128,0))="","Overhead",INDEX(Setup!$B$99:$B$128,MATCH($B535,Setup!$A$99:$A$128,0))),IF(ISNUMBER(SEARCH("advance",$B535))+ISNUMBER(SEARCH("payout",$B535))+ISNUMBER(SEARCH("pay out",$B535))+ISNUMBER(SEARCH("reimburs",$B535))&gt;0,"Transfer",IF(ISNUMBER(SEARCH("loan",$B535))+ISNUMBER(SEARCH("amort",$B535))+ISNUMBER(SEARCH("installment",$B535))+ISNUMBER(SEARCH("instalment",$B535))&gt;0,"Financing",IF(ISNUMBER(SEARCH("draw",$B535))+ISNUMBER(SEARCH("owner",$B535))+ISNUMBER(SEARCH("asset",$B535))+ISNUMBER(SEARCH("capital",$B535))&gt;0,"Other",IF(ISNUMBER(SEARCH("fuel",$B535))+ISNUMBER(SEARCH("diesel",$B535))+ISNUMBER(SEARCH("krudo",$B535))+ISNUMBER(SEARCH("gasolina",$B535))+ISNUMBER(SEARCH("toll",$B535))+ISNUMBER(SEARCH("parking",$B535))+ISNUMBER(SEARCH("repair",$B535))+ISNUMBER(SEARCH("maintenance",$B535))+ISNUMBER(SEARCH("tire",$B535))+ISNUMBER(SEARCH("tyre",$B535))+ISNUMBER(SEARCH("battery",$B535))+ISNUMBER(SEARCH("oil",$B535))+ISNUMBER(SEARCH("filter",$B535))+ISNUMBER(SEARCH("spare",$B535))+ISNUMBER(SEARCH("insurance",$B535))+ISNUMBER(SEARCH("lto",$B535))+ISNUMBER(SEARCH("registration",$B535))+ISNUMBER(SEARCH("emission",$B535))+ISNUMBER(SEARCH("wash",$B535))+ISNUMBER(SEARCH("weigh",$B535))+ISNUMBER(SEARCH("tarp",$B535))&gt;0,"Vehicle",IF(ISNUMBER(SEARCH("rent",$B535))+ISNUMBER(SEARCH("upa",$B535))+ISNUMBER(SEARCH("salary",$B535))+ISNUMBER(SEARCH("sweldo",$B535))+ISNUMBER(SEARCH("wage",$B535))+ISNUMBER(SEARCH("electric",$B535))+ISNUMBER(SEARCH("kuryente",$B535))+ISNUMBER(SEARCH("water",$B535))+ISNUMBER(SEARCH("tubig",$B535))+ISNUMBER(SEARCH("internet",$B535))+ISNUMBER(SEARCH("pldt",$B535))+ISNUMBER(SEARCH("meralco",$B535))+ISNUMBER(SEARCH("supplies",$B535))+ISNUMBER(SEARCH("office",$B535))+ISNUMBER(SEARCH("professional",$B535))+ISNUMBER(SEARCH("accountant",$B535))+ISNUMBER(SEARCH("lawyer",$B535))+ISNUMBER(SEARCH("broker",$B535))+ISNUMBER(SEARCH("bank",$B535))+ISNUMBER(SEARCH("charge",$B535))+ISNUMBER(SEARCH("permit",$B535))+ISNUMBER(SEARCH("bir",$B535))+ISNUMBER(SEARCH("ltfrb",$B535))+ISNUMBER(SEARCH("misc",$B535))+ISNUMBER(SEARCH("fee",$B535))&gt;0,"Overhead","Overhead")))))))</f>
        <v/>
      </c>
      <c r="J535">
        <f>IF($A535="","",DATE(YEAR($A535),MONTH($A535),1))</f>
        <v/>
      </c>
      <c r="K535">
        <f>IF($B535="","",IF(COUNTIF(Setup!$A$99:$A$128,$B535)&gt;0,0,1))</f>
        <v/>
      </c>
      <c r="L535">
        <f>IF($B535="","",IF(ISNUMBER(SEARCH("advance",$B535)),"ADV",IF(OR(ISNUMBER(SEARCH("payout",$B535)),ISNUMBER(SEARCH("pay out",$B535)),ISNUMBER(SEARCH("release",$B535))),"PAY","")))</f>
        <v/>
      </c>
      <c r="M535">
        <f>IF($B535="","",IF(ISNUMBER(SEARCH("bulk",$B535)),0,IF(ISNUMBER(SEARCH("fuel",$B535))+ISNUMBER(SEARCH("diesel",$B535))+ISNUMBER(SEARCH("krudo",$B535))+ISNUMBER(SEARCH("gasolina",$B535))&gt;0,1,0)))</f>
        <v/>
      </c>
      <c r="N535">
        <f>IF($B535="","",IF(ISNUMBER(SEARCH("fuel",$B535))+ISNUMBER(SEARCH("diesel",$B535))+ISNUMBER(SEARCH("krudo",$B535))+ISNUMBER(SEARCH("gasolina",$B535))&gt;0,1,0))</f>
        <v/>
      </c>
    </row>
    <row r="536">
      <c r="A536" s="94" t="n"/>
      <c r="B536" s="96" t="n"/>
      <c r="C536" s="96" t="n"/>
      <c r="D536" s="95" t="n"/>
      <c r="E536" s="96" t="n"/>
      <c r="F536" s="99" t="n"/>
      <c r="G536" s="95" t="n"/>
      <c r="H536" s="95" t="n"/>
      <c r="I536" s="101">
        <f>IF($B536="","",IF(COUNTIF(Setup!$A$99:$A$128,$B536)&gt;0,IF(INDEX(Setup!$B$99:$B$128,MATCH($B536,Setup!$A$99:$A$128,0))="","Overhead",INDEX(Setup!$B$99:$B$128,MATCH($B536,Setup!$A$99:$A$128,0))),IF(ISNUMBER(SEARCH("advance",$B536))+ISNUMBER(SEARCH("payout",$B536))+ISNUMBER(SEARCH("pay out",$B536))+ISNUMBER(SEARCH("reimburs",$B536))&gt;0,"Transfer",IF(ISNUMBER(SEARCH("loan",$B536))+ISNUMBER(SEARCH("amort",$B536))+ISNUMBER(SEARCH("installment",$B536))+ISNUMBER(SEARCH("instalment",$B536))&gt;0,"Financing",IF(ISNUMBER(SEARCH("draw",$B536))+ISNUMBER(SEARCH("owner",$B536))+ISNUMBER(SEARCH("asset",$B536))+ISNUMBER(SEARCH("capital",$B536))&gt;0,"Other",IF(ISNUMBER(SEARCH("fuel",$B536))+ISNUMBER(SEARCH("diesel",$B536))+ISNUMBER(SEARCH("krudo",$B536))+ISNUMBER(SEARCH("gasolina",$B536))+ISNUMBER(SEARCH("toll",$B536))+ISNUMBER(SEARCH("parking",$B536))+ISNUMBER(SEARCH("repair",$B536))+ISNUMBER(SEARCH("maintenance",$B536))+ISNUMBER(SEARCH("tire",$B536))+ISNUMBER(SEARCH("tyre",$B536))+ISNUMBER(SEARCH("battery",$B536))+ISNUMBER(SEARCH("oil",$B536))+ISNUMBER(SEARCH("filter",$B536))+ISNUMBER(SEARCH("spare",$B536))+ISNUMBER(SEARCH("insurance",$B536))+ISNUMBER(SEARCH("lto",$B536))+ISNUMBER(SEARCH("registration",$B536))+ISNUMBER(SEARCH("emission",$B536))+ISNUMBER(SEARCH("wash",$B536))+ISNUMBER(SEARCH("weigh",$B536))+ISNUMBER(SEARCH("tarp",$B536))&gt;0,"Vehicle",IF(ISNUMBER(SEARCH("rent",$B536))+ISNUMBER(SEARCH("upa",$B536))+ISNUMBER(SEARCH("salary",$B536))+ISNUMBER(SEARCH("sweldo",$B536))+ISNUMBER(SEARCH("wage",$B536))+ISNUMBER(SEARCH("electric",$B536))+ISNUMBER(SEARCH("kuryente",$B536))+ISNUMBER(SEARCH("water",$B536))+ISNUMBER(SEARCH("tubig",$B536))+ISNUMBER(SEARCH("internet",$B536))+ISNUMBER(SEARCH("pldt",$B536))+ISNUMBER(SEARCH("meralco",$B536))+ISNUMBER(SEARCH("supplies",$B536))+ISNUMBER(SEARCH("office",$B536))+ISNUMBER(SEARCH("professional",$B536))+ISNUMBER(SEARCH("accountant",$B536))+ISNUMBER(SEARCH("lawyer",$B536))+ISNUMBER(SEARCH("broker",$B536))+ISNUMBER(SEARCH("bank",$B536))+ISNUMBER(SEARCH("charge",$B536))+ISNUMBER(SEARCH("permit",$B536))+ISNUMBER(SEARCH("bir",$B536))+ISNUMBER(SEARCH("ltfrb",$B536))+ISNUMBER(SEARCH("misc",$B536))+ISNUMBER(SEARCH("fee",$B536))&gt;0,"Overhead","Overhead")))))))</f>
        <v/>
      </c>
      <c r="J536">
        <f>IF($A536="","",DATE(YEAR($A536),MONTH($A536),1))</f>
        <v/>
      </c>
      <c r="K536">
        <f>IF($B536="","",IF(COUNTIF(Setup!$A$99:$A$128,$B536)&gt;0,0,1))</f>
        <v/>
      </c>
      <c r="L536">
        <f>IF($B536="","",IF(ISNUMBER(SEARCH("advance",$B536)),"ADV",IF(OR(ISNUMBER(SEARCH("payout",$B536)),ISNUMBER(SEARCH("pay out",$B536)),ISNUMBER(SEARCH("release",$B536))),"PAY","")))</f>
        <v/>
      </c>
      <c r="M536">
        <f>IF($B536="","",IF(ISNUMBER(SEARCH("bulk",$B536)),0,IF(ISNUMBER(SEARCH("fuel",$B536))+ISNUMBER(SEARCH("diesel",$B536))+ISNUMBER(SEARCH("krudo",$B536))+ISNUMBER(SEARCH("gasolina",$B536))&gt;0,1,0)))</f>
        <v/>
      </c>
      <c r="N536">
        <f>IF($B536="","",IF(ISNUMBER(SEARCH("fuel",$B536))+ISNUMBER(SEARCH("diesel",$B536))+ISNUMBER(SEARCH("krudo",$B536))+ISNUMBER(SEARCH("gasolina",$B536))&gt;0,1,0))</f>
        <v/>
      </c>
    </row>
    <row r="537">
      <c r="A537" s="86" t="n"/>
      <c r="B537" s="88" t="n"/>
      <c r="C537" s="88" t="n"/>
      <c r="D537" s="87" t="n"/>
      <c r="E537" s="88" t="n"/>
      <c r="F537" s="92" t="n"/>
      <c r="G537" s="87" t="n"/>
      <c r="H537" s="87" t="n"/>
      <c r="I537" s="101">
        <f>IF($B537="","",IF(COUNTIF(Setup!$A$99:$A$128,$B537)&gt;0,IF(INDEX(Setup!$B$99:$B$128,MATCH($B537,Setup!$A$99:$A$128,0))="","Overhead",INDEX(Setup!$B$99:$B$128,MATCH($B537,Setup!$A$99:$A$128,0))),IF(ISNUMBER(SEARCH("advance",$B537))+ISNUMBER(SEARCH("payout",$B537))+ISNUMBER(SEARCH("pay out",$B537))+ISNUMBER(SEARCH("reimburs",$B537))&gt;0,"Transfer",IF(ISNUMBER(SEARCH("loan",$B537))+ISNUMBER(SEARCH("amort",$B537))+ISNUMBER(SEARCH("installment",$B537))+ISNUMBER(SEARCH("instalment",$B537))&gt;0,"Financing",IF(ISNUMBER(SEARCH("draw",$B537))+ISNUMBER(SEARCH("owner",$B537))+ISNUMBER(SEARCH("asset",$B537))+ISNUMBER(SEARCH("capital",$B537))&gt;0,"Other",IF(ISNUMBER(SEARCH("fuel",$B537))+ISNUMBER(SEARCH("diesel",$B537))+ISNUMBER(SEARCH("krudo",$B537))+ISNUMBER(SEARCH("gasolina",$B537))+ISNUMBER(SEARCH("toll",$B537))+ISNUMBER(SEARCH("parking",$B537))+ISNUMBER(SEARCH("repair",$B537))+ISNUMBER(SEARCH("maintenance",$B537))+ISNUMBER(SEARCH("tire",$B537))+ISNUMBER(SEARCH("tyre",$B537))+ISNUMBER(SEARCH("battery",$B537))+ISNUMBER(SEARCH("oil",$B537))+ISNUMBER(SEARCH("filter",$B537))+ISNUMBER(SEARCH("spare",$B537))+ISNUMBER(SEARCH("insurance",$B537))+ISNUMBER(SEARCH("lto",$B537))+ISNUMBER(SEARCH("registration",$B537))+ISNUMBER(SEARCH("emission",$B537))+ISNUMBER(SEARCH("wash",$B537))+ISNUMBER(SEARCH("weigh",$B537))+ISNUMBER(SEARCH("tarp",$B537))&gt;0,"Vehicle",IF(ISNUMBER(SEARCH("rent",$B537))+ISNUMBER(SEARCH("upa",$B537))+ISNUMBER(SEARCH("salary",$B537))+ISNUMBER(SEARCH("sweldo",$B537))+ISNUMBER(SEARCH("wage",$B537))+ISNUMBER(SEARCH("electric",$B537))+ISNUMBER(SEARCH("kuryente",$B537))+ISNUMBER(SEARCH("water",$B537))+ISNUMBER(SEARCH("tubig",$B537))+ISNUMBER(SEARCH("internet",$B537))+ISNUMBER(SEARCH("pldt",$B537))+ISNUMBER(SEARCH("meralco",$B537))+ISNUMBER(SEARCH("supplies",$B537))+ISNUMBER(SEARCH("office",$B537))+ISNUMBER(SEARCH("professional",$B537))+ISNUMBER(SEARCH("accountant",$B537))+ISNUMBER(SEARCH("lawyer",$B537))+ISNUMBER(SEARCH("broker",$B537))+ISNUMBER(SEARCH("bank",$B537))+ISNUMBER(SEARCH("charge",$B537))+ISNUMBER(SEARCH("permit",$B537))+ISNUMBER(SEARCH("bir",$B537))+ISNUMBER(SEARCH("ltfrb",$B537))+ISNUMBER(SEARCH("misc",$B537))+ISNUMBER(SEARCH("fee",$B537))&gt;0,"Overhead","Overhead")))))))</f>
        <v/>
      </c>
      <c r="J537">
        <f>IF($A537="","",DATE(YEAR($A537),MONTH($A537),1))</f>
        <v/>
      </c>
      <c r="K537">
        <f>IF($B537="","",IF(COUNTIF(Setup!$A$99:$A$128,$B537)&gt;0,0,1))</f>
        <v/>
      </c>
      <c r="L537">
        <f>IF($B537="","",IF(ISNUMBER(SEARCH("advance",$B537)),"ADV",IF(OR(ISNUMBER(SEARCH("payout",$B537)),ISNUMBER(SEARCH("pay out",$B537)),ISNUMBER(SEARCH("release",$B537))),"PAY","")))</f>
        <v/>
      </c>
      <c r="M537">
        <f>IF($B537="","",IF(ISNUMBER(SEARCH("bulk",$B537)),0,IF(ISNUMBER(SEARCH("fuel",$B537))+ISNUMBER(SEARCH("diesel",$B537))+ISNUMBER(SEARCH("krudo",$B537))+ISNUMBER(SEARCH("gasolina",$B537))&gt;0,1,0)))</f>
        <v/>
      </c>
      <c r="N537">
        <f>IF($B537="","",IF(ISNUMBER(SEARCH("fuel",$B537))+ISNUMBER(SEARCH("diesel",$B537))+ISNUMBER(SEARCH("krudo",$B537))+ISNUMBER(SEARCH("gasolina",$B537))&gt;0,1,0))</f>
        <v/>
      </c>
    </row>
    <row r="538">
      <c r="A538" s="94" t="n"/>
      <c r="B538" s="96" t="n"/>
      <c r="C538" s="96" t="n"/>
      <c r="D538" s="95" t="n"/>
      <c r="E538" s="96" t="n"/>
      <c r="F538" s="99" t="n"/>
      <c r="G538" s="95" t="n"/>
      <c r="H538" s="95" t="n"/>
      <c r="I538" s="101">
        <f>IF($B538="","",IF(COUNTIF(Setup!$A$99:$A$128,$B538)&gt;0,IF(INDEX(Setup!$B$99:$B$128,MATCH($B538,Setup!$A$99:$A$128,0))="","Overhead",INDEX(Setup!$B$99:$B$128,MATCH($B538,Setup!$A$99:$A$128,0))),IF(ISNUMBER(SEARCH("advance",$B538))+ISNUMBER(SEARCH("payout",$B538))+ISNUMBER(SEARCH("pay out",$B538))+ISNUMBER(SEARCH("reimburs",$B538))&gt;0,"Transfer",IF(ISNUMBER(SEARCH("loan",$B538))+ISNUMBER(SEARCH("amort",$B538))+ISNUMBER(SEARCH("installment",$B538))+ISNUMBER(SEARCH("instalment",$B538))&gt;0,"Financing",IF(ISNUMBER(SEARCH("draw",$B538))+ISNUMBER(SEARCH("owner",$B538))+ISNUMBER(SEARCH("asset",$B538))+ISNUMBER(SEARCH("capital",$B538))&gt;0,"Other",IF(ISNUMBER(SEARCH("fuel",$B538))+ISNUMBER(SEARCH("diesel",$B538))+ISNUMBER(SEARCH("krudo",$B538))+ISNUMBER(SEARCH("gasolina",$B538))+ISNUMBER(SEARCH("toll",$B538))+ISNUMBER(SEARCH("parking",$B538))+ISNUMBER(SEARCH("repair",$B538))+ISNUMBER(SEARCH("maintenance",$B538))+ISNUMBER(SEARCH("tire",$B538))+ISNUMBER(SEARCH("tyre",$B538))+ISNUMBER(SEARCH("battery",$B538))+ISNUMBER(SEARCH("oil",$B538))+ISNUMBER(SEARCH("filter",$B538))+ISNUMBER(SEARCH("spare",$B538))+ISNUMBER(SEARCH("insurance",$B538))+ISNUMBER(SEARCH("lto",$B538))+ISNUMBER(SEARCH("registration",$B538))+ISNUMBER(SEARCH("emission",$B538))+ISNUMBER(SEARCH("wash",$B538))+ISNUMBER(SEARCH("weigh",$B538))+ISNUMBER(SEARCH("tarp",$B538))&gt;0,"Vehicle",IF(ISNUMBER(SEARCH("rent",$B538))+ISNUMBER(SEARCH("upa",$B538))+ISNUMBER(SEARCH("salary",$B538))+ISNUMBER(SEARCH("sweldo",$B538))+ISNUMBER(SEARCH("wage",$B538))+ISNUMBER(SEARCH("electric",$B538))+ISNUMBER(SEARCH("kuryente",$B538))+ISNUMBER(SEARCH("water",$B538))+ISNUMBER(SEARCH("tubig",$B538))+ISNUMBER(SEARCH("internet",$B538))+ISNUMBER(SEARCH("pldt",$B538))+ISNUMBER(SEARCH("meralco",$B538))+ISNUMBER(SEARCH("supplies",$B538))+ISNUMBER(SEARCH("office",$B538))+ISNUMBER(SEARCH("professional",$B538))+ISNUMBER(SEARCH("accountant",$B538))+ISNUMBER(SEARCH("lawyer",$B538))+ISNUMBER(SEARCH("broker",$B538))+ISNUMBER(SEARCH("bank",$B538))+ISNUMBER(SEARCH("charge",$B538))+ISNUMBER(SEARCH("permit",$B538))+ISNUMBER(SEARCH("bir",$B538))+ISNUMBER(SEARCH("ltfrb",$B538))+ISNUMBER(SEARCH("misc",$B538))+ISNUMBER(SEARCH("fee",$B538))&gt;0,"Overhead","Overhead")))))))</f>
        <v/>
      </c>
      <c r="J538">
        <f>IF($A538="","",DATE(YEAR($A538),MONTH($A538),1))</f>
        <v/>
      </c>
      <c r="K538">
        <f>IF($B538="","",IF(COUNTIF(Setup!$A$99:$A$128,$B538)&gt;0,0,1))</f>
        <v/>
      </c>
      <c r="L538">
        <f>IF($B538="","",IF(ISNUMBER(SEARCH("advance",$B538)),"ADV",IF(OR(ISNUMBER(SEARCH("payout",$B538)),ISNUMBER(SEARCH("pay out",$B538)),ISNUMBER(SEARCH("release",$B538))),"PAY","")))</f>
        <v/>
      </c>
      <c r="M538">
        <f>IF($B538="","",IF(ISNUMBER(SEARCH("bulk",$B538)),0,IF(ISNUMBER(SEARCH("fuel",$B538))+ISNUMBER(SEARCH("diesel",$B538))+ISNUMBER(SEARCH("krudo",$B538))+ISNUMBER(SEARCH("gasolina",$B538))&gt;0,1,0)))</f>
        <v/>
      </c>
      <c r="N538">
        <f>IF($B538="","",IF(ISNUMBER(SEARCH("fuel",$B538))+ISNUMBER(SEARCH("diesel",$B538))+ISNUMBER(SEARCH("krudo",$B538))+ISNUMBER(SEARCH("gasolina",$B538))&gt;0,1,0))</f>
        <v/>
      </c>
    </row>
    <row r="539">
      <c r="A539" s="86" t="n"/>
      <c r="B539" s="88" t="n"/>
      <c r="C539" s="88" t="n"/>
      <c r="D539" s="87" t="n"/>
      <c r="E539" s="88" t="n"/>
      <c r="F539" s="92" t="n"/>
      <c r="G539" s="87" t="n"/>
      <c r="H539" s="87" t="n"/>
      <c r="I539" s="101">
        <f>IF($B539="","",IF(COUNTIF(Setup!$A$99:$A$128,$B539)&gt;0,IF(INDEX(Setup!$B$99:$B$128,MATCH($B539,Setup!$A$99:$A$128,0))="","Overhead",INDEX(Setup!$B$99:$B$128,MATCH($B539,Setup!$A$99:$A$128,0))),IF(ISNUMBER(SEARCH("advance",$B539))+ISNUMBER(SEARCH("payout",$B539))+ISNUMBER(SEARCH("pay out",$B539))+ISNUMBER(SEARCH("reimburs",$B539))&gt;0,"Transfer",IF(ISNUMBER(SEARCH("loan",$B539))+ISNUMBER(SEARCH("amort",$B539))+ISNUMBER(SEARCH("installment",$B539))+ISNUMBER(SEARCH("instalment",$B539))&gt;0,"Financing",IF(ISNUMBER(SEARCH("draw",$B539))+ISNUMBER(SEARCH("owner",$B539))+ISNUMBER(SEARCH("asset",$B539))+ISNUMBER(SEARCH("capital",$B539))&gt;0,"Other",IF(ISNUMBER(SEARCH("fuel",$B539))+ISNUMBER(SEARCH("diesel",$B539))+ISNUMBER(SEARCH("krudo",$B539))+ISNUMBER(SEARCH("gasolina",$B539))+ISNUMBER(SEARCH("toll",$B539))+ISNUMBER(SEARCH("parking",$B539))+ISNUMBER(SEARCH("repair",$B539))+ISNUMBER(SEARCH("maintenance",$B539))+ISNUMBER(SEARCH("tire",$B539))+ISNUMBER(SEARCH("tyre",$B539))+ISNUMBER(SEARCH("battery",$B539))+ISNUMBER(SEARCH("oil",$B539))+ISNUMBER(SEARCH("filter",$B539))+ISNUMBER(SEARCH("spare",$B539))+ISNUMBER(SEARCH("insurance",$B539))+ISNUMBER(SEARCH("lto",$B539))+ISNUMBER(SEARCH("registration",$B539))+ISNUMBER(SEARCH("emission",$B539))+ISNUMBER(SEARCH("wash",$B539))+ISNUMBER(SEARCH("weigh",$B539))+ISNUMBER(SEARCH("tarp",$B539))&gt;0,"Vehicle",IF(ISNUMBER(SEARCH("rent",$B539))+ISNUMBER(SEARCH("upa",$B539))+ISNUMBER(SEARCH("salary",$B539))+ISNUMBER(SEARCH("sweldo",$B539))+ISNUMBER(SEARCH("wage",$B539))+ISNUMBER(SEARCH("electric",$B539))+ISNUMBER(SEARCH("kuryente",$B539))+ISNUMBER(SEARCH("water",$B539))+ISNUMBER(SEARCH("tubig",$B539))+ISNUMBER(SEARCH("internet",$B539))+ISNUMBER(SEARCH("pldt",$B539))+ISNUMBER(SEARCH("meralco",$B539))+ISNUMBER(SEARCH("supplies",$B539))+ISNUMBER(SEARCH("office",$B539))+ISNUMBER(SEARCH("professional",$B539))+ISNUMBER(SEARCH("accountant",$B539))+ISNUMBER(SEARCH("lawyer",$B539))+ISNUMBER(SEARCH("broker",$B539))+ISNUMBER(SEARCH("bank",$B539))+ISNUMBER(SEARCH("charge",$B539))+ISNUMBER(SEARCH("permit",$B539))+ISNUMBER(SEARCH("bir",$B539))+ISNUMBER(SEARCH("ltfrb",$B539))+ISNUMBER(SEARCH("misc",$B539))+ISNUMBER(SEARCH("fee",$B539))&gt;0,"Overhead","Overhead")))))))</f>
        <v/>
      </c>
      <c r="J539">
        <f>IF($A539="","",DATE(YEAR($A539),MONTH($A539),1))</f>
        <v/>
      </c>
      <c r="K539">
        <f>IF($B539="","",IF(COUNTIF(Setup!$A$99:$A$128,$B539)&gt;0,0,1))</f>
        <v/>
      </c>
      <c r="L539">
        <f>IF($B539="","",IF(ISNUMBER(SEARCH("advance",$B539)),"ADV",IF(OR(ISNUMBER(SEARCH("payout",$B539)),ISNUMBER(SEARCH("pay out",$B539)),ISNUMBER(SEARCH("release",$B539))),"PAY","")))</f>
        <v/>
      </c>
      <c r="M539">
        <f>IF($B539="","",IF(ISNUMBER(SEARCH("bulk",$B539)),0,IF(ISNUMBER(SEARCH("fuel",$B539))+ISNUMBER(SEARCH("diesel",$B539))+ISNUMBER(SEARCH("krudo",$B539))+ISNUMBER(SEARCH("gasolina",$B539))&gt;0,1,0)))</f>
        <v/>
      </c>
      <c r="N539">
        <f>IF($B539="","",IF(ISNUMBER(SEARCH("fuel",$B539))+ISNUMBER(SEARCH("diesel",$B539))+ISNUMBER(SEARCH("krudo",$B539))+ISNUMBER(SEARCH("gasolina",$B539))&gt;0,1,0))</f>
        <v/>
      </c>
    </row>
    <row r="540">
      <c r="A540" s="94" t="n"/>
      <c r="B540" s="96" t="n"/>
      <c r="C540" s="96" t="n"/>
      <c r="D540" s="95" t="n"/>
      <c r="E540" s="96" t="n"/>
      <c r="F540" s="99" t="n"/>
      <c r="G540" s="95" t="n"/>
      <c r="H540" s="95" t="n"/>
      <c r="I540" s="101">
        <f>IF($B540="","",IF(COUNTIF(Setup!$A$99:$A$128,$B540)&gt;0,IF(INDEX(Setup!$B$99:$B$128,MATCH($B540,Setup!$A$99:$A$128,0))="","Overhead",INDEX(Setup!$B$99:$B$128,MATCH($B540,Setup!$A$99:$A$128,0))),IF(ISNUMBER(SEARCH("advance",$B540))+ISNUMBER(SEARCH("payout",$B540))+ISNUMBER(SEARCH("pay out",$B540))+ISNUMBER(SEARCH("reimburs",$B540))&gt;0,"Transfer",IF(ISNUMBER(SEARCH("loan",$B540))+ISNUMBER(SEARCH("amort",$B540))+ISNUMBER(SEARCH("installment",$B540))+ISNUMBER(SEARCH("instalment",$B540))&gt;0,"Financing",IF(ISNUMBER(SEARCH("draw",$B540))+ISNUMBER(SEARCH("owner",$B540))+ISNUMBER(SEARCH("asset",$B540))+ISNUMBER(SEARCH("capital",$B540))&gt;0,"Other",IF(ISNUMBER(SEARCH("fuel",$B540))+ISNUMBER(SEARCH("diesel",$B540))+ISNUMBER(SEARCH("krudo",$B540))+ISNUMBER(SEARCH("gasolina",$B540))+ISNUMBER(SEARCH("toll",$B540))+ISNUMBER(SEARCH("parking",$B540))+ISNUMBER(SEARCH("repair",$B540))+ISNUMBER(SEARCH("maintenance",$B540))+ISNUMBER(SEARCH("tire",$B540))+ISNUMBER(SEARCH("tyre",$B540))+ISNUMBER(SEARCH("battery",$B540))+ISNUMBER(SEARCH("oil",$B540))+ISNUMBER(SEARCH("filter",$B540))+ISNUMBER(SEARCH("spare",$B540))+ISNUMBER(SEARCH("insurance",$B540))+ISNUMBER(SEARCH("lto",$B540))+ISNUMBER(SEARCH("registration",$B540))+ISNUMBER(SEARCH("emission",$B540))+ISNUMBER(SEARCH("wash",$B540))+ISNUMBER(SEARCH("weigh",$B540))+ISNUMBER(SEARCH("tarp",$B540))&gt;0,"Vehicle",IF(ISNUMBER(SEARCH("rent",$B540))+ISNUMBER(SEARCH("upa",$B540))+ISNUMBER(SEARCH("salary",$B540))+ISNUMBER(SEARCH("sweldo",$B540))+ISNUMBER(SEARCH("wage",$B540))+ISNUMBER(SEARCH("electric",$B540))+ISNUMBER(SEARCH("kuryente",$B540))+ISNUMBER(SEARCH("water",$B540))+ISNUMBER(SEARCH("tubig",$B540))+ISNUMBER(SEARCH("internet",$B540))+ISNUMBER(SEARCH("pldt",$B540))+ISNUMBER(SEARCH("meralco",$B540))+ISNUMBER(SEARCH("supplies",$B540))+ISNUMBER(SEARCH("office",$B540))+ISNUMBER(SEARCH("professional",$B540))+ISNUMBER(SEARCH("accountant",$B540))+ISNUMBER(SEARCH("lawyer",$B540))+ISNUMBER(SEARCH("broker",$B540))+ISNUMBER(SEARCH("bank",$B540))+ISNUMBER(SEARCH("charge",$B540))+ISNUMBER(SEARCH("permit",$B540))+ISNUMBER(SEARCH("bir",$B540))+ISNUMBER(SEARCH("ltfrb",$B540))+ISNUMBER(SEARCH("misc",$B540))+ISNUMBER(SEARCH("fee",$B540))&gt;0,"Overhead","Overhead")))))))</f>
        <v/>
      </c>
      <c r="J540">
        <f>IF($A540="","",DATE(YEAR($A540),MONTH($A540),1))</f>
        <v/>
      </c>
      <c r="K540">
        <f>IF($B540="","",IF(COUNTIF(Setup!$A$99:$A$128,$B540)&gt;0,0,1))</f>
        <v/>
      </c>
      <c r="L540">
        <f>IF($B540="","",IF(ISNUMBER(SEARCH("advance",$B540)),"ADV",IF(OR(ISNUMBER(SEARCH("payout",$B540)),ISNUMBER(SEARCH("pay out",$B540)),ISNUMBER(SEARCH("release",$B540))),"PAY","")))</f>
        <v/>
      </c>
      <c r="M540">
        <f>IF($B540="","",IF(ISNUMBER(SEARCH("bulk",$B540)),0,IF(ISNUMBER(SEARCH("fuel",$B540))+ISNUMBER(SEARCH("diesel",$B540))+ISNUMBER(SEARCH("krudo",$B540))+ISNUMBER(SEARCH("gasolina",$B540))&gt;0,1,0)))</f>
        <v/>
      </c>
      <c r="N540">
        <f>IF($B540="","",IF(ISNUMBER(SEARCH("fuel",$B540))+ISNUMBER(SEARCH("diesel",$B540))+ISNUMBER(SEARCH("krudo",$B540))+ISNUMBER(SEARCH("gasolina",$B540))&gt;0,1,0))</f>
        <v/>
      </c>
    </row>
    <row r="541">
      <c r="A541" s="86" t="n"/>
      <c r="B541" s="88" t="n"/>
      <c r="C541" s="88" t="n"/>
      <c r="D541" s="87" t="n"/>
      <c r="E541" s="88" t="n"/>
      <c r="F541" s="92" t="n"/>
      <c r="G541" s="87" t="n"/>
      <c r="H541" s="87" t="n"/>
      <c r="I541" s="101">
        <f>IF($B541="","",IF(COUNTIF(Setup!$A$99:$A$128,$B541)&gt;0,IF(INDEX(Setup!$B$99:$B$128,MATCH($B541,Setup!$A$99:$A$128,0))="","Overhead",INDEX(Setup!$B$99:$B$128,MATCH($B541,Setup!$A$99:$A$128,0))),IF(ISNUMBER(SEARCH("advance",$B541))+ISNUMBER(SEARCH("payout",$B541))+ISNUMBER(SEARCH("pay out",$B541))+ISNUMBER(SEARCH("reimburs",$B541))&gt;0,"Transfer",IF(ISNUMBER(SEARCH("loan",$B541))+ISNUMBER(SEARCH("amort",$B541))+ISNUMBER(SEARCH("installment",$B541))+ISNUMBER(SEARCH("instalment",$B541))&gt;0,"Financing",IF(ISNUMBER(SEARCH("draw",$B541))+ISNUMBER(SEARCH("owner",$B541))+ISNUMBER(SEARCH("asset",$B541))+ISNUMBER(SEARCH("capital",$B541))&gt;0,"Other",IF(ISNUMBER(SEARCH("fuel",$B541))+ISNUMBER(SEARCH("diesel",$B541))+ISNUMBER(SEARCH("krudo",$B541))+ISNUMBER(SEARCH("gasolina",$B541))+ISNUMBER(SEARCH("toll",$B541))+ISNUMBER(SEARCH("parking",$B541))+ISNUMBER(SEARCH("repair",$B541))+ISNUMBER(SEARCH("maintenance",$B541))+ISNUMBER(SEARCH("tire",$B541))+ISNUMBER(SEARCH("tyre",$B541))+ISNUMBER(SEARCH("battery",$B541))+ISNUMBER(SEARCH("oil",$B541))+ISNUMBER(SEARCH("filter",$B541))+ISNUMBER(SEARCH("spare",$B541))+ISNUMBER(SEARCH("insurance",$B541))+ISNUMBER(SEARCH("lto",$B541))+ISNUMBER(SEARCH("registration",$B541))+ISNUMBER(SEARCH("emission",$B541))+ISNUMBER(SEARCH("wash",$B541))+ISNUMBER(SEARCH("weigh",$B541))+ISNUMBER(SEARCH("tarp",$B541))&gt;0,"Vehicle",IF(ISNUMBER(SEARCH("rent",$B541))+ISNUMBER(SEARCH("upa",$B541))+ISNUMBER(SEARCH("salary",$B541))+ISNUMBER(SEARCH("sweldo",$B541))+ISNUMBER(SEARCH("wage",$B541))+ISNUMBER(SEARCH("electric",$B541))+ISNUMBER(SEARCH("kuryente",$B541))+ISNUMBER(SEARCH("water",$B541))+ISNUMBER(SEARCH("tubig",$B541))+ISNUMBER(SEARCH("internet",$B541))+ISNUMBER(SEARCH("pldt",$B541))+ISNUMBER(SEARCH("meralco",$B541))+ISNUMBER(SEARCH("supplies",$B541))+ISNUMBER(SEARCH("office",$B541))+ISNUMBER(SEARCH("professional",$B541))+ISNUMBER(SEARCH("accountant",$B541))+ISNUMBER(SEARCH("lawyer",$B541))+ISNUMBER(SEARCH("broker",$B541))+ISNUMBER(SEARCH("bank",$B541))+ISNUMBER(SEARCH("charge",$B541))+ISNUMBER(SEARCH("permit",$B541))+ISNUMBER(SEARCH("bir",$B541))+ISNUMBER(SEARCH("ltfrb",$B541))+ISNUMBER(SEARCH("misc",$B541))+ISNUMBER(SEARCH("fee",$B541))&gt;0,"Overhead","Overhead")))))))</f>
        <v/>
      </c>
      <c r="J541">
        <f>IF($A541="","",DATE(YEAR($A541),MONTH($A541),1))</f>
        <v/>
      </c>
      <c r="K541">
        <f>IF($B541="","",IF(COUNTIF(Setup!$A$99:$A$128,$B541)&gt;0,0,1))</f>
        <v/>
      </c>
      <c r="L541">
        <f>IF($B541="","",IF(ISNUMBER(SEARCH("advance",$B541)),"ADV",IF(OR(ISNUMBER(SEARCH("payout",$B541)),ISNUMBER(SEARCH("pay out",$B541)),ISNUMBER(SEARCH("release",$B541))),"PAY","")))</f>
        <v/>
      </c>
      <c r="M541">
        <f>IF($B541="","",IF(ISNUMBER(SEARCH("bulk",$B541)),0,IF(ISNUMBER(SEARCH("fuel",$B541))+ISNUMBER(SEARCH("diesel",$B541))+ISNUMBER(SEARCH("krudo",$B541))+ISNUMBER(SEARCH("gasolina",$B541))&gt;0,1,0)))</f>
        <v/>
      </c>
      <c r="N541">
        <f>IF($B541="","",IF(ISNUMBER(SEARCH("fuel",$B541))+ISNUMBER(SEARCH("diesel",$B541))+ISNUMBER(SEARCH("krudo",$B541))+ISNUMBER(SEARCH("gasolina",$B541))&gt;0,1,0))</f>
        <v/>
      </c>
    </row>
    <row r="542">
      <c r="A542" s="94" t="n"/>
      <c r="B542" s="96" t="n"/>
      <c r="C542" s="96" t="n"/>
      <c r="D542" s="95" t="n"/>
      <c r="E542" s="96" t="n"/>
      <c r="F542" s="99" t="n"/>
      <c r="G542" s="95" t="n"/>
      <c r="H542" s="95" t="n"/>
      <c r="I542" s="101">
        <f>IF($B542="","",IF(COUNTIF(Setup!$A$99:$A$128,$B542)&gt;0,IF(INDEX(Setup!$B$99:$B$128,MATCH($B542,Setup!$A$99:$A$128,0))="","Overhead",INDEX(Setup!$B$99:$B$128,MATCH($B542,Setup!$A$99:$A$128,0))),IF(ISNUMBER(SEARCH("advance",$B542))+ISNUMBER(SEARCH("payout",$B542))+ISNUMBER(SEARCH("pay out",$B542))+ISNUMBER(SEARCH("reimburs",$B542))&gt;0,"Transfer",IF(ISNUMBER(SEARCH("loan",$B542))+ISNUMBER(SEARCH("amort",$B542))+ISNUMBER(SEARCH("installment",$B542))+ISNUMBER(SEARCH("instalment",$B542))&gt;0,"Financing",IF(ISNUMBER(SEARCH("draw",$B542))+ISNUMBER(SEARCH("owner",$B542))+ISNUMBER(SEARCH("asset",$B542))+ISNUMBER(SEARCH("capital",$B542))&gt;0,"Other",IF(ISNUMBER(SEARCH("fuel",$B542))+ISNUMBER(SEARCH("diesel",$B542))+ISNUMBER(SEARCH("krudo",$B542))+ISNUMBER(SEARCH("gasolina",$B542))+ISNUMBER(SEARCH("toll",$B542))+ISNUMBER(SEARCH("parking",$B542))+ISNUMBER(SEARCH("repair",$B542))+ISNUMBER(SEARCH("maintenance",$B542))+ISNUMBER(SEARCH("tire",$B542))+ISNUMBER(SEARCH("tyre",$B542))+ISNUMBER(SEARCH("battery",$B542))+ISNUMBER(SEARCH("oil",$B542))+ISNUMBER(SEARCH("filter",$B542))+ISNUMBER(SEARCH("spare",$B542))+ISNUMBER(SEARCH("insurance",$B542))+ISNUMBER(SEARCH("lto",$B542))+ISNUMBER(SEARCH("registration",$B542))+ISNUMBER(SEARCH("emission",$B542))+ISNUMBER(SEARCH("wash",$B542))+ISNUMBER(SEARCH("weigh",$B542))+ISNUMBER(SEARCH("tarp",$B542))&gt;0,"Vehicle",IF(ISNUMBER(SEARCH("rent",$B542))+ISNUMBER(SEARCH("upa",$B542))+ISNUMBER(SEARCH("salary",$B542))+ISNUMBER(SEARCH("sweldo",$B542))+ISNUMBER(SEARCH("wage",$B542))+ISNUMBER(SEARCH("electric",$B542))+ISNUMBER(SEARCH("kuryente",$B542))+ISNUMBER(SEARCH("water",$B542))+ISNUMBER(SEARCH("tubig",$B542))+ISNUMBER(SEARCH("internet",$B542))+ISNUMBER(SEARCH("pldt",$B542))+ISNUMBER(SEARCH("meralco",$B542))+ISNUMBER(SEARCH("supplies",$B542))+ISNUMBER(SEARCH("office",$B542))+ISNUMBER(SEARCH("professional",$B542))+ISNUMBER(SEARCH("accountant",$B542))+ISNUMBER(SEARCH("lawyer",$B542))+ISNUMBER(SEARCH("broker",$B542))+ISNUMBER(SEARCH("bank",$B542))+ISNUMBER(SEARCH("charge",$B542))+ISNUMBER(SEARCH("permit",$B542))+ISNUMBER(SEARCH("bir",$B542))+ISNUMBER(SEARCH("ltfrb",$B542))+ISNUMBER(SEARCH("misc",$B542))+ISNUMBER(SEARCH("fee",$B542))&gt;0,"Overhead","Overhead")))))))</f>
        <v/>
      </c>
      <c r="J542">
        <f>IF($A542="","",DATE(YEAR($A542),MONTH($A542),1))</f>
        <v/>
      </c>
      <c r="K542">
        <f>IF($B542="","",IF(COUNTIF(Setup!$A$99:$A$128,$B542)&gt;0,0,1))</f>
        <v/>
      </c>
      <c r="L542">
        <f>IF($B542="","",IF(ISNUMBER(SEARCH("advance",$B542)),"ADV",IF(OR(ISNUMBER(SEARCH("payout",$B542)),ISNUMBER(SEARCH("pay out",$B542)),ISNUMBER(SEARCH("release",$B542))),"PAY","")))</f>
        <v/>
      </c>
      <c r="M542">
        <f>IF($B542="","",IF(ISNUMBER(SEARCH("bulk",$B542)),0,IF(ISNUMBER(SEARCH("fuel",$B542))+ISNUMBER(SEARCH("diesel",$B542))+ISNUMBER(SEARCH("krudo",$B542))+ISNUMBER(SEARCH("gasolina",$B542))&gt;0,1,0)))</f>
        <v/>
      </c>
      <c r="N542">
        <f>IF($B542="","",IF(ISNUMBER(SEARCH("fuel",$B542))+ISNUMBER(SEARCH("diesel",$B542))+ISNUMBER(SEARCH("krudo",$B542))+ISNUMBER(SEARCH("gasolina",$B542))&gt;0,1,0))</f>
        <v/>
      </c>
    </row>
    <row r="543">
      <c r="A543" s="86" t="n"/>
      <c r="B543" s="88" t="n"/>
      <c r="C543" s="88" t="n"/>
      <c r="D543" s="87" t="n"/>
      <c r="E543" s="88" t="n"/>
      <c r="F543" s="92" t="n"/>
      <c r="G543" s="87" t="n"/>
      <c r="H543" s="87" t="n"/>
      <c r="I543" s="101">
        <f>IF($B543="","",IF(COUNTIF(Setup!$A$99:$A$128,$B543)&gt;0,IF(INDEX(Setup!$B$99:$B$128,MATCH($B543,Setup!$A$99:$A$128,0))="","Overhead",INDEX(Setup!$B$99:$B$128,MATCH($B543,Setup!$A$99:$A$128,0))),IF(ISNUMBER(SEARCH("advance",$B543))+ISNUMBER(SEARCH("payout",$B543))+ISNUMBER(SEARCH("pay out",$B543))+ISNUMBER(SEARCH("reimburs",$B543))&gt;0,"Transfer",IF(ISNUMBER(SEARCH("loan",$B543))+ISNUMBER(SEARCH("amort",$B543))+ISNUMBER(SEARCH("installment",$B543))+ISNUMBER(SEARCH("instalment",$B543))&gt;0,"Financing",IF(ISNUMBER(SEARCH("draw",$B543))+ISNUMBER(SEARCH("owner",$B543))+ISNUMBER(SEARCH("asset",$B543))+ISNUMBER(SEARCH("capital",$B543))&gt;0,"Other",IF(ISNUMBER(SEARCH("fuel",$B543))+ISNUMBER(SEARCH("diesel",$B543))+ISNUMBER(SEARCH("krudo",$B543))+ISNUMBER(SEARCH("gasolina",$B543))+ISNUMBER(SEARCH("toll",$B543))+ISNUMBER(SEARCH("parking",$B543))+ISNUMBER(SEARCH("repair",$B543))+ISNUMBER(SEARCH("maintenance",$B543))+ISNUMBER(SEARCH("tire",$B543))+ISNUMBER(SEARCH("tyre",$B543))+ISNUMBER(SEARCH("battery",$B543))+ISNUMBER(SEARCH("oil",$B543))+ISNUMBER(SEARCH("filter",$B543))+ISNUMBER(SEARCH("spare",$B543))+ISNUMBER(SEARCH("insurance",$B543))+ISNUMBER(SEARCH("lto",$B543))+ISNUMBER(SEARCH("registration",$B543))+ISNUMBER(SEARCH("emission",$B543))+ISNUMBER(SEARCH("wash",$B543))+ISNUMBER(SEARCH("weigh",$B543))+ISNUMBER(SEARCH("tarp",$B543))&gt;0,"Vehicle",IF(ISNUMBER(SEARCH("rent",$B543))+ISNUMBER(SEARCH("upa",$B543))+ISNUMBER(SEARCH("salary",$B543))+ISNUMBER(SEARCH("sweldo",$B543))+ISNUMBER(SEARCH("wage",$B543))+ISNUMBER(SEARCH("electric",$B543))+ISNUMBER(SEARCH("kuryente",$B543))+ISNUMBER(SEARCH("water",$B543))+ISNUMBER(SEARCH("tubig",$B543))+ISNUMBER(SEARCH("internet",$B543))+ISNUMBER(SEARCH("pldt",$B543))+ISNUMBER(SEARCH("meralco",$B543))+ISNUMBER(SEARCH("supplies",$B543))+ISNUMBER(SEARCH("office",$B543))+ISNUMBER(SEARCH("professional",$B543))+ISNUMBER(SEARCH("accountant",$B543))+ISNUMBER(SEARCH("lawyer",$B543))+ISNUMBER(SEARCH("broker",$B543))+ISNUMBER(SEARCH("bank",$B543))+ISNUMBER(SEARCH("charge",$B543))+ISNUMBER(SEARCH("permit",$B543))+ISNUMBER(SEARCH("bir",$B543))+ISNUMBER(SEARCH("ltfrb",$B543))+ISNUMBER(SEARCH("misc",$B543))+ISNUMBER(SEARCH("fee",$B543))&gt;0,"Overhead","Overhead")))))))</f>
        <v/>
      </c>
      <c r="J543">
        <f>IF($A543="","",DATE(YEAR($A543),MONTH($A543),1))</f>
        <v/>
      </c>
      <c r="K543">
        <f>IF($B543="","",IF(COUNTIF(Setup!$A$99:$A$128,$B543)&gt;0,0,1))</f>
        <v/>
      </c>
      <c r="L543">
        <f>IF($B543="","",IF(ISNUMBER(SEARCH("advance",$B543)),"ADV",IF(OR(ISNUMBER(SEARCH("payout",$B543)),ISNUMBER(SEARCH("pay out",$B543)),ISNUMBER(SEARCH("release",$B543))),"PAY","")))</f>
        <v/>
      </c>
      <c r="M543">
        <f>IF($B543="","",IF(ISNUMBER(SEARCH("bulk",$B543)),0,IF(ISNUMBER(SEARCH("fuel",$B543))+ISNUMBER(SEARCH("diesel",$B543))+ISNUMBER(SEARCH("krudo",$B543))+ISNUMBER(SEARCH("gasolina",$B543))&gt;0,1,0)))</f>
        <v/>
      </c>
      <c r="N543">
        <f>IF($B543="","",IF(ISNUMBER(SEARCH("fuel",$B543))+ISNUMBER(SEARCH("diesel",$B543))+ISNUMBER(SEARCH("krudo",$B543))+ISNUMBER(SEARCH("gasolina",$B543))&gt;0,1,0))</f>
        <v/>
      </c>
    </row>
    <row r="544">
      <c r="A544" s="94" t="n"/>
      <c r="B544" s="96" t="n"/>
      <c r="C544" s="96" t="n"/>
      <c r="D544" s="95" t="n"/>
      <c r="E544" s="96" t="n"/>
      <c r="F544" s="99" t="n"/>
      <c r="G544" s="95" t="n"/>
      <c r="H544" s="95" t="n"/>
      <c r="I544" s="101">
        <f>IF($B544="","",IF(COUNTIF(Setup!$A$99:$A$128,$B544)&gt;0,IF(INDEX(Setup!$B$99:$B$128,MATCH($B544,Setup!$A$99:$A$128,0))="","Overhead",INDEX(Setup!$B$99:$B$128,MATCH($B544,Setup!$A$99:$A$128,0))),IF(ISNUMBER(SEARCH("advance",$B544))+ISNUMBER(SEARCH("payout",$B544))+ISNUMBER(SEARCH("pay out",$B544))+ISNUMBER(SEARCH("reimburs",$B544))&gt;0,"Transfer",IF(ISNUMBER(SEARCH("loan",$B544))+ISNUMBER(SEARCH("amort",$B544))+ISNUMBER(SEARCH("installment",$B544))+ISNUMBER(SEARCH("instalment",$B544))&gt;0,"Financing",IF(ISNUMBER(SEARCH("draw",$B544))+ISNUMBER(SEARCH("owner",$B544))+ISNUMBER(SEARCH("asset",$B544))+ISNUMBER(SEARCH("capital",$B544))&gt;0,"Other",IF(ISNUMBER(SEARCH("fuel",$B544))+ISNUMBER(SEARCH("diesel",$B544))+ISNUMBER(SEARCH("krudo",$B544))+ISNUMBER(SEARCH("gasolina",$B544))+ISNUMBER(SEARCH("toll",$B544))+ISNUMBER(SEARCH("parking",$B544))+ISNUMBER(SEARCH("repair",$B544))+ISNUMBER(SEARCH("maintenance",$B544))+ISNUMBER(SEARCH("tire",$B544))+ISNUMBER(SEARCH("tyre",$B544))+ISNUMBER(SEARCH("battery",$B544))+ISNUMBER(SEARCH("oil",$B544))+ISNUMBER(SEARCH("filter",$B544))+ISNUMBER(SEARCH("spare",$B544))+ISNUMBER(SEARCH("insurance",$B544))+ISNUMBER(SEARCH("lto",$B544))+ISNUMBER(SEARCH("registration",$B544))+ISNUMBER(SEARCH("emission",$B544))+ISNUMBER(SEARCH("wash",$B544))+ISNUMBER(SEARCH("weigh",$B544))+ISNUMBER(SEARCH("tarp",$B544))&gt;0,"Vehicle",IF(ISNUMBER(SEARCH("rent",$B544))+ISNUMBER(SEARCH("upa",$B544))+ISNUMBER(SEARCH("salary",$B544))+ISNUMBER(SEARCH("sweldo",$B544))+ISNUMBER(SEARCH("wage",$B544))+ISNUMBER(SEARCH("electric",$B544))+ISNUMBER(SEARCH("kuryente",$B544))+ISNUMBER(SEARCH("water",$B544))+ISNUMBER(SEARCH("tubig",$B544))+ISNUMBER(SEARCH("internet",$B544))+ISNUMBER(SEARCH("pldt",$B544))+ISNUMBER(SEARCH("meralco",$B544))+ISNUMBER(SEARCH("supplies",$B544))+ISNUMBER(SEARCH("office",$B544))+ISNUMBER(SEARCH("professional",$B544))+ISNUMBER(SEARCH("accountant",$B544))+ISNUMBER(SEARCH("lawyer",$B544))+ISNUMBER(SEARCH("broker",$B544))+ISNUMBER(SEARCH("bank",$B544))+ISNUMBER(SEARCH("charge",$B544))+ISNUMBER(SEARCH("permit",$B544))+ISNUMBER(SEARCH("bir",$B544))+ISNUMBER(SEARCH("ltfrb",$B544))+ISNUMBER(SEARCH("misc",$B544))+ISNUMBER(SEARCH("fee",$B544))&gt;0,"Overhead","Overhead")))))))</f>
        <v/>
      </c>
      <c r="J544">
        <f>IF($A544="","",DATE(YEAR($A544),MONTH($A544),1))</f>
        <v/>
      </c>
      <c r="K544">
        <f>IF($B544="","",IF(COUNTIF(Setup!$A$99:$A$128,$B544)&gt;0,0,1))</f>
        <v/>
      </c>
      <c r="L544">
        <f>IF($B544="","",IF(ISNUMBER(SEARCH("advance",$B544)),"ADV",IF(OR(ISNUMBER(SEARCH("payout",$B544)),ISNUMBER(SEARCH("pay out",$B544)),ISNUMBER(SEARCH("release",$B544))),"PAY","")))</f>
        <v/>
      </c>
      <c r="M544">
        <f>IF($B544="","",IF(ISNUMBER(SEARCH("bulk",$B544)),0,IF(ISNUMBER(SEARCH("fuel",$B544))+ISNUMBER(SEARCH("diesel",$B544))+ISNUMBER(SEARCH("krudo",$B544))+ISNUMBER(SEARCH("gasolina",$B544))&gt;0,1,0)))</f>
        <v/>
      </c>
      <c r="N544">
        <f>IF($B544="","",IF(ISNUMBER(SEARCH("fuel",$B544))+ISNUMBER(SEARCH("diesel",$B544))+ISNUMBER(SEARCH("krudo",$B544))+ISNUMBER(SEARCH("gasolina",$B544))&gt;0,1,0))</f>
        <v/>
      </c>
    </row>
    <row r="545">
      <c r="A545" s="86" t="n"/>
      <c r="B545" s="88" t="n"/>
      <c r="C545" s="88" t="n"/>
      <c r="D545" s="87" t="n"/>
      <c r="E545" s="88" t="n"/>
      <c r="F545" s="92" t="n"/>
      <c r="G545" s="87" t="n"/>
      <c r="H545" s="87" t="n"/>
      <c r="I545" s="101">
        <f>IF($B545="","",IF(COUNTIF(Setup!$A$99:$A$128,$B545)&gt;0,IF(INDEX(Setup!$B$99:$B$128,MATCH($B545,Setup!$A$99:$A$128,0))="","Overhead",INDEX(Setup!$B$99:$B$128,MATCH($B545,Setup!$A$99:$A$128,0))),IF(ISNUMBER(SEARCH("advance",$B545))+ISNUMBER(SEARCH("payout",$B545))+ISNUMBER(SEARCH("pay out",$B545))+ISNUMBER(SEARCH("reimburs",$B545))&gt;0,"Transfer",IF(ISNUMBER(SEARCH("loan",$B545))+ISNUMBER(SEARCH("amort",$B545))+ISNUMBER(SEARCH("installment",$B545))+ISNUMBER(SEARCH("instalment",$B545))&gt;0,"Financing",IF(ISNUMBER(SEARCH("draw",$B545))+ISNUMBER(SEARCH("owner",$B545))+ISNUMBER(SEARCH("asset",$B545))+ISNUMBER(SEARCH("capital",$B545))&gt;0,"Other",IF(ISNUMBER(SEARCH("fuel",$B545))+ISNUMBER(SEARCH("diesel",$B545))+ISNUMBER(SEARCH("krudo",$B545))+ISNUMBER(SEARCH("gasolina",$B545))+ISNUMBER(SEARCH("toll",$B545))+ISNUMBER(SEARCH("parking",$B545))+ISNUMBER(SEARCH("repair",$B545))+ISNUMBER(SEARCH("maintenance",$B545))+ISNUMBER(SEARCH("tire",$B545))+ISNUMBER(SEARCH("tyre",$B545))+ISNUMBER(SEARCH("battery",$B545))+ISNUMBER(SEARCH("oil",$B545))+ISNUMBER(SEARCH("filter",$B545))+ISNUMBER(SEARCH("spare",$B545))+ISNUMBER(SEARCH("insurance",$B545))+ISNUMBER(SEARCH("lto",$B545))+ISNUMBER(SEARCH("registration",$B545))+ISNUMBER(SEARCH("emission",$B545))+ISNUMBER(SEARCH("wash",$B545))+ISNUMBER(SEARCH("weigh",$B545))+ISNUMBER(SEARCH("tarp",$B545))&gt;0,"Vehicle",IF(ISNUMBER(SEARCH("rent",$B545))+ISNUMBER(SEARCH("upa",$B545))+ISNUMBER(SEARCH("salary",$B545))+ISNUMBER(SEARCH("sweldo",$B545))+ISNUMBER(SEARCH("wage",$B545))+ISNUMBER(SEARCH("electric",$B545))+ISNUMBER(SEARCH("kuryente",$B545))+ISNUMBER(SEARCH("water",$B545))+ISNUMBER(SEARCH("tubig",$B545))+ISNUMBER(SEARCH("internet",$B545))+ISNUMBER(SEARCH("pldt",$B545))+ISNUMBER(SEARCH("meralco",$B545))+ISNUMBER(SEARCH("supplies",$B545))+ISNUMBER(SEARCH("office",$B545))+ISNUMBER(SEARCH("professional",$B545))+ISNUMBER(SEARCH("accountant",$B545))+ISNUMBER(SEARCH("lawyer",$B545))+ISNUMBER(SEARCH("broker",$B545))+ISNUMBER(SEARCH("bank",$B545))+ISNUMBER(SEARCH("charge",$B545))+ISNUMBER(SEARCH("permit",$B545))+ISNUMBER(SEARCH("bir",$B545))+ISNUMBER(SEARCH("ltfrb",$B545))+ISNUMBER(SEARCH("misc",$B545))+ISNUMBER(SEARCH("fee",$B545))&gt;0,"Overhead","Overhead")))))))</f>
        <v/>
      </c>
      <c r="J545">
        <f>IF($A545="","",DATE(YEAR($A545),MONTH($A545),1))</f>
        <v/>
      </c>
      <c r="K545">
        <f>IF($B545="","",IF(COUNTIF(Setup!$A$99:$A$128,$B545)&gt;0,0,1))</f>
        <v/>
      </c>
      <c r="L545">
        <f>IF($B545="","",IF(ISNUMBER(SEARCH("advance",$B545)),"ADV",IF(OR(ISNUMBER(SEARCH("payout",$B545)),ISNUMBER(SEARCH("pay out",$B545)),ISNUMBER(SEARCH("release",$B545))),"PAY","")))</f>
        <v/>
      </c>
      <c r="M545">
        <f>IF($B545="","",IF(ISNUMBER(SEARCH("bulk",$B545)),0,IF(ISNUMBER(SEARCH("fuel",$B545))+ISNUMBER(SEARCH("diesel",$B545))+ISNUMBER(SEARCH("krudo",$B545))+ISNUMBER(SEARCH("gasolina",$B545))&gt;0,1,0)))</f>
        <v/>
      </c>
      <c r="N545">
        <f>IF($B545="","",IF(ISNUMBER(SEARCH("fuel",$B545))+ISNUMBER(SEARCH("diesel",$B545))+ISNUMBER(SEARCH("krudo",$B545))+ISNUMBER(SEARCH("gasolina",$B545))&gt;0,1,0))</f>
        <v/>
      </c>
    </row>
    <row r="546">
      <c r="A546" s="94" t="n"/>
      <c r="B546" s="96" t="n"/>
      <c r="C546" s="96" t="n"/>
      <c r="D546" s="95" t="n"/>
      <c r="E546" s="96" t="n"/>
      <c r="F546" s="99" t="n"/>
      <c r="G546" s="95" t="n"/>
      <c r="H546" s="95" t="n"/>
      <c r="I546" s="101">
        <f>IF($B546="","",IF(COUNTIF(Setup!$A$99:$A$128,$B546)&gt;0,IF(INDEX(Setup!$B$99:$B$128,MATCH($B546,Setup!$A$99:$A$128,0))="","Overhead",INDEX(Setup!$B$99:$B$128,MATCH($B546,Setup!$A$99:$A$128,0))),IF(ISNUMBER(SEARCH("advance",$B546))+ISNUMBER(SEARCH("payout",$B546))+ISNUMBER(SEARCH("pay out",$B546))+ISNUMBER(SEARCH("reimburs",$B546))&gt;0,"Transfer",IF(ISNUMBER(SEARCH("loan",$B546))+ISNUMBER(SEARCH("amort",$B546))+ISNUMBER(SEARCH("installment",$B546))+ISNUMBER(SEARCH("instalment",$B546))&gt;0,"Financing",IF(ISNUMBER(SEARCH("draw",$B546))+ISNUMBER(SEARCH("owner",$B546))+ISNUMBER(SEARCH("asset",$B546))+ISNUMBER(SEARCH("capital",$B546))&gt;0,"Other",IF(ISNUMBER(SEARCH("fuel",$B546))+ISNUMBER(SEARCH("diesel",$B546))+ISNUMBER(SEARCH("krudo",$B546))+ISNUMBER(SEARCH("gasolina",$B546))+ISNUMBER(SEARCH("toll",$B546))+ISNUMBER(SEARCH("parking",$B546))+ISNUMBER(SEARCH("repair",$B546))+ISNUMBER(SEARCH("maintenance",$B546))+ISNUMBER(SEARCH("tire",$B546))+ISNUMBER(SEARCH("tyre",$B546))+ISNUMBER(SEARCH("battery",$B546))+ISNUMBER(SEARCH("oil",$B546))+ISNUMBER(SEARCH("filter",$B546))+ISNUMBER(SEARCH("spare",$B546))+ISNUMBER(SEARCH("insurance",$B546))+ISNUMBER(SEARCH("lto",$B546))+ISNUMBER(SEARCH("registration",$B546))+ISNUMBER(SEARCH("emission",$B546))+ISNUMBER(SEARCH("wash",$B546))+ISNUMBER(SEARCH("weigh",$B546))+ISNUMBER(SEARCH("tarp",$B546))&gt;0,"Vehicle",IF(ISNUMBER(SEARCH("rent",$B546))+ISNUMBER(SEARCH("upa",$B546))+ISNUMBER(SEARCH("salary",$B546))+ISNUMBER(SEARCH("sweldo",$B546))+ISNUMBER(SEARCH("wage",$B546))+ISNUMBER(SEARCH("electric",$B546))+ISNUMBER(SEARCH("kuryente",$B546))+ISNUMBER(SEARCH("water",$B546))+ISNUMBER(SEARCH("tubig",$B546))+ISNUMBER(SEARCH("internet",$B546))+ISNUMBER(SEARCH("pldt",$B546))+ISNUMBER(SEARCH("meralco",$B546))+ISNUMBER(SEARCH("supplies",$B546))+ISNUMBER(SEARCH("office",$B546))+ISNUMBER(SEARCH("professional",$B546))+ISNUMBER(SEARCH("accountant",$B546))+ISNUMBER(SEARCH("lawyer",$B546))+ISNUMBER(SEARCH("broker",$B546))+ISNUMBER(SEARCH("bank",$B546))+ISNUMBER(SEARCH("charge",$B546))+ISNUMBER(SEARCH("permit",$B546))+ISNUMBER(SEARCH("bir",$B546))+ISNUMBER(SEARCH("ltfrb",$B546))+ISNUMBER(SEARCH("misc",$B546))+ISNUMBER(SEARCH("fee",$B546))&gt;0,"Overhead","Overhead")))))))</f>
        <v/>
      </c>
      <c r="J546">
        <f>IF($A546="","",DATE(YEAR($A546),MONTH($A546),1))</f>
        <v/>
      </c>
      <c r="K546">
        <f>IF($B546="","",IF(COUNTIF(Setup!$A$99:$A$128,$B546)&gt;0,0,1))</f>
        <v/>
      </c>
      <c r="L546">
        <f>IF($B546="","",IF(ISNUMBER(SEARCH("advance",$B546)),"ADV",IF(OR(ISNUMBER(SEARCH("payout",$B546)),ISNUMBER(SEARCH("pay out",$B546)),ISNUMBER(SEARCH("release",$B546))),"PAY","")))</f>
        <v/>
      </c>
      <c r="M546">
        <f>IF($B546="","",IF(ISNUMBER(SEARCH("bulk",$B546)),0,IF(ISNUMBER(SEARCH("fuel",$B546))+ISNUMBER(SEARCH("diesel",$B546))+ISNUMBER(SEARCH("krudo",$B546))+ISNUMBER(SEARCH("gasolina",$B546))&gt;0,1,0)))</f>
        <v/>
      </c>
      <c r="N546">
        <f>IF($B546="","",IF(ISNUMBER(SEARCH("fuel",$B546))+ISNUMBER(SEARCH("diesel",$B546))+ISNUMBER(SEARCH("krudo",$B546))+ISNUMBER(SEARCH("gasolina",$B546))&gt;0,1,0))</f>
        <v/>
      </c>
    </row>
    <row r="547">
      <c r="A547" s="86" t="n"/>
      <c r="B547" s="88" t="n"/>
      <c r="C547" s="88" t="n"/>
      <c r="D547" s="87" t="n"/>
      <c r="E547" s="88" t="n"/>
      <c r="F547" s="92" t="n"/>
      <c r="G547" s="87" t="n"/>
      <c r="H547" s="87" t="n"/>
      <c r="I547" s="101">
        <f>IF($B547="","",IF(COUNTIF(Setup!$A$99:$A$128,$B547)&gt;0,IF(INDEX(Setup!$B$99:$B$128,MATCH($B547,Setup!$A$99:$A$128,0))="","Overhead",INDEX(Setup!$B$99:$B$128,MATCH($B547,Setup!$A$99:$A$128,0))),IF(ISNUMBER(SEARCH("advance",$B547))+ISNUMBER(SEARCH("payout",$B547))+ISNUMBER(SEARCH("pay out",$B547))+ISNUMBER(SEARCH("reimburs",$B547))&gt;0,"Transfer",IF(ISNUMBER(SEARCH("loan",$B547))+ISNUMBER(SEARCH("amort",$B547))+ISNUMBER(SEARCH("installment",$B547))+ISNUMBER(SEARCH("instalment",$B547))&gt;0,"Financing",IF(ISNUMBER(SEARCH("draw",$B547))+ISNUMBER(SEARCH("owner",$B547))+ISNUMBER(SEARCH("asset",$B547))+ISNUMBER(SEARCH("capital",$B547))&gt;0,"Other",IF(ISNUMBER(SEARCH("fuel",$B547))+ISNUMBER(SEARCH("diesel",$B547))+ISNUMBER(SEARCH("krudo",$B547))+ISNUMBER(SEARCH("gasolina",$B547))+ISNUMBER(SEARCH("toll",$B547))+ISNUMBER(SEARCH("parking",$B547))+ISNUMBER(SEARCH("repair",$B547))+ISNUMBER(SEARCH("maintenance",$B547))+ISNUMBER(SEARCH("tire",$B547))+ISNUMBER(SEARCH("tyre",$B547))+ISNUMBER(SEARCH("battery",$B547))+ISNUMBER(SEARCH("oil",$B547))+ISNUMBER(SEARCH("filter",$B547))+ISNUMBER(SEARCH("spare",$B547))+ISNUMBER(SEARCH("insurance",$B547))+ISNUMBER(SEARCH("lto",$B547))+ISNUMBER(SEARCH("registration",$B547))+ISNUMBER(SEARCH("emission",$B547))+ISNUMBER(SEARCH("wash",$B547))+ISNUMBER(SEARCH("weigh",$B547))+ISNUMBER(SEARCH("tarp",$B547))&gt;0,"Vehicle",IF(ISNUMBER(SEARCH("rent",$B547))+ISNUMBER(SEARCH("upa",$B547))+ISNUMBER(SEARCH("salary",$B547))+ISNUMBER(SEARCH("sweldo",$B547))+ISNUMBER(SEARCH("wage",$B547))+ISNUMBER(SEARCH("electric",$B547))+ISNUMBER(SEARCH("kuryente",$B547))+ISNUMBER(SEARCH("water",$B547))+ISNUMBER(SEARCH("tubig",$B547))+ISNUMBER(SEARCH("internet",$B547))+ISNUMBER(SEARCH("pldt",$B547))+ISNUMBER(SEARCH("meralco",$B547))+ISNUMBER(SEARCH("supplies",$B547))+ISNUMBER(SEARCH("office",$B547))+ISNUMBER(SEARCH("professional",$B547))+ISNUMBER(SEARCH("accountant",$B547))+ISNUMBER(SEARCH("lawyer",$B547))+ISNUMBER(SEARCH("broker",$B547))+ISNUMBER(SEARCH("bank",$B547))+ISNUMBER(SEARCH("charge",$B547))+ISNUMBER(SEARCH("permit",$B547))+ISNUMBER(SEARCH("bir",$B547))+ISNUMBER(SEARCH("ltfrb",$B547))+ISNUMBER(SEARCH("misc",$B547))+ISNUMBER(SEARCH("fee",$B547))&gt;0,"Overhead","Overhead")))))))</f>
        <v/>
      </c>
      <c r="J547">
        <f>IF($A547="","",DATE(YEAR($A547),MONTH($A547),1))</f>
        <v/>
      </c>
      <c r="K547">
        <f>IF($B547="","",IF(COUNTIF(Setup!$A$99:$A$128,$B547)&gt;0,0,1))</f>
        <v/>
      </c>
      <c r="L547">
        <f>IF($B547="","",IF(ISNUMBER(SEARCH("advance",$B547)),"ADV",IF(OR(ISNUMBER(SEARCH("payout",$B547)),ISNUMBER(SEARCH("pay out",$B547)),ISNUMBER(SEARCH("release",$B547))),"PAY","")))</f>
        <v/>
      </c>
      <c r="M547">
        <f>IF($B547="","",IF(ISNUMBER(SEARCH("bulk",$B547)),0,IF(ISNUMBER(SEARCH("fuel",$B547))+ISNUMBER(SEARCH("diesel",$B547))+ISNUMBER(SEARCH("krudo",$B547))+ISNUMBER(SEARCH("gasolina",$B547))&gt;0,1,0)))</f>
        <v/>
      </c>
      <c r="N547">
        <f>IF($B547="","",IF(ISNUMBER(SEARCH("fuel",$B547))+ISNUMBER(SEARCH("diesel",$B547))+ISNUMBER(SEARCH("krudo",$B547))+ISNUMBER(SEARCH("gasolina",$B547))&gt;0,1,0))</f>
        <v/>
      </c>
    </row>
    <row r="548">
      <c r="A548" s="94" t="n"/>
      <c r="B548" s="96" t="n"/>
      <c r="C548" s="96" t="n"/>
      <c r="D548" s="95" t="n"/>
      <c r="E548" s="96" t="n"/>
      <c r="F548" s="99" t="n"/>
      <c r="G548" s="95" t="n"/>
      <c r="H548" s="95" t="n"/>
      <c r="I548" s="101">
        <f>IF($B548="","",IF(COUNTIF(Setup!$A$99:$A$128,$B548)&gt;0,IF(INDEX(Setup!$B$99:$B$128,MATCH($B548,Setup!$A$99:$A$128,0))="","Overhead",INDEX(Setup!$B$99:$B$128,MATCH($B548,Setup!$A$99:$A$128,0))),IF(ISNUMBER(SEARCH("advance",$B548))+ISNUMBER(SEARCH("payout",$B548))+ISNUMBER(SEARCH("pay out",$B548))+ISNUMBER(SEARCH("reimburs",$B548))&gt;0,"Transfer",IF(ISNUMBER(SEARCH("loan",$B548))+ISNUMBER(SEARCH("amort",$B548))+ISNUMBER(SEARCH("installment",$B548))+ISNUMBER(SEARCH("instalment",$B548))&gt;0,"Financing",IF(ISNUMBER(SEARCH("draw",$B548))+ISNUMBER(SEARCH("owner",$B548))+ISNUMBER(SEARCH("asset",$B548))+ISNUMBER(SEARCH("capital",$B548))&gt;0,"Other",IF(ISNUMBER(SEARCH("fuel",$B548))+ISNUMBER(SEARCH("diesel",$B548))+ISNUMBER(SEARCH("krudo",$B548))+ISNUMBER(SEARCH("gasolina",$B548))+ISNUMBER(SEARCH("toll",$B548))+ISNUMBER(SEARCH("parking",$B548))+ISNUMBER(SEARCH("repair",$B548))+ISNUMBER(SEARCH("maintenance",$B548))+ISNUMBER(SEARCH("tire",$B548))+ISNUMBER(SEARCH("tyre",$B548))+ISNUMBER(SEARCH("battery",$B548))+ISNUMBER(SEARCH("oil",$B548))+ISNUMBER(SEARCH("filter",$B548))+ISNUMBER(SEARCH("spare",$B548))+ISNUMBER(SEARCH("insurance",$B548))+ISNUMBER(SEARCH("lto",$B548))+ISNUMBER(SEARCH("registration",$B548))+ISNUMBER(SEARCH("emission",$B548))+ISNUMBER(SEARCH("wash",$B548))+ISNUMBER(SEARCH("weigh",$B548))+ISNUMBER(SEARCH("tarp",$B548))&gt;0,"Vehicle",IF(ISNUMBER(SEARCH("rent",$B548))+ISNUMBER(SEARCH("upa",$B548))+ISNUMBER(SEARCH("salary",$B548))+ISNUMBER(SEARCH("sweldo",$B548))+ISNUMBER(SEARCH("wage",$B548))+ISNUMBER(SEARCH("electric",$B548))+ISNUMBER(SEARCH("kuryente",$B548))+ISNUMBER(SEARCH("water",$B548))+ISNUMBER(SEARCH("tubig",$B548))+ISNUMBER(SEARCH("internet",$B548))+ISNUMBER(SEARCH("pldt",$B548))+ISNUMBER(SEARCH("meralco",$B548))+ISNUMBER(SEARCH("supplies",$B548))+ISNUMBER(SEARCH("office",$B548))+ISNUMBER(SEARCH("professional",$B548))+ISNUMBER(SEARCH("accountant",$B548))+ISNUMBER(SEARCH("lawyer",$B548))+ISNUMBER(SEARCH("broker",$B548))+ISNUMBER(SEARCH("bank",$B548))+ISNUMBER(SEARCH("charge",$B548))+ISNUMBER(SEARCH("permit",$B548))+ISNUMBER(SEARCH("bir",$B548))+ISNUMBER(SEARCH("ltfrb",$B548))+ISNUMBER(SEARCH("misc",$B548))+ISNUMBER(SEARCH("fee",$B548))&gt;0,"Overhead","Overhead")))))))</f>
        <v/>
      </c>
      <c r="J548">
        <f>IF($A548="","",DATE(YEAR($A548),MONTH($A548),1))</f>
        <v/>
      </c>
      <c r="K548">
        <f>IF($B548="","",IF(COUNTIF(Setup!$A$99:$A$128,$B548)&gt;0,0,1))</f>
        <v/>
      </c>
      <c r="L548">
        <f>IF($B548="","",IF(ISNUMBER(SEARCH("advance",$B548)),"ADV",IF(OR(ISNUMBER(SEARCH("payout",$B548)),ISNUMBER(SEARCH("pay out",$B548)),ISNUMBER(SEARCH("release",$B548))),"PAY","")))</f>
        <v/>
      </c>
      <c r="M548">
        <f>IF($B548="","",IF(ISNUMBER(SEARCH("bulk",$B548)),0,IF(ISNUMBER(SEARCH("fuel",$B548))+ISNUMBER(SEARCH("diesel",$B548))+ISNUMBER(SEARCH("krudo",$B548))+ISNUMBER(SEARCH("gasolina",$B548))&gt;0,1,0)))</f>
        <v/>
      </c>
      <c r="N548">
        <f>IF($B548="","",IF(ISNUMBER(SEARCH("fuel",$B548))+ISNUMBER(SEARCH("diesel",$B548))+ISNUMBER(SEARCH("krudo",$B548))+ISNUMBER(SEARCH("gasolina",$B548))&gt;0,1,0))</f>
        <v/>
      </c>
    </row>
    <row r="549">
      <c r="A549" s="86" t="n"/>
      <c r="B549" s="88" t="n"/>
      <c r="C549" s="88" t="n"/>
      <c r="D549" s="87" t="n"/>
      <c r="E549" s="88" t="n"/>
      <c r="F549" s="92" t="n"/>
      <c r="G549" s="87" t="n"/>
      <c r="H549" s="87" t="n"/>
      <c r="I549" s="101">
        <f>IF($B549="","",IF(COUNTIF(Setup!$A$99:$A$128,$B549)&gt;0,IF(INDEX(Setup!$B$99:$B$128,MATCH($B549,Setup!$A$99:$A$128,0))="","Overhead",INDEX(Setup!$B$99:$B$128,MATCH($B549,Setup!$A$99:$A$128,0))),IF(ISNUMBER(SEARCH("advance",$B549))+ISNUMBER(SEARCH("payout",$B549))+ISNUMBER(SEARCH("pay out",$B549))+ISNUMBER(SEARCH("reimburs",$B549))&gt;0,"Transfer",IF(ISNUMBER(SEARCH("loan",$B549))+ISNUMBER(SEARCH("amort",$B549))+ISNUMBER(SEARCH("installment",$B549))+ISNUMBER(SEARCH("instalment",$B549))&gt;0,"Financing",IF(ISNUMBER(SEARCH("draw",$B549))+ISNUMBER(SEARCH("owner",$B549))+ISNUMBER(SEARCH("asset",$B549))+ISNUMBER(SEARCH("capital",$B549))&gt;0,"Other",IF(ISNUMBER(SEARCH("fuel",$B549))+ISNUMBER(SEARCH("diesel",$B549))+ISNUMBER(SEARCH("krudo",$B549))+ISNUMBER(SEARCH("gasolina",$B549))+ISNUMBER(SEARCH("toll",$B549))+ISNUMBER(SEARCH("parking",$B549))+ISNUMBER(SEARCH("repair",$B549))+ISNUMBER(SEARCH("maintenance",$B549))+ISNUMBER(SEARCH("tire",$B549))+ISNUMBER(SEARCH("tyre",$B549))+ISNUMBER(SEARCH("battery",$B549))+ISNUMBER(SEARCH("oil",$B549))+ISNUMBER(SEARCH("filter",$B549))+ISNUMBER(SEARCH("spare",$B549))+ISNUMBER(SEARCH("insurance",$B549))+ISNUMBER(SEARCH("lto",$B549))+ISNUMBER(SEARCH("registration",$B549))+ISNUMBER(SEARCH("emission",$B549))+ISNUMBER(SEARCH("wash",$B549))+ISNUMBER(SEARCH("weigh",$B549))+ISNUMBER(SEARCH("tarp",$B549))&gt;0,"Vehicle",IF(ISNUMBER(SEARCH("rent",$B549))+ISNUMBER(SEARCH("upa",$B549))+ISNUMBER(SEARCH("salary",$B549))+ISNUMBER(SEARCH("sweldo",$B549))+ISNUMBER(SEARCH("wage",$B549))+ISNUMBER(SEARCH("electric",$B549))+ISNUMBER(SEARCH("kuryente",$B549))+ISNUMBER(SEARCH("water",$B549))+ISNUMBER(SEARCH("tubig",$B549))+ISNUMBER(SEARCH("internet",$B549))+ISNUMBER(SEARCH("pldt",$B549))+ISNUMBER(SEARCH("meralco",$B549))+ISNUMBER(SEARCH("supplies",$B549))+ISNUMBER(SEARCH("office",$B549))+ISNUMBER(SEARCH("professional",$B549))+ISNUMBER(SEARCH("accountant",$B549))+ISNUMBER(SEARCH("lawyer",$B549))+ISNUMBER(SEARCH("broker",$B549))+ISNUMBER(SEARCH("bank",$B549))+ISNUMBER(SEARCH("charge",$B549))+ISNUMBER(SEARCH("permit",$B549))+ISNUMBER(SEARCH("bir",$B549))+ISNUMBER(SEARCH("ltfrb",$B549))+ISNUMBER(SEARCH("misc",$B549))+ISNUMBER(SEARCH("fee",$B549))&gt;0,"Overhead","Overhead")))))))</f>
        <v/>
      </c>
      <c r="J549">
        <f>IF($A549="","",DATE(YEAR($A549),MONTH($A549),1))</f>
        <v/>
      </c>
      <c r="K549">
        <f>IF($B549="","",IF(COUNTIF(Setup!$A$99:$A$128,$B549)&gt;0,0,1))</f>
        <v/>
      </c>
      <c r="L549">
        <f>IF($B549="","",IF(ISNUMBER(SEARCH("advance",$B549)),"ADV",IF(OR(ISNUMBER(SEARCH("payout",$B549)),ISNUMBER(SEARCH("pay out",$B549)),ISNUMBER(SEARCH("release",$B549))),"PAY","")))</f>
        <v/>
      </c>
      <c r="M549">
        <f>IF($B549="","",IF(ISNUMBER(SEARCH("bulk",$B549)),0,IF(ISNUMBER(SEARCH("fuel",$B549))+ISNUMBER(SEARCH("diesel",$B549))+ISNUMBER(SEARCH("krudo",$B549))+ISNUMBER(SEARCH("gasolina",$B549))&gt;0,1,0)))</f>
        <v/>
      </c>
      <c r="N549">
        <f>IF($B549="","",IF(ISNUMBER(SEARCH("fuel",$B549))+ISNUMBER(SEARCH("diesel",$B549))+ISNUMBER(SEARCH("krudo",$B549))+ISNUMBER(SEARCH("gasolina",$B549))&gt;0,1,0))</f>
        <v/>
      </c>
    </row>
    <row r="550">
      <c r="A550" s="94" t="n"/>
      <c r="B550" s="96" t="n"/>
      <c r="C550" s="96" t="n"/>
      <c r="D550" s="95" t="n"/>
      <c r="E550" s="96" t="n"/>
      <c r="F550" s="99" t="n"/>
      <c r="G550" s="95" t="n"/>
      <c r="H550" s="95" t="n"/>
      <c r="I550" s="101">
        <f>IF($B550="","",IF(COUNTIF(Setup!$A$99:$A$128,$B550)&gt;0,IF(INDEX(Setup!$B$99:$B$128,MATCH($B550,Setup!$A$99:$A$128,0))="","Overhead",INDEX(Setup!$B$99:$B$128,MATCH($B550,Setup!$A$99:$A$128,0))),IF(ISNUMBER(SEARCH("advance",$B550))+ISNUMBER(SEARCH("payout",$B550))+ISNUMBER(SEARCH("pay out",$B550))+ISNUMBER(SEARCH("reimburs",$B550))&gt;0,"Transfer",IF(ISNUMBER(SEARCH("loan",$B550))+ISNUMBER(SEARCH("amort",$B550))+ISNUMBER(SEARCH("installment",$B550))+ISNUMBER(SEARCH("instalment",$B550))&gt;0,"Financing",IF(ISNUMBER(SEARCH("draw",$B550))+ISNUMBER(SEARCH("owner",$B550))+ISNUMBER(SEARCH("asset",$B550))+ISNUMBER(SEARCH("capital",$B550))&gt;0,"Other",IF(ISNUMBER(SEARCH("fuel",$B550))+ISNUMBER(SEARCH("diesel",$B550))+ISNUMBER(SEARCH("krudo",$B550))+ISNUMBER(SEARCH("gasolina",$B550))+ISNUMBER(SEARCH("toll",$B550))+ISNUMBER(SEARCH("parking",$B550))+ISNUMBER(SEARCH("repair",$B550))+ISNUMBER(SEARCH("maintenance",$B550))+ISNUMBER(SEARCH("tire",$B550))+ISNUMBER(SEARCH("tyre",$B550))+ISNUMBER(SEARCH("battery",$B550))+ISNUMBER(SEARCH("oil",$B550))+ISNUMBER(SEARCH("filter",$B550))+ISNUMBER(SEARCH("spare",$B550))+ISNUMBER(SEARCH("insurance",$B550))+ISNUMBER(SEARCH("lto",$B550))+ISNUMBER(SEARCH("registration",$B550))+ISNUMBER(SEARCH("emission",$B550))+ISNUMBER(SEARCH("wash",$B550))+ISNUMBER(SEARCH("weigh",$B550))+ISNUMBER(SEARCH("tarp",$B550))&gt;0,"Vehicle",IF(ISNUMBER(SEARCH("rent",$B550))+ISNUMBER(SEARCH("upa",$B550))+ISNUMBER(SEARCH("salary",$B550))+ISNUMBER(SEARCH("sweldo",$B550))+ISNUMBER(SEARCH("wage",$B550))+ISNUMBER(SEARCH("electric",$B550))+ISNUMBER(SEARCH("kuryente",$B550))+ISNUMBER(SEARCH("water",$B550))+ISNUMBER(SEARCH("tubig",$B550))+ISNUMBER(SEARCH("internet",$B550))+ISNUMBER(SEARCH("pldt",$B550))+ISNUMBER(SEARCH("meralco",$B550))+ISNUMBER(SEARCH("supplies",$B550))+ISNUMBER(SEARCH("office",$B550))+ISNUMBER(SEARCH("professional",$B550))+ISNUMBER(SEARCH("accountant",$B550))+ISNUMBER(SEARCH("lawyer",$B550))+ISNUMBER(SEARCH("broker",$B550))+ISNUMBER(SEARCH("bank",$B550))+ISNUMBER(SEARCH("charge",$B550))+ISNUMBER(SEARCH("permit",$B550))+ISNUMBER(SEARCH("bir",$B550))+ISNUMBER(SEARCH("ltfrb",$B550))+ISNUMBER(SEARCH("misc",$B550))+ISNUMBER(SEARCH("fee",$B550))&gt;0,"Overhead","Overhead")))))))</f>
        <v/>
      </c>
      <c r="J550">
        <f>IF($A550="","",DATE(YEAR($A550),MONTH($A550),1))</f>
        <v/>
      </c>
      <c r="K550">
        <f>IF($B550="","",IF(COUNTIF(Setup!$A$99:$A$128,$B550)&gt;0,0,1))</f>
        <v/>
      </c>
      <c r="L550">
        <f>IF($B550="","",IF(ISNUMBER(SEARCH("advance",$B550)),"ADV",IF(OR(ISNUMBER(SEARCH("payout",$B550)),ISNUMBER(SEARCH("pay out",$B550)),ISNUMBER(SEARCH("release",$B550))),"PAY","")))</f>
        <v/>
      </c>
      <c r="M550">
        <f>IF($B550="","",IF(ISNUMBER(SEARCH("bulk",$B550)),0,IF(ISNUMBER(SEARCH("fuel",$B550))+ISNUMBER(SEARCH("diesel",$B550))+ISNUMBER(SEARCH("krudo",$B550))+ISNUMBER(SEARCH("gasolina",$B550))&gt;0,1,0)))</f>
        <v/>
      </c>
      <c r="N550">
        <f>IF($B550="","",IF(ISNUMBER(SEARCH("fuel",$B550))+ISNUMBER(SEARCH("diesel",$B550))+ISNUMBER(SEARCH("krudo",$B550))+ISNUMBER(SEARCH("gasolina",$B550))&gt;0,1,0))</f>
        <v/>
      </c>
    </row>
    <row r="551">
      <c r="A551" s="86" t="n"/>
      <c r="B551" s="88" t="n"/>
      <c r="C551" s="88" t="n"/>
      <c r="D551" s="87" t="n"/>
      <c r="E551" s="88" t="n"/>
      <c r="F551" s="92" t="n"/>
      <c r="G551" s="87" t="n"/>
      <c r="H551" s="87" t="n"/>
      <c r="I551" s="101">
        <f>IF($B551="","",IF(COUNTIF(Setup!$A$99:$A$128,$B551)&gt;0,IF(INDEX(Setup!$B$99:$B$128,MATCH($B551,Setup!$A$99:$A$128,0))="","Overhead",INDEX(Setup!$B$99:$B$128,MATCH($B551,Setup!$A$99:$A$128,0))),IF(ISNUMBER(SEARCH("advance",$B551))+ISNUMBER(SEARCH("payout",$B551))+ISNUMBER(SEARCH("pay out",$B551))+ISNUMBER(SEARCH("reimburs",$B551))&gt;0,"Transfer",IF(ISNUMBER(SEARCH("loan",$B551))+ISNUMBER(SEARCH("amort",$B551))+ISNUMBER(SEARCH("installment",$B551))+ISNUMBER(SEARCH("instalment",$B551))&gt;0,"Financing",IF(ISNUMBER(SEARCH("draw",$B551))+ISNUMBER(SEARCH("owner",$B551))+ISNUMBER(SEARCH("asset",$B551))+ISNUMBER(SEARCH("capital",$B551))&gt;0,"Other",IF(ISNUMBER(SEARCH("fuel",$B551))+ISNUMBER(SEARCH("diesel",$B551))+ISNUMBER(SEARCH("krudo",$B551))+ISNUMBER(SEARCH("gasolina",$B551))+ISNUMBER(SEARCH("toll",$B551))+ISNUMBER(SEARCH("parking",$B551))+ISNUMBER(SEARCH("repair",$B551))+ISNUMBER(SEARCH("maintenance",$B551))+ISNUMBER(SEARCH("tire",$B551))+ISNUMBER(SEARCH("tyre",$B551))+ISNUMBER(SEARCH("battery",$B551))+ISNUMBER(SEARCH("oil",$B551))+ISNUMBER(SEARCH("filter",$B551))+ISNUMBER(SEARCH("spare",$B551))+ISNUMBER(SEARCH("insurance",$B551))+ISNUMBER(SEARCH("lto",$B551))+ISNUMBER(SEARCH("registration",$B551))+ISNUMBER(SEARCH("emission",$B551))+ISNUMBER(SEARCH("wash",$B551))+ISNUMBER(SEARCH("weigh",$B551))+ISNUMBER(SEARCH("tarp",$B551))&gt;0,"Vehicle",IF(ISNUMBER(SEARCH("rent",$B551))+ISNUMBER(SEARCH("upa",$B551))+ISNUMBER(SEARCH("salary",$B551))+ISNUMBER(SEARCH("sweldo",$B551))+ISNUMBER(SEARCH("wage",$B551))+ISNUMBER(SEARCH("electric",$B551))+ISNUMBER(SEARCH("kuryente",$B551))+ISNUMBER(SEARCH("water",$B551))+ISNUMBER(SEARCH("tubig",$B551))+ISNUMBER(SEARCH("internet",$B551))+ISNUMBER(SEARCH("pldt",$B551))+ISNUMBER(SEARCH("meralco",$B551))+ISNUMBER(SEARCH("supplies",$B551))+ISNUMBER(SEARCH("office",$B551))+ISNUMBER(SEARCH("professional",$B551))+ISNUMBER(SEARCH("accountant",$B551))+ISNUMBER(SEARCH("lawyer",$B551))+ISNUMBER(SEARCH("broker",$B551))+ISNUMBER(SEARCH("bank",$B551))+ISNUMBER(SEARCH("charge",$B551))+ISNUMBER(SEARCH("permit",$B551))+ISNUMBER(SEARCH("bir",$B551))+ISNUMBER(SEARCH("ltfrb",$B551))+ISNUMBER(SEARCH("misc",$B551))+ISNUMBER(SEARCH("fee",$B551))&gt;0,"Overhead","Overhead")))))))</f>
        <v/>
      </c>
      <c r="J551">
        <f>IF($A551="","",DATE(YEAR($A551),MONTH($A551),1))</f>
        <v/>
      </c>
      <c r="K551">
        <f>IF($B551="","",IF(COUNTIF(Setup!$A$99:$A$128,$B551)&gt;0,0,1))</f>
        <v/>
      </c>
      <c r="L551">
        <f>IF($B551="","",IF(ISNUMBER(SEARCH("advance",$B551)),"ADV",IF(OR(ISNUMBER(SEARCH("payout",$B551)),ISNUMBER(SEARCH("pay out",$B551)),ISNUMBER(SEARCH("release",$B551))),"PAY","")))</f>
        <v/>
      </c>
      <c r="M551">
        <f>IF($B551="","",IF(ISNUMBER(SEARCH("bulk",$B551)),0,IF(ISNUMBER(SEARCH("fuel",$B551))+ISNUMBER(SEARCH("diesel",$B551))+ISNUMBER(SEARCH("krudo",$B551))+ISNUMBER(SEARCH("gasolina",$B551))&gt;0,1,0)))</f>
        <v/>
      </c>
      <c r="N551">
        <f>IF($B551="","",IF(ISNUMBER(SEARCH("fuel",$B551))+ISNUMBER(SEARCH("diesel",$B551))+ISNUMBER(SEARCH("krudo",$B551))+ISNUMBER(SEARCH("gasolina",$B551))&gt;0,1,0))</f>
        <v/>
      </c>
    </row>
    <row r="552">
      <c r="A552" s="94" t="n"/>
      <c r="B552" s="96" t="n"/>
      <c r="C552" s="96" t="n"/>
      <c r="D552" s="95" t="n"/>
      <c r="E552" s="96" t="n"/>
      <c r="F552" s="99" t="n"/>
      <c r="G552" s="95" t="n"/>
      <c r="H552" s="95" t="n"/>
      <c r="I552" s="101">
        <f>IF($B552="","",IF(COUNTIF(Setup!$A$99:$A$128,$B552)&gt;0,IF(INDEX(Setup!$B$99:$B$128,MATCH($B552,Setup!$A$99:$A$128,0))="","Overhead",INDEX(Setup!$B$99:$B$128,MATCH($B552,Setup!$A$99:$A$128,0))),IF(ISNUMBER(SEARCH("advance",$B552))+ISNUMBER(SEARCH("payout",$B552))+ISNUMBER(SEARCH("pay out",$B552))+ISNUMBER(SEARCH("reimburs",$B552))&gt;0,"Transfer",IF(ISNUMBER(SEARCH("loan",$B552))+ISNUMBER(SEARCH("amort",$B552))+ISNUMBER(SEARCH("installment",$B552))+ISNUMBER(SEARCH("instalment",$B552))&gt;0,"Financing",IF(ISNUMBER(SEARCH("draw",$B552))+ISNUMBER(SEARCH("owner",$B552))+ISNUMBER(SEARCH("asset",$B552))+ISNUMBER(SEARCH("capital",$B552))&gt;0,"Other",IF(ISNUMBER(SEARCH("fuel",$B552))+ISNUMBER(SEARCH("diesel",$B552))+ISNUMBER(SEARCH("krudo",$B552))+ISNUMBER(SEARCH("gasolina",$B552))+ISNUMBER(SEARCH("toll",$B552))+ISNUMBER(SEARCH("parking",$B552))+ISNUMBER(SEARCH("repair",$B552))+ISNUMBER(SEARCH("maintenance",$B552))+ISNUMBER(SEARCH("tire",$B552))+ISNUMBER(SEARCH("tyre",$B552))+ISNUMBER(SEARCH("battery",$B552))+ISNUMBER(SEARCH("oil",$B552))+ISNUMBER(SEARCH("filter",$B552))+ISNUMBER(SEARCH("spare",$B552))+ISNUMBER(SEARCH("insurance",$B552))+ISNUMBER(SEARCH("lto",$B552))+ISNUMBER(SEARCH("registration",$B552))+ISNUMBER(SEARCH("emission",$B552))+ISNUMBER(SEARCH("wash",$B552))+ISNUMBER(SEARCH("weigh",$B552))+ISNUMBER(SEARCH("tarp",$B552))&gt;0,"Vehicle",IF(ISNUMBER(SEARCH("rent",$B552))+ISNUMBER(SEARCH("upa",$B552))+ISNUMBER(SEARCH("salary",$B552))+ISNUMBER(SEARCH("sweldo",$B552))+ISNUMBER(SEARCH("wage",$B552))+ISNUMBER(SEARCH("electric",$B552))+ISNUMBER(SEARCH("kuryente",$B552))+ISNUMBER(SEARCH("water",$B552))+ISNUMBER(SEARCH("tubig",$B552))+ISNUMBER(SEARCH("internet",$B552))+ISNUMBER(SEARCH("pldt",$B552))+ISNUMBER(SEARCH("meralco",$B552))+ISNUMBER(SEARCH("supplies",$B552))+ISNUMBER(SEARCH("office",$B552))+ISNUMBER(SEARCH("professional",$B552))+ISNUMBER(SEARCH("accountant",$B552))+ISNUMBER(SEARCH("lawyer",$B552))+ISNUMBER(SEARCH("broker",$B552))+ISNUMBER(SEARCH("bank",$B552))+ISNUMBER(SEARCH("charge",$B552))+ISNUMBER(SEARCH("permit",$B552))+ISNUMBER(SEARCH("bir",$B552))+ISNUMBER(SEARCH("ltfrb",$B552))+ISNUMBER(SEARCH("misc",$B552))+ISNUMBER(SEARCH("fee",$B552))&gt;0,"Overhead","Overhead")))))))</f>
        <v/>
      </c>
      <c r="J552">
        <f>IF($A552="","",DATE(YEAR($A552),MONTH($A552),1))</f>
        <v/>
      </c>
      <c r="K552">
        <f>IF($B552="","",IF(COUNTIF(Setup!$A$99:$A$128,$B552)&gt;0,0,1))</f>
        <v/>
      </c>
      <c r="L552">
        <f>IF($B552="","",IF(ISNUMBER(SEARCH("advance",$B552)),"ADV",IF(OR(ISNUMBER(SEARCH("payout",$B552)),ISNUMBER(SEARCH("pay out",$B552)),ISNUMBER(SEARCH("release",$B552))),"PAY","")))</f>
        <v/>
      </c>
      <c r="M552">
        <f>IF($B552="","",IF(ISNUMBER(SEARCH("bulk",$B552)),0,IF(ISNUMBER(SEARCH("fuel",$B552))+ISNUMBER(SEARCH("diesel",$B552))+ISNUMBER(SEARCH("krudo",$B552))+ISNUMBER(SEARCH("gasolina",$B552))&gt;0,1,0)))</f>
        <v/>
      </c>
      <c r="N552">
        <f>IF($B552="","",IF(ISNUMBER(SEARCH("fuel",$B552))+ISNUMBER(SEARCH("diesel",$B552))+ISNUMBER(SEARCH("krudo",$B552))+ISNUMBER(SEARCH("gasolina",$B552))&gt;0,1,0))</f>
        <v/>
      </c>
    </row>
    <row r="553">
      <c r="A553" s="86" t="n"/>
      <c r="B553" s="88" t="n"/>
      <c r="C553" s="88" t="n"/>
      <c r="D553" s="87" t="n"/>
      <c r="E553" s="88" t="n"/>
      <c r="F553" s="92" t="n"/>
      <c r="G553" s="87" t="n"/>
      <c r="H553" s="87" t="n"/>
      <c r="I553" s="101">
        <f>IF($B553="","",IF(COUNTIF(Setup!$A$99:$A$128,$B553)&gt;0,IF(INDEX(Setup!$B$99:$B$128,MATCH($B553,Setup!$A$99:$A$128,0))="","Overhead",INDEX(Setup!$B$99:$B$128,MATCH($B553,Setup!$A$99:$A$128,0))),IF(ISNUMBER(SEARCH("advance",$B553))+ISNUMBER(SEARCH("payout",$B553))+ISNUMBER(SEARCH("pay out",$B553))+ISNUMBER(SEARCH("reimburs",$B553))&gt;0,"Transfer",IF(ISNUMBER(SEARCH("loan",$B553))+ISNUMBER(SEARCH("amort",$B553))+ISNUMBER(SEARCH("installment",$B553))+ISNUMBER(SEARCH("instalment",$B553))&gt;0,"Financing",IF(ISNUMBER(SEARCH("draw",$B553))+ISNUMBER(SEARCH("owner",$B553))+ISNUMBER(SEARCH("asset",$B553))+ISNUMBER(SEARCH("capital",$B553))&gt;0,"Other",IF(ISNUMBER(SEARCH("fuel",$B553))+ISNUMBER(SEARCH("diesel",$B553))+ISNUMBER(SEARCH("krudo",$B553))+ISNUMBER(SEARCH("gasolina",$B553))+ISNUMBER(SEARCH("toll",$B553))+ISNUMBER(SEARCH("parking",$B553))+ISNUMBER(SEARCH("repair",$B553))+ISNUMBER(SEARCH("maintenance",$B553))+ISNUMBER(SEARCH("tire",$B553))+ISNUMBER(SEARCH("tyre",$B553))+ISNUMBER(SEARCH("battery",$B553))+ISNUMBER(SEARCH("oil",$B553))+ISNUMBER(SEARCH("filter",$B553))+ISNUMBER(SEARCH("spare",$B553))+ISNUMBER(SEARCH("insurance",$B553))+ISNUMBER(SEARCH("lto",$B553))+ISNUMBER(SEARCH("registration",$B553))+ISNUMBER(SEARCH("emission",$B553))+ISNUMBER(SEARCH("wash",$B553))+ISNUMBER(SEARCH("weigh",$B553))+ISNUMBER(SEARCH("tarp",$B553))&gt;0,"Vehicle",IF(ISNUMBER(SEARCH("rent",$B553))+ISNUMBER(SEARCH("upa",$B553))+ISNUMBER(SEARCH("salary",$B553))+ISNUMBER(SEARCH("sweldo",$B553))+ISNUMBER(SEARCH("wage",$B553))+ISNUMBER(SEARCH("electric",$B553))+ISNUMBER(SEARCH("kuryente",$B553))+ISNUMBER(SEARCH("water",$B553))+ISNUMBER(SEARCH("tubig",$B553))+ISNUMBER(SEARCH("internet",$B553))+ISNUMBER(SEARCH("pldt",$B553))+ISNUMBER(SEARCH("meralco",$B553))+ISNUMBER(SEARCH("supplies",$B553))+ISNUMBER(SEARCH("office",$B553))+ISNUMBER(SEARCH("professional",$B553))+ISNUMBER(SEARCH("accountant",$B553))+ISNUMBER(SEARCH("lawyer",$B553))+ISNUMBER(SEARCH("broker",$B553))+ISNUMBER(SEARCH("bank",$B553))+ISNUMBER(SEARCH("charge",$B553))+ISNUMBER(SEARCH("permit",$B553))+ISNUMBER(SEARCH("bir",$B553))+ISNUMBER(SEARCH("ltfrb",$B553))+ISNUMBER(SEARCH("misc",$B553))+ISNUMBER(SEARCH("fee",$B553))&gt;0,"Overhead","Overhead")))))))</f>
        <v/>
      </c>
      <c r="J553">
        <f>IF($A553="","",DATE(YEAR($A553),MONTH($A553),1))</f>
        <v/>
      </c>
      <c r="K553">
        <f>IF($B553="","",IF(COUNTIF(Setup!$A$99:$A$128,$B553)&gt;0,0,1))</f>
        <v/>
      </c>
      <c r="L553">
        <f>IF($B553="","",IF(ISNUMBER(SEARCH("advance",$B553)),"ADV",IF(OR(ISNUMBER(SEARCH("payout",$B553)),ISNUMBER(SEARCH("pay out",$B553)),ISNUMBER(SEARCH("release",$B553))),"PAY","")))</f>
        <v/>
      </c>
      <c r="M553">
        <f>IF($B553="","",IF(ISNUMBER(SEARCH("bulk",$B553)),0,IF(ISNUMBER(SEARCH("fuel",$B553))+ISNUMBER(SEARCH("diesel",$B553))+ISNUMBER(SEARCH("krudo",$B553))+ISNUMBER(SEARCH("gasolina",$B553))&gt;0,1,0)))</f>
        <v/>
      </c>
      <c r="N553">
        <f>IF($B553="","",IF(ISNUMBER(SEARCH("fuel",$B553))+ISNUMBER(SEARCH("diesel",$B553))+ISNUMBER(SEARCH("krudo",$B553))+ISNUMBER(SEARCH("gasolina",$B553))&gt;0,1,0))</f>
        <v/>
      </c>
    </row>
    <row r="554">
      <c r="A554" s="94" t="n"/>
      <c r="B554" s="96" t="n"/>
      <c r="C554" s="96" t="n"/>
      <c r="D554" s="95" t="n"/>
      <c r="E554" s="96" t="n"/>
      <c r="F554" s="99" t="n"/>
      <c r="G554" s="95" t="n"/>
      <c r="H554" s="95" t="n"/>
      <c r="I554" s="101">
        <f>IF($B554="","",IF(COUNTIF(Setup!$A$99:$A$128,$B554)&gt;0,IF(INDEX(Setup!$B$99:$B$128,MATCH($B554,Setup!$A$99:$A$128,0))="","Overhead",INDEX(Setup!$B$99:$B$128,MATCH($B554,Setup!$A$99:$A$128,0))),IF(ISNUMBER(SEARCH("advance",$B554))+ISNUMBER(SEARCH("payout",$B554))+ISNUMBER(SEARCH("pay out",$B554))+ISNUMBER(SEARCH("reimburs",$B554))&gt;0,"Transfer",IF(ISNUMBER(SEARCH("loan",$B554))+ISNUMBER(SEARCH("amort",$B554))+ISNUMBER(SEARCH("installment",$B554))+ISNUMBER(SEARCH("instalment",$B554))&gt;0,"Financing",IF(ISNUMBER(SEARCH("draw",$B554))+ISNUMBER(SEARCH("owner",$B554))+ISNUMBER(SEARCH("asset",$B554))+ISNUMBER(SEARCH("capital",$B554))&gt;0,"Other",IF(ISNUMBER(SEARCH("fuel",$B554))+ISNUMBER(SEARCH("diesel",$B554))+ISNUMBER(SEARCH("krudo",$B554))+ISNUMBER(SEARCH("gasolina",$B554))+ISNUMBER(SEARCH("toll",$B554))+ISNUMBER(SEARCH("parking",$B554))+ISNUMBER(SEARCH("repair",$B554))+ISNUMBER(SEARCH("maintenance",$B554))+ISNUMBER(SEARCH("tire",$B554))+ISNUMBER(SEARCH("tyre",$B554))+ISNUMBER(SEARCH("battery",$B554))+ISNUMBER(SEARCH("oil",$B554))+ISNUMBER(SEARCH("filter",$B554))+ISNUMBER(SEARCH("spare",$B554))+ISNUMBER(SEARCH("insurance",$B554))+ISNUMBER(SEARCH("lto",$B554))+ISNUMBER(SEARCH("registration",$B554))+ISNUMBER(SEARCH("emission",$B554))+ISNUMBER(SEARCH("wash",$B554))+ISNUMBER(SEARCH("weigh",$B554))+ISNUMBER(SEARCH("tarp",$B554))&gt;0,"Vehicle",IF(ISNUMBER(SEARCH("rent",$B554))+ISNUMBER(SEARCH("upa",$B554))+ISNUMBER(SEARCH("salary",$B554))+ISNUMBER(SEARCH("sweldo",$B554))+ISNUMBER(SEARCH("wage",$B554))+ISNUMBER(SEARCH("electric",$B554))+ISNUMBER(SEARCH("kuryente",$B554))+ISNUMBER(SEARCH("water",$B554))+ISNUMBER(SEARCH("tubig",$B554))+ISNUMBER(SEARCH("internet",$B554))+ISNUMBER(SEARCH("pldt",$B554))+ISNUMBER(SEARCH("meralco",$B554))+ISNUMBER(SEARCH("supplies",$B554))+ISNUMBER(SEARCH("office",$B554))+ISNUMBER(SEARCH("professional",$B554))+ISNUMBER(SEARCH("accountant",$B554))+ISNUMBER(SEARCH("lawyer",$B554))+ISNUMBER(SEARCH("broker",$B554))+ISNUMBER(SEARCH("bank",$B554))+ISNUMBER(SEARCH("charge",$B554))+ISNUMBER(SEARCH("permit",$B554))+ISNUMBER(SEARCH("bir",$B554))+ISNUMBER(SEARCH("ltfrb",$B554))+ISNUMBER(SEARCH("misc",$B554))+ISNUMBER(SEARCH("fee",$B554))&gt;0,"Overhead","Overhead")))))))</f>
        <v/>
      </c>
      <c r="J554">
        <f>IF($A554="","",DATE(YEAR($A554),MONTH($A554),1))</f>
        <v/>
      </c>
      <c r="K554">
        <f>IF($B554="","",IF(COUNTIF(Setup!$A$99:$A$128,$B554)&gt;0,0,1))</f>
        <v/>
      </c>
      <c r="L554">
        <f>IF($B554="","",IF(ISNUMBER(SEARCH("advance",$B554)),"ADV",IF(OR(ISNUMBER(SEARCH("payout",$B554)),ISNUMBER(SEARCH("pay out",$B554)),ISNUMBER(SEARCH("release",$B554))),"PAY","")))</f>
        <v/>
      </c>
      <c r="M554">
        <f>IF($B554="","",IF(ISNUMBER(SEARCH("bulk",$B554)),0,IF(ISNUMBER(SEARCH("fuel",$B554))+ISNUMBER(SEARCH("diesel",$B554))+ISNUMBER(SEARCH("krudo",$B554))+ISNUMBER(SEARCH("gasolina",$B554))&gt;0,1,0)))</f>
        <v/>
      </c>
      <c r="N554">
        <f>IF($B554="","",IF(ISNUMBER(SEARCH("fuel",$B554))+ISNUMBER(SEARCH("diesel",$B554))+ISNUMBER(SEARCH("krudo",$B554))+ISNUMBER(SEARCH("gasolina",$B554))&gt;0,1,0))</f>
        <v/>
      </c>
    </row>
    <row r="555">
      <c r="A555" s="86" t="n"/>
      <c r="B555" s="88" t="n"/>
      <c r="C555" s="88" t="n"/>
      <c r="D555" s="87" t="n"/>
      <c r="E555" s="88" t="n"/>
      <c r="F555" s="92" t="n"/>
      <c r="G555" s="87" t="n"/>
      <c r="H555" s="87" t="n"/>
      <c r="I555" s="101">
        <f>IF($B555="","",IF(COUNTIF(Setup!$A$99:$A$128,$B555)&gt;0,IF(INDEX(Setup!$B$99:$B$128,MATCH($B555,Setup!$A$99:$A$128,0))="","Overhead",INDEX(Setup!$B$99:$B$128,MATCH($B555,Setup!$A$99:$A$128,0))),IF(ISNUMBER(SEARCH("advance",$B555))+ISNUMBER(SEARCH("payout",$B555))+ISNUMBER(SEARCH("pay out",$B555))+ISNUMBER(SEARCH("reimburs",$B555))&gt;0,"Transfer",IF(ISNUMBER(SEARCH("loan",$B555))+ISNUMBER(SEARCH("amort",$B555))+ISNUMBER(SEARCH("installment",$B555))+ISNUMBER(SEARCH("instalment",$B555))&gt;0,"Financing",IF(ISNUMBER(SEARCH("draw",$B555))+ISNUMBER(SEARCH("owner",$B555))+ISNUMBER(SEARCH("asset",$B555))+ISNUMBER(SEARCH("capital",$B555))&gt;0,"Other",IF(ISNUMBER(SEARCH("fuel",$B555))+ISNUMBER(SEARCH("diesel",$B555))+ISNUMBER(SEARCH("krudo",$B555))+ISNUMBER(SEARCH("gasolina",$B555))+ISNUMBER(SEARCH("toll",$B555))+ISNUMBER(SEARCH("parking",$B555))+ISNUMBER(SEARCH("repair",$B555))+ISNUMBER(SEARCH("maintenance",$B555))+ISNUMBER(SEARCH("tire",$B555))+ISNUMBER(SEARCH("tyre",$B555))+ISNUMBER(SEARCH("battery",$B555))+ISNUMBER(SEARCH("oil",$B555))+ISNUMBER(SEARCH("filter",$B555))+ISNUMBER(SEARCH("spare",$B555))+ISNUMBER(SEARCH("insurance",$B555))+ISNUMBER(SEARCH("lto",$B555))+ISNUMBER(SEARCH("registration",$B555))+ISNUMBER(SEARCH("emission",$B555))+ISNUMBER(SEARCH("wash",$B555))+ISNUMBER(SEARCH("weigh",$B555))+ISNUMBER(SEARCH("tarp",$B555))&gt;0,"Vehicle",IF(ISNUMBER(SEARCH("rent",$B555))+ISNUMBER(SEARCH("upa",$B555))+ISNUMBER(SEARCH("salary",$B555))+ISNUMBER(SEARCH("sweldo",$B555))+ISNUMBER(SEARCH("wage",$B555))+ISNUMBER(SEARCH("electric",$B555))+ISNUMBER(SEARCH("kuryente",$B555))+ISNUMBER(SEARCH("water",$B555))+ISNUMBER(SEARCH("tubig",$B555))+ISNUMBER(SEARCH("internet",$B555))+ISNUMBER(SEARCH("pldt",$B555))+ISNUMBER(SEARCH("meralco",$B555))+ISNUMBER(SEARCH("supplies",$B555))+ISNUMBER(SEARCH("office",$B555))+ISNUMBER(SEARCH("professional",$B555))+ISNUMBER(SEARCH("accountant",$B555))+ISNUMBER(SEARCH("lawyer",$B555))+ISNUMBER(SEARCH("broker",$B555))+ISNUMBER(SEARCH("bank",$B555))+ISNUMBER(SEARCH("charge",$B555))+ISNUMBER(SEARCH("permit",$B555))+ISNUMBER(SEARCH("bir",$B555))+ISNUMBER(SEARCH("ltfrb",$B555))+ISNUMBER(SEARCH("misc",$B555))+ISNUMBER(SEARCH("fee",$B555))&gt;0,"Overhead","Overhead")))))))</f>
        <v/>
      </c>
      <c r="J555">
        <f>IF($A555="","",DATE(YEAR($A555),MONTH($A555),1))</f>
        <v/>
      </c>
      <c r="K555">
        <f>IF($B555="","",IF(COUNTIF(Setup!$A$99:$A$128,$B555)&gt;0,0,1))</f>
        <v/>
      </c>
      <c r="L555">
        <f>IF($B555="","",IF(ISNUMBER(SEARCH("advance",$B555)),"ADV",IF(OR(ISNUMBER(SEARCH("payout",$B555)),ISNUMBER(SEARCH("pay out",$B555)),ISNUMBER(SEARCH("release",$B555))),"PAY","")))</f>
        <v/>
      </c>
      <c r="M555">
        <f>IF($B555="","",IF(ISNUMBER(SEARCH("bulk",$B555)),0,IF(ISNUMBER(SEARCH("fuel",$B555))+ISNUMBER(SEARCH("diesel",$B555))+ISNUMBER(SEARCH("krudo",$B555))+ISNUMBER(SEARCH("gasolina",$B555))&gt;0,1,0)))</f>
        <v/>
      </c>
      <c r="N555">
        <f>IF($B555="","",IF(ISNUMBER(SEARCH("fuel",$B555))+ISNUMBER(SEARCH("diesel",$B555))+ISNUMBER(SEARCH("krudo",$B555))+ISNUMBER(SEARCH("gasolina",$B555))&gt;0,1,0))</f>
        <v/>
      </c>
    </row>
    <row r="556">
      <c r="A556" s="94" t="n"/>
      <c r="B556" s="96" t="n"/>
      <c r="C556" s="96" t="n"/>
      <c r="D556" s="95" t="n"/>
      <c r="E556" s="96" t="n"/>
      <c r="F556" s="99" t="n"/>
      <c r="G556" s="95" t="n"/>
      <c r="H556" s="95" t="n"/>
      <c r="I556" s="101">
        <f>IF($B556="","",IF(COUNTIF(Setup!$A$99:$A$128,$B556)&gt;0,IF(INDEX(Setup!$B$99:$B$128,MATCH($B556,Setup!$A$99:$A$128,0))="","Overhead",INDEX(Setup!$B$99:$B$128,MATCH($B556,Setup!$A$99:$A$128,0))),IF(ISNUMBER(SEARCH("advance",$B556))+ISNUMBER(SEARCH("payout",$B556))+ISNUMBER(SEARCH("pay out",$B556))+ISNUMBER(SEARCH("reimburs",$B556))&gt;0,"Transfer",IF(ISNUMBER(SEARCH("loan",$B556))+ISNUMBER(SEARCH("amort",$B556))+ISNUMBER(SEARCH("installment",$B556))+ISNUMBER(SEARCH("instalment",$B556))&gt;0,"Financing",IF(ISNUMBER(SEARCH("draw",$B556))+ISNUMBER(SEARCH("owner",$B556))+ISNUMBER(SEARCH("asset",$B556))+ISNUMBER(SEARCH("capital",$B556))&gt;0,"Other",IF(ISNUMBER(SEARCH("fuel",$B556))+ISNUMBER(SEARCH("diesel",$B556))+ISNUMBER(SEARCH("krudo",$B556))+ISNUMBER(SEARCH("gasolina",$B556))+ISNUMBER(SEARCH("toll",$B556))+ISNUMBER(SEARCH("parking",$B556))+ISNUMBER(SEARCH("repair",$B556))+ISNUMBER(SEARCH("maintenance",$B556))+ISNUMBER(SEARCH("tire",$B556))+ISNUMBER(SEARCH("tyre",$B556))+ISNUMBER(SEARCH("battery",$B556))+ISNUMBER(SEARCH("oil",$B556))+ISNUMBER(SEARCH("filter",$B556))+ISNUMBER(SEARCH("spare",$B556))+ISNUMBER(SEARCH("insurance",$B556))+ISNUMBER(SEARCH("lto",$B556))+ISNUMBER(SEARCH("registration",$B556))+ISNUMBER(SEARCH("emission",$B556))+ISNUMBER(SEARCH("wash",$B556))+ISNUMBER(SEARCH("weigh",$B556))+ISNUMBER(SEARCH("tarp",$B556))&gt;0,"Vehicle",IF(ISNUMBER(SEARCH("rent",$B556))+ISNUMBER(SEARCH("upa",$B556))+ISNUMBER(SEARCH("salary",$B556))+ISNUMBER(SEARCH("sweldo",$B556))+ISNUMBER(SEARCH("wage",$B556))+ISNUMBER(SEARCH("electric",$B556))+ISNUMBER(SEARCH("kuryente",$B556))+ISNUMBER(SEARCH("water",$B556))+ISNUMBER(SEARCH("tubig",$B556))+ISNUMBER(SEARCH("internet",$B556))+ISNUMBER(SEARCH("pldt",$B556))+ISNUMBER(SEARCH("meralco",$B556))+ISNUMBER(SEARCH("supplies",$B556))+ISNUMBER(SEARCH("office",$B556))+ISNUMBER(SEARCH("professional",$B556))+ISNUMBER(SEARCH("accountant",$B556))+ISNUMBER(SEARCH("lawyer",$B556))+ISNUMBER(SEARCH("broker",$B556))+ISNUMBER(SEARCH("bank",$B556))+ISNUMBER(SEARCH("charge",$B556))+ISNUMBER(SEARCH("permit",$B556))+ISNUMBER(SEARCH("bir",$B556))+ISNUMBER(SEARCH("ltfrb",$B556))+ISNUMBER(SEARCH("misc",$B556))+ISNUMBER(SEARCH("fee",$B556))&gt;0,"Overhead","Overhead")))))))</f>
        <v/>
      </c>
      <c r="J556">
        <f>IF($A556="","",DATE(YEAR($A556),MONTH($A556),1))</f>
        <v/>
      </c>
      <c r="K556">
        <f>IF($B556="","",IF(COUNTIF(Setup!$A$99:$A$128,$B556)&gt;0,0,1))</f>
        <v/>
      </c>
      <c r="L556">
        <f>IF($B556="","",IF(ISNUMBER(SEARCH("advance",$B556)),"ADV",IF(OR(ISNUMBER(SEARCH("payout",$B556)),ISNUMBER(SEARCH("pay out",$B556)),ISNUMBER(SEARCH("release",$B556))),"PAY","")))</f>
        <v/>
      </c>
      <c r="M556">
        <f>IF($B556="","",IF(ISNUMBER(SEARCH("bulk",$B556)),0,IF(ISNUMBER(SEARCH("fuel",$B556))+ISNUMBER(SEARCH("diesel",$B556))+ISNUMBER(SEARCH("krudo",$B556))+ISNUMBER(SEARCH("gasolina",$B556))&gt;0,1,0)))</f>
        <v/>
      </c>
      <c r="N556">
        <f>IF($B556="","",IF(ISNUMBER(SEARCH("fuel",$B556))+ISNUMBER(SEARCH("diesel",$B556))+ISNUMBER(SEARCH("krudo",$B556))+ISNUMBER(SEARCH("gasolina",$B556))&gt;0,1,0))</f>
        <v/>
      </c>
    </row>
    <row r="557">
      <c r="A557" s="86" t="n"/>
      <c r="B557" s="88" t="n"/>
      <c r="C557" s="88" t="n"/>
      <c r="D557" s="87" t="n"/>
      <c r="E557" s="88" t="n"/>
      <c r="F557" s="92" t="n"/>
      <c r="G557" s="87" t="n"/>
      <c r="H557" s="87" t="n"/>
      <c r="I557" s="101">
        <f>IF($B557="","",IF(COUNTIF(Setup!$A$99:$A$128,$B557)&gt;0,IF(INDEX(Setup!$B$99:$B$128,MATCH($B557,Setup!$A$99:$A$128,0))="","Overhead",INDEX(Setup!$B$99:$B$128,MATCH($B557,Setup!$A$99:$A$128,0))),IF(ISNUMBER(SEARCH("advance",$B557))+ISNUMBER(SEARCH("payout",$B557))+ISNUMBER(SEARCH("pay out",$B557))+ISNUMBER(SEARCH("reimburs",$B557))&gt;0,"Transfer",IF(ISNUMBER(SEARCH("loan",$B557))+ISNUMBER(SEARCH("amort",$B557))+ISNUMBER(SEARCH("installment",$B557))+ISNUMBER(SEARCH("instalment",$B557))&gt;0,"Financing",IF(ISNUMBER(SEARCH("draw",$B557))+ISNUMBER(SEARCH("owner",$B557))+ISNUMBER(SEARCH("asset",$B557))+ISNUMBER(SEARCH("capital",$B557))&gt;0,"Other",IF(ISNUMBER(SEARCH("fuel",$B557))+ISNUMBER(SEARCH("diesel",$B557))+ISNUMBER(SEARCH("krudo",$B557))+ISNUMBER(SEARCH("gasolina",$B557))+ISNUMBER(SEARCH("toll",$B557))+ISNUMBER(SEARCH("parking",$B557))+ISNUMBER(SEARCH("repair",$B557))+ISNUMBER(SEARCH("maintenance",$B557))+ISNUMBER(SEARCH("tire",$B557))+ISNUMBER(SEARCH("tyre",$B557))+ISNUMBER(SEARCH("battery",$B557))+ISNUMBER(SEARCH("oil",$B557))+ISNUMBER(SEARCH("filter",$B557))+ISNUMBER(SEARCH("spare",$B557))+ISNUMBER(SEARCH("insurance",$B557))+ISNUMBER(SEARCH("lto",$B557))+ISNUMBER(SEARCH("registration",$B557))+ISNUMBER(SEARCH("emission",$B557))+ISNUMBER(SEARCH("wash",$B557))+ISNUMBER(SEARCH("weigh",$B557))+ISNUMBER(SEARCH("tarp",$B557))&gt;0,"Vehicle",IF(ISNUMBER(SEARCH("rent",$B557))+ISNUMBER(SEARCH("upa",$B557))+ISNUMBER(SEARCH("salary",$B557))+ISNUMBER(SEARCH("sweldo",$B557))+ISNUMBER(SEARCH("wage",$B557))+ISNUMBER(SEARCH("electric",$B557))+ISNUMBER(SEARCH("kuryente",$B557))+ISNUMBER(SEARCH("water",$B557))+ISNUMBER(SEARCH("tubig",$B557))+ISNUMBER(SEARCH("internet",$B557))+ISNUMBER(SEARCH("pldt",$B557))+ISNUMBER(SEARCH("meralco",$B557))+ISNUMBER(SEARCH("supplies",$B557))+ISNUMBER(SEARCH("office",$B557))+ISNUMBER(SEARCH("professional",$B557))+ISNUMBER(SEARCH("accountant",$B557))+ISNUMBER(SEARCH("lawyer",$B557))+ISNUMBER(SEARCH("broker",$B557))+ISNUMBER(SEARCH("bank",$B557))+ISNUMBER(SEARCH("charge",$B557))+ISNUMBER(SEARCH("permit",$B557))+ISNUMBER(SEARCH("bir",$B557))+ISNUMBER(SEARCH("ltfrb",$B557))+ISNUMBER(SEARCH("misc",$B557))+ISNUMBER(SEARCH("fee",$B557))&gt;0,"Overhead","Overhead")))))))</f>
        <v/>
      </c>
      <c r="J557">
        <f>IF($A557="","",DATE(YEAR($A557),MONTH($A557),1))</f>
        <v/>
      </c>
      <c r="K557">
        <f>IF($B557="","",IF(COUNTIF(Setup!$A$99:$A$128,$B557)&gt;0,0,1))</f>
        <v/>
      </c>
      <c r="L557">
        <f>IF($B557="","",IF(ISNUMBER(SEARCH("advance",$B557)),"ADV",IF(OR(ISNUMBER(SEARCH("payout",$B557)),ISNUMBER(SEARCH("pay out",$B557)),ISNUMBER(SEARCH("release",$B557))),"PAY","")))</f>
        <v/>
      </c>
      <c r="M557">
        <f>IF($B557="","",IF(ISNUMBER(SEARCH("bulk",$B557)),0,IF(ISNUMBER(SEARCH("fuel",$B557))+ISNUMBER(SEARCH("diesel",$B557))+ISNUMBER(SEARCH("krudo",$B557))+ISNUMBER(SEARCH("gasolina",$B557))&gt;0,1,0)))</f>
        <v/>
      </c>
      <c r="N557">
        <f>IF($B557="","",IF(ISNUMBER(SEARCH("fuel",$B557))+ISNUMBER(SEARCH("diesel",$B557))+ISNUMBER(SEARCH("krudo",$B557))+ISNUMBER(SEARCH("gasolina",$B557))&gt;0,1,0))</f>
        <v/>
      </c>
    </row>
    <row r="558">
      <c r="A558" s="94" t="n"/>
      <c r="B558" s="96" t="n"/>
      <c r="C558" s="96" t="n"/>
      <c r="D558" s="95" t="n"/>
      <c r="E558" s="96" t="n"/>
      <c r="F558" s="99" t="n"/>
      <c r="G558" s="95" t="n"/>
      <c r="H558" s="95" t="n"/>
      <c r="I558" s="101">
        <f>IF($B558="","",IF(COUNTIF(Setup!$A$99:$A$128,$B558)&gt;0,IF(INDEX(Setup!$B$99:$B$128,MATCH($B558,Setup!$A$99:$A$128,0))="","Overhead",INDEX(Setup!$B$99:$B$128,MATCH($B558,Setup!$A$99:$A$128,0))),IF(ISNUMBER(SEARCH("advance",$B558))+ISNUMBER(SEARCH("payout",$B558))+ISNUMBER(SEARCH("pay out",$B558))+ISNUMBER(SEARCH("reimburs",$B558))&gt;0,"Transfer",IF(ISNUMBER(SEARCH("loan",$B558))+ISNUMBER(SEARCH("amort",$B558))+ISNUMBER(SEARCH("installment",$B558))+ISNUMBER(SEARCH("instalment",$B558))&gt;0,"Financing",IF(ISNUMBER(SEARCH("draw",$B558))+ISNUMBER(SEARCH("owner",$B558))+ISNUMBER(SEARCH("asset",$B558))+ISNUMBER(SEARCH("capital",$B558))&gt;0,"Other",IF(ISNUMBER(SEARCH("fuel",$B558))+ISNUMBER(SEARCH("diesel",$B558))+ISNUMBER(SEARCH("krudo",$B558))+ISNUMBER(SEARCH("gasolina",$B558))+ISNUMBER(SEARCH("toll",$B558))+ISNUMBER(SEARCH("parking",$B558))+ISNUMBER(SEARCH("repair",$B558))+ISNUMBER(SEARCH("maintenance",$B558))+ISNUMBER(SEARCH("tire",$B558))+ISNUMBER(SEARCH("tyre",$B558))+ISNUMBER(SEARCH("battery",$B558))+ISNUMBER(SEARCH("oil",$B558))+ISNUMBER(SEARCH("filter",$B558))+ISNUMBER(SEARCH("spare",$B558))+ISNUMBER(SEARCH("insurance",$B558))+ISNUMBER(SEARCH("lto",$B558))+ISNUMBER(SEARCH("registration",$B558))+ISNUMBER(SEARCH("emission",$B558))+ISNUMBER(SEARCH("wash",$B558))+ISNUMBER(SEARCH("weigh",$B558))+ISNUMBER(SEARCH("tarp",$B558))&gt;0,"Vehicle",IF(ISNUMBER(SEARCH("rent",$B558))+ISNUMBER(SEARCH("upa",$B558))+ISNUMBER(SEARCH("salary",$B558))+ISNUMBER(SEARCH("sweldo",$B558))+ISNUMBER(SEARCH("wage",$B558))+ISNUMBER(SEARCH("electric",$B558))+ISNUMBER(SEARCH("kuryente",$B558))+ISNUMBER(SEARCH("water",$B558))+ISNUMBER(SEARCH("tubig",$B558))+ISNUMBER(SEARCH("internet",$B558))+ISNUMBER(SEARCH("pldt",$B558))+ISNUMBER(SEARCH("meralco",$B558))+ISNUMBER(SEARCH("supplies",$B558))+ISNUMBER(SEARCH("office",$B558))+ISNUMBER(SEARCH("professional",$B558))+ISNUMBER(SEARCH("accountant",$B558))+ISNUMBER(SEARCH("lawyer",$B558))+ISNUMBER(SEARCH("broker",$B558))+ISNUMBER(SEARCH("bank",$B558))+ISNUMBER(SEARCH("charge",$B558))+ISNUMBER(SEARCH("permit",$B558))+ISNUMBER(SEARCH("bir",$B558))+ISNUMBER(SEARCH("ltfrb",$B558))+ISNUMBER(SEARCH("misc",$B558))+ISNUMBER(SEARCH("fee",$B558))&gt;0,"Overhead","Overhead")))))))</f>
        <v/>
      </c>
      <c r="J558">
        <f>IF($A558="","",DATE(YEAR($A558),MONTH($A558),1))</f>
        <v/>
      </c>
      <c r="K558">
        <f>IF($B558="","",IF(COUNTIF(Setup!$A$99:$A$128,$B558)&gt;0,0,1))</f>
        <v/>
      </c>
      <c r="L558">
        <f>IF($B558="","",IF(ISNUMBER(SEARCH("advance",$B558)),"ADV",IF(OR(ISNUMBER(SEARCH("payout",$B558)),ISNUMBER(SEARCH("pay out",$B558)),ISNUMBER(SEARCH("release",$B558))),"PAY","")))</f>
        <v/>
      </c>
      <c r="M558">
        <f>IF($B558="","",IF(ISNUMBER(SEARCH("bulk",$B558)),0,IF(ISNUMBER(SEARCH("fuel",$B558))+ISNUMBER(SEARCH("diesel",$B558))+ISNUMBER(SEARCH("krudo",$B558))+ISNUMBER(SEARCH("gasolina",$B558))&gt;0,1,0)))</f>
        <v/>
      </c>
      <c r="N558">
        <f>IF($B558="","",IF(ISNUMBER(SEARCH("fuel",$B558))+ISNUMBER(SEARCH("diesel",$B558))+ISNUMBER(SEARCH("krudo",$B558))+ISNUMBER(SEARCH("gasolina",$B558))&gt;0,1,0))</f>
        <v/>
      </c>
    </row>
    <row r="559">
      <c r="A559" s="86" t="n"/>
      <c r="B559" s="88" t="n"/>
      <c r="C559" s="88" t="n"/>
      <c r="D559" s="87" t="n"/>
      <c r="E559" s="88" t="n"/>
      <c r="F559" s="92" t="n"/>
      <c r="G559" s="87" t="n"/>
      <c r="H559" s="87" t="n"/>
      <c r="I559" s="101">
        <f>IF($B559="","",IF(COUNTIF(Setup!$A$99:$A$128,$B559)&gt;0,IF(INDEX(Setup!$B$99:$B$128,MATCH($B559,Setup!$A$99:$A$128,0))="","Overhead",INDEX(Setup!$B$99:$B$128,MATCH($B559,Setup!$A$99:$A$128,0))),IF(ISNUMBER(SEARCH("advance",$B559))+ISNUMBER(SEARCH("payout",$B559))+ISNUMBER(SEARCH("pay out",$B559))+ISNUMBER(SEARCH("reimburs",$B559))&gt;0,"Transfer",IF(ISNUMBER(SEARCH("loan",$B559))+ISNUMBER(SEARCH("amort",$B559))+ISNUMBER(SEARCH("installment",$B559))+ISNUMBER(SEARCH("instalment",$B559))&gt;0,"Financing",IF(ISNUMBER(SEARCH("draw",$B559))+ISNUMBER(SEARCH("owner",$B559))+ISNUMBER(SEARCH("asset",$B559))+ISNUMBER(SEARCH("capital",$B559))&gt;0,"Other",IF(ISNUMBER(SEARCH("fuel",$B559))+ISNUMBER(SEARCH("diesel",$B559))+ISNUMBER(SEARCH("krudo",$B559))+ISNUMBER(SEARCH("gasolina",$B559))+ISNUMBER(SEARCH("toll",$B559))+ISNUMBER(SEARCH("parking",$B559))+ISNUMBER(SEARCH("repair",$B559))+ISNUMBER(SEARCH("maintenance",$B559))+ISNUMBER(SEARCH("tire",$B559))+ISNUMBER(SEARCH("tyre",$B559))+ISNUMBER(SEARCH("battery",$B559))+ISNUMBER(SEARCH("oil",$B559))+ISNUMBER(SEARCH("filter",$B559))+ISNUMBER(SEARCH("spare",$B559))+ISNUMBER(SEARCH("insurance",$B559))+ISNUMBER(SEARCH("lto",$B559))+ISNUMBER(SEARCH("registration",$B559))+ISNUMBER(SEARCH("emission",$B559))+ISNUMBER(SEARCH("wash",$B559))+ISNUMBER(SEARCH("weigh",$B559))+ISNUMBER(SEARCH("tarp",$B559))&gt;0,"Vehicle",IF(ISNUMBER(SEARCH("rent",$B559))+ISNUMBER(SEARCH("upa",$B559))+ISNUMBER(SEARCH("salary",$B559))+ISNUMBER(SEARCH("sweldo",$B559))+ISNUMBER(SEARCH("wage",$B559))+ISNUMBER(SEARCH("electric",$B559))+ISNUMBER(SEARCH("kuryente",$B559))+ISNUMBER(SEARCH("water",$B559))+ISNUMBER(SEARCH("tubig",$B559))+ISNUMBER(SEARCH("internet",$B559))+ISNUMBER(SEARCH("pldt",$B559))+ISNUMBER(SEARCH("meralco",$B559))+ISNUMBER(SEARCH("supplies",$B559))+ISNUMBER(SEARCH("office",$B559))+ISNUMBER(SEARCH("professional",$B559))+ISNUMBER(SEARCH("accountant",$B559))+ISNUMBER(SEARCH("lawyer",$B559))+ISNUMBER(SEARCH("broker",$B559))+ISNUMBER(SEARCH("bank",$B559))+ISNUMBER(SEARCH("charge",$B559))+ISNUMBER(SEARCH("permit",$B559))+ISNUMBER(SEARCH("bir",$B559))+ISNUMBER(SEARCH("ltfrb",$B559))+ISNUMBER(SEARCH("misc",$B559))+ISNUMBER(SEARCH("fee",$B559))&gt;0,"Overhead","Overhead")))))))</f>
        <v/>
      </c>
      <c r="J559">
        <f>IF($A559="","",DATE(YEAR($A559),MONTH($A559),1))</f>
        <v/>
      </c>
      <c r="K559">
        <f>IF($B559="","",IF(COUNTIF(Setup!$A$99:$A$128,$B559)&gt;0,0,1))</f>
        <v/>
      </c>
      <c r="L559">
        <f>IF($B559="","",IF(ISNUMBER(SEARCH("advance",$B559)),"ADV",IF(OR(ISNUMBER(SEARCH("payout",$B559)),ISNUMBER(SEARCH("pay out",$B559)),ISNUMBER(SEARCH("release",$B559))),"PAY","")))</f>
        <v/>
      </c>
      <c r="M559">
        <f>IF($B559="","",IF(ISNUMBER(SEARCH("bulk",$B559)),0,IF(ISNUMBER(SEARCH("fuel",$B559))+ISNUMBER(SEARCH("diesel",$B559))+ISNUMBER(SEARCH("krudo",$B559))+ISNUMBER(SEARCH("gasolina",$B559))&gt;0,1,0)))</f>
        <v/>
      </c>
      <c r="N559">
        <f>IF($B559="","",IF(ISNUMBER(SEARCH("fuel",$B559))+ISNUMBER(SEARCH("diesel",$B559))+ISNUMBER(SEARCH("krudo",$B559))+ISNUMBER(SEARCH("gasolina",$B559))&gt;0,1,0))</f>
        <v/>
      </c>
    </row>
    <row r="560">
      <c r="A560" s="94" t="n"/>
      <c r="B560" s="96" t="n"/>
      <c r="C560" s="96" t="n"/>
      <c r="D560" s="95" t="n"/>
      <c r="E560" s="96" t="n"/>
      <c r="F560" s="99" t="n"/>
      <c r="G560" s="95" t="n"/>
      <c r="H560" s="95" t="n"/>
      <c r="I560" s="101">
        <f>IF($B560="","",IF(COUNTIF(Setup!$A$99:$A$128,$B560)&gt;0,IF(INDEX(Setup!$B$99:$B$128,MATCH($B560,Setup!$A$99:$A$128,0))="","Overhead",INDEX(Setup!$B$99:$B$128,MATCH($B560,Setup!$A$99:$A$128,0))),IF(ISNUMBER(SEARCH("advance",$B560))+ISNUMBER(SEARCH("payout",$B560))+ISNUMBER(SEARCH("pay out",$B560))+ISNUMBER(SEARCH("reimburs",$B560))&gt;0,"Transfer",IF(ISNUMBER(SEARCH("loan",$B560))+ISNUMBER(SEARCH("amort",$B560))+ISNUMBER(SEARCH("installment",$B560))+ISNUMBER(SEARCH("instalment",$B560))&gt;0,"Financing",IF(ISNUMBER(SEARCH("draw",$B560))+ISNUMBER(SEARCH("owner",$B560))+ISNUMBER(SEARCH("asset",$B560))+ISNUMBER(SEARCH("capital",$B560))&gt;0,"Other",IF(ISNUMBER(SEARCH("fuel",$B560))+ISNUMBER(SEARCH("diesel",$B560))+ISNUMBER(SEARCH("krudo",$B560))+ISNUMBER(SEARCH("gasolina",$B560))+ISNUMBER(SEARCH("toll",$B560))+ISNUMBER(SEARCH("parking",$B560))+ISNUMBER(SEARCH("repair",$B560))+ISNUMBER(SEARCH("maintenance",$B560))+ISNUMBER(SEARCH("tire",$B560))+ISNUMBER(SEARCH("tyre",$B560))+ISNUMBER(SEARCH("battery",$B560))+ISNUMBER(SEARCH("oil",$B560))+ISNUMBER(SEARCH("filter",$B560))+ISNUMBER(SEARCH("spare",$B560))+ISNUMBER(SEARCH("insurance",$B560))+ISNUMBER(SEARCH("lto",$B560))+ISNUMBER(SEARCH("registration",$B560))+ISNUMBER(SEARCH("emission",$B560))+ISNUMBER(SEARCH("wash",$B560))+ISNUMBER(SEARCH("weigh",$B560))+ISNUMBER(SEARCH("tarp",$B560))&gt;0,"Vehicle",IF(ISNUMBER(SEARCH("rent",$B560))+ISNUMBER(SEARCH("upa",$B560))+ISNUMBER(SEARCH("salary",$B560))+ISNUMBER(SEARCH("sweldo",$B560))+ISNUMBER(SEARCH("wage",$B560))+ISNUMBER(SEARCH("electric",$B560))+ISNUMBER(SEARCH("kuryente",$B560))+ISNUMBER(SEARCH("water",$B560))+ISNUMBER(SEARCH("tubig",$B560))+ISNUMBER(SEARCH("internet",$B560))+ISNUMBER(SEARCH("pldt",$B560))+ISNUMBER(SEARCH("meralco",$B560))+ISNUMBER(SEARCH("supplies",$B560))+ISNUMBER(SEARCH("office",$B560))+ISNUMBER(SEARCH("professional",$B560))+ISNUMBER(SEARCH("accountant",$B560))+ISNUMBER(SEARCH("lawyer",$B560))+ISNUMBER(SEARCH("broker",$B560))+ISNUMBER(SEARCH("bank",$B560))+ISNUMBER(SEARCH("charge",$B560))+ISNUMBER(SEARCH("permit",$B560))+ISNUMBER(SEARCH("bir",$B560))+ISNUMBER(SEARCH("ltfrb",$B560))+ISNUMBER(SEARCH("misc",$B560))+ISNUMBER(SEARCH("fee",$B560))&gt;0,"Overhead","Overhead")))))))</f>
        <v/>
      </c>
      <c r="J560">
        <f>IF($A560="","",DATE(YEAR($A560),MONTH($A560),1))</f>
        <v/>
      </c>
      <c r="K560">
        <f>IF($B560="","",IF(COUNTIF(Setup!$A$99:$A$128,$B560)&gt;0,0,1))</f>
        <v/>
      </c>
      <c r="L560">
        <f>IF($B560="","",IF(ISNUMBER(SEARCH("advance",$B560)),"ADV",IF(OR(ISNUMBER(SEARCH("payout",$B560)),ISNUMBER(SEARCH("pay out",$B560)),ISNUMBER(SEARCH("release",$B560))),"PAY","")))</f>
        <v/>
      </c>
      <c r="M560">
        <f>IF($B560="","",IF(ISNUMBER(SEARCH("bulk",$B560)),0,IF(ISNUMBER(SEARCH("fuel",$B560))+ISNUMBER(SEARCH("diesel",$B560))+ISNUMBER(SEARCH("krudo",$B560))+ISNUMBER(SEARCH("gasolina",$B560))&gt;0,1,0)))</f>
        <v/>
      </c>
      <c r="N560">
        <f>IF($B560="","",IF(ISNUMBER(SEARCH("fuel",$B560))+ISNUMBER(SEARCH("diesel",$B560))+ISNUMBER(SEARCH("krudo",$B560))+ISNUMBER(SEARCH("gasolina",$B560))&gt;0,1,0))</f>
        <v/>
      </c>
    </row>
    <row r="561">
      <c r="A561" s="86" t="n"/>
      <c r="B561" s="88" t="n"/>
      <c r="C561" s="88" t="n"/>
      <c r="D561" s="87" t="n"/>
      <c r="E561" s="88" t="n"/>
      <c r="F561" s="92" t="n"/>
      <c r="G561" s="87" t="n"/>
      <c r="H561" s="87" t="n"/>
      <c r="I561" s="101">
        <f>IF($B561="","",IF(COUNTIF(Setup!$A$99:$A$128,$B561)&gt;0,IF(INDEX(Setup!$B$99:$B$128,MATCH($B561,Setup!$A$99:$A$128,0))="","Overhead",INDEX(Setup!$B$99:$B$128,MATCH($B561,Setup!$A$99:$A$128,0))),IF(ISNUMBER(SEARCH("advance",$B561))+ISNUMBER(SEARCH("payout",$B561))+ISNUMBER(SEARCH("pay out",$B561))+ISNUMBER(SEARCH("reimburs",$B561))&gt;0,"Transfer",IF(ISNUMBER(SEARCH("loan",$B561))+ISNUMBER(SEARCH("amort",$B561))+ISNUMBER(SEARCH("installment",$B561))+ISNUMBER(SEARCH("instalment",$B561))&gt;0,"Financing",IF(ISNUMBER(SEARCH("draw",$B561))+ISNUMBER(SEARCH("owner",$B561))+ISNUMBER(SEARCH("asset",$B561))+ISNUMBER(SEARCH("capital",$B561))&gt;0,"Other",IF(ISNUMBER(SEARCH("fuel",$B561))+ISNUMBER(SEARCH("diesel",$B561))+ISNUMBER(SEARCH("krudo",$B561))+ISNUMBER(SEARCH("gasolina",$B561))+ISNUMBER(SEARCH("toll",$B561))+ISNUMBER(SEARCH("parking",$B561))+ISNUMBER(SEARCH("repair",$B561))+ISNUMBER(SEARCH("maintenance",$B561))+ISNUMBER(SEARCH("tire",$B561))+ISNUMBER(SEARCH("tyre",$B561))+ISNUMBER(SEARCH("battery",$B561))+ISNUMBER(SEARCH("oil",$B561))+ISNUMBER(SEARCH("filter",$B561))+ISNUMBER(SEARCH("spare",$B561))+ISNUMBER(SEARCH("insurance",$B561))+ISNUMBER(SEARCH("lto",$B561))+ISNUMBER(SEARCH("registration",$B561))+ISNUMBER(SEARCH("emission",$B561))+ISNUMBER(SEARCH("wash",$B561))+ISNUMBER(SEARCH("weigh",$B561))+ISNUMBER(SEARCH("tarp",$B561))&gt;0,"Vehicle",IF(ISNUMBER(SEARCH("rent",$B561))+ISNUMBER(SEARCH("upa",$B561))+ISNUMBER(SEARCH("salary",$B561))+ISNUMBER(SEARCH("sweldo",$B561))+ISNUMBER(SEARCH("wage",$B561))+ISNUMBER(SEARCH("electric",$B561))+ISNUMBER(SEARCH("kuryente",$B561))+ISNUMBER(SEARCH("water",$B561))+ISNUMBER(SEARCH("tubig",$B561))+ISNUMBER(SEARCH("internet",$B561))+ISNUMBER(SEARCH("pldt",$B561))+ISNUMBER(SEARCH("meralco",$B561))+ISNUMBER(SEARCH("supplies",$B561))+ISNUMBER(SEARCH("office",$B561))+ISNUMBER(SEARCH("professional",$B561))+ISNUMBER(SEARCH("accountant",$B561))+ISNUMBER(SEARCH("lawyer",$B561))+ISNUMBER(SEARCH("broker",$B561))+ISNUMBER(SEARCH("bank",$B561))+ISNUMBER(SEARCH("charge",$B561))+ISNUMBER(SEARCH("permit",$B561))+ISNUMBER(SEARCH("bir",$B561))+ISNUMBER(SEARCH("ltfrb",$B561))+ISNUMBER(SEARCH("misc",$B561))+ISNUMBER(SEARCH("fee",$B561))&gt;0,"Overhead","Overhead")))))))</f>
        <v/>
      </c>
      <c r="J561">
        <f>IF($A561="","",DATE(YEAR($A561),MONTH($A561),1))</f>
        <v/>
      </c>
      <c r="K561">
        <f>IF($B561="","",IF(COUNTIF(Setup!$A$99:$A$128,$B561)&gt;0,0,1))</f>
        <v/>
      </c>
      <c r="L561">
        <f>IF($B561="","",IF(ISNUMBER(SEARCH("advance",$B561)),"ADV",IF(OR(ISNUMBER(SEARCH("payout",$B561)),ISNUMBER(SEARCH("pay out",$B561)),ISNUMBER(SEARCH("release",$B561))),"PAY","")))</f>
        <v/>
      </c>
      <c r="M561">
        <f>IF($B561="","",IF(ISNUMBER(SEARCH("bulk",$B561)),0,IF(ISNUMBER(SEARCH("fuel",$B561))+ISNUMBER(SEARCH("diesel",$B561))+ISNUMBER(SEARCH("krudo",$B561))+ISNUMBER(SEARCH("gasolina",$B561))&gt;0,1,0)))</f>
        <v/>
      </c>
      <c r="N561">
        <f>IF($B561="","",IF(ISNUMBER(SEARCH("fuel",$B561))+ISNUMBER(SEARCH("diesel",$B561))+ISNUMBER(SEARCH("krudo",$B561))+ISNUMBER(SEARCH("gasolina",$B561))&gt;0,1,0))</f>
        <v/>
      </c>
    </row>
    <row r="562">
      <c r="A562" s="94" t="n"/>
      <c r="B562" s="96" t="n"/>
      <c r="C562" s="96" t="n"/>
      <c r="D562" s="95" t="n"/>
      <c r="E562" s="96" t="n"/>
      <c r="F562" s="99" t="n"/>
      <c r="G562" s="95" t="n"/>
      <c r="H562" s="95" t="n"/>
      <c r="I562" s="101">
        <f>IF($B562="","",IF(COUNTIF(Setup!$A$99:$A$128,$B562)&gt;0,IF(INDEX(Setup!$B$99:$B$128,MATCH($B562,Setup!$A$99:$A$128,0))="","Overhead",INDEX(Setup!$B$99:$B$128,MATCH($B562,Setup!$A$99:$A$128,0))),IF(ISNUMBER(SEARCH("advance",$B562))+ISNUMBER(SEARCH("payout",$B562))+ISNUMBER(SEARCH("pay out",$B562))+ISNUMBER(SEARCH("reimburs",$B562))&gt;0,"Transfer",IF(ISNUMBER(SEARCH("loan",$B562))+ISNUMBER(SEARCH("amort",$B562))+ISNUMBER(SEARCH("installment",$B562))+ISNUMBER(SEARCH("instalment",$B562))&gt;0,"Financing",IF(ISNUMBER(SEARCH("draw",$B562))+ISNUMBER(SEARCH("owner",$B562))+ISNUMBER(SEARCH("asset",$B562))+ISNUMBER(SEARCH("capital",$B562))&gt;0,"Other",IF(ISNUMBER(SEARCH("fuel",$B562))+ISNUMBER(SEARCH("diesel",$B562))+ISNUMBER(SEARCH("krudo",$B562))+ISNUMBER(SEARCH("gasolina",$B562))+ISNUMBER(SEARCH("toll",$B562))+ISNUMBER(SEARCH("parking",$B562))+ISNUMBER(SEARCH("repair",$B562))+ISNUMBER(SEARCH("maintenance",$B562))+ISNUMBER(SEARCH("tire",$B562))+ISNUMBER(SEARCH("tyre",$B562))+ISNUMBER(SEARCH("battery",$B562))+ISNUMBER(SEARCH("oil",$B562))+ISNUMBER(SEARCH("filter",$B562))+ISNUMBER(SEARCH("spare",$B562))+ISNUMBER(SEARCH("insurance",$B562))+ISNUMBER(SEARCH("lto",$B562))+ISNUMBER(SEARCH("registration",$B562))+ISNUMBER(SEARCH("emission",$B562))+ISNUMBER(SEARCH("wash",$B562))+ISNUMBER(SEARCH("weigh",$B562))+ISNUMBER(SEARCH("tarp",$B562))&gt;0,"Vehicle",IF(ISNUMBER(SEARCH("rent",$B562))+ISNUMBER(SEARCH("upa",$B562))+ISNUMBER(SEARCH("salary",$B562))+ISNUMBER(SEARCH("sweldo",$B562))+ISNUMBER(SEARCH("wage",$B562))+ISNUMBER(SEARCH("electric",$B562))+ISNUMBER(SEARCH("kuryente",$B562))+ISNUMBER(SEARCH("water",$B562))+ISNUMBER(SEARCH("tubig",$B562))+ISNUMBER(SEARCH("internet",$B562))+ISNUMBER(SEARCH("pldt",$B562))+ISNUMBER(SEARCH("meralco",$B562))+ISNUMBER(SEARCH("supplies",$B562))+ISNUMBER(SEARCH("office",$B562))+ISNUMBER(SEARCH("professional",$B562))+ISNUMBER(SEARCH("accountant",$B562))+ISNUMBER(SEARCH("lawyer",$B562))+ISNUMBER(SEARCH("broker",$B562))+ISNUMBER(SEARCH("bank",$B562))+ISNUMBER(SEARCH("charge",$B562))+ISNUMBER(SEARCH("permit",$B562))+ISNUMBER(SEARCH("bir",$B562))+ISNUMBER(SEARCH("ltfrb",$B562))+ISNUMBER(SEARCH("misc",$B562))+ISNUMBER(SEARCH("fee",$B562))&gt;0,"Overhead","Overhead")))))))</f>
        <v/>
      </c>
      <c r="J562">
        <f>IF($A562="","",DATE(YEAR($A562),MONTH($A562),1))</f>
        <v/>
      </c>
      <c r="K562">
        <f>IF($B562="","",IF(COUNTIF(Setup!$A$99:$A$128,$B562)&gt;0,0,1))</f>
        <v/>
      </c>
      <c r="L562">
        <f>IF($B562="","",IF(ISNUMBER(SEARCH("advance",$B562)),"ADV",IF(OR(ISNUMBER(SEARCH("payout",$B562)),ISNUMBER(SEARCH("pay out",$B562)),ISNUMBER(SEARCH("release",$B562))),"PAY","")))</f>
        <v/>
      </c>
      <c r="M562">
        <f>IF($B562="","",IF(ISNUMBER(SEARCH("bulk",$B562)),0,IF(ISNUMBER(SEARCH("fuel",$B562))+ISNUMBER(SEARCH("diesel",$B562))+ISNUMBER(SEARCH("krudo",$B562))+ISNUMBER(SEARCH("gasolina",$B562))&gt;0,1,0)))</f>
        <v/>
      </c>
      <c r="N562">
        <f>IF($B562="","",IF(ISNUMBER(SEARCH("fuel",$B562))+ISNUMBER(SEARCH("diesel",$B562))+ISNUMBER(SEARCH("krudo",$B562))+ISNUMBER(SEARCH("gasolina",$B562))&gt;0,1,0))</f>
        <v/>
      </c>
    </row>
    <row r="563">
      <c r="A563" s="86" t="n"/>
      <c r="B563" s="88" t="n"/>
      <c r="C563" s="88" t="n"/>
      <c r="D563" s="87" t="n"/>
      <c r="E563" s="88" t="n"/>
      <c r="F563" s="92" t="n"/>
      <c r="G563" s="87" t="n"/>
      <c r="H563" s="87" t="n"/>
      <c r="I563" s="101">
        <f>IF($B563="","",IF(COUNTIF(Setup!$A$99:$A$128,$B563)&gt;0,IF(INDEX(Setup!$B$99:$B$128,MATCH($B563,Setup!$A$99:$A$128,0))="","Overhead",INDEX(Setup!$B$99:$B$128,MATCH($B563,Setup!$A$99:$A$128,0))),IF(ISNUMBER(SEARCH("advance",$B563))+ISNUMBER(SEARCH("payout",$B563))+ISNUMBER(SEARCH("pay out",$B563))+ISNUMBER(SEARCH("reimburs",$B563))&gt;0,"Transfer",IF(ISNUMBER(SEARCH("loan",$B563))+ISNUMBER(SEARCH("amort",$B563))+ISNUMBER(SEARCH("installment",$B563))+ISNUMBER(SEARCH("instalment",$B563))&gt;0,"Financing",IF(ISNUMBER(SEARCH("draw",$B563))+ISNUMBER(SEARCH("owner",$B563))+ISNUMBER(SEARCH("asset",$B563))+ISNUMBER(SEARCH("capital",$B563))&gt;0,"Other",IF(ISNUMBER(SEARCH("fuel",$B563))+ISNUMBER(SEARCH("diesel",$B563))+ISNUMBER(SEARCH("krudo",$B563))+ISNUMBER(SEARCH("gasolina",$B563))+ISNUMBER(SEARCH("toll",$B563))+ISNUMBER(SEARCH("parking",$B563))+ISNUMBER(SEARCH("repair",$B563))+ISNUMBER(SEARCH("maintenance",$B563))+ISNUMBER(SEARCH("tire",$B563))+ISNUMBER(SEARCH("tyre",$B563))+ISNUMBER(SEARCH("battery",$B563))+ISNUMBER(SEARCH("oil",$B563))+ISNUMBER(SEARCH("filter",$B563))+ISNUMBER(SEARCH("spare",$B563))+ISNUMBER(SEARCH("insurance",$B563))+ISNUMBER(SEARCH("lto",$B563))+ISNUMBER(SEARCH("registration",$B563))+ISNUMBER(SEARCH("emission",$B563))+ISNUMBER(SEARCH("wash",$B563))+ISNUMBER(SEARCH("weigh",$B563))+ISNUMBER(SEARCH("tarp",$B563))&gt;0,"Vehicle",IF(ISNUMBER(SEARCH("rent",$B563))+ISNUMBER(SEARCH("upa",$B563))+ISNUMBER(SEARCH("salary",$B563))+ISNUMBER(SEARCH("sweldo",$B563))+ISNUMBER(SEARCH("wage",$B563))+ISNUMBER(SEARCH("electric",$B563))+ISNUMBER(SEARCH("kuryente",$B563))+ISNUMBER(SEARCH("water",$B563))+ISNUMBER(SEARCH("tubig",$B563))+ISNUMBER(SEARCH("internet",$B563))+ISNUMBER(SEARCH("pldt",$B563))+ISNUMBER(SEARCH("meralco",$B563))+ISNUMBER(SEARCH("supplies",$B563))+ISNUMBER(SEARCH("office",$B563))+ISNUMBER(SEARCH("professional",$B563))+ISNUMBER(SEARCH("accountant",$B563))+ISNUMBER(SEARCH("lawyer",$B563))+ISNUMBER(SEARCH("broker",$B563))+ISNUMBER(SEARCH("bank",$B563))+ISNUMBER(SEARCH("charge",$B563))+ISNUMBER(SEARCH("permit",$B563))+ISNUMBER(SEARCH("bir",$B563))+ISNUMBER(SEARCH("ltfrb",$B563))+ISNUMBER(SEARCH("misc",$B563))+ISNUMBER(SEARCH("fee",$B563))&gt;0,"Overhead","Overhead")))))))</f>
        <v/>
      </c>
      <c r="J563">
        <f>IF($A563="","",DATE(YEAR($A563),MONTH($A563),1))</f>
        <v/>
      </c>
      <c r="K563">
        <f>IF($B563="","",IF(COUNTIF(Setup!$A$99:$A$128,$B563)&gt;0,0,1))</f>
        <v/>
      </c>
      <c r="L563">
        <f>IF($B563="","",IF(ISNUMBER(SEARCH("advance",$B563)),"ADV",IF(OR(ISNUMBER(SEARCH("payout",$B563)),ISNUMBER(SEARCH("pay out",$B563)),ISNUMBER(SEARCH("release",$B563))),"PAY","")))</f>
        <v/>
      </c>
      <c r="M563">
        <f>IF($B563="","",IF(ISNUMBER(SEARCH("bulk",$B563)),0,IF(ISNUMBER(SEARCH("fuel",$B563))+ISNUMBER(SEARCH("diesel",$B563))+ISNUMBER(SEARCH("krudo",$B563))+ISNUMBER(SEARCH("gasolina",$B563))&gt;0,1,0)))</f>
        <v/>
      </c>
      <c r="N563">
        <f>IF($B563="","",IF(ISNUMBER(SEARCH("fuel",$B563))+ISNUMBER(SEARCH("diesel",$B563))+ISNUMBER(SEARCH("krudo",$B563))+ISNUMBER(SEARCH("gasolina",$B563))&gt;0,1,0))</f>
        <v/>
      </c>
    </row>
    <row r="564">
      <c r="A564" s="94" t="n"/>
      <c r="B564" s="96" t="n"/>
      <c r="C564" s="96" t="n"/>
      <c r="D564" s="95" t="n"/>
      <c r="E564" s="96" t="n"/>
      <c r="F564" s="99" t="n"/>
      <c r="G564" s="95" t="n"/>
      <c r="H564" s="95" t="n"/>
      <c r="I564" s="101">
        <f>IF($B564="","",IF(COUNTIF(Setup!$A$99:$A$128,$B564)&gt;0,IF(INDEX(Setup!$B$99:$B$128,MATCH($B564,Setup!$A$99:$A$128,0))="","Overhead",INDEX(Setup!$B$99:$B$128,MATCH($B564,Setup!$A$99:$A$128,0))),IF(ISNUMBER(SEARCH("advance",$B564))+ISNUMBER(SEARCH("payout",$B564))+ISNUMBER(SEARCH("pay out",$B564))+ISNUMBER(SEARCH("reimburs",$B564))&gt;0,"Transfer",IF(ISNUMBER(SEARCH("loan",$B564))+ISNUMBER(SEARCH("amort",$B564))+ISNUMBER(SEARCH("installment",$B564))+ISNUMBER(SEARCH("instalment",$B564))&gt;0,"Financing",IF(ISNUMBER(SEARCH("draw",$B564))+ISNUMBER(SEARCH("owner",$B564))+ISNUMBER(SEARCH("asset",$B564))+ISNUMBER(SEARCH("capital",$B564))&gt;0,"Other",IF(ISNUMBER(SEARCH("fuel",$B564))+ISNUMBER(SEARCH("diesel",$B564))+ISNUMBER(SEARCH("krudo",$B564))+ISNUMBER(SEARCH("gasolina",$B564))+ISNUMBER(SEARCH("toll",$B564))+ISNUMBER(SEARCH("parking",$B564))+ISNUMBER(SEARCH("repair",$B564))+ISNUMBER(SEARCH("maintenance",$B564))+ISNUMBER(SEARCH("tire",$B564))+ISNUMBER(SEARCH("tyre",$B564))+ISNUMBER(SEARCH("battery",$B564))+ISNUMBER(SEARCH("oil",$B564))+ISNUMBER(SEARCH("filter",$B564))+ISNUMBER(SEARCH("spare",$B564))+ISNUMBER(SEARCH("insurance",$B564))+ISNUMBER(SEARCH("lto",$B564))+ISNUMBER(SEARCH("registration",$B564))+ISNUMBER(SEARCH("emission",$B564))+ISNUMBER(SEARCH("wash",$B564))+ISNUMBER(SEARCH("weigh",$B564))+ISNUMBER(SEARCH("tarp",$B564))&gt;0,"Vehicle",IF(ISNUMBER(SEARCH("rent",$B564))+ISNUMBER(SEARCH("upa",$B564))+ISNUMBER(SEARCH("salary",$B564))+ISNUMBER(SEARCH("sweldo",$B564))+ISNUMBER(SEARCH("wage",$B564))+ISNUMBER(SEARCH("electric",$B564))+ISNUMBER(SEARCH("kuryente",$B564))+ISNUMBER(SEARCH("water",$B564))+ISNUMBER(SEARCH("tubig",$B564))+ISNUMBER(SEARCH("internet",$B564))+ISNUMBER(SEARCH("pldt",$B564))+ISNUMBER(SEARCH("meralco",$B564))+ISNUMBER(SEARCH("supplies",$B564))+ISNUMBER(SEARCH("office",$B564))+ISNUMBER(SEARCH("professional",$B564))+ISNUMBER(SEARCH("accountant",$B564))+ISNUMBER(SEARCH("lawyer",$B564))+ISNUMBER(SEARCH("broker",$B564))+ISNUMBER(SEARCH("bank",$B564))+ISNUMBER(SEARCH("charge",$B564))+ISNUMBER(SEARCH("permit",$B564))+ISNUMBER(SEARCH("bir",$B564))+ISNUMBER(SEARCH("ltfrb",$B564))+ISNUMBER(SEARCH("misc",$B564))+ISNUMBER(SEARCH("fee",$B564))&gt;0,"Overhead","Overhead")))))))</f>
        <v/>
      </c>
      <c r="J564">
        <f>IF($A564="","",DATE(YEAR($A564),MONTH($A564),1))</f>
        <v/>
      </c>
      <c r="K564">
        <f>IF($B564="","",IF(COUNTIF(Setup!$A$99:$A$128,$B564)&gt;0,0,1))</f>
        <v/>
      </c>
      <c r="L564">
        <f>IF($B564="","",IF(ISNUMBER(SEARCH("advance",$B564)),"ADV",IF(OR(ISNUMBER(SEARCH("payout",$B564)),ISNUMBER(SEARCH("pay out",$B564)),ISNUMBER(SEARCH("release",$B564))),"PAY","")))</f>
        <v/>
      </c>
      <c r="M564">
        <f>IF($B564="","",IF(ISNUMBER(SEARCH("bulk",$B564)),0,IF(ISNUMBER(SEARCH("fuel",$B564))+ISNUMBER(SEARCH("diesel",$B564))+ISNUMBER(SEARCH("krudo",$B564))+ISNUMBER(SEARCH("gasolina",$B564))&gt;0,1,0)))</f>
        <v/>
      </c>
      <c r="N564">
        <f>IF($B564="","",IF(ISNUMBER(SEARCH("fuel",$B564))+ISNUMBER(SEARCH("diesel",$B564))+ISNUMBER(SEARCH("krudo",$B564))+ISNUMBER(SEARCH("gasolina",$B564))&gt;0,1,0))</f>
        <v/>
      </c>
    </row>
    <row r="565">
      <c r="A565" s="86" t="n"/>
      <c r="B565" s="88" t="n"/>
      <c r="C565" s="88" t="n"/>
      <c r="D565" s="87" t="n"/>
      <c r="E565" s="88" t="n"/>
      <c r="F565" s="92" t="n"/>
      <c r="G565" s="87" t="n"/>
      <c r="H565" s="87" t="n"/>
      <c r="I565" s="101">
        <f>IF($B565="","",IF(COUNTIF(Setup!$A$99:$A$128,$B565)&gt;0,IF(INDEX(Setup!$B$99:$B$128,MATCH($B565,Setup!$A$99:$A$128,0))="","Overhead",INDEX(Setup!$B$99:$B$128,MATCH($B565,Setup!$A$99:$A$128,0))),IF(ISNUMBER(SEARCH("advance",$B565))+ISNUMBER(SEARCH("payout",$B565))+ISNUMBER(SEARCH("pay out",$B565))+ISNUMBER(SEARCH("reimburs",$B565))&gt;0,"Transfer",IF(ISNUMBER(SEARCH("loan",$B565))+ISNUMBER(SEARCH("amort",$B565))+ISNUMBER(SEARCH("installment",$B565))+ISNUMBER(SEARCH("instalment",$B565))&gt;0,"Financing",IF(ISNUMBER(SEARCH("draw",$B565))+ISNUMBER(SEARCH("owner",$B565))+ISNUMBER(SEARCH("asset",$B565))+ISNUMBER(SEARCH("capital",$B565))&gt;0,"Other",IF(ISNUMBER(SEARCH("fuel",$B565))+ISNUMBER(SEARCH("diesel",$B565))+ISNUMBER(SEARCH("krudo",$B565))+ISNUMBER(SEARCH("gasolina",$B565))+ISNUMBER(SEARCH("toll",$B565))+ISNUMBER(SEARCH("parking",$B565))+ISNUMBER(SEARCH("repair",$B565))+ISNUMBER(SEARCH("maintenance",$B565))+ISNUMBER(SEARCH("tire",$B565))+ISNUMBER(SEARCH("tyre",$B565))+ISNUMBER(SEARCH("battery",$B565))+ISNUMBER(SEARCH("oil",$B565))+ISNUMBER(SEARCH("filter",$B565))+ISNUMBER(SEARCH("spare",$B565))+ISNUMBER(SEARCH("insurance",$B565))+ISNUMBER(SEARCH("lto",$B565))+ISNUMBER(SEARCH("registration",$B565))+ISNUMBER(SEARCH("emission",$B565))+ISNUMBER(SEARCH("wash",$B565))+ISNUMBER(SEARCH("weigh",$B565))+ISNUMBER(SEARCH("tarp",$B565))&gt;0,"Vehicle",IF(ISNUMBER(SEARCH("rent",$B565))+ISNUMBER(SEARCH("upa",$B565))+ISNUMBER(SEARCH("salary",$B565))+ISNUMBER(SEARCH("sweldo",$B565))+ISNUMBER(SEARCH("wage",$B565))+ISNUMBER(SEARCH("electric",$B565))+ISNUMBER(SEARCH("kuryente",$B565))+ISNUMBER(SEARCH("water",$B565))+ISNUMBER(SEARCH("tubig",$B565))+ISNUMBER(SEARCH("internet",$B565))+ISNUMBER(SEARCH("pldt",$B565))+ISNUMBER(SEARCH("meralco",$B565))+ISNUMBER(SEARCH("supplies",$B565))+ISNUMBER(SEARCH("office",$B565))+ISNUMBER(SEARCH("professional",$B565))+ISNUMBER(SEARCH("accountant",$B565))+ISNUMBER(SEARCH("lawyer",$B565))+ISNUMBER(SEARCH("broker",$B565))+ISNUMBER(SEARCH("bank",$B565))+ISNUMBER(SEARCH("charge",$B565))+ISNUMBER(SEARCH("permit",$B565))+ISNUMBER(SEARCH("bir",$B565))+ISNUMBER(SEARCH("ltfrb",$B565))+ISNUMBER(SEARCH("misc",$B565))+ISNUMBER(SEARCH("fee",$B565))&gt;0,"Overhead","Overhead")))))))</f>
        <v/>
      </c>
      <c r="J565">
        <f>IF($A565="","",DATE(YEAR($A565),MONTH($A565),1))</f>
        <v/>
      </c>
      <c r="K565">
        <f>IF($B565="","",IF(COUNTIF(Setup!$A$99:$A$128,$B565)&gt;0,0,1))</f>
        <v/>
      </c>
      <c r="L565">
        <f>IF($B565="","",IF(ISNUMBER(SEARCH("advance",$B565)),"ADV",IF(OR(ISNUMBER(SEARCH("payout",$B565)),ISNUMBER(SEARCH("pay out",$B565)),ISNUMBER(SEARCH("release",$B565))),"PAY","")))</f>
        <v/>
      </c>
      <c r="M565">
        <f>IF($B565="","",IF(ISNUMBER(SEARCH("bulk",$B565)),0,IF(ISNUMBER(SEARCH("fuel",$B565))+ISNUMBER(SEARCH("diesel",$B565))+ISNUMBER(SEARCH("krudo",$B565))+ISNUMBER(SEARCH("gasolina",$B565))&gt;0,1,0)))</f>
        <v/>
      </c>
      <c r="N565">
        <f>IF($B565="","",IF(ISNUMBER(SEARCH("fuel",$B565))+ISNUMBER(SEARCH("diesel",$B565))+ISNUMBER(SEARCH("krudo",$B565))+ISNUMBER(SEARCH("gasolina",$B565))&gt;0,1,0))</f>
        <v/>
      </c>
    </row>
    <row r="566">
      <c r="A566" s="94" t="n"/>
      <c r="B566" s="96" t="n"/>
      <c r="C566" s="96" t="n"/>
      <c r="D566" s="95" t="n"/>
      <c r="E566" s="96" t="n"/>
      <c r="F566" s="99" t="n"/>
      <c r="G566" s="95" t="n"/>
      <c r="H566" s="95" t="n"/>
      <c r="I566" s="101">
        <f>IF($B566="","",IF(COUNTIF(Setup!$A$99:$A$128,$B566)&gt;0,IF(INDEX(Setup!$B$99:$B$128,MATCH($B566,Setup!$A$99:$A$128,0))="","Overhead",INDEX(Setup!$B$99:$B$128,MATCH($B566,Setup!$A$99:$A$128,0))),IF(ISNUMBER(SEARCH("advance",$B566))+ISNUMBER(SEARCH("payout",$B566))+ISNUMBER(SEARCH("pay out",$B566))+ISNUMBER(SEARCH("reimburs",$B566))&gt;0,"Transfer",IF(ISNUMBER(SEARCH("loan",$B566))+ISNUMBER(SEARCH("amort",$B566))+ISNUMBER(SEARCH("installment",$B566))+ISNUMBER(SEARCH("instalment",$B566))&gt;0,"Financing",IF(ISNUMBER(SEARCH("draw",$B566))+ISNUMBER(SEARCH("owner",$B566))+ISNUMBER(SEARCH("asset",$B566))+ISNUMBER(SEARCH("capital",$B566))&gt;0,"Other",IF(ISNUMBER(SEARCH("fuel",$B566))+ISNUMBER(SEARCH("diesel",$B566))+ISNUMBER(SEARCH("krudo",$B566))+ISNUMBER(SEARCH("gasolina",$B566))+ISNUMBER(SEARCH("toll",$B566))+ISNUMBER(SEARCH("parking",$B566))+ISNUMBER(SEARCH("repair",$B566))+ISNUMBER(SEARCH("maintenance",$B566))+ISNUMBER(SEARCH("tire",$B566))+ISNUMBER(SEARCH("tyre",$B566))+ISNUMBER(SEARCH("battery",$B566))+ISNUMBER(SEARCH("oil",$B566))+ISNUMBER(SEARCH("filter",$B566))+ISNUMBER(SEARCH("spare",$B566))+ISNUMBER(SEARCH("insurance",$B566))+ISNUMBER(SEARCH("lto",$B566))+ISNUMBER(SEARCH("registration",$B566))+ISNUMBER(SEARCH("emission",$B566))+ISNUMBER(SEARCH("wash",$B566))+ISNUMBER(SEARCH("weigh",$B566))+ISNUMBER(SEARCH("tarp",$B566))&gt;0,"Vehicle",IF(ISNUMBER(SEARCH("rent",$B566))+ISNUMBER(SEARCH("upa",$B566))+ISNUMBER(SEARCH("salary",$B566))+ISNUMBER(SEARCH("sweldo",$B566))+ISNUMBER(SEARCH("wage",$B566))+ISNUMBER(SEARCH("electric",$B566))+ISNUMBER(SEARCH("kuryente",$B566))+ISNUMBER(SEARCH("water",$B566))+ISNUMBER(SEARCH("tubig",$B566))+ISNUMBER(SEARCH("internet",$B566))+ISNUMBER(SEARCH("pldt",$B566))+ISNUMBER(SEARCH("meralco",$B566))+ISNUMBER(SEARCH("supplies",$B566))+ISNUMBER(SEARCH("office",$B566))+ISNUMBER(SEARCH("professional",$B566))+ISNUMBER(SEARCH("accountant",$B566))+ISNUMBER(SEARCH("lawyer",$B566))+ISNUMBER(SEARCH("broker",$B566))+ISNUMBER(SEARCH("bank",$B566))+ISNUMBER(SEARCH("charge",$B566))+ISNUMBER(SEARCH("permit",$B566))+ISNUMBER(SEARCH("bir",$B566))+ISNUMBER(SEARCH("ltfrb",$B566))+ISNUMBER(SEARCH("misc",$B566))+ISNUMBER(SEARCH("fee",$B566))&gt;0,"Overhead","Overhead")))))))</f>
        <v/>
      </c>
      <c r="J566">
        <f>IF($A566="","",DATE(YEAR($A566),MONTH($A566),1))</f>
        <v/>
      </c>
      <c r="K566">
        <f>IF($B566="","",IF(COUNTIF(Setup!$A$99:$A$128,$B566)&gt;0,0,1))</f>
        <v/>
      </c>
      <c r="L566">
        <f>IF($B566="","",IF(ISNUMBER(SEARCH("advance",$B566)),"ADV",IF(OR(ISNUMBER(SEARCH("payout",$B566)),ISNUMBER(SEARCH("pay out",$B566)),ISNUMBER(SEARCH("release",$B566))),"PAY","")))</f>
        <v/>
      </c>
      <c r="M566">
        <f>IF($B566="","",IF(ISNUMBER(SEARCH("bulk",$B566)),0,IF(ISNUMBER(SEARCH("fuel",$B566))+ISNUMBER(SEARCH("diesel",$B566))+ISNUMBER(SEARCH("krudo",$B566))+ISNUMBER(SEARCH("gasolina",$B566))&gt;0,1,0)))</f>
        <v/>
      </c>
      <c r="N566">
        <f>IF($B566="","",IF(ISNUMBER(SEARCH("fuel",$B566))+ISNUMBER(SEARCH("diesel",$B566))+ISNUMBER(SEARCH("krudo",$B566))+ISNUMBER(SEARCH("gasolina",$B566))&gt;0,1,0))</f>
        <v/>
      </c>
    </row>
    <row r="567">
      <c r="A567" s="86" t="n"/>
      <c r="B567" s="88" t="n"/>
      <c r="C567" s="88" t="n"/>
      <c r="D567" s="87" t="n"/>
      <c r="E567" s="88" t="n"/>
      <c r="F567" s="92" t="n"/>
      <c r="G567" s="87" t="n"/>
      <c r="H567" s="87" t="n"/>
      <c r="I567" s="101">
        <f>IF($B567="","",IF(COUNTIF(Setup!$A$99:$A$128,$B567)&gt;0,IF(INDEX(Setup!$B$99:$B$128,MATCH($B567,Setup!$A$99:$A$128,0))="","Overhead",INDEX(Setup!$B$99:$B$128,MATCH($B567,Setup!$A$99:$A$128,0))),IF(ISNUMBER(SEARCH("advance",$B567))+ISNUMBER(SEARCH("payout",$B567))+ISNUMBER(SEARCH("pay out",$B567))+ISNUMBER(SEARCH("reimburs",$B567))&gt;0,"Transfer",IF(ISNUMBER(SEARCH("loan",$B567))+ISNUMBER(SEARCH("amort",$B567))+ISNUMBER(SEARCH("installment",$B567))+ISNUMBER(SEARCH("instalment",$B567))&gt;0,"Financing",IF(ISNUMBER(SEARCH("draw",$B567))+ISNUMBER(SEARCH("owner",$B567))+ISNUMBER(SEARCH("asset",$B567))+ISNUMBER(SEARCH("capital",$B567))&gt;0,"Other",IF(ISNUMBER(SEARCH("fuel",$B567))+ISNUMBER(SEARCH("diesel",$B567))+ISNUMBER(SEARCH("krudo",$B567))+ISNUMBER(SEARCH("gasolina",$B567))+ISNUMBER(SEARCH("toll",$B567))+ISNUMBER(SEARCH("parking",$B567))+ISNUMBER(SEARCH("repair",$B567))+ISNUMBER(SEARCH("maintenance",$B567))+ISNUMBER(SEARCH("tire",$B567))+ISNUMBER(SEARCH("tyre",$B567))+ISNUMBER(SEARCH("battery",$B567))+ISNUMBER(SEARCH("oil",$B567))+ISNUMBER(SEARCH("filter",$B567))+ISNUMBER(SEARCH("spare",$B567))+ISNUMBER(SEARCH("insurance",$B567))+ISNUMBER(SEARCH("lto",$B567))+ISNUMBER(SEARCH("registration",$B567))+ISNUMBER(SEARCH("emission",$B567))+ISNUMBER(SEARCH("wash",$B567))+ISNUMBER(SEARCH("weigh",$B567))+ISNUMBER(SEARCH("tarp",$B567))&gt;0,"Vehicle",IF(ISNUMBER(SEARCH("rent",$B567))+ISNUMBER(SEARCH("upa",$B567))+ISNUMBER(SEARCH("salary",$B567))+ISNUMBER(SEARCH("sweldo",$B567))+ISNUMBER(SEARCH("wage",$B567))+ISNUMBER(SEARCH("electric",$B567))+ISNUMBER(SEARCH("kuryente",$B567))+ISNUMBER(SEARCH("water",$B567))+ISNUMBER(SEARCH("tubig",$B567))+ISNUMBER(SEARCH("internet",$B567))+ISNUMBER(SEARCH("pldt",$B567))+ISNUMBER(SEARCH("meralco",$B567))+ISNUMBER(SEARCH("supplies",$B567))+ISNUMBER(SEARCH("office",$B567))+ISNUMBER(SEARCH("professional",$B567))+ISNUMBER(SEARCH("accountant",$B567))+ISNUMBER(SEARCH("lawyer",$B567))+ISNUMBER(SEARCH("broker",$B567))+ISNUMBER(SEARCH("bank",$B567))+ISNUMBER(SEARCH("charge",$B567))+ISNUMBER(SEARCH("permit",$B567))+ISNUMBER(SEARCH("bir",$B567))+ISNUMBER(SEARCH("ltfrb",$B567))+ISNUMBER(SEARCH("misc",$B567))+ISNUMBER(SEARCH("fee",$B567))&gt;0,"Overhead","Overhead")))))))</f>
        <v/>
      </c>
      <c r="J567">
        <f>IF($A567="","",DATE(YEAR($A567),MONTH($A567),1))</f>
        <v/>
      </c>
      <c r="K567">
        <f>IF($B567="","",IF(COUNTIF(Setup!$A$99:$A$128,$B567)&gt;0,0,1))</f>
        <v/>
      </c>
      <c r="L567">
        <f>IF($B567="","",IF(ISNUMBER(SEARCH("advance",$B567)),"ADV",IF(OR(ISNUMBER(SEARCH("payout",$B567)),ISNUMBER(SEARCH("pay out",$B567)),ISNUMBER(SEARCH("release",$B567))),"PAY","")))</f>
        <v/>
      </c>
      <c r="M567">
        <f>IF($B567="","",IF(ISNUMBER(SEARCH("bulk",$B567)),0,IF(ISNUMBER(SEARCH("fuel",$B567))+ISNUMBER(SEARCH("diesel",$B567))+ISNUMBER(SEARCH("krudo",$B567))+ISNUMBER(SEARCH("gasolina",$B567))&gt;0,1,0)))</f>
        <v/>
      </c>
      <c r="N567">
        <f>IF($B567="","",IF(ISNUMBER(SEARCH("fuel",$B567))+ISNUMBER(SEARCH("diesel",$B567))+ISNUMBER(SEARCH("krudo",$B567))+ISNUMBER(SEARCH("gasolina",$B567))&gt;0,1,0))</f>
        <v/>
      </c>
    </row>
    <row r="568">
      <c r="A568" s="94" t="n"/>
      <c r="B568" s="96" t="n"/>
      <c r="C568" s="96" t="n"/>
      <c r="D568" s="95" t="n"/>
      <c r="E568" s="96" t="n"/>
      <c r="F568" s="99" t="n"/>
      <c r="G568" s="95" t="n"/>
      <c r="H568" s="95" t="n"/>
      <c r="I568" s="101">
        <f>IF($B568="","",IF(COUNTIF(Setup!$A$99:$A$128,$B568)&gt;0,IF(INDEX(Setup!$B$99:$B$128,MATCH($B568,Setup!$A$99:$A$128,0))="","Overhead",INDEX(Setup!$B$99:$B$128,MATCH($B568,Setup!$A$99:$A$128,0))),IF(ISNUMBER(SEARCH("advance",$B568))+ISNUMBER(SEARCH("payout",$B568))+ISNUMBER(SEARCH("pay out",$B568))+ISNUMBER(SEARCH("reimburs",$B568))&gt;0,"Transfer",IF(ISNUMBER(SEARCH("loan",$B568))+ISNUMBER(SEARCH("amort",$B568))+ISNUMBER(SEARCH("installment",$B568))+ISNUMBER(SEARCH("instalment",$B568))&gt;0,"Financing",IF(ISNUMBER(SEARCH("draw",$B568))+ISNUMBER(SEARCH("owner",$B568))+ISNUMBER(SEARCH("asset",$B568))+ISNUMBER(SEARCH("capital",$B568))&gt;0,"Other",IF(ISNUMBER(SEARCH("fuel",$B568))+ISNUMBER(SEARCH("diesel",$B568))+ISNUMBER(SEARCH("krudo",$B568))+ISNUMBER(SEARCH("gasolina",$B568))+ISNUMBER(SEARCH("toll",$B568))+ISNUMBER(SEARCH("parking",$B568))+ISNUMBER(SEARCH("repair",$B568))+ISNUMBER(SEARCH("maintenance",$B568))+ISNUMBER(SEARCH("tire",$B568))+ISNUMBER(SEARCH("tyre",$B568))+ISNUMBER(SEARCH("battery",$B568))+ISNUMBER(SEARCH("oil",$B568))+ISNUMBER(SEARCH("filter",$B568))+ISNUMBER(SEARCH("spare",$B568))+ISNUMBER(SEARCH("insurance",$B568))+ISNUMBER(SEARCH("lto",$B568))+ISNUMBER(SEARCH("registration",$B568))+ISNUMBER(SEARCH("emission",$B568))+ISNUMBER(SEARCH("wash",$B568))+ISNUMBER(SEARCH("weigh",$B568))+ISNUMBER(SEARCH("tarp",$B568))&gt;0,"Vehicle",IF(ISNUMBER(SEARCH("rent",$B568))+ISNUMBER(SEARCH("upa",$B568))+ISNUMBER(SEARCH("salary",$B568))+ISNUMBER(SEARCH("sweldo",$B568))+ISNUMBER(SEARCH("wage",$B568))+ISNUMBER(SEARCH("electric",$B568))+ISNUMBER(SEARCH("kuryente",$B568))+ISNUMBER(SEARCH("water",$B568))+ISNUMBER(SEARCH("tubig",$B568))+ISNUMBER(SEARCH("internet",$B568))+ISNUMBER(SEARCH("pldt",$B568))+ISNUMBER(SEARCH("meralco",$B568))+ISNUMBER(SEARCH("supplies",$B568))+ISNUMBER(SEARCH("office",$B568))+ISNUMBER(SEARCH("professional",$B568))+ISNUMBER(SEARCH("accountant",$B568))+ISNUMBER(SEARCH("lawyer",$B568))+ISNUMBER(SEARCH("broker",$B568))+ISNUMBER(SEARCH("bank",$B568))+ISNUMBER(SEARCH("charge",$B568))+ISNUMBER(SEARCH("permit",$B568))+ISNUMBER(SEARCH("bir",$B568))+ISNUMBER(SEARCH("ltfrb",$B568))+ISNUMBER(SEARCH("misc",$B568))+ISNUMBER(SEARCH("fee",$B568))&gt;0,"Overhead","Overhead")))))))</f>
        <v/>
      </c>
      <c r="J568">
        <f>IF($A568="","",DATE(YEAR($A568),MONTH($A568),1))</f>
        <v/>
      </c>
      <c r="K568">
        <f>IF($B568="","",IF(COUNTIF(Setup!$A$99:$A$128,$B568)&gt;0,0,1))</f>
        <v/>
      </c>
      <c r="L568">
        <f>IF($B568="","",IF(ISNUMBER(SEARCH("advance",$B568)),"ADV",IF(OR(ISNUMBER(SEARCH("payout",$B568)),ISNUMBER(SEARCH("pay out",$B568)),ISNUMBER(SEARCH("release",$B568))),"PAY","")))</f>
        <v/>
      </c>
      <c r="M568">
        <f>IF($B568="","",IF(ISNUMBER(SEARCH("bulk",$B568)),0,IF(ISNUMBER(SEARCH("fuel",$B568))+ISNUMBER(SEARCH("diesel",$B568))+ISNUMBER(SEARCH("krudo",$B568))+ISNUMBER(SEARCH("gasolina",$B568))&gt;0,1,0)))</f>
        <v/>
      </c>
      <c r="N568">
        <f>IF($B568="","",IF(ISNUMBER(SEARCH("fuel",$B568))+ISNUMBER(SEARCH("diesel",$B568))+ISNUMBER(SEARCH("krudo",$B568))+ISNUMBER(SEARCH("gasolina",$B568))&gt;0,1,0))</f>
        <v/>
      </c>
    </row>
    <row r="569">
      <c r="A569" s="86" t="n"/>
      <c r="B569" s="88" t="n"/>
      <c r="C569" s="88" t="n"/>
      <c r="D569" s="87" t="n"/>
      <c r="E569" s="88" t="n"/>
      <c r="F569" s="92" t="n"/>
      <c r="G569" s="87" t="n"/>
      <c r="H569" s="87" t="n"/>
      <c r="I569" s="101">
        <f>IF($B569="","",IF(COUNTIF(Setup!$A$99:$A$128,$B569)&gt;0,IF(INDEX(Setup!$B$99:$B$128,MATCH($B569,Setup!$A$99:$A$128,0))="","Overhead",INDEX(Setup!$B$99:$B$128,MATCH($B569,Setup!$A$99:$A$128,0))),IF(ISNUMBER(SEARCH("advance",$B569))+ISNUMBER(SEARCH("payout",$B569))+ISNUMBER(SEARCH("pay out",$B569))+ISNUMBER(SEARCH("reimburs",$B569))&gt;0,"Transfer",IF(ISNUMBER(SEARCH("loan",$B569))+ISNUMBER(SEARCH("amort",$B569))+ISNUMBER(SEARCH("installment",$B569))+ISNUMBER(SEARCH("instalment",$B569))&gt;0,"Financing",IF(ISNUMBER(SEARCH("draw",$B569))+ISNUMBER(SEARCH("owner",$B569))+ISNUMBER(SEARCH("asset",$B569))+ISNUMBER(SEARCH("capital",$B569))&gt;0,"Other",IF(ISNUMBER(SEARCH("fuel",$B569))+ISNUMBER(SEARCH("diesel",$B569))+ISNUMBER(SEARCH("krudo",$B569))+ISNUMBER(SEARCH("gasolina",$B569))+ISNUMBER(SEARCH("toll",$B569))+ISNUMBER(SEARCH("parking",$B569))+ISNUMBER(SEARCH("repair",$B569))+ISNUMBER(SEARCH("maintenance",$B569))+ISNUMBER(SEARCH("tire",$B569))+ISNUMBER(SEARCH("tyre",$B569))+ISNUMBER(SEARCH("battery",$B569))+ISNUMBER(SEARCH("oil",$B569))+ISNUMBER(SEARCH("filter",$B569))+ISNUMBER(SEARCH("spare",$B569))+ISNUMBER(SEARCH("insurance",$B569))+ISNUMBER(SEARCH("lto",$B569))+ISNUMBER(SEARCH("registration",$B569))+ISNUMBER(SEARCH("emission",$B569))+ISNUMBER(SEARCH("wash",$B569))+ISNUMBER(SEARCH("weigh",$B569))+ISNUMBER(SEARCH("tarp",$B569))&gt;0,"Vehicle",IF(ISNUMBER(SEARCH("rent",$B569))+ISNUMBER(SEARCH("upa",$B569))+ISNUMBER(SEARCH("salary",$B569))+ISNUMBER(SEARCH("sweldo",$B569))+ISNUMBER(SEARCH("wage",$B569))+ISNUMBER(SEARCH("electric",$B569))+ISNUMBER(SEARCH("kuryente",$B569))+ISNUMBER(SEARCH("water",$B569))+ISNUMBER(SEARCH("tubig",$B569))+ISNUMBER(SEARCH("internet",$B569))+ISNUMBER(SEARCH("pldt",$B569))+ISNUMBER(SEARCH("meralco",$B569))+ISNUMBER(SEARCH("supplies",$B569))+ISNUMBER(SEARCH("office",$B569))+ISNUMBER(SEARCH("professional",$B569))+ISNUMBER(SEARCH("accountant",$B569))+ISNUMBER(SEARCH("lawyer",$B569))+ISNUMBER(SEARCH("broker",$B569))+ISNUMBER(SEARCH("bank",$B569))+ISNUMBER(SEARCH("charge",$B569))+ISNUMBER(SEARCH("permit",$B569))+ISNUMBER(SEARCH("bir",$B569))+ISNUMBER(SEARCH("ltfrb",$B569))+ISNUMBER(SEARCH("misc",$B569))+ISNUMBER(SEARCH("fee",$B569))&gt;0,"Overhead","Overhead")))))))</f>
        <v/>
      </c>
      <c r="J569">
        <f>IF($A569="","",DATE(YEAR($A569),MONTH($A569),1))</f>
        <v/>
      </c>
      <c r="K569">
        <f>IF($B569="","",IF(COUNTIF(Setup!$A$99:$A$128,$B569)&gt;0,0,1))</f>
        <v/>
      </c>
      <c r="L569">
        <f>IF($B569="","",IF(ISNUMBER(SEARCH("advance",$B569)),"ADV",IF(OR(ISNUMBER(SEARCH("payout",$B569)),ISNUMBER(SEARCH("pay out",$B569)),ISNUMBER(SEARCH("release",$B569))),"PAY","")))</f>
        <v/>
      </c>
      <c r="M569">
        <f>IF($B569="","",IF(ISNUMBER(SEARCH("bulk",$B569)),0,IF(ISNUMBER(SEARCH("fuel",$B569))+ISNUMBER(SEARCH("diesel",$B569))+ISNUMBER(SEARCH("krudo",$B569))+ISNUMBER(SEARCH("gasolina",$B569))&gt;0,1,0)))</f>
        <v/>
      </c>
      <c r="N569">
        <f>IF($B569="","",IF(ISNUMBER(SEARCH("fuel",$B569))+ISNUMBER(SEARCH("diesel",$B569))+ISNUMBER(SEARCH("krudo",$B569))+ISNUMBER(SEARCH("gasolina",$B569))&gt;0,1,0))</f>
        <v/>
      </c>
    </row>
    <row r="570">
      <c r="A570" s="94" t="n"/>
      <c r="B570" s="96" t="n"/>
      <c r="C570" s="96" t="n"/>
      <c r="D570" s="95" t="n"/>
      <c r="E570" s="96" t="n"/>
      <c r="F570" s="99" t="n"/>
      <c r="G570" s="95" t="n"/>
      <c r="H570" s="95" t="n"/>
      <c r="I570" s="101">
        <f>IF($B570="","",IF(COUNTIF(Setup!$A$99:$A$128,$B570)&gt;0,IF(INDEX(Setup!$B$99:$B$128,MATCH($B570,Setup!$A$99:$A$128,0))="","Overhead",INDEX(Setup!$B$99:$B$128,MATCH($B570,Setup!$A$99:$A$128,0))),IF(ISNUMBER(SEARCH("advance",$B570))+ISNUMBER(SEARCH("payout",$B570))+ISNUMBER(SEARCH("pay out",$B570))+ISNUMBER(SEARCH("reimburs",$B570))&gt;0,"Transfer",IF(ISNUMBER(SEARCH("loan",$B570))+ISNUMBER(SEARCH("amort",$B570))+ISNUMBER(SEARCH("installment",$B570))+ISNUMBER(SEARCH("instalment",$B570))&gt;0,"Financing",IF(ISNUMBER(SEARCH("draw",$B570))+ISNUMBER(SEARCH("owner",$B570))+ISNUMBER(SEARCH("asset",$B570))+ISNUMBER(SEARCH("capital",$B570))&gt;0,"Other",IF(ISNUMBER(SEARCH("fuel",$B570))+ISNUMBER(SEARCH("diesel",$B570))+ISNUMBER(SEARCH("krudo",$B570))+ISNUMBER(SEARCH("gasolina",$B570))+ISNUMBER(SEARCH("toll",$B570))+ISNUMBER(SEARCH("parking",$B570))+ISNUMBER(SEARCH("repair",$B570))+ISNUMBER(SEARCH("maintenance",$B570))+ISNUMBER(SEARCH("tire",$B570))+ISNUMBER(SEARCH("tyre",$B570))+ISNUMBER(SEARCH("battery",$B570))+ISNUMBER(SEARCH("oil",$B570))+ISNUMBER(SEARCH("filter",$B570))+ISNUMBER(SEARCH("spare",$B570))+ISNUMBER(SEARCH("insurance",$B570))+ISNUMBER(SEARCH("lto",$B570))+ISNUMBER(SEARCH("registration",$B570))+ISNUMBER(SEARCH("emission",$B570))+ISNUMBER(SEARCH("wash",$B570))+ISNUMBER(SEARCH("weigh",$B570))+ISNUMBER(SEARCH("tarp",$B570))&gt;0,"Vehicle",IF(ISNUMBER(SEARCH("rent",$B570))+ISNUMBER(SEARCH("upa",$B570))+ISNUMBER(SEARCH("salary",$B570))+ISNUMBER(SEARCH("sweldo",$B570))+ISNUMBER(SEARCH("wage",$B570))+ISNUMBER(SEARCH("electric",$B570))+ISNUMBER(SEARCH("kuryente",$B570))+ISNUMBER(SEARCH("water",$B570))+ISNUMBER(SEARCH("tubig",$B570))+ISNUMBER(SEARCH("internet",$B570))+ISNUMBER(SEARCH("pldt",$B570))+ISNUMBER(SEARCH("meralco",$B570))+ISNUMBER(SEARCH("supplies",$B570))+ISNUMBER(SEARCH("office",$B570))+ISNUMBER(SEARCH("professional",$B570))+ISNUMBER(SEARCH("accountant",$B570))+ISNUMBER(SEARCH("lawyer",$B570))+ISNUMBER(SEARCH("broker",$B570))+ISNUMBER(SEARCH("bank",$B570))+ISNUMBER(SEARCH("charge",$B570))+ISNUMBER(SEARCH("permit",$B570))+ISNUMBER(SEARCH("bir",$B570))+ISNUMBER(SEARCH("ltfrb",$B570))+ISNUMBER(SEARCH("misc",$B570))+ISNUMBER(SEARCH("fee",$B570))&gt;0,"Overhead","Overhead")))))))</f>
        <v/>
      </c>
      <c r="J570">
        <f>IF($A570="","",DATE(YEAR($A570),MONTH($A570),1))</f>
        <v/>
      </c>
      <c r="K570">
        <f>IF($B570="","",IF(COUNTIF(Setup!$A$99:$A$128,$B570)&gt;0,0,1))</f>
        <v/>
      </c>
      <c r="L570">
        <f>IF($B570="","",IF(ISNUMBER(SEARCH("advance",$B570)),"ADV",IF(OR(ISNUMBER(SEARCH("payout",$B570)),ISNUMBER(SEARCH("pay out",$B570)),ISNUMBER(SEARCH("release",$B570))),"PAY","")))</f>
        <v/>
      </c>
      <c r="M570">
        <f>IF($B570="","",IF(ISNUMBER(SEARCH("bulk",$B570)),0,IF(ISNUMBER(SEARCH("fuel",$B570))+ISNUMBER(SEARCH("diesel",$B570))+ISNUMBER(SEARCH("krudo",$B570))+ISNUMBER(SEARCH("gasolina",$B570))&gt;0,1,0)))</f>
        <v/>
      </c>
      <c r="N570">
        <f>IF($B570="","",IF(ISNUMBER(SEARCH("fuel",$B570))+ISNUMBER(SEARCH("diesel",$B570))+ISNUMBER(SEARCH("krudo",$B570))+ISNUMBER(SEARCH("gasolina",$B570))&gt;0,1,0))</f>
        <v/>
      </c>
    </row>
    <row r="571">
      <c r="A571" s="86" t="n"/>
      <c r="B571" s="88" t="n"/>
      <c r="C571" s="88" t="n"/>
      <c r="D571" s="87" t="n"/>
      <c r="E571" s="88" t="n"/>
      <c r="F571" s="92" t="n"/>
      <c r="G571" s="87" t="n"/>
      <c r="H571" s="87" t="n"/>
      <c r="I571" s="101">
        <f>IF($B571="","",IF(COUNTIF(Setup!$A$99:$A$128,$B571)&gt;0,IF(INDEX(Setup!$B$99:$B$128,MATCH($B571,Setup!$A$99:$A$128,0))="","Overhead",INDEX(Setup!$B$99:$B$128,MATCH($B571,Setup!$A$99:$A$128,0))),IF(ISNUMBER(SEARCH("advance",$B571))+ISNUMBER(SEARCH("payout",$B571))+ISNUMBER(SEARCH("pay out",$B571))+ISNUMBER(SEARCH("reimburs",$B571))&gt;0,"Transfer",IF(ISNUMBER(SEARCH("loan",$B571))+ISNUMBER(SEARCH("amort",$B571))+ISNUMBER(SEARCH("installment",$B571))+ISNUMBER(SEARCH("instalment",$B571))&gt;0,"Financing",IF(ISNUMBER(SEARCH("draw",$B571))+ISNUMBER(SEARCH("owner",$B571))+ISNUMBER(SEARCH("asset",$B571))+ISNUMBER(SEARCH("capital",$B571))&gt;0,"Other",IF(ISNUMBER(SEARCH("fuel",$B571))+ISNUMBER(SEARCH("diesel",$B571))+ISNUMBER(SEARCH("krudo",$B571))+ISNUMBER(SEARCH("gasolina",$B571))+ISNUMBER(SEARCH("toll",$B571))+ISNUMBER(SEARCH("parking",$B571))+ISNUMBER(SEARCH("repair",$B571))+ISNUMBER(SEARCH("maintenance",$B571))+ISNUMBER(SEARCH("tire",$B571))+ISNUMBER(SEARCH("tyre",$B571))+ISNUMBER(SEARCH("battery",$B571))+ISNUMBER(SEARCH("oil",$B571))+ISNUMBER(SEARCH("filter",$B571))+ISNUMBER(SEARCH("spare",$B571))+ISNUMBER(SEARCH("insurance",$B571))+ISNUMBER(SEARCH("lto",$B571))+ISNUMBER(SEARCH("registration",$B571))+ISNUMBER(SEARCH("emission",$B571))+ISNUMBER(SEARCH("wash",$B571))+ISNUMBER(SEARCH("weigh",$B571))+ISNUMBER(SEARCH("tarp",$B571))&gt;0,"Vehicle",IF(ISNUMBER(SEARCH("rent",$B571))+ISNUMBER(SEARCH("upa",$B571))+ISNUMBER(SEARCH("salary",$B571))+ISNUMBER(SEARCH("sweldo",$B571))+ISNUMBER(SEARCH("wage",$B571))+ISNUMBER(SEARCH("electric",$B571))+ISNUMBER(SEARCH("kuryente",$B571))+ISNUMBER(SEARCH("water",$B571))+ISNUMBER(SEARCH("tubig",$B571))+ISNUMBER(SEARCH("internet",$B571))+ISNUMBER(SEARCH("pldt",$B571))+ISNUMBER(SEARCH("meralco",$B571))+ISNUMBER(SEARCH("supplies",$B571))+ISNUMBER(SEARCH("office",$B571))+ISNUMBER(SEARCH("professional",$B571))+ISNUMBER(SEARCH("accountant",$B571))+ISNUMBER(SEARCH("lawyer",$B571))+ISNUMBER(SEARCH("broker",$B571))+ISNUMBER(SEARCH("bank",$B571))+ISNUMBER(SEARCH("charge",$B571))+ISNUMBER(SEARCH("permit",$B571))+ISNUMBER(SEARCH("bir",$B571))+ISNUMBER(SEARCH("ltfrb",$B571))+ISNUMBER(SEARCH("misc",$B571))+ISNUMBER(SEARCH("fee",$B571))&gt;0,"Overhead","Overhead")))))))</f>
        <v/>
      </c>
      <c r="J571">
        <f>IF($A571="","",DATE(YEAR($A571),MONTH($A571),1))</f>
        <v/>
      </c>
      <c r="K571">
        <f>IF($B571="","",IF(COUNTIF(Setup!$A$99:$A$128,$B571)&gt;0,0,1))</f>
        <v/>
      </c>
      <c r="L571">
        <f>IF($B571="","",IF(ISNUMBER(SEARCH("advance",$B571)),"ADV",IF(OR(ISNUMBER(SEARCH("payout",$B571)),ISNUMBER(SEARCH("pay out",$B571)),ISNUMBER(SEARCH("release",$B571))),"PAY","")))</f>
        <v/>
      </c>
      <c r="M571">
        <f>IF($B571="","",IF(ISNUMBER(SEARCH("bulk",$B571)),0,IF(ISNUMBER(SEARCH("fuel",$B571))+ISNUMBER(SEARCH("diesel",$B571))+ISNUMBER(SEARCH("krudo",$B571))+ISNUMBER(SEARCH("gasolina",$B571))&gt;0,1,0)))</f>
        <v/>
      </c>
      <c r="N571">
        <f>IF($B571="","",IF(ISNUMBER(SEARCH("fuel",$B571))+ISNUMBER(SEARCH("diesel",$B571))+ISNUMBER(SEARCH("krudo",$B571))+ISNUMBER(SEARCH("gasolina",$B571))&gt;0,1,0))</f>
        <v/>
      </c>
    </row>
    <row r="572">
      <c r="A572" s="94" t="n"/>
      <c r="B572" s="96" t="n"/>
      <c r="C572" s="96" t="n"/>
      <c r="D572" s="95" t="n"/>
      <c r="E572" s="96" t="n"/>
      <c r="F572" s="99" t="n"/>
      <c r="G572" s="95" t="n"/>
      <c r="H572" s="95" t="n"/>
      <c r="I572" s="101">
        <f>IF($B572="","",IF(COUNTIF(Setup!$A$99:$A$128,$B572)&gt;0,IF(INDEX(Setup!$B$99:$B$128,MATCH($B572,Setup!$A$99:$A$128,0))="","Overhead",INDEX(Setup!$B$99:$B$128,MATCH($B572,Setup!$A$99:$A$128,0))),IF(ISNUMBER(SEARCH("advance",$B572))+ISNUMBER(SEARCH("payout",$B572))+ISNUMBER(SEARCH("pay out",$B572))+ISNUMBER(SEARCH("reimburs",$B572))&gt;0,"Transfer",IF(ISNUMBER(SEARCH("loan",$B572))+ISNUMBER(SEARCH("amort",$B572))+ISNUMBER(SEARCH("installment",$B572))+ISNUMBER(SEARCH("instalment",$B572))&gt;0,"Financing",IF(ISNUMBER(SEARCH("draw",$B572))+ISNUMBER(SEARCH("owner",$B572))+ISNUMBER(SEARCH("asset",$B572))+ISNUMBER(SEARCH("capital",$B572))&gt;0,"Other",IF(ISNUMBER(SEARCH("fuel",$B572))+ISNUMBER(SEARCH("diesel",$B572))+ISNUMBER(SEARCH("krudo",$B572))+ISNUMBER(SEARCH("gasolina",$B572))+ISNUMBER(SEARCH("toll",$B572))+ISNUMBER(SEARCH("parking",$B572))+ISNUMBER(SEARCH("repair",$B572))+ISNUMBER(SEARCH("maintenance",$B572))+ISNUMBER(SEARCH("tire",$B572))+ISNUMBER(SEARCH("tyre",$B572))+ISNUMBER(SEARCH("battery",$B572))+ISNUMBER(SEARCH("oil",$B572))+ISNUMBER(SEARCH("filter",$B572))+ISNUMBER(SEARCH("spare",$B572))+ISNUMBER(SEARCH("insurance",$B572))+ISNUMBER(SEARCH("lto",$B572))+ISNUMBER(SEARCH("registration",$B572))+ISNUMBER(SEARCH("emission",$B572))+ISNUMBER(SEARCH("wash",$B572))+ISNUMBER(SEARCH("weigh",$B572))+ISNUMBER(SEARCH("tarp",$B572))&gt;0,"Vehicle",IF(ISNUMBER(SEARCH("rent",$B572))+ISNUMBER(SEARCH("upa",$B572))+ISNUMBER(SEARCH("salary",$B572))+ISNUMBER(SEARCH("sweldo",$B572))+ISNUMBER(SEARCH("wage",$B572))+ISNUMBER(SEARCH("electric",$B572))+ISNUMBER(SEARCH("kuryente",$B572))+ISNUMBER(SEARCH("water",$B572))+ISNUMBER(SEARCH("tubig",$B572))+ISNUMBER(SEARCH("internet",$B572))+ISNUMBER(SEARCH("pldt",$B572))+ISNUMBER(SEARCH("meralco",$B572))+ISNUMBER(SEARCH("supplies",$B572))+ISNUMBER(SEARCH("office",$B572))+ISNUMBER(SEARCH("professional",$B572))+ISNUMBER(SEARCH("accountant",$B572))+ISNUMBER(SEARCH("lawyer",$B572))+ISNUMBER(SEARCH("broker",$B572))+ISNUMBER(SEARCH("bank",$B572))+ISNUMBER(SEARCH("charge",$B572))+ISNUMBER(SEARCH("permit",$B572))+ISNUMBER(SEARCH("bir",$B572))+ISNUMBER(SEARCH("ltfrb",$B572))+ISNUMBER(SEARCH("misc",$B572))+ISNUMBER(SEARCH("fee",$B572))&gt;0,"Overhead","Overhead")))))))</f>
        <v/>
      </c>
      <c r="J572">
        <f>IF($A572="","",DATE(YEAR($A572),MONTH($A572),1))</f>
        <v/>
      </c>
      <c r="K572">
        <f>IF($B572="","",IF(COUNTIF(Setup!$A$99:$A$128,$B572)&gt;0,0,1))</f>
        <v/>
      </c>
      <c r="L572">
        <f>IF($B572="","",IF(ISNUMBER(SEARCH("advance",$B572)),"ADV",IF(OR(ISNUMBER(SEARCH("payout",$B572)),ISNUMBER(SEARCH("pay out",$B572)),ISNUMBER(SEARCH("release",$B572))),"PAY","")))</f>
        <v/>
      </c>
      <c r="M572">
        <f>IF($B572="","",IF(ISNUMBER(SEARCH("bulk",$B572)),0,IF(ISNUMBER(SEARCH("fuel",$B572))+ISNUMBER(SEARCH("diesel",$B572))+ISNUMBER(SEARCH("krudo",$B572))+ISNUMBER(SEARCH("gasolina",$B572))&gt;0,1,0)))</f>
        <v/>
      </c>
      <c r="N572">
        <f>IF($B572="","",IF(ISNUMBER(SEARCH("fuel",$B572))+ISNUMBER(SEARCH("diesel",$B572))+ISNUMBER(SEARCH("krudo",$B572))+ISNUMBER(SEARCH("gasolina",$B572))&gt;0,1,0))</f>
        <v/>
      </c>
    </row>
    <row r="573">
      <c r="A573" s="86" t="n"/>
      <c r="B573" s="88" t="n"/>
      <c r="C573" s="88" t="n"/>
      <c r="D573" s="87" t="n"/>
      <c r="E573" s="88" t="n"/>
      <c r="F573" s="92" t="n"/>
      <c r="G573" s="87" t="n"/>
      <c r="H573" s="87" t="n"/>
      <c r="I573" s="101">
        <f>IF($B573="","",IF(COUNTIF(Setup!$A$99:$A$128,$B573)&gt;0,IF(INDEX(Setup!$B$99:$B$128,MATCH($B573,Setup!$A$99:$A$128,0))="","Overhead",INDEX(Setup!$B$99:$B$128,MATCH($B573,Setup!$A$99:$A$128,0))),IF(ISNUMBER(SEARCH("advance",$B573))+ISNUMBER(SEARCH("payout",$B573))+ISNUMBER(SEARCH("pay out",$B573))+ISNUMBER(SEARCH("reimburs",$B573))&gt;0,"Transfer",IF(ISNUMBER(SEARCH("loan",$B573))+ISNUMBER(SEARCH("amort",$B573))+ISNUMBER(SEARCH("installment",$B573))+ISNUMBER(SEARCH("instalment",$B573))&gt;0,"Financing",IF(ISNUMBER(SEARCH("draw",$B573))+ISNUMBER(SEARCH("owner",$B573))+ISNUMBER(SEARCH("asset",$B573))+ISNUMBER(SEARCH("capital",$B573))&gt;0,"Other",IF(ISNUMBER(SEARCH("fuel",$B573))+ISNUMBER(SEARCH("diesel",$B573))+ISNUMBER(SEARCH("krudo",$B573))+ISNUMBER(SEARCH("gasolina",$B573))+ISNUMBER(SEARCH("toll",$B573))+ISNUMBER(SEARCH("parking",$B573))+ISNUMBER(SEARCH("repair",$B573))+ISNUMBER(SEARCH("maintenance",$B573))+ISNUMBER(SEARCH("tire",$B573))+ISNUMBER(SEARCH("tyre",$B573))+ISNUMBER(SEARCH("battery",$B573))+ISNUMBER(SEARCH("oil",$B573))+ISNUMBER(SEARCH("filter",$B573))+ISNUMBER(SEARCH("spare",$B573))+ISNUMBER(SEARCH("insurance",$B573))+ISNUMBER(SEARCH("lto",$B573))+ISNUMBER(SEARCH("registration",$B573))+ISNUMBER(SEARCH("emission",$B573))+ISNUMBER(SEARCH("wash",$B573))+ISNUMBER(SEARCH("weigh",$B573))+ISNUMBER(SEARCH("tarp",$B573))&gt;0,"Vehicle",IF(ISNUMBER(SEARCH("rent",$B573))+ISNUMBER(SEARCH("upa",$B573))+ISNUMBER(SEARCH("salary",$B573))+ISNUMBER(SEARCH("sweldo",$B573))+ISNUMBER(SEARCH("wage",$B573))+ISNUMBER(SEARCH("electric",$B573))+ISNUMBER(SEARCH("kuryente",$B573))+ISNUMBER(SEARCH("water",$B573))+ISNUMBER(SEARCH("tubig",$B573))+ISNUMBER(SEARCH("internet",$B573))+ISNUMBER(SEARCH("pldt",$B573))+ISNUMBER(SEARCH("meralco",$B573))+ISNUMBER(SEARCH("supplies",$B573))+ISNUMBER(SEARCH("office",$B573))+ISNUMBER(SEARCH("professional",$B573))+ISNUMBER(SEARCH("accountant",$B573))+ISNUMBER(SEARCH("lawyer",$B573))+ISNUMBER(SEARCH("broker",$B573))+ISNUMBER(SEARCH("bank",$B573))+ISNUMBER(SEARCH("charge",$B573))+ISNUMBER(SEARCH("permit",$B573))+ISNUMBER(SEARCH("bir",$B573))+ISNUMBER(SEARCH("ltfrb",$B573))+ISNUMBER(SEARCH("misc",$B573))+ISNUMBER(SEARCH("fee",$B573))&gt;0,"Overhead","Overhead")))))))</f>
        <v/>
      </c>
      <c r="J573">
        <f>IF($A573="","",DATE(YEAR($A573),MONTH($A573),1))</f>
        <v/>
      </c>
      <c r="K573">
        <f>IF($B573="","",IF(COUNTIF(Setup!$A$99:$A$128,$B573)&gt;0,0,1))</f>
        <v/>
      </c>
      <c r="L573">
        <f>IF($B573="","",IF(ISNUMBER(SEARCH("advance",$B573)),"ADV",IF(OR(ISNUMBER(SEARCH("payout",$B573)),ISNUMBER(SEARCH("pay out",$B573)),ISNUMBER(SEARCH("release",$B573))),"PAY","")))</f>
        <v/>
      </c>
      <c r="M573">
        <f>IF($B573="","",IF(ISNUMBER(SEARCH("bulk",$B573)),0,IF(ISNUMBER(SEARCH("fuel",$B573))+ISNUMBER(SEARCH("diesel",$B573))+ISNUMBER(SEARCH("krudo",$B573))+ISNUMBER(SEARCH("gasolina",$B573))&gt;0,1,0)))</f>
        <v/>
      </c>
      <c r="N573">
        <f>IF($B573="","",IF(ISNUMBER(SEARCH("fuel",$B573))+ISNUMBER(SEARCH("diesel",$B573))+ISNUMBER(SEARCH("krudo",$B573))+ISNUMBER(SEARCH("gasolina",$B573))&gt;0,1,0))</f>
        <v/>
      </c>
    </row>
    <row r="574">
      <c r="A574" s="94" t="n"/>
      <c r="B574" s="96" t="n"/>
      <c r="C574" s="96" t="n"/>
      <c r="D574" s="95" t="n"/>
      <c r="E574" s="96" t="n"/>
      <c r="F574" s="99" t="n"/>
      <c r="G574" s="95" t="n"/>
      <c r="H574" s="95" t="n"/>
      <c r="I574" s="101">
        <f>IF($B574="","",IF(COUNTIF(Setup!$A$99:$A$128,$B574)&gt;0,IF(INDEX(Setup!$B$99:$B$128,MATCH($B574,Setup!$A$99:$A$128,0))="","Overhead",INDEX(Setup!$B$99:$B$128,MATCH($B574,Setup!$A$99:$A$128,0))),IF(ISNUMBER(SEARCH("advance",$B574))+ISNUMBER(SEARCH("payout",$B574))+ISNUMBER(SEARCH("pay out",$B574))+ISNUMBER(SEARCH("reimburs",$B574))&gt;0,"Transfer",IF(ISNUMBER(SEARCH("loan",$B574))+ISNUMBER(SEARCH("amort",$B574))+ISNUMBER(SEARCH("installment",$B574))+ISNUMBER(SEARCH("instalment",$B574))&gt;0,"Financing",IF(ISNUMBER(SEARCH("draw",$B574))+ISNUMBER(SEARCH("owner",$B574))+ISNUMBER(SEARCH("asset",$B574))+ISNUMBER(SEARCH("capital",$B574))&gt;0,"Other",IF(ISNUMBER(SEARCH("fuel",$B574))+ISNUMBER(SEARCH("diesel",$B574))+ISNUMBER(SEARCH("krudo",$B574))+ISNUMBER(SEARCH("gasolina",$B574))+ISNUMBER(SEARCH("toll",$B574))+ISNUMBER(SEARCH("parking",$B574))+ISNUMBER(SEARCH("repair",$B574))+ISNUMBER(SEARCH("maintenance",$B574))+ISNUMBER(SEARCH("tire",$B574))+ISNUMBER(SEARCH("tyre",$B574))+ISNUMBER(SEARCH("battery",$B574))+ISNUMBER(SEARCH("oil",$B574))+ISNUMBER(SEARCH("filter",$B574))+ISNUMBER(SEARCH("spare",$B574))+ISNUMBER(SEARCH("insurance",$B574))+ISNUMBER(SEARCH("lto",$B574))+ISNUMBER(SEARCH("registration",$B574))+ISNUMBER(SEARCH("emission",$B574))+ISNUMBER(SEARCH("wash",$B574))+ISNUMBER(SEARCH("weigh",$B574))+ISNUMBER(SEARCH("tarp",$B574))&gt;0,"Vehicle",IF(ISNUMBER(SEARCH("rent",$B574))+ISNUMBER(SEARCH("upa",$B574))+ISNUMBER(SEARCH("salary",$B574))+ISNUMBER(SEARCH("sweldo",$B574))+ISNUMBER(SEARCH("wage",$B574))+ISNUMBER(SEARCH("electric",$B574))+ISNUMBER(SEARCH("kuryente",$B574))+ISNUMBER(SEARCH("water",$B574))+ISNUMBER(SEARCH("tubig",$B574))+ISNUMBER(SEARCH("internet",$B574))+ISNUMBER(SEARCH("pldt",$B574))+ISNUMBER(SEARCH("meralco",$B574))+ISNUMBER(SEARCH("supplies",$B574))+ISNUMBER(SEARCH("office",$B574))+ISNUMBER(SEARCH("professional",$B574))+ISNUMBER(SEARCH("accountant",$B574))+ISNUMBER(SEARCH("lawyer",$B574))+ISNUMBER(SEARCH("broker",$B574))+ISNUMBER(SEARCH("bank",$B574))+ISNUMBER(SEARCH("charge",$B574))+ISNUMBER(SEARCH("permit",$B574))+ISNUMBER(SEARCH("bir",$B574))+ISNUMBER(SEARCH("ltfrb",$B574))+ISNUMBER(SEARCH("misc",$B574))+ISNUMBER(SEARCH("fee",$B574))&gt;0,"Overhead","Overhead")))))))</f>
        <v/>
      </c>
      <c r="J574">
        <f>IF($A574="","",DATE(YEAR($A574),MONTH($A574),1))</f>
        <v/>
      </c>
      <c r="K574">
        <f>IF($B574="","",IF(COUNTIF(Setup!$A$99:$A$128,$B574)&gt;0,0,1))</f>
        <v/>
      </c>
      <c r="L574">
        <f>IF($B574="","",IF(ISNUMBER(SEARCH("advance",$B574)),"ADV",IF(OR(ISNUMBER(SEARCH("payout",$B574)),ISNUMBER(SEARCH("pay out",$B574)),ISNUMBER(SEARCH("release",$B574))),"PAY","")))</f>
        <v/>
      </c>
      <c r="M574">
        <f>IF($B574="","",IF(ISNUMBER(SEARCH("bulk",$B574)),0,IF(ISNUMBER(SEARCH("fuel",$B574))+ISNUMBER(SEARCH("diesel",$B574))+ISNUMBER(SEARCH("krudo",$B574))+ISNUMBER(SEARCH("gasolina",$B574))&gt;0,1,0)))</f>
        <v/>
      </c>
      <c r="N574">
        <f>IF($B574="","",IF(ISNUMBER(SEARCH("fuel",$B574))+ISNUMBER(SEARCH("diesel",$B574))+ISNUMBER(SEARCH("krudo",$B574))+ISNUMBER(SEARCH("gasolina",$B574))&gt;0,1,0))</f>
        <v/>
      </c>
    </row>
    <row r="575">
      <c r="A575" s="86" t="n"/>
      <c r="B575" s="88" t="n"/>
      <c r="C575" s="88" t="n"/>
      <c r="D575" s="87" t="n"/>
      <c r="E575" s="88" t="n"/>
      <c r="F575" s="92" t="n"/>
      <c r="G575" s="87" t="n"/>
      <c r="H575" s="87" t="n"/>
      <c r="I575" s="101">
        <f>IF($B575="","",IF(COUNTIF(Setup!$A$99:$A$128,$B575)&gt;0,IF(INDEX(Setup!$B$99:$B$128,MATCH($B575,Setup!$A$99:$A$128,0))="","Overhead",INDEX(Setup!$B$99:$B$128,MATCH($B575,Setup!$A$99:$A$128,0))),IF(ISNUMBER(SEARCH("advance",$B575))+ISNUMBER(SEARCH("payout",$B575))+ISNUMBER(SEARCH("pay out",$B575))+ISNUMBER(SEARCH("reimburs",$B575))&gt;0,"Transfer",IF(ISNUMBER(SEARCH("loan",$B575))+ISNUMBER(SEARCH("amort",$B575))+ISNUMBER(SEARCH("installment",$B575))+ISNUMBER(SEARCH("instalment",$B575))&gt;0,"Financing",IF(ISNUMBER(SEARCH("draw",$B575))+ISNUMBER(SEARCH("owner",$B575))+ISNUMBER(SEARCH("asset",$B575))+ISNUMBER(SEARCH("capital",$B575))&gt;0,"Other",IF(ISNUMBER(SEARCH("fuel",$B575))+ISNUMBER(SEARCH("diesel",$B575))+ISNUMBER(SEARCH("krudo",$B575))+ISNUMBER(SEARCH("gasolina",$B575))+ISNUMBER(SEARCH("toll",$B575))+ISNUMBER(SEARCH("parking",$B575))+ISNUMBER(SEARCH("repair",$B575))+ISNUMBER(SEARCH("maintenance",$B575))+ISNUMBER(SEARCH("tire",$B575))+ISNUMBER(SEARCH("tyre",$B575))+ISNUMBER(SEARCH("battery",$B575))+ISNUMBER(SEARCH("oil",$B575))+ISNUMBER(SEARCH("filter",$B575))+ISNUMBER(SEARCH("spare",$B575))+ISNUMBER(SEARCH("insurance",$B575))+ISNUMBER(SEARCH("lto",$B575))+ISNUMBER(SEARCH("registration",$B575))+ISNUMBER(SEARCH("emission",$B575))+ISNUMBER(SEARCH("wash",$B575))+ISNUMBER(SEARCH("weigh",$B575))+ISNUMBER(SEARCH("tarp",$B575))&gt;0,"Vehicle",IF(ISNUMBER(SEARCH("rent",$B575))+ISNUMBER(SEARCH("upa",$B575))+ISNUMBER(SEARCH("salary",$B575))+ISNUMBER(SEARCH("sweldo",$B575))+ISNUMBER(SEARCH("wage",$B575))+ISNUMBER(SEARCH("electric",$B575))+ISNUMBER(SEARCH("kuryente",$B575))+ISNUMBER(SEARCH("water",$B575))+ISNUMBER(SEARCH("tubig",$B575))+ISNUMBER(SEARCH("internet",$B575))+ISNUMBER(SEARCH("pldt",$B575))+ISNUMBER(SEARCH("meralco",$B575))+ISNUMBER(SEARCH("supplies",$B575))+ISNUMBER(SEARCH("office",$B575))+ISNUMBER(SEARCH("professional",$B575))+ISNUMBER(SEARCH("accountant",$B575))+ISNUMBER(SEARCH("lawyer",$B575))+ISNUMBER(SEARCH("broker",$B575))+ISNUMBER(SEARCH("bank",$B575))+ISNUMBER(SEARCH("charge",$B575))+ISNUMBER(SEARCH("permit",$B575))+ISNUMBER(SEARCH("bir",$B575))+ISNUMBER(SEARCH("ltfrb",$B575))+ISNUMBER(SEARCH("misc",$B575))+ISNUMBER(SEARCH("fee",$B575))&gt;0,"Overhead","Overhead")))))))</f>
        <v/>
      </c>
      <c r="J575">
        <f>IF($A575="","",DATE(YEAR($A575),MONTH($A575),1))</f>
        <v/>
      </c>
      <c r="K575">
        <f>IF($B575="","",IF(COUNTIF(Setup!$A$99:$A$128,$B575)&gt;0,0,1))</f>
        <v/>
      </c>
      <c r="L575">
        <f>IF($B575="","",IF(ISNUMBER(SEARCH("advance",$B575)),"ADV",IF(OR(ISNUMBER(SEARCH("payout",$B575)),ISNUMBER(SEARCH("pay out",$B575)),ISNUMBER(SEARCH("release",$B575))),"PAY","")))</f>
        <v/>
      </c>
      <c r="M575">
        <f>IF($B575="","",IF(ISNUMBER(SEARCH("bulk",$B575)),0,IF(ISNUMBER(SEARCH("fuel",$B575))+ISNUMBER(SEARCH("diesel",$B575))+ISNUMBER(SEARCH("krudo",$B575))+ISNUMBER(SEARCH("gasolina",$B575))&gt;0,1,0)))</f>
        <v/>
      </c>
      <c r="N575">
        <f>IF($B575="","",IF(ISNUMBER(SEARCH("fuel",$B575))+ISNUMBER(SEARCH("diesel",$B575))+ISNUMBER(SEARCH("krudo",$B575))+ISNUMBER(SEARCH("gasolina",$B575))&gt;0,1,0))</f>
        <v/>
      </c>
    </row>
    <row r="576">
      <c r="A576" s="94" t="n"/>
      <c r="B576" s="96" t="n"/>
      <c r="C576" s="96" t="n"/>
      <c r="D576" s="95" t="n"/>
      <c r="E576" s="96" t="n"/>
      <c r="F576" s="99" t="n"/>
      <c r="G576" s="95" t="n"/>
      <c r="H576" s="95" t="n"/>
      <c r="I576" s="101">
        <f>IF($B576="","",IF(COUNTIF(Setup!$A$99:$A$128,$B576)&gt;0,IF(INDEX(Setup!$B$99:$B$128,MATCH($B576,Setup!$A$99:$A$128,0))="","Overhead",INDEX(Setup!$B$99:$B$128,MATCH($B576,Setup!$A$99:$A$128,0))),IF(ISNUMBER(SEARCH("advance",$B576))+ISNUMBER(SEARCH("payout",$B576))+ISNUMBER(SEARCH("pay out",$B576))+ISNUMBER(SEARCH("reimburs",$B576))&gt;0,"Transfer",IF(ISNUMBER(SEARCH("loan",$B576))+ISNUMBER(SEARCH("amort",$B576))+ISNUMBER(SEARCH("installment",$B576))+ISNUMBER(SEARCH("instalment",$B576))&gt;0,"Financing",IF(ISNUMBER(SEARCH("draw",$B576))+ISNUMBER(SEARCH("owner",$B576))+ISNUMBER(SEARCH("asset",$B576))+ISNUMBER(SEARCH("capital",$B576))&gt;0,"Other",IF(ISNUMBER(SEARCH("fuel",$B576))+ISNUMBER(SEARCH("diesel",$B576))+ISNUMBER(SEARCH("krudo",$B576))+ISNUMBER(SEARCH("gasolina",$B576))+ISNUMBER(SEARCH("toll",$B576))+ISNUMBER(SEARCH("parking",$B576))+ISNUMBER(SEARCH("repair",$B576))+ISNUMBER(SEARCH("maintenance",$B576))+ISNUMBER(SEARCH("tire",$B576))+ISNUMBER(SEARCH("tyre",$B576))+ISNUMBER(SEARCH("battery",$B576))+ISNUMBER(SEARCH("oil",$B576))+ISNUMBER(SEARCH("filter",$B576))+ISNUMBER(SEARCH("spare",$B576))+ISNUMBER(SEARCH("insurance",$B576))+ISNUMBER(SEARCH("lto",$B576))+ISNUMBER(SEARCH("registration",$B576))+ISNUMBER(SEARCH("emission",$B576))+ISNUMBER(SEARCH("wash",$B576))+ISNUMBER(SEARCH("weigh",$B576))+ISNUMBER(SEARCH("tarp",$B576))&gt;0,"Vehicle",IF(ISNUMBER(SEARCH("rent",$B576))+ISNUMBER(SEARCH("upa",$B576))+ISNUMBER(SEARCH("salary",$B576))+ISNUMBER(SEARCH("sweldo",$B576))+ISNUMBER(SEARCH("wage",$B576))+ISNUMBER(SEARCH("electric",$B576))+ISNUMBER(SEARCH("kuryente",$B576))+ISNUMBER(SEARCH("water",$B576))+ISNUMBER(SEARCH("tubig",$B576))+ISNUMBER(SEARCH("internet",$B576))+ISNUMBER(SEARCH("pldt",$B576))+ISNUMBER(SEARCH("meralco",$B576))+ISNUMBER(SEARCH("supplies",$B576))+ISNUMBER(SEARCH("office",$B576))+ISNUMBER(SEARCH("professional",$B576))+ISNUMBER(SEARCH("accountant",$B576))+ISNUMBER(SEARCH("lawyer",$B576))+ISNUMBER(SEARCH("broker",$B576))+ISNUMBER(SEARCH("bank",$B576))+ISNUMBER(SEARCH("charge",$B576))+ISNUMBER(SEARCH("permit",$B576))+ISNUMBER(SEARCH("bir",$B576))+ISNUMBER(SEARCH("ltfrb",$B576))+ISNUMBER(SEARCH("misc",$B576))+ISNUMBER(SEARCH("fee",$B576))&gt;0,"Overhead","Overhead")))))))</f>
        <v/>
      </c>
      <c r="J576">
        <f>IF($A576="","",DATE(YEAR($A576),MONTH($A576),1))</f>
        <v/>
      </c>
      <c r="K576">
        <f>IF($B576="","",IF(COUNTIF(Setup!$A$99:$A$128,$B576)&gt;0,0,1))</f>
        <v/>
      </c>
      <c r="L576">
        <f>IF($B576="","",IF(ISNUMBER(SEARCH("advance",$B576)),"ADV",IF(OR(ISNUMBER(SEARCH("payout",$B576)),ISNUMBER(SEARCH("pay out",$B576)),ISNUMBER(SEARCH("release",$B576))),"PAY","")))</f>
        <v/>
      </c>
      <c r="M576">
        <f>IF($B576="","",IF(ISNUMBER(SEARCH("bulk",$B576)),0,IF(ISNUMBER(SEARCH("fuel",$B576))+ISNUMBER(SEARCH("diesel",$B576))+ISNUMBER(SEARCH("krudo",$B576))+ISNUMBER(SEARCH("gasolina",$B576))&gt;0,1,0)))</f>
        <v/>
      </c>
      <c r="N576">
        <f>IF($B576="","",IF(ISNUMBER(SEARCH("fuel",$B576))+ISNUMBER(SEARCH("diesel",$B576))+ISNUMBER(SEARCH("krudo",$B576))+ISNUMBER(SEARCH("gasolina",$B576))&gt;0,1,0))</f>
        <v/>
      </c>
    </row>
    <row r="577">
      <c r="A577" s="86" t="n"/>
      <c r="B577" s="88" t="n"/>
      <c r="C577" s="88" t="n"/>
      <c r="D577" s="87" t="n"/>
      <c r="E577" s="88" t="n"/>
      <c r="F577" s="92" t="n"/>
      <c r="G577" s="87" t="n"/>
      <c r="H577" s="87" t="n"/>
      <c r="I577" s="101">
        <f>IF($B577="","",IF(COUNTIF(Setup!$A$99:$A$128,$B577)&gt;0,IF(INDEX(Setup!$B$99:$B$128,MATCH($B577,Setup!$A$99:$A$128,0))="","Overhead",INDEX(Setup!$B$99:$B$128,MATCH($B577,Setup!$A$99:$A$128,0))),IF(ISNUMBER(SEARCH("advance",$B577))+ISNUMBER(SEARCH("payout",$B577))+ISNUMBER(SEARCH("pay out",$B577))+ISNUMBER(SEARCH("reimburs",$B577))&gt;0,"Transfer",IF(ISNUMBER(SEARCH("loan",$B577))+ISNUMBER(SEARCH("amort",$B577))+ISNUMBER(SEARCH("installment",$B577))+ISNUMBER(SEARCH("instalment",$B577))&gt;0,"Financing",IF(ISNUMBER(SEARCH("draw",$B577))+ISNUMBER(SEARCH("owner",$B577))+ISNUMBER(SEARCH("asset",$B577))+ISNUMBER(SEARCH("capital",$B577))&gt;0,"Other",IF(ISNUMBER(SEARCH("fuel",$B577))+ISNUMBER(SEARCH("diesel",$B577))+ISNUMBER(SEARCH("krudo",$B577))+ISNUMBER(SEARCH("gasolina",$B577))+ISNUMBER(SEARCH("toll",$B577))+ISNUMBER(SEARCH("parking",$B577))+ISNUMBER(SEARCH("repair",$B577))+ISNUMBER(SEARCH("maintenance",$B577))+ISNUMBER(SEARCH("tire",$B577))+ISNUMBER(SEARCH("tyre",$B577))+ISNUMBER(SEARCH("battery",$B577))+ISNUMBER(SEARCH("oil",$B577))+ISNUMBER(SEARCH("filter",$B577))+ISNUMBER(SEARCH("spare",$B577))+ISNUMBER(SEARCH("insurance",$B577))+ISNUMBER(SEARCH("lto",$B577))+ISNUMBER(SEARCH("registration",$B577))+ISNUMBER(SEARCH("emission",$B577))+ISNUMBER(SEARCH("wash",$B577))+ISNUMBER(SEARCH("weigh",$B577))+ISNUMBER(SEARCH("tarp",$B577))&gt;0,"Vehicle",IF(ISNUMBER(SEARCH("rent",$B577))+ISNUMBER(SEARCH("upa",$B577))+ISNUMBER(SEARCH("salary",$B577))+ISNUMBER(SEARCH("sweldo",$B577))+ISNUMBER(SEARCH("wage",$B577))+ISNUMBER(SEARCH("electric",$B577))+ISNUMBER(SEARCH("kuryente",$B577))+ISNUMBER(SEARCH("water",$B577))+ISNUMBER(SEARCH("tubig",$B577))+ISNUMBER(SEARCH("internet",$B577))+ISNUMBER(SEARCH("pldt",$B577))+ISNUMBER(SEARCH("meralco",$B577))+ISNUMBER(SEARCH("supplies",$B577))+ISNUMBER(SEARCH("office",$B577))+ISNUMBER(SEARCH("professional",$B577))+ISNUMBER(SEARCH("accountant",$B577))+ISNUMBER(SEARCH("lawyer",$B577))+ISNUMBER(SEARCH("broker",$B577))+ISNUMBER(SEARCH("bank",$B577))+ISNUMBER(SEARCH("charge",$B577))+ISNUMBER(SEARCH("permit",$B577))+ISNUMBER(SEARCH("bir",$B577))+ISNUMBER(SEARCH("ltfrb",$B577))+ISNUMBER(SEARCH("misc",$B577))+ISNUMBER(SEARCH("fee",$B577))&gt;0,"Overhead","Overhead")))))))</f>
        <v/>
      </c>
      <c r="J577">
        <f>IF($A577="","",DATE(YEAR($A577),MONTH($A577),1))</f>
        <v/>
      </c>
      <c r="K577">
        <f>IF($B577="","",IF(COUNTIF(Setup!$A$99:$A$128,$B577)&gt;0,0,1))</f>
        <v/>
      </c>
      <c r="L577">
        <f>IF($B577="","",IF(ISNUMBER(SEARCH("advance",$B577)),"ADV",IF(OR(ISNUMBER(SEARCH("payout",$B577)),ISNUMBER(SEARCH("pay out",$B577)),ISNUMBER(SEARCH("release",$B577))),"PAY","")))</f>
        <v/>
      </c>
      <c r="M577">
        <f>IF($B577="","",IF(ISNUMBER(SEARCH("bulk",$B577)),0,IF(ISNUMBER(SEARCH("fuel",$B577))+ISNUMBER(SEARCH("diesel",$B577))+ISNUMBER(SEARCH("krudo",$B577))+ISNUMBER(SEARCH("gasolina",$B577))&gt;0,1,0)))</f>
        <v/>
      </c>
      <c r="N577">
        <f>IF($B577="","",IF(ISNUMBER(SEARCH("fuel",$B577))+ISNUMBER(SEARCH("diesel",$B577))+ISNUMBER(SEARCH("krudo",$B577))+ISNUMBER(SEARCH("gasolina",$B577))&gt;0,1,0))</f>
        <v/>
      </c>
    </row>
    <row r="578">
      <c r="A578" s="94" t="n"/>
      <c r="B578" s="96" t="n"/>
      <c r="C578" s="96" t="n"/>
      <c r="D578" s="95" t="n"/>
      <c r="E578" s="96" t="n"/>
      <c r="F578" s="99" t="n"/>
      <c r="G578" s="95" t="n"/>
      <c r="H578" s="95" t="n"/>
      <c r="I578" s="101">
        <f>IF($B578="","",IF(COUNTIF(Setup!$A$99:$A$128,$B578)&gt;0,IF(INDEX(Setup!$B$99:$B$128,MATCH($B578,Setup!$A$99:$A$128,0))="","Overhead",INDEX(Setup!$B$99:$B$128,MATCH($B578,Setup!$A$99:$A$128,0))),IF(ISNUMBER(SEARCH("advance",$B578))+ISNUMBER(SEARCH("payout",$B578))+ISNUMBER(SEARCH("pay out",$B578))+ISNUMBER(SEARCH("reimburs",$B578))&gt;0,"Transfer",IF(ISNUMBER(SEARCH("loan",$B578))+ISNUMBER(SEARCH("amort",$B578))+ISNUMBER(SEARCH("installment",$B578))+ISNUMBER(SEARCH("instalment",$B578))&gt;0,"Financing",IF(ISNUMBER(SEARCH("draw",$B578))+ISNUMBER(SEARCH("owner",$B578))+ISNUMBER(SEARCH("asset",$B578))+ISNUMBER(SEARCH("capital",$B578))&gt;0,"Other",IF(ISNUMBER(SEARCH("fuel",$B578))+ISNUMBER(SEARCH("diesel",$B578))+ISNUMBER(SEARCH("krudo",$B578))+ISNUMBER(SEARCH("gasolina",$B578))+ISNUMBER(SEARCH("toll",$B578))+ISNUMBER(SEARCH("parking",$B578))+ISNUMBER(SEARCH("repair",$B578))+ISNUMBER(SEARCH("maintenance",$B578))+ISNUMBER(SEARCH("tire",$B578))+ISNUMBER(SEARCH("tyre",$B578))+ISNUMBER(SEARCH("battery",$B578))+ISNUMBER(SEARCH("oil",$B578))+ISNUMBER(SEARCH("filter",$B578))+ISNUMBER(SEARCH("spare",$B578))+ISNUMBER(SEARCH("insurance",$B578))+ISNUMBER(SEARCH("lto",$B578))+ISNUMBER(SEARCH("registration",$B578))+ISNUMBER(SEARCH("emission",$B578))+ISNUMBER(SEARCH("wash",$B578))+ISNUMBER(SEARCH("weigh",$B578))+ISNUMBER(SEARCH("tarp",$B578))&gt;0,"Vehicle",IF(ISNUMBER(SEARCH("rent",$B578))+ISNUMBER(SEARCH("upa",$B578))+ISNUMBER(SEARCH("salary",$B578))+ISNUMBER(SEARCH("sweldo",$B578))+ISNUMBER(SEARCH("wage",$B578))+ISNUMBER(SEARCH("electric",$B578))+ISNUMBER(SEARCH("kuryente",$B578))+ISNUMBER(SEARCH("water",$B578))+ISNUMBER(SEARCH("tubig",$B578))+ISNUMBER(SEARCH("internet",$B578))+ISNUMBER(SEARCH("pldt",$B578))+ISNUMBER(SEARCH("meralco",$B578))+ISNUMBER(SEARCH("supplies",$B578))+ISNUMBER(SEARCH("office",$B578))+ISNUMBER(SEARCH("professional",$B578))+ISNUMBER(SEARCH("accountant",$B578))+ISNUMBER(SEARCH("lawyer",$B578))+ISNUMBER(SEARCH("broker",$B578))+ISNUMBER(SEARCH("bank",$B578))+ISNUMBER(SEARCH("charge",$B578))+ISNUMBER(SEARCH("permit",$B578))+ISNUMBER(SEARCH("bir",$B578))+ISNUMBER(SEARCH("ltfrb",$B578))+ISNUMBER(SEARCH("misc",$B578))+ISNUMBER(SEARCH("fee",$B578))&gt;0,"Overhead","Overhead")))))))</f>
        <v/>
      </c>
      <c r="J578">
        <f>IF($A578="","",DATE(YEAR($A578),MONTH($A578),1))</f>
        <v/>
      </c>
      <c r="K578">
        <f>IF($B578="","",IF(COUNTIF(Setup!$A$99:$A$128,$B578)&gt;0,0,1))</f>
        <v/>
      </c>
      <c r="L578">
        <f>IF($B578="","",IF(ISNUMBER(SEARCH("advance",$B578)),"ADV",IF(OR(ISNUMBER(SEARCH("payout",$B578)),ISNUMBER(SEARCH("pay out",$B578)),ISNUMBER(SEARCH("release",$B578))),"PAY","")))</f>
        <v/>
      </c>
      <c r="M578">
        <f>IF($B578="","",IF(ISNUMBER(SEARCH("bulk",$B578)),0,IF(ISNUMBER(SEARCH("fuel",$B578))+ISNUMBER(SEARCH("diesel",$B578))+ISNUMBER(SEARCH("krudo",$B578))+ISNUMBER(SEARCH("gasolina",$B578))&gt;0,1,0)))</f>
        <v/>
      </c>
      <c r="N578">
        <f>IF($B578="","",IF(ISNUMBER(SEARCH("fuel",$B578))+ISNUMBER(SEARCH("diesel",$B578))+ISNUMBER(SEARCH("krudo",$B578))+ISNUMBER(SEARCH("gasolina",$B578))&gt;0,1,0))</f>
        <v/>
      </c>
    </row>
    <row r="579">
      <c r="A579" s="86" t="n"/>
      <c r="B579" s="88" t="n"/>
      <c r="C579" s="88" t="n"/>
      <c r="D579" s="87" t="n"/>
      <c r="E579" s="88" t="n"/>
      <c r="F579" s="92" t="n"/>
      <c r="G579" s="87" t="n"/>
      <c r="H579" s="87" t="n"/>
      <c r="I579" s="101">
        <f>IF($B579="","",IF(COUNTIF(Setup!$A$99:$A$128,$B579)&gt;0,IF(INDEX(Setup!$B$99:$B$128,MATCH($B579,Setup!$A$99:$A$128,0))="","Overhead",INDEX(Setup!$B$99:$B$128,MATCH($B579,Setup!$A$99:$A$128,0))),IF(ISNUMBER(SEARCH("advance",$B579))+ISNUMBER(SEARCH("payout",$B579))+ISNUMBER(SEARCH("pay out",$B579))+ISNUMBER(SEARCH("reimburs",$B579))&gt;0,"Transfer",IF(ISNUMBER(SEARCH("loan",$B579))+ISNUMBER(SEARCH("amort",$B579))+ISNUMBER(SEARCH("installment",$B579))+ISNUMBER(SEARCH("instalment",$B579))&gt;0,"Financing",IF(ISNUMBER(SEARCH("draw",$B579))+ISNUMBER(SEARCH("owner",$B579))+ISNUMBER(SEARCH("asset",$B579))+ISNUMBER(SEARCH("capital",$B579))&gt;0,"Other",IF(ISNUMBER(SEARCH("fuel",$B579))+ISNUMBER(SEARCH("diesel",$B579))+ISNUMBER(SEARCH("krudo",$B579))+ISNUMBER(SEARCH("gasolina",$B579))+ISNUMBER(SEARCH("toll",$B579))+ISNUMBER(SEARCH("parking",$B579))+ISNUMBER(SEARCH("repair",$B579))+ISNUMBER(SEARCH("maintenance",$B579))+ISNUMBER(SEARCH("tire",$B579))+ISNUMBER(SEARCH("tyre",$B579))+ISNUMBER(SEARCH("battery",$B579))+ISNUMBER(SEARCH("oil",$B579))+ISNUMBER(SEARCH("filter",$B579))+ISNUMBER(SEARCH("spare",$B579))+ISNUMBER(SEARCH("insurance",$B579))+ISNUMBER(SEARCH("lto",$B579))+ISNUMBER(SEARCH("registration",$B579))+ISNUMBER(SEARCH("emission",$B579))+ISNUMBER(SEARCH("wash",$B579))+ISNUMBER(SEARCH("weigh",$B579))+ISNUMBER(SEARCH("tarp",$B579))&gt;0,"Vehicle",IF(ISNUMBER(SEARCH("rent",$B579))+ISNUMBER(SEARCH("upa",$B579))+ISNUMBER(SEARCH("salary",$B579))+ISNUMBER(SEARCH("sweldo",$B579))+ISNUMBER(SEARCH("wage",$B579))+ISNUMBER(SEARCH("electric",$B579))+ISNUMBER(SEARCH("kuryente",$B579))+ISNUMBER(SEARCH("water",$B579))+ISNUMBER(SEARCH("tubig",$B579))+ISNUMBER(SEARCH("internet",$B579))+ISNUMBER(SEARCH("pldt",$B579))+ISNUMBER(SEARCH("meralco",$B579))+ISNUMBER(SEARCH("supplies",$B579))+ISNUMBER(SEARCH("office",$B579))+ISNUMBER(SEARCH("professional",$B579))+ISNUMBER(SEARCH("accountant",$B579))+ISNUMBER(SEARCH("lawyer",$B579))+ISNUMBER(SEARCH("broker",$B579))+ISNUMBER(SEARCH("bank",$B579))+ISNUMBER(SEARCH("charge",$B579))+ISNUMBER(SEARCH("permit",$B579))+ISNUMBER(SEARCH("bir",$B579))+ISNUMBER(SEARCH("ltfrb",$B579))+ISNUMBER(SEARCH("misc",$B579))+ISNUMBER(SEARCH("fee",$B579))&gt;0,"Overhead","Overhead")))))))</f>
        <v/>
      </c>
      <c r="J579">
        <f>IF($A579="","",DATE(YEAR($A579),MONTH($A579),1))</f>
        <v/>
      </c>
      <c r="K579">
        <f>IF($B579="","",IF(COUNTIF(Setup!$A$99:$A$128,$B579)&gt;0,0,1))</f>
        <v/>
      </c>
      <c r="L579">
        <f>IF($B579="","",IF(ISNUMBER(SEARCH("advance",$B579)),"ADV",IF(OR(ISNUMBER(SEARCH("payout",$B579)),ISNUMBER(SEARCH("pay out",$B579)),ISNUMBER(SEARCH("release",$B579))),"PAY","")))</f>
        <v/>
      </c>
      <c r="M579">
        <f>IF($B579="","",IF(ISNUMBER(SEARCH("bulk",$B579)),0,IF(ISNUMBER(SEARCH("fuel",$B579))+ISNUMBER(SEARCH("diesel",$B579))+ISNUMBER(SEARCH("krudo",$B579))+ISNUMBER(SEARCH("gasolina",$B579))&gt;0,1,0)))</f>
        <v/>
      </c>
      <c r="N579">
        <f>IF($B579="","",IF(ISNUMBER(SEARCH("fuel",$B579))+ISNUMBER(SEARCH("diesel",$B579))+ISNUMBER(SEARCH("krudo",$B579))+ISNUMBER(SEARCH("gasolina",$B579))&gt;0,1,0))</f>
        <v/>
      </c>
    </row>
    <row r="580">
      <c r="A580" s="94" t="n"/>
      <c r="B580" s="96" t="n"/>
      <c r="C580" s="96" t="n"/>
      <c r="D580" s="95" t="n"/>
      <c r="E580" s="96" t="n"/>
      <c r="F580" s="99" t="n"/>
      <c r="G580" s="95" t="n"/>
      <c r="H580" s="95" t="n"/>
      <c r="I580" s="101">
        <f>IF($B580="","",IF(COUNTIF(Setup!$A$99:$A$128,$B580)&gt;0,IF(INDEX(Setup!$B$99:$B$128,MATCH($B580,Setup!$A$99:$A$128,0))="","Overhead",INDEX(Setup!$B$99:$B$128,MATCH($B580,Setup!$A$99:$A$128,0))),IF(ISNUMBER(SEARCH("advance",$B580))+ISNUMBER(SEARCH("payout",$B580))+ISNUMBER(SEARCH("pay out",$B580))+ISNUMBER(SEARCH("reimburs",$B580))&gt;0,"Transfer",IF(ISNUMBER(SEARCH("loan",$B580))+ISNUMBER(SEARCH("amort",$B580))+ISNUMBER(SEARCH("installment",$B580))+ISNUMBER(SEARCH("instalment",$B580))&gt;0,"Financing",IF(ISNUMBER(SEARCH("draw",$B580))+ISNUMBER(SEARCH("owner",$B580))+ISNUMBER(SEARCH("asset",$B580))+ISNUMBER(SEARCH("capital",$B580))&gt;0,"Other",IF(ISNUMBER(SEARCH("fuel",$B580))+ISNUMBER(SEARCH("diesel",$B580))+ISNUMBER(SEARCH("krudo",$B580))+ISNUMBER(SEARCH("gasolina",$B580))+ISNUMBER(SEARCH("toll",$B580))+ISNUMBER(SEARCH("parking",$B580))+ISNUMBER(SEARCH("repair",$B580))+ISNUMBER(SEARCH("maintenance",$B580))+ISNUMBER(SEARCH("tire",$B580))+ISNUMBER(SEARCH("tyre",$B580))+ISNUMBER(SEARCH("battery",$B580))+ISNUMBER(SEARCH("oil",$B580))+ISNUMBER(SEARCH("filter",$B580))+ISNUMBER(SEARCH("spare",$B580))+ISNUMBER(SEARCH("insurance",$B580))+ISNUMBER(SEARCH("lto",$B580))+ISNUMBER(SEARCH("registration",$B580))+ISNUMBER(SEARCH("emission",$B580))+ISNUMBER(SEARCH("wash",$B580))+ISNUMBER(SEARCH("weigh",$B580))+ISNUMBER(SEARCH("tarp",$B580))&gt;0,"Vehicle",IF(ISNUMBER(SEARCH("rent",$B580))+ISNUMBER(SEARCH("upa",$B580))+ISNUMBER(SEARCH("salary",$B580))+ISNUMBER(SEARCH("sweldo",$B580))+ISNUMBER(SEARCH("wage",$B580))+ISNUMBER(SEARCH("electric",$B580))+ISNUMBER(SEARCH("kuryente",$B580))+ISNUMBER(SEARCH("water",$B580))+ISNUMBER(SEARCH("tubig",$B580))+ISNUMBER(SEARCH("internet",$B580))+ISNUMBER(SEARCH("pldt",$B580))+ISNUMBER(SEARCH("meralco",$B580))+ISNUMBER(SEARCH("supplies",$B580))+ISNUMBER(SEARCH("office",$B580))+ISNUMBER(SEARCH("professional",$B580))+ISNUMBER(SEARCH("accountant",$B580))+ISNUMBER(SEARCH("lawyer",$B580))+ISNUMBER(SEARCH("broker",$B580))+ISNUMBER(SEARCH("bank",$B580))+ISNUMBER(SEARCH("charge",$B580))+ISNUMBER(SEARCH("permit",$B580))+ISNUMBER(SEARCH("bir",$B580))+ISNUMBER(SEARCH("ltfrb",$B580))+ISNUMBER(SEARCH("misc",$B580))+ISNUMBER(SEARCH("fee",$B580))&gt;0,"Overhead","Overhead")))))))</f>
        <v/>
      </c>
      <c r="J580">
        <f>IF($A580="","",DATE(YEAR($A580),MONTH($A580),1))</f>
        <v/>
      </c>
      <c r="K580">
        <f>IF($B580="","",IF(COUNTIF(Setup!$A$99:$A$128,$B580)&gt;0,0,1))</f>
        <v/>
      </c>
      <c r="L580">
        <f>IF($B580="","",IF(ISNUMBER(SEARCH("advance",$B580)),"ADV",IF(OR(ISNUMBER(SEARCH("payout",$B580)),ISNUMBER(SEARCH("pay out",$B580)),ISNUMBER(SEARCH("release",$B580))),"PAY","")))</f>
        <v/>
      </c>
      <c r="M580">
        <f>IF($B580="","",IF(ISNUMBER(SEARCH("bulk",$B580)),0,IF(ISNUMBER(SEARCH("fuel",$B580))+ISNUMBER(SEARCH("diesel",$B580))+ISNUMBER(SEARCH("krudo",$B580))+ISNUMBER(SEARCH("gasolina",$B580))&gt;0,1,0)))</f>
        <v/>
      </c>
      <c r="N580">
        <f>IF($B580="","",IF(ISNUMBER(SEARCH("fuel",$B580))+ISNUMBER(SEARCH("diesel",$B580))+ISNUMBER(SEARCH("krudo",$B580))+ISNUMBER(SEARCH("gasolina",$B580))&gt;0,1,0))</f>
        <v/>
      </c>
    </row>
    <row r="581">
      <c r="A581" s="86" t="n"/>
      <c r="B581" s="88" t="n"/>
      <c r="C581" s="88" t="n"/>
      <c r="D581" s="87" t="n"/>
      <c r="E581" s="88" t="n"/>
      <c r="F581" s="92" t="n"/>
      <c r="G581" s="87" t="n"/>
      <c r="H581" s="87" t="n"/>
      <c r="I581" s="101">
        <f>IF($B581="","",IF(COUNTIF(Setup!$A$99:$A$128,$B581)&gt;0,IF(INDEX(Setup!$B$99:$B$128,MATCH($B581,Setup!$A$99:$A$128,0))="","Overhead",INDEX(Setup!$B$99:$B$128,MATCH($B581,Setup!$A$99:$A$128,0))),IF(ISNUMBER(SEARCH("advance",$B581))+ISNUMBER(SEARCH("payout",$B581))+ISNUMBER(SEARCH("pay out",$B581))+ISNUMBER(SEARCH("reimburs",$B581))&gt;0,"Transfer",IF(ISNUMBER(SEARCH("loan",$B581))+ISNUMBER(SEARCH("amort",$B581))+ISNUMBER(SEARCH("installment",$B581))+ISNUMBER(SEARCH("instalment",$B581))&gt;0,"Financing",IF(ISNUMBER(SEARCH("draw",$B581))+ISNUMBER(SEARCH("owner",$B581))+ISNUMBER(SEARCH("asset",$B581))+ISNUMBER(SEARCH("capital",$B581))&gt;0,"Other",IF(ISNUMBER(SEARCH("fuel",$B581))+ISNUMBER(SEARCH("diesel",$B581))+ISNUMBER(SEARCH("krudo",$B581))+ISNUMBER(SEARCH("gasolina",$B581))+ISNUMBER(SEARCH("toll",$B581))+ISNUMBER(SEARCH("parking",$B581))+ISNUMBER(SEARCH("repair",$B581))+ISNUMBER(SEARCH("maintenance",$B581))+ISNUMBER(SEARCH("tire",$B581))+ISNUMBER(SEARCH("tyre",$B581))+ISNUMBER(SEARCH("battery",$B581))+ISNUMBER(SEARCH("oil",$B581))+ISNUMBER(SEARCH("filter",$B581))+ISNUMBER(SEARCH("spare",$B581))+ISNUMBER(SEARCH("insurance",$B581))+ISNUMBER(SEARCH("lto",$B581))+ISNUMBER(SEARCH("registration",$B581))+ISNUMBER(SEARCH("emission",$B581))+ISNUMBER(SEARCH("wash",$B581))+ISNUMBER(SEARCH("weigh",$B581))+ISNUMBER(SEARCH("tarp",$B581))&gt;0,"Vehicle",IF(ISNUMBER(SEARCH("rent",$B581))+ISNUMBER(SEARCH("upa",$B581))+ISNUMBER(SEARCH("salary",$B581))+ISNUMBER(SEARCH("sweldo",$B581))+ISNUMBER(SEARCH("wage",$B581))+ISNUMBER(SEARCH("electric",$B581))+ISNUMBER(SEARCH("kuryente",$B581))+ISNUMBER(SEARCH("water",$B581))+ISNUMBER(SEARCH("tubig",$B581))+ISNUMBER(SEARCH("internet",$B581))+ISNUMBER(SEARCH("pldt",$B581))+ISNUMBER(SEARCH("meralco",$B581))+ISNUMBER(SEARCH("supplies",$B581))+ISNUMBER(SEARCH("office",$B581))+ISNUMBER(SEARCH("professional",$B581))+ISNUMBER(SEARCH("accountant",$B581))+ISNUMBER(SEARCH("lawyer",$B581))+ISNUMBER(SEARCH("broker",$B581))+ISNUMBER(SEARCH("bank",$B581))+ISNUMBER(SEARCH("charge",$B581))+ISNUMBER(SEARCH("permit",$B581))+ISNUMBER(SEARCH("bir",$B581))+ISNUMBER(SEARCH("ltfrb",$B581))+ISNUMBER(SEARCH("misc",$B581))+ISNUMBER(SEARCH("fee",$B581))&gt;0,"Overhead","Overhead")))))))</f>
        <v/>
      </c>
      <c r="J581">
        <f>IF($A581="","",DATE(YEAR($A581),MONTH($A581),1))</f>
        <v/>
      </c>
      <c r="K581">
        <f>IF($B581="","",IF(COUNTIF(Setup!$A$99:$A$128,$B581)&gt;0,0,1))</f>
        <v/>
      </c>
      <c r="L581">
        <f>IF($B581="","",IF(ISNUMBER(SEARCH("advance",$B581)),"ADV",IF(OR(ISNUMBER(SEARCH("payout",$B581)),ISNUMBER(SEARCH("pay out",$B581)),ISNUMBER(SEARCH("release",$B581))),"PAY","")))</f>
        <v/>
      </c>
      <c r="M581">
        <f>IF($B581="","",IF(ISNUMBER(SEARCH("bulk",$B581)),0,IF(ISNUMBER(SEARCH("fuel",$B581))+ISNUMBER(SEARCH("diesel",$B581))+ISNUMBER(SEARCH("krudo",$B581))+ISNUMBER(SEARCH("gasolina",$B581))&gt;0,1,0)))</f>
        <v/>
      </c>
      <c r="N581">
        <f>IF($B581="","",IF(ISNUMBER(SEARCH("fuel",$B581))+ISNUMBER(SEARCH("diesel",$B581))+ISNUMBER(SEARCH("krudo",$B581))+ISNUMBER(SEARCH("gasolina",$B581))&gt;0,1,0))</f>
        <v/>
      </c>
    </row>
    <row r="582">
      <c r="A582" s="94" t="n"/>
      <c r="B582" s="96" t="n"/>
      <c r="C582" s="96" t="n"/>
      <c r="D582" s="95" t="n"/>
      <c r="E582" s="96" t="n"/>
      <c r="F582" s="99" t="n"/>
      <c r="G582" s="95" t="n"/>
      <c r="H582" s="95" t="n"/>
      <c r="I582" s="101">
        <f>IF($B582="","",IF(COUNTIF(Setup!$A$99:$A$128,$B582)&gt;0,IF(INDEX(Setup!$B$99:$B$128,MATCH($B582,Setup!$A$99:$A$128,0))="","Overhead",INDEX(Setup!$B$99:$B$128,MATCH($B582,Setup!$A$99:$A$128,0))),IF(ISNUMBER(SEARCH("advance",$B582))+ISNUMBER(SEARCH("payout",$B582))+ISNUMBER(SEARCH("pay out",$B582))+ISNUMBER(SEARCH("reimburs",$B582))&gt;0,"Transfer",IF(ISNUMBER(SEARCH("loan",$B582))+ISNUMBER(SEARCH("amort",$B582))+ISNUMBER(SEARCH("installment",$B582))+ISNUMBER(SEARCH("instalment",$B582))&gt;0,"Financing",IF(ISNUMBER(SEARCH("draw",$B582))+ISNUMBER(SEARCH("owner",$B582))+ISNUMBER(SEARCH("asset",$B582))+ISNUMBER(SEARCH("capital",$B582))&gt;0,"Other",IF(ISNUMBER(SEARCH("fuel",$B582))+ISNUMBER(SEARCH("diesel",$B582))+ISNUMBER(SEARCH("krudo",$B582))+ISNUMBER(SEARCH("gasolina",$B582))+ISNUMBER(SEARCH("toll",$B582))+ISNUMBER(SEARCH("parking",$B582))+ISNUMBER(SEARCH("repair",$B582))+ISNUMBER(SEARCH("maintenance",$B582))+ISNUMBER(SEARCH("tire",$B582))+ISNUMBER(SEARCH("tyre",$B582))+ISNUMBER(SEARCH("battery",$B582))+ISNUMBER(SEARCH("oil",$B582))+ISNUMBER(SEARCH("filter",$B582))+ISNUMBER(SEARCH("spare",$B582))+ISNUMBER(SEARCH("insurance",$B582))+ISNUMBER(SEARCH("lto",$B582))+ISNUMBER(SEARCH("registration",$B582))+ISNUMBER(SEARCH("emission",$B582))+ISNUMBER(SEARCH("wash",$B582))+ISNUMBER(SEARCH("weigh",$B582))+ISNUMBER(SEARCH("tarp",$B582))&gt;0,"Vehicle",IF(ISNUMBER(SEARCH("rent",$B582))+ISNUMBER(SEARCH("upa",$B582))+ISNUMBER(SEARCH("salary",$B582))+ISNUMBER(SEARCH("sweldo",$B582))+ISNUMBER(SEARCH("wage",$B582))+ISNUMBER(SEARCH("electric",$B582))+ISNUMBER(SEARCH("kuryente",$B582))+ISNUMBER(SEARCH("water",$B582))+ISNUMBER(SEARCH("tubig",$B582))+ISNUMBER(SEARCH("internet",$B582))+ISNUMBER(SEARCH("pldt",$B582))+ISNUMBER(SEARCH("meralco",$B582))+ISNUMBER(SEARCH("supplies",$B582))+ISNUMBER(SEARCH("office",$B582))+ISNUMBER(SEARCH("professional",$B582))+ISNUMBER(SEARCH("accountant",$B582))+ISNUMBER(SEARCH("lawyer",$B582))+ISNUMBER(SEARCH("broker",$B582))+ISNUMBER(SEARCH("bank",$B582))+ISNUMBER(SEARCH("charge",$B582))+ISNUMBER(SEARCH("permit",$B582))+ISNUMBER(SEARCH("bir",$B582))+ISNUMBER(SEARCH("ltfrb",$B582))+ISNUMBER(SEARCH("misc",$B582))+ISNUMBER(SEARCH("fee",$B582))&gt;0,"Overhead","Overhead")))))))</f>
        <v/>
      </c>
      <c r="J582">
        <f>IF($A582="","",DATE(YEAR($A582),MONTH($A582),1))</f>
        <v/>
      </c>
      <c r="K582">
        <f>IF($B582="","",IF(COUNTIF(Setup!$A$99:$A$128,$B582)&gt;0,0,1))</f>
        <v/>
      </c>
      <c r="L582">
        <f>IF($B582="","",IF(ISNUMBER(SEARCH("advance",$B582)),"ADV",IF(OR(ISNUMBER(SEARCH("payout",$B582)),ISNUMBER(SEARCH("pay out",$B582)),ISNUMBER(SEARCH("release",$B582))),"PAY","")))</f>
        <v/>
      </c>
      <c r="M582">
        <f>IF($B582="","",IF(ISNUMBER(SEARCH("bulk",$B582)),0,IF(ISNUMBER(SEARCH("fuel",$B582))+ISNUMBER(SEARCH("diesel",$B582))+ISNUMBER(SEARCH("krudo",$B582))+ISNUMBER(SEARCH("gasolina",$B582))&gt;0,1,0)))</f>
        <v/>
      </c>
      <c r="N582">
        <f>IF($B582="","",IF(ISNUMBER(SEARCH("fuel",$B582))+ISNUMBER(SEARCH("diesel",$B582))+ISNUMBER(SEARCH("krudo",$B582))+ISNUMBER(SEARCH("gasolina",$B582))&gt;0,1,0))</f>
        <v/>
      </c>
    </row>
    <row r="583">
      <c r="A583" s="86" t="n"/>
      <c r="B583" s="88" t="n"/>
      <c r="C583" s="88" t="n"/>
      <c r="D583" s="87" t="n"/>
      <c r="E583" s="88" t="n"/>
      <c r="F583" s="92" t="n"/>
      <c r="G583" s="87" t="n"/>
      <c r="H583" s="87" t="n"/>
      <c r="I583" s="101">
        <f>IF($B583="","",IF(COUNTIF(Setup!$A$99:$A$128,$B583)&gt;0,IF(INDEX(Setup!$B$99:$B$128,MATCH($B583,Setup!$A$99:$A$128,0))="","Overhead",INDEX(Setup!$B$99:$B$128,MATCH($B583,Setup!$A$99:$A$128,0))),IF(ISNUMBER(SEARCH("advance",$B583))+ISNUMBER(SEARCH("payout",$B583))+ISNUMBER(SEARCH("pay out",$B583))+ISNUMBER(SEARCH("reimburs",$B583))&gt;0,"Transfer",IF(ISNUMBER(SEARCH("loan",$B583))+ISNUMBER(SEARCH("amort",$B583))+ISNUMBER(SEARCH("installment",$B583))+ISNUMBER(SEARCH("instalment",$B583))&gt;0,"Financing",IF(ISNUMBER(SEARCH("draw",$B583))+ISNUMBER(SEARCH("owner",$B583))+ISNUMBER(SEARCH("asset",$B583))+ISNUMBER(SEARCH("capital",$B583))&gt;0,"Other",IF(ISNUMBER(SEARCH("fuel",$B583))+ISNUMBER(SEARCH("diesel",$B583))+ISNUMBER(SEARCH("krudo",$B583))+ISNUMBER(SEARCH("gasolina",$B583))+ISNUMBER(SEARCH("toll",$B583))+ISNUMBER(SEARCH("parking",$B583))+ISNUMBER(SEARCH("repair",$B583))+ISNUMBER(SEARCH("maintenance",$B583))+ISNUMBER(SEARCH("tire",$B583))+ISNUMBER(SEARCH("tyre",$B583))+ISNUMBER(SEARCH("battery",$B583))+ISNUMBER(SEARCH("oil",$B583))+ISNUMBER(SEARCH("filter",$B583))+ISNUMBER(SEARCH("spare",$B583))+ISNUMBER(SEARCH("insurance",$B583))+ISNUMBER(SEARCH("lto",$B583))+ISNUMBER(SEARCH("registration",$B583))+ISNUMBER(SEARCH("emission",$B583))+ISNUMBER(SEARCH("wash",$B583))+ISNUMBER(SEARCH("weigh",$B583))+ISNUMBER(SEARCH("tarp",$B583))&gt;0,"Vehicle",IF(ISNUMBER(SEARCH("rent",$B583))+ISNUMBER(SEARCH("upa",$B583))+ISNUMBER(SEARCH("salary",$B583))+ISNUMBER(SEARCH("sweldo",$B583))+ISNUMBER(SEARCH("wage",$B583))+ISNUMBER(SEARCH("electric",$B583))+ISNUMBER(SEARCH("kuryente",$B583))+ISNUMBER(SEARCH("water",$B583))+ISNUMBER(SEARCH("tubig",$B583))+ISNUMBER(SEARCH("internet",$B583))+ISNUMBER(SEARCH("pldt",$B583))+ISNUMBER(SEARCH("meralco",$B583))+ISNUMBER(SEARCH("supplies",$B583))+ISNUMBER(SEARCH("office",$B583))+ISNUMBER(SEARCH("professional",$B583))+ISNUMBER(SEARCH("accountant",$B583))+ISNUMBER(SEARCH("lawyer",$B583))+ISNUMBER(SEARCH("broker",$B583))+ISNUMBER(SEARCH("bank",$B583))+ISNUMBER(SEARCH("charge",$B583))+ISNUMBER(SEARCH("permit",$B583))+ISNUMBER(SEARCH("bir",$B583))+ISNUMBER(SEARCH("ltfrb",$B583))+ISNUMBER(SEARCH("misc",$B583))+ISNUMBER(SEARCH("fee",$B583))&gt;0,"Overhead","Overhead")))))))</f>
        <v/>
      </c>
      <c r="J583">
        <f>IF($A583="","",DATE(YEAR($A583),MONTH($A583),1))</f>
        <v/>
      </c>
      <c r="K583">
        <f>IF($B583="","",IF(COUNTIF(Setup!$A$99:$A$128,$B583)&gt;0,0,1))</f>
        <v/>
      </c>
      <c r="L583">
        <f>IF($B583="","",IF(ISNUMBER(SEARCH("advance",$B583)),"ADV",IF(OR(ISNUMBER(SEARCH("payout",$B583)),ISNUMBER(SEARCH("pay out",$B583)),ISNUMBER(SEARCH("release",$B583))),"PAY","")))</f>
        <v/>
      </c>
      <c r="M583">
        <f>IF($B583="","",IF(ISNUMBER(SEARCH("bulk",$B583)),0,IF(ISNUMBER(SEARCH("fuel",$B583))+ISNUMBER(SEARCH("diesel",$B583))+ISNUMBER(SEARCH("krudo",$B583))+ISNUMBER(SEARCH("gasolina",$B583))&gt;0,1,0)))</f>
        <v/>
      </c>
      <c r="N583">
        <f>IF($B583="","",IF(ISNUMBER(SEARCH("fuel",$B583))+ISNUMBER(SEARCH("diesel",$B583))+ISNUMBER(SEARCH("krudo",$B583))+ISNUMBER(SEARCH("gasolina",$B583))&gt;0,1,0))</f>
        <v/>
      </c>
    </row>
    <row r="584">
      <c r="A584" s="94" t="n"/>
      <c r="B584" s="96" t="n"/>
      <c r="C584" s="96" t="n"/>
      <c r="D584" s="95" t="n"/>
      <c r="E584" s="96" t="n"/>
      <c r="F584" s="99" t="n"/>
      <c r="G584" s="95" t="n"/>
      <c r="H584" s="95" t="n"/>
      <c r="I584" s="101">
        <f>IF($B584="","",IF(COUNTIF(Setup!$A$99:$A$128,$B584)&gt;0,IF(INDEX(Setup!$B$99:$B$128,MATCH($B584,Setup!$A$99:$A$128,0))="","Overhead",INDEX(Setup!$B$99:$B$128,MATCH($B584,Setup!$A$99:$A$128,0))),IF(ISNUMBER(SEARCH("advance",$B584))+ISNUMBER(SEARCH("payout",$B584))+ISNUMBER(SEARCH("pay out",$B584))+ISNUMBER(SEARCH("reimburs",$B584))&gt;0,"Transfer",IF(ISNUMBER(SEARCH("loan",$B584))+ISNUMBER(SEARCH("amort",$B584))+ISNUMBER(SEARCH("installment",$B584))+ISNUMBER(SEARCH("instalment",$B584))&gt;0,"Financing",IF(ISNUMBER(SEARCH("draw",$B584))+ISNUMBER(SEARCH("owner",$B584))+ISNUMBER(SEARCH("asset",$B584))+ISNUMBER(SEARCH("capital",$B584))&gt;0,"Other",IF(ISNUMBER(SEARCH("fuel",$B584))+ISNUMBER(SEARCH("diesel",$B584))+ISNUMBER(SEARCH("krudo",$B584))+ISNUMBER(SEARCH("gasolina",$B584))+ISNUMBER(SEARCH("toll",$B584))+ISNUMBER(SEARCH("parking",$B584))+ISNUMBER(SEARCH("repair",$B584))+ISNUMBER(SEARCH("maintenance",$B584))+ISNUMBER(SEARCH("tire",$B584))+ISNUMBER(SEARCH("tyre",$B584))+ISNUMBER(SEARCH("battery",$B584))+ISNUMBER(SEARCH("oil",$B584))+ISNUMBER(SEARCH("filter",$B584))+ISNUMBER(SEARCH("spare",$B584))+ISNUMBER(SEARCH("insurance",$B584))+ISNUMBER(SEARCH("lto",$B584))+ISNUMBER(SEARCH("registration",$B584))+ISNUMBER(SEARCH("emission",$B584))+ISNUMBER(SEARCH("wash",$B584))+ISNUMBER(SEARCH("weigh",$B584))+ISNUMBER(SEARCH("tarp",$B584))&gt;0,"Vehicle",IF(ISNUMBER(SEARCH("rent",$B584))+ISNUMBER(SEARCH("upa",$B584))+ISNUMBER(SEARCH("salary",$B584))+ISNUMBER(SEARCH("sweldo",$B584))+ISNUMBER(SEARCH("wage",$B584))+ISNUMBER(SEARCH("electric",$B584))+ISNUMBER(SEARCH("kuryente",$B584))+ISNUMBER(SEARCH("water",$B584))+ISNUMBER(SEARCH("tubig",$B584))+ISNUMBER(SEARCH("internet",$B584))+ISNUMBER(SEARCH("pldt",$B584))+ISNUMBER(SEARCH("meralco",$B584))+ISNUMBER(SEARCH("supplies",$B584))+ISNUMBER(SEARCH("office",$B584))+ISNUMBER(SEARCH("professional",$B584))+ISNUMBER(SEARCH("accountant",$B584))+ISNUMBER(SEARCH("lawyer",$B584))+ISNUMBER(SEARCH("broker",$B584))+ISNUMBER(SEARCH("bank",$B584))+ISNUMBER(SEARCH("charge",$B584))+ISNUMBER(SEARCH("permit",$B584))+ISNUMBER(SEARCH("bir",$B584))+ISNUMBER(SEARCH("ltfrb",$B584))+ISNUMBER(SEARCH("misc",$B584))+ISNUMBER(SEARCH("fee",$B584))&gt;0,"Overhead","Overhead")))))))</f>
        <v/>
      </c>
      <c r="J584">
        <f>IF($A584="","",DATE(YEAR($A584),MONTH($A584),1))</f>
        <v/>
      </c>
      <c r="K584">
        <f>IF($B584="","",IF(COUNTIF(Setup!$A$99:$A$128,$B584)&gt;0,0,1))</f>
        <v/>
      </c>
      <c r="L584">
        <f>IF($B584="","",IF(ISNUMBER(SEARCH("advance",$B584)),"ADV",IF(OR(ISNUMBER(SEARCH("payout",$B584)),ISNUMBER(SEARCH("pay out",$B584)),ISNUMBER(SEARCH("release",$B584))),"PAY","")))</f>
        <v/>
      </c>
      <c r="M584">
        <f>IF($B584="","",IF(ISNUMBER(SEARCH("bulk",$B584)),0,IF(ISNUMBER(SEARCH("fuel",$B584))+ISNUMBER(SEARCH("diesel",$B584))+ISNUMBER(SEARCH("krudo",$B584))+ISNUMBER(SEARCH("gasolina",$B584))&gt;0,1,0)))</f>
        <v/>
      </c>
      <c r="N584">
        <f>IF($B584="","",IF(ISNUMBER(SEARCH("fuel",$B584))+ISNUMBER(SEARCH("diesel",$B584))+ISNUMBER(SEARCH("krudo",$B584))+ISNUMBER(SEARCH("gasolina",$B584))&gt;0,1,0))</f>
        <v/>
      </c>
    </row>
    <row r="585">
      <c r="A585" s="86" t="n"/>
      <c r="B585" s="88" t="n"/>
      <c r="C585" s="88" t="n"/>
      <c r="D585" s="87" t="n"/>
      <c r="E585" s="88" t="n"/>
      <c r="F585" s="92" t="n"/>
      <c r="G585" s="87" t="n"/>
      <c r="H585" s="87" t="n"/>
      <c r="I585" s="101">
        <f>IF($B585="","",IF(COUNTIF(Setup!$A$99:$A$128,$B585)&gt;0,IF(INDEX(Setup!$B$99:$B$128,MATCH($B585,Setup!$A$99:$A$128,0))="","Overhead",INDEX(Setup!$B$99:$B$128,MATCH($B585,Setup!$A$99:$A$128,0))),IF(ISNUMBER(SEARCH("advance",$B585))+ISNUMBER(SEARCH("payout",$B585))+ISNUMBER(SEARCH("pay out",$B585))+ISNUMBER(SEARCH("reimburs",$B585))&gt;0,"Transfer",IF(ISNUMBER(SEARCH("loan",$B585))+ISNUMBER(SEARCH("amort",$B585))+ISNUMBER(SEARCH("installment",$B585))+ISNUMBER(SEARCH("instalment",$B585))&gt;0,"Financing",IF(ISNUMBER(SEARCH("draw",$B585))+ISNUMBER(SEARCH("owner",$B585))+ISNUMBER(SEARCH("asset",$B585))+ISNUMBER(SEARCH("capital",$B585))&gt;0,"Other",IF(ISNUMBER(SEARCH("fuel",$B585))+ISNUMBER(SEARCH("diesel",$B585))+ISNUMBER(SEARCH("krudo",$B585))+ISNUMBER(SEARCH("gasolina",$B585))+ISNUMBER(SEARCH("toll",$B585))+ISNUMBER(SEARCH("parking",$B585))+ISNUMBER(SEARCH("repair",$B585))+ISNUMBER(SEARCH("maintenance",$B585))+ISNUMBER(SEARCH("tire",$B585))+ISNUMBER(SEARCH("tyre",$B585))+ISNUMBER(SEARCH("battery",$B585))+ISNUMBER(SEARCH("oil",$B585))+ISNUMBER(SEARCH("filter",$B585))+ISNUMBER(SEARCH("spare",$B585))+ISNUMBER(SEARCH("insurance",$B585))+ISNUMBER(SEARCH("lto",$B585))+ISNUMBER(SEARCH("registration",$B585))+ISNUMBER(SEARCH("emission",$B585))+ISNUMBER(SEARCH("wash",$B585))+ISNUMBER(SEARCH("weigh",$B585))+ISNUMBER(SEARCH("tarp",$B585))&gt;0,"Vehicle",IF(ISNUMBER(SEARCH("rent",$B585))+ISNUMBER(SEARCH("upa",$B585))+ISNUMBER(SEARCH("salary",$B585))+ISNUMBER(SEARCH("sweldo",$B585))+ISNUMBER(SEARCH("wage",$B585))+ISNUMBER(SEARCH("electric",$B585))+ISNUMBER(SEARCH("kuryente",$B585))+ISNUMBER(SEARCH("water",$B585))+ISNUMBER(SEARCH("tubig",$B585))+ISNUMBER(SEARCH("internet",$B585))+ISNUMBER(SEARCH("pldt",$B585))+ISNUMBER(SEARCH("meralco",$B585))+ISNUMBER(SEARCH("supplies",$B585))+ISNUMBER(SEARCH("office",$B585))+ISNUMBER(SEARCH("professional",$B585))+ISNUMBER(SEARCH("accountant",$B585))+ISNUMBER(SEARCH("lawyer",$B585))+ISNUMBER(SEARCH("broker",$B585))+ISNUMBER(SEARCH("bank",$B585))+ISNUMBER(SEARCH("charge",$B585))+ISNUMBER(SEARCH("permit",$B585))+ISNUMBER(SEARCH("bir",$B585))+ISNUMBER(SEARCH("ltfrb",$B585))+ISNUMBER(SEARCH("misc",$B585))+ISNUMBER(SEARCH("fee",$B585))&gt;0,"Overhead","Overhead")))))))</f>
        <v/>
      </c>
      <c r="J585">
        <f>IF($A585="","",DATE(YEAR($A585),MONTH($A585),1))</f>
        <v/>
      </c>
      <c r="K585">
        <f>IF($B585="","",IF(COUNTIF(Setup!$A$99:$A$128,$B585)&gt;0,0,1))</f>
        <v/>
      </c>
      <c r="L585">
        <f>IF($B585="","",IF(ISNUMBER(SEARCH("advance",$B585)),"ADV",IF(OR(ISNUMBER(SEARCH("payout",$B585)),ISNUMBER(SEARCH("pay out",$B585)),ISNUMBER(SEARCH("release",$B585))),"PAY","")))</f>
        <v/>
      </c>
      <c r="M585">
        <f>IF($B585="","",IF(ISNUMBER(SEARCH("bulk",$B585)),0,IF(ISNUMBER(SEARCH("fuel",$B585))+ISNUMBER(SEARCH("diesel",$B585))+ISNUMBER(SEARCH("krudo",$B585))+ISNUMBER(SEARCH("gasolina",$B585))&gt;0,1,0)))</f>
        <v/>
      </c>
      <c r="N585">
        <f>IF($B585="","",IF(ISNUMBER(SEARCH("fuel",$B585))+ISNUMBER(SEARCH("diesel",$B585))+ISNUMBER(SEARCH("krudo",$B585))+ISNUMBER(SEARCH("gasolina",$B585))&gt;0,1,0))</f>
        <v/>
      </c>
    </row>
    <row r="586">
      <c r="A586" s="94" t="n"/>
      <c r="B586" s="96" t="n"/>
      <c r="C586" s="96" t="n"/>
      <c r="D586" s="95" t="n"/>
      <c r="E586" s="96" t="n"/>
      <c r="F586" s="99" t="n"/>
      <c r="G586" s="95" t="n"/>
      <c r="H586" s="95" t="n"/>
      <c r="I586" s="101">
        <f>IF($B586="","",IF(COUNTIF(Setup!$A$99:$A$128,$B586)&gt;0,IF(INDEX(Setup!$B$99:$B$128,MATCH($B586,Setup!$A$99:$A$128,0))="","Overhead",INDEX(Setup!$B$99:$B$128,MATCH($B586,Setup!$A$99:$A$128,0))),IF(ISNUMBER(SEARCH("advance",$B586))+ISNUMBER(SEARCH("payout",$B586))+ISNUMBER(SEARCH("pay out",$B586))+ISNUMBER(SEARCH("reimburs",$B586))&gt;0,"Transfer",IF(ISNUMBER(SEARCH("loan",$B586))+ISNUMBER(SEARCH("amort",$B586))+ISNUMBER(SEARCH("installment",$B586))+ISNUMBER(SEARCH("instalment",$B586))&gt;0,"Financing",IF(ISNUMBER(SEARCH("draw",$B586))+ISNUMBER(SEARCH("owner",$B586))+ISNUMBER(SEARCH("asset",$B586))+ISNUMBER(SEARCH("capital",$B586))&gt;0,"Other",IF(ISNUMBER(SEARCH("fuel",$B586))+ISNUMBER(SEARCH("diesel",$B586))+ISNUMBER(SEARCH("krudo",$B586))+ISNUMBER(SEARCH("gasolina",$B586))+ISNUMBER(SEARCH("toll",$B586))+ISNUMBER(SEARCH("parking",$B586))+ISNUMBER(SEARCH("repair",$B586))+ISNUMBER(SEARCH("maintenance",$B586))+ISNUMBER(SEARCH("tire",$B586))+ISNUMBER(SEARCH("tyre",$B586))+ISNUMBER(SEARCH("battery",$B586))+ISNUMBER(SEARCH("oil",$B586))+ISNUMBER(SEARCH("filter",$B586))+ISNUMBER(SEARCH("spare",$B586))+ISNUMBER(SEARCH("insurance",$B586))+ISNUMBER(SEARCH("lto",$B586))+ISNUMBER(SEARCH("registration",$B586))+ISNUMBER(SEARCH("emission",$B586))+ISNUMBER(SEARCH("wash",$B586))+ISNUMBER(SEARCH("weigh",$B586))+ISNUMBER(SEARCH("tarp",$B586))&gt;0,"Vehicle",IF(ISNUMBER(SEARCH("rent",$B586))+ISNUMBER(SEARCH("upa",$B586))+ISNUMBER(SEARCH("salary",$B586))+ISNUMBER(SEARCH("sweldo",$B586))+ISNUMBER(SEARCH("wage",$B586))+ISNUMBER(SEARCH("electric",$B586))+ISNUMBER(SEARCH("kuryente",$B586))+ISNUMBER(SEARCH("water",$B586))+ISNUMBER(SEARCH("tubig",$B586))+ISNUMBER(SEARCH("internet",$B586))+ISNUMBER(SEARCH("pldt",$B586))+ISNUMBER(SEARCH("meralco",$B586))+ISNUMBER(SEARCH("supplies",$B586))+ISNUMBER(SEARCH("office",$B586))+ISNUMBER(SEARCH("professional",$B586))+ISNUMBER(SEARCH("accountant",$B586))+ISNUMBER(SEARCH("lawyer",$B586))+ISNUMBER(SEARCH("broker",$B586))+ISNUMBER(SEARCH("bank",$B586))+ISNUMBER(SEARCH("charge",$B586))+ISNUMBER(SEARCH("permit",$B586))+ISNUMBER(SEARCH("bir",$B586))+ISNUMBER(SEARCH("ltfrb",$B586))+ISNUMBER(SEARCH("misc",$B586))+ISNUMBER(SEARCH("fee",$B586))&gt;0,"Overhead","Overhead")))))))</f>
        <v/>
      </c>
      <c r="J586">
        <f>IF($A586="","",DATE(YEAR($A586),MONTH($A586),1))</f>
        <v/>
      </c>
      <c r="K586">
        <f>IF($B586="","",IF(COUNTIF(Setup!$A$99:$A$128,$B586)&gt;0,0,1))</f>
        <v/>
      </c>
      <c r="L586">
        <f>IF($B586="","",IF(ISNUMBER(SEARCH("advance",$B586)),"ADV",IF(OR(ISNUMBER(SEARCH("payout",$B586)),ISNUMBER(SEARCH("pay out",$B586)),ISNUMBER(SEARCH("release",$B586))),"PAY","")))</f>
        <v/>
      </c>
      <c r="M586">
        <f>IF($B586="","",IF(ISNUMBER(SEARCH("bulk",$B586)),0,IF(ISNUMBER(SEARCH("fuel",$B586))+ISNUMBER(SEARCH("diesel",$B586))+ISNUMBER(SEARCH("krudo",$B586))+ISNUMBER(SEARCH("gasolina",$B586))&gt;0,1,0)))</f>
        <v/>
      </c>
      <c r="N586">
        <f>IF($B586="","",IF(ISNUMBER(SEARCH("fuel",$B586))+ISNUMBER(SEARCH("diesel",$B586))+ISNUMBER(SEARCH("krudo",$B586))+ISNUMBER(SEARCH("gasolina",$B586))&gt;0,1,0))</f>
        <v/>
      </c>
    </row>
    <row r="587">
      <c r="A587" s="86" t="n"/>
      <c r="B587" s="88" t="n"/>
      <c r="C587" s="88" t="n"/>
      <c r="D587" s="87" t="n"/>
      <c r="E587" s="88" t="n"/>
      <c r="F587" s="92" t="n"/>
      <c r="G587" s="87" t="n"/>
      <c r="H587" s="87" t="n"/>
      <c r="I587" s="101">
        <f>IF($B587="","",IF(COUNTIF(Setup!$A$99:$A$128,$B587)&gt;0,IF(INDEX(Setup!$B$99:$B$128,MATCH($B587,Setup!$A$99:$A$128,0))="","Overhead",INDEX(Setup!$B$99:$B$128,MATCH($B587,Setup!$A$99:$A$128,0))),IF(ISNUMBER(SEARCH("advance",$B587))+ISNUMBER(SEARCH("payout",$B587))+ISNUMBER(SEARCH("pay out",$B587))+ISNUMBER(SEARCH("reimburs",$B587))&gt;0,"Transfer",IF(ISNUMBER(SEARCH("loan",$B587))+ISNUMBER(SEARCH("amort",$B587))+ISNUMBER(SEARCH("installment",$B587))+ISNUMBER(SEARCH("instalment",$B587))&gt;0,"Financing",IF(ISNUMBER(SEARCH("draw",$B587))+ISNUMBER(SEARCH("owner",$B587))+ISNUMBER(SEARCH("asset",$B587))+ISNUMBER(SEARCH("capital",$B587))&gt;0,"Other",IF(ISNUMBER(SEARCH("fuel",$B587))+ISNUMBER(SEARCH("diesel",$B587))+ISNUMBER(SEARCH("krudo",$B587))+ISNUMBER(SEARCH("gasolina",$B587))+ISNUMBER(SEARCH("toll",$B587))+ISNUMBER(SEARCH("parking",$B587))+ISNUMBER(SEARCH("repair",$B587))+ISNUMBER(SEARCH("maintenance",$B587))+ISNUMBER(SEARCH("tire",$B587))+ISNUMBER(SEARCH("tyre",$B587))+ISNUMBER(SEARCH("battery",$B587))+ISNUMBER(SEARCH("oil",$B587))+ISNUMBER(SEARCH("filter",$B587))+ISNUMBER(SEARCH("spare",$B587))+ISNUMBER(SEARCH("insurance",$B587))+ISNUMBER(SEARCH("lto",$B587))+ISNUMBER(SEARCH("registration",$B587))+ISNUMBER(SEARCH("emission",$B587))+ISNUMBER(SEARCH("wash",$B587))+ISNUMBER(SEARCH("weigh",$B587))+ISNUMBER(SEARCH("tarp",$B587))&gt;0,"Vehicle",IF(ISNUMBER(SEARCH("rent",$B587))+ISNUMBER(SEARCH("upa",$B587))+ISNUMBER(SEARCH("salary",$B587))+ISNUMBER(SEARCH("sweldo",$B587))+ISNUMBER(SEARCH("wage",$B587))+ISNUMBER(SEARCH("electric",$B587))+ISNUMBER(SEARCH("kuryente",$B587))+ISNUMBER(SEARCH("water",$B587))+ISNUMBER(SEARCH("tubig",$B587))+ISNUMBER(SEARCH("internet",$B587))+ISNUMBER(SEARCH("pldt",$B587))+ISNUMBER(SEARCH("meralco",$B587))+ISNUMBER(SEARCH("supplies",$B587))+ISNUMBER(SEARCH("office",$B587))+ISNUMBER(SEARCH("professional",$B587))+ISNUMBER(SEARCH("accountant",$B587))+ISNUMBER(SEARCH("lawyer",$B587))+ISNUMBER(SEARCH("broker",$B587))+ISNUMBER(SEARCH("bank",$B587))+ISNUMBER(SEARCH("charge",$B587))+ISNUMBER(SEARCH("permit",$B587))+ISNUMBER(SEARCH("bir",$B587))+ISNUMBER(SEARCH("ltfrb",$B587))+ISNUMBER(SEARCH("misc",$B587))+ISNUMBER(SEARCH("fee",$B587))&gt;0,"Overhead","Overhead")))))))</f>
        <v/>
      </c>
      <c r="J587">
        <f>IF($A587="","",DATE(YEAR($A587),MONTH($A587),1))</f>
        <v/>
      </c>
      <c r="K587">
        <f>IF($B587="","",IF(COUNTIF(Setup!$A$99:$A$128,$B587)&gt;0,0,1))</f>
        <v/>
      </c>
      <c r="L587">
        <f>IF($B587="","",IF(ISNUMBER(SEARCH("advance",$B587)),"ADV",IF(OR(ISNUMBER(SEARCH("payout",$B587)),ISNUMBER(SEARCH("pay out",$B587)),ISNUMBER(SEARCH("release",$B587))),"PAY","")))</f>
        <v/>
      </c>
      <c r="M587">
        <f>IF($B587="","",IF(ISNUMBER(SEARCH("bulk",$B587)),0,IF(ISNUMBER(SEARCH("fuel",$B587))+ISNUMBER(SEARCH("diesel",$B587))+ISNUMBER(SEARCH("krudo",$B587))+ISNUMBER(SEARCH("gasolina",$B587))&gt;0,1,0)))</f>
        <v/>
      </c>
      <c r="N587">
        <f>IF($B587="","",IF(ISNUMBER(SEARCH("fuel",$B587))+ISNUMBER(SEARCH("diesel",$B587))+ISNUMBER(SEARCH("krudo",$B587))+ISNUMBER(SEARCH("gasolina",$B587))&gt;0,1,0))</f>
        <v/>
      </c>
    </row>
    <row r="588">
      <c r="A588" s="94" t="n"/>
      <c r="B588" s="96" t="n"/>
      <c r="C588" s="96" t="n"/>
      <c r="D588" s="95" t="n"/>
      <c r="E588" s="96" t="n"/>
      <c r="F588" s="99" t="n"/>
      <c r="G588" s="95" t="n"/>
      <c r="H588" s="95" t="n"/>
      <c r="I588" s="101">
        <f>IF($B588="","",IF(COUNTIF(Setup!$A$99:$A$128,$B588)&gt;0,IF(INDEX(Setup!$B$99:$B$128,MATCH($B588,Setup!$A$99:$A$128,0))="","Overhead",INDEX(Setup!$B$99:$B$128,MATCH($B588,Setup!$A$99:$A$128,0))),IF(ISNUMBER(SEARCH("advance",$B588))+ISNUMBER(SEARCH("payout",$B588))+ISNUMBER(SEARCH("pay out",$B588))+ISNUMBER(SEARCH("reimburs",$B588))&gt;0,"Transfer",IF(ISNUMBER(SEARCH("loan",$B588))+ISNUMBER(SEARCH("amort",$B588))+ISNUMBER(SEARCH("installment",$B588))+ISNUMBER(SEARCH("instalment",$B588))&gt;0,"Financing",IF(ISNUMBER(SEARCH("draw",$B588))+ISNUMBER(SEARCH("owner",$B588))+ISNUMBER(SEARCH("asset",$B588))+ISNUMBER(SEARCH("capital",$B588))&gt;0,"Other",IF(ISNUMBER(SEARCH("fuel",$B588))+ISNUMBER(SEARCH("diesel",$B588))+ISNUMBER(SEARCH("krudo",$B588))+ISNUMBER(SEARCH("gasolina",$B588))+ISNUMBER(SEARCH("toll",$B588))+ISNUMBER(SEARCH("parking",$B588))+ISNUMBER(SEARCH("repair",$B588))+ISNUMBER(SEARCH("maintenance",$B588))+ISNUMBER(SEARCH("tire",$B588))+ISNUMBER(SEARCH("tyre",$B588))+ISNUMBER(SEARCH("battery",$B588))+ISNUMBER(SEARCH("oil",$B588))+ISNUMBER(SEARCH("filter",$B588))+ISNUMBER(SEARCH("spare",$B588))+ISNUMBER(SEARCH("insurance",$B588))+ISNUMBER(SEARCH("lto",$B588))+ISNUMBER(SEARCH("registration",$B588))+ISNUMBER(SEARCH("emission",$B588))+ISNUMBER(SEARCH("wash",$B588))+ISNUMBER(SEARCH("weigh",$B588))+ISNUMBER(SEARCH("tarp",$B588))&gt;0,"Vehicle",IF(ISNUMBER(SEARCH("rent",$B588))+ISNUMBER(SEARCH("upa",$B588))+ISNUMBER(SEARCH("salary",$B588))+ISNUMBER(SEARCH("sweldo",$B588))+ISNUMBER(SEARCH("wage",$B588))+ISNUMBER(SEARCH("electric",$B588))+ISNUMBER(SEARCH("kuryente",$B588))+ISNUMBER(SEARCH("water",$B588))+ISNUMBER(SEARCH("tubig",$B588))+ISNUMBER(SEARCH("internet",$B588))+ISNUMBER(SEARCH("pldt",$B588))+ISNUMBER(SEARCH("meralco",$B588))+ISNUMBER(SEARCH("supplies",$B588))+ISNUMBER(SEARCH("office",$B588))+ISNUMBER(SEARCH("professional",$B588))+ISNUMBER(SEARCH("accountant",$B588))+ISNUMBER(SEARCH("lawyer",$B588))+ISNUMBER(SEARCH("broker",$B588))+ISNUMBER(SEARCH("bank",$B588))+ISNUMBER(SEARCH("charge",$B588))+ISNUMBER(SEARCH("permit",$B588))+ISNUMBER(SEARCH("bir",$B588))+ISNUMBER(SEARCH("ltfrb",$B588))+ISNUMBER(SEARCH("misc",$B588))+ISNUMBER(SEARCH("fee",$B588))&gt;0,"Overhead","Overhead")))))))</f>
        <v/>
      </c>
      <c r="J588">
        <f>IF($A588="","",DATE(YEAR($A588),MONTH($A588),1))</f>
        <v/>
      </c>
      <c r="K588">
        <f>IF($B588="","",IF(COUNTIF(Setup!$A$99:$A$128,$B588)&gt;0,0,1))</f>
        <v/>
      </c>
      <c r="L588">
        <f>IF($B588="","",IF(ISNUMBER(SEARCH("advance",$B588)),"ADV",IF(OR(ISNUMBER(SEARCH("payout",$B588)),ISNUMBER(SEARCH("pay out",$B588)),ISNUMBER(SEARCH("release",$B588))),"PAY","")))</f>
        <v/>
      </c>
      <c r="M588">
        <f>IF($B588="","",IF(ISNUMBER(SEARCH("bulk",$B588)),0,IF(ISNUMBER(SEARCH("fuel",$B588))+ISNUMBER(SEARCH("diesel",$B588))+ISNUMBER(SEARCH("krudo",$B588))+ISNUMBER(SEARCH("gasolina",$B588))&gt;0,1,0)))</f>
        <v/>
      </c>
      <c r="N588">
        <f>IF($B588="","",IF(ISNUMBER(SEARCH("fuel",$B588))+ISNUMBER(SEARCH("diesel",$B588))+ISNUMBER(SEARCH("krudo",$B588))+ISNUMBER(SEARCH("gasolina",$B588))&gt;0,1,0))</f>
        <v/>
      </c>
    </row>
    <row r="589">
      <c r="A589" s="86" t="n"/>
      <c r="B589" s="88" t="n"/>
      <c r="C589" s="88" t="n"/>
      <c r="D589" s="87" t="n"/>
      <c r="E589" s="88" t="n"/>
      <c r="F589" s="92" t="n"/>
      <c r="G589" s="87" t="n"/>
      <c r="H589" s="87" t="n"/>
      <c r="I589" s="101">
        <f>IF($B589="","",IF(COUNTIF(Setup!$A$99:$A$128,$B589)&gt;0,IF(INDEX(Setup!$B$99:$B$128,MATCH($B589,Setup!$A$99:$A$128,0))="","Overhead",INDEX(Setup!$B$99:$B$128,MATCH($B589,Setup!$A$99:$A$128,0))),IF(ISNUMBER(SEARCH("advance",$B589))+ISNUMBER(SEARCH("payout",$B589))+ISNUMBER(SEARCH("pay out",$B589))+ISNUMBER(SEARCH("reimburs",$B589))&gt;0,"Transfer",IF(ISNUMBER(SEARCH("loan",$B589))+ISNUMBER(SEARCH("amort",$B589))+ISNUMBER(SEARCH("installment",$B589))+ISNUMBER(SEARCH("instalment",$B589))&gt;0,"Financing",IF(ISNUMBER(SEARCH("draw",$B589))+ISNUMBER(SEARCH("owner",$B589))+ISNUMBER(SEARCH("asset",$B589))+ISNUMBER(SEARCH("capital",$B589))&gt;0,"Other",IF(ISNUMBER(SEARCH("fuel",$B589))+ISNUMBER(SEARCH("diesel",$B589))+ISNUMBER(SEARCH("krudo",$B589))+ISNUMBER(SEARCH("gasolina",$B589))+ISNUMBER(SEARCH("toll",$B589))+ISNUMBER(SEARCH("parking",$B589))+ISNUMBER(SEARCH("repair",$B589))+ISNUMBER(SEARCH("maintenance",$B589))+ISNUMBER(SEARCH("tire",$B589))+ISNUMBER(SEARCH("tyre",$B589))+ISNUMBER(SEARCH("battery",$B589))+ISNUMBER(SEARCH("oil",$B589))+ISNUMBER(SEARCH("filter",$B589))+ISNUMBER(SEARCH("spare",$B589))+ISNUMBER(SEARCH("insurance",$B589))+ISNUMBER(SEARCH("lto",$B589))+ISNUMBER(SEARCH("registration",$B589))+ISNUMBER(SEARCH("emission",$B589))+ISNUMBER(SEARCH("wash",$B589))+ISNUMBER(SEARCH("weigh",$B589))+ISNUMBER(SEARCH("tarp",$B589))&gt;0,"Vehicle",IF(ISNUMBER(SEARCH("rent",$B589))+ISNUMBER(SEARCH("upa",$B589))+ISNUMBER(SEARCH("salary",$B589))+ISNUMBER(SEARCH("sweldo",$B589))+ISNUMBER(SEARCH("wage",$B589))+ISNUMBER(SEARCH("electric",$B589))+ISNUMBER(SEARCH("kuryente",$B589))+ISNUMBER(SEARCH("water",$B589))+ISNUMBER(SEARCH("tubig",$B589))+ISNUMBER(SEARCH("internet",$B589))+ISNUMBER(SEARCH("pldt",$B589))+ISNUMBER(SEARCH("meralco",$B589))+ISNUMBER(SEARCH("supplies",$B589))+ISNUMBER(SEARCH("office",$B589))+ISNUMBER(SEARCH("professional",$B589))+ISNUMBER(SEARCH("accountant",$B589))+ISNUMBER(SEARCH("lawyer",$B589))+ISNUMBER(SEARCH("broker",$B589))+ISNUMBER(SEARCH("bank",$B589))+ISNUMBER(SEARCH("charge",$B589))+ISNUMBER(SEARCH("permit",$B589))+ISNUMBER(SEARCH("bir",$B589))+ISNUMBER(SEARCH("ltfrb",$B589))+ISNUMBER(SEARCH("misc",$B589))+ISNUMBER(SEARCH("fee",$B589))&gt;0,"Overhead","Overhead")))))))</f>
        <v/>
      </c>
      <c r="J589">
        <f>IF($A589="","",DATE(YEAR($A589),MONTH($A589),1))</f>
        <v/>
      </c>
      <c r="K589">
        <f>IF($B589="","",IF(COUNTIF(Setup!$A$99:$A$128,$B589)&gt;0,0,1))</f>
        <v/>
      </c>
      <c r="L589">
        <f>IF($B589="","",IF(ISNUMBER(SEARCH("advance",$B589)),"ADV",IF(OR(ISNUMBER(SEARCH("payout",$B589)),ISNUMBER(SEARCH("pay out",$B589)),ISNUMBER(SEARCH("release",$B589))),"PAY","")))</f>
        <v/>
      </c>
      <c r="M589">
        <f>IF($B589="","",IF(ISNUMBER(SEARCH("bulk",$B589)),0,IF(ISNUMBER(SEARCH("fuel",$B589))+ISNUMBER(SEARCH("diesel",$B589))+ISNUMBER(SEARCH("krudo",$B589))+ISNUMBER(SEARCH("gasolina",$B589))&gt;0,1,0)))</f>
        <v/>
      </c>
      <c r="N589">
        <f>IF($B589="","",IF(ISNUMBER(SEARCH("fuel",$B589))+ISNUMBER(SEARCH("diesel",$B589))+ISNUMBER(SEARCH("krudo",$B589))+ISNUMBER(SEARCH("gasolina",$B589))&gt;0,1,0))</f>
        <v/>
      </c>
    </row>
    <row r="590">
      <c r="A590" s="94" t="n"/>
      <c r="B590" s="96" t="n"/>
      <c r="C590" s="96" t="n"/>
      <c r="D590" s="95" t="n"/>
      <c r="E590" s="96" t="n"/>
      <c r="F590" s="99" t="n"/>
      <c r="G590" s="95" t="n"/>
      <c r="H590" s="95" t="n"/>
      <c r="I590" s="101">
        <f>IF($B590="","",IF(COUNTIF(Setup!$A$99:$A$128,$B590)&gt;0,IF(INDEX(Setup!$B$99:$B$128,MATCH($B590,Setup!$A$99:$A$128,0))="","Overhead",INDEX(Setup!$B$99:$B$128,MATCH($B590,Setup!$A$99:$A$128,0))),IF(ISNUMBER(SEARCH("advance",$B590))+ISNUMBER(SEARCH("payout",$B590))+ISNUMBER(SEARCH("pay out",$B590))+ISNUMBER(SEARCH("reimburs",$B590))&gt;0,"Transfer",IF(ISNUMBER(SEARCH("loan",$B590))+ISNUMBER(SEARCH("amort",$B590))+ISNUMBER(SEARCH("installment",$B590))+ISNUMBER(SEARCH("instalment",$B590))&gt;0,"Financing",IF(ISNUMBER(SEARCH("draw",$B590))+ISNUMBER(SEARCH("owner",$B590))+ISNUMBER(SEARCH("asset",$B590))+ISNUMBER(SEARCH("capital",$B590))&gt;0,"Other",IF(ISNUMBER(SEARCH("fuel",$B590))+ISNUMBER(SEARCH("diesel",$B590))+ISNUMBER(SEARCH("krudo",$B590))+ISNUMBER(SEARCH("gasolina",$B590))+ISNUMBER(SEARCH("toll",$B590))+ISNUMBER(SEARCH("parking",$B590))+ISNUMBER(SEARCH("repair",$B590))+ISNUMBER(SEARCH("maintenance",$B590))+ISNUMBER(SEARCH("tire",$B590))+ISNUMBER(SEARCH("tyre",$B590))+ISNUMBER(SEARCH("battery",$B590))+ISNUMBER(SEARCH("oil",$B590))+ISNUMBER(SEARCH("filter",$B590))+ISNUMBER(SEARCH("spare",$B590))+ISNUMBER(SEARCH("insurance",$B590))+ISNUMBER(SEARCH("lto",$B590))+ISNUMBER(SEARCH("registration",$B590))+ISNUMBER(SEARCH("emission",$B590))+ISNUMBER(SEARCH("wash",$B590))+ISNUMBER(SEARCH("weigh",$B590))+ISNUMBER(SEARCH("tarp",$B590))&gt;0,"Vehicle",IF(ISNUMBER(SEARCH("rent",$B590))+ISNUMBER(SEARCH("upa",$B590))+ISNUMBER(SEARCH("salary",$B590))+ISNUMBER(SEARCH("sweldo",$B590))+ISNUMBER(SEARCH("wage",$B590))+ISNUMBER(SEARCH("electric",$B590))+ISNUMBER(SEARCH("kuryente",$B590))+ISNUMBER(SEARCH("water",$B590))+ISNUMBER(SEARCH("tubig",$B590))+ISNUMBER(SEARCH("internet",$B590))+ISNUMBER(SEARCH("pldt",$B590))+ISNUMBER(SEARCH("meralco",$B590))+ISNUMBER(SEARCH("supplies",$B590))+ISNUMBER(SEARCH("office",$B590))+ISNUMBER(SEARCH("professional",$B590))+ISNUMBER(SEARCH("accountant",$B590))+ISNUMBER(SEARCH("lawyer",$B590))+ISNUMBER(SEARCH("broker",$B590))+ISNUMBER(SEARCH("bank",$B590))+ISNUMBER(SEARCH("charge",$B590))+ISNUMBER(SEARCH("permit",$B590))+ISNUMBER(SEARCH("bir",$B590))+ISNUMBER(SEARCH("ltfrb",$B590))+ISNUMBER(SEARCH("misc",$B590))+ISNUMBER(SEARCH("fee",$B590))&gt;0,"Overhead","Overhead")))))))</f>
        <v/>
      </c>
      <c r="J590">
        <f>IF($A590="","",DATE(YEAR($A590),MONTH($A590),1))</f>
        <v/>
      </c>
      <c r="K590">
        <f>IF($B590="","",IF(COUNTIF(Setup!$A$99:$A$128,$B590)&gt;0,0,1))</f>
        <v/>
      </c>
      <c r="L590">
        <f>IF($B590="","",IF(ISNUMBER(SEARCH("advance",$B590)),"ADV",IF(OR(ISNUMBER(SEARCH("payout",$B590)),ISNUMBER(SEARCH("pay out",$B590)),ISNUMBER(SEARCH("release",$B590))),"PAY","")))</f>
        <v/>
      </c>
      <c r="M590">
        <f>IF($B590="","",IF(ISNUMBER(SEARCH("bulk",$B590)),0,IF(ISNUMBER(SEARCH("fuel",$B590))+ISNUMBER(SEARCH("diesel",$B590))+ISNUMBER(SEARCH("krudo",$B590))+ISNUMBER(SEARCH("gasolina",$B590))&gt;0,1,0)))</f>
        <v/>
      </c>
      <c r="N590">
        <f>IF($B590="","",IF(ISNUMBER(SEARCH("fuel",$B590))+ISNUMBER(SEARCH("diesel",$B590))+ISNUMBER(SEARCH("krudo",$B590))+ISNUMBER(SEARCH("gasolina",$B590))&gt;0,1,0))</f>
        <v/>
      </c>
    </row>
    <row r="591">
      <c r="A591" s="86" t="n"/>
      <c r="B591" s="88" t="n"/>
      <c r="C591" s="88" t="n"/>
      <c r="D591" s="87" t="n"/>
      <c r="E591" s="88" t="n"/>
      <c r="F591" s="92" t="n"/>
      <c r="G591" s="87" t="n"/>
      <c r="H591" s="87" t="n"/>
      <c r="I591" s="101">
        <f>IF($B591="","",IF(COUNTIF(Setup!$A$99:$A$128,$B591)&gt;0,IF(INDEX(Setup!$B$99:$B$128,MATCH($B591,Setup!$A$99:$A$128,0))="","Overhead",INDEX(Setup!$B$99:$B$128,MATCH($B591,Setup!$A$99:$A$128,0))),IF(ISNUMBER(SEARCH("advance",$B591))+ISNUMBER(SEARCH("payout",$B591))+ISNUMBER(SEARCH("pay out",$B591))+ISNUMBER(SEARCH("reimburs",$B591))&gt;0,"Transfer",IF(ISNUMBER(SEARCH("loan",$B591))+ISNUMBER(SEARCH("amort",$B591))+ISNUMBER(SEARCH("installment",$B591))+ISNUMBER(SEARCH("instalment",$B591))&gt;0,"Financing",IF(ISNUMBER(SEARCH("draw",$B591))+ISNUMBER(SEARCH("owner",$B591))+ISNUMBER(SEARCH("asset",$B591))+ISNUMBER(SEARCH("capital",$B591))&gt;0,"Other",IF(ISNUMBER(SEARCH("fuel",$B591))+ISNUMBER(SEARCH("diesel",$B591))+ISNUMBER(SEARCH("krudo",$B591))+ISNUMBER(SEARCH("gasolina",$B591))+ISNUMBER(SEARCH("toll",$B591))+ISNUMBER(SEARCH("parking",$B591))+ISNUMBER(SEARCH("repair",$B591))+ISNUMBER(SEARCH("maintenance",$B591))+ISNUMBER(SEARCH("tire",$B591))+ISNUMBER(SEARCH("tyre",$B591))+ISNUMBER(SEARCH("battery",$B591))+ISNUMBER(SEARCH("oil",$B591))+ISNUMBER(SEARCH("filter",$B591))+ISNUMBER(SEARCH("spare",$B591))+ISNUMBER(SEARCH("insurance",$B591))+ISNUMBER(SEARCH("lto",$B591))+ISNUMBER(SEARCH("registration",$B591))+ISNUMBER(SEARCH("emission",$B591))+ISNUMBER(SEARCH("wash",$B591))+ISNUMBER(SEARCH("weigh",$B591))+ISNUMBER(SEARCH("tarp",$B591))&gt;0,"Vehicle",IF(ISNUMBER(SEARCH("rent",$B591))+ISNUMBER(SEARCH("upa",$B591))+ISNUMBER(SEARCH("salary",$B591))+ISNUMBER(SEARCH("sweldo",$B591))+ISNUMBER(SEARCH("wage",$B591))+ISNUMBER(SEARCH("electric",$B591))+ISNUMBER(SEARCH("kuryente",$B591))+ISNUMBER(SEARCH("water",$B591))+ISNUMBER(SEARCH("tubig",$B591))+ISNUMBER(SEARCH("internet",$B591))+ISNUMBER(SEARCH("pldt",$B591))+ISNUMBER(SEARCH("meralco",$B591))+ISNUMBER(SEARCH("supplies",$B591))+ISNUMBER(SEARCH("office",$B591))+ISNUMBER(SEARCH("professional",$B591))+ISNUMBER(SEARCH("accountant",$B591))+ISNUMBER(SEARCH("lawyer",$B591))+ISNUMBER(SEARCH("broker",$B591))+ISNUMBER(SEARCH("bank",$B591))+ISNUMBER(SEARCH("charge",$B591))+ISNUMBER(SEARCH("permit",$B591))+ISNUMBER(SEARCH("bir",$B591))+ISNUMBER(SEARCH("ltfrb",$B591))+ISNUMBER(SEARCH("misc",$B591))+ISNUMBER(SEARCH("fee",$B591))&gt;0,"Overhead","Overhead")))))))</f>
        <v/>
      </c>
      <c r="J591">
        <f>IF($A591="","",DATE(YEAR($A591),MONTH($A591),1))</f>
        <v/>
      </c>
      <c r="K591">
        <f>IF($B591="","",IF(COUNTIF(Setup!$A$99:$A$128,$B591)&gt;0,0,1))</f>
        <v/>
      </c>
      <c r="L591">
        <f>IF($B591="","",IF(ISNUMBER(SEARCH("advance",$B591)),"ADV",IF(OR(ISNUMBER(SEARCH("payout",$B591)),ISNUMBER(SEARCH("pay out",$B591)),ISNUMBER(SEARCH("release",$B591))),"PAY","")))</f>
        <v/>
      </c>
      <c r="M591">
        <f>IF($B591="","",IF(ISNUMBER(SEARCH("bulk",$B591)),0,IF(ISNUMBER(SEARCH("fuel",$B591))+ISNUMBER(SEARCH("diesel",$B591))+ISNUMBER(SEARCH("krudo",$B591))+ISNUMBER(SEARCH("gasolina",$B591))&gt;0,1,0)))</f>
        <v/>
      </c>
      <c r="N591">
        <f>IF($B591="","",IF(ISNUMBER(SEARCH("fuel",$B591))+ISNUMBER(SEARCH("diesel",$B591))+ISNUMBER(SEARCH("krudo",$B591))+ISNUMBER(SEARCH("gasolina",$B591))&gt;0,1,0))</f>
        <v/>
      </c>
    </row>
    <row r="592">
      <c r="A592" s="94" t="n"/>
      <c r="B592" s="96" t="n"/>
      <c r="C592" s="96" t="n"/>
      <c r="D592" s="95" t="n"/>
      <c r="E592" s="96" t="n"/>
      <c r="F592" s="99" t="n"/>
      <c r="G592" s="95" t="n"/>
      <c r="H592" s="95" t="n"/>
      <c r="I592" s="101">
        <f>IF($B592="","",IF(COUNTIF(Setup!$A$99:$A$128,$B592)&gt;0,IF(INDEX(Setup!$B$99:$B$128,MATCH($B592,Setup!$A$99:$A$128,0))="","Overhead",INDEX(Setup!$B$99:$B$128,MATCH($B592,Setup!$A$99:$A$128,0))),IF(ISNUMBER(SEARCH("advance",$B592))+ISNUMBER(SEARCH("payout",$B592))+ISNUMBER(SEARCH("pay out",$B592))+ISNUMBER(SEARCH("reimburs",$B592))&gt;0,"Transfer",IF(ISNUMBER(SEARCH("loan",$B592))+ISNUMBER(SEARCH("amort",$B592))+ISNUMBER(SEARCH("installment",$B592))+ISNUMBER(SEARCH("instalment",$B592))&gt;0,"Financing",IF(ISNUMBER(SEARCH("draw",$B592))+ISNUMBER(SEARCH("owner",$B592))+ISNUMBER(SEARCH("asset",$B592))+ISNUMBER(SEARCH("capital",$B592))&gt;0,"Other",IF(ISNUMBER(SEARCH("fuel",$B592))+ISNUMBER(SEARCH("diesel",$B592))+ISNUMBER(SEARCH("krudo",$B592))+ISNUMBER(SEARCH("gasolina",$B592))+ISNUMBER(SEARCH("toll",$B592))+ISNUMBER(SEARCH("parking",$B592))+ISNUMBER(SEARCH("repair",$B592))+ISNUMBER(SEARCH("maintenance",$B592))+ISNUMBER(SEARCH("tire",$B592))+ISNUMBER(SEARCH("tyre",$B592))+ISNUMBER(SEARCH("battery",$B592))+ISNUMBER(SEARCH("oil",$B592))+ISNUMBER(SEARCH("filter",$B592))+ISNUMBER(SEARCH("spare",$B592))+ISNUMBER(SEARCH("insurance",$B592))+ISNUMBER(SEARCH("lto",$B592))+ISNUMBER(SEARCH("registration",$B592))+ISNUMBER(SEARCH("emission",$B592))+ISNUMBER(SEARCH("wash",$B592))+ISNUMBER(SEARCH("weigh",$B592))+ISNUMBER(SEARCH("tarp",$B592))&gt;0,"Vehicle",IF(ISNUMBER(SEARCH("rent",$B592))+ISNUMBER(SEARCH("upa",$B592))+ISNUMBER(SEARCH("salary",$B592))+ISNUMBER(SEARCH("sweldo",$B592))+ISNUMBER(SEARCH("wage",$B592))+ISNUMBER(SEARCH("electric",$B592))+ISNUMBER(SEARCH("kuryente",$B592))+ISNUMBER(SEARCH("water",$B592))+ISNUMBER(SEARCH("tubig",$B592))+ISNUMBER(SEARCH("internet",$B592))+ISNUMBER(SEARCH("pldt",$B592))+ISNUMBER(SEARCH("meralco",$B592))+ISNUMBER(SEARCH("supplies",$B592))+ISNUMBER(SEARCH("office",$B592))+ISNUMBER(SEARCH("professional",$B592))+ISNUMBER(SEARCH("accountant",$B592))+ISNUMBER(SEARCH("lawyer",$B592))+ISNUMBER(SEARCH("broker",$B592))+ISNUMBER(SEARCH("bank",$B592))+ISNUMBER(SEARCH("charge",$B592))+ISNUMBER(SEARCH("permit",$B592))+ISNUMBER(SEARCH("bir",$B592))+ISNUMBER(SEARCH("ltfrb",$B592))+ISNUMBER(SEARCH("misc",$B592))+ISNUMBER(SEARCH("fee",$B592))&gt;0,"Overhead","Overhead")))))))</f>
        <v/>
      </c>
      <c r="J592">
        <f>IF($A592="","",DATE(YEAR($A592),MONTH($A592),1))</f>
        <v/>
      </c>
      <c r="K592">
        <f>IF($B592="","",IF(COUNTIF(Setup!$A$99:$A$128,$B592)&gt;0,0,1))</f>
        <v/>
      </c>
      <c r="L592">
        <f>IF($B592="","",IF(ISNUMBER(SEARCH("advance",$B592)),"ADV",IF(OR(ISNUMBER(SEARCH("payout",$B592)),ISNUMBER(SEARCH("pay out",$B592)),ISNUMBER(SEARCH("release",$B592))),"PAY","")))</f>
        <v/>
      </c>
      <c r="M592">
        <f>IF($B592="","",IF(ISNUMBER(SEARCH("bulk",$B592)),0,IF(ISNUMBER(SEARCH("fuel",$B592))+ISNUMBER(SEARCH("diesel",$B592))+ISNUMBER(SEARCH("krudo",$B592))+ISNUMBER(SEARCH("gasolina",$B592))&gt;0,1,0)))</f>
        <v/>
      </c>
      <c r="N592">
        <f>IF($B592="","",IF(ISNUMBER(SEARCH("fuel",$B592))+ISNUMBER(SEARCH("diesel",$B592))+ISNUMBER(SEARCH("krudo",$B592))+ISNUMBER(SEARCH("gasolina",$B592))&gt;0,1,0))</f>
        <v/>
      </c>
    </row>
    <row r="593">
      <c r="A593" s="86" t="n"/>
      <c r="B593" s="88" t="n"/>
      <c r="C593" s="88" t="n"/>
      <c r="D593" s="87" t="n"/>
      <c r="E593" s="88" t="n"/>
      <c r="F593" s="92" t="n"/>
      <c r="G593" s="87" t="n"/>
      <c r="H593" s="87" t="n"/>
      <c r="I593" s="101">
        <f>IF($B593="","",IF(COUNTIF(Setup!$A$99:$A$128,$B593)&gt;0,IF(INDEX(Setup!$B$99:$B$128,MATCH($B593,Setup!$A$99:$A$128,0))="","Overhead",INDEX(Setup!$B$99:$B$128,MATCH($B593,Setup!$A$99:$A$128,0))),IF(ISNUMBER(SEARCH("advance",$B593))+ISNUMBER(SEARCH("payout",$B593))+ISNUMBER(SEARCH("pay out",$B593))+ISNUMBER(SEARCH("reimburs",$B593))&gt;0,"Transfer",IF(ISNUMBER(SEARCH("loan",$B593))+ISNUMBER(SEARCH("amort",$B593))+ISNUMBER(SEARCH("installment",$B593))+ISNUMBER(SEARCH("instalment",$B593))&gt;0,"Financing",IF(ISNUMBER(SEARCH("draw",$B593))+ISNUMBER(SEARCH("owner",$B593))+ISNUMBER(SEARCH("asset",$B593))+ISNUMBER(SEARCH("capital",$B593))&gt;0,"Other",IF(ISNUMBER(SEARCH("fuel",$B593))+ISNUMBER(SEARCH("diesel",$B593))+ISNUMBER(SEARCH("krudo",$B593))+ISNUMBER(SEARCH("gasolina",$B593))+ISNUMBER(SEARCH("toll",$B593))+ISNUMBER(SEARCH("parking",$B593))+ISNUMBER(SEARCH("repair",$B593))+ISNUMBER(SEARCH("maintenance",$B593))+ISNUMBER(SEARCH("tire",$B593))+ISNUMBER(SEARCH("tyre",$B593))+ISNUMBER(SEARCH("battery",$B593))+ISNUMBER(SEARCH("oil",$B593))+ISNUMBER(SEARCH("filter",$B593))+ISNUMBER(SEARCH("spare",$B593))+ISNUMBER(SEARCH("insurance",$B593))+ISNUMBER(SEARCH("lto",$B593))+ISNUMBER(SEARCH("registration",$B593))+ISNUMBER(SEARCH("emission",$B593))+ISNUMBER(SEARCH("wash",$B593))+ISNUMBER(SEARCH("weigh",$B593))+ISNUMBER(SEARCH("tarp",$B593))&gt;0,"Vehicle",IF(ISNUMBER(SEARCH("rent",$B593))+ISNUMBER(SEARCH("upa",$B593))+ISNUMBER(SEARCH("salary",$B593))+ISNUMBER(SEARCH("sweldo",$B593))+ISNUMBER(SEARCH("wage",$B593))+ISNUMBER(SEARCH("electric",$B593))+ISNUMBER(SEARCH("kuryente",$B593))+ISNUMBER(SEARCH("water",$B593))+ISNUMBER(SEARCH("tubig",$B593))+ISNUMBER(SEARCH("internet",$B593))+ISNUMBER(SEARCH("pldt",$B593))+ISNUMBER(SEARCH("meralco",$B593))+ISNUMBER(SEARCH("supplies",$B593))+ISNUMBER(SEARCH("office",$B593))+ISNUMBER(SEARCH("professional",$B593))+ISNUMBER(SEARCH("accountant",$B593))+ISNUMBER(SEARCH("lawyer",$B593))+ISNUMBER(SEARCH("broker",$B593))+ISNUMBER(SEARCH("bank",$B593))+ISNUMBER(SEARCH("charge",$B593))+ISNUMBER(SEARCH("permit",$B593))+ISNUMBER(SEARCH("bir",$B593))+ISNUMBER(SEARCH("ltfrb",$B593))+ISNUMBER(SEARCH("misc",$B593))+ISNUMBER(SEARCH("fee",$B593))&gt;0,"Overhead","Overhead")))))))</f>
        <v/>
      </c>
      <c r="J593">
        <f>IF($A593="","",DATE(YEAR($A593),MONTH($A593),1))</f>
        <v/>
      </c>
      <c r="K593">
        <f>IF($B593="","",IF(COUNTIF(Setup!$A$99:$A$128,$B593)&gt;0,0,1))</f>
        <v/>
      </c>
      <c r="L593">
        <f>IF($B593="","",IF(ISNUMBER(SEARCH("advance",$B593)),"ADV",IF(OR(ISNUMBER(SEARCH("payout",$B593)),ISNUMBER(SEARCH("pay out",$B593)),ISNUMBER(SEARCH("release",$B593))),"PAY","")))</f>
        <v/>
      </c>
      <c r="M593">
        <f>IF($B593="","",IF(ISNUMBER(SEARCH("bulk",$B593)),0,IF(ISNUMBER(SEARCH("fuel",$B593))+ISNUMBER(SEARCH("diesel",$B593))+ISNUMBER(SEARCH("krudo",$B593))+ISNUMBER(SEARCH("gasolina",$B593))&gt;0,1,0)))</f>
        <v/>
      </c>
      <c r="N593">
        <f>IF($B593="","",IF(ISNUMBER(SEARCH("fuel",$B593))+ISNUMBER(SEARCH("diesel",$B593))+ISNUMBER(SEARCH("krudo",$B593))+ISNUMBER(SEARCH("gasolina",$B593))&gt;0,1,0))</f>
        <v/>
      </c>
    </row>
    <row r="594">
      <c r="A594" s="94" t="n"/>
      <c r="B594" s="96" t="n"/>
      <c r="C594" s="96" t="n"/>
      <c r="D594" s="95" t="n"/>
      <c r="E594" s="96" t="n"/>
      <c r="F594" s="99" t="n"/>
      <c r="G594" s="95" t="n"/>
      <c r="H594" s="95" t="n"/>
      <c r="I594" s="101">
        <f>IF($B594="","",IF(COUNTIF(Setup!$A$99:$A$128,$B594)&gt;0,IF(INDEX(Setup!$B$99:$B$128,MATCH($B594,Setup!$A$99:$A$128,0))="","Overhead",INDEX(Setup!$B$99:$B$128,MATCH($B594,Setup!$A$99:$A$128,0))),IF(ISNUMBER(SEARCH("advance",$B594))+ISNUMBER(SEARCH("payout",$B594))+ISNUMBER(SEARCH("pay out",$B594))+ISNUMBER(SEARCH("reimburs",$B594))&gt;0,"Transfer",IF(ISNUMBER(SEARCH("loan",$B594))+ISNUMBER(SEARCH("amort",$B594))+ISNUMBER(SEARCH("installment",$B594))+ISNUMBER(SEARCH("instalment",$B594))&gt;0,"Financing",IF(ISNUMBER(SEARCH("draw",$B594))+ISNUMBER(SEARCH("owner",$B594))+ISNUMBER(SEARCH("asset",$B594))+ISNUMBER(SEARCH("capital",$B594))&gt;0,"Other",IF(ISNUMBER(SEARCH("fuel",$B594))+ISNUMBER(SEARCH("diesel",$B594))+ISNUMBER(SEARCH("krudo",$B594))+ISNUMBER(SEARCH("gasolina",$B594))+ISNUMBER(SEARCH("toll",$B594))+ISNUMBER(SEARCH("parking",$B594))+ISNUMBER(SEARCH("repair",$B594))+ISNUMBER(SEARCH("maintenance",$B594))+ISNUMBER(SEARCH("tire",$B594))+ISNUMBER(SEARCH("tyre",$B594))+ISNUMBER(SEARCH("battery",$B594))+ISNUMBER(SEARCH("oil",$B594))+ISNUMBER(SEARCH("filter",$B594))+ISNUMBER(SEARCH("spare",$B594))+ISNUMBER(SEARCH("insurance",$B594))+ISNUMBER(SEARCH("lto",$B594))+ISNUMBER(SEARCH("registration",$B594))+ISNUMBER(SEARCH("emission",$B594))+ISNUMBER(SEARCH("wash",$B594))+ISNUMBER(SEARCH("weigh",$B594))+ISNUMBER(SEARCH("tarp",$B594))&gt;0,"Vehicle",IF(ISNUMBER(SEARCH("rent",$B594))+ISNUMBER(SEARCH("upa",$B594))+ISNUMBER(SEARCH("salary",$B594))+ISNUMBER(SEARCH("sweldo",$B594))+ISNUMBER(SEARCH("wage",$B594))+ISNUMBER(SEARCH("electric",$B594))+ISNUMBER(SEARCH("kuryente",$B594))+ISNUMBER(SEARCH("water",$B594))+ISNUMBER(SEARCH("tubig",$B594))+ISNUMBER(SEARCH("internet",$B594))+ISNUMBER(SEARCH("pldt",$B594))+ISNUMBER(SEARCH("meralco",$B594))+ISNUMBER(SEARCH("supplies",$B594))+ISNUMBER(SEARCH("office",$B594))+ISNUMBER(SEARCH("professional",$B594))+ISNUMBER(SEARCH("accountant",$B594))+ISNUMBER(SEARCH("lawyer",$B594))+ISNUMBER(SEARCH("broker",$B594))+ISNUMBER(SEARCH("bank",$B594))+ISNUMBER(SEARCH("charge",$B594))+ISNUMBER(SEARCH("permit",$B594))+ISNUMBER(SEARCH("bir",$B594))+ISNUMBER(SEARCH("ltfrb",$B594))+ISNUMBER(SEARCH("misc",$B594))+ISNUMBER(SEARCH("fee",$B594))&gt;0,"Overhead","Overhead")))))))</f>
        <v/>
      </c>
      <c r="J594">
        <f>IF($A594="","",DATE(YEAR($A594),MONTH($A594),1))</f>
        <v/>
      </c>
      <c r="K594">
        <f>IF($B594="","",IF(COUNTIF(Setup!$A$99:$A$128,$B594)&gt;0,0,1))</f>
        <v/>
      </c>
      <c r="L594">
        <f>IF($B594="","",IF(ISNUMBER(SEARCH("advance",$B594)),"ADV",IF(OR(ISNUMBER(SEARCH("payout",$B594)),ISNUMBER(SEARCH("pay out",$B594)),ISNUMBER(SEARCH("release",$B594))),"PAY","")))</f>
        <v/>
      </c>
      <c r="M594">
        <f>IF($B594="","",IF(ISNUMBER(SEARCH("bulk",$B594)),0,IF(ISNUMBER(SEARCH("fuel",$B594))+ISNUMBER(SEARCH("diesel",$B594))+ISNUMBER(SEARCH("krudo",$B594))+ISNUMBER(SEARCH("gasolina",$B594))&gt;0,1,0)))</f>
        <v/>
      </c>
      <c r="N594">
        <f>IF($B594="","",IF(ISNUMBER(SEARCH("fuel",$B594))+ISNUMBER(SEARCH("diesel",$B594))+ISNUMBER(SEARCH("krudo",$B594))+ISNUMBER(SEARCH("gasolina",$B594))&gt;0,1,0))</f>
        <v/>
      </c>
    </row>
    <row r="595">
      <c r="A595" s="86" t="n"/>
      <c r="B595" s="88" t="n"/>
      <c r="C595" s="88" t="n"/>
      <c r="D595" s="87" t="n"/>
      <c r="E595" s="88" t="n"/>
      <c r="F595" s="92" t="n"/>
      <c r="G595" s="87" t="n"/>
      <c r="H595" s="87" t="n"/>
      <c r="I595" s="101">
        <f>IF($B595="","",IF(COUNTIF(Setup!$A$99:$A$128,$B595)&gt;0,IF(INDEX(Setup!$B$99:$B$128,MATCH($B595,Setup!$A$99:$A$128,0))="","Overhead",INDEX(Setup!$B$99:$B$128,MATCH($B595,Setup!$A$99:$A$128,0))),IF(ISNUMBER(SEARCH("advance",$B595))+ISNUMBER(SEARCH("payout",$B595))+ISNUMBER(SEARCH("pay out",$B595))+ISNUMBER(SEARCH("reimburs",$B595))&gt;0,"Transfer",IF(ISNUMBER(SEARCH("loan",$B595))+ISNUMBER(SEARCH("amort",$B595))+ISNUMBER(SEARCH("installment",$B595))+ISNUMBER(SEARCH("instalment",$B595))&gt;0,"Financing",IF(ISNUMBER(SEARCH("draw",$B595))+ISNUMBER(SEARCH("owner",$B595))+ISNUMBER(SEARCH("asset",$B595))+ISNUMBER(SEARCH("capital",$B595))&gt;0,"Other",IF(ISNUMBER(SEARCH("fuel",$B595))+ISNUMBER(SEARCH("diesel",$B595))+ISNUMBER(SEARCH("krudo",$B595))+ISNUMBER(SEARCH("gasolina",$B595))+ISNUMBER(SEARCH("toll",$B595))+ISNUMBER(SEARCH("parking",$B595))+ISNUMBER(SEARCH("repair",$B595))+ISNUMBER(SEARCH("maintenance",$B595))+ISNUMBER(SEARCH("tire",$B595))+ISNUMBER(SEARCH("tyre",$B595))+ISNUMBER(SEARCH("battery",$B595))+ISNUMBER(SEARCH("oil",$B595))+ISNUMBER(SEARCH("filter",$B595))+ISNUMBER(SEARCH("spare",$B595))+ISNUMBER(SEARCH("insurance",$B595))+ISNUMBER(SEARCH("lto",$B595))+ISNUMBER(SEARCH("registration",$B595))+ISNUMBER(SEARCH("emission",$B595))+ISNUMBER(SEARCH("wash",$B595))+ISNUMBER(SEARCH("weigh",$B595))+ISNUMBER(SEARCH("tarp",$B595))&gt;0,"Vehicle",IF(ISNUMBER(SEARCH("rent",$B595))+ISNUMBER(SEARCH("upa",$B595))+ISNUMBER(SEARCH("salary",$B595))+ISNUMBER(SEARCH("sweldo",$B595))+ISNUMBER(SEARCH("wage",$B595))+ISNUMBER(SEARCH("electric",$B595))+ISNUMBER(SEARCH("kuryente",$B595))+ISNUMBER(SEARCH("water",$B595))+ISNUMBER(SEARCH("tubig",$B595))+ISNUMBER(SEARCH("internet",$B595))+ISNUMBER(SEARCH("pldt",$B595))+ISNUMBER(SEARCH("meralco",$B595))+ISNUMBER(SEARCH("supplies",$B595))+ISNUMBER(SEARCH("office",$B595))+ISNUMBER(SEARCH("professional",$B595))+ISNUMBER(SEARCH("accountant",$B595))+ISNUMBER(SEARCH("lawyer",$B595))+ISNUMBER(SEARCH("broker",$B595))+ISNUMBER(SEARCH("bank",$B595))+ISNUMBER(SEARCH("charge",$B595))+ISNUMBER(SEARCH("permit",$B595))+ISNUMBER(SEARCH("bir",$B595))+ISNUMBER(SEARCH("ltfrb",$B595))+ISNUMBER(SEARCH("misc",$B595))+ISNUMBER(SEARCH("fee",$B595))&gt;0,"Overhead","Overhead")))))))</f>
        <v/>
      </c>
      <c r="J595">
        <f>IF($A595="","",DATE(YEAR($A595),MONTH($A595),1))</f>
        <v/>
      </c>
      <c r="K595">
        <f>IF($B595="","",IF(COUNTIF(Setup!$A$99:$A$128,$B595)&gt;0,0,1))</f>
        <v/>
      </c>
      <c r="L595">
        <f>IF($B595="","",IF(ISNUMBER(SEARCH("advance",$B595)),"ADV",IF(OR(ISNUMBER(SEARCH("payout",$B595)),ISNUMBER(SEARCH("pay out",$B595)),ISNUMBER(SEARCH("release",$B595))),"PAY","")))</f>
        <v/>
      </c>
      <c r="M595">
        <f>IF($B595="","",IF(ISNUMBER(SEARCH("bulk",$B595)),0,IF(ISNUMBER(SEARCH("fuel",$B595))+ISNUMBER(SEARCH("diesel",$B595))+ISNUMBER(SEARCH("krudo",$B595))+ISNUMBER(SEARCH("gasolina",$B595))&gt;0,1,0)))</f>
        <v/>
      </c>
      <c r="N595">
        <f>IF($B595="","",IF(ISNUMBER(SEARCH("fuel",$B595))+ISNUMBER(SEARCH("diesel",$B595))+ISNUMBER(SEARCH("krudo",$B595))+ISNUMBER(SEARCH("gasolina",$B595))&gt;0,1,0))</f>
        <v/>
      </c>
    </row>
    <row r="596">
      <c r="A596" s="94" t="n"/>
      <c r="B596" s="96" t="n"/>
      <c r="C596" s="96" t="n"/>
      <c r="D596" s="95" t="n"/>
      <c r="E596" s="96" t="n"/>
      <c r="F596" s="99" t="n"/>
      <c r="G596" s="95" t="n"/>
      <c r="H596" s="95" t="n"/>
      <c r="I596" s="101">
        <f>IF($B596="","",IF(COUNTIF(Setup!$A$99:$A$128,$B596)&gt;0,IF(INDEX(Setup!$B$99:$B$128,MATCH($B596,Setup!$A$99:$A$128,0))="","Overhead",INDEX(Setup!$B$99:$B$128,MATCH($B596,Setup!$A$99:$A$128,0))),IF(ISNUMBER(SEARCH("advance",$B596))+ISNUMBER(SEARCH("payout",$B596))+ISNUMBER(SEARCH("pay out",$B596))+ISNUMBER(SEARCH("reimburs",$B596))&gt;0,"Transfer",IF(ISNUMBER(SEARCH("loan",$B596))+ISNUMBER(SEARCH("amort",$B596))+ISNUMBER(SEARCH("installment",$B596))+ISNUMBER(SEARCH("instalment",$B596))&gt;0,"Financing",IF(ISNUMBER(SEARCH("draw",$B596))+ISNUMBER(SEARCH("owner",$B596))+ISNUMBER(SEARCH("asset",$B596))+ISNUMBER(SEARCH("capital",$B596))&gt;0,"Other",IF(ISNUMBER(SEARCH("fuel",$B596))+ISNUMBER(SEARCH("diesel",$B596))+ISNUMBER(SEARCH("krudo",$B596))+ISNUMBER(SEARCH("gasolina",$B596))+ISNUMBER(SEARCH("toll",$B596))+ISNUMBER(SEARCH("parking",$B596))+ISNUMBER(SEARCH("repair",$B596))+ISNUMBER(SEARCH("maintenance",$B596))+ISNUMBER(SEARCH("tire",$B596))+ISNUMBER(SEARCH("tyre",$B596))+ISNUMBER(SEARCH("battery",$B596))+ISNUMBER(SEARCH("oil",$B596))+ISNUMBER(SEARCH("filter",$B596))+ISNUMBER(SEARCH("spare",$B596))+ISNUMBER(SEARCH("insurance",$B596))+ISNUMBER(SEARCH("lto",$B596))+ISNUMBER(SEARCH("registration",$B596))+ISNUMBER(SEARCH("emission",$B596))+ISNUMBER(SEARCH("wash",$B596))+ISNUMBER(SEARCH("weigh",$B596))+ISNUMBER(SEARCH("tarp",$B596))&gt;0,"Vehicle",IF(ISNUMBER(SEARCH("rent",$B596))+ISNUMBER(SEARCH("upa",$B596))+ISNUMBER(SEARCH("salary",$B596))+ISNUMBER(SEARCH("sweldo",$B596))+ISNUMBER(SEARCH("wage",$B596))+ISNUMBER(SEARCH("electric",$B596))+ISNUMBER(SEARCH("kuryente",$B596))+ISNUMBER(SEARCH("water",$B596))+ISNUMBER(SEARCH("tubig",$B596))+ISNUMBER(SEARCH("internet",$B596))+ISNUMBER(SEARCH("pldt",$B596))+ISNUMBER(SEARCH("meralco",$B596))+ISNUMBER(SEARCH("supplies",$B596))+ISNUMBER(SEARCH("office",$B596))+ISNUMBER(SEARCH("professional",$B596))+ISNUMBER(SEARCH("accountant",$B596))+ISNUMBER(SEARCH("lawyer",$B596))+ISNUMBER(SEARCH("broker",$B596))+ISNUMBER(SEARCH("bank",$B596))+ISNUMBER(SEARCH("charge",$B596))+ISNUMBER(SEARCH("permit",$B596))+ISNUMBER(SEARCH("bir",$B596))+ISNUMBER(SEARCH("ltfrb",$B596))+ISNUMBER(SEARCH("misc",$B596))+ISNUMBER(SEARCH("fee",$B596))&gt;0,"Overhead","Overhead")))))))</f>
        <v/>
      </c>
      <c r="J596">
        <f>IF($A596="","",DATE(YEAR($A596),MONTH($A596),1))</f>
        <v/>
      </c>
      <c r="K596">
        <f>IF($B596="","",IF(COUNTIF(Setup!$A$99:$A$128,$B596)&gt;0,0,1))</f>
        <v/>
      </c>
      <c r="L596">
        <f>IF($B596="","",IF(ISNUMBER(SEARCH("advance",$B596)),"ADV",IF(OR(ISNUMBER(SEARCH("payout",$B596)),ISNUMBER(SEARCH("pay out",$B596)),ISNUMBER(SEARCH("release",$B596))),"PAY","")))</f>
        <v/>
      </c>
      <c r="M596">
        <f>IF($B596="","",IF(ISNUMBER(SEARCH("bulk",$B596)),0,IF(ISNUMBER(SEARCH("fuel",$B596))+ISNUMBER(SEARCH("diesel",$B596))+ISNUMBER(SEARCH("krudo",$B596))+ISNUMBER(SEARCH("gasolina",$B596))&gt;0,1,0)))</f>
        <v/>
      </c>
      <c r="N596">
        <f>IF($B596="","",IF(ISNUMBER(SEARCH("fuel",$B596))+ISNUMBER(SEARCH("diesel",$B596))+ISNUMBER(SEARCH("krudo",$B596))+ISNUMBER(SEARCH("gasolina",$B596))&gt;0,1,0))</f>
        <v/>
      </c>
    </row>
    <row r="597">
      <c r="A597" s="86" t="n"/>
      <c r="B597" s="88" t="n"/>
      <c r="C597" s="88" t="n"/>
      <c r="D597" s="87" t="n"/>
      <c r="E597" s="88" t="n"/>
      <c r="F597" s="92" t="n"/>
      <c r="G597" s="87" t="n"/>
      <c r="H597" s="87" t="n"/>
      <c r="I597" s="101">
        <f>IF($B597="","",IF(COUNTIF(Setup!$A$99:$A$128,$B597)&gt;0,IF(INDEX(Setup!$B$99:$B$128,MATCH($B597,Setup!$A$99:$A$128,0))="","Overhead",INDEX(Setup!$B$99:$B$128,MATCH($B597,Setup!$A$99:$A$128,0))),IF(ISNUMBER(SEARCH("advance",$B597))+ISNUMBER(SEARCH("payout",$B597))+ISNUMBER(SEARCH("pay out",$B597))+ISNUMBER(SEARCH("reimburs",$B597))&gt;0,"Transfer",IF(ISNUMBER(SEARCH("loan",$B597))+ISNUMBER(SEARCH("amort",$B597))+ISNUMBER(SEARCH("installment",$B597))+ISNUMBER(SEARCH("instalment",$B597))&gt;0,"Financing",IF(ISNUMBER(SEARCH("draw",$B597))+ISNUMBER(SEARCH("owner",$B597))+ISNUMBER(SEARCH("asset",$B597))+ISNUMBER(SEARCH("capital",$B597))&gt;0,"Other",IF(ISNUMBER(SEARCH("fuel",$B597))+ISNUMBER(SEARCH("diesel",$B597))+ISNUMBER(SEARCH("krudo",$B597))+ISNUMBER(SEARCH("gasolina",$B597))+ISNUMBER(SEARCH("toll",$B597))+ISNUMBER(SEARCH("parking",$B597))+ISNUMBER(SEARCH("repair",$B597))+ISNUMBER(SEARCH("maintenance",$B597))+ISNUMBER(SEARCH("tire",$B597))+ISNUMBER(SEARCH("tyre",$B597))+ISNUMBER(SEARCH("battery",$B597))+ISNUMBER(SEARCH("oil",$B597))+ISNUMBER(SEARCH("filter",$B597))+ISNUMBER(SEARCH("spare",$B597))+ISNUMBER(SEARCH("insurance",$B597))+ISNUMBER(SEARCH("lto",$B597))+ISNUMBER(SEARCH("registration",$B597))+ISNUMBER(SEARCH("emission",$B597))+ISNUMBER(SEARCH("wash",$B597))+ISNUMBER(SEARCH("weigh",$B597))+ISNUMBER(SEARCH("tarp",$B597))&gt;0,"Vehicle",IF(ISNUMBER(SEARCH("rent",$B597))+ISNUMBER(SEARCH("upa",$B597))+ISNUMBER(SEARCH("salary",$B597))+ISNUMBER(SEARCH("sweldo",$B597))+ISNUMBER(SEARCH("wage",$B597))+ISNUMBER(SEARCH("electric",$B597))+ISNUMBER(SEARCH("kuryente",$B597))+ISNUMBER(SEARCH("water",$B597))+ISNUMBER(SEARCH("tubig",$B597))+ISNUMBER(SEARCH("internet",$B597))+ISNUMBER(SEARCH("pldt",$B597))+ISNUMBER(SEARCH("meralco",$B597))+ISNUMBER(SEARCH("supplies",$B597))+ISNUMBER(SEARCH("office",$B597))+ISNUMBER(SEARCH("professional",$B597))+ISNUMBER(SEARCH("accountant",$B597))+ISNUMBER(SEARCH("lawyer",$B597))+ISNUMBER(SEARCH("broker",$B597))+ISNUMBER(SEARCH("bank",$B597))+ISNUMBER(SEARCH("charge",$B597))+ISNUMBER(SEARCH("permit",$B597))+ISNUMBER(SEARCH("bir",$B597))+ISNUMBER(SEARCH("ltfrb",$B597))+ISNUMBER(SEARCH("misc",$B597))+ISNUMBER(SEARCH("fee",$B597))&gt;0,"Overhead","Overhead")))))))</f>
        <v/>
      </c>
      <c r="J597">
        <f>IF($A597="","",DATE(YEAR($A597),MONTH($A597),1))</f>
        <v/>
      </c>
      <c r="K597">
        <f>IF($B597="","",IF(COUNTIF(Setup!$A$99:$A$128,$B597)&gt;0,0,1))</f>
        <v/>
      </c>
      <c r="L597">
        <f>IF($B597="","",IF(ISNUMBER(SEARCH("advance",$B597)),"ADV",IF(OR(ISNUMBER(SEARCH("payout",$B597)),ISNUMBER(SEARCH("pay out",$B597)),ISNUMBER(SEARCH("release",$B597))),"PAY","")))</f>
        <v/>
      </c>
      <c r="M597">
        <f>IF($B597="","",IF(ISNUMBER(SEARCH("bulk",$B597)),0,IF(ISNUMBER(SEARCH("fuel",$B597))+ISNUMBER(SEARCH("diesel",$B597))+ISNUMBER(SEARCH("krudo",$B597))+ISNUMBER(SEARCH("gasolina",$B597))&gt;0,1,0)))</f>
        <v/>
      </c>
      <c r="N597">
        <f>IF($B597="","",IF(ISNUMBER(SEARCH("fuel",$B597))+ISNUMBER(SEARCH("diesel",$B597))+ISNUMBER(SEARCH("krudo",$B597))+ISNUMBER(SEARCH("gasolina",$B597))&gt;0,1,0))</f>
        <v/>
      </c>
    </row>
    <row r="598">
      <c r="A598" s="94" t="n"/>
      <c r="B598" s="96" t="n"/>
      <c r="C598" s="96" t="n"/>
      <c r="D598" s="95" t="n"/>
      <c r="E598" s="96" t="n"/>
      <c r="F598" s="99" t="n"/>
      <c r="G598" s="95" t="n"/>
      <c r="H598" s="95" t="n"/>
      <c r="I598" s="101">
        <f>IF($B598="","",IF(COUNTIF(Setup!$A$99:$A$128,$B598)&gt;0,IF(INDEX(Setup!$B$99:$B$128,MATCH($B598,Setup!$A$99:$A$128,0))="","Overhead",INDEX(Setup!$B$99:$B$128,MATCH($B598,Setup!$A$99:$A$128,0))),IF(ISNUMBER(SEARCH("advance",$B598))+ISNUMBER(SEARCH("payout",$B598))+ISNUMBER(SEARCH("pay out",$B598))+ISNUMBER(SEARCH("reimburs",$B598))&gt;0,"Transfer",IF(ISNUMBER(SEARCH("loan",$B598))+ISNUMBER(SEARCH("amort",$B598))+ISNUMBER(SEARCH("installment",$B598))+ISNUMBER(SEARCH("instalment",$B598))&gt;0,"Financing",IF(ISNUMBER(SEARCH("draw",$B598))+ISNUMBER(SEARCH("owner",$B598))+ISNUMBER(SEARCH("asset",$B598))+ISNUMBER(SEARCH("capital",$B598))&gt;0,"Other",IF(ISNUMBER(SEARCH("fuel",$B598))+ISNUMBER(SEARCH("diesel",$B598))+ISNUMBER(SEARCH("krudo",$B598))+ISNUMBER(SEARCH("gasolina",$B598))+ISNUMBER(SEARCH("toll",$B598))+ISNUMBER(SEARCH("parking",$B598))+ISNUMBER(SEARCH("repair",$B598))+ISNUMBER(SEARCH("maintenance",$B598))+ISNUMBER(SEARCH("tire",$B598))+ISNUMBER(SEARCH("tyre",$B598))+ISNUMBER(SEARCH("battery",$B598))+ISNUMBER(SEARCH("oil",$B598))+ISNUMBER(SEARCH("filter",$B598))+ISNUMBER(SEARCH("spare",$B598))+ISNUMBER(SEARCH("insurance",$B598))+ISNUMBER(SEARCH("lto",$B598))+ISNUMBER(SEARCH("registration",$B598))+ISNUMBER(SEARCH("emission",$B598))+ISNUMBER(SEARCH("wash",$B598))+ISNUMBER(SEARCH("weigh",$B598))+ISNUMBER(SEARCH("tarp",$B598))&gt;0,"Vehicle",IF(ISNUMBER(SEARCH("rent",$B598))+ISNUMBER(SEARCH("upa",$B598))+ISNUMBER(SEARCH("salary",$B598))+ISNUMBER(SEARCH("sweldo",$B598))+ISNUMBER(SEARCH("wage",$B598))+ISNUMBER(SEARCH("electric",$B598))+ISNUMBER(SEARCH("kuryente",$B598))+ISNUMBER(SEARCH("water",$B598))+ISNUMBER(SEARCH("tubig",$B598))+ISNUMBER(SEARCH("internet",$B598))+ISNUMBER(SEARCH("pldt",$B598))+ISNUMBER(SEARCH("meralco",$B598))+ISNUMBER(SEARCH("supplies",$B598))+ISNUMBER(SEARCH("office",$B598))+ISNUMBER(SEARCH("professional",$B598))+ISNUMBER(SEARCH("accountant",$B598))+ISNUMBER(SEARCH("lawyer",$B598))+ISNUMBER(SEARCH("broker",$B598))+ISNUMBER(SEARCH("bank",$B598))+ISNUMBER(SEARCH("charge",$B598))+ISNUMBER(SEARCH("permit",$B598))+ISNUMBER(SEARCH("bir",$B598))+ISNUMBER(SEARCH("ltfrb",$B598))+ISNUMBER(SEARCH("misc",$B598))+ISNUMBER(SEARCH("fee",$B598))&gt;0,"Overhead","Overhead")))))))</f>
        <v/>
      </c>
      <c r="J598">
        <f>IF($A598="","",DATE(YEAR($A598),MONTH($A598),1))</f>
        <v/>
      </c>
      <c r="K598">
        <f>IF($B598="","",IF(COUNTIF(Setup!$A$99:$A$128,$B598)&gt;0,0,1))</f>
        <v/>
      </c>
      <c r="L598">
        <f>IF($B598="","",IF(ISNUMBER(SEARCH("advance",$B598)),"ADV",IF(OR(ISNUMBER(SEARCH("payout",$B598)),ISNUMBER(SEARCH("pay out",$B598)),ISNUMBER(SEARCH("release",$B598))),"PAY","")))</f>
        <v/>
      </c>
      <c r="M598">
        <f>IF($B598="","",IF(ISNUMBER(SEARCH("bulk",$B598)),0,IF(ISNUMBER(SEARCH("fuel",$B598))+ISNUMBER(SEARCH("diesel",$B598))+ISNUMBER(SEARCH("krudo",$B598))+ISNUMBER(SEARCH("gasolina",$B598))&gt;0,1,0)))</f>
        <v/>
      </c>
      <c r="N598">
        <f>IF($B598="","",IF(ISNUMBER(SEARCH("fuel",$B598))+ISNUMBER(SEARCH("diesel",$B598))+ISNUMBER(SEARCH("krudo",$B598))+ISNUMBER(SEARCH("gasolina",$B598))&gt;0,1,0))</f>
        <v/>
      </c>
    </row>
    <row r="599">
      <c r="A599" s="86" t="n"/>
      <c r="B599" s="88" t="n"/>
      <c r="C599" s="88" t="n"/>
      <c r="D599" s="87" t="n"/>
      <c r="E599" s="88" t="n"/>
      <c r="F599" s="92" t="n"/>
      <c r="G599" s="87" t="n"/>
      <c r="H599" s="87" t="n"/>
      <c r="I599" s="101">
        <f>IF($B599="","",IF(COUNTIF(Setup!$A$99:$A$128,$B599)&gt;0,IF(INDEX(Setup!$B$99:$B$128,MATCH($B599,Setup!$A$99:$A$128,0))="","Overhead",INDEX(Setup!$B$99:$B$128,MATCH($B599,Setup!$A$99:$A$128,0))),IF(ISNUMBER(SEARCH("advance",$B599))+ISNUMBER(SEARCH("payout",$B599))+ISNUMBER(SEARCH("pay out",$B599))+ISNUMBER(SEARCH("reimburs",$B599))&gt;0,"Transfer",IF(ISNUMBER(SEARCH("loan",$B599))+ISNUMBER(SEARCH("amort",$B599))+ISNUMBER(SEARCH("installment",$B599))+ISNUMBER(SEARCH("instalment",$B599))&gt;0,"Financing",IF(ISNUMBER(SEARCH("draw",$B599))+ISNUMBER(SEARCH("owner",$B599))+ISNUMBER(SEARCH("asset",$B599))+ISNUMBER(SEARCH("capital",$B599))&gt;0,"Other",IF(ISNUMBER(SEARCH("fuel",$B599))+ISNUMBER(SEARCH("diesel",$B599))+ISNUMBER(SEARCH("krudo",$B599))+ISNUMBER(SEARCH("gasolina",$B599))+ISNUMBER(SEARCH("toll",$B599))+ISNUMBER(SEARCH("parking",$B599))+ISNUMBER(SEARCH("repair",$B599))+ISNUMBER(SEARCH("maintenance",$B599))+ISNUMBER(SEARCH("tire",$B599))+ISNUMBER(SEARCH("tyre",$B599))+ISNUMBER(SEARCH("battery",$B599))+ISNUMBER(SEARCH("oil",$B599))+ISNUMBER(SEARCH("filter",$B599))+ISNUMBER(SEARCH("spare",$B599))+ISNUMBER(SEARCH("insurance",$B599))+ISNUMBER(SEARCH("lto",$B599))+ISNUMBER(SEARCH("registration",$B599))+ISNUMBER(SEARCH("emission",$B599))+ISNUMBER(SEARCH("wash",$B599))+ISNUMBER(SEARCH("weigh",$B599))+ISNUMBER(SEARCH("tarp",$B599))&gt;0,"Vehicle",IF(ISNUMBER(SEARCH("rent",$B599))+ISNUMBER(SEARCH("upa",$B599))+ISNUMBER(SEARCH("salary",$B599))+ISNUMBER(SEARCH("sweldo",$B599))+ISNUMBER(SEARCH("wage",$B599))+ISNUMBER(SEARCH("electric",$B599))+ISNUMBER(SEARCH("kuryente",$B599))+ISNUMBER(SEARCH("water",$B599))+ISNUMBER(SEARCH("tubig",$B599))+ISNUMBER(SEARCH("internet",$B599))+ISNUMBER(SEARCH("pldt",$B599))+ISNUMBER(SEARCH("meralco",$B599))+ISNUMBER(SEARCH("supplies",$B599))+ISNUMBER(SEARCH("office",$B599))+ISNUMBER(SEARCH("professional",$B599))+ISNUMBER(SEARCH("accountant",$B599))+ISNUMBER(SEARCH("lawyer",$B599))+ISNUMBER(SEARCH("broker",$B599))+ISNUMBER(SEARCH("bank",$B599))+ISNUMBER(SEARCH("charge",$B599))+ISNUMBER(SEARCH("permit",$B599))+ISNUMBER(SEARCH("bir",$B599))+ISNUMBER(SEARCH("ltfrb",$B599))+ISNUMBER(SEARCH("misc",$B599))+ISNUMBER(SEARCH("fee",$B599))&gt;0,"Overhead","Overhead")))))))</f>
        <v/>
      </c>
      <c r="J599">
        <f>IF($A599="","",DATE(YEAR($A599),MONTH($A599),1))</f>
        <v/>
      </c>
      <c r="K599">
        <f>IF($B599="","",IF(COUNTIF(Setup!$A$99:$A$128,$B599)&gt;0,0,1))</f>
        <v/>
      </c>
      <c r="L599">
        <f>IF($B599="","",IF(ISNUMBER(SEARCH("advance",$B599)),"ADV",IF(OR(ISNUMBER(SEARCH("payout",$B599)),ISNUMBER(SEARCH("pay out",$B599)),ISNUMBER(SEARCH("release",$B599))),"PAY","")))</f>
        <v/>
      </c>
      <c r="M599">
        <f>IF($B599="","",IF(ISNUMBER(SEARCH("bulk",$B599)),0,IF(ISNUMBER(SEARCH("fuel",$B599))+ISNUMBER(SEARCH("diesel",$B599))+ISNUMBER(SEARCH("krudo",$B599))+ISNUMBER(SEARCH("gasolina",$B599))&gt;0,1,0)))</f>
        <v/>
      </c>
      <c r="N599">
        <f>IF($B599="","",IF(ISNUMBER(SEARCH("fuel",$B599))+ISNUMBER(SEARCH("diesel",$B599))+ISNUMBER(SEARCH("krudo",$B599))+ISNUMBER(SEARCH("gasolina",$B599))&gt;0,1,0))</f>
        <v/>
      </c>
    </row>
    <row r="600">
      <c r="A600" s="94" t="n"/>
      <c r="B600" s="96" t="n"/>
      <c r="C600" s="96" t="n"/>
      <c r="D600" s="95" t="n"/>
      <c r="E600" s="96" t="n"/>
      <c r="F600" s="99" t="n"/>
      <c r="G600" s="95" t="n"/>
      <c r="H600" s="95" t="n"/>
      <c r="I600" s="101">
        <f>IF($B600="","",IF(COUNTIF(Setup!$A$99:$A$128,$B600)&gt;0,IF(INDEX(Setup!$B$99:$B$128,MATCH($B600,Setup!$A$99:$A$128,0))="","Overhead",INDEX(Setup!$B$99:$B$128,MATCH($B600,Setup!$A$99:$A$128,0))),IF(ISNUMBER(SEARCH("advance",$B600))+ISNUMBER(SEARCH("payout",$B600))+ISNUMBER(SEARCH("pay out",$B600))+ISNUMBER(SEARCH("reimburs",$B600))&gt;0,"Transfer",IF(ISNUMBER(SEARCH("loan",$B600))+ISNUMBER(SEARCH("amort",$B600))+ISNUMBER(SEARCH("installment",$B600))+ISNUMBER(SEARCH("instalment",$B600))&gt;0,"Financing",IF(ISNUMBER(SEARCH("draw",$B600))+ISNUMBER(SEARCH("owner",$B600))+ISNUMBER(SEARCH("asset",$B600))+ISNUMBER(SEARCH("capital",$B600))&gt;0,"Other",IF(ISNUMBER(SEARCH("fuel",$B600))+ISNUMBER(SEARCH("diesel",$B600))+ISNUMBER(SEARCH("krudo",$B600))+ISNUMBER(SEARCH("gasolina",$B600))+ISNUMBER(SEARCH("toll",$B600))+ISNUMBER(SEARCH("parking",$B600))+ISNUMBER(SEARCH("repair",$B600))+ISNUMBER(SEARCH("maintenance",$B600))+ISNUMBER(SEARCH("tire",$B600))+ISNUMBER(SEARCH("tyre",$B600))+ISNUMBER(SEARCH("battery",$B600))+ISNUMBER(SEARCH("oil",$B600))+ISNUMBER(SEARCH("filter",$B600))+ISNUMBER(SEARCH("spare",$B600))+ISNUMBER(SEARCH("insurance",$B600))+ISNUMBER(SEARCH("lto",$B600))+ISNUMBER(SEARCH("registration",$B600))+ISNUMBER(SEARCH("emission",$B600))+ISNUMBER(SEARCH("wash",$B600))+ISNUMBER(SEARCH("weigh",$B600))+ISNUMBER(SEARCH("tarp",$B600))&gt;0,"Vehicle",IF(ISNUMBER(SEARCH("rent",$B600))+ISNUMBER(SEARCH("upa",$B600))+ISNUMBER(SEARCH("salary",$B600))+ISNUMBER(SEARCH("sweldo",$B600))+ISNUMBER(SEARCH("wage",$B600))+ISNUMBER(SEARCH("electric",$B600))+ISNUMBER(SEARCH("kuryente",$B600))+ISNUMBER(SEARCH("water",$B600))+ISNUMBER(SEARCH("tubig",$B600))+ISNUMBER(SEARCH("internet",$B600))+ISNUMBER(SEARCH("pldt",$B600))+ISNUMBER(SEARCH("meralco",$B600))+ISNUMBER(SEARCH("supplies",$B600))+ISNUMBER(SEARCH("office",$B600))+ISNUMBER(SEARCH("professional",$B600))+ISNUMBER(SEARCH("accountant",$B600))+ISNUMBER(SEARCH("lawyer",$B600))+ISNUMBER(SEARCH("broker",$B600))+ISNUMBER(SEARCH("bank",$B600))+ISNUMBER(SEARCH("charge",$B600))+ISNUMBER(SEARCH("permit",$B600))+ISNUMBER(SEARCH("bir",$B600))+ISNUMBER(SEARCH("ltfrb",$B600))+ISNUMBER(SEARCH("misc",$B600))+ISNUMBER(SEARCH("fee",$B600))&gt;0,"Overhead","Overhead")))))))</f>
        <v/>
      </c>
      <c r="J600">
        <f>IF($A600="","",DATE(YEAR($A600),MONTH($A600),1))</f>
        <v/>
      </c>
      <c r="K600">
        <f>IF($B600="","",IF(COUNTIF(Setup!$A$99:$A$128,$B600)&gt;0,0,1))</f>
        <v/>
      </c>
      <c r="L600">
        <f>IF($B600="","",IF(ISNUMBER(SEARCH("advance",$B600)),"ADV",IF(OR(ISNUMBER(SEARCH("payout",$B600)),ISNUMBER(SEARCH("pay out",$B600)),ISNUMBER(SEARCH("release",$B600))),"PAY","")))</f>
        <v/>
      </c>
      <c r="M600">
        <f>IF($B600="","",IF(ISNUMBER(SEARCH("bulk",$B600)),0,IF(ISNUMBER(SEARCH("fuel",$B600))+ISNUMBER(SEARCH("diesel",$B600))+ISNUMBER(SEARCH("krudo",$B600))+ISNUMBER(SEARCH("gasolina",$B600))&gt;0,1,0)))</f>
        <v/>
      </c>
      <c r="N600">
        <f>IF($B600="","",IF(ISNUMBER(SEARCH("fuel",$B600))+ISNUMBER(SEARCH("diesel",$B600))+ISNUMBER(SEARCH("krudo",$B600))+ISNUMBER(SEARCH("gasolina",$B600))&gt;0,1,0))</f>
        <v/>
      </c>
    </row>
    <row r="601">
      <c r="A601" s="86" t="n"/>
      <c r="B601" s="88" t="n"/>
      <c r="C601" s="88" t="n"/>
      <c r="D601" s="87" t="n"/>
      <c r="E601" s="88" t="n"/>
      <c r="F601" s="92" t="n"/>
      <c r="G601" s="87" t="n"/>
      <c r="H601" s="87" t="n"/>
      <c r="I601" s="101">
        <f>IF($B601="","",IF(COUNTIF(Setup!$A$99:$A$128,$B601)&gt;0,IF(INDEX(Setup!$B$99:$B$128,MATCH($B601,Setup!$A$99:$A$128,0))="","Overhead",INDEX(Setup!$B$99:$B$128,MATCH($B601,Setup!$A$99:$A$128,0))),IF(ISNUMBER(SEARCH("advance",$B601))+ISNUMBER(SEARCH("payout",$B601))+ISNUMBER(SEARCH("pay out",$B601))+ISNUMBER(SEARCH("reimburs",$B601))&gt;0,"Transfer",IF(ISNUMBER(SEARCH("loan",$B601))+ISNUMBER(SEARCH("amort",$B601))+ISNUMBER(SEARCH("installment",$B601))+ISNUMBER(SEARCH("instalment",$B601))&gt;0,"Financing",IF(ISNUMBER(SEARCH("draw",$B601))+ISNUMBER(SEARCH("owner",$B601))+ISNUMBER(SEARCH("asset",$B601))+ISNUMBER(SEARCH("capital",$B601))&gt;0,"Other",IF(ISNUMBER(SEARCH("fuel",$B601))+ISNUMBER(SEARCH("diesel",$B601))+ISNUMBER(SEARCH("krudo",$B601))+ISNUMBER(SEARCH("gasolina",$B601))+ISNUMBER(SEARCH("toll",$B601))+ISNUMBER(SEARCH("parking",$B601))+ISNUMBER(SEARCH("repair",$B601))+ISNUMBER(SEARCH("maintenance",$B601))+ISNUMBER(SEARCH("tire",$B601))+ISNUMBER(SEARCH("tyre",$B601))+ISNUMBER(SEARCH("battery",$B601))+ISNUMBER(SEARCH("oil",$B601))+ISNUMBER(SEARCH("filter",$B601))+ISNUMBER(SEARCH("spare",$B601))+ISNUMBER(SEARCH("insurance",$B601))+ISNUMBER(SEARCH("lto",$B601))+ISNUMBER(SEARCH("registration",$B601))+ISNUMBER(SEARCH("emission",$B601))+ISNUMBER(SEARCH("wash",$B601))+ISNUMBER(SEARCH("weigh",$B601))+ISNUMBER(SEARCH("tarp",$B601))&gt;0,"Vehicle",IF(ISNUMBER(SEARCH("rent",$B601))+ISNUMBER(SEARCH("upa",$B601))+ISNUMBER(SEARCH("salary",$B601))+ISNUMBER(SEARCH("sweldo",$B601))+ISNUMBER(SEARCH("wage",$B601))+ISNUMBER(SEARCH("electric",$B601))+ISNUMBER(SEARCH("kuryente",$B601))+ISNUMBER(SEARCH("water",$B601))+ISNUMBER(SEARCH("tubig",$B601))+ISNUMBER(SEARCH("internet",$B601))+ISNUMBER(SEARCH("pldt",$B601))+ISNUMBER(SEARCH("meralco",$B601))+ISNUMBER(SEARCH("supplies",$B601))+ISNUMBER(SEARCH("office",$B601))+ISNUMBER(SEARCH("professional",$B601))+ISNUMBER(SEARCH("accountant",$B601))+ISNUMBER(SEARCH("lawyer",$B601))+ISNUMBER(SEARCH("broker",$B601))+ISNUMBER(SEARCH("bank",$B601))+ISNUMBER(SEARCH("charge",$B601))+ISNUMBER(SEARCH("permit",$B601))+ISNUMBER(SEARCH("bir",$B601))+ISNUMBER(SEARCH("ltfrb",$B601))+ISNUMBER(SEARCH("misc",$B601))+ISNUMBER(SEARCH("fee",$B601))&gt;0,"Overhead","Overhead")))))))</f>
        <v/>
      </c>
      <c r="J601">
        <f>IF($A601="","",DATE(YEAR($A601),MONTH($A601),1))</f>
        <v/>
      </c>
      <c r="K601">
        <f>IF($B601="","",IF(COUNTIF(Setup!$A$99:$A$128,$B601)&gt;0,0,1))</f>
        <v/>
      </c>
      <c r="L601">
        <f>IF($B601="","",IF(ISNUMBER(SEARCH("advance",$B601)),"ADV",IF(OR(ISNUMBER(SEARCH("payout",$B601)),ISNUMBER(SEARCH("pay out",$B601)),ISNUMBER(SEARCH("release",$B601))),"PAY","")))</f>
        <v/>
      </c>
      <c r="M601">
        <f>IF($B601="","",IF(ISNUMBER(SEARCH("bulk",$B601)),0,IF(ISNUMBER(SEARCH("fuel",$B601))+ISNUMBER(SEARCH("diesel",$B601))+ISNUMBER(SEARCH("krudo",$B601))+ISNUMBER(SEARCH("gasolina",$B601))&gt;0,1,0)))</f>
        <v/>
      </c>
      <c r="N601">
        <f>IF($B601="","",IF(ISNUMBER(SEARCH("fuel",$B601))+ISNUMBER(SEARCH("diesel",$B601))+ISNUMBER(SEARCH("krudo",$B601))+ISNUMBER(SEARCH("gasolina",$B601))&gt;0,1,0))</f>
        <v/>
      </c>
    </row>
    <row r="602">
      <c r="A602" s="94" t="n"/>
      <c r="B602" s="96" t="n"/>
      <c r="C602" s="96" t="n"/>
      <c r="D602" s="95" t="n"/>
      <c r="E602" s="96" t="n"/>
      <c r="F602" s="99" t="n"/>
      <c r="G602" s="95" t="n"/>
      <c r="H602" s="95" t="n"/>
      <c r="I602" s="101">
        <f>IF($B602="","",IF(COUNTIF(Setup!$A$99:$A$128,$B602)&gt;0,IF(INDEX(Setup!$B$99:$B$128,MATCH($B602,Setup!$A$99:$A$128,0))="","Overhead",INDEX(Setup!$B$99:$B$128,MATCH($B602,Setup!$A$99:$A$128,0))),IF(ISNUMBER(SEARCH("advance",$B602))+ISNUMBER(SEARCH("payout",$B602))+ISNUMBER(SEARCH("pay out",$B602))+ISNUMBER(SEARCH("reimburs",$B602))&gt;0,"Transfer",IF(ISNUMBER(SEARCH("loan",$B602))+ISNUMBER(SEARCH("amort",$B602))+ISNUMBER(SEARCH("installment",$B602))+ISNUMBER(SEARCH("instalment",$B602))&gt;0,"Financing",IF(ISNUMBER(SEARCH("draw",$B602))+ISNUMBER(SEARCH("owner",$B602))+ISNUMBER(SEARCH("asset",$B602))+ISNUMBER(SEARCH("capital",$B602))&gt;0,"Other",IF(ISNUMBER(SEARCH("fuel",$B602))+ISNUMBER(SEARCH("diesel",$B602))+ISNUMBER(SEARCH("krudo",$B602))+ISNUMBER(SEARCH("gasolina",$B602))+ISNUMBER(SEARCH("toll",$B602))+ISNUMBER(SEARCH("parking",$B602))+ISNUMBER(SEARCH("repair",$B602))+ISNUMBER(SEARCH("maintenance",$B602))+ISNUMBER(SEARCH("tire",$B602))+ISNUMBER(SEARCH("tyre",$B602))+ISNUMBER(SEARCH("battery",$B602))+ISNUMBER(SEARCH("oil",$B602))+ISNUMBER(SEARCH("filter",$B602))+ISNUMBER(SEARCH("spare",$B602))+ISNUMBER(SEARCH("insurance",$B602))+ISNUMBER(SEARCH("lto",$B602))+ISNUMBER(SEARCH("registration",$B602))+ISNUMBER(SEARCH("emission",$B602))+ISNUMBER(SEARCH("wash",$B602))+ISNUMBER(SEARCH("weigh",$B602))+ISNUMBER(SEARCH("tarp",$B602))&gt;0,"Vehicle",IF(ISNUMBER(SEARCH("rent",$B602))+ISNUMBER(SEARCH("upa",$B602))+ISNUMBER(SEARCH("salary",$B602))+ISNUMBER(SEARCH("sweldo",$B602))+ISNUMBER(SEARCH("wage",$B602))+ISNUMBER(SEARCH("electric",$B602))+ISNUMBER(SEARCH("kuryente",$B602))+ISNUMBER(SEARCH("water",$B602))+ISNUMBER(SEARCH("tubig",$B602))+ISNUMBER(SEARCH("internet",$B602))+ISNUMBER(SEARCH("pldt",$B602))+ISNUMBER(SEARCH("meralco",$B602))+ISNUMBER(SEARCH("supplies",$B602))+ISNUMBER(SEARCH("office",$B602))+ISNUMBER(SEARCH("professional",$B602))+ISNUMBER(SEARCH("accountant",$B602))+ISNUMBER(SEARCH("lawyer",$B602))+ISNUMBER(SEARCH("broker",$B602))+ISNUMBER(SEARCH("bank",$B602))+ISNUMBER(SEARCH("charge",$B602))+ISNUMBER(SEARCH("permit",$B602))+ISNUMBER(SEARCH("bir",$B602))+ISNUMBER(SEARCH("ltfrb",$B602))+ISNUMBER(SEARCH("misc",$B602))+ISNUMBER(SEARCH("fee",$B602))&gt;0,"Overhead","Overhead")))))))</f>
        <v/>
      </c>
      <c r="J602">
        <f>IF($A602="","",DATE(YEAR($A602),MONTH($A602),1))</f>
        <v/>
      </c>
      <c r="K602">
        <f>IF($B602="","",IF(COUNTIF(Setup!$A$99:$A$128,$B602)&gt;0,0,1))</f>
        <v/>
      </c>
      <c r="L602">
        <f>IF($B602="","",IF(ISNUMBER(SEARCH("advance",$B602)),"ADV",IF(OR(ISNUMBER(SEARCH("payout",$B602)),ISNUMBER(SEARCH("pay out",$B602)),ISNUMBER(SEARCH("release",$B602))),"PAY","")))</f>
        <v/>
      </c>
      <c r="M602">
        <f>IF($B602="","",IF(ISNUMBER(SEARCH("bulk",$B602)),0,IF(ISNUMBER(SEARCH("fuel",$B602))+ISNUMBER(SEARCH("diesel",$B602))+ISNUMBER(SEARCH("krudo",$B602))+ISNUMBER(SEARCH("gasolina",$B602))&gt;0,1,0)))</f>
        <v/>
      </c>
      <c r="N602">
        <f>IF($B602="","",IF(ISNUMBER(SEARCH("fuel",$B602))+ISNUMBER(SEARCH("diesel",$B602))+ISNUMBER(SEARCH("krudo",$B602))+ISNUMBER(SEARCH("gasolina",$B602))&gt;0,1,0))</f>
        <v/>
      </c>
    </row>
    <row r="603">
      <c r="A603" s="86" t="n"/>
      <c r="B603" s="88" t="n"/>
      <c r="C603" s="88" t="n"/>
      <c r="D603" s="87" t="n"/>
      <c r="E603" s="88" t="n"/>
      <c r="F603" s="92" t="n"/>
      <c r="G603" s="87" t="n"/>
      <c r="H603" s="87" t="n"/>
      <c r="I603" s="101">
        <f>IF($B603="","",IF(COUNTIF(Setup!$A$99:$A$128,$B603)&gt;0,IF(INDEX(Setup!$B$99:$B$128,MATCH($B603,Setup!$A$99:$A$128,0))="","Overhead",INDEX(Setup!$B$99:$B$128,MATCH($B603,Setup!$A$99:$A$128,0))),IF(ISNUMBER(SEARCH("advance",$B603))+ISNUMBER(SEARCH("payout",$B603))+ISNUMBER(SEARCH("pay out",$B603))+ISNUMBER(SEARCH("reimburs",$B603))&gt;0,"Transfer",IF(ISNUMBER(SEARCH("loan",$B603))+ISNUMBER(SEARCH("amort",$B603))+ISNUMBER(SEARCH("installment",$B603))+ISNUMBER(SEARCH("instalment",$B603))&gt;0,"Financing",IF(ISNUMBER(SEARCH("draw",$B603))+ISNUMBER(SEARCH("owner",$B603))+ISNUMBER(SEARCH("asset",$B603))+ISNUMBER(SEARCH("capital",$B603))&gt;0,"Other",IF(ISNUMBER(SEARCH("fuel",$B603))+ISNUMBER(SEARCH("diesel",$B603))+ISNUMBER(SEARCH("krudo",$B603))+ISNUMBER(SEARCH("gasolina",$B603))+ISNUMBER(SEARCH("toll",$B603))+ISNUMBER(SEARCH("parking",$B603))+ISNUMBER(SEARCH("repair",$B603))+ISNUMBER(SEARCH("maintenance",$B603))+ISNUMBER(SEARCH("tire",$B603))+ISNUMBER(SEARCH("tyre",$B603))+ISNUMBER(SEARCH("battery",$B603))+ISNUMBER(SEARCH("oil",$B603))+ISNUMBER(SEARCH("filter",$B603))+ISNUMBER(SEARCH("spare",$B603))+ISNUMBER(SEARCH("insurance",$B603))+ISNUMBER(SEARCH("lto",$B603))+ISNUMBER(SEARCH("registration",$B603))+ISNUMBER(SEARCH("emission",$B603))+ISNUMBER(SEARCH("wash",$B603))+ISNUMBER(SEARCH("weigh",$B603))+ISNUMBER(SEARCH("tarp",$B603))&gt;0,"Vehicle",IF(ISNUMBER(SEARCH("rent",$B603))+ISNUMBER(SEARCH("upa",$B603))+ISNUMBER(SEARCH("salary",$B603))+ISNUMBER(SEARCH("sweldo",$B603))+ISNUMBER(SEARCH("wage",$B603))+ISNUMBER(SEARCH("electric",$B603))+ISNUMBER(SEARCH("kuryente",$B603))+ISNUMBER(SEARCH("water",$B603))+ISNUMBER(SEARCH("tubig",$B603))+ISNUMBER(SEARCH("internet",$B603))+ISNUMBER(SEARCH("pldt",$B603))+ISNUMBER(SEARCH("meralco",$B603))+ISNUMBER(SEARCH("supplies",$B603))+ISNUMBER(SEARCH("office",$B603))+ISNUMBER(SEARCH("professional",$B603))+ISNUMBER(SEARCH("accountant",$B603))+ISNUMBER(SEARCH("lawyer",$B603))+ISNUMBER(SEARCH("broker",$B603))+ISNUMBER(SEARCH("bank",$B603))+ISNUMBER(SEARCH("charge",$B603))+ISNUMBER(SEARCH("permit",$B603))+ISNUMBER(SEARCH("bir",$B603))+ISNUMBER(SEARCH("ltfrb",$B603))+ISNUMBER(SEARCH("misc",$B603))+ISNUMBER(SEARCH("fee",$B603))&gt;0,"Overhead","Overhead")))))))</f>
        <v/>
      </c>
      <c r="J603">
        <f>IF($A603="","",DATE(YEAR($A603),MONTH($A603),1))</f>
        <v/>
      </c>
      <c r="K603">
        <f>IF($B603="","",IF(COUNTIF(Setup!$A$99:$A$128,$B603)&gt;0,0,1))</f>
        <v/>
      </c>
      <c r="L603">
        <f>IF($B603="","",IF(ISNUMBER(SEARCH("advance",$B603)),"ADV",IF(OR(ISNUMBER(SEARCH("payout",$B603)),ISNUMBER(SEARCH("pay out",$B603)),ISNUMBER(SEARCH("release",$B603))),"PAY","")))</f>
        <v/>
      </c>
      <c r="M603">
        <f>IF($B603="","",IF(ISNUMBER(SEARCH("bulk",$B603)),0,IF(ISNUMBER(SEARCH("fuel",$B603))+ISNUMBER(SEARCH("diesel",$B603))+ISNUMBER(SEARCH("krudo",$B603))+ISNUMBER(SEARCH("gasolina",$B603))&gt;0,1,0)))</f>
        <v/>
      </c>
      <c r="N603">
        <f>IF($B603="","",IF(ISNUMBER(SEARCH("fuel",$B603))+ISNUMBER(SEARCH("diesel",$B603))+ISNUMBER(SEARCH("krudo",$B603))+ISNUMBER(SEARCH("gasolina",$B603))&gt;0,1,0))</f>
        <v/>
      </c>
    </row>
    <row r="604">
      <c r="A604" s="94" t="n"/>
      <c r="B604" s="96" t="n"/>
      <c r="C604" s="96" t="n"/>
      <c r="D604" s="95" t="n"/>
      <c r="E604" s="96" t="n"/>
      <c r="F604" s="99" t="n"/>
      <c r="G604" s="95" t="n"/>
      <c r="H604" s="95" t="n"/>
      <c r="I604" s="101">
        <f>IF($B604="","",IF(COUNTIF(Setup!$A$99:$A$128,$B604)&gt;0,IF(INDEX(Setup!$B$99:$B$128,MATCH($B604,Setup!$A$99:$A$128,0))="","Overhead",INDEX(Setup!$B$99:$B$128,MATCH($B604,Setup!$A$99:$A$128,0))),IF(ISNUMBER(SEARCH("advance",$B604))+ISNUMBER(SEARCH("payout",$B604))+ISNUMBER(SEARCH("pay out",$B604))+ISNUMBER(SEARCH("reimburs",$B604))&gt;0,"Transfer",IF(ISNUMBER(SEARCH("loan",$B604))+ISNUMBER(SEARCH("amort",$B604))+ISNUMBER(SEARCH("installment",$B604))+ISNUMBER(SEARCH("instalment",$B604))&gt;0,"Financing",IF(ISNUMBER(SEARCH("draw",$B604))+ISNUMBER(SEARCH("owner",$B604))+ISNUMBER(SEARCH("asset",$B604))+ISNUMBER(SEARCH("capital",$B604))&gt;0,"Other",IF(ISNUMBER(SEARCH("fuel",$B604))+ISNUMBER(SEARCH("diesel",$B604))+ISNUMBER(SEARCH("krudo",$B604))+ISNUMBER(SEARCH("gasolina",$B604))+ISNUMBER(SEARCH("toll",$B604))+ISNUMBER(SEARCH("parking",$B604))+ISNUMBER(SEARCH("repair",$B604))+ISNUMBER(SEARCH("maintenance",$B604))+ISNUMBER(SEARCH("tire",$B604))+ISNUMBER(SEARCH("tyre",$B604))+ISNUMBER(SEARCH("battery",$B604))+ISNUMBER(SEARCH("oil",$B604))+ISNUMBER(SEARCH("filter",$B604))+ISNUMBER(SEARCH("spare",$B604))+ISNUMBER(SEARCH("insurance",$B604))+ISNUMBER(SEARCH("lto",$B604))+ISNUMBER(SEARCH("registration",$B604))+ISNUMBER(SEARCH("emission",$B604))+ISNUMBER(SEARCH("wash",$B604))+ISNUMBER(SEARCH("weigh",$B604))+ISNUMBER(SEARCH("tarp",$B604))&gt;0,"Vehicle",IF(ISNUMBER(SEARCH("rent",$B604))+ISNUMBER(SEARCH("upa",$B604))+ISNUMBER(SEARCH("salary",$B604))+ISNUMBER(SEARCH("sweldo",$B604))+ISNUMBER(SEARCH("wage",$B604))+ISNUMBER(SEARCH("electric",$B604))+ISNUMBER(SEARCH("kuryente",$B604))+ISNUMBER(SEARCH("water",$B604))+ISNUMBER(SEARCH("tubig",$B604))+ISNUMBER(SEARCH("internet",$B604))+ISNUMBER(SEARCH("pldt",$B604))+ISNUMBER(SEARCH("meralco",$B604))+ISNUMBER(SEARCH("supplies",$B604))+ISNUMBER(SEARCH("office",$B604))+ISNUMBER(SEARCH("professional",$B604))+ISNUMBER(SEARCH("accountant",$B604))+ISNUMBER(SEARCH("lawyer",$B604))+ISNUMBER(SEARCH("broker",$B604))+ISNUMBER(SEARCH("bank",$B604))+ISNUMBER(SEARCH("charge",$B604))+ISNUMBER(SEARCH("permit",$B604))+ISNUMBER(SEARCH("bir",$B604))+ISNUMBER(SEARCH("ltfrb",$B604))+ISNUMBER(SEARCH("misc",$B604))+ISNUMBER(SEARCH("fee",$B604))&gt;0,"Overhead","Overhead")))))))</f>
        <v/>
      </c>
      <c r="J604">
        <f>IF($A604="","",DATE(YEAR($A604),MONTH($A604),1))</f>
        <v/>
      </c>
      <c r="K604">
        <f>IF($B604="","",IF(COUNTIF(Setup!$A$99:$A$128,$B604)&gt;0,0,1))</f>
        <v/>
      </c>
      <c r="L604">
        <f>IF($B604="","",IF(ISNUMBER(SEARCH("advance",$B604)),"ADV",IF(OR(ISNUMBER(SEARCH("payout",$B604)),ISNUMBER(SEARCH("pay out",$B604)),ISNUMBER(SEARCH("release",$B604))),"PAY","")))</f>
        <v/>
      </c>
      <c r="M604">
        <f>IF($B604="","",IF(ISNUMBER(SEARCH("bulk",$B604)),0,IF(ISNUMBER(SEARCH("fuel",$B604))+ISNUMBER(SEARCH("diesel",$B604))+ISNUMBER(SEARCH("krudo",$B604))+ISNUMBER(SEARCH("gasolina",$B604))&gt;0,1,0)))</f>
        <v/>
      </c>
      <c r="N604">
        <f>IF($B604="","",IF(ISNUMBER(SEARCH("fuel",$B604))+ISNUMBER(SEARCH("diesel",$B604))+ISNUMBER(SEARCH("krudo",$B604))+ISNUMBER(SEARCH("gasolina",$B604))&gt;0,1,0))</f>
        <v/>
      </c>
    </row>
    <row r="605">
      <c r="A605" s="86" t="n"/>
      <c r="B605" s="88" t="n"/>
      <c r="C605" s="88" t="n"/>
      <c r="D605" s="87" t="n"/>
      <c r="E605" s="88" t="n"/>
      <c r="F605" s="92" t="n"/>
      <c r="G605" s="87" t="n"/>
      <c r="H605" s="87" t="n"/>
      <c r="I605" s="101">
        <f>IF($B605="","",IF(COUNTIF(Setup!$A$99:$A$128,$B605)&gt;0,IF(INDEX(Setup!$B$99:$B$128,MATCH($B605,Setup!$A$99:$A$128,0))="","Overhead",INDEX(Setup!$B$99:$B$128,MATCH($B605,Setup!$A$99:$A$128,0))),IF(ISNUMBER(SEARCH("advance",$B605))+ISNUMBER(SEARCH("payout",$B605))+ISNUMBER(SEARCH("pay out",$B605))+ISNUMBER(SEARCH("reimburs",$B605))&gt;0,"Transfer",IF(ISNUMBER(SEARCH("loan",$B605))+ISNUMBER(SEARCH("amort",$B605))+ISNUMBER(SEARCH("installment",$B605))+ISNUMBER(SEARCH("instalment",$B605))&gt;0,"Financing",IF(ISNUMBER(SEARCH("draw",$B605))+ISNUMBER(SEARCH("owner",$B605))+ISNUMBER(SEARCH("asset",$B605))+ISNUMBER(SEARCH("capital",$B605))&gt;0,"Other",IF(ISNUMBER(SEARCH("fuel",$B605))+ISNUMBER(SEARCH("diesel",$B605))+ISNUMBER(SEARCH("krudo",$B605))+ISNUMBER(SEARCH("gasolina",$B605))+ISNUMBER(SEARCH("toll",$B605))+ISNUMBER(SEARCH("parking",$B605))+ISNUMBER(SEARCH("repair",$B605))+ISNUMBER(SEARCH("maintenance",$B605))+ISNUMBER(SEARCH("tire",$B605))+ISNUMBER(SEARCH("tyre",$B605))+ISNUMBER(SEARCH("battery",$B605))+ISNUMBER(SEARCH("oil",$B605))+ISNUMBER(SEARCH("filter",$B605))+ISNUMBER(SEARCH("spare",$B605))+ISNUMBER(SEARCH("insurance",$B605))+ISNUMBER(SEARCH("lto",$B605))+ISNUMBER(SEARCH("registration",$B605))+ISNUMBER(SEARCH("emission",$B605))+ISNUMBER(SEARCH("wash",$B605))+ISNUMBER(SEARCH("weigh",$B605))+ISNUMBER(SEARCH("tarp",$B605))&gt;0,"Vehicle",IF(ISNUMBER(SEARCH("rent",$B605))+ISNUMBER(SEARCH("upa",$B605))+ISNUMBER(SEARCH("salary",$B605))+ISNUMBER(SEARCH("sweldo",$B605))+ISNUMBER(SEARCH("wage",$B605))+ISNUMBER(SEARCH("electric",$B605))+ISNUMBER(SEARCH("kuryente",$B605))+ISNUMBER(SEARCH("water",$B605))+ISNUMBER(SEARCH("tubig",$B605))+ISNUMBER(SEARCH("internet",$B605))+ISNUMBER(SEARCH("pldt",$B605))+ISNUMBER(SEARCH("meralco",$B605))+ISNUMBER(SEARCH("supplies",$B605))+ISNUMBER(SEARCH("office",$B605))+ISNUMBER(SEARCH("professional",$B605))+ISNUMBER(SEARCH("accountant",$B605))+ISNUMBER(SEARCH("lawyer",$B605))+ISNUMBER(SEARCH("broker",$B605))+ISNUMBER(SEARCH("bank",$B605))+ISNUMBER(SEARCH("charge",$B605))+ISNUMBER(SEARCH("permit",$B605))+ISNUMBER(SEARCH("bir",$B605))+ISNUMBER(SEARCH("ltfrb",$B605))+ISNUMBER(SEARCH("misc",$B605))+ISNUMBER(SEARCH("fee",$B605))&gt;0,"Overhead","Overhead")))))))</f>
        <v/>
      </c>
      <c r="J605">
        <f>IF($A605="","",DATE(YEAR($A605),MONTH($A605),1))</f>
        <v/>
      </c>
      <c r="K605">
        <f>IF($B605="","",IF(COUNTIF(Setup!$A$99:$A$128,$B605)&gt;0,0,1))</f>
        <v/>
      </c>
      <c r="L605">
        <f>IF($B605="","",IF(ISNUMBER(SEARCH("advance",$B605)),"ADV",IF(OR(ISNUMBER(SEARCH("payout",$B605)),ISNUMBER(SEARCH("pay out",$B605)),ISNUMBER(SEARCH("release",$B605))),"PAY","")))</f>
        <v/>
      </c>
      <c r="M605">
        <f>IF($B605="","",IF(ISNUMBER(SEARCH("bulk",$B605)),0,IF(ISNUMBER(SEARCH("fuel",$B605))+ISNUMBER(SEARCH("diesel",$B605))+ISNUMBER(SEARCH("krudo",$B605))+ISNUMBER(SEARCH("gasolina",$B605))&gt;0,1,0)))</f>
        <v/>
      </c>
      <c r="N605">
        <f>IF($B605="","",IF(ISNUMBER(SEARCH("fuel",$B605))+ISNUMBER(SEARCH("diesel",$B605))+ISNUMBER(SEARCH("krudo",$B605))+ISNUMBER(SEARCH("gasolina",$B605))&gt;0,1,0))</f>
        <v/>
      </c>
    </row>
    <row r="606">
      <c r="A606" s="94" t="n"/>
      <c r="B606" s="96" t="n"/>
      <c r="C606" s="96" t="n"/>
      <c r="D606" s="95" t="n"/>
      <c r="E606" s="96" t="n"/>
      <c r="F606" s="99" t="n"/>
      <c r="G606" s="95" t="n"/>
      <c r="H606" s="95" t="n"/>
      <c r="I606" s="101">
        <f>IF($B606="","",IF(COUNTIF(Setup!$A$99:$A$128,$B606)&gt;0,IF(INDEX(Setup!$B$99:$B$128,MATCH($B606,Setup!$A$99:$A$128,0))="","Overhead",INDEX(Setup!$B$99:$B$128,MATCH($B606,Setup!$A$99:$A$128,0))),IF(ISNUMBER(SEARCH("advance",$B606))+ISNUMBER(SEARCH("payout",$B606))+ISNUMBER(SEARCH("pay out",$B606))+ISNUMBER(SEARCH("reimburs",$B606))&gt;0,"Transfer",IF(ISNUMBER(SEARCH("loan",$B606))+ISNUMBER(SEARCH("amort",$B606))+ISNUMBER(SEARCH("installment",$B606))+ISNUMBER(SEARCH("instalment",$B606))&gt;0,"Financing",IF(ISNUMBER(SEARCH("draw",$B606))+ISNUMBER(SEARCH("owner",$B606))+ISNUMBER(SEARCH("asset",$B606))+ISNUMBER(SEARCH("capital",$B606))&gt;0,"Other",IF(ISNUMBER(SEARCH("fuel",$B606))+ISNUMBER(SEARCH("diesel",$B606))+ISNUMBER(SEARCH("krudo",$B606))+ISNUMBER(SEARCH("gasolina",$B606))+ISNUMBER(SEARCH("toll",$B606))+ISNUMBER(SEARCH("parking",$B606))+ISNUMBER(SEARCH("repair",$B606))+ISNUMBER(SEARCH("maintenance",$B606))+ISNUMBER(SEARCH("tire",$B606))+ISNUMBER(SEARCH("tyre",$B606))+ISNUMBER(SEARCH("battery",$B606))+ISNUMBER(SEARCH("oil",$B606))+ISNUMBER(SEARCH("filter",$B606))+ISNUMBER(SEARCH("spare",$B606))+ISNUMBER(SEARCH("insurance",$B606))+ISNUMBER(SEARCH("lto",$B606))+ISNUMBER(SEARCH("registration",$B606))+ISNUMBER(SEARCH("emission",$B606))+ISNUMBER(SEARCH("wash",$B606))+ISNUMBER(SEARCH("weigh",$B606))+ISNUMBER(SEARCH("tarp",$B606))&gt;0,"Vehicle",IF(ISNUMBER(SEARCH("rent",$B606))+ISNUMBER(SEARCH("upa",$B606))+ISNUMBER(SEARCH("salary",$B606))+ISNUMBER(SEARCH("sweldo",$B606))+ISNUMBER(SEARCH("wage",$B606))+ISNUMBER(SEARCH("electric",$B606))+ISNUMBER(SEARCH("kuryente",$B606))+ISNUMBER(SEARCH("water",$B606))+ISNUMBER(SEARCH("tubig",$B606))+ISNUMBER(SEARCH("internet",$B606))+ISNUMBER(SEARCH("pldt",$B606))+ISNUMBER(SEARCH("meralco",$B606))+ISNUMBER(SEARCH("supplies",$B606))+ISNUMBER(SEARCH("office",$B606))+ISNUMBER(SEARCH("professional",$B606))+ISNUMBER(SEARCH("accountant",$B606))+ISNUMBER(SEARCH("lawyer",$B606))+ISNUMBER(SEARCH("broker",$B606))+ISNUMBER(SEARCH("bank",$B606))+ISNUMBER(SEARCH("charge",$B606))+ISNUMBER(SEARCH("permit",$B606))+ISNUMBER(SEARCH("bir",$B606))+ISNUMBER(SEARCH("ltfrb",$B606))+ISNUMBER(SEARCH("misc",$B606))+ISNUMBER(SEARCH("fee",$B606))&gt;0,"Overhead","Overhead")))))))</f>
        <v/>
      </c>
      <c r="J606">
        <f>IF($A606="","",DATE(YEAR($A606),MONTH($A606),1))</f>
        <v/>
      </c>
      <c r="K606">
        <f>IF($B606="","",IF(COUNTIF(Setup!$A$99:$A$128,$B606)&gt;0,0,1))</f>
        <v/>
      </c>
      <c r="L606">
        <f>IF($B606="","",IF(ISNUMBER(SEARCH("advance",$B606)),"ADV",IF(OR(ISNUMBER(SEARCH("payout",$B606)),ISNUMBER(SEARCH("pay out",$B606)),ISNUMBER(SEARCH("release",$B606))),"PAY","")))</f>
        <v/>
      </c>
      <c r="M606">
        <f>IF($B606="","",IF(ISNUMBER(SEARCH("bulk",$B606)),0,IF(ISNUMBER(SEARCH("fuel",$B606))+ISNUMBER(SEARCH("diesel",$B606))+ISNUMBER(SEARCH("krudo",$B606))+ISNUMBER(SEARCH("gasolina",$B606))&gt;0,1,0)))</f>
        <v/>
      </c>
      <c r="N606">
        <f>IF($B606="","",IF(ISNUMBER(SEARCH("fuel",$B606))+ISNUMBER(SEARCH("diesel",$B606))+ISNUMBER(SEARCH("krudo",$B606))+ISNUMBER(SEARCH("gasolina",$B606))&gt;0,1,0))</f>
        <v/>
      </c>
    </row>
    <row r="607">
      <c r="A607" s="86" t="n"/>
      <c r="B607" s="88" t="n"/>
      <c r="C607" s="88" t="n"/>
      <c r="D607" s="87" t="n"/>
      <c r="E607" s="88" t="n"/>
      <c r="F607" s="92" t="n"/>
      <c r="G607" s="87" t="n"/>
      <c r="H607" s="87" t="n"/>
      <c r="I607" s="101">
        <f>IF($B607="","",IF(COUNTIF(Setup!$A$99:$A$128,$B607)&gt;0,IF(INDEX(Setup!$B$99:$B$128,MATCH($B607,Setup!$A$99:$A$128,0))="","Overhead",INDEX(Setup!$B$99:$B$128,MATCH($B607,Setup!$A$99:$A$128,0))),IF(ISNUMBER(SEARCH("advance",$B607))+ISNUMBER(SEARCH("payout",$B607))+ISNUMBER(SEARCH("pay out",$B607))+ISNUMBER(SEARCH("reimburs",$B607))&gt;0,"Transfer",IF(ISNUMBER(SEARCH("loan",$B607))+ISNUMBER(SEARCH("amort",$B607))+ISNUMBER(SEARCH("installment",$B607))+ISNUMBER(SEARCH("instalment",$B607))&gt;0,"Financing",IF(ISNUMBER(SEARCH("draw",$B607))+ISNUMBER(SEARCH("owner",$B607))+ISNUMBER(SEARCH("asset",$B607))+ISNUMBER(SEARCH("capital",$B607))&gt;0,"Other",IF(ISNUMBER(SEARCH("fuel",$B607))+ISNUMBER(SEARCH("diesel",$B607))+ISNUMBER(SEARCH("krudo",$B607))+ISNUMBER(SEARCH("gasolina",$B607))+ISNUMBER(SEARCH("toll",$B607))+ISNUMBER(SEARCH("parking",$B607))+ISNUMBER(SEARCH("repair",$B607))+ISNUMBER(SEARCH("maintenance",$B607))+ISNUMBER(SEARCH("tire",$B607))+ISNUMBER(SEARCH("tyre",$B607))+ISNUMBER(SEARCH("battery",$B607))+ISNUMBER(SEARCH("oil",$B607))+ISNUMBER(SEARCH("filter",$B607))+ISNUMBER(SEARCH("spare",$B607))+ISNUMBER(SEARCH("insurance",$B607))+ISNUMBER(SEARCH("lto",$B607))+ISNUMBER(SEARCH("registration",$B607))+ISNUMBER(SEARCH("emission",$B607))+ISNUMBER(SEARCH("wash",$B607))+ISNUMBER(SEARCH("weigh",$B607))+ISNUMBER(SEARCH("tarp",$B607))&gt;0,"Vehicle",IF(ISNUMBER(SEARCH("rent",$B607))+ISNUMBER(SEARCH("upa",$B607))+ISNUMBER(SEARCH("salary",$B607))+ISNUMBER(SEARCH("sweldo",$B607))+ISNUMBER(SEARCH("wage",$B607))+ISNUMBER(SEARCH("electric",$B607))+ISNUMBER(SEARCH("kuryente",$B607))+ISNUMBER(SEARCH("water",$B607))+ISNUMBER(SEARCH("tubig",$B607))+ISNUMBER(SEARCH("internet",$B607))+ISNUMBER(SEARCH("pldt",$B607))+ISNUMBER(SEARCH("meralco",$B607))+ISNUMBER(SEARCH("supplies",$B607))+ISNUMBER(SEARCH("office",$B607))+ISNUMBER(SEARCH("professional",$B607))+ISNUMBER(SEARCH("accountant",$B607))+ISNUMBER(SEARCH("lawyer",$B607))+ISNUMBER(SEARCH("broker",$B607))+ISNUMBER(SEARCH("bank",$B607))+ISNUMBER(SEARCH("charge",$B607))+ISNUMBER(SEARCH("permit",$B607))+ISNUMBER(SEARCH("bir",$B607))+ISNUMBER(SEARCH("ltfrb",$B607))+ISNUMBER(SEARCH("misc",$B607))+ISNUMBER(SEARCH("fee",$B607))&gt;0,"Overhead","Overhead")))))))</f>
        <v/>
      </c>
      <c r="J607">
        <f>IF($A607="","",DATE(YEAR($A607),MONTH($A607),1))</f>
        <v/>
      </c>
      <c r="K607">
        <f>IF($B607="","",IF(COUNTIF(Setup!$A$99:$A$128,$B607)&gt;0,0,1))</f>
        <v/>
      </c>
      <c r="L607">
        <f>IF($B607="","",IF(ISNUMBER(SEARCH("advance",$B607)),"ADV",IF(OR(ISNUMBER(SEARCH("payout",$B607)),ISNUMBER(SEARCH("pay out",$B607)),ISNUMBER(SEARCH("release",$B607))),"PAY","")))</f>
        <v/>
      </c>
      <c r="M607">
        <f>IF($B607="","",IF(ISNUMBER(SEARCH("bulk",$B607)),0,IF(ISNUMBER(SEARCH("fuel",$B607))+ISNUMBER(SEARCH("diesel",$B607))+ISNUMBER(SEARCH("krudo",$B607))+ISNUMBER(SEARCH("gasolina",$B607))&gt;0,1,0)))</f>
        <v/>
      </c>
      <c r="N607">
        <f>IF($B607="","",IF(ISNUMBER(SEARCH("fuel",$B607))+ISNUMBER(SEARCH("diesel",$B607))+ISNUMBER(SEARCH("krudo",$B607))+ISNUMBER(SEARCH("gasolina",$B607))&gt;0,1,0))</f>
        <v/>
      </c>
    </row>
    <row r="608">
      <c r="A608" s="94" t="n"/>
      <c r="B608" s="96" t="n"/>
      <c r="C608" s="96" t="n"/>
      <c r="D608" s="95" t="n"/>
      <c r="E608" s="96" t="n"/>
      <c r="F608" s="99" t="n"/>
      <c r="G608" s="95" t="n"/>
      <c r="H608" s="95" t="n"/>
      <c r="I608" s="101">
        <f>IF($B608="","",IF(COUNTIF(Setup!$A$99:$A$128,$B608)&gt;0,IF(INDEX(Setup!$B$99:$B$128,MATCH($B608,Setup!$A$99:$A$128,0))="","Overhead",INDEX(Setup!$B$99:$B$128,MATCH($B608,Setup!$A$99:$A$128,0))),IF(ISNUMBER(SEARCH("advance",$B608))+ISNUMBER(SEARCH("payout",$B608))+ISNUMBER(SEARCH("pay out",$B608))+ISNUMBER(SEARCH("reimburs",$B608))&gt;0,"Transfer",IF(ISNUMBER(SEARCH("loan",$B608))+ISNUMBER(SEARCH("amort",$B608))+ISNUMBER(SEARCH("installment",$B608))+ISNUMBER(SEARCH("instalment",$B608))&gt;0,"Financing",IF(ISNUMBER(SEARCH("draw",$B608))+ISNUMBER(SEARCH("owner",$B608))+ISNUMBER(SEARCH("asset",$B608))+ISNUMBER(SEARCH("capital",$B608))&gt;0,"Other",IF(ISNUMBER(SEARCH("fuel",$B608))+ISNUMBER(SEARCH("diesel",$B608))+ISNUMBER(SEARCH("krudo",$B608))+ISNUMBER(SEARCH("gasolina",$B608))+ISNUMBER(SEARCH("toll",$B608))+ISNUMBER(SEARCH("parking",$B608))+ISNUMBER(SEARCH("repair",$B608))+ISNUMBER(SEARCH("maintenance",$B608))+ISNUMBER(SEARCH("tire",$B608))+ISNUMBER(SEARCH("tyre",$B608))+ISNUMBER(SEARCH("battery",$B608))+ISNUMBER(SEARCH("oil",$B608))+ISNUMBER(SEARCH("filter",$B608))+ISNUMBER(SEARCH("spare",$B608))+ISNUMBER(SEARCH("insurance",$B608))+ISNUMBER(SEARCH("lto",$B608))+ISNUMBER(SEARCH("registration",$B608))+ISNUMBER(SEARCH("emission",$B608))+ISNUMBER(SEARCH("wash",$B608))+ISNUMBER(SEARCH("weigh",$B608))+ISNUMBER(SEARCH("tarp",$B608))&gt;0,"Vehicle",IF(ISNUMBER(SEARCH("rent",$B608))+ISNUMBER(SEARCH("upa",$B608))+ISNUMBER(SEARCH("salary",$B608))+ISNUMBER(SEARCH("sweldo",$B608))+ISNUMBER(SEARCH("wage",$B608))+ISNUMBER(SEARCH("electric",$B608))+ISNUMBER(SEARCH("kuryente",$B608))+ISNUMBER(SEARCH("water",$B608))+ISNUMBER(SEARCH("tubig",$B608))+ISNUMBER(SEARCH("internet",$B608))+ISNUMBER(SEARCH("pldt",$B608))+ISNUMBER(SEARCH("meralco",$B608))+ISNUMBER(SEARCH("supplies",$B608))+ISNUMBER(SEARCH("office",$B608))+ISNUMBER(SEARCH("professional",$B608))+ISNUMBER(SEARCH("accountant",$B608))+ISNUMBER(SEARCH("lawyer",$B608))+ISNUMBER(SEARCH("broker",$B608))+ISNUMBER(SEARCH("bank",$B608))+ISNUMBER(SEARCH("charge",$B608))+ISNUMBER(SEARCH("permit",$B608))+ISNUMBER(SEARCH("bir",$B608))+ISNUMBER(SEARCH("ltfrb",$B608))+ISNUMBER(SEARCH("misc",$B608))+ISNUMBER(SEARCH("fee",$B608))&gt;0,"Overhead","Overhead")))))))</f>
        <v/>
      </c>
      <c r="J608">
        <f>IF($A608="","",DATE(YEAR($A608),MONTH($A608),1))</f>
        <v/>
      </c>
      <c r="K608">
        <f>IF($B608="","",IF(COUNTIF(Setup!$A$99:$A$128,$B608)&gt;0,0,1))</f>
        <v/>
      </c>
      <c r="L608">
        <f>IF($B608="","",IF(ISNUMBER(SEARCH("advance",$B608)),"ADV",IF(OR(ISNUMBER(SEARCH("payout",$B608)),ISNUMBER(SEARCH("pay out",$B608)),ISNUMBER(SEARCH("release",$B608))),"PAY","")))</f>
        <v/>
      </c>
      <c r="M608">
        <f>IF($B608="","",IF(ISNUMBER(SEARCH("bulk",$B608)),0,IF(ISNUMBER(SEARCH("fuel",$B608))+ISNUMBER(SEARCH("diesel",$B608))+ISNUMBER(SEARCH("krudo",$B608))+ISNUMBER(SEARCH("gasolina",$B608))&gt;0,1,0)))</f>
        <v/>
      </c>
      <c r="N608">
        <f>IF($B608="","",IF(ISNUMBER(SEARCH("fuel",$B608))+ISNUMBER(SEARCH("diesel",$B608))+ISNUMBER(SEARCH("krudo",$B608))+ISNUMBER(SEARCH("gasolina",$B608))&gt;0,1,0))</f>
        <v/>
      </c>
    </row>
    <row r="609">
      <c r="A609" s="86" t="n"/>
      <c r="B609" s="88" t="n"/>
      <c r="C609" s="88" t="n"/>
      <c r="D609" s="87" t="n"/>
      <c r="E609" s="88" t="n"/>
      <c r="F609" s="92" t="n"/>
      <c r="G609" s="87" t="n"/>
      <c r="H609" s="87" t="n"/>
      <c r="I609" s="101">
        <f>IF($B609="","",IF(COUNTIF(Setup!$A$99:$A$128,$B609)&gt;0,IF(INDEX(Setup!$B$99:$B$128,MATCH($B609,Setup!$A$99:$A$128,0))="","Overhead",INDEX(Setup!$B$99:$B$128,MATCH($B609,Setup!$A$99:$A$128,0))),IF(ISNUMBER(SEARCH("advance",$B609))+ISNUMBER(SEARCH("payout",$B609))+ISNUMBER(SEARCH("pay out",$B609))+ISNUMBER(SEARCH("reimburs",$B609))&gt;0,"Transfer",IF(ISNUMBER(SEARCH("loan",$B609))+ISNUMBER(SEARCH("amort",$B609))+ISNUMBER(SEARCH("installment",$B609))+ISNUMBER(SEARCH("instalment",$B609))&gt;0,"Financing",IF(ISNUMBER(SEARCH("draw",$B609))+ISNUMBER(SEARCH("owner",$B609))+ISNUMBER(SEARCH("asset",$B609))+ISNUMBER(SEARCH("capital",$B609))&gt;0,"Other",IF(ISNUMBER(SEARCH("fuel",$B609))+ISNUMBER(SEARCH("diesel",$B609))+ISNUMBER(SEARCH("krudo",$B609))+ISNUMBER(SEARCH("gasolina",$B609))+ISNUMBER(SEARCH("toll",$B609))+ISNUMBER(SEARCH("parking",$B609))+ISNUMBER(SEARCH("repair",$B609))+ISNUMBER(SEARCH("maintenance",$B609))+ISNUMBER(SEARCH("tire",$B609))+ISNUMBER(SEARCH("tyre",$B609))+ISNUMBER(SEARCH("battery",$B609))+ISNUMBER(SEARCH("oil",$B609))+ISNUMBER(SEARCH("filter",$B609))+ISNUMBER(SEARCH("spare",$B609))+ISNUMBER(SEARCH("insurance",$B609))+ISNUMBER(SEARCH("lto",$B609))+ISNUMBER(SEARCH("registration",$B609))+ISNUMBER(SEARCH("emission",$B609))+ISNUMBER(SEARCH("wash",$B609))+ISNUMBER(SEARCH("weigh",$B609))+ISNUMBER(SEARCH("tarp",$B609))&gt;0,"Vehicle",IF(ISNUMBER(SEARCH("rent",$B609))+ISNUMBER(SEARCH("upa",$B609))+ISNUMBER(SEARCH("salary",$B609))+ISNUMBER(SEARCH("sweldo",$B609))+ISNUMBER(SEARCH("wage",$B609))+ISNUMBER(SEARCH("electric",$B609))+ISNUMBER(SEARCH("kuryente",$B609))+ISNUMBER(SEARCH("water",$B609))+ISNUMBER(SEARCH("tubig",$B609))+ISNUMBER(SEARCH("internet",$B609))+ISNUMBER(SEARCH("pldt",$B609))+ISNUMBER(SEARCH("meralco",$B609))+ISNUMBER(SEARCH("supplies",$B609))+ISNUMBER(SEARCH("office",$B609))+ISNUMBER(SEARCH("professional",$B609))+ISNUMBER(SEARCH("accountant",$B609))+ISNUMBER(SEARCH("lawyer",$B609))+ISNUMBER(SEARCH("broker",$B609))+ISNUMBER(SEARCH("bank",$B609))+ISNUMBER(SEARCH("charge",$B609))+ISNUMBER(SEARCH("permit",$B609))+ISNUMBER(SEARCH("bir",$B609))+ISNUMBER(SEARCH("ltfrb",$B609))+ISNUMBER(SEARCH("misc",$B609))+ISNUMBER(SEARCH("fee",$B609))&gt;0,"Overhead","Overhead")))))))</f>
        <v/>
      </c>
      <c r="J609">
        <f>IF($A609="","",DATE(YEAR($A609),MONTH($A609),1))</f>
        <v/>
      </c>
      <c r="K609">
        <f>IF($B609="","",IF(COUNTIF(Setup!$A$99:$A$128,$B609)&gt;0,0,1))</f>
        <v/>
      </c>
      <c r="L609">
        <f>IF($B609="","",IF(ISNUMBER(SEARCH("advance",$B609)),"ADV",IF(OR(ISNUMBER(SEARCH("payout",$B609)),ISNUMBER(SEARCH("pay out",$B609)),ISNUMBER(SEARCH("release",$B609))),"PAY","")))</f>
        <v/>
      </c>
      <c r="M609">
        <f>IF($B609="","",IF(ISNUMBER(SEARCH("bulk",$B609)),0,IF(ISNUMBER(SEARCH("fuel",$B609))+ISNUMBER(SEARCH("diesel",$B609))+ISNUMBER(SEARCH("krudo",$B609))+ISNUMBER(SEARCH("gasolina",$B609))&gt;0,1,0)))</f>
        <v/>
      </c>
      <c r="N609">
        <f>IF($B609="","",IF(ISNUMBER(SEARCH("fuel",$B609))+ISNUMBER(SEARCH("diesel",$B609))+ISNUMBER(SEARCH("krudo",$B609))+ISNUMBER(SEARCH("gasolina",$B609))&gt;0,1,0))</f>
        <v/>
      </c>
    </row>
    <row r="610">
      <c r="A610" s="94" t="n"/>
      <c r="B610" s="96" t="n"/>
      <c r="C610" s="96" t="n"/>
      <c r="D610" s="95" t="n"/>
      <c r="E610" s="96" t="n"/>
      <c r="F610" s="99" t="n"/>
      <c r="G610" s="95" t="n"/>
      <c r="H610" s="95" t="n"/>
      <c r="I610" s="101">
        <f>IF($B610="","",IF(COUNTIF(Setup!$A$99:$A$128,$B610)&gt;0,IF(INDEX(Setup!$B$99:$B$128,MATCH($B610,Setup!$A$99:$A$128,0))="","Overhead",INDEX(Setup!$B$99:$B$128,MATCH($B610,Setup!$A$99:$A$128,0))),IF(ISNUMBER(SEARCH("advance",$B610))+ISNUMBER(SEARCH("payout",$B610))+ISNUMBER(SEARCH("pay out",$B610))+ISNUMBER(SEARCH("reimburs",$B610))&gt;0,"Transfer",IF(ISNUMBER(SEARCH("loan",$B610))+ISNUMBER(SEARCH("amort",$B610))+ISNUMBER(SEARCH("installment",$B610))+ISNUMBER(SEARCH("instalment",$B610))&gt;0,"Financing",IF(ISNUMBER(SEARCH("draw",$B610))+ISNUMBER(SEARCH("owner",$B610))+ISNUMBER(SEARCH("asset",$B610))+ISNUMBER(SEARCH("capital",$B610))&gt;0,"Other",IF(ISNUMBER(SEARCH("fuel",$B610))+ISNUMBER(SEARCH("diesel",$B610))+ISNUMBER(SEARCH("krudo",$B610))+ISNUMBER(SEARCH("gasolina",$B610))+ISNUMBER(SEARCH("toll",$B610))+ISNUMBER(SEARCH("parking",$B610))+ISNUMBER(SEARCH("repair",$B610))+ISNUMBER(SEARCH("maintenance",$B610))+ISNUMBER(SEARCH("tire",$B610))+ISNUMBER(SEARCH("tyre",$B610))+ISNUMBER(SEARCH("battery",$B610))+ISNUMBER(SEARCH("oil",$B610))+ISNUMBER(SEARCH("filter",$B610))+ISNUMBER(SEARCH("spare",$B610))+ISNUMBER(SEARCH("insurance",$B610))+ISNUMBER(SEARCH("lto",$B610))+ISNUMBER(SEARCH("registration",$B610))+ISNUMBER(SEARCH("emission",$B610))+ISNUMBER(SEARCH("wash",$B610))+ISNUMBER(SEARCH("weigh",$B610))+ISNUMBER(SEARCH("tarp",$B610))&gt;0,"Vehicle",IF(ISNUMBER(SEARCH("rent",$B610))+ISNUMBER(SEARCH("upa",$B610))+ISNUMBER(SEARCH("salary",$B610))+ISNUMBER(SEARCH("sweldo",$B610))+ISNUMBER(SEARCH("wage",$B610))+ISNUMBER(SEARCH("electric",$B610))+ISNUMBER(SEARCH("kuryente",$B610))+ISNUMBER(SEARCH("water",$B610))+ISNUMBER(SEARCH("tubig",$B610))+ISNUMBER(SEARCH("internet",$B610))+ISNUMBER(SEARCH("pldt",$B610))+ISNUMBER(SEARCH("meralco",$B610))+ISNUMBER(SEARCH("supplies",$B610))+ISNUMBER(SEARCH("office",$B610))+ISNUMBER(SEARCH("professional",$B610))+ISNUMBER(SEARCH("accountant",$B610))+ISNUMBER(SEARCH("lawyer",$B610))+ISNUMBER(SEARCH("broker",$B610))+ISNUMBER(SEARCH("bank",$B610))+ISNUMBER(SEARCH("charge",$B610))+ISNUMBER(SEARCH("permit",$B610))+ISNUMBER(SEARCH("bir",$B610))+ISNUMBER(SEARCH("ltfrb",$B610))+ISNUMBER(SEARCH("misc",$B610))+ISNUMBER(SEARCH("fee",$B610))&gt;0,"Overhead","Overhead")))))))</f>
        <v/>
      </c>
      <c r="J610">
        <f>IF($A610="","",DATE(YEAR($A610),MONTH($A610),1))</f>
        <v/>
      </c>
      <c r="K610">
        <f>IF($B610="","",IF(COUNTIF(Setup!$A$99:$A$128,$B610)&gt;0,0,1))</f>
        <v/>
      </c>
      <c r="L610">
        <f>IF($B610="","",IF(ISNUMBER(SEARCH("advance",$B610)),"ADV",IF(OR(ISNUMBER(SEARCH("payout",$B610)),ISNUMBER(SEARCH("pay out",$B610)),ISNUMBER(SEARCH("release",$B610))),"PAY","")))</f>
        <v/>
      </c>
      <c r="M610">
        <f>IF($B610="","",IF(ISNUMBER(SEARCH("bulk",$B610)),0,IF(ISNUMBER(SEARCH("fuel",$B610))+ISNUMBER(SEARCH("diesel",$B610))+ISNUMBER(SEARCH("krudo",$B610))+ISNUMBER(SEARCH("gasolina",$B610))&gt;0,1,0)))</f>
        <v/>
      </c>
      <c r="N610">
        <f>IF($B610="","",IF(ISNUMBER(SEARCH("fuel",$B610))+ISNUMBER(SEARCH("diesel",$B610))+ISNUMBER(SEARCH("krudo",$B610))+ISNUMBER(SEARCH("gasolina",$B610))&gt;0,1,0))</f>
        <v/>
      </c>
    </row>
    <row r="611">
      <c r="A611" s="86" t="n"/>
      <c r="B611" s="88" t="n"/>
      <c r="C611" s="88" t="n"/>
      <c r="D611" s="87" t="n"/>
      <c r="E611" s="88" t="n"/>
      <c r="F611" s="92" t="n"/>
      <c r="G611" s="87" t="n"/>
      <c r="H611" s="87" t="n"/>
      <c r="I611" s="101">
        <f>IF($B611="","",IF(COUNTIF(Setup!$A$99:$A$128,$B611)&gt;0,IF(INDEX(Setup!$B$99:$B$128,MATCH($B611,Setup!$A$99:$A$128,0))="","Overhead",INDEX(Setup!$B$99:$B$128,MATCH($B611,Setup!$A$99:$A$128,0))),IF(ISNUMBER(SEARCH("advance",$B611))+ISNUMBER(SEARCH("payout",$B611))+ISNUMBER(SEARCH("pay out",$B611))+ISNUMBER(SEARCH("reimburs",$B611))&gt;0,"Transfer",IF(ISNUMBER(SEARCH("loan",$B611))+ISNUMBER(SEARCH("amort",$B611))+ISNUMBER(SEARCH("installment",$B611))+ISNUMBER(SEARCH("instalment",$B611))&gt;0,"Financing",IF(ISNUMBER(SEARCH("draw",$B611))+ISNUMBER(SEARCH("owner",$B611))+ISNUMBER(SEARCH("asset",$B611))+ISNUMBER(SEARCH("capital",$B611))&gt;0,"Other",IF(ISNUMBER(SEARCH("fuel",$B611))+ISNUMBER(SEARCH("diesel",$B611))+ISNUMBER(SEARCH("krudo",$B611))+ISNUMBER(SEARCH("gasolina",$B611))+ISNUMBER(SEARCH("toll",$B611))+ISNUMBER(SEARCH("parking",$B611))+ISNUMBER(SEARCH("repair",$B611))+ISNUMBER(SEARCH("maintenance",$B611))+ISNUMBER(SEARCH("tire",$B611))+ISNUMBER(SEARCH("tyre",$B611))+ISNUMBER(SEARCH("battery",$B611))+ISNUMBER(SEARCH("oil",$B611))+ISNUMBER(SEARCH("filter",$B611))+ISNUMBER(SEARCH("spare",$B611))+ISNUMBER(SEARCH("insurance",$B611))+ISNUMBER(SEARCH("lto",$B611))+ISNUMBER(SEARCH("registration",$B611))+ISNUMBER(SEARCH("emission",$B611))+ISNUMBER(SEARCH("wash",$B611))+ISNUMBER(SEARCH("weigh",$B611))+ISNUMBER(SEARCH("tarp",$B611))&gt;0,"Vehicle",IF(ISNUMBER(SEARCH("rent",$B611))+ISNUMBER(SEARCH("upa",$B611))+ISNUMBER(SEARCH("salary",$B611))+ISNUMBER(SEARCH("sweldo",$B611))+ISNUMBER(SEARCH("wage",$B611))+ISNUMBER(SEARCH("electric",$B611))+ISNUMBER(SEARCH("kuryente",$B611))+ISNUMBER(SEARCH("water",$B611))+ISNUMBER(SEARCH("tubig",$B611))+ISNUMBER(SEARCH("internet",$B611))+ISNUMBER(SEARCH("pldt",$B611))+ISNUMBER(SEARCH("meralco",$B611))+ISNUMBER(SEARCH("supplies",$B611))+ISNUMBER(SEARCH("office",$B611))+ISNUMBER(SEARCH("professional",$B611))+ISNUMBER(SEARCH("accountant",$B611))+ISNUMBER(SEARCH("lawyer",$B611))+ISNUMBER(SEARCH("broker",$B611))+ISNUMBER(SEARCH("bank",$B611))+ISNUMBER(SEARCH("charge",$B611))+ISNUMBER(SEARCH("permit",$B611))+ISNUMBER(SEARCH("bir",$B611))+ISNUMBER(SEARCH("ltfrb",$B611))+ISNUMBER(SEARCH("misc",$B611))+ISNUMBER(SEARCH("fee",$B611))&gt;0,"Overhead","Overhead")))))))</f>
        <v/>
      </c>
      <c r="J611">
        <f>IF($A611="","",DATE(YEAR($A611),MONTH($A611),1))</f>
        <v/>
      </c>
      <c r="K611">
        <f>IF($B611="","",IF(COUNTIF(Setup!$A$99:$A$128,$B611)&gt;0,0,1))</f>
        <v/>
      </c>
      <c r="L611">
        <f>IF($B611="","",IF(ISNUMBER(SEARCH("advance",$B611)),"ADV",IF(OR(ISNUMBER(SEARCH("payout",$B611)),ISNUMBER(SEARCH("pay out",$B611)),ISNUMBER(SEARCH("release",$B611))),"PAY","")))</f>
        <v/>
      </c>
      <c r="M611">
        <f>IF($B611="","",IF(ISNUMBER(SEARCH("bulk",$B611)),0,IF(ISNUMBER(SEARCH("fuel",$B611))+ISNUMBER(SEARCH("diesel",$B611))+ISNUMBER(SEARCH("krudo",$B611))+ISNUMBER(SEARCH("gasolina",$B611))&gt;0,1,0)))</f>
        <v/>
      </c>
      <c r="N611">
        <f>IF($B611="","",IF(ISNUMBER(SEARCH("fuel",$B611))+ISNUMBER(SEARCH("diesel",$B611))+ISNUMBER(SEARCH("krudo",$B611))+ISNUMBER(SEARCH("gasolina",$B611))&gt;0,1,0))</f>
        <v/>
      </c>
    </row>
    <row r="612">
      <c r="A612" s="94" t="n"/>
      <c r="B612" s="96" t="n"/>
      <c r="C612" s="96" t="n"/>
      <c r="D612" s="95" t="n"/>
      <c r="E612" s="96" t="n"/>
      <c r="F612" s="99" t="n"/>
      <c r="G612" s="95" t="n"/>
      <c r="H612" s="95" t="n"/>
      <c r="I612" s="101">
        <f>IF($B612="","",IF(COUNTIF(Setup!$A$99:$A$128,$B612)&gt;0,IF(INDEX(Setup!$B$99:$B$128,MATCH($B612,Setup!$A$99:$A$128,0))="","Overhead",INDEX(Setup!$B$99:$B$128,MATCH($B612,Setup!$A$99:$A$128,0))),IF(ISNUMBER(SEARCH("advance",$B612))+ISNUMBER(SEARCH("payout",$B612))+ISNUMBER(SEARCH("pay out",$B612))+ISNUMBER(SEARCH("reimburs",$B612))&gt;0,"Transfer",IF(ISNUMBER(SEARCH("loan",$B612))+ISNUMBER(SEARCH("amort",$B612))+ISNUMBER(SEARCH("installment",$B612))+ISNUMBER(SEARCH("instalment",$B612))&gt;0,"Financing",IF(ISNUMBER(SEARCH("draw",$B612))+ISNUMBER(SEARCH("owner",$B612))+ISNUMBER(SEARCH("asset",$B612))+ISNUMBER(SEARCH("capital",$B612))&gt;0,"Other",IF(ISNUMBER(SEARCH("fuel",$B612))+ISNUMBER(SEARCH("diesel",$B612))+ISNUMBER(SEARCH("krudo",$B612))+ISNUMBER(SEARCH("gasolina",$B612))+ISNUMBER(SEARCH("toll",$B612))+ISNUMBER(SEARCH("parking",$B612))+ISNUMBER(SEARCH("repair",$B612))+ISNUMBER(SEARCH("maintenance",$B612))+ISNUMBER(SEARCH("tire",$B612))+ISNUMBER(SEARCH("tyre",$B612))+ISNUMBER(SEARCH("battery",$B612))+ISNUMBER(SEARCH("oil",$B612))+ISNUMBER(SEARCH("filter",$B612))+ISNUMBER(SEARCH("spare",$B612))+ISNUMBER(SEARCH("insurance",$B612))+ISNUMBER(SEARCH("lto",$B612))+ISNUMBER(SEARCH("registration",$B612))+ISNUMBER(SEARCH("emission",$B612))+ISNUMBER(SEARCH("wash",$B612))+ISNUMBER(SEARCH("weigh",$B612))+ISNUMBER(SEARCH("tarp",$B612))&gt;0,"Vehicle",IF(ISNUMBER(SEARCH("rent",$B612))+ISNUMBER(SEARCH("upa",$B612))+ISNUMBER(SEARCH("salary",$B612))+ISNUMBER(SEARCH("sweldo",$B612))+ISNUMBER(SEARCH("wage",$B612))+ISNUMBER(SEARCH("electric",$B612))+ISNUMBER(SEARCH("kuryente",$B612))+ISNUMBER(SEARCH("water",$B612))+ISNUMBER(SEARCH("tubig",$B612))+ISNUMBER(SEARCH("internet",$B612))+ISNUMBER(SEARCH("pldt",$B612))+ISNUMBER(SEARCH("meralco",$B612))+ISNUMBER(SEARCH("supplies",$B612))+ISNUMBER(SEARCH("office",$B612))+ISNUMBER(SEARCH("professional",$B612))+ISNUMBER(SEARCH("accountant",$B612))+ISNUMBER(SEARCH("lawyer",$B612))+ISNUMBER(SEARCH("broker",$B612))+ISNUMBER(SEARCH("bank",$B612))+ISNUMBER(SEARCH("charge",$B612))+ISNUMBER(SEARCH("permit",$B612))+ISNUMBER(SEARCH("bir",$B612))+ISNUMBER(SEARCH("ltfrb",$B612))+ISNUMBER(SEARCH("misc",$B612))+ISNUMBER(SEARCH("fee",$B612))&gt;0,"Overhead","Overhead")))))))</f>
        <v/>
      </c>
      <c r="J612">
        <f>IF($A612="","",DATE(YEAR($A612),MONTH($A612),1))</f>
        <v/>
      </c>
      <c r="K612">
        <f>IF($B612="","",IF(COUNTIF(Setup!$A$99:$A$128,$B612)&gt;0,0,1))</f>
        <v/>
      </c>
      <c r="L612">
        <f>IF($B612="","",IF(ISNUMBER(SEARCH("advance",$B612)),"ADV",IF(OR(ISNUMBER(SEARCH("payout",$B612)),ISNUMBER(SEARCH("pay out",$B612)),ISNUMBER(SEARCH("release",$B612))),"PAY","")))</f>
        <v/>
      </c>
      <c r="M612">
        <f>IF($B612="","",IF(ISNUMBER(SEARCH("bulk",$B612)),0,IF(ISNUMBER(SEARCH("fuel",$B612))+ISNUMBER(SEARCH("diesel",$B612))+ISNUMBER(SEARCH("krudo",$B612))+ISNUMBER(SEARCH("gasolina",$B612))&gt;0,1,0)))</f>
        <v/>
      </c>
      <c r="N612">
        <f>IF($B612="","",IF(ISNUMBER(SEARCH("fuel",$B612))+ISNUMBER(SEARCH("diesel",$B612))+ISNUMBER(SEARCH("krudo",$B612))+ISNUMBER(SEARCH("gasolina",$B612))&gt;0,1,0))</f>
        <v/>
      </c>
    </row>
    <row r="613">
      <c r="A613" s="86" t="n"/>
      <c r="B613" s="88" t="n"/>
      <c r="C613" s="88" t="n"/>
      <c r="D613" s="87" t="n"/>
      <c r="E613" s="88" t="n"/>
      <c r="F613" s="92" t="n"/>
      <c r="G613" s="87" t="n"/>
      <c r="H613" s="87" t="n"/>
      <c r="I613" s="101">
        <f>IF($B613="","",IF(COUNTIF(Setup!$A$99:$A$128,$B613)&gt;0,IF(INDEX(Setup!$B$99:$B$128,MATCH($B613,Setup!$A$99:$A$128,0))="","Overhead",INDEX(Setup!$B$99:$B$128,MATCH($B613,Setup!$A$99:$A$128,0))),IF(ISNUMBER(SEARCH("advance",$B613))+ISNUMBER(SEARCH("payout",$B613))+ISNUMBER(SEARCH("pay out",$B613))+ISNUMBER(SEARCH("reimburs",$B613))&gt;0,"Transfer",IF(ISNUMBER(SEARCH("loan",$B613))+ISNUMBER(SEARCH("amort",$B613))+ISNUMBER(SEARCH("installment",$B613))+ISNUMBER(SEARCH("instalment",$B613))&gt;0,"Financing",IF(ISNUMBER(SEARCH("draw",$B613))+ISNUMBER(SEARCH("owner",$B613))+ISNUMBER(SEARCH("asset",$B613))+ISNUMBER(SEARCH("capital",$B613))&gt;0,"Other",IF(ISNUMBER(SEARCH("fuel",$B613))+ISNUMBER(SEARCH("diesel",$B613))+ISNUMBER(SEARCH("krudo",$B613))+ISNUMBER(SEARCH("gasolina",$B613))+ISNUMBER(SEARCH("toll",$B613))+ISNUMBER(SEARCH("parking",$B613))+ISNUMBER(SEARCH("repair",$B613))+ISNUMBER(SEARCH("maintenance",$B613))+ISNUMBER(SEARCH("tire",$B613))+ISNUMBER(SEARCH("tyre",$B613))+ISNUMBER(SEARCH("battery",$B613))+ISNUMBER(SEARCH("oil",$B613))+ISNUMBER(SEARCH("filter",$B613))+ISNUMBER(SEARCH("spare",$B613))+ISNUMBER(SEARCH("insurance",$B613))+ISNUMBER(SEARCH("lto",$B613))+ISNUMBER(SEARCH("registration",$B613))+ISNUMBER(SEARCH("emission",$B613))+ISNUMBER(SEARCH("wash",$B613))+ISNUMBER(SEARCH("weigh",$B613))+ISNUMBER(SEARCH("tarp",$B613))&gt;0,"Vehicle",IF(ISNUMBER(SEARCH("rent",$B613))+ISNUMBER(SEARCH("upa",$B613))+ISNUMBER(SEARCH("salary",$B613))+ISNUMBER(SEARCH("sweldo",$B613))+ISNUMBER(SEARCH("wage",$B613))+ISNUMBER(SEARCH("electric",$B613))+ISNUMBER(SEARCH("kuryente",$B613))+ISNUMBER(SEARCH("water",$B613))+ISNUMBER(SEARCH("tubig",$B613))+ISNUMBER(SEARCH("internet",$B613))+ISNUMBER(SEARCH("pldt",$B613))+ISNUMBER(SEARCH("meralco",$B613))+ISNUMBER(SEARCH("supplies",$B613))+ISNUMBER(SEARCH("office",$B613))+ISNUMBER(SEARCH("professional",$B613))+ISNUMBER(SEARCH("accountant",$B613))+ISNUMBER(SEARCH("lawyer",$B613))+ISNUMBER(SEARCH("broker",$B613))+ISNUMBER(SEARCH("bank",$B613))+ISNUMBER(SEARCH("charge",$B613))+ISNUMBER(SEARCH("permit",$B613))+ISNUMBER(SEARCH("bir",$B613))+ISNUMBER(SEARCH("ltfrb",$B613))+ISNUMBER(SEARCH("misc",$B613))+ISNUMBER(SEARCH("fee",$B613))&gt;0,"Overhead","Overhead")))))))</f>
        <v/>
      </c>
      <c r="J613">
        <f>IF($A613="","",DATE(YEAR($A613),MONTH($A613),1))</f>
        <v/>
      </c>
      <c r="K613">
        <f>IF($B613="","",IF(COUNTIF(Setup!$A$99:$A$128,$B613)&gt;0,0,1))</f>
        <v/>
      </c>
      <c r="L613">
        <f>IF($B613="","",IF(ISNUMBER(SEARCH("advance",$B613)),"ADV",IF(OR(ISNUMBER(SEARCH("payout",$B613)),ISNUMBER(SEARCH("pay out",$B613)),ISNUMBER(SEARCH("release",$B613))),"PAY","")))</f>
        <v/>
      </c>
      <c r="M613">
        <f>IF($B613="","",IF(ISNUMBER(SEARCH("bulk",$B613)),0,IF(ISNUMBER(SEARCH("fuel",$B613))+ISNUMBER(SEARCH("diesel",$B613))+ISNUMBER(SEARCH("krudo",$B613))+ISNUMBER(SEARCH("gasolina",$B613))&gt;0,1,0)))</f>
        <v/>
      </c>
      <c r="N613">
        <f>IF($B613="","",IF(ISNUMBER(SEARCH("fuel",$B613))+ISNUMBER(SEARCH("diesel",$B613))+ISNUMBER(SEARCH("krudo",$B613))+ISNUMBER(SEARCH("gasolina",$B613))&gt;0,1,0))</f>
        <v/>
      </c>
    </row>
    <row r="614">
      <c r="A614" s="94" t="n"/>
      <c r="B614" s="96" t="n"/>
      <c r="C614" s="96" t="n"/>
      <c r="D614" s="95" t="n"/>
      <c r="E614" s="96" t="n"/>
      <c r="F614" s="99" t="n"/>
      <c r="G614" s="95" t="n"/>
      <c r="H614" s="95" t="n"/>
      <c r="I614" s="101">
        <f>IF($B614="","",IF(COUNTIF(Setup!$A$99:$A$128,$B614)&gt;0,IF(INDEX(Setup!$B$99:$B$128,MATCH($B614,Setup!$A$99:$A$128,0))="","Overhead",INDEX(Setup!$B$99:$B$128,MATCH($B614,Setup!$A$99:$A$128,0))),IF(ISNUMBER(SEARCH("advance",$B614))+ISNUMBER(SEARCH("payout",$B614))+ISNUMBER(SEARCH("pay out",$B614))+ISNUMBER(SEARCH("reimburs",$B614))&gt;0,"Transfer",IF(ISNUMBER(SEARCH("loan",$B614))+ISNUMBER(SEARCH("amort",$B614))+ISNUMBER(SEARCH("installment",$B614))+ISNUMBER(SEARCH("instalment",$B614))&gt;0,"Financing",IF(ISNUMBER(SEARCH("draw",$B614))+ISNUMBER(SEARCH("owner",$B614))+ISNUMBER(SEARCH("asset",$B614))+ISNUMBER(SEARCH("capital",$B614))&gt;0,"Other",IF(ISNUMBER(SEARCH("fuel",$B614))+ISNUMBER(SEARCH("diesel",$B614))+ISNUMBER(SEARCH("krudo",$B614))+ISNUMBER(SEARCH("gasolina",$B614))+ISNUMBER(SEARCH("toll",$B614))+ISNUMBER(SEARCH("parking",$B614))+ISNUMBER(SEARCH("repair",$B614))+ISNUMBER(SEARCH("maintenance",$B614))+ISNUMBER(SEARCH("tire",$B614))+ISNUMBER(SEARCH("tyre",$B614))+ISNUMBER(SEARCH("battery",$B614))+ISNUMBER(SEARCH("oil",$B614))+ISNUMBER(SEARCH("filter",$B614))+ISNUMBER(SEARCH("spare",$B614))+ISNUMBER(SEARCH("insurance",$B614))+ISNUMBER(SEARCH("lto",$B614))+ISNUMBER(SEARCH("registration",$B614))+ISNUMBER(SEARCH("emission",$B614))+ISNUMBER(SEARCH("wash",$B614))+ISNUMBER(SEARCH("weigh",$B614))+ISNUMBER(SEARCH("tarp",$B614))&gt;0,"Vehicle",IF(ISNUMBER(SEARCH("rent",$B614))+ISNUMBER(SEARCH("upa",$B614))+ISNUMBER(SEARCH("salary",$B614))+ISNUMBER(SEARCH("sweldo",$B614))+ISNUMBER(SEARCH("wage",$B614))+ISNUMBER(SEARCH("electric",$B614))+ISNUMBER(SEARCH("kuryente",$B614))+ISNUMBER(SEARCH("water",$B614))+ISNUMBER(SEARCH("tubig",$B614))+ISNUMBER(SEARCH("internet",$B614))+ISNUMBER(SEARCH("pldt",$B614))+ISNUMBER(SEARCH("meralco",$B614))+ISNUMBER(SEARCH("supplies",$B614))+ISNUMBER(SEARCH("office",$B614))+ISNUMBER(SEARCH("professional",$B614))+ISNUMBER(SEARCH("accountant",$B614))+ISNUMBER(SEARCH("lawyer",$B614))+ISNUMBER(SEARCH("broker",$B614))+ISNUMBER(SEARCH("bank",$B614))+ISNUMBER(SEARCH("charge",$B614))+ISNUMBER(SEARCH("permit",$B614))+ISNUMBER(SEARCH("bir",$B614))+ISNUMBER(SEARCH("ltfrb",$B614))+ISNUMBER(SEARCH("misc",$B614))+ISNUMBER(SEARCH("fee",$B614))&gt;0,"Overhead","Overhead")))))))</f>
        <v/>
      </c>
      <c r="J614">
        <f>IF($A614="","",DATE(YEAR($A614),MONTH($A614),1))</f>
        <v/>
      </c>
      <c r="K614">
        <f>IF($B614="","",IF(COUNTIF(Setup!$A$99:$A$128,$B614)&gt;0,0,1))</f>
        <v/>
      </c>
      <c r="L614">
        <f>IF($B614="","",IF(ISNUMBER(SEARCH("advance",$B614)),"ADV",IF(OR(ISNUMBER(SEARCH("payout",$B614)),ISNUMBER(SEARCH("pay out",$B614)),ISNUMBER(SEARCH("release",$B614))),"PAY","")))</f>
        <v/>
      </c>
      <c r="M614">
        <f>IF($B614="","",IF(ISNUMBER(SEARCH("bulk",$B614)),0,IF(ISNUMBER(SEARCH("fuel",$B614))+ISNUMBER(SEARCH("diesel",$B614))+ISNUMBER(SEARCH("krudo",$B614))+ISNUMBER(SEARCH("gasolina",$B614))&gt;0,1,0)))</f>
        <v/>
      </c>
      <c r="N614">
        <f>IF($B614="","",IF(ISNUMBER(SEARCH("fuel",$B614))+ISNUMBER(SEARCH("diesel",$B614))+ISNUMBER(SEARCH("krudo",$B614))+ISNUMBER(SEARCH("gasolina",$B614))&gt;0,1,0))</f>
        <v/>
      </c>
    </row>
    <row r="615">
      <c r="A615" s="86" t="n"/>
      <c r="B615" s="88" t="n"/>
      <c r="C615" s="88" t="n"/>
      <c r="D615" s="87" t="n"/>
      <c r="E615" s="88" t="n"/>
      <c r="F615" s="92" t="n"/>
      <c r="G615" s="87" t="n"/>
      <c r="H615" s="87" t="n"/>
      <c r="I615" s="101">
        <f>IF($B615="","",IF(COUNTIF(Setup!$A$99:$A$128,$B615)&gt;0,IF(INDEX(Setup!$B$99:$B$128,MATCH($B615,Setup!$A$99:$A$128,0))="","Overhead",INDEX(Setup!$B$99:$B$128,MATCH($B615,Setup!$A$99:$A$128,0))),IF(ISNUMBER(SEARCH("advance",$B615))+ISNUMBER(SEARCH("payout",$B615))+ISNUMBER(SEARCH("pay out",$B615))+ISNUMBER(SEARCH("reimburs",$B615))&gt;0,"Transfer",IF(ISNUMBER(SEARCH("loan",$B615))+ISNUMBER(SEARCH("amort",$B615))+ISNUMBER(SEARCH("installment",$B615))+ISNUMBER(SEARCH("instalment",$B615))&gt;0,"Financing",IF(ISNUMBER(SEARCH("draw",$B615))+ISNUMBER(SEARCH("owner",$B615))+ISNUMBER(SEARCH("asset",$B615))+ISNUMBER(SEARCH("capital",$B615))&gt;0,"Other",IF(ISNUMBER(SEARCH("fuel",$B615))+ISNUMBER(SEARCH("diesel",$B615))+ISNUMBER(SEARCH("krudo",$B615))+ISNUMBER(SEARCH("gasolina",$B615))+ISNUMBER(SEARCH("toll",$B615))+ISNUMBER(SEARCH("parking",$B615))+ISNUMBER(SEARCH("repair",$B615))+ISNUMBER(SEARCH("maintenance",$B615))+ISNUMBER(SEARCH("tire",$B615))+ISNUMBER(SEARCH("tyre",$B615))+ISNUMBER(SEARCH("battery",$B615))+ISNUMBER(SEARCH("oil",$B615))+ISNUMBER(SEARCH("filter",$B615))+ISNUMBER(SEARCH("spare",$B615))+ISNUMBER(SEARCH("insurance",$B615))+ISNUMBER(SEARCH("lto",$B615))+ISNUMBER(SEARCH("registration",$B615))+ISNUMBER(SEARCH("emission",$B615))+ISNUMBER(SEARCH("wash",$B615))+ISNUMBER(SEARCH("weigh",$B615))+ISNUMBER(SEARCH("tarp",$B615))&gt;0,"Vehicle",IF(ISNUMBER(SEARCH("rent",$B615))+ISNUMBER(SEARCH("upa",$B615))+ISNUMBER(SEARCH("salary",$B615))+ISNUMBER(SEARCH("sweldo",$B615))+ISNUMBER(SEARCH("wage",$B615))+ISNUMBER(SEARCH("electric",$B615))+ISNUMBER(SEARCH("kuryente",$B615))+ISNUMBER(SEARCH("water",$B615))+ISNUMBER(SEARCH("tubig",$B615))+ISNUMBER(SEARCH("internet",$B615))+ISNUMBER(SEARCH("pldt",$B615))+ISNUMBER(SEARCH("meralco",$B615))+ISNUMBER(SEARCH("supplies",$B615))+ISNUMBER(SEARCH("office",$B615))+ISNUMBER(SEARCH("professional",$B615))+ISNUMBER(SEARCH("accountant",$B615))+ISNUMBER(SEARCH("lawyer",$B615))+ISNUMBER(SEARCH("broker",$B615))+ISNUMBER(SEARCH("bank",$B615))+ISNUMBER(SEARCH("charge",$B615))+ISNUMBER(SEARCH("permit",$B615))+ISNUMBER(SEARCH("bir",$B615))+ISNUMBER(SEARCH("ltfrb",$B615))+ISNUMBER(SEARCH("misc",$B615))+ISNUMBER(SEARCH("fee",$B615))&gt;0,"Overhead","Overhead")))))))</f>
        <v/>
      </c>
      <c r="J615">
        <f>IF($A615="","",DATE(YEAR($A615),MONTH($A615),1))</f>
        <v/>
      </c>
      <c r="K615">
        <f>IF($B615="","",IF(COUNTIF(Setup!$A$99:$A$128,$B615)&gt;0,0,1))</f>
        <v/>
      </c>
      <c r="L615">
        <f>IF($B615="","",IF(ISNUMBER(SEARCH("advance",$B615)),"ADV",IF(OR(ISNUMBER(SEARCH("payout",$B615)),ISNUMBER(SEARCH("pay out",$B615)),ISNUMBER(SEARCH("release",$B615))),"PAY","")))</f>
        <v/>
      </c>
      <c r="M615">
        <f>IF($B615="","",IF(ISNUMBER(SEARCH("bulk",$B615)),0,IF(ISNUMBER(SEARCH("fuel",$B615))+ISNUMBER(SEARCH("diesel",$B615))+ISNUMBER(SEARCH("krudo",$B615))+ISNUMBER(SEARCH("gasolina",$B615))&gt;0,1,0)))</f>
        <v/>
      </c>
      <c r="N615">
        <f>IF($B615="","",IF(ISNUMBER(SEARCH("fuel",$B615))+ISNUMBER(SEARCH("diesel",$B615))+ISNUMBER(SEARCH("krudo",$B615))+ISNUMBER(SEARCH("gasolina",$B615))&gt;0,1,0))</f>
        <v/>
      </c>
    </row>
    <row r="616">
      <c r="A616" s="94" t="n"/>
      <c r="B616" s="96" t="n"/>
      <c r="C616" s="96" t="n"/>
      <c r="D616" s="95" t="n"/>
      <c r="E616" s="96" t="n"/>
      <c r="F616" s="99" t="n"/>
      <c r="G616" s="95" t="n"/>
      <c r="H616" s="95" t="n"/>
      <c r="I616" s="101">
        <f>IF($B616="","",IF(COUNTIF(Setup!$A$99:$A$128,$B616)&gt;0,IF(INDEX(Setup!$B$99:$B$128,MATCH($B616,Setup!$A$99:$A$128,0))="","Overhead",INDEX(Setup!$B$99:$B$128,MATCH($B616,Setup!$A$99:$A$128,0))),IF(ISNUMBER(SEARCH("advance",$B616))+ISNUMBER(SEARCH("payout",$B616))+ISNUMBER(SEARCH("pay out",$B616))+ISNUMBER(SEARCH("reimburs",$B616))&gt;0,"Transfer",IF(ISNUMBER(SEARCH("loan",$B616))+ISNUMBER(SEARCH("amort",$B616))+ISNUMBER(SEARCH("installment",$B616))+ISNUMBER(SEARCH("instalment",$B616))&gt;0,"Financing",IF(ISNUMBER(SEARCH("draw",$B616))+ISNUMBER(SEARCH("owner",$B616))+ISNUMBER(SEARCH("asset",$B616))+ISNUMBER(SEARCH("capital",$B616))&gt;0,"Other",IF(ISNUMBER(SEARCH("fuel",$B616))+ISNUMBER(SEARCH("diesel",$B616))+ISNUMBER(SEARCH("krudo",$B616))+ISNUMBER(SEARCH("gasolina",$B616))+ISNUMBER(SEARCH("toll",$B616))+ISNUMBER(SEARCH("parking",$B616))+ISNUMBER(SEARCH("repair",$B616))+ISNUMBER(SEARCH("maintenance",$B616))+ISNUMBER(SEARCH("tire",$B616))+ISNUMBER(SEARCH("tyre",$B616))+ISNUMBER(SEARCH("battery",$B616))+ISNUMBER(SEARCH("oil",$B616))+ISNUMBER(SEARCH("filter",$B616))+ISNUMBER(SEARCH("spare",$B616))+ISNUMBER(SEARCH("insurance",$B616))+ISNUMBER(SEARCH("lto",$B616))+ISNUMBER(SEARCH("registration",$B616))+ISNUMBER(SEARCH("emission",$B616))+ISNUMBER(SEARCH("wash",$B616))+ISNUMBER(SEARCH("weigh",$B616))+ISNUMBER(SEARCH("tarp",$B616))&gt;0,"Vehicle",IF(ISNUMBER(SEARCH("rent",$B616))+ISNUMBER(SEARCH("upa",$B616))+ISNUMBER(SEARCH("salary",$B616))+ISNUMBER(SEARCH("sweldo",$B616))+ISNUMBER(SEARCH("wage",$B616))+ISNUMBER(SEARCH("electric",$B616))+ISNUMBER(SEARCH("kuryente",$B616))+ISNUMBER(SEARCH("water",$B616))+ISNUMBER(SEARCH("tubig",$B616))+ISNUMBER(SEARCH("internet",$B616))+ISNUMBER(SEARCH("pldt",$B616))+ISNUMBER(SEARCH("meralco",$B616))+ISNUMBER(SEARCH("supplies",$B616))+ISNUMBER(SEARCH("office",$B616))+ISNUMBER(SEARCH("professional",$B616))+ISNUMBER(SEARCH("accountant",$B616))+ISNUMBER(SEARCH("lawyer",$B616))+ISNUMBER(SEARCH("broker",$B616))+ISNUMBER(SEARCH("bank",$B616))+ISNUMBER(SEARCH("charge",$B616))+ISNUMBER(SEARCH("permit",$B616))+ISNUMBER(SEARCH("bir",$B616))+ISNUMBER(SEARCH("ltfrb",$B616))+ISNUMBER(SEARCH("misc",$B616))+ISNUMBER(SEARCH("fee",$B616))&gt;0,"Overhead","Overhead")))))))</f>
        <v/>
      </c>
      <c r="J616">
        <f>IF($A616="","",DATE(YEAR($A616),MONTH($A616),1))</f>
        <v/>
      </c>
      <c r="K616">
        <f>IF($B616="","",IF(COUNTIF(Setup!$A$99:$A$128,$B616)&gt;0,0,1))</f>
        <v/>
      </c>
      <c r="L616">
        <f>IF($B616="","",IF(ISNUMBER(SEARCH("advance",$B616)),"ADV",IF(OR(ISNUMBER(SEARCH("payout",$B616)),ISNUMBER(SEARCH("pay out",$B616)),ISNUMBER(SEARCH("release",$B616))),"PAY","")))</f>
        <v/>
      </c>
      <c r="M616">
        <f>IF($B616="","",IF(ISNUMBER(SEARCH("bulk",$B616)),0,IF(ISNUMBER(SEARCH("fuel",$B616))+ISNUMBER(SEARCH("diesel",$B616))+ISNUMBER(SEARCH("krudo",$B616))+ISNUMBER(SEARCH("gasolina",$B616))&gt;0,1,0)))</f>
        <v/>
      </c>
      <c r="N616">
        <f>IF($B616="","",IF(ISNUMBER(SEARCH("fuel",$B616))+ISNUMBER(SEARCH("diesel",$B616))+ISNUMBER(SEARCH("krudo",$B616))+ISNUMBER(SEARCH("gasolina",$B616))&gt;0,1,0))</f>
        <v/>
      </c>
    </row>
    <row r="617">
      <c r="A617" s="86" t="n"/>
      <c r="B617" s="88" t="n"/>
      <c r="C617" s="88" t="n"/>
      <c r="D617" s="87" t="n"/>
      <c r="E617" s="88" t="n"/>
      <c r="F617" s="92" t="n"/>
      <c r="G617" s="87" t="n"/>
      <c r="H617" s="87" t="n"/>
      <c r="I617" s="101">
        <f>IF($B617="","",IF(COUNTIF(Setup!$A$99:$A$128,$B617)&gt;0,IF(INDEX(Setup!$B$99:$B$128,MATCH($B617,Setup!$A$99:$A$128,0))="","Overhead",INDEX(Setup!$B$99:$B$128,MATCH($B617,Setup!$A$99:$A$128,0))),IF(ISNUMBER(SEARCH("advance",$B617))+ISNUMBER(SEARCH("payout",$B617))+ISNUMBER(SEARCH("pay out",$B617))+ISNUMBER(SEARCH("reimburs",$B617))&gt;0,"Transfer",IF(ISNUMBER(SEARCH("loan",$B617))+ISNUMBER(SEARCH("amort",$B617))+ISNUMBER(SEARCH("installment",$B617))+ISNUMBER(SEARCH("instalment",$B617))&gt;0,"Financing",IF(ISNUMBER(SEARCH("draw",$B617))+ISNUMBER(SEARCH("owner",$B617))+ISNUMBER(SEARCH("asset",$B617))+ISNUMBER(SEARCH("capital",$B617))&gt;0,"Other",IF(ISNUMBER(SEARCH("fuel",$B617))+ISNUMBER(SEARCH("diesel",$B617))+ISNUMBER(SEARCH("krudo",$B617))+ISNUMBER(SEARCH("gasolina",$B617))+ISNUMBER(SEARCH("toll",$B617))+ISNUMBER(SEARCH("parking",$B617))+ISNUMBER(SEARCH("repair",$B617))+ISNUMBER(SEARCH("maintenance",$B617))+ISNUMBER(SEARCH("tire",$B617))+ISNUMBER(SEARCH("tyre",$B617))+ISNUMBER(SEARCH("battery",$B617))+ISNUMBER(SEARCH("oil",$B617))+ISNUMBER(SEARCH("filter",$B617))+ISNUMBER(SEARCH("spare",$B617))+ISNUMBER(SEARCH("insurance",$B617))+ISNUMBER(SEARCH("lto",$B617))+ISNUMBER(SEARCH("registration",$B617))+ISNUMBER(SEARCH("emission",$B617))+ISNUMBER(SEARCH("wash",$B617))+ISNUMBER(SEARCH("weigh",$B617))+ISNUMBER(SEARCH("tarp",$B617))&gt;0,"Vehicle",IF(ISNUMBER(SEARCH("rent",$B617))+ISNUMBER(SEARCH("upa",$B617))+ISNUMBER(SEARCH("salary",$B617))+ISNUMBER(SEARCH("sweldo",$B617))+ISNUMBER(SEARCH("wage",$B617))+ISNUMBER(SEARCH("electric",$B617))+ISNUMBER(SEARCH("kuryente",$B617))+ISNUMBER(SEARCH("water",$B617))+ISNUMBER(SEARCH("tubig",$B617))+ISNUMBER(SEARCH("internet",$B617))+ISNUMBER(SEARCH("pldt",$B617))+ISNUMBER(SEARCH("meralco",$B617))+ISNUMBER(SEARCH("supplies",$B617))+ISNUMBER(SEARCH("office",$B617))+ISNUMBER(SEARCH("professional",$B617))+ISNUMBER(SEARCH("accountant",$B617))+ISNUMBER(SEARCH("lawyer",$B617))+ISNUMBER(SEARCH("broker",$B617))+ISNUMBER(SEARCH("bank",$B617))+ISNUMBER(SEARCH("charge",$B617))+ISNUMBER(SEARCH("permit",$B617))+ISNUMBER(SEARCH("bir",$B617))+ISNUMBER(SEARCH("ltfrb",$B617))+ISNUMBER(SEARCH("misc",$B617))+ISNUMBER(SEARCH("fee",$B617))&gt;0,"Overhead","Overhead")))))))</f>
        <v/>
      </c>
      <c r="J617">
        <f>IF($A617="","",DATE(YEAR($A617),MONTH($A617),1))</f>
        <v/>
      </c>
      <c r="K617">
        <f>IF($B617="","",IF(COUNTIF(Setup!$A$99:$A$128,$B617)&gt;0,0,1))</f>
        <v/>
      </c>
      <c r="L617">
        <f>IF($B617="","",IF(ISNUMBER(SEARCH("advance",$B617)),"ADV",IF(OR(ISNUMBER(SEARCH("payout",$B617)),ISNUMBER(SEARCH("pay out",$B617)),ISNUMBER(SEARCH("release",$B617))),"PAY","")))</f>
        <v/>
      </c>
      <c r="M617">
        <f>IF($B617="","",IF(ISNUMBER(SEARCH("bulk",$B617)),0,IF(ISNUMBER(SEARCH("fuel",$B617))+ISNUMBER(SEARCH("diesel",$B617))+ISNUMBER(SEARCH("krudo",$B617))+ISNUMBER(SEARCH("gasolina",$B617))&gt;0,1,0)))</f>
        <v/>
      </c>
      <c r="N617">
        <f>IF($B617="","",IF(ISNUMBER(SEARCH("fuel",$B617))+ISNUMBER(SEARCH("diesel",$B617))+ISNUMBER(SEARCH("krudo",$B617))+ISNUMBER(SEARCH("gasolina",$B617))&gt;0,1,0))</f>
        <v/>
      </c>
    </row>
    <row r="618">
      <c r="A618" s="94" t="n"/>
      <c r="B618" s="96" t="n"/>
      <c r="C618" s="96" t="n"/>
      <c r="D618" s="95" t="n"/>
      <c r="E618" s="96" t="n"/>
      <c r="F618" s="99" t="n"/>
      <c r="G618" s="95" t="n"/>
      <c r="H618" s="95" t="n"/>
      <c r="I618" s="101">
        <f>IF($B618="","",IF(COUNTIF(Setup!$A$99:$A$128,$B618)&gt;0,IF(INDEX(Setup!$B$99:$B$128,MATCH($B618,Setup!$A$99:$A$128,0))="","Overhead",INDEX(Setup!$B$99:$B$128,MATCH($B618,Setup!$A$99:$A$128,0))),IF(ISNUMBER(SEARCH("advance",$B618))+ISNUMBER(SEARCH("payout",$B618))+ISNUMBER(SEARCH("pay out",$B618))+ISNUMBER(SEARCH("reimburs",$B618))&gt;0,"Transfer",IF(ISNUMBER(SEARCH("loan",$B618))+ISNUMBER(SEARCH("amort",$B618))+ISNUMBER(SEARCH("installment",$B618))+ISNUMBER(SEARCH("instalment",$B618))&gt;0,"Financing",IF(ISNUMBER(SEARCH("draw",$B618))+ISNUMBER(SEARCH("owner",$B618))+ISNUMBER(SEARCH("asset",$B618))+ISNUMBER(SEARCH("capital",$B618))&gt;0,"Other",IF(ISNUMBER(SEARCH("fuel",$B618))+ISNUMBER(SEARCH("diesel",$B618))+ISNUMBER(SEARCH("krudo",$B618))+ISNUMBER(SEARCH("gasolina",$B618))+ISNUMBER(SEARCH("toll",$B618))+ISNUMBER(SEARCH("parking",$B618))+ISNUMBER(SEARCH("repair",$B618))+ISNUMBER(SEARCH("maintenance",$B618))+ISNUMBER(SEARCH("tire",$B618))+ISNUMBER(SEARCH("tyre",$B618))+ISNUMBER(SEARCH("battery",$B618))+ISNUMBER(SEARCH("oil",$B618))+ISNUMBER(SEARCH("filter",$B618))+ISNUMBER(SEARCH("spare",$B618))+ISNUMBER(SEARCH("insurance",$B618))+ISNUMBER(SEARCH("lto",$B618))+ISNUMBER(SEARCH("registration",$B618))+ISNUMBER(SEARCH("emission",$B618))+ISNUMBER(SEARCH("wash",$B618))+ISNUMBER(SEARCH("weigh",$B618))+ISNUMBER(SEARCH("tarp",$B618))&gt;0,"Vehicle",IF(ISNUMBER(SEARCH("rent",$B618))+ISNUMBER(SEARCH("upa",$B618))+ISNUMBER(SEARCH("salary",$B618))+ISNUMBER(SEARCH("sweldo",$B618))+ISNUMBER(SEARCH("wage",$B618))+ISNUMBER(SEARCH("electric",$B618))+ISNUMBER(SEARCH("kuryente",$B618))+ISNUMBER(SEARCH("water",$B618))+ISNUMBER(SEARCH("tubig",$B618))+ISNUMBER(SEARCH("internet",$B618))+ISNUMBER(SEARCH("pldt",$B618))+ISNUMBER(SEARCH("meralco",$B618))+ISNUMBER(SEARCH("supplies",$B618))+ISNUMBER(SEARCH("office",$B618))+ISNUMBER(SEARCH("professional",$B618))+ISNUMBER(SEARCH("accountant",$B618))+ISNUMBER(SEARCH("lawyer",$B618))+ISNUMBER(SEARCH("broker",$B618))+ISNUMBER(SEARCH("bank",$B618))+ISNUMBER(SEARCH("charge",$B618))+ISNUMBER(SEARCH("permit",$B618))+ISNUMBER(SEARCH("bir",$B618))+ISNUMBER(SEARCH("ltfrb",$B618))+ISNUMBER(SEARCH("misc",$B618))+ISNUMBER(SEARCH("fee",$B618))&gt;0,"Overhead","Overhead")))))))</f>
        <v/>
      </c>
      <c r="J618">
        <f>IF($A618="","",DATE(YEAR($A618),MONTH($A618),1))</f>
        <v/>
      </c>
      <c r="K618">
        <f>IF($B618="","",IF(COUNTIF(Setup!$A$99:$A$128,$B618)&gt;0,0,1))</f>
        <v/>
      </c>
      <c r="L618">
        <f>IF($B618="","",IF(ISNUMBER(SEARCH("advance",$B618)),"ADV",IF(OR(ISNUMBER(SEARCH("payout",$B618)),ISNUMBER(SEARCH("pay out",$B618)),ISNUMBER(SEARCH("release",$B618))),"PAY","")))</f>
        <v/>
      </c>
      <c r="M618">
        <f>IF($B618="","",IF(ISNUMBER(SEARCH("bulk",$B618)),0,IF(ISNUMBER(SEARCH("fuel",$B618))+ISNUMBER(SEARCH("diesel",$B618))+ISNUMBER(SEARCH("krudo",$B618))+ISNUMBER(SEARCH("gasolina",$B618))&gt;0,1,0)))</f>
        <v/>
      </c>
      <c r="N618">
        <f>IF($B618="","",IF(ISNUMBER(SEARCH("fuel",$B618))+ISNUMBER(SEARCH("diesel",$B618))+ISNUMBER(SEARCH("krudo",$B618))+ISNUMBER(SEARCH("gasolina",$B618))&gt;0,1,0))</f>
        <v/>
      </c>
    </row>
    <row r="619">
      <c r="A619" s="86" t="n"/>
      <c r="B619" s="88" t="n"/>
      <c r="C619" s="88" t="n"/>
      <c r="D619" s="87" t="n"/>
      <c r="E619" s="88" t="n"/>
      <c r="F619" s="92" t="n"/>
      <c r="G619" s="87" t="n"/>
      <c r="H619" s="87" t="n"/>
      <c r="I619" s="101">
        <f>IF($B619="","",IF(COUNTIF(Setup!$A$99:$A$128,$B619)&gt;0,IF(INDEX(Setup!$B$99:$B$128,MATCH($B619,Setup!$A$99:$A$128,0))="","Overhead",INDEX(Setup!$B$99:$B$128,MATCH($B619,Setup!$A$99:$A$128,0))),IF(ISNUMBER(SEARCH("advance",$B619))+ISNUMBER(SEARCH("payout",$B619))+ISNUMBER(SEARCH("pay out",$B619))+ISNUMBER(SEARCH("reimburs",$B619))&gt;0,"Transfer",IF(ISNUMBER(SEARCH("loan",$B619))+ISNUMBER(SEARCH("amort",$B619))+ISNUMBER(SEARCH("installment",$B619))+ISNUMBER(SEARCH("instalment",$B619))&gt;0,"Financing",IF(ISNUMBER(SEARCH("draw",$B619))+ISNUMBER(SEARCH("owner",$B619))+ISNUMBER(SEARCH("asset",$B619))+ISNUMBER(SEARCH("capital",$B619))&gt;0,"Other",IF(ISNUMBER(SEARCH("fuel",$B619))+ISNUMBER(SEARCH("diesel",$B619))+ISNUMBER(SEARCH("krudo",$B619))+ISNUMBER(SEARCH("gasolina",$B619))+ISNUMBER(SEARCH("toll",$B619))+ISNUMBER(SEARCH("parking",$B619))+ISNUMBER(SEARCH("repair",$B619))+ISNUMBER(SEARCH("maintenance",$B619))+ISNUMBER(SEARCH("tire",$B619))+ISNUMBER(SEARCH("tyre",$B619))+ISNUMBER(SEARCH("battery",$B619))+ISNUMBER(SEARCH("oil",$B619))+ISNUMBER(SEARCH("filter",$B619))+ISNUMBER(SEARCH("spare",$B619))+ISNUMBER(SEARCH("insurance",$B619))+ISNUMBER(SEARCH("lto",$B619))+ISNUMBER(SEARCH("registration",$B619))+ISNUMBER(SEARCH("emission",$B619))+ISNUMBER(SEARCH("wash",$B619))+ISNUMBER(SEARCH("weigh",$B619))+ISNUMBER(SEARCH("tarp",$B619))&gt;0,"Vehicle",IF(ISNUMBER(SEARCH("rent",$B619))+ISNUMBER(SEARCH("upa",$B619))+ISNUMBER(SEARCH("salary",$B619))+ISNUMBER(SEARCH("sweldo",$B619))+ISNUMBER(SEARCH("wage",$B619))+ISNUMBER(SEARCH("electric",$B619))+ISNUMBER(SEARCH("kuryente",$B619))+ISNUMBER(SEARCH("water",$B619))+ISNUMBER(SEARCH("tubig",$B619))+ISNUMBER(SEARCH("internet",$B619))+ISNUMBER(SEARCH("pldt",$B619))+ISNUMBER(SEARCH("meralco",$B619))+ISNUMBER(SEARCH("supplies",$B619))+ISNUMBER(SEARCH("office",$B619))+ISNUMBER(SEARCH("professional",$B619))+ISNUMBER(SEARCH("accountant",$B619))+ISNUMBER(SEARCH("lawyer",$B619))+ISNUMBER(SEARCH("broker",$B619))+ISNUMBER(SEARCH("bank",$B619))+ISNUMBER(SEARCH("charge",$B619))+ISNUMBER(SEARCH("permit",$B619))+ISNUMBER(SEARCH("bir",$B619))+ISNUMBER(SEARCH("ltfrb",$B619))+ISNUMBER(SEARCH("misc",$B619))+ISNUMBER(SEARCH("fee",$B619))&gt;0,"Overhead","Overhead")))))))</f>
        <v/>
      </c>
      <c r="J619">
        <f>IF($A619="","",DATE(YEAR($A619),MONTH($A619),1))</f>
        <v/>
      </c>
      <c r="K619">
        <f>IF($B619="","",IF(COUNTIF(Setup!$A$99:$A$128,$B619)&gt;0,0,1))</f>
        <v/>
      </c>
      <c r="L619">
        <f>IF($B619="","",IF(ISNUMBER(SEARCH("advance",$B619)),"ADV",IF(OR(ISNUMBER(SEARCH("payout",$B619)),ISNUMBER(SEARCH("pay out",$B619)),ISNUMBER(SEARCH("release",$B619))),"PAY","")))</f>
        <v/>
      </c>
      <c r="M619">
        <f>IF($B619="","",IF(ISNUMBER(SEARCH("bulk",$B619)),0,IF(ISNUMBER(SEARCH("fuel",$B619))+ISNUMBER(SEARCH("diesel",$B619))+ISNUMBER(SEARCH("krudo",$B619))+ISNUMBER(SEARCH("gasolina",$B619))&gt;0,1,0)))</f>
        <v/>
      </c>
      <c r="N619">
        <f>IF($B619="","",IF(ISNUMBER(SEARCH("fuel",$B619))+ISNUMBER(SEARCH("diesel",$B619))+ISNUMBER(SEARCH("krudo",$B619))+ISNUMBER(SEARCH("gasolina",$B619))&gt;0,1,0))</f>
        <v/>
      </c>
    </row>
    <row r="620">
      <c r="A620" s="94" t="n"/>
      <c r="B620" s="96" t="n"/>
      <c r="C620" s="96" t="n"/>
      <c r="D620" s="95" t="n"/>
      <c r="E620" s="96" t="n"/>
      <c r="F620" s="99" t="n"/>
      <c r="G620" s="95" t="n"/>
      <c r="H620" s="95" t="n"/>
      <c r="I620" s="101">
        <f>IF($B620="","",IF(COUNTIF(Setup!$A$99:$A$128,$B620)&gt;0,IF(INDEX(Setup!$B$99:$B$128,MATCH($B620,Setup!$A$99:$A$128,0))="","Overhead",INDEX(Setup!$B$99:$B$128,MATCH($B620,Setup!$A$99:$A$128,0))),IF(ISNUMBER(SEARCH("advance",$B620))+ISNUMBER(SEARCH("payout",$B620))+ISNUMBER(SEARCH("pay out",$B620))+ISNUMBER(SEARCH("reimburs",$B620))&gt;0,"Transfer",IF(ISNUMBER(SEARCH("loan",$B620))+ISNUMBER(SEARCH("amort",$B620))+ISNUMBER(SEARCH("installment",$B620))+ISNUMBER(SEARCH("instalment",$B620))&gt;0,"Financing",IF(ISNUMBER(SEARCH("draw",$B620))+ISNUMBER(SEARCH("owner",$B620))+ISNUMBER(SEARCH("asset",$B620))+ISNUMBER(SEARCH("capital",$B620))&gt;0,"Other",IF(ISNUMBER(SEARCH("fuel",$B620))+ISNUMBER(SEARCH("diesel",$B620))+ISNUMBER(SEARCH("krudo",$B620))+ISNUMBER(SEARCH("gasolina",$B620))+ISNUMBER(SEARCH("toll",$B620))+ISNUMBER(SEARCH("parking",$B620))+ISNUMBER(SEARCH("repair",$B620))+ISNUMBER(SEARCH("maintenance",$B620))+ISNUMBER(SEARCH("tire",$B620))+ISNUMBER(SEARCH("tyre",$B620))+ISNUMBER(SEARCH("battery",$B620))+ISNUMBER(SEARCH("oil",$B620))+ISNUMBER(SEARCH("filter",$B620))+ISNUMBER(SEARCH("spare",$B620))+ISNUMBER(SEARCH("insurance",$B620))+ISNUMBER(SEARCH("lto",$B620))+ISNUMBER(SEARCH("registration",$B620))+ISNUMBER(SEARCH("emission",$B620))+ISNUMBER(SEARCH("wash",$B620))+ISNUMBER(SEARCH("weigh",$B620))+ISNUMBER(SEARCH("tarp",$B620))&gt;0,"Vehicle",IF(ISNUMBER(SEARCH("rent",$B620))+ISNUMBER(SEARCH("upa",$B620))+ISNUMBER(SEARCH("salary",$B620))+ISNUMBER(SEARCH("sweldo",$B620))+ISNUMBER(SEARCH("wage",$B620))+ISNUMBER(SEARCH("electric",$B620))+ISNUMBER(SEARCH("kuryente",$B620))+ISNUMBER(SEARCH("water",$B620))+ISNUMBER(SEARCH("tubig",$B620))+ISNUMBER(SEARCH("internet",$B620))+ISNUMBER(SEARCH("pldt",$B620))+ISNUMBER(SEARCH("meralco",$B620))+ISNUMBER(SEARCH("supplies",$B620))+ISNUMBER(SEARCH("office",$B620))+ISNUMBER(SEARCH("professional",$B620))+ISNUMBER(SEARCH("accountant",$B620))+ISNUMBER(SEARCH("lawyer",$B620))+ISNUMBER(SEARCH("broker",$B620))+ISNUMBER(SEARCH("bank",$B620))+ISNUMBER(SEARCH("charge",$B620))+ISNUMBER(SEARCH("permit",$B620))+ISNUMBER(SEARCH("bir",$B620))+ISNUMBER(SEARCH("ltfrb",$B620))+ISNUMBER(SEARCH("misc",$B620))+ISNUMBER(SEARCH("fee",$B620))&gt;0,"Overhead","Overhead")))))))</f>
        <v/>
      </c>
      <c r="J620">
        <f>IF($A620="","",DATE(YEAR($A620),MONTH($A620),1))</f>
        <v/>
      </c>
      <c r="K620">
        <f>IF($B620="","",IF(COUNTIF(Setup!$A$99:$A$128,$B620)&gt;0,0,1))</f>
        <v/>
      </c>
      <c r="L620">
        <f>IF($B620="","",IF(ISNUMBER(SEARCH("advance",$B620)),"ADV",IF(OR(ISNUMBER(SEARCH("payout",$B620)),ISNUMBER(SEARCH("pay out",$B620)),ISNUMBER(SEARCH("release",$B620))),"PAY","")))</f>
        <v/>
      </c>
      <c r="M620">
        <f>IF($B620="","",IF(ISNUMBER(SEARCH("bulk",$B620)),0,IF(ISNUMBER(SEARCH("fuel",$B620))+ISNUMBER(SEARCH("diesel",$B620))+ISNUMBER(SEARCH("krudo",$B620))+ISNUMBER(SEARCH("gasolina",$B620))&gt;0,1,0)))</f>
        <v/>
      </c>
      <c r="N620">
        <f>IF($B620="","",IF(ISNUMBER(SEARCH("fuel",$B620))+ISNUMBER(SEARCH("diesel",$B620))+ISNUMBER(SEARCH("krudo",$B620))+ISNUMBER(SEARCH("gasolina",$B620))&gt;0,1,0))</f>
        <v/>
      </c>
    </row>
    <row r="621">
      <c r="A621" s="86" t="n"/>
      <c r="B621" s="88" t="n"/>
      <c r="C621" s="88" t="n"/>
      <c r="D621" s="87" t="n"/>
      <c r="E621" s="88" t="n"/>
      <c r="F621" s="92" t="n"/>
      <c r="G621" s="87" t="n"/>
      <c r="H621" s="87" t="n"/>
      <c r="I621" s="101">
        <f>IF($B621="","",IF(COUNTIF(Setup!$A$99:$A$128,$B621)&gt;0,IF(INDEX(Setup!$B$99:$B$128,MATCH($B621,Setup!$A$99:$A$128,0))="","Overhead",INDEX(Setup!$B$99:$B$128,MATCH($B621,Setup!$A$99:$A$128,0))),IF(ISNUMBER(SEARCH("advance",$B621))+ISNUMBER(SEARCH("payout",$B621))+ISNUMBER(SEARCH("pay out",$B621))+ISNUMBER(SEARCH("reimburs",$B621))&gt;0,"Transfer",IF(ISNUMBER(SEARCH("loan",$B621))+ISNUMBER(SEARCH("amort",$B621))+ISNUMBER(SEARCH("installment",$B621))+ISNUMBER(SEARCH("instalment",$B621))&gt;0,"Financing",IF(ISNUMBER(SEARCH("draw",$B621))+ISNUMBER(SEARCH("owner",$B621))+ISNUMBER(SEARCH("asset",$B621))+ISNUMBER(SEARCH("capital",$B621))&gt;0,"Other",IF(ISNUMBER(SEARCH("fuel",$B621))+ISNUMBER(SEARCH("diesel",$B621))+ISNUMBER(SEARCH("krudo",$B621))+ISNUMBER(SEARCH("gasolina",$B621))+ISNUMBER(SEARCH("toll",$B621))+ISNUMBER(SEARCH("parking",$B621))+ISNUMBER(SEARCH("repair",$B621))+ISNUMBER(SEARCH("maintenance",$B621))+ISNUMBER(SEARCH("tire",$B621))+ISNUMBER(SEARCH("tyre",$B621))+ISNUMBER(SEARCH("battery",$B621))+ISNUMBER(SEARCH("oil",$B621))+ISNUMBER(SEARCH("filter",$B621))+ISNUMBER(SEARCH("spare",$B621))+ISNUMBER(SEARCH("insurance",$B621))+ISNUMBER(SEARCH("lto",$B621))+ISNUMBER(SEARCH("registration",$B621))+ISNUMBER(SEARCH("emission",$B621))+ISNUMBER(SEARCH("wash",$B621))+ISNUMBER(SEARCH("weigh",$B621))+ISNUMBER(SEARCH("tarp",$B621))&gt;0,"Vehicle",IF(ISNUMBER(SEARCH("rent",$B621))+ISNUMBER(SEARCH("upa",$B621))+ISNUMBER(SEARCH("salary",$B621))+ISNUMBER(SEARCH("sweldo",$B621))+ISNUMBER(SEARCH("wage",$B621))+ISNUMBER(SEARCH("electric",$B621))+ISNUMBER(SEARCH("kuryente",$B621))+ISNUMBER(SEARCH("water",$B621))+ISNUMBER(SEARCH("tubig",$B621))+ISNUMBER(SEARCH("internet",$B621))+ISNUMBER(SEARCH("pldt",$B621))+ISNUMBER(SEARCH("meralco",$B621))+ISNUMBER(SEARCH("supplies",$B621))+ISNUMBER(SEARCH("office",$B621))+ISNUMBER(SEARCH("professional",$B621))+ISNUMBER(SEARCH("accountant",$B621))+ISNUMBER(SEARCH("lawyer",$B621))+ISNUMBER(SEARCH("broker",$B621))+ISNUMBER(SEARCH("bank",$B621))+ISNUMBER(SEARCH("charge",$B621))+ISNUMBER(SEARCH("permit",$B621))+ISNUMBER(SEARCH("bir",$B621))+ISNUMBER(SEARCH("ltfrb",$B621))+ISNUMBER(SEARCH("misc",$B621))+ISNUMBER(SEARCH("fee",$B621))&gt;0,"Overhead","Overhead")))))))</f>
        <v/>
      </c>
      <c r="J621">
        <f>IF($A621="","",DATE(YEAR($A621),MONTH($A621),1))</f>
        <v/>
      </c>
      <c r="K621">
        <f>IF($B621="","",IF(COUNTIF(Setup!$A$99:$A$128,$B621)&gt;0,0,1))</f>
        <v/>
      </c>
      <c r="L621">
        <f>IF($B621="","",IF(ISNUMBER(SEARCH("advance",$B621)),"ADV",IF(OR(ISNUMBER(SEARCH("payout",$B621)),ISNUMBER(SEARCH("pay out",$B621)),ISNUMBER(SEARCH("release",$B621))),"PAY","")))</f>
        <v/>
      </c>
      <c r="M621">
        <f>IF($B621="","",IF(ISNUMBER(SEARCH("bulk",$B621)),0,IF(ISNUMBER(SEARCH("fuel",$B621))+ISNUMBER(SEARCH("diesel",$B621))+ISNUMBER(SEARCH("krudo",$B621))+ISNUMBER(SEARCH("gasolina",$B621))&gt;0,1,0)))</f>
        <v/>
      </c>
      <c r="N621">
        <f>IF($B621="","",IF(ISNUMBER(SEARCH("fuel",$B621))+ISNUMBER(SEARCH("diesel",$B621))+ISNUMBER(SEARCH("krudo",$B621))+ISNUMBER(SEARCH("gasolina",$B621))&gt;0,1,0))</f>
        <v/>
      </c>
    </row>
    <row r="622">
      <c r="A622" s="94" t="n"/>
      <c r="B622" s="96" t="n"/>
      <c r="C622" s="96" t="n"/>
      <c r="D622" s="95" t="n"/>
      <c r="E622" s="96" t="n"/>
      <c r="F622" s="99" t="n"/>
      <c r="G622" s="95" t="n"/>
      <c r="H622" s="95" t="n"/>
      <c r="I622" s="101">
        <f>IF($B622="","",IF(COUNTIF(Setup!$A$99:$A$128,$B622)&gt;0,IF(INDEX(Setup!$B$99:$B$128,MATCH($B622,Setup!$A$99:$A$128,0))="","Overhead",INDEX(Setup!$B$99:$B$128,MATCH($B622,Setup!$A$99:$A$128,0))),IF(ISNUMBER(SEARCH("advance",$B622))+ISNUMBER(SEARCH("payout",$B622))+ISNUMBER(SEARCH("pay out",$B622))+ISNUMBER(SEARCH("reimburs",$B622))&gt;0,"Transfer",IF(ISNUMBER(SEARCH("loan",$B622))+ISNUMBER(SEARCH("amort",$B622))+ISNUMBER(SEARCH("installment",$B622))+ISNUMBER(SEARCH("instalment",$B622))&gt;0,"Financing",IF(ISNUMBER(SEARCH("draw",$B622))+ISNUMBER(SEARCH("owner",$B622))+ISNUMBER(SEARCH("asset",$B622))+ISNUMBER(SEARCH("capital",$B622))&gt;0,"Other",IF(ISNUMBER(SEARCH("fuel",$B622))+ISNUMBER(SEARCH("diesel",$B622))+ISNUMBER(SEARCH("krudo",$B622))+ISNUMBER(SEARCH("gasolina",$B622))+ISNUMBER(SEARCH("toll",$B622))+ISNUMBER(SEARCH("parking",$B622))+ISNUMBER(SEARCH("repair",$B622))+ISNUMBER(SEARCH("maintenance",$B622))+ISNUMBER(SEARCH("tire",$B622))+ISNUMBER(SEARCH("tyre",$B622))+ISNUMBER(SEARCH("battery",$B622))+ISNUMBER(SEARCH("oil",$B622))+ISNUMBER(SEARCH("filter",$B622))+ISNUMBER(SEARCH("spare",$B622))+ISNUMBER(SEARCH("insurance",$B622))+ISNUMBER(SEARCH("lto",$B622))+ISNUMBER(SEARCH("registration",$B622))+ISNUMBER(SEARCH("emission",$B622))+ISNUMBER(SEARCH("wash",$B622))+ISNUMBER(SEARCH("weigh",$B622))+ISNUMBER(SEARCH("tarp",$B622))&gt;0,"Vehicle",IF(ISNUMBER(SEARCH("rent",$B622))+ISNUMBER(SEARCH("upa",$B622))+ISNUMBER(SEARCH("salary",$B622))+ISNUMBER(SEARCH("sweldo",$B622))+ISNUMBER(SEARCH("wage",$B622))+ISNUMBER(SEARCH("electric",$B622))+ISNUMBER(SEARCH("kuryente",$B622))+ISNUMBER(SEARCH("water",$B622))+ISNUMBER(SEARCH("tubig",$B622))+ISNUMBER(SEARCH("internet",$B622))+ISNUMBER(SEARCH("pldt",$B622))+ISNUMBER(SEARCH("meralco",$B622))+ISNUMBER(SEARCH("supplies",$B622))+ISNUMBER(SEARCH("office",$B622))+ISNUMBER(SEARCH("professional",$B622))+ISNUMBER(SEARCH("accountant",$B622))+ISNUMBER(SEARCH("lawyer",$B622))+ISNUMBER(SEARCH("broker",$B622))+ISNUMBER(SEARCH("bank",$B622))+ISNUMBER(SEARCH("charge",$B622))+ISNUMBER(SEARCH("permit",$B622))+ISNUMBER(SEARCH("bir",$B622))+ISNUMBER(SEARCH("ltfrb",$B622))+ISNUMBER(SEARCH("misc",$B622))+ISNUMBER(SEARCH("fee",$B622))&gt;0,"Overhead","Overhead")))))))</f>
        <v/>
      </c>
      <c r="J622">
        <f>IF($A622="","",DATE(YEAR($A622),MONTH($A622),1))</f>
        <v/>
      </c>
      <c r="K622">
        <f>IF($B622="","",IF(COUNTIF(Setup!$A$99:$A$128,$B622)&gt;0,0,1))</f>
        <v/>
      </c>
      <c r="L622">
        <f>IF($B622="","",IF(ISNUMBER(SEARCH("advance",$B622)),"ADV",IF(OR(ISNUMBER(SEARCH("payout",$B622)),ISNUMBER(SEARCH("pay out",$B622)),ISNUMBER(SEARCH("release",$B622))),"PAY","")))</f>
        <v/>
      </c>
      <c r="M622">
        <f>IF($B622="","",IF(ISNUMBER(SEARCH("bulk",$B622)),0,IF(ISNUMBER(SEARCH("fuel",$B622))+ISNUMBER(SEARCH("diesel",$B622))+ISNUMBER(SEARCH("krudo",$B622))+ISNUMBER(SEARCH("gasolina",$B622))&gt;0,1,0)))</f>
        <v/>
      </c>
      <c r="N622">
        <f>IF($B622="","",IF(ISNUMBER(SEARCH("fuel",$B622))+ISNUMBER(SEARCH("diesel",$B622))+ISNUMBER(SEARCH("krudo",$B622))+ISNUMBER(SEARCH("gasolina",$B622))&gt;0,1,0))</f>
        <v/>
      </c>
    </row>
    <row r="623">
      <c r="A623" s="86" t="n"/>
      <c r="B623" s="88" t="n"/>
      <c r="C623" s="88" t="n"/>
      <c r="D623" s="87" t="n"/>
      <c r="E623" s="88" t="n"/>
      <c r="F623" s="92" t="n"/>
      <c r="G623" s="87" t="n"/>
      <c r="H623" s="87" t="n"/>
      <c r="I623" s="101">
        <f>IF($B623="","",IF(COUNTIF(Setup!$A$99:$A$128,$B623)&gt;0,IF(INDEX(Setup!$B$99:$B$128,MATCH($B623,Setup!$A$99:$A$128,0))="","Overhead",INDEX(Setup!$B$99:$B$128,MATCH($B623,Setup!$A$99:$A$128,0))),IF(ISNUMBER(SEARCH("advance",$B623))+ISNUMBER(SEARCH("payout",$B623))+ISNUMBER(SEARCH("pay out",$B623))+ISNUMBER(SEARCH("reimburs",$B623))&gt;0,"Transfer",IF(ISNUMBER(SEARCH("loan",$B623))+ISNUMBER(SEARCH("amort",$B623))+ISNUMBER(SEARCH("installment",$B623))+ISNUMBER(SEARCH("instalment",$B623))&gt;0,"Financing",IF(ISNUMBER(SEARCH("draw",$B623))+ISNUMBER(SEARCH("owner",$B623))+ISNUMBER(SEARCH("asset",$B623))+ISNUMBER(SEARCH("capital",$B623))&gt;0,"Other",IF(ISNUMBER(SEARCH("fuel",$B623))+ISNUMBER(SEARCH("diesel",$B623))+ISNUMBER(SEARCH("krudo",$B623))+ISNUMBER(SEARCH("gasolina",$B623))+ISNUMBER(SEARCH("toll",$B623))+ISNUMBER(SEARCH("parking",$B623))+ISNUMBER(SEARCH("repair",$B623))+ISNUMBER(SEARCH("maintenance",$B623))+ISNUMBER(SEARCH("tire",$B623))+ISNUMBER(SEARCH("tyre",$B623))+ISNUMBER(SEARCH("battery",$B623))+ISNUMBER(SEARCH("oil",$B623))+ISNUMBER(SEARCH("filter",$B623))+ISNUMBER(SEARCH("spare",$B623))+ISNUMBER(SEARCH("insurance",$B623))+ISNUMBER(SEARCH("lto",$B623))+ISNUMBER(SEARCH("registration",$B623))+ISNUMBER(SEARCH("emission",$B623))+ISNUMBER(SEARCH("wash",$B623))+ISNUMBER(SEARCH("weigh",$B623))+ISNUMBER(SEARCH("tarp",$B623))&gt;0,"Vehicle",IF(ISNUMBER(SEARCH("rent",$B623))+ISNUMBER(SEARCH("upa",$B623))+ISNUMBER(SEARCH("salary",$B623))+ISNUMBER(SEARCH("sweldo",$B623))+ISNUMBER(SEARCH("wage",$B623))+ISNUMBER(SEARCH("electric",$B623))+ISNUMBER(SEARCH("kuryente",$B623))+ISNUMBER(SEARCH("water",$B623))+ISNUMBER(SEARCH("tubig",$B623))+ISNUMBER(SEARCH("internet",$B623))+ISNUMBER(SEARCH("pldt",$B623))+ISNUMBER(SEARCH("meralco",$B623))+ISNUMBER(SEARCH("supplies",$B623))+ISNUMBER(SEARCH("office",$B623))+ISNUMBER(SEARCH("professional",$B623))+ISNUMBER(SEARCH("accountant",$B623))+ISNUMBER(SEARCH("lawyer",$B623))+ISNUMBER(SEARCH("broker",$B623))+ISNUMBER(SEARCH("bank",$B623))+ISNUMBER(SEARCH("charge",$B623))+ISNUMBER(SEARCH("permit",$B623))+ISNUMBER(SEARCH("bir",$B623))+ISNUMBER(SEARCH("ltfrb",$B623))+ISNUMBER(SEARCH("misc",$B623))+ISNUMBER(SEARCH("fee",$B623))&gt;0,"Overhead","Overhead")))))))</f>
        <v/>
      </c>
      <c r="J623">
        <f>IF($A623="","",DATE(YEAR($A623),MONTH($A623),1))</f>
        <v/>
      </c>
      <c r="K623">
        <f>IF($B623="","",IF(COUNTIF(Setup!$A$99:$A$128,$B623)&gt;0,0,1))</f>
        <v/>
      </c>
      <c r="L623">
        <f>IF($B623="","",IF(ISNUMBER(SEARCH("advance",$B623)),"ADV",IF(OR(ISNUMBER(SEARCH("payout",$B623)),ISNUMBER(SEARCH("pay out",$B623)),ISNUMBER(SEARCH("release",$B623))),"PAY","")))</f>
        <v/>
      </c>
      <c r="M623">
        <f>IF($B623="","",IF(ISNUMBER(SEARCH("bulk",$B623)),0,IF(ISNUMBER(SEARCH("fuel",$B623))+ISNUMBER(SEARCH("diesel",$B623))+ISNUMBER(SEARCH("krudo",$B623))+ISNUMBER(SEARCH("gasolina",$B623))&gt;0,1,0)))</f>
        <v/>
      </c>
      <c r="N623">
        <f>IF($B623="","",IF(ISNUMBER(SEARCH("fuel",$B623))+ISNUMBER(SEARCH("diesel",$B623))+ISNUMBER(SEARCH("krudo",$B623))+ISNUMBER(SEARCH("gasolina",$B623))&gt;0,1,0))</f>
        <v/>
      </c>
    </row>
    <row r="624">
      <c r="A624" s="94" t="n"/>
      <c r="B624" s="96" t="n"/>
      <c r="C624" s="96" t="n"/>
      <c r="D624" s="95" t="n"/>
      <c r="E624" s="96" t="n"/>
      <c r="F624" s="99" t="n"/>
      <c r="G624" s="95" t="n"/>
      <c r="H624" s="95" t="n"/>
      <c r="I624" s="101">
        <f>IF($B624="","",IF(COUNTIF(Setup!$A$99:$A$128,$B624)&gt;0,IF(INDEX(Setup!$B$99:$B$128,MATCH($B624,Setup!$A$99:$A$128,0))="","Overhead",INDEX(Setup!$B$99:$B$128,MATCH($B624,Setup!$A$99:$A$128,0))),IF(ISNUMBER(SEARCH("advance",$B624))+ISNUMBER(SEARCH("payout",$B624))+ISNUMBER(SEARCH("pay out",$B624))+ISNUMBER(SEARCH("reimburs",$B624))&gt;0,"Transfer",IF(ISNUMBER(SEARCH("loan",$B624))+ISNUMBER(SEARCH("amort",$B624))+ISNUMBER(SEARCH("installment",$B624))+ISNUMBER(SEARCH("instalment",$B624))&gt;0,"Financing",IF(ISNUMBER(SEARCH("draw",$B624))+ISNUMBER(SEARCH("owner",$B624))+ISNUMBER(SEARCH("asset",$B624))+ISNUMBER(SEARCH("capital",$B624))&gt;0,"Other",IF(ISNUMBER(SEARCH("fuel",$B624))+ISNUMBER(SEARCH("diesel",$B624))+ISNUMBER(SEARCH("krudo",$B624))+ISNUMBER(SEARCH("gasolina",$B624))+ISNUMBER(SEARCH("toll",$B624))+ISNUMBER(SEARCH("parking",$B624))+ISNUMBER(SEARCH("repair",$B624))+ISNUMBER(SEARCH("maintenance",$B624))+ISNUMBER(SEARCH("tire",$B624))+ISNUMBER(SEARCH("tyre",$B624))+ISNUMBER(SEARCH("battery",$B624))+ISNUMBER(SEARCH("oil",$B624))+ISNUMBER(SEARCH("filter",$B624))+ISNUMBER(SEARCH("spare",$B624))+ISNUMBER(SEARCH("insurance",$B624))+ISNUMBER(SEARCH("lto",$B624))+ISNUMBER(SEARCH("registration",$B624))+ISNUMBER(SEARCH("emission",$B624))+ISNUMBER(SEARCH("wash",$B624))+ISNUMBER(SEARCH("weigh",$B624))+ISNUMBER(SEARCH("tarp",$B624))&gt;0,"Vehicle",IF(ISNUMBER(SEARCH("rent",$B624))+ISNUMBER(SEARCH("upa",$B624))+ISNUMBER(SEARCH("salary",$B624))+ISNUMBER(SEARCH("sweldo",$B624))+ISNUMBER(SEARCH("wage",$B624))+ISNUMBER(SEARCH("electric",$B624))+ISNUMBER(SEARCH("kuryente",$B624))+ISNUMBER(SEARCH("water",$B624))+ISNUMBER(SEARCH("tubig",$B624))+ISNUMBER(SEARCH("internet",$B624))+ISNUMBER(SEARCH("pldt",$B624))+ISNUMBER(SEARCH("meralco",$B624))+ISNUMBER(SEARCH("supplies",$B624))+ISNUMBER(SEARCH("office",$B624))+ISNUMBER(SEARCH("professional",$B624))+ISNUMBER(SEARCH("accountant",$B624))+ISNUMBER(SEARCH("lawyer",$B624))+ISNUMBER(SEARCH("broker",$B624))+ISNUMBER(SEARCH("bank",$B624))+ISNUMBER(SEARCH("charge",$B624))+ISNUMBER(SEARCH("permit",$B624))+ISNUMBER(SEARCH("bir",$B624))+ISNUMBER(SEARCH("ltfrb",$B624))+ISNUMBER(SEARCH("misc",$B624))+ISNUMBER(SEARCH("fee",$B624))&gt;0,"Overhead","Overhead")))))))</f>
        <v/>
      </c>
      <c r="J624">
        <f>IF($A624="","",DATE(YEAR($A624),MONTH($A624),1))</f>
        <v/>
      </c>
      <c r="K624">
        <f>IF($B624="","",IF(COUNTIF(Setup!$A$99:$A$128,$B624)&gt;0,0,1))</f>
        <v/>
      </c>
      <c r="L624">
        <f>IF($B624="","",IF(ISNUMBER(SEARCH("advance",$B624)),"ADV",IF(OR(ISNUMBER(SEARCH("payout",$B624)),ISNUMBER(SEARCH("pay out",$B624)),ISNUMBER(SEARCH("release",$B624))),"PAY","")))</f>
        <v/>
      </c>
      <c r="M624">
        <f>IF($B624="","",IF(ISNUMBER(SEARCH("bulk",$B624)),0,IF(ISNUMBER(SEARCH("fuel",$B624))+ISNUMBER(SEARCH("diesel",$B624))+ISNUMBER(SEARCH("krudo",$B624))+ISNUMBER(SEARCH("gasolina",$B624))&gt;0,1,0)))</f>
        <v/>
      </c>
      <c r="N624">
        <f>IF($B624="","",IF(ISNUMBER(SEARCH("fuel",$B624))+ISNUMBER(SEARCH("diesel",$B624))+ISNUMBER(SEARCH("krudo",$B624))+ISNUMBER(SEARCH("gasolina",$B624))&gt;0,1,0))</f>
        <v/>
      </c>
    </row>
    <row r="625">
      <c r="A625" s="86" t="n"/>
      <c r="B625" s="88" t="n"/>
      <c r="C625" s="88" t="n"/>
      <c r="D625" s="87" t="n"/>
      <c r="E625" s="88" t="n"/>
      <c r="F625" s="92" t="n"/>
      <c r="G625" s="87" t="n"/>
      <c r="H625" s="87" t="n"/>
      <c r="I625" s="101">
        <f>IF($B625="","",IF(COUNTIF(Setup!$A$99:$A$128,$B625)&gt;0,IF(INDEX(Setup!$B$99:$B$128,MATCH($B625,Setup!$A$99:$A$128,0))="","Overhead",INDEX(Setup!$B$99:$B$128,MATCH($B625,Setup!$A$99:$A$128,0))),IF(ISNUMBER(SEARCH("advance",$B625))+ISNUMBER(SEARCH("payout",$B625))+ISNUMBER(SEARCH("pay out",$B625))+ISNUMBER(SEARCH("reimburs",$B625))&gt;0,"Transfer",IF(ISNUMBER(SEARCH("loan",$B625))+ISNUMBER(SEARCH("amort",$B625))+ISNUMBER(SEARCH("installment",$B625))+ISNUMBER(SEARCH("instalment",$B625))&gt;0,"Financing",IF(ISNUMBER(SEARCH("draw",$B625))+ISNUMBER(SEARCH("owner",$B625))+ISNUMBER(SEARCH("asset",$B625))+ISNUMBER(SEARCH("capital",$B625))&gt;0,"Other",IF(ISNUMBER(SEARCH("fuel",$B625))+ISNUMBER(SEARCH("diesel",$B625))+ISNUMBER(SEARCH("krudo",$B625))+ISNUMBER(SEARCH("gasolina",$B625))+ISNUMBER(SEARCH("toll",$B625))+ISNUMBER(SEARCH("parking",$B625))+ISNUMBER(SEARCH("repair",$B625))+ISNUMBER(SEARCH("maintenance",$B625))+ISNUMBER(SEARCH("tire",$B625))+ISNUMBER(SEARCH("tyre",$B625))+ISNUMBER(SEARCH("battery",$B625))+ISNUMBER(SEARCH("oil",$B625))+ISNUMBER(SEARCH("filter",$B625))+ISNUMBER(SEARCH("spare",$B625))+ISNUMBER(SEARCH("insurance",$B625))+ISNUMBER(SEARCH("lto",$B625))+ISNUMBER(SEARCH("registration",$B625))+ISNUMBER(SEARCH("emission",$B625))+ISNUMBER(SEARCH("wash",$B625))+ISNUMBER(SEARCH("weigh",$B625))+ISNUMBER(SEARCH("tarp",$B625))&gt;0,"Vehicle",IF(ISNUMBER(SEARCH("rent",$B625))+ISNUMBER(SEARCH("upa",$B625))+ISNUMBER(SEARCH("salary",$B625))+ISNUMBER(SEARCH("sweldo",$B625))+ISNUMBER(SEARCH("wage",$B625))+ISNUMBER(SEARCH("electric",$B625))+ISNUMBER(SEARCH("kuryente",$B625))+ISNUMBER(SEARCH("water",$B625))+ISNUMBER(SEARCH("tubig",$B625))+ISNUMBER(SEARCH("internet",$B625))+ISNUMBER(SEARCH("pldt",$B625))+ISNUMBER(SEARCH("meralco",$B625))+ISNUMBER(SEARCH("supplies",$B625))+ISNUMBER(SEARCH("office",$B625))+ISNUMBER(SEARCH("professional",$B625))+ISNUMBER(SEARCH("accountant",$B625))+ISNUMBER(SEARCH("lawyer",$B625))+ISNUMBER(SEARCH("broker",$B625))+ISNUMBER(SEARCH("bank",$B625))+ISNUMBER(SEARCH("charge",$B625))+ISNUMBER(SEARCH("permit",$B625))+ISNUMBER(SEARCH("bir",$B625))+ISNUMBER(SEARCH("ltfrb",$B625))+ISNUMBER(SEARCH("misc",$B625))+ISNUMBER(SEARCH("fee",$B625))&gt;0,"Overhead","Overhead")))))))</f>
        <v/>
      </c>
      <c r="J625">
        <f>IF($A625="","",DATE(YEAR($A625),MONTH($A625),1))</f>
        <v/>
      </c>
      <c r="K625">
        <f>IF($B625="","",IF(COUNTIF(Setup!$A$99:$A$128,$B625)&gt;0,0,1))</f>
        <v/>
      </c>
      <c r="L625">
        <f>IF($B625="","",IF(ISNUMBER(SEARCH("advance",$B625)),"ADV",IF(OR(ISNUMBER(SEARCH("payout",$B625)),ISNUMBER(SEARCH("pay out",$B625)),ISNUMBER(SEARCH("release",$B625))),"PAY","")))</f>
        <v/>
      </c>
      <c r="M625">
        <f>IF($B625="","",IF(ISNUMBER(SEARCH("bulk",$B625)),0,IF(ISNUMBER(SEARCH("fuel",$B625))+ISNUMBER(SEARCH("diesel",$B625))+ISNUMBER(SEARCH("krudo",$B625))+ISNUMBER(SEARCH("gasolina",$B625))&gt;0,1,0)))</f>
        <v/>
      </c>
      <c r="N625">
        <f>IF($B625="","",IF(ISNUMBER(SEARCH("fuel",$B625))+ISNUMBER(SEARCH("diesel",$B625))+ISNUMBER(SEARCH("krudo",$B625))+ISNUMBER(SEARCH("gasolina",$B625))&gt;0,1,0))</f>
        <v/>
      </c>
    </row>
    <row r="626">
      <c r="A626" s="94" t="n"/>
      <c r="B626" s="96" t="n"/>
      <c r="C626" s="96" t="n"/>
      <c r="D626" s="95" t="n"/>
      <c r="E626" s="96" t="n"/>
      <c r="F626" s="99" t="n"/>
      <c r="G626" s="95" t="n"/>
      <c r="H626" s="95" t="n"/>
      <c r="I626" s="101">
        <f>IF($B626="","",IF(COUNTIF(Setup!$A$99:$A$128,$B626)&gt;0,IF(INDEX(Setup!$B$99:$B$128,MATCH($B626,Setup!$A$99:$A$128,0))="","Overhead",INDEX(Setup!$B$99:$B$128,MATCH($B626,Setup!$A$99:$A$128,0))),IF(ISNUMBER(SEARCH("advance",$B626))+ISNUMBER(SEARCH("payout",$B626))+ISNUMBER(SEARCH("pay out",$B626))+ISNUMBER(SEARCH("reimburs",$B626))&gt;0,"Transfer",IF(ISNUMBER(SEARCH("loan",$B626))+ISNUMBER(SEARCH("amort",$B626))+ISNUMBER(SEARCH("installment",$B626))+ISNUMBER(SEARCH("instalment",$B626))&gt;0,"Financing",IF(ISNUMBER(SEARCH("draw",$B626))+ISNUMBER(SEARCH("owner",$B626))+ISNUMBER(SEARCH("asset",$B626))+ISNUMBER(SEARCH("capital",$B626))&gt;0,"Other",IF(ISNUMBER(SEARCH("fuel",$B626))+ISNUMBER(SEARCH("diesel",$B626))+ISNUMBER(SEARCH("krudo",$B626))+ISNUMBER(SEARCH("gasolina",$B626))+ISNUMBER(SEARCH("toll",$B626))+ISNUMBER(SEARCH("parking",$B626))+ISNUMBER(SEARCH("repair",$B626))+ISNUMBER(SEARCH("maintenance",$B626))+ISNUMBER(SEARCH("tire",$B626))+ISNUMBER(SEARCH("tyre",$B626))+ISNUMBER(SEARCH("battery",$B626))+ISNUMBER(SEARCH("oil",$B626))+ISNUMBER(SEARCH("filter",$B626))+ISNUMBER(SEARCH("spare",$B626))+ISNUMBER(SEARCH("insurance",$B626))+ISNUMBER(SEARCH("lto",$B626))+ISNUMBER(SEARCH("registration",$B626))+ISNUMBER(SEARCH("emission",$B626))+ISNUMBER(SEARCH("wash",$B626))+ISNUMBER(SEARCH("weigh",$B626))+ISNUMBER(SEARCH("tarp",$B626))&gt;0,"Vehicle",IF(ISNUMBER(SEARCH("rent",$B626))+ISNUMBER(SEARCH("upa",$B626))+ISNUMBER(SEARCH("salary",$B626))+ISNUMBER(SEARCH("sweldo",$B626))+ISNUMBER(SEARCH("wage",$B626))+ISNUMBER(SEARCH("electric",$B626))+ISNUMBER(SEARCH("kuryente",$B626))+ISNUMBER(SEARCH("water",$B626))+ISNUMBER(SEARCH("tubig",$B626))+ISNUMBER(SEARCH("internet",$B626))+ISNUMBER(SEARCH("pldt",$B626))+ISNUMBER(SEARCH("meralco",$B626))+ISNUMBER(SEARCH("supplies",$B626))+ISNUMBER(SEARCH("office",$B626))+ISNUMBER(SEARCH("professional",$B626))+ISNUMBER(SEARCH("accountant",$B626))+ISNUMBER(SEARCH("lawyer",$B626))+ISNUMBER(SEARCH("broker",$B626))+ISNUMBER(SEARCH("bank",$B626))+ISNUMBER(SEARCH("charge",$B626))+ISNUMBER(SEARCH("permit",$B626))+ISNUMBER(SEARCH("bir",$B626))+ISNUMBER(SEARCH("ltfrb",$B626))+ISNUMBER(SEARCH("misc",$B626))+ISNUMBER(SEARCH("fee",$B626))&gt;0,"Overhead","Overhead")))))))</f>
        <v/>
      </c>
      <c r="J626">
        <f>IF($A626="","",DATE(YEAR($A626),MONTH($A626),1))</f>
        <v/>
      </c>
      <c r="K626">
        <f>IF($B626="","",IF(COUNTIF(Setup!$A$99:$A$128,$B626)&gt;0,0,1))</f>
        <v/>
      </c>
      <c r="L626">
        <f>IF($B626="","",IF(ISNUMBER(SEARCH("advance",$B626)),"ADV",IF(OR(ISNUMBER(SEARCH("payout",$B626)),ISNUMBER(SEARCH("pay out",$B626)),ISNUMBER(SEARCH("release",$B626))),"PAY","")))</f>
        <v/>
      </c>
      <c r="M626">
        <f>IF($B626="","",IF(ISNUMBER(SEARCH("bulk",$B626)),0,IF(ISNUMBER(SEARCH("fuel",$B626))+ISNUMBER(SEARCH("diesel",$B626))+ISNUMBER(SEARCH("krudo",$B626))+ISNUMBER(SEARCH("gasolina",$B626))&gt;0,1,0)))</f>
        <v/>
      </c>
      <c r="N626">
        <f>IF($B626="","",IF(ISNUMBER(SEARCH("fuel",$B626))+ISNUMBER(SEARCH("diesel",$B626))+ISNUMBER(SEARCH("krudo",$B626))+ISNUMBER(SEARCH("gasolina",$B626))&gt;0,1,0))</f>
        <v/>
      </c>
    </row>
    <row r="627">
      <c r="A627" s="86" t="n"/>
      <c r="B627" s="88" t="n"/>
      <c r="C627" s="88" t="n"/>
      <c r="D627" s="87" t="n"/>
      <c r="E627" s="88" t="n"/>
      <c r="F627" s="92" t="n"/>
      <c r="G627" s="87" t="n"/>
      <c r="H627" s="87" t="n"/>
      <c r="I627" s="101">
        <f>IF($B627="","",IF(COUNTIF(Setup!$A$99:$A$128,$B627)&gt;0,IF(INDEX(Setup!$B$99:$B$128,MATCH($B627,Setup!$A$99:$A$128,0))="","Overhead",INDEX(Setup!$B$99:$B$128,MATCH($B627,Setup!$A$99:$A$128,0))),IF(ISNUMBER(SEARCH("advance",$B627))+ISNUMBER(SEARCH("payout",$B627))+ISNUMBER(SEARCH("pay out",$B627))+ISNUMBER(SEARCH("reimburs",$B627))&gt;0,"Transfer",IF(ISNUMBER(SEARCH("loan",$B627))+ISNUMBER(SEARCH("amort",$B627))+ISNUMBER(SEARCH("installment",$B627))+ISNUMBER(SEARCH("instalment",$B627))&gt;0,"Financing",IF(ISNUMBER(SEARCH("draw",$B627))+ISNUMBER(SEARCH("owner",$B627))+ISNUMBER(SEARCH("asset",$B627))+ISNUMBER(SEARCH("capital",$B627))&gt;0,"Other",IF(ISNUMBER(SEARCH("fuel",$B627))+ISNUMBER(SEARCH("diesel",$B627))+ISNUMBER(SEARCH("krudo",$B627))+ISNUMBER(SEARCH("gasolina",$B627))+ISNUMBER(SEARCH("toll",$B627))+ISNUMBER(SEARCH("parking",$B627))+ISNUMBER(SEARCH("repair",$B627))+ISNUMBER(SEARCH("maintenance",$B627))+ISNUMBER(SEARCH("tire",$B627))+ISNUMBER(SEARCH("tyre",$B627))+ISNUMBER(SEARCH("battery",$B627))+ISNUMBER(SEARCH("oil",$B627))+ISNUMBER(SEARCH("filter",$B627))+ISNUMBER(SEARCH("spare",$B627))+ISNUMBER(SEARCH("insurance",$B627))+ISNUMBER(SEARCH("lto",$B627))+ISNUMBER(SEARCH("registration",$B627))+ISNUMBER(SEARCH("emission",$B627))+ISNUMBER(SEARCH("wash",$B627))+ISNUMBER(SEARCH("weigh",$B627))+ISNUMBER(SEARCH("tarp",$B627))&gt;0,"Vehicle",IF(ISNUMBER(SEARCH("rent",$B627))+ISNUMBER(SEARCH("upa",$B627))+ISNUMBER(SEARCH("salary",$B627))+ISNUMBER(SEARCH("sweldo",$B627))+ISNUMBER(SEARCH("wage",$B627))+ISNUMBER(SEARCH("electric",$B627))+ISNUMBER(SEARCH("kuryente",$B627))+ISNUMBER(SEARCH("water",$B627))+ISNUMBER(SEARCH("tubig",$B627))+ISNUMBER(SEARCH("internet",$B627))+ISNUMBER(SEARCH("pldt",$B627))+ISNUMBER(SEARCH("meralco",$B627))+ISNUMBER(SEARCH("supplies",$B627))+ISNUMBER(SEARCH("office",$B627))+ISNUMBER(SEARCH("professional",$B627))+ISNUMBER(SEARCH("accountant",$B627))+ISNUMBER(SEARCH("lawyer",$B627))+ISNUMBER(SEARCH("broker",$B627))+ISNUMBER(SEARCH("bank",$B627))+ISNUMBER(SEARCH("charge",$B627))+ISNUMBER(SEARCH("permit",$B627))+ISNUMBER(SEARCH("bir",$B627))+ISNUMBER(SEARCH("ltfrb",$B627))+ISNUMBER(SEARCH("misc",$B627))+ISNUMBER(SEARCH("fee",$B627))&gt;0,"Overhead","Overhead")))))))</f>
        <v/>
      </c>
      <c r="J627">
        <f>IF($A627="","",DATE(YEAR($A627),MONTH($A627),1))</f>
        <v/>
      </c>
      <c r="K627">
        <f>IF($B627="","",IF(COUNTIF(Setup!$A$99:$A$128,$B627)&gt;0,0,1))</f>
        <v/>
      </c>
      <c r="L627">
        <f>IF($B627="","",IF(ISNUMBER(SEARCH("advance",$B627)),"ADV",IF(OR(ISNUMBER(SEARCH("payout",$B627)),ISNUMBER(SEARCH("pay out",$B627)),ISNUMBER(SEARCH("release",$B627))),"PAY","")))</f>
        <v/>
      </c>
      <c r="M627">
        <f>IF($B627="","",IF(ISNUMBER(SEARCH("bulk",$B627)),0,IF(ISNUMBER(SEARCH("fuel",$B627))+ISNUMBER(SEARCH("diesel",$B627))+ISNUMBER(SEARCH("krudo",$B627))+ISNUMBER(SEARCH("gasolina",$B627))&gt;0,1,0)))</f>
        <v/>
      </c>
      <c r="N627">
        <f>IF($B627="","",IF(ISNUMBER(SEARCH("fuel",$B627))+ISNUMBER(SEARCH("diesel",$B627))+ISNUMBER(SEARCH("krudo",$B627))+ISNUMBER(SEARCH("gasolina",$B627))&gt;0,1,0))</f>
        <v/>
      </c>
    </row>
    <row r="628">
      <c r="A628" s="94" t="n"/>
      <c r="B628" s="96" t="n"/>
      <c r="C628" s="96" t="n"/>
      <c r="D628" s="95" t="n"/>
      <c r="E628" s="96" t="n"/>
      <c r="F628" s="99" t="n"/>
      <c r="G628" s="95" t="n"/>
      <c r="H628" s="95" t="n"/>
      <c r="I628" s="101">
        <f>IF($B628="","",IF(COUNTIF(Setup!$A$99:$A$128,$B628)&gt;0,IF(INDEX(Setup!$B$99:$B$128,MATCH($B628,Setup!$A$99:$A$128,0))="","Overhead",INDEX(Setup!$B$99:$B$128,MATCH($B628,Setup!$A$99:$A$128,0))),IF(ISNUMBER(SEARCH("advance",$B628))+ISNUMBER(SEARCH("payout",$B628))+ISNUMBER(SEARCH("pay out",$B628))+ISNUMBER(SEARCH("reimburs",$B628))&gt;0,"Transfer",IF(ISNUMBER(SEARCH("loan",$B628))+ISNUMBER(SEARCH("amort",$B628))+ISNUMBER(SEARCH("installment",$B628))+ISNUMBER(SEARCH("instalment",$B628))&gt;0,"Financing",IF(ISNUMBER(SEARCH("draw",$B628))+ISNUMBER(SEARCH("owner",$B628))+ISNUMBER(SEARCH("asset",$B628))+ISNUMBER(SEARCH("capital",$B628))&gt;0,"Other",IF(ISNUMBER(SEARCH("fuel",$B628))+ISNUMBER(SEARCH("diesel",$B628))+ISNUMBER(SEARCH("krudo",$B628))+ISNUMBER(SEARCH("gasolina",$B628))+ISNUMBER(SEARCH("toll",$B628))+ISNUMBER(SEARCH("parking",$B628))+ISNUMBER(SEARCH("repair",$B628))+ISNUMBER(SEARCH("maintenance",$B628))+ISNUMBER(SEARCH("tire",$B628))+ISNUMBER(SEARCH("tyre",$B628))+ISNUMBER(SEARCH("battery",$B628))+ISNUMBER(SEARCH("oil",$B628))+ISNUMBER(SEARCH("filter",$B628))+ISNUMBER(SEARCH("spare",$B628))+ISNUMBER(SEARCH("insurance",$B628))+ISNUMBER(SEARCH("lto",$B628))+ISNUMBER(SEARCH("registration",$B628))+ISNUMBER(SEARCH("emission",$B628))+ISNUMBER(SEARCH("wash",$B628))+ISNUMBER(SEARCH("weigh",$B628))+ISNUMBER(SEARCH("tarp",$B628))&gt;0,"Vehicle",IF(ISNUMBER(SEARCH("rent",$B628))+ISNUMBER(SEARCH("upa",$B628))+ISNUMBER(SEARCH("salary",$B628))+ISNUMBER(SEARCH("sweldo",$B628))+ISNUMBER(SEARCH("wage",$B628))+ISNUMBER(SEARCH("electric",$B628))+ISNUMBER(SEARCH("kuryente",$B628))+ISNUMBER(SEARCH("water",$B628))+ISNUMBER(SEARCH("tubig",$B628))+ISNUMBER(SEARCH("internet",$B628))+ISNUMBER(SEARCH("pldt",$B628))+ISNUMBER(SEARCH("meralco",$B628))+ISNUMBER(SEARCH("supplies",$B628))+ISNUMBER(SEARCH("office",$B628))+ISNUMBER(SEARCH("professional",$B628))+ISNUMBER(SEARCH("accountant",$B628))+ISNUMBER(SEARCH("lawyer",$B628))+ISNUMBER(SEARCH("broker",$B628))+ISNUMBER(SEARCH("bank",$B628))+ISNUMBER(SEARCH("charge",$B628))+ISNUMBER(SEARCH("permit",$B628))+ISNUMBER(SEARCH("bir",$B628))+ISNUMBER(SEARCH("ltfrb",$B628))+ISNUMBER(SEARCH("misc",$B628))+ISNUMBER(SEARCH("fee",$B628))&gt;0,"Overhead","Overhead")))))))</f>
        <v/>
      </c>
      <c r="J628">
        <f>IF($A628="","",DATE(YEAR($A628),MONTH($A628),1))</f>
        <v/>
      </c>
      <c r="K628">
        <f>IF($B628="","",IF(COUNTIF(Setup!$A$99:$A$128,$B628)&gt;0,0,1))</f>
        <v/>
      </c>
      <c r="L628">
        <f>IF($B628="","",IF(ISNUMBER(SEARCH("advance",$B628)),"ADV",IF(OR(ISNUMBER(SEARCH("payout",$B628)),ISNUMBER(SEARCH("pay out",$B628)),ISNUMBER(SEARCH("release",$B628))),"PAY","")))</f>
        <v/>
      </c>
      <c r="M628">
        <f>IF($B628="","",IF(ISNUMBER(SEARCH("bulk",$B628)),0,IF(ISNUMBER(SEARCH("fuel",$B628))+ISNUMBER(SEARCH("diesel",$B628))+ISNUMBER(SEARCH("krudo",$B628))+ISNUMBER(SEARCH("gasolina",$B628))&gt;0,1,0)))</f>
        <v/>
      </c>
      <c r="N628">
        <f>IF($B628="","",IF(ISNUMBER(SEARCH("fuel",$B628))+ISNUMBER(SEARCH("diesel",$B628))+ISNUMBER(SEARCH("krudo",$B628))+ISNUMBER(SEARCH("gasolina",$B628))&gt;0,1,0))</f>
        <v/>
      </c>
    </row>
    <row r="629">
      <c r="A629" s="86" t="n"/>
      <c r="B629" s="88" t="n"/>
      <c r="C629" s="88" t="n"/>
      <c r="D629" s="87" t="n"/>
      <c r="E629" s="88" t="n"/>
      <c r="F629" s="92" t="n"/>
      <c r="G629" s="87" t="n"/>
      <c r="H629" s="87" t="n"/>
      <c r="I629" s="101">
        <f>IF($B629="","",IF(COUNTIF(Setup!$A$99:$A$128,$B629)&gt;0,IF(INDEX(Setup!$B$99:$B$128,MATCH($B629,Setup!$A$99:$A$128,0))="","Overhead",INDEX(Setup!$B$99:$B$128,MATCH($B629,Setup!$A$99:$A$128,0))),IF(ISNUMBER(SEARCH("advance",$B629))+ISNUMBER(SEARCH("payout",$B629))+ISNUMBER(SEARCH("pay out",$B629))+ISNUMBER(SEARCH("reimburs",$B629))&gt;0,"Transfer",IF(ISNUMBER(SEARCH("loan",$B629))+ISNUMBER(SEARCH("amort",$B629))+ISNUMBER(SEARCH("installment",$B629))+ISNUMBER(SEARCH("instalment",$B629))&gt;0,"Financing",IF(ISNUMBER(SEARCH("draw",$B629))+ISNUMBER(SEARCH("owner",$B629))+ISNUMBER(SEARCH("asset",$B629))+ISNUMBER(SEARCH("capital",$B629))&gt;0,"Other",IF(ISNUMBER(SEARCH("fuel",$B629))+ISNUMBER(SEARCH("diesel",$B629))+ISNUMBER(SEARCH("krudo",$B629))+ISNUMBER(SEARCH("gasolina",$B629))+ISNUMBER(SEARCH("toll",$B629))+ISNUMBER(SEARCH("parking",$B629))+ISNUMBER(SEARCH("repair",$B629))+ISNUMBER(SEARCH("maintenance",$B629))+ISNUMBER(SEARCH("tire",$B629))+ISNUMBER(SEARCH("tyre",$B629))+ISNUMBER(SEARCH("battery",$B629))+ISNUMBER(SEARCH("oil",$B629))+ISNUMBER(SEARCH("filter",$B629))+ISNUMBER(SEARCH("spare",$B629))+ISNUMBER(SEARCH("insurance",$B629))+ISNUMBER(SEARCH("lto",$B629))+ISNUMBER(SEARCH("registration",$B629))+ISNUMBER(SEARCH("emission",$B629))+ISNUMBER(SEARCH("wash",$B629))+ISNUMBER(SEARCH("weigh",$B629))+ISNUMBER(SEARCH("tarp",$B629))&gt;0,"Vehicle",IF(ISNUMBER(SEARCH("rent",$B629))+ISNUMBER(SEARCH("upa",$B629))+ISNUMBER(SEARCH("salary",$B629))+ISNUMBER(SEARCH("sweldo",$B629))+ISNUMBER(SEARCH("wage",$B629))+ISNUMBER(SEARCH("electric",$B629))+ISNUMBER(SEARCH("kuryente",$B629))+ISNUMBER(SEARCH("water",$B629))+ISNUMBER(SEARCH("tubig",$B629))+ISNUMBER(SEARCH("internet",$B629))+ISNUMBER(SEARCH("pldt",$B629))+ISNUMBER(SEARCH("meralco",$B629))+ISNUMBER(SEARCH("supplies",$B629))+ISNUMBER(SEARCH("office",$B629))+ISNUMBER(SEARCH("professional",$B629))+ISNUMBER(SEARCH("accountant",$B629))+ISNUMBER(SEARCH("lawyer",$B629))+ISNUMBER(SEARCH("broker",$B629))+ISNUMBER(SEARCH("bank",$B629))+ISNUMBER(SEARCH("charge",$B629))+ISNUMBER(SEARCH("permit",$B629))+ISNUMBER(SEARCH("bir",$B629))+ISNUMBER(SEARCH("ltfrb",$B629))+ISNUMBER(SEARCH("misc",$B629))+ISNUMBER(SEARCH("fee",$B629))&gt;0,"Overhead","Overhead")))))))</f>
        <v/>
      </c>
      <c r="J629">
        <f>IF($A629="","",DATE(YEAR($A629),MONTH($A629),1))</f>
        <v/>
      </c>
      <c r="K629">
        <f>IF($B629="","",IF(COUNTIF(Setup!$A$99:$A$128,$B629)&gt;0,0,1))</f>
        <v/>
      </c>
      <c r="L629">
        <f>IF($B629="","",IF(ISNUMBER(SEARCH("advance",$B629)),"ADV",IF(OR(ISNUMBER(SEARCH("payout",$B629)),ISNUMBER(SEARCH("pay out",$B629)),ISNUMBER(SEARCH("release",$B629))),"PAY","")))</f>
        <v/>
      </c>
      <c r="M629">
        <f>IF($B629="","",IF(ISNUMBER(SEARCH("bulk",$B629)),0,IF(ISNUMBER(SEARCH("fuel",$B629))+ISNUMBER(SEARCH("diesel",$B629))+ISNUMBER(SEARCH("krudo",$B629))+ISNUMBER(SEARCH("gasolina",$B629))&gt;0,1,0)))</f>
        <v/>
      </c>
      <c r="N629">
        <f>IF($B629="","",IF(ISNUMBER(SEARCH("fuel",$B629))+ISNUMBER(SEARCH("diesel",$B629))+ISNUMBER(SEARCH("krudo",$B629))+ISNUMBER(SEARCH("gasolina",$B629))&gt;0,1,0))</f>
        <v/>
      </c>
    </row>
    <row r="630">
      <c r="A630" s="94" t="n"/>
      <c r="B630" s="96" t="n"/>
      <c r="C630" s="96" t="n"/>
      <c r="D630" s="95" t="n"/>
      <c r="E630" s="96" t="n"/>
      <c r="F630" s="99" t="n"/>
      <c r="G630" s="95" t="n"/>
      <c r="H630" s="95" t="n"/>
      <c r="I630" s="101">
        <f>IF($B630="","",IF(COUNTIF(Setup!$A$99:$A$128,$B630)&gt;0,IF(INDEX(Setup!$B$99:$B$128,MATCH($B630,Setup!$A$99:$A$128,0))="","Overhead",INDEX(Setup!$B$99:$B$128,MATCH($B630,Setup!$A$99:$A$128,0))),IF(ISNUMBER(SEARCH("advance",$B630))+ISNUMBER(SEARCH("payout",$B630))+ISNUMBER(SEARCH("pay out",$B630))+ISNUMBER(SEARCH("reimburs",$B630))&gt;0,"Transfer",IF(ISNUMBER(SEARCH("loan",$B630))+ISNUMBER(SEARCH("amort",$B630))+ISNUMBER(SEARCH("installment",$B630))+ISNUMBER(SEARCH("instalment",$B630))&gt;0,"Financing",IF(ISNUMBER(SEARCH("draw",$B630))+ISNUMBER(SEARCH("owner",$B630))+ISNUMBER(SEARCH("asset",$B630))+ISNUMBER(SEARCH("capital",$B630))&gt;0,"Other",IF(ISNUMBER(SEARCH("fuel",$B630))+ISNUMBER(SEARCH("diesel",$B630))+ISNUMBER(SEARCH("krudo",$B630))+ISNUMBER(SEARCH("gasolina",$B630))+ISNUMBER(SEARCH("toll",$B630))+ISNUMBER(SEARCH("parking",$B630))+ISNUMBER(SEARCH("repair",$B630))+ISNUMBER(SEARCH("maintenance",$B630))+ISNUMBER(SEARCH("tire",$B630))+ISNUMBER(SEARCH("tyre",$B630))+ISNUMBER(SEARCH("battery",$B630))+ISNUMBER(SEARCH("oil",$B630))+ISNUMBER(SEARCH("filter",$B630))+ISNUMBER(SEARCH("spare",$B630))+ISNUMBER(SEARCH("insurance",$B630))+ISNUMBER(SEARCH("lto",$B630))+ISNUMBER(SEARCH("registration",$B630))+ISNUMBER(SEARCH("emission",$B630))+ISNUMBER(SEARCH("wash",$B630))+ISNUMBER(SEARCH("weigh",$B630))+ISNUMBER(SEARCH("tarp",$B630))&gt;0,"Vehicle",IF(ISNUMBER(SEARCH("rent",$B630))+ISNUMBER(SEARCH("upa",$B630))+ISNUMBER(SEARCH("salary",$B630))+ISNUMBER(SEARCH("sweldo",$B630))+ISNUMBER(SEARCH("wage",$B630))+ISNUMBER(SEARCH("electric",$B630))+ISNUMBER(SEARCH("kuryente",$B630))+ISNUMBER(SEARCH("water",$B630))+ISNUMBER(SEARCH("tubig",$B630))+ISNUMBER(SEARCH("internet",$B630))+ISNUMBER(SEARCH("pldt",$B630))+ISNUMBER(SEARCH("meralco",$B630))+ISNUMBER(SEARCH("supplies",$B630))+ISNUMBER(SEARCH("office",$B630))+ISNUMBER(SEARCH("professional",$B630))+ISNUMBER(SEARCH("accountant",$B630))+ISNUMBER(SEARCH("lawyer",$B630))+ISNUMBER(SEARCH("broker",$B630))+ISNUMBER(SEARCH("bank",$B630))+ISNUMBER(SEARCH("charge",$B630))+ISNUMBER(SEARCH("permit",$B630))+ISNUMBER(SEARCH("bir",$B630))+ISNUMBER(SEARCH("ltfrb",$B630))+ISNUMBER(SEARCH("misc",$B630))+ISNUMBER(SEARCH("fee",$B630))&gt;0,"Overhead","Overhead")))))))</f>
        <v/>
      </c>
      <c r="J630">
        <f>IF($A630="","",DATE(YEAR($A630),MONTH($A630),1))</f>
        <v/>
      </c>
      <c r="K630">
        <f>IF($B630="","",IF(COUNTIF(Setup!$A$99:$A$128,$B630)&gt;0,0,1))</f>
        <v/>
      </c>
      <c r="L630">
        <f>IF($B630="","",IF(ISNUMBER(SEARCH("advance",$B630)),"ADV",IF(OR(ISNUMBER(SEARCH("payout",$B630)),ISNUMBER(SEARCH("pay out",$B630)),ISNUMBER(SEARCH("release",$B630))),"PAY","")))</f>
        <v/>
      </c>
      <c r="M630">
        <f>IF($B630="","",IF(ISNUMBER(SEARCH("bulk",$B630)),0,IF(ISNUMBER(SEARCH("fuel",$B630))+ISNUMBER(SEARCH("diesel",$B630))+ISNUMBER(SEARCH("krudo",$B630))+ISNUMBER(SEARCH("gasolina",$B630))&gt;0,1,0)))</f>
        <v/>
      </c>
      <c r="N630">
        <f>IF($B630="","",IF(ISNUMBER(SEARCH("fuel",$B630))+ISNUMBER(SEARCH("diesel",$B630))+ISNUMBER(SEARCH("krudo",$B630))+ISNUMBER(SEARCH("gasolina",$B630))&gt;0,1,0))</f>
        <v/>
      </c>
    </row>
    <row r="631">
      <c r="A631" s="86" t="n"/>
      <c r="B631" s="88" t="n"/>
      <c r="C631" s="88" t="n"/>
      <c r="D631" s="87" t="n"/>
      <c r="E631" s="88" t="n"/>
      <c r="F631" s="92" t="n"/>
      <c r="G631" s="87" t="n"/>
      <c r="H631" s="87" t="n"/>
      <c r="I631" s="101">
        <f>IF($B631="","",IF(COUNTIF(Setup!$A$99:$A$128,$B631)&gt;0,IF(INDEX(Setup!$B$99:$B$128,MATCH($B631,Setup!$A$99:$A$128,0))="","Overhead",INDEX(Setup!$B$99:$B$128,MATCH($B631,Setup!$A$99:$A$128,0))),IF(ISNUMBER(SEARCH("advance",$B631))+ISNUMBER(SEARCH("payout",$B631))+ISNUMBER(SEARCH("pay out",$B631))+ISNUMBER(SEARCH("reimburs",$B631))&gt;0,"Transfer",IF(ISNUMBER(SEARCH("loan",$B631))+ISNUMBER(SEARCH("amort",$B631))+ISNUMBER(SEARCH("installment",$B631))+ISNUMBER(SEARCH("instalment",$B631))&gt;0,"Financing",IF(ISNUMBER(SEARCH("draw",$B631))+ISNUMBER(SEARCH("owner",$B631))+ISNUMBER(SEARCH("asset",$B631))+ISNUMBER(SEARCH("capital",$B631))&gt;0,"Other",IF(ISNUMBER(SEARCH("fuel",$B631))+ISNUMBER(SEARCH("diesel",$B631))+ISNUMBER(SEARCH("krudo",$B631))+ISNUMBER(SEARCH("gasolina",$B631))+ISNUMBER(SEARCH("toll",$B631))+ISNUMBER(SEARCH("parking",$B631))+ISNUMBER(SEARCH("repair",$B631))+ISNUMBER(SEARCH("maintenance",$B631))+ISNUMBER(SEARCH("tire",$B631))+ISNUMBER(SEARCH("tyre",$B631))+ISNUMBER(SEARCH("battery",$B631))+ISNUMBER(SEARCH("oil",$B631))+ISNUMBER(SEARCH("filter",$B631))+ISNUMBER(SEARCH("spare",$B631))+ISNUMBER(SEARCH("insurance",$B631))+ISNUMBER(SEARCH("lto",$B631))+ISNUMBER(SEARCH("registration",$B631))+ISNUMBER(SEARCH("emission",$B631))+ISNUMBER(SEARCH("wash",$B631))+ISNUMBER(SEARCH("weigh",$B631))+ISNUMBER(SEARCH("tarp",$B631))&gt;0,"Vehicle",IF(ISNUMBER(SEARCH("rent",$B631))+ISNUMBER(SEARCH("upa",$B631))+ISNUMBER(SEARCH("salary",$B631))+ISNUMBER(SEARCH("sweldo",$B631))+ISNUMBER(SEARCH("wage",$B631))+ISNUMBER(SEARCH("electric",$B631))+ISNUMBER(SEARCH("kuryente",$B631))+ISNUMBER(SEARCH("water",$B631))+ISNUMBER(SEARCH("tubig",$B631))+ISNUMBER(SEARCH("internet",$B631))+ISNUMBER(SEARCH("pldt",$B631))+ISNUMBER(SEARCH("meralco",$B631))+ISNUMBER(SEARCH("supplies",$B631))+ISNUMBER(SEARCH("office",$B631))+ISNUMBER(SEARCH("professional",$B631))+ISNUMBER(SEARCH("accountant",$B631))+ISNUMBER(SEARCH("lawyer",$B631))+ISNUMBER(SEARCH("broker",$B631))+ISNUMBER(SEARCH("bank",$B631))+ISNUMBER(SEARCH("charge",$B631))+ISNUMBER(SEARCH("permit",$B631))+ISNUMBER(SEARCH("bir",$B631))+ISNUMBER(SEARCH("ltfrb",$B631))+ISNUMBER(SEARCH("misc",$B631))+ISNUMBER(SEARCH("fee",$B631))&gt;0,"Overhead","Overhead")))))))</f>
        <v/>
      </c>
      <c r="J631">
        <f>IF($A631="","",DATE(YEAR($A631),MONTH($A631),1))</f>
        <v/>
      </c>
      <c r="K631">
        <f>IF($B631="","",IF(COUNTIF(Setup!$A$99:$A$128,$B631)&gt;0,0,1))</f>
        <v/>
      </c>
      <c r="L631">
        <f>IF($B631="","",IF(ISNUMBER(SEARCH("advance",$B631)),"ADV",IF(OR(ISNUMBER(SEARCH("payout",$B631)),ISNUMBER(SEARCH("pay out",$B631)),ISNUMBER(SEARCH("release",$B631))),"PAY","")))</f>
        <v/>
      </c>
      <c r="M631">
        <f>IF($B631="","",IF(ISNUMBER(SEARCH("bulk",$B631)),0,IF(ISNUMBER(SEARCH("fuel",$B631))+ISNUMBER(SEARCH("diesel",$B631))+ISNUMBER(SEARCH("krudo",$B631))+ISNUMBER(SEARCH("gasolina",$B631))&gt;0,1,0)))</f>
        <v/>
      </c>
      <c r="N631">
        <f>IF($B631="","",IF(ISNUMBER(SEARCH("fuel",$B631))+ISNUMBER(SEARCH("diesel",$B631))+ISNUMBER(SEARCH("krudo",$B631))+ISNUMBER(SEARCH("gasolina",$B631))&gt;0,1,0))</f>
        <v/>
      </c>
    </row>
    <row r="632">
      <c r="A632" s="94" t="n"/>
      <c r="B632" s="96" t="n"/>
      <c r="C632" s="96" t="n"/>
      <c r="D632" s="95" t="n"/>
      <c r="E632" s="96" t="n"/>
      <c r="F632" s="99" t="n"/>
      <c r="G632" s="95" t="n"/>
      <c r="H632" s="95" t="n"/>
      <c r="I632" s="101">
        <f>IF($B632="","",IF(COUNTIF(Setup!$A$99:$A$128,$B632)&gt;0,IF(INDEX(Setup!$B$99:$B$128,MATCH($B632,Setup!$A$99:$A$128,0))="","Overhead",INDEX(Setup!$B$99:$B$128,MATCH($B632,Setup!$A$99:$A$128,0))),IF(ISNUMBER(SEARCH("advance",$B632))+ISNUMBER(SEARCH("payout",$B632))+ISNUMBER(SEARCH("pay out",$B632))+ISNUMBER(SEARCH("reimburs",$B632))&gt;0,"Transfer",IF(ISNUMBER(SEARCH("loan",$B632))+ISNUMBER(SEARCH("amort",$B632))+ISNUMBER(SEARCH("installment",$B632))+ISNUMBER(SEARCH("instalment",$B632))&gt;0,"Financing",IF(ISNUMBER(SEARCH("draw",$B632))+ISNUMBER(SEARCH("owner",$B632))+ISNUMBER(SEARCH("asset",$B632))+ISNUMBER(SEARCH("capital",$B632))&gt;0,"Other",IF(ISNUMBER(SEARCH("fuel",$B632))+ISNUMBER(SEARCH("diesel",$B632))+ISNUMBER(SEARCH("krudo",$B632))+ISNUMBER(SEARCH("gasolina",$B632))+ISNUMBER(SEARCH("toll",$B632))+ISNUMBER(SEARCH("parking",$B632))+ISNUMBER(SEARCH("repair",$B632))+ISNUMBER(SEARCH("maintenance",$B632))+ISNUMBER(SEARCH("tire",$B632))+ISNUMBER(SEARCH("tyre",$B632))+ISNUMBER(SEARCH("battery",$B632))+ISNUMBER(SEARCH("oil",$B632))+ISNUMBER(SEARCH("filter",$B632))+ISNUMBER(SEARCH("spare",$B632))+ISNUMBER(SEARCH("insurance",$B632))+ISNUMBER(SEARCH("lto",$B632))+ISNUMBER(SEARCH("registration",$B632))+ISNUMBER(SEARCH("emission",$B632))+ISNUMBER(SEARCH("wash",$B632))+ISNUMBER(SEARCH("weigh",$B632))+ISNUMBER(SEARCH("tarp",$B632))&gt;0,"Vehicle",IF(ISNUMBER(SEARCH("rent",$B632))+ISNUMBER(SEARCH("upa",$B632))+ISNUMBER(SEARCH("salary",$B632))+ISNUMBER(SEARCH("sweldo",$B632))+ISNUMBER(SEARCH("wage",$B632))+ISNUMBER(SEARCH("electric",$B632))+ISNUMBER(SEARCH("kuryente",$B632))+ISNUMBER(SEARCH("water",$B632))+ISNUMBER(SEARCH("tubig",$B632))+ISNUMBER(SEARCH("internet",$B632))+ISNUMBER(SEARCH("pldt",$B632))+ISNUMBER(SEARCH("meralco",$B632))+ISNUMBER(SEARCH("supplies",$B632))+ISNUMBER(SEARCH("office",$B632))+ISNUMBER(SEARCH("professional",$B632))+ISNUMBER(SEARCH("accountant",$B632))+ISNUMBER(SEARCH("lawyer",$B632))+ISNUMBER(SEARCH("broker",$B632))+ISNUMBER(SEARCH("bank",$B632))+ISNUMBER(SEARCH("charge",$B632))+ISNUMBER(SEARCH("permit",$B632))+ISNUMBER(SEARCH("bir",$B632))+ISNUMBER(SEARCH("ltfrb",$B632))+ISNUMBER(SEARCH("misc",$B632))+ISNUMBER(SEARCH("fee",$B632))&gt;0,"Overhead","Overhead")))))))</f>
        <v/>
      </c>
      <c r="J632">
        <f>IF($A632="","",DATE(YEAR($A632),MONTH($A632),1))</f>
        <v/>
      </c>
      <c r="K632">
        <f>IF($B632="","",IF(COUNTIF(Setup!$A$99:$A$128,$B632)&gt;0,0,1))</f>
        <v/>
      </c>
      <c r="L632">
        <f>IF($B632="","",IF(ISNUMBER(SEARCH("advance",$B632)),"ADV",IF(OR(ISNUMBER(SEARCH("payout",$B632)),ISNUMBER(SEARCH("pay out",$B632)),ISNUMBER(SEARCH("release",$B632))),"PAY","")))</f>
        <v/>
      </c>
      <c r="M632">
        <f>IF($B632="","",IF(ISNUMBER(SEARCH("bulk",$B632)),0,IF(ISNUMBER(SEARCH("fuel",$B632))+ISNUMBER(SEARCH("diesel",$B632))+ISNUMBER(SEARCH("krudo",$B632))+ISNUMBER(SEARCH("gasolina",$B632))&gt;0,1,0)))</f>
        <v/>
      </c>
      <c r="N632">
        <f>IF($B632="","",IF(ISNUMBER(SEARCH("fuel",$B632))+ISNUMBER(SEARCH("diesel",$B632))+ISNUMBER(SEARCH("krudo",$B632))+ISNUMBER(SEARCH("gasolina",$B632))&gt;0,1,0))</f>
        <v/>
      </c>
    </row>
    <row r="633">
      <c r="A633" s="86" t="n"/>
      <c r="B633" s="88" t="n"/>
      <c r="C633" s="88" t="n"/>
      <c r="D633" s="87" t="n"/>
      <c r="E633" s="88" t="n"/>
      <c r="F633" s="92" t="n"/>
      <c r="G633" s="87" t="n"/>
      <c r="H633" s="87" t="n"/>
      <c r="I633" s="101">
        <f>IF($B633="","",IF(COUNTIF(Setup!$A$99:$A$128,$B633)&gt;0,IF(INDEX(Setup!$B$99:$B$128,MATCH($B633,Setup!$A$99:$A$128,0))="","Overhead",INDEX(Setup!$B$99:$B$128,MATCH($B633,Setup!$A$99:$A$128,0))),IF(ISNUMBER(SEARCH("advance",$B633))+ISNUMBER(SEARCH("payout",$B633))+ISNUMBER(SEARCH("pay out",$B633))+ISNUMBER(SEARCH("reimburs",$B633))&gt;0,"Transfer",IF(ISNUMBER(SEARCH("loan",$B633))+ISNUMBER(SEARCH("amort",$B633))+ISNUMBER(SEARCH("installment",$B633))+ISNUMBER(SEARCH("instalment",$B633))&gt;0,"Financing",IF(ISNUMBER(SEARCH("draw",$B633))+ISNUMBER(SEARCH("owner",$B633))+ISNUMBER(SEARCH("asset",$B633))+ISNUMBER(SEARCH("capital",$B633))&gt;0,"Other",IF(ISNUMBER(SEARCH("fuel",$B633))+ISNUMBER(SEARCH("diesel",$B633))+ISNUMBER(SEARCH("krudo",$B633))+ISNUMBER(SEARCH("gasolina",$B633))+ISNUMBER(SEARCH("toll",$B633))+ISNUMBER(SEARCH("parking",$B633))+ISNUMBER(SEARCH("repair",$B633))+ISNUMBER(SEARCH("maintenance",$B633))+ISNUMBER(SEARCH("tire",$B633))+ISNUMBER(SEARCH("tyre",$B633))+ISNUMBER(SEARCH("battery",$B633))+ISNUMBER(SEARCH("oil",$B633))+ISNUMBER(SEARCH("filter",$B633))+ISNUMBER(SEARCH("spare",$B633))+ISNUMBER(SEARCH("insurance",$B633))+ISNUMBER(SEARCH("lto",$B633))+ISNUMBER(SEARCH("registration",$B633))+ISNUMBER(SEARCH("emission",$B633))+ISNUMBER(SEARCH("wash",$B633))+ISNUMBER(SEARCH("weigh",$B633))+ISNUMBER(SEARCH("tarp",$B633))&gt;0,"Vehicle",IF(ISNUMBER(SEARCH("rent",$B633))+ISNUMBER(SEARCH("upa",$B633))+ISNUMBER(SEARCH("salary",$B633))+ISNUMBER(SEARCH("sweldo",$B633))+ISNUMBER(SEARCH("wage",$B633))+ISNUMBER(SEARCH("electric",$B633))+ISNUMBER(SEARCH("kuryente",$B633))+ISNUMBER(SEARCH("water",$B633))+ISNUMBER(SEARCH("tubig",$B633))+ISNUMBER(SEARCH("internet",$B633))+ISNUMBER(SEARCH("pldt",$B633))+ISNUMBER(SEARCH("meralco",$B633))+ISNUMBER(SEARCH("supplies",$B633))+ISNUMBER(SEARCH("office",$B633))+ISNUMBER(SEARCH("professional",$B633))+ISNUMBER(SEARCH("accountant",$B633))+ISNUMBER(SEARCH("lawyer",$B633))+ISNUMBER(SEARCH("broker",$B633))+ISNUMBER(SEARCH("bank",$B633))+ISNUMBER(SEARCH("charge",$B633))+ISNUMBER(SEARCH("permit",$B633))+ISNUMBER(SEARCH("bir",$B633))+ISNUMBER(SEARCH("ltfrb",$B633))+ISNUMBER(SEARCH("misc",$B633))+ISNUMBER(SEARCH("fee",$B633))&gt;0,"Overhead","Overhead")))))))</f>
        <v/>
      </c>
      <c r="J633">
        <f>IF($A633="","",DATE(YEAR($A633),MONTH($A633),1))</f>
        <v/>
      </c>
      <c r="K633">
        <f>IF($B633="","",IF(COUNTIF(Setup!$A$99:$A$128,$B633)&gt;0,0,1))</f>
        <v/>
      </c>
      <c r="L633">
        <f>IF($B633="","",IF(ISNUMBER(SEARCH("advance",$B633)),"ADV",IF(OR(ISNUMBER(SEARCH("payout",$B633)),ISNUMBER(SEARCH("pay out",$B633)),ISNUMBER(SEARCH("release",$B633))),"PAY","")))</f>
        <v/>
      </c>
      <c r="M633">
        <f>IF($B633="","",IF(ISNUMBER(SEARCH("bulk",$B633)),0,IF(ISNUMBER(SEARCH("fuel",$B633))+ISNUMBER(SEARCH("diesel",$B633))+ISNUMBER(SEARCH("krudo",$B633))+ISNUMBER(SEARCH("gasolina",$B633))&gt;0,1,0)))</f>
        <v/>
      </c>
      <c r="N633">
        <f>IF($B633="","",IF(ISNUMBER(SEARCH("fuel",$B633))+ISNUMBER(SEARCH("diesel",$B633))+ISNUMBER(SEARCH("krudo",$B633))+ISNUMBER(SEARCH("gasolina",$B633))&gt;0,1,0))</f>
        <v/>
      </c>
    </row>
    <row r="634">
      <c r="A634" s="94" t="n"/>
      <c r="B634" s="96" t="n"/>
      <c r="C634" s="96" t="n"/>
      <c r="D634" s="95" t="n"/>
      <c r="E634" s="96" t="n"/>
      <c r="F634" s="99" t="n"/>
      <c r="G634" s="95" t="n"/>
      <c r="H634" s="95" t="n"/>
      <c r="I634" s="101">
        <f>IF($B634="","",IF(COUNTIF(Setup!$A$99:$A$128,$B634)&gt;0,IF(INDEX(Setup!$B$99:$B$128,MATCH($B634,Setup!$A$99:$A$128,0))="","Overhead",INDEX(Setup!$B$99:$B$128,MATCH($B634,Setup!$A$99:$A$128,0))),IF(ISNUMBER(SEARCH("advance",$B634))+ISNUMBER(SEARCH("payout",$B634))+ISNUMBER(SEARCH("pay out",$B634))+ISNUMBER(SEARCH("reimburs",$B634))&gt;0,"Transfer",IF(ISNUMBER(SEARCH("loan",$B634))+ISNUMBER(SEARCH("amort",$B634))+ISNUMBER(SEARCH("installment",$B634))+ISNUMBER(SEARCH("instalment",$B634))&gt;0,"Financing",IF(ISNUMBER(SEARCH("draw",$B634))+ISNUMBER(SEARCH("owner",$B634))+ISNUMBER(SEARCH("asset",$B634))+ISNUMBER(SEARCH("capital",$B634))&gt;0,"Other",IF(ISNUMBER(SEARCH("fuel",$B634))+ISNUMBER(SEARCH("diesel",$B634))+ISNUMBER(SEARCH("krudo",$B634))+ISNUMBER(SEARCH("gasolina",$B634))+ISNUMBER(SEARCH("toll",$B634))+ISNUMBER(SEARCH("parking",$B634))+ISNUMBER(SEARCH("repair",$B634))+ISNUMBER(SEARCH("maintenance",$B634))+ISNUMBER(SEARCH("tire",$B634))+ISNUMBER(SEARCH("tyre",$B634))+ISNUMBER(SEARCH("battery",$B634))+ISNUMBER(SEARCH("oil",$B634))+ISNUMBER(SEARCH("filter",$B634))+ISNUMBER(SEARCH("spare",$B634))+ISNUMBER(SEARCH("insurance",$B634))+ISNUMBER(SEARCH("lto",$B634))+ISNUMBER(SEARCH("registration",$B634))+ISNUMBER(SEARCH("emission",$B634))+ISNUMBER(SEARCH("wash",$B634))+ISNUMBER(SEARCH("weigh",$B634))+ISNUMBER(SEARCH("tarp",$B634))&gt;0,"Vehicle",IF(ISNUMBER(SEARCH("rent",$B634))+ISNUMBER(SEARCH("upa",$B634))+ISNUMBER(SEARCH("salary",$B634))+ISNUMBER(SEARCH("sweldo",$B634))+ISNUMBER(SEARCH("wage",$B634))+ISNUMBER(SEARCH("electric",$B634))+ISNUMBER(SEARCH("kuryente",$B634))+ISNUMBER(SEARCH("water",$B634))+ISNUMBER(SEARCH("tubig",$B634))+ISNUMBER(SEARCH("internet",$B634))+ISNUMBER(SEARCH("pldt",$B634))+ISNUMBER(SEARCH("meralco",$B634))+ISNUMBER(SEARCH("supplies",$B634))+ISNUMBER(SEARCH("office",$B634))+ISNUMBER(SEARCH("professional",$B634))+ISNUMBER(SEARCH("accountant",$B634))+ISNUMBER(SEARCH("lawyer",$B634))+ISNUMBER(SEARCH("broker",$B634))+ISNUMBER(SEARCH("bank",$B634))+ISNUMBER(SEARCH("charge",$B634))+ISNUMBER(SEARCH("permit",$B634))+ISNUMBER(SEARCH("bir",$B634))+ISNUMBER(SEARCH("ltfrb",$B634))+ISNUMBER(SEARCH("misc",$B634))+ISNUMBER(SEARCH("fee",$B634))&gt;0,"Overhead","Overhead")))))))</f>
        <v/>
      </c>
      <c r="J634">
        <f>IF($A634="","",DATE(YEAR($A634),MONTH($A634),1))</f>
        <v/>
      </c>
      <c r="K634">
        <f>IF($B634="","",IF(COUNTIF(Setup!$A$99:$A$128,$B634)&gt;0,0,1))</f>
        <v/>
      </c>
      <c r="L634">
        <f>IF($B634="","",IF(ISNUMBER(SEARCH("advance",$B634)),"ADV",IF(OR(ISNUMBER(SEARCH("payout",$B634)),ISNUMBER(SEARCH("pay out",$B634)),ISNUMBER(SEARCH("release",$B634))),"PAY","")))</f>
        <v/>
      </c>
      <c r="M634">
        <f>IF($B634="","",IF(ISNUMBER(SEARCH("bulk",$B634)),0,IF(ISNUMBER(SEARCH("fuel",$B634))+ISNUMBER(SEARCH("diesel",$B634))+ISNUMBER(SEARCH("krudo",$B634))+ISNUMBER(SEARCH("gasolina",$B634))&gt;0,1,0)))</f>
        <v/>
      </c>
      <c r="N634">
        <f>IF($B634="","",IF(ISNUMBER(SEARCH("fuel",$B634))+ISNUMBER(SEARCH("diesel",$B634))+ISNUMBER(SEARCH("krudo",$B634))+ISNUMBER(SEARCH("gasolina",$B634))&gt;0,1,0))</f>
        <v/>
      </c>
    </row>
    <row r="635">
      <c r="A635" s="86" t="n"/>
      <c r="B635" s="88" t="n"/>
      <c r="C635" s="88" t="n"/>
      <c r="D635" s="87" t="n"/>
      <c r="E635" s="88" t="n"/>
      <c r="F635" s="92" t="n"/>
      <c r="G635" s="87" t="n"/>
      <c r="H635" s="87" t="n"/>
      <c r="I635" s="101">
        <f>IF($B635="","",IF(COUNTIF(Setup!$A$99:$A$128,$B635)&gt;0,IF(INDEX(Setup!$B$99:$B$128,MATCH($B635,Setup!$A$99:$A$128,0))="","Overhead",INDEX(Setup!$B$99:$B$128,MATCH($B635,Setup!$A$99:$A$128,0))),IF(ISNUMBER(SEARCH("advance",$B635))+ISNUMBER(SEARCH("payout",$B635))+ISNUMBER(SEARCH("pay out",$B635))+ISNUMBER(SEARCH("reimburs",$B635))&gt;0,"Transfer",IF(ISNUMBER(SEARCH("loan",$B635))+ISNUMBER(SEARCH("amort",$B635))+ISNUMBER(SEARCH("installment",$B635))+ISNUMBER(SEARCH("instalment",$B635))&gt;0,"Financing",IF(ISNUMBER(SEARCH("draw",$B635))+ISNUMBER(SEARCH("owner",$B635))+ISNUMBER(SEARCH("asset",$B635))+ISNUMBER(SEARCH("capital",$B635))&gt;0,"Other",IF(ISNUMBER(SEARCH("fuel",$B635))+ISNUMBER(SEARCH("diesel",$B635))+ISNUMBER(SEARCH("krudo",$B635))+ISNUMBER(SEARCH("gasolina",$B635))+ISNUMBER(SEARCH("toll",$B635))+ISNUMBER(SEARCH("parking",$B635))+ISNUMBER(SEARCH("repair",$B635))+ISNUMBER(SEARCH("maintenance",$B635))+ISNUMBER(SEARCH("tire",$B635))+ISNUMBER(SEARCH("tyre",$B635))+ISNUMBER(SEARCH("battery",$B635))+ISNUMBER(SEARCH("oil",$B635))+ISNUMBER(SEARCH("filter",$B635))+ISNUMBER(SEARCH("spare",$B635))+ISNUMBER(SEARCH("insurance",$B635))+ISNUMBER(SEARCH("lto",$B635))+ISNUMBER(SEARCH("registration",$B635))+ISNUMBER(SEARCH("emission",$B635))+ISNUMBER(SEARCH("wash",$B635))+ISNUMBER(SEARCH("weigh",$B635))+ISNUMBER(SEARCH("tarp",$B635))&gt;0,"Vehicle",IF(ISNUMBER(SEARCH("rent",$B635))+ISNUMBER(SEARCH("upa",$B635))+ISNUMBER(SEARCH("salary",$B635))+ISNUMBER(SEARCH("sweldo",$B635))+ISNUMBER(SEARCH("wage",$B635))+ISNUMBER(SEARCH("electric",$B635))+ISNUMBER(SEARCH("kuryente",$B635))+ISNUMBER(SEARCH("water",$B635))+ISNUMBER(SEARCH("tubig",$B635))+ISNUMBER(SEARCH("internet",$B635))+ISNUMBER(SEARCH("pldt",$B635))+ISNUMBER(SEARCH("meralco",$B635))+ISNUMBER(SEARCH("supplies",$B635))+ISNUMBER(SEARCH("office",$B635))+ISNUMBER(SEARCH("professional",$B635))+ISNUMBER(SEARCH("accountant",$B635))+ISNUMBER(SEARCH("lawyer",$B635))+ISNUMBER(SEARCH("broker",$B635))+ISNUMBER(SEARCH("bank",$B635))+ISNUMBER(SEARCH("charge",$B635))+ISNUMBER(SEARCH("permit",$B635))+ISNUMBER(SEARCH("bir",$B635))+ISNUMBER(SEARCH("ltfrb",$B635))+ISNUMBER(SEARCH("misc",$B635))+ISNUMBER(SEARCH("fee",$B635))&gt;0,"Overhead","Overhead")))))))</f>
        <v/>
      </c>
      <c r="J635">
        <f>IF($A635="","",DATE(YEAR($A635),MONTH($A635),1))</f>
        <v/>
      </c>
      <c r="K635">
        <f>IF($B635="","",IF(COUNTIF(Setup!$A$99:$A$128,$B635)&gt;0,0,1))</f>
        <v/>
      </c>
      <c r="L635">
        <f>IF($B635="","",IF(ISNUMBER(SEARCH("advance",$B635)),"ADV",IF(OR(ISNUMBER(SEARCH("payout",$B635)),ISNUMBER(SEARCH("pay out",$B635)),ISNUMBER(SEARCH("release",$B635))),"PAY","")))</f>
        <v/>
      </c>
      <c r="M635">
        <f>IF($B635="","",IF(ISNUMBER(SEARCH("bulk",$B635)),0,IF(ISNUMBER(SEARCH("fuel",$B635))+ISNUMBER(SEARCH("diesel",$B635))+ISNUMBER(SEARCH("krudo",$B635))+ISNUMBER(SEARCH("gasolina",$B635))&gt;0,1,0)))</f>
        <v/>
      </c>
      <c r="N635">
        <f>IF($B635="","",IF(ISNUMBER(SEARCH("fuel",$B635))+ISNUMBER(SEARCH("diesel",$B635))+ISNUMBER(SEARCH("krudo",$B635))+ISNUMBER(SEARCH("gasolina",$B635))&gt;0,1,0))</f>
        <v/>
      </c>
    </row>
    <row r="636">
      <c r="A636" s="94" t="n"/>
      <c r="B636" s="96" t="n"/>
      <c r="C636" s="96" t="n"/>
      <c r="D636" s="95" t="n"/>
      <c r="E636" s="96" t="n"/>
      <c r="F636" s="99" t="n"/>
      <c r="G636" s="95" t="n"/>
      <c r="H636" s="95" t="n"/>
      <c r="I636" s="101">
        <f>IF($B636="","",IF(COUNTIF(Setup!$A$99:$A$128,$B636)&gt;0,IF(INDEX(Setup!$B$99:$B$128,MATCH($B636,Setup!$A$99:$A$128,0))="","Overhead",INDEX(Setup!$B$99:$B$128,MATCH($B636,Setup!$A$99:$A$128,0))),IF(ISNUMBER(SEARCH("advance",$B636))+ISNUMBER(SEARCH("payout",$B636))+ISNUMBER(SEARCH("pay out",$B636))+ISNUMBER(SEARCH("reimburs",$B636))&gt;0,"Transfer",IF(ISNUMBER(SEARCH("loan",$B636))+ISNUMBER(SEARCH("amort",$B636))+ISNUMBER(SEARCH("installment",$B636))+ISNUMBER(SEARCH("instalment",$B636))&gt;0,"Financing",IF(ISNUMBER(SEARCH("draw",$B636))+ISNUMBER(SEARCH("owner",$B636))+ISNUMBER(SEARCH("asset",$B636))+ISNUMBER(SEARCH("capital",$B636))&gt;0,"Other",IF(ISNUMBER(SEARCH("fuel",$B636))+ISNUMBER(SEARCH("diesel",$B636))+ISNUMBER(SEARCH("krudo",$B636))+ISNUMBER(SEARCH("gasolina",$B636))+ISNUMBER(SEARCH("toll",$B636))+ISNUMBER(SEARCH("parking",$B636))+ISNUMBER(SEARCH("repair",$B636))+ISNUMBER(SEARCH("maintenance",$B636))+ISNUMBER(SEARCH("tire",$B636))+ISNUMBER(SEARCH("tyre",$B636))+ISNUMBER(SEARCH("battery",$B636))+ISNUMBER(SEARCH("oil",$B636))+ISNUMBER(SEARCH("filter",$B636))+ISNUMBER(SEARCH("spare",$B636))+ISNUMBER(SEARCH("insurance",$B636))+ISNUMBER(SEARCH("lto",$B636))+ISNUMBER(SEARCH("registration",$B636))+ISNUMBER(SEARCH("emission",$B636))+ISNUMBER(SEARCH("wash",$B636))+ISNUMBER(SEARCH("weigh",$B636))+ISNUMBER(SEARCH("tarp",$B636))&gt;0,"Vehicle",IF(ISNUMBER(SEARCH("rent",$B636))+ISNUMBER(SEARCH("upa",$B636))+ISNUMBER(SEARCH("salary",$B636))+ISNUMBER(SEARCH("sweldo",$B636))+ISNUMBER(SEARCH("wage",$B636))+ISNUMBER(SEARCH("electric",$B636))+ISNUMBER(SEARCH("kuryente",$B636))+ISNUMBER(SEARCH("water",$B636))+ISNUMBER(SEARCH("tubig",$B636))+ISNUMBER(SEARCH("internet",$B636))+ISNUMBER(SEARCH("pldt",$B636))+ISNUMBER(SEARCH("meralco",$B636))+ISNUMBER(SEARCH("supplies",$B636))+ISNUMBER(SEARCH("office",$B636))+ISNUMBER(SEARCH("professional",$B636))+ISNUMBER(SEARCH("accountant",$B636))+ISNUMBER(SEARCH("lawyer",$B636))+ISNUMBER(SEARCH("broker",$B636))+ISNUMBER(SEARCH("bank",$B636))+ISNUMBER(SEARCH("charge",$B636))+ISNUMBER(SEARCH("permit",$B636))+ISNUMBER(SEARCH("bir",$B636))+ISNUMBER(SEARCH("ltfrb",$B636))+ISNUMBER(SEARCH("misc",$B636))+ISNUMBER(SEARCH("fee",$B636))&gt;0,"Overhead","Overhead")))))))</f>
        <v/>
      </c>
      <c r="J636">
        <f>IF($A636="","",DATE(YEAR($A636),MONTH($A636),1))</f>
        <v/>
      </c>
      <c r="K636">
        <f>IF($B636="","",IF(COUNTIF(Setup!$A$99:$A$128,$B636)&gt;0,0,1))</f>
        <v/>
      </c>
      <c r="L636">
        <f>IF($B636="","",IF(ISNUMBER(SEARCH("advance",$B636)),"ADV",IF(OR(ISNUMBER(SEARCH("payout",$B636)),ISNUMBER(SEARCH("pay out",$B636)),ISNUMBER(SEARCH("release",$B636))),"PAY","")))</f>
        <v/>
      </c>
      <c r="M636">
        <f>IF($B636="","",IF(ISNUMBER(SEARCH("bulk",$B636)),0,IF(ISNUMBER(SEARCH("fuel",$B636))+ISNUMBER(SEARCH("diesel",$B636))+ISNUMBER(SEARCH("krudo",$B636))+ISNUMBER(SEARCH("gasolina",$B636))&gt;0,1,0)))</f>
        <v/>
      </c>
      <c r="N636">
        <f>IF($B636="","",IF(ISNUMBER(SEARCH("fuel",$B636))+ISNUMBER(SEARCH("diesel",$B636))+ISNUMBER(SEARCH("krudo",$B636))+ISNUMBER(SEARCH("gasolina",$B636))&gt;0,1,0))</f>
        <v/>
      </c>
    </row>
    <row r="637">
      <c r="A637" s="86" t="n"/>
      <c r="B637" s="88" t="n"/>
      <c r="C637" s="88" t="n"/>
      <c r="D637" s="87" t="n"/>
      <c r="E637" s="88" t="n"/>
      <c r="F637" s="92" t="n"/>
      <c r="G637" s="87" t="n"/>
      <c r="H637" s="87" t="n"/>
      <c r="I637" s="101">
        <f>IF($B637="","",IF(COUNTIF(Setup!$A$99:$A$128,$B637)&gt;0,IF(INDEX(Setup!$B$99:$B$128,MATCH($B637,Setup!$A$99:$A$128,0))="","Overhead",INDEX(Setup!$B$99:$B$128,MATCH($B637,Setup!$A$99:$A$128,0))),IF(ISNUMBER(SEARCH("advance",$B637))+ISNUMBER(SEARCH("payout",$B637))+ISNUMBER(SEARCH("pay out",$B637))+ISNUMBER(SEARCH("reimburs",$B637))&gt;0,"Transfer",IF(ISNUMBER(SEARCH("loan",$B637))+ISNUMBER(SEARCH("amort",$B637))+ISNUMBER(SEARCH("installment",$B637))+ISNUMBER(SEARCH("instalment",$B637))&gt;0,"Financing",IF(ISNUMBER(SEARCH("draw",$B637))+ISNUMBER(SEARCH("owner",$B637))+ISNUMBER(SEARCH("asset",$B637))+ISNUMBER(SEARCH("capital",$B637))&gt;0,"Other",IF(ISNUMBER(SEARCH("fuel",$B637))+ISNUMBER(SEARCH("diesel",$B637))+ISNUMBER(SEARCH("krudo",$B637))+ISNUMBER(SEARCH("gasolina",$B637))+ISNUMBER(SEARCH("toll",$B637))+ISNUMBER(SEARCH("parking",$B637))+ISNUMBER(SEARCH("repair",$B637))+ISNUMBER(SEARCH("maintenance",$B637))+ISNUMBER(SEARCH("tire",$B637))+ISNUMBER(SEARCH("tyre",$B637))+ISNUMBER(SEARCH("battery",$B637))+ISNUMBER(SEARCH("oil",$B637))+ISNUMBER(SEARCH("filter",$B637))+ISNUMBER(SEARCH("spare",$B637))+ISNUMBER(SEARCH("insurance",$B637))+ISNUMBER(SEARCH("lto",$B637))+ISNUMBER(SEARCH("registration",$B637))+ISNUMBER(SEARCH("emission",$B637))+ISNUMBER(SEARCH("wash",$B637))+ISNUMBER(SEARCH("weigh",$B637))+ISNUMBER(SEARCH("tarp",$B637))&gt;0,"Vehicle",IF(ISNUMBER(SEARCH("rent",$B637))+ISNUMBER(SEARCH("upa",$B637))+ISNUMBER(SEARCH("salary",$B637))+ISNUMBER(SEARCH("sweldo",$B637))+ISNUMBER(SEARCH("wage",$B637))+ISNUMBER(SEARCH("electric",$B637))+ISNUMBER(SEARCH("kuryente",$B637))+ISNUMBER(SEARCH("water",$B637))+ISNUMBER(SEARCH("tubig",$B637))+ISNUMBER(SEARCH("internet",$B637))+ISNUMBER(SEARCH("pldt",$B637))+ISNUMBER(SEARCH("meralco",$B637))+ISNUMBER(SEARCH("supplies",$B637))+ISNUMBER(SEARCH("office",$B637))+ISNUMBER(SEARCH("professional",$B637))+ISNUMBER(SEARCH("accountant",$B637))+ISNUMBER(SEARCH("lawyer",$B637))+ISNUMBER(SEARCH("broker",$B637))+ISNUMBER(SEARCH("bank",$B637))+ISNUMBER(SEARCH("charge",$B637))+ISNUMBER(SEARCH("permit",$B637))+ISNUMBER(SEARCH("bir",$B637))+ISNUMBER(SEARCH("ltfrb",$B637))+ISNUMBER(SEARCH("misc",$B637))+ISNUMBER(SEARCH("fee",$B637))&gt;0,"Overhead","Overhead")))))))</f>
        <v/>
      </c>
      <c r="J637">
        <f>IF($A637="","",DATE(YEAR($A637),MONTH($A637),1))</f>
        <v/>
      </c>
      <c r="K637">
        <f>IF($B637="","",IF(COUNTIF(Setup!$A$99:$A$128,$B637)&gt;0,0,1))</f>
        <v/>
      </c>
      <c r="L637">
        <f>IF($B637="","",IF(ISNUMBER(SEARCH("advance",$B637)),"ADV",IF(OR(ISNUMBER(SEARCH("payout",$B637)),ISNUMBER(SEARCH("pay out",$B637)),ISNUMBER(SEARCH("release",$B637))),"PAY","")))</f>
        <v/>
      </c>
      <c r="M637">
        <f>IF($B637="","",IF(ISNUMBER(SEARCH("bulk",$B637)),0,IF(ISNUMBER(SEARCH("fuel",$B637))+ISNUMBER(SEARCH("diesel",$B637))+ISNUMBER(SEARCH("krudo",$B637))+ISNUMBER(SEARCH("gasolina",$B637))&gt;0,1,0)))</f>
        <v/>
      </c>
      <c r="N637">
        <f>IF($B637="","",IF(ISNUMBER(SEARCH("fuel",$B637))+ISNUMBER(SEARCH("diesel",$B637))+ISNUMBER(SEARCH("krudo",$B637))+ISNUMBER(SEARCH("gasolina",$B637))&gt;0,1,0))</f>
        <v/>
      </c>
    </row>
    <row r="638">
      <c r="A638" s="94" t="n"/>
      <c r="B638" s="96" t="n"/>
      <c r="C638" s="96" t="n"/>
      <c r="D638" s="95" t="n"/>
      <c r="E638" s="96" t="n"/>
      <c r="F638" s="99" t="n"/>
      <c r="G638" s="95" t="n"/>
      <c r="H638" s="95" t="n"/>
      <c r="I638" s="101">
        <f>IF($B638="","",IF(COUNTIF(Setup!$A$99:$A$128,$B638)&gt;0,IF(INDEX(Setup!$B$99:$B$128,MATCH($B638,Setup!$A$99:$A$128,0))="","Overhead",INDEX(Setup!$B$99:$B$128,MATCH($B638,Setup!$A$99:$A$128,0))),IF(ISNUMBER(SEARCH("advance",$B638))+ISNUMBER(SEARCH("payout",$B638))+ISNUMBER(SEARCH("pay out",$B638))+ISNUMBER(SEARCH("reimburs",$B638))&gt;0,"Transfer",IF(ISNUMBER(SEARCH("loan",$B638))+ISNUMBER(SEARCH("amort",$B638))+ISNUMBER(SEARCH("installment",$B638))+ISNUMBER(SEARCH("instalment",$B638))&gt;0,"Financing",IF(ISNUMBER(SEARCH("draw",$B638))+ISNUMBER(SEARCH("owner",$B638))+ISNUMBER(SEARCH("asset",$B638))+ISNUMBER(SEARCH("capital",$B638))&gt;0,"Other",IF(ISNUMBER(SEARCH("fuel",$B638))+ISNUMBER(SEARCH("diesel",$B638))+ISNUMBER(SEARCH("krudo",$B638))+ISNUMBER(SEARCH("gasolina",$B638))+ISNUMBER(SEARCH("toll",$B638))+ISNUMBER(SEARCH("parking",$B638))+ISNUMBER(SEARCH("repair",$B638))+ISNUMBER(SEARCH("maintenance",$B638))+ISNUMBER(SEARCH("tire",$B638))+ISNUMBER(SEARCH("tyre",$B638))+ISNUMBER(SEARCH("battery",$B638))+ISNUMBER(SEARCH("oil",$B638))+ISNUMBER(SEARCH("filter",$B638))+ISNUMBER(SEARCH("spare",$B638))+ISNUMBER(SEARCH("insurance",$B638))+ISNUMBER(SEARCH("lto",$B638))+ISNUMBER(SEARCH("registration",$B638))+ISNUMBER(SEARCH("emission",$B638))+ISNUMBER(SEARCH("wash",$B638))+ISNUMBER(SEARCH("weigh",$B638))+ISNUMBER(SEARCH("tarp",$B638))&gt;0,"Vehicle",IF(ISNUMBER(SEARCH("rent",$B638))+ISNUMBER(SEARCH("upa",$B638))+ISNUMBER(SEARCH("salary",$B638))+ISNUMBER(SEARCH("sweldo",$B638))+ISNUMBER(SEARCH("wage",$B638))+ISNUMBER(SEARCH("electric",$B638))+ISNUMBER(SEARCH("kuryente",$B638))+ISNUMBER(SEARCH("water",$B638))+ISNUMBER(SEARCH("tubig",$B638))+ISNUMBER(SEARCH("internet",$B638))+ISNUMBER(SEARCH("pldt",$B638))+ISNUMBER(SEARCH("meralco",$B638))+ISNUMBER(SEARCH("supplies",$B638))+ISNUMBER(SEARCH("office",$B638))+ISNUMBER(SEARCH("professional",$B638))+ISNUMBER(SEARCH("accountant",$B638))+ISNUMBER(SEARCH("lawyer",$B638))+ISNUMBER(SEARCH("broker",$B638))+ISNUMBER(SEARCH("bank",$B638))+ISNUMBER(SEARCH("charge",$B638))+ISNUMBER(SEARCH("permit",$B638))+ISNUMBER(SEARCH("bir",$B638))+ISNUMBER(SEARCH("ltfrb",$B638))+ISNUMBER(SEARCH("misc",$B638))+ISNUMBER(SEARCH("fee",$B638))&gt;0,"Overhead","Overhead")))))))</f>
        <v/>
      </c>
      <c r="J638">
        <f>IF($A638="","",DATE(YEAR($A638),MONTH($A638),1))</f>
        <v/>
      </c>
      <c r="K638">
        <f>IF($B638="","",IF(COUNTIF(Setup!$A$99:$A$128,$B638)&gt;0,0,1))</f>
        <v/>
      </c>
      <c r="L638">
        <f>IF($B638="","",IF(ISNUMBER(SEARCH("advance",$B638)),"ADV",IF(OR(ISNUMBER(SEARCH("payout",$B638)),ISNUMBER(SEARCH("pay out",$B638)),ISNUMBER(SEARCH("release",$B638))),"PAY","")))</f>
        <v/>
      </c>
      <c r="M638">
        <f>IF($B638="","",IF(ISNUMBER(SEARCH("bulk",$B638)),0,IF(ISNUMBER(SEARCH("fuel",$B638))+ISNUMBER(SEARCH("diesel",$B638))+ISNUMBER(SEARCH("krudo",$B638))+ISNUMBER(SEARCH("gasolina",$B638))&gt;0,1,0)))</f>
        <v/>
      </c>
      <c r="N638">
        <f>IF($B638="","",IF(ISNUMBER(SEARCH("fuel",$B638))+ISNUMBER(SEARCH("diesel",$B638))+ISNUMBER(SEARCH("krudo",$B638))+ISNUMBER(SEARCH("gasolina",$B638))&gt;0,1,0))</f>
        <v/>
      </c>
    </row>
    <row r="639">
      <c r="A639" s="86" t="n"/>
      <c r="B639" s="88" t="n"/>
      <c r="C639" s="88" t="n"/>
      <c r="D639" s="87" t="n"/>
      <c r="E639" s="88" t="n"/>
      <c r="F639" s="92" t="n"/>
      <c r="G639" s="87" t="n"/>
      <c r="H639" s="87" t="n"/>
      <c r="I639" s="101">
        <f>IF($B639="","",IF(COUNTIF(Setup!$A$99:$A$128,$B639)&gt;0,IF(INDEX(Setup!$B$99:$B$128,MATCH($B639,Setup!$A$99:$A$128,0))="","Overhead",INDEX(Setup!$B$99:$B$128,MATCH($B639,Setup!$A$99:$A$128,0))),IF(ISNUMBER(SEARCH("advance",$B639))+ISNUMBER(SEARCH("payout",$B639))+ISNUMBER(SEARCH("pay out",$B639))+ISNUMBER(SEARCH("reimburs",$B639))&gt;0,"Transfer",IF(ISNUMBER(SEARCH("loan",$B639))+ISNUMBER(SEARCH("amort",$B639))+ISNUMBER(SEARCH("installment",$B639))+ISNUMBER(SEARCH("instalment",$B639))&gt;0,"Financing",IF(ISNUMBER(SEARCH("draw",$B639))+ISNUMBER(SEARCH("owner",$B639))+ISNUMBER(SEARCH("asset",$B639))+ISNUMBER(SEARCH("capital",$B639))&gt;0,"Other",IF(ISNUMBER(SEARCH("fuel",$B639))+ISNUMBER(SEARCH("diesel",$B639))+ISNUMBER(SEARCH("krudo",$B639))+ISNUMBER(SEARCH("gasolina",$B639))+ISNUMBER(SEARCH("toll",$B639))+ISNUMBER(SEARCH("parking",$B639))+ISNUMBER(SEARCH("repair",$B639))+ISNUMBER(SEARCH("maintenance",$B639))+ISNUMBER(SEARCH("tire",$B639))+ISNUMBER(SEARCH("tyre",$B639))+ISNUMBER(SEARCH("battery",$B639))+ISNUMBER(SEARCH("oil",$B639))+ISNUMBER(SEARCH("filter",$B639))+ISNUMBER(SEARCH("spare",$B639))+ISNUMBER(SEARCH("insurance",$B639))+ISNUMBER(SEARCH("lto",$B639))+ISNUMBER(SEARCH("registration",$B639))+ISNUMBER(SEARCH("emission",$B639))+ISNUMBER(SEARCH("wash",$B639))+ISNUMBER(SEARCH("weigh",$B639))+ISNUMBER(SEARCH("tarp",$B639))&gt;0,"Vehicle",IF(ISNUMBER(SEARCH("rent",$B639))+ISNUMBER(SEARCH("upa",$B639))+ISNUMBER(SEARCH("salary",$B639))+ISNUMBER(SEARCH("sweldo",$B639))+ISNUMBER(SEARCH("wage",$B639))+ISNUMBER(SEARCH("electric",$B639))+ISNUMBER(SEARCH("kuryente",$B639))+ISNUMBER(SEARCH("water",$B639))+ISNUMBER(SEARCH("tubig",$B639))+ISNUMBER(SEARCH("internet",$B639))+ISNUMBER(SEARCH("pldt",$B639))+ISNUMBER(SEARCH("meralco",$B639))+ISNUMBER(SEARCH("supplies",$B639))+ISNUMBER(SEARCH("office",$B639))+ISNUMBER(SEARCH("professional",$B639))+ISNUMBER(SEARCH("accountant",$B639))+ISNUMBER(SEARCH("lawyer",$B639))+ISNUMBER(SEARCH("broker",$B639))+ISNUMBER(SEARCH("bank",$B639))+ISNUMBER(SEARCH("charge",$B639))+ISNUMBER(SEARCH("permit",$B639))+ISNUMBER(SEARCH("bir",$B639))+ISNUMBER(SEARCH("ltfrb",$B639))+ISNUMBER(SEARCH("misc",$B639))+ISNUMBER(SEARCH("fee",$B639))&gt;0,"Overhead","Overhead")))))))</f>
        <v/>
      </c>
      <c r="J639">
        <f>IF($A639="","",DATE(YEAR($A639),MONTH($A639),1))</f>
        <v/>
      </c>
      <c r="K639">
        <f>IF($B639="","",IF(COUNTIF(Setup!$A$99:$A$128,$B639)&gt;0,0,1))</f>
        <v/>
      </c>
      <c r="L639">
        <f>IF($B639="","",IF(ISNUMBER(SEARCH("advance",$B639)),"ADV",IF(OR(ISNUMBER(SEARCH("payout",$B639)),ISNUMBER(SEARCH("pay out",$B639)),ISNUMBER(SEARCH("release",$B639))),"PAY","")))</f>
        <v/>
      </c>
      <c r="M639">
        <f>IF($B639="","",IF(ISNUMBER(SEARCH("bulk",$B639)),0,IF(ISNUMBER(SEARCH("fuel",$B639))+ISNUMBER(SEARCH("diesel",$B639))+ISNUMBER(SEARCH("krudo",$B639))+ISNUMBER(SEARCH("gasolina",$B639))&gt;0,1,0)))</f>
        <v/>
      </c>
      <c r="N639">
        <f>IF($B639="","",IF(ISNUMBER(SEARCH("fuel",$B639))+ISNUMBER(SEARCH("diesel",$B639))+ISNUMBER(SEARCH("krudo",$B639))+ISNUMBER(SEARCH("gasolina",$B639))&gt;0,1,0))</f>
        <v/>
      </c>
    </row>
    <row r="640">
      <c r="A640" s="94" t="n"/>
      <c r="B640" s="96" t="n"/>
      <c r="C640" s="96" t="n"/>
      <c r="D640" s="95" t="n"/>
      <c r="E640" s="96" t="n"/>
      <c r="F640" s="99" t="n"/>
      <c r="G640" s="95" t="n"/>
      <c r="H640" s="95" t="n"/>
      <c r="I640" s="101">
        <f>IF($B640="","",IF(COUNTIF(Setup!$A$99:$A$128,$B640)&gt;0,IF(INDEX(Setup!$B$99:$B$128,MATCH($B640,Setup!$A$99:$A$128,0))="","Overhead",INDEX(Setup!$B$99:$B$128,MATCH($B640,Setup!$A$99:$A$128,0))),IF(ISNUMBER(SEARCH("advance",$B640))+ISNUMBER(SEARCH("payout",$B640))+ISNUMBER(SEARCH("pay out",$B640))+ISNUMBER(SEARCH("reimburs",$B640))&gt;0,"Transfer",IF(ISNUMBER(SEARCH("loan",$B640))+ISNUMBER(SEARCH("amort",$B640))+ISNUMBER(SEARCH("installment",$B640))+ISNUMBER(SEARCH("instalment",$B640))&gt;0,"Financing",IF(ISNUMBER(SEARCH("draw",$B640))+ISNUMBER(SEARCH("owner",$B640))+ISNUMBER(SEARCH("asset",$B640))+ISNUMBER(SEARCH("capital",$B640))&gt;0,"Other",IF(ISNUMBER(SEARCH("fuel",$B640))+ISNUMBER(SEARCH("diesel",$B640))+ISNUMBER(SEARCH("krudo",$B640))+ISNUMBER(SEARCH("gasolina",$B640))+ISNUMBER(SEARCH("toll",$B640))+ISNUMBER(SEARCH("parking",$B640))+ISNUMBER(SEARCH("repair",$B640))+ISNUMBER(SEARCH("maintenance",$B640))+ISNUMBER(SEARCH("tire",$B640))+ISNUMBER(SEARCH("tyre",$B640))+ISNUMBER(SEARCH("battery",$B640))+ISNUMBER(SEARCH("oil",$B640))+ISNUMBER(SEARCH("filter",$B640))+ISNUMBER(SEARCH("spare",$B640))+ISNUMBER(SEARCH("insurance",$B640))+ISNUMBER(SEARCH("lto",$B640))+ISNUMBER(SEARCH("registration",$B640))+ISNUMBER(SEARCH("emission",$B640))+ISNUMBER(SEARCH("wash",$B640))+ISNUMBER(SEARCH("weigh",$B640))+ISNUMBER(SEARCH("tarp",$B640))&gt;0,"Vehicle",IF(ISNUMBER(SEARCH("rent",$B640))+ISNUMBER(SEARCH("upa",$B640))+ISNUMBER(SEARCH("salary",$B640))+ISNUMBER(SEARCH("sweldo",$B640))+ISNUMBER(SEARCH("wage",$B640))+ISNUMBER(SEARCH("electric",$B640))+ISNUMBER(SEARCH("kuryente",$B640))+ISNUMBER(SEARCH("water",$B640))+ISNUMBER(SEARCH("tubig",$B640))+ISNUMBER(SEARCH("internet",$B640))+ISNUMBER(SEARCH("pldt",$B640))+ISNUMBER(SEARCH("meralco",$B640))+ISNUMBER(SEARCH("supplies",$B640))+ISNUMBER(SEARCH("office",$B640))+ISNUMBER(SEARCH("professional",$B640))+ISNUMBER(SEARCH("accountant",$B640))+ISNUMBER(SEARCH("lawyer",$B640))+ISNUMBER(SEARCH("broker",$B640))+ISNUMBER(SEARCH("bank",$B640))+ISNUMBER(SEARCH("charge",$B640))+ISNUMBER(SEARCH("permit",$B640))+ISNUMBER(SEARCH("bir",$B640))+ISNUMBER(SEARCH("ltfrb",$B640))+ISNUMBER(SEARCH("misc",$B640))+ISNUMBER(SEARCH("fee",$B640))&gt;0,"Overhead","Overhead")))))))</f>
        <v/>
      </c>
      <c r="J640">
        <f>IF($A640="","",DATE(YEAR($A640),MONTH($A640),1))</f>
        <v/>
      </c>
      <c r="K640">
        <f>IF($B640="","",IF(COUNTIF(Setup!$A$99:$A$128,$B640)&gt;0,0,1))</f>
        <v/>
      </c>
      <c r="L640">
        <f>IF($B640="","",IF(ISNUMBER(SEARCH("advance",$B640)),"ADV",IF(OR(ISNUMBER(SEARCH("payout",$B640)),ISNUMBER(SEARCH("pay out",$B640)),ISNUMBER(SEARCH("release",$B640))),"PAY","")))</f>
        <v/>
      </c>
      <c r="M640">
        <f>IF($B640="","",IF(ISNUMBER(SEARCH("bulk",$B640)),0,IF(ISNUMBER(SEARCH("fuel",$B640))+ISNUMBER(SEARCH("diesel",$B640))+ISNUMBER(SEARCH("krudo",$B640))+ISNUMBER(SEARCH("gasolina",$B640))&gt;0,1,0)))</f>
        <v/>
      </c>
      <c r="N640">
        <f>IF($B640="","",IF(ISNUMBER(SEARCH("fuel",$B640))+ISNUMBER(SEARCH("diesel",$B640))+ISNUMBER(SEARCH("krudo",$B640))+ISNUMBER(SEARCH("gasolina",$B640))&gt;0,1,0))</f>
        <v/>
      </c>
    </row>
    <row r="641">
      <c r="A641" s="86" t="n"/>
      <c r="B641" s="88" t="n"/>
      <c r="C641" s="88" t="n"/>
      <c r="D641" s="87" t="n"/>
      <c r="E641" s="88" t="n"/>
      <c r="F641" s="92" t="n"/>
      <c r="G641" s="87" t="n"/>
      <c r="H641" s="87" t="n"/>
      <c r="I641" s="101">
        <f>IF($B641="","",IF(COUNTIF(Setup!$A$99:$A$128,$B641)&gt;0,IF(INDEX(Setup!$B$99:$B$128,MATCH($B641,Setup!$A$99:$A$128,0))="","Overhead",INDEX(Setup!$B$99:$B$128,MATCH($B641,Setup!$A$99:$A$128,0))),IF(ISNUMBER(SEARCH("advance",$B641))+ISNUMBER(SEARCH("payout",$B641))+ISNUMBER(SEARCH("pay out",$B641))+ISNUMBER(SEARCH("reimburs",$B641))&gt;0,"Transfer",IF(ISNUMBER(SEARCH("loan",$B641))+ISNUMBER(SEARCH("amort",$B641))+ISNUMBER(SEARCH("installment",$B641))+ISNUMBER(SEARCH("instalment",$B641))&gt;0,"Financing",IF(ISNUMBER(SEARCH("draw",$B641))+ISNUMBER(SEARCH("owner",$B641))+ISNUMBER(SEARCH("asset",$B641))+ISNUMBER(SEARCH("capital",$B641))&gt;0,"Other",IF(ISNUMBER(SEARCH("fuel",$B641))+ISNUMBER(SEARCH("diesel",$B641))+ISNUMBER(SEARCH("krudo",$B641))+ISNUMBER(SEARCH("gasolina",$B641))+ISNUMBER(SEARCH("toll",$B641))+ISNUMBER(SEARCH("parking",$B641))+ISNUMBER(SEARCH("repair",$B641))+ISNUMBER(SEARCH("maintenance",$B641))+ISNUMBER(SEARCH("tire",$B641))+ISNUMBER(SEARCH("tyre",$B641))+ISNUMBER(SEARCH("battery",$B641))+ISNUMBER(SEARCH("oil",$B641))+ISNUMBER(SEARCH("filter",$B641))+ISNUMBER(SEARCH("spare",$B641))+ISNUMBER(SEARCH("insurance",$B641))+ISNUMBER(SEARCH("lto",$B641))+ISNUMBER(SEARCH("registration",$B641))+ISNUMBER(SEARCH("emission",$B641))+ISNUMBER(SEARCH("wash",$B641))+ISNUMBER(SEARCH("weigh",$B641))+ISNUMBER(SEARCH("tarp",$B641))&gt;0,"Vehicle",IF(ISNUMBER(SEARCH("rent",$B641))+ISNUMBER(SEARCH("upa",$B641))+ISNUMBER(SEARCH("salary",$B641))+ISNUMBER(SEARCH("sweldo",$B641))+ISNUMBER(SEARCH("wage",$B641))+ISNUMBER(SEARCH("electric",$B641))+ISNUMBER(SEARCH("kuryente",$B641))+ISNUMBER(SEARCH("water",$B641))+ISNUMBER(SEARCH("tubig",$B641))+ISNUMBER(SEARCH("internet",$B641))+ISNUMBER(SEARCH("pldt",$B641))+ISNUMBER(SEARCH("meralco",$B641))+ISNUMBER(SEARCH("supplies",$B641))+ISNUMBER(SEARCH("office",$B641))+ISNUMBER(SEARCH("professional",$B641))+ISNUMBER(SEARCH("accountant",$B641))+ISNUMBER(SEARCH("lawyer",$B641))+ISNUMBER(SEARCH("broker",$B641))+ISNUMBER(SEARCH("bank",$B641))+ISNUMBER(SEARCH("charge",$B641))+ISNUMBER(SEARCH("permit",$B641))+ISNUMBER(SEARCH("bir",$B641))+ISNUMBER(SEARCH("ltfrb",$B641))+ISNUMBER(SEARCH("misc",$B641))+ISNUMBER(SEARCH("fee",$B641))&gt;0,"Overhead","Overhead")))))))</f>
        <v/>
      </c>
      <c r="J641">
        <f>IF($A641="","",DATE(YEAR($A641),MONTH($A641),1))</f>
        <v/>
      </c>
      <c r="K641">
        <f>IF($B641="","",IF(COUNTIF(Setup!$A$99:$A$128,$B641)&gt;0,0,1))</f>
        <v/>
      </c>
      <c r="L641">
        <f>IF($B641="","",IF(ISNUMBER(SEARCH("advance",$B641)),"ADV",IF(OR(ISNUMBER(SEARCH("payout",$B641)),ISNUMBER(SEARCH("pay out",$B641)),ISNUMBER(SEARCH("release",$B641))),"PAY","")))</f>
        <v/>
      </c>
      <c r="M641">
        <f>IF($B641="","",IF(ISNUMBER(SEARCH("bulk",$B641)),0,IF(ISNUMBER(SEARCH("fuel",$B641))+ISNUMBER(SEARCH("diesel",$B641))+ISNUMBER(SEARCH("krudo",$B641))+ISNUMBER(SEARCH("gasolina",$B641))&gt;0,1,0)))</f>
        <v/>
      </c>
      <c r="N641">
        <f>IF($B641="","",IF(ISNUMBER(SEARCH("fuel",$B641))+ISNUMBER(SEARCH("diesel",$B641))+ISNUMBER(SEARCH("krudo",$B641))+ISNUMBER(SEARCH("gasolina",$B641))&gt;0,1,0))</f>
        <v/>
      </c>
    </row>
    <row r="642">
      <c r="A642" s="94" t="n"/>
      <c r="B642" s="96" t="n"/>
      <c r="C642" s="96" t="n"/>
      <c r="D642" s="95" t="n"/>
      <c r="E642" s="96" t="n"/>
      <c r="F642" s="99" t="n"/>
      <c r="G642" s="95" t="n"/>
      <c r="H642" s="95" t="n"/>
      <c r="I642" s="101">
        <f>IF($B642="","",IF(COUNTIF(Setup!$A$99:$A$128,$B642)&gt;0,IF(INDEX(Setup!$B$99:$B$128,MATCH($B642,Setup!$A$99:$A$128,0))="","Overhead",INDEX(Setup!$B$99:$B$128,MATCH($B642,Setup!$A$99:$A$128,0))),IF(ISNUMBER(SEARCH("advance",$B642))+ISNUMBER(SEARCH("payout",$B642))+ISNUMBER(SEARCH("pay out",$B642))+ISNUMBER(SEARCH("reimburs",$B642))&gt;0,"Transfer",IF(ISNUMBER(SEARCH("loan",$B642))+ISNUMBER(SEARCH("amort",$B642))+ISNUMBER(SEARCH("installment",$B642))+ISNUMBER(SEARCH("instalment",$B642))&gt;0,"Financing",IF(ISNUMBER(SEARCH("draw",$B642))+ISNUMBER(SEARCH("owner",$B642))+ISNUMBER(SEARCH("asset",$B642))+ISNUMBER(SEARCH("capital",$B642))&gt;0,"Other",IF(ISNUMBER(SEARCH("fuel",$B642))+ISNUMBER(SEARCH("diesel",$B642))+ISNUMBER(SEARCH("krudo",$B642))+ISNUMBER(SEARCH("gasolina",$B642))+ISNUMBER(SEARCH("toll",$B642))+ISNUMBER(SEARCH("parking",$B642))+ISNUMBER(SEARCH("repair",$B642))+ISNUMBER(SEARCH("maintenance",$B642))+ISNUMBER(SEARCH("tire",$B642))+ISNUMBER(SEARCH("tyre",$B642))+ISNUMBER(SEARCH("battery",$B642))+ISNUMBER(SEARCH("oil",$B642))+ISNUMBER(SEARCH("filter",$B642))+ISNUMBER(SEARCH("spare",$B642))+ISNUMBER(SEARCH("insurance",$B642))+ISNUMBER(SEARCH("lto",$B642))+ISNUMBER(SEARCH("registration",$B642))+ISNUMBER(SEARCH("emission",$B642))+ISNUMBER(SEARCH("wash",$B642))+ISNUMBER(SEARCH("weigh",$B642))+ISNUMBER(SEARCH("tarp",$B642))&gt;0,"Vehicle",IF(ISNUMBER(SEARCH("rent",$B642))+ISNUMBER(SEARCH("upa",$B642))+ISNUMBER(SEARCH("salary",$B642))+ISNUMBER(SEARCH("sweldo",$B642))+ISNUMBER(SEARCH("wage",$B642))+ISNUMBER(SEARCH("electric",$B642))+ISNUMBER(SEARCH("kuryente",$B642))+ISNUMBER(SEARCH("water",$B642))+ISNUMBER(SEARCH("tubig",$B642))+ISNUMBER(SEARCH("internet",$B642))+ISNUMBER(SEARCH("pldt",$B642))+ISNUMBER(SEARCH("meralco",$B642))+ISNUMBER(SEARCH("supplies",$B642))+ISNUMBER(SEARCH("office",$B642))+ISNUMBER(SEARCH("professional",$B642))+ISNUMBER(SEARCH("accountant",$B642))+ISNUMBER(SEARCH("lawyer",$B642))+ISNUMBER(SEARCH("broker",$B642))+ISNUMBER(SEARCH("bank",$B642))+ISNUMBER(SEARCH("charge",$B642))+ISNUMBER(SEARCH("permit",$B642))+ISNUMBER(SEARCH("bir",$B642))+ISNUMBER(SEARCH("ltfrb",$B642))+ISNUMBER(SEARCH("misc",$B642))+ISNUMBER(SEARCH("fee",$B642))&gt;0,"Overhead","Overhead")))))))</f>
        <v/>
      </c>
      <c r="J642">
        <f>IF($A642="","",DATE(YEAR($A642),MONTH($A642),1))</f>
        <v/>
      </c>
      <c r="K642">
        <f>IF($B642="","",IF(COUNTIF(Setup!$A$99:$A$128,$B642)&gt;0,0,1))</f>
        <v/>
      </c>
      <c r="L642">
        <f>IF($B642="","",IF(ISNUMBER(SEARCH("advance",$B642)),"ADV",IF(OR(ISNUMBER(SEARCH("payout",$B642)),ISNUMBER(SEARCH("pay out",$B642)),ISNUMBER(SEARCH("release",$B642))),"PAY","")))</f>
        <v/>
      </c>
      <c r="M642">
        <f>IF($B642="","",IF(ISNUMBER(SEARCH("bulk",$B642)),0,IF(ISNUMBER(SEARCH("fuel",$B642))+ISNUMBER(SEARCH("diesel",$B642))+ISNUMBER(SEARCH("krudo",$B642))+ISNUMBER(SEARCH("gasolina",$B642))&gt;0,1,0)))</f>
        <v/>
      </c>
      <c r="N642">
        <f>IF($B642="","",IF(ISNUMBER(SEARCH("fuel",$B642))+ISNUMBER(SEARCH("diesel",$B642))+ISNUMBER(SEARCH("krudo",$B642))+ISNUMBER(SEARCH("gasolina",$B642))&gt;0,1,0))</f>
        <v/>
      </c>
    </row>
    <row r="643">
      <c r="A643" s="86" t="n"/>
      <c r="B643" s="88" t="n"/>
      <c r="C643" s="88" t="n"/>
      <c r="D643" s="87" t="n"/>
      <c r="E643" s="88" t="n"/>
      <c r="F643" s="92" t="n"/>
      <c r="G643" s="87" t="n"/>
      <c r="H643" s="87" t="n"/>
      <c r="I643" s="101">
        <f>IF($B643="","",IF(COUNTIF(Setup!$A$99:$A$128,$B643)&gt;0,IF(INDEX(Setup!$B$99:$B$128,MATCH($B643,Setup!$A$99:$A$128,0))="","Overhead",INDEX(Setup!$B$99:$B$128,MATCH($B643,Setup!$A$99:$A$128,0))),IF(ISNUMBER(SEARCH("advance",$B643))+ISNUMBER(SEARCH("payout",$B643))+ISNUMBER(SEARCH("pay out",$B643))+ISNUMBER(SEARCH("reimburs",$B643))&gt;0,"Transfer",IF(ISNUMBER(SEARCH("loan",$B643))+ISNUMBER(SEARCH("amort",$B643))+ISNUMBER(SEARCH("installment",$B643))+ISNUMBER(SEARCH("instalment",$B643))&gt;0,"Financing",IF(ISNUMBER(SEARCH("draw",$B643))+ISNUMBER(SEARCH("owner",$B643))+ISNUMBER(SEARCH("asset",$B643))+ISNUMBER(SEARCH("capital",$B643))&gt;0,"Other",IF(ISNUMBER(SEARCH("fuel",$B643))+ISNUMBER(SEARCH("diesel",$B643))+ISNUMBER(SEARCH("krudo",$B643))+ISNUMBER(SEARCH("gasolina",$B643))+ISNUMBER(SEARCH("toll",$B643))+ISNUMBER(SEARCH("parking",$B643))+ISNUMBER(SEARCH("repair",$B643))+ISNUMBER(SEARCH("maintenance",$B643))+ISNUMBER(SEARCH("tire",$B643))+ISNUMBER(SEARCH("tyre",$B643))+ISNUMBER(SEARCH("battery",$B643))+ISNUMBER(SEARCH("oil",$B643))+ISNUMBER(SEARCH("filter",$B643))+ISNUMBER(SEARCH("spare",$B643))+ISNUMBER(SEARCH("insurance",$B643))+ISNUMBER(SEARCH("lto",$B643))+ISNUMBER(SEARCH("registration",$B643))+ISNUMBER(SEARCH("emission",$B643))+ISNUMBER(SEARCH("wash",$B643))+ISNUMBER(SEARCH("weigh",$B643))+ISNUMBER(SEARCH("tarp",$B643))&gt;0,"Vehicle",IF(ISNUMBER(SEARCH("rent",$B643))+ISNUMBER(SEARCH("upa",$B643))+ISNUMBER(SEARCH("salary",$B643))+ISNUMBER(SEARCH("sweldo",$B643))+ISNUMBER(SEARCH("wage",$B643))+ISNUMBER(SEARCH("electric",$B643))+ISNUMBER(SEARCH("kuryente",$B643))+ISNUMBER(SEARCH("water",$B643))+ISNUMBER(SEARCH("tubig",$B643))+ISNUMBER(SEARCH("internet",$B643))+ISNUMBER(SEARCH("pldt",$B643))+ISNUMBER(SEARCH("meralco",$B643))+ISNUMBER(SEARCH("supplies",$B643))+ISNUMBER(SEARCH("office",$B643))+ISNUMBER(SEARCH("professional",$B643))+ISNUMBER(SEARCH("accountant",$B643))+ISNUMBER(SEARCH("lawyer",$B643))+ISNUMBER(SEARCH("broker",$B643))+ISNUMBER(SEARCH("bank",$B643))+ISNUMBER(SEARCH("charge",$B643))+ISNUMBER(SEARCH("permit",$B643))+ISNUMBER(SEARCH("bir",$B643))+ISNUMBER(SEARCH("ltfrb",$B643))+ISNUMBER(SEARCH("misc",$B643))+ISNUMBER(SEARCH("fee",$B643))&gt;0,"Overhead","Overhead")))))))</f>
        <v/>
      </c>
      <c r="J643">
        <f>IF($A643="","",DATE(YEAR($A643),MONTH($A643),1))</f>
        <v/>
      </c>
      <c r="K643">
        <f>IF($B643="","",IF(COUNTIF(Setup!$A$99:$A$128,$B643)&gt;0,0,1))</f>
        <v/>
      </c>
      <c r="L643">
        <f>IF($B643="","",IF(ISNUMBER(SEARCH("advance",$B643)),"ADV",IF(OR(ISNUMBER(SEARCH("payout",$B643)),ISNUMBER(SEARCH("pay out",$B643)),ISNUMBER(SEARCH("release",$B643))),"PAY","")))</f>
        <v/>
      </c>
      <c r="M643">
        <f>IF($B643="","",IF(ISNUMBER(SEARCH("bulk",$B643)),0,IF(ISNUMBER(SEARCH("fuel",$B643))+ISNUMBER(SEARCH("diesel",$B643))+ISNUMBER(SEARCH("krudo",$B643))+ISNUMBER(SEARCH("gasolina",$B643))&gt;0,1,0)))</f>
        <v/>
      </c>
      <c r="N643">
        <f>IF($B643="","",IF(ISNUMBER(SEARCH("fuel",$B643))+ISNUMBER(SEARCH("diesel",$B643))+ISNUMBER(SEARCH("krudo",$B643))+ISNUMBER(SEARCH("gasolina",$B643))&gt;0,1,0))</f>
        <v/>
      </c>
    </row>
    <row r="644">
      <c r="A644" s="94" t="n"/>
      <c r="B644" s="96" t="n"/>
      <c r="C644" s="96" t="n"/>
      <c r="D644" s="95" t="n"/>
      <c r="E644" s="96" t="n"/>
      <c r="F644" s="99" t="n"/>
      <c r="G644" s="95" t="n"/>
      <c r="H644" s="95" t="n"/>
      <c r="I644" s="101">
        <f>IF($B644="","",IF(COUNTIF(Setup!$A$99:$A$128,$B644)&gt;0,IF(INDEX(Setup!$B$99:$B$128,MATCH($B644,Setup!$A$99:$A$128,0))="","Overhead",INDEX(Setup!$B$99:$B$128,MATCH($B644,Setup!$A$99:$A$128,0))),IF(ISNUMBER(SEARCH("advance",$B644))+ISNUMBER(SEARCH("payout",$B644))+ISNUMBER(SEARCH("pay out",$B644))+ISNUMBER(SEARCH("reimburs",$B644))&gt;0,"Transfer",IF(ISNUMBER(SEARCH("loan",$B644))+ISNUMBER(SEARCH("amort",$B644))+ISNUMBER(SEARCH("installment",$B644))+ISNUMBER(SEARCH("instalment",$B644))&gt;0,"Financing",IF(ISNUMBER(SEARCH("draw",$B644))+ISNUMBER(SEARCH("owner",$B644))+ISNUMBER(SEARCH("asset",$B644))+ISNUMBER(SEARCH("capital",$B644))&gt;0,"Other",IF(ISNUMBER(SEARCH("fuel",$B644))+ISNUMBER(SEARCH("diesel",$B644))+ISNUMBER(SEARCH("krudo",$B644))+ISNUMBER(SEARCH("gasolina",$B644))+ISNUMBER(SEARCH("toll",$B644))+ISNUMBER(SEARCH("parking",$B644))+ISNUMBER(SEARCH("repair",$B644))+ISNUMBER(SEARCH("maintenance",$B644))+ISNUMBER(SEARCH("tire",$B644))+ISNUMBER(SEARCH("tyre",$B644))+ISNUMBER(SEARCH("battery",$B644))+ISNUMBER(SEARCH("oil",$B644))+ISNUMBER(SEARCH("filter",$B644))+ISNUMBER(SEARCH("spare",$B644))+ISNUMBER(SEARCH("insurance",$B644))+ISNUMBER(SEARCH("lto",$B644))+ISNUMBER(SEARCH("registration",$B644))+ISNUMBER(SEARCH("emission",$B644))+ISNUMBER(SEARCH("wash",$B644))+ISNUMBER(SEARCH("weigh",$B644))+ISNUMBER(SEARCH("tarp",$B644))&gt;0,"Vehicle",IF(ISNUMBER(SEARCH("rent",$B644))+ISNUMBER(SEARCH("upa",$B644))+ISNUMBER(SEARCH("salary",$B644))+ISNUMBER(SEARCH("sweldo",$B644))+ISNUMBER(SEARCH("wage",$B644))+ISNUMBER(SEARCH("electric",$B644))+ISNUMBER(SEARCH("kuryente",$B644))+ISNUMBER(SEARCH("water",$B644))+ISNUMBER(SEARCH("tubig",$B644))+ISNUMBER(SEARCH("internet",$B644))+ISNUMBER(SEARCH("pldt",$B644))+ISNUMBER(SEARCH("meralco",$B644))+ISNUMBER(SEARCH("supplies",$B644))+ISNUMBER(SEARCH("office",$B644))+ISNUMBER(SEARCH("professional",$B644))+ISNUMBER(SEARCH("accountant",$B644))+ISNUMBER(SEARCH("lawyer",$B644))+ISNUMBER(SEARCH("broker",$B644))+ISNUMBER(SEARCH("bank",$B644))+ISNUMBER(SEARCH("charge",$B644))+ISNUMBER(SEARCH("permit",$B644))+ISNUMBER(SEARCH("bir",$B644))+ISNUMBER(SEARCH("ltfrb",$B644))+ISNUMBER(SEARCH("misc",$B644))+ISNUMBER(SEARCH("fee",$B644))&gt;0,"Overhead","Overhead")))))))</f>
        <v/>
      </c>
      <c r="J644">
        <f>IF($A644="","",DATE(YEAR($A644),MONTH($A644),1))</f>
        <v/>
      </c>
      <c r="K644">
        <f>IF($B644="","",IF(COUNTIF(Setup!$A$99:$A$128,$B644)&gt;0,0,1))</f>
        <v/>
      </c>
      <c r="L644">
        <f>IF($B644="","",IF(ISNUMBER(SEARCH("advance",$B644)),"ADV",IF(OR(ISNUMBER(SEARCH("payout",$B644)),ISNUMBER(SEARCH("pay out",$B644)),ISNUMBER(SEARCH("release",$B644))),"PAY","")))</f>
        <v/>
      </c>
      <c r="M644">
        <f>IF($B644="","",IF(ISNUMBER(SEARCH("bulk",$B644)),0,IF(ISNUMBER(SEARCH("fuel",$B644))+ISNUMBER(SEARCH("diesel",$B644))+ISNUMBER(SEARCH("krudo",$B644))+ISNUMBER(SEARCH("gasolina",$B644))&gt;0,1,0)))</f>
        <v/>
      </c>
      <c r="N644">
        <f>IF($B644="","",IF(ISNUMBER(SEARCH("fuel",$B644))+ISNUMBER(SEARCH("diesel",$B644))+ISNUMBER(SEARCH("krudo",$B644))+ISNUMBER(SEARCH("gasolina",$B644))&gt;0,1,0))</f>
        <v/>
      </c>
    </row>
    <row r="645">
      <c r="A645" s="86" t="n"/>
      <c r="B645" s="88" t="n"/>
      <c r="C645" s="88" t="n"/>
      <c r="D645" s="87" t="n"/>
      <c r="E645" s="88" t="n"/>
      <c r="F645" s="92" t="n"/>
      <c r="G645" s="87" t="n"/>
      <c r="H645" s="87" t="n"/>
      <c r="I645" s="101">
        <f>IF($B645="","",IF(COUNTIF(Setup!$A$99:$A$128,$B645)&gt;0,IF(INDEX(Setup!$B$99:$B$128,MATCH($B645,Setup!$A$99:$A$128,0))="","Overhead",INDEX(Setup!$B$99:$B$128,MATCH($B645,Setup!$A$99:$A$128,0))),IF(ISNUMBER(SEARCH("advance",$B645))+ISNUMBER(SEARCH("payout",$B645))+ISNUMBER(SEARCH("pay out",$B645))+ISNUMBER(SEARCH("reimburs",$B645))&gt;0,"Transfer",IF(ISNUMBER(SEARCH("loan",$B645))+ISNUMBER(SEARCH("amort",$B645))+ISNUMBER(SEARCH("installment",$B645))+ISNUMBER(SEARCH("instalment",$B645))&gt;0,"Financing",IF(ISNUMBER(SEARCH("draw",$B645))+ISNUMBER(SEARCH("owner",$B645))+ISNUMBER(SEARCH("asset",$B645))+ISNUMBER(SEARCH("capital",$B645))&gt;0,"Other",IF(ISNUMBER(SEARCH("fuel",$B645))+ISNUMBER(SEARCH("diesel",$B645))+ISNUMBER(SEARCH("krudo",$B645))+ISNUMBER(SEARCH("gasolina",$B645))+ISNUMBER(SEARCH("toll",$B645))+ISNUMBER(SEARCH("parking",$B645))+ISNUMBER(SEARCH("repair",$B645))+ISNUMBER(SEARCH("maintenance",$B645))+ISNUMBER(SEARCH("tire",$B645))+ISNUMBER(SEARCH("tyre",$B645))+ISNUMBER(SEARCH("battery",$B645))+ISNUMBER(SEARCH("oil",$B645))+ISNUMBER(SEARCH("filter",$B645))+ISNUMBER(SEARCH("spare",$B645))+ISNUMBER(SEARCH("insurance",$B645))+ISNUMBER(SEARCH("lto",$B645))+ISNUMBER(SEARCH("registration",$B645))+ISNUMBER(SEARCH("emission",$B645))+ISNUMBER(SEARCH("wash",$B645))+ISNUMBER(SEARCH("weigh",$B645))+ISNUMBER(SEARCH("tarp",$B645))&gt;0,"Vehicle",IF(ISNUMBER(SEARCH("rent",$B645))+ISNUMBER(SEARCH("upa",$B645))+ISNUMBER(SEARCH("salary",$B645))+ISNUMBER(SEARCH("sweldo",$B645))+ISNUMBER(SEARCH("wage",$B645))+ISNUMBER(SEARCH("electric",$B645))+ISNUMBER(SEARCH("kuryente",$B645))+ISNUMBER(SEARCH("water",$B645))+ISNUMBER(SEARCH("tubig",$B645))+ISNUMBER(SEARCH("internet",$B645))+ISNUMBER(SEARCH("pldt",$B645))+ISNUMBER(SEARCH("meralco",$B645))+ISNUMBER(SEARCH("supplies",$B645))+ISNUMBER(SEARCH("office",$B645))+ISNUMBER(SEARCH("professional",$B645))+ISNUMBER(SEARCH("accountant",$B645))+ISNUMBER(SEARCH("lawyer",$B645))+ISNUMBER(SEARCH("broker",$B645))+ISNUMBER(SEARCH("bank",$B645))+ISNUMBER(SEARCH("charge",$B645))+ISNUMBER(SEARCH("permit",$B645))+ISNUMBER(SEARCH("bir",$B645))+ISNUMBER(SEARCH("ltfrb",$B645))+ISNUMBER(SEARCH("misc",$B645))+ISNUMBER(SEARCH("fee",$B645))&gt;0,"Overhead","Overhead")))))))</f>
        <v/>
      </c>
      <c r="J645">
        <f>IF($A645="","",DATE(YEAR($A645),MONTH($A645),1))</f>
        <v/>
      </c>
      <c r="K645">
        <f>IF($B645="","",IF(COUNTIF(Setup!$A$99:$A$128,$B645)&gt;0,0,1))</f>
        <v/>
      </c>
      <c r="L645">
        <f>IF($B645="","",IF(ISNUMBER(SEARCH("advance",$B645)),"ADV",IF(OR(ISNUMBER(SEARCH("payout",$B645)),ISNUMBER(SEARCH("pay out",$B645)),ISNUMBER(SEARCH("release",$B645))),"PAY","")))</f>
        <v/>
      </c>
      <c r="M645">
        <f>IF($B645="","",IF(ISNUMBER(SEARCH("bulk",$B645)),0,IF(ISNUMBER(SEARCH("fuel",$B645))+ISNUMBER(SEARCH("diesel",$B645))+ISNUMBER(SEARCH("krudo",$B645))+ISNUMBER(SEARCH("gasolina",$B645))&gt;0,1,0)))</f>
        <v/>
      </c>
      <c r="N645">
        <f>IF($B645="","",IF(ISNUMBER(SEARCH("fuel",$B645))+ISNUMBER(SEARCH("diesel",$B645))+ISNUMBER(SEARCH("krudo",$B645))+ISNUMBER(SEARCH("gasolina",$B645))&gt;0,1,0))</f>
        <v/>
      </c>
    </row>
    <row r="646">
      <c r="A646" s="94" t="n"/>
      <c r="B646" s="96" t="n"/>
      <c r="C646" s="96" t="n"/>
      <c r="D646" s="95" t="n"/>
      <c r="E646" s="96" t="n"/>
      <c r="F646" s="99" t="n"/>
      <c r="G646" s="95" t="n"/>
      <c r="H646" s="95" t="n"/>
      <c r="I646" s="101">
        <f>IF($B646="","",IF(COUNTIF(Setup!$A$99:$A$128,$B646)&gt;0,IF(INDEX(Setup!$B$99:$B$128,MATCH($B646,Setup!$A$99:$A$128,0))="","Overhead",INDEX(Setup!$B$99:$B$128,MATCH($B646,Setup!$A$99:$A$128,0))),IF(ISNUMBER(SEARCH("advance",$B646))+ISNUMBER(SEARCH("payout",$B646))+ISNUMBER(SEARCH("pay out",$B646))+ISNUMBER(SEARCH("reimburs",$B646))&gt;0,"Transfer",IF(ISNUMBER(SEARCH("loan",$B646))+ISNUMBER(SEARCH("amort",$B646))+ISNUMBER(SEARCH("installment",$B646))+ISNUMBER(SEARCH("instalment",$B646))&gt;0,"Financing",IF(ISNUMBER(SEARCH("draw",$B646))+ISNUMBER(SEARCH("owner",$B646))+ISNUMBER(SEARCH("asset",$B646))+ISNUMBER(SEARCH("capital",$B646))&gt;0,"Other",IF(ISNUMBER(SEARCH("fuel",$B646))+ISNUMBER(SEARCH("diesel",$B646))+ISNUMBER(SEARCH("krudo",$B646))+ISNUMBER(SEARCH("gasolina",$B646))+ISNUMBER(SEARCH("toll",$B646))+ISNUMBER(SEARCH("parking",$B646))+ISNUMBER(SEARCH("repair",$B646))+ISNUMBER(SEARCH("maintenance",$B646))+ISNUMBER(SEARCH("tire",$B646))+ISNUMBER(SEARCH("tyre",$B646))+ISNUMBER(SEARCH("battery",$B646))+ISNUMBER(SEARCH("oil",$B646))+ISNUMBER(SEARCH("filter",$B646))+ISNUMBER(SEARCH("spare",$B646))+ISNUMBER(SEARCH("insurance",$B646))+ISNUMBER(SEARCH("lto",$B646))+ISNUMBER(SEARCH("registration",$B646))+ISNUMBER(SEARCH("emission",$B646))+ISNUMBER(SEARCH("wash",$B646))+ISNUMBER(SEARCH("weigh",$B646))+ISNUMBER(SEARCH("tarp",$B646))&gt;0,"Vehicle",IF(ISNUMBER(SEARCH("rent",$B646))+ISNUMBER(SEARCH("upa",$B646))+ISNUMBER(SEARCH("salary",$B646))+ISNUMBER(SEARCH("sweldo",$B646))+ISNUMBER(SEARCH("wage",$B646))+ISNUMBER(SEARCH("electric",$B646))+ISNUMBER(SEARCH("kuryente",$B646))+ISNUMBER(SEARCH("water",$B646))+ISNUMBER(SEARCH("tubig",$B646))+ISNUMBER(SEARCH("internet",$B646))+ISNUMBER(SEARCH("pldt",$B646))+ISNUMBER(SEARCH("meralco",$B646))+ISNUMBER(SEARCH("supplies",$B646))+ISNUMBER(SEARCH("office",$B646))+ISNUMBER(SEARCH("professional",$B646))+ISNUMBER(SEARCH("accountant",$B646))+ISNUMBER(SEARCH("lawyer",$B646))+ISNUMBER(SEARCH("broker",$B646))+ISNUMBER(SEARCH("bank",$B646))+ISNUMBER(SEARCH("charge",$B646))+ISNUMBER(SEARCH("permit",$B646))+ISNUMBER(SEARCH("bir",$B646))+ISNUMBER(SEARCH("ltfrb",$B646))+ISNUMBER(SEARCH("misc",$B646))+ISNUMBER(SEARCH("fee",$B646))&gt;0,"Overhead","Overhead")))))))</f>
        <v/>
      </c>
      <c r="J646">
        <f>IF($A646="","",DATE(YEAR($A646),MONTH($A646),1))</f>
        <v/>
      </c>
      <c r="K646">
        <f>IF($B646="","",IF(COUNTIF(Setup!$A$99:$A$128,$B646)&gt;0,0,1))</f>
        <v/>
      </c>
      <c r="L646">
        <f>IF($B646="","",IF(ISNUMBER(SEARCH("advance",$B646)),"ADV",IF(OR(ISNUMBER(SEARCH("payout",$B646)),ISNUMBER(SEARCH("pay out",$B646)),ISNUMBER(SEARCH("release",$B646))),"PAY","")))</f>
        <v/>
      </c>
      <c r="M646">
        <f>IF($B646="","",IF(ISNUMBER(SEARCH("bulk",$B646)),0,IF(ISNUMBER(SEARCH("fuel",$B646))+ISNUMBER(SEARCH("diesel",$B646))+ISNUMBER(SEARCH("krudo",$B646))+ISNUMBER(SEARCH("gasolina",$B646))&gt;0,1,0)))</f>
        <v/>
      </c>
      <c r="N646">
        <f>IF($B646="","",IF(ISNUMBER(SEARCH("fuel",$B646))+ISNUMBER(SEARCH("diesel",$B646))+ISNUMBER(SEARCH("krudo",$B646))+ISNUMBER(SEARCH("gasolina",$B646))&gt;0,1,0))</f>
        <v/>
      </c>
    </row>
    <row r="647">
      <c r="A647" s="86" t="n"/>
      <c r="B647" s="88" t="n"/>
      <c r="C647" s="88" t="n"/>
      <c r="D647" s="87" t="n"/>
      <c r="E647" s="88" t="n"/>
      <c r="F647" s="92" t="n"/>
      <c r="G647" s="87" t="n"/>
      <c r="H647" s="87" t="n"/>
      <c r="I647" s="101">
        <f>IF($B647="","",IF(COUNTIF(Setup!$A$99:$A$128,$B647)&gt;0,IF(INDEX(Setup!$B$99:$B$128,MATCH($B647,Setup!$A$99:$A$128,0))="","Overhead",INDEX(Setup!$B$99:$B$128,MATCH($B647,Setup!$A$99:$A$128,0))),IF(ISNUMBER(SEARCH("advance",$B647))+ISNUMBER(SEARCH("payout",$B647))+ISNUMBER(SEARCH("pay out",$B647))+ISNUMBER(SEARCH("reimburs",$B647))&gt;0,"Transfer",IF(ISNUMBER(SEARCH("loan",$B647))+ISNUMBER(SEARCH("amort",$B647))+ISNUMBER(SEARCH("installment",$B647))+ISNUMBER(SEARCH("instalment",$B647))&gt;0,"Financing",IF(ISNUMBER(SEARCH("draw",$B647))+ISNUMBER(SEARCH("owner",$B647))+ISNUMBER(SEARCH("asset",$B647))+ISNUMBER(SEARCH("capital",$B647))&gt;0,"Other",IF(ISNUMBER(SEARCH("fuel",$B647))+ISNUMBER(SEARCH("diesel",$B647))+ISNUMBER(SEARCH("krudo",$B647))+ISNUMBER(SEARCH("gasolina",$B647))+ISNUMBER(SEARCH("toll",$B647))+ISNUMBER(SEARCH("parking",$B647))+ISNUMBER(SEARCH("repair",$B647))+ISNUMBER(SEARCH("maintenance",$B647))+ISNUMBER(SEARCH("tire",$B647))+ISNUMBER(SEARCH("tyre",$B647))+ISNUMBER(SEARCH("battery",$B647))+ISNUMBER(SEARCH("oil",$B647))+ISNUMBER(SEARCH("filter",$B647))+ISNUMBER(SEARCH("spare",$B647))+ISNUMBER(SEARCH("insurance",$B647))+ISNUMBER(SEARCH("lto",$B647))+ISNUMBER(SEARCH("registration",$B647))+ISNUMBER(SEARCH("emission",$B647))+ISNUMBER(SEARCH("wash",$B647))+ISNUMBER(SEARCH("weigh",$B647))+ISNUMBER(SEARCH("tarp",$B647))&gt;0,"Vehicle",IF(ISNUMBER(SEARCH("rent",$B647))+ISNUMBER(SEARCH("upa",$B647))+ISNUMBER(SEARCH("salary",$B647))+ISNUMBER(SEARCH("sweldo",$B647))+ISNUMBER(SEARCH("wage",$B647))+ISNUMBER(SEARCH("electric",$B647))+ISNUMBER(SEARCH("kuryente",$B647))+ISNUMBER(SEARCH("water",$B647))+ISNUMBER(SEARCH("tubig",$B647))+ISNUMBER(SEARCH("internet",$B647))+ISNUMBER(SEARCH("pldt",$B647))+ISNUMBER(SEARCH("meralco",$B647))+ISNUMBER(SEARCH("supplies",$B647))+ISNUMBER(SEARCH("office",$B647))+ISNUMBER(SEARCH("professional",$B647))+ISNUMBER(SEARCH("accountant",$B647))+ISNUMBER(SEARCH("lawyer",$B647))+ISNUMBER(SEARCH("broker",$B647))+ISNUMBER(SEARCH("bank",$B647))+ISNUMBER(SEARCH("charge",$B647))+ISNUMBER(SEARCH("permit",$B647))+ISNUMBER(SEARCH("bir",$B647))+ISNUMBER(SEARCH("ltfrb",$B647))+ISNUMBER(SEARCH("misc",$B647))+ISNUMBER(SEARCH("fee",$B647))&gt;0,"Overhead","Overhead")))))))</f>
        <v/>
      </c>
      <c r="J647">
        <f>IF($A647="","",DATE(YEAR($A647),MONTH($A647),1))</f>
        <v/>
      </c>
      <c r="K647">
        <f>IF($B647="","",IF(COUNTIF(Setup!$A$99:$A$128,$B647)&gt;0,0,1))</f>
        <v/>
      </c>
      <c r="L647">
        <f>IF($B647="","",IF(ISNUMBER(SEARCH("advance",$B647)),"ADV",IF(OR(ISNUMBER(SEARCH("payout",$B647)),ISNUMBER(SEARCH("pay out",$B647)),ISNUMBER(SEARCH("release",$B647))),"PAY","")))</f>
        <v/>
      </c>
      <c r="M647">
        <f>IF($B647="","",IF(ISNUMBER(SEARCH("bulk",$B647)),0,IF(ISNUMBER(SEARCH("fuel",$B647))+ISNUMBER(SEARCH("diesel",$B647))+ISNUMBER(SEARCH("krudo",$B647))+ISNUMBER(SEARCH("gasolina",$B647))&gt;0,1,0)))</f>
        <v/>
      </c>
      <c r="N647">
        <f>IF($B647="","",IF(ISNUMBER(SEARCH("fuel",$B647))+ISNUMBER(SEARCH("diesel",$B647))+ISNUMBER(SEARCH("krudo",$B647))+ISNUMBER(SEARCH("gasolina",$B647))&gt;0,1,0))</f>
        <v/>
      </c>
    </row>
    <row r="648">
      <c r="A648" s="94" t="n"/>
      <c r="B648" s="96" t="n"/>
      <c r="C648" s="96" t="n"/>
      <c r="D648" s="95" t="n"/>
      <c r="E648" s="96" t="n"/>
      <c r="F648" s="99" t="n"/>
      <c r="G648" s="95" t="n"/>
      <c r="H648" s="95" t="n"/>
      <c r="I648" s="101">
        <f>IF($B648="","",IF(COUNTIF(Setup!$A$99:$A$128,$B648)&gt;0,IF(INDEX(Setup!$B$99:$B$128,MATCH($B648,Setup!$A$99:$A$128,0))="","Overhead",INDEX(Setup!$B$99:$B$128,MATCH($B648,Setup!$A$99:$A$128,0))),IF(ISNUMBER(SEARCH("advance",$B648))+ISNUMBER(SEARCH("payout",$B648))+ISNUMBER(SEARCH("pay out",$B648))+ISNUMBER(SEARCH("reimburs",$B648))&gt;0,"Transfer",IF(ISNUMBER(SEARCH("loan",$B648))+ISNUMBER(SEARCH("amort",$B648))+ISNUMBER(SEARCH("installment",$B648))+ISNUMBER(SEARCH("instalment",$B648))&gt;0,"Financing",IF(ISNUMBER(SEARCH("draw",$B648))+ISNUMBER(SEARCH("owner",$B648))+ISNUMBER(SEARCH("asset",$B648))+ISNUMBER(SEARCH("capital",$B648))&gt;0,"Other",IF(ISNUMBER(SEARCH("fuel",$B648))+ISNUMBER(SEARCH("diesel",$B648))+ISNUMBER(SEARCH("krudo",$B648))+ISNUMBER(SEARCH("gasolina",$B648))+ISNUMBER(SEARCH("toll",$B648))+ISNUMBER(SEARCH("parking",$B648))+ISNUMBER(SEARCH("repair",$B648))+ISNUMBER(SEARCH("maintenance",$B648))+ISNUMBER(SEARCH("tire",$B648))+ISNUMBER(SEARCH("tyre",$B648))+ISNUMBER(SEARCH("battery",$B648))+ISNUMBER(SEARCH("oil",$B648))+ISNUMBER(SEARCH("filter",$B648))+ISNUMBER(SEARCH("spare",$B648))+ISNUMBER(SEARCH("insurance",$B648))+ISNUMBER(SEARCH("lto",$B648))+ISNUMBER(SEARCH("registration",$B648))+ISNUMBER(SEARCH("emission",$B648))+ISNUMBER(SEARCH("wash",$B648))+ISNUMBER(SEARCH("weigh",$B648))+ISNUMBER(SEARCH("tarp",$B648))&gt;0,"Vehicle",IF(ISNUMBER(SEARCH("rent",$B648))+ISNUMBER(SEARCH("upa",$B648))+ISNUMBER(SEARCH("salary",$B648))+ISNUMBER(SEARCH("sweldo",$B648))+ISNUMBER(SEARCH("wage",$B648))+ISNUMBER(SEARCH("electric",$B648))+ISNUMBER(SEARCH("kuryente",$B648))+ISNUMBER(SEARCH("water",$B648))+ISNUMBER(SEARCH("tubig",$B648))+ISNUMBER(SEARCH("internet",$B648))+ISNUMBER(SEARCH("pldt",$B648))+ISNUMBER(SEARCH("meralco",$B648))+ISNUMBER(SEARCH("supplies",$B648))+ISNUMBER(SEARCH("office",$B648))+ISNUMBER(SEARCH("professional",$B648))+ISNUMBER(SEARCH("accountant",$B648))+ISNUMBER(SEARCH("lawyer",$B648))+ISNUMBER(SEARCH("broker",$B648))+ISNUMBER(SEARCH("bank",$B648))+ISNUMBER(SEARCH("charge",$B648))+ISNUMBER(SEARCH("permit",$B648))+ISNUMBER(SEARCH("bir",$B648))+ISNUMBER(SEARCH("ltfrb",$B648))+ISNUMBER(SEARCH("misc",$B648))+ISNUMBER(SEARCH("fee",$B648))&gt;0,"Overhead","Overhead")))))))</f>
        <v/>
      </c>
      <c r="J648">
        <f>IF($A648="","",DATE(YEAR($A648),MONTH($A648),1))</f>
        <v/>
      </c>
      <c r="K648">
        <f>IF($B648="","",IF(COUNTIF(Setup!$A$99:$A$128,$B648)&gt;0,0,1))</f>
        <v/>
      </c>
      <c r="L648">
        <f>IF($B648="","",IF(ISNUMBER(SEARCH("advance",$B648)),"ADV",IF(OR(ISNUMBER(SEARCH("payout",$B648)),ISNUMBER(SEARCH("pay out",$B648)),ISNUMBER(SEARCH("release",$B648))),"PAY","")))</f>
        <v/>
      </c>
      <c r="M648">
        <f>IF($B648="","",IF(ISNUMBER(SEARCH("bulk",$B648)),0,IF(ISNUMBER(SEARCH("fuel",$B648))+ISNUMBER(SEARCH("diesel",$B648))+ISNUMBER(SEARCH("krudo",$B648))+ISNUMBER(SEARCH("gasolina",$B648))&gt;0,1,0)))</f>
        <v/>
      </c>
      <c r="N648">
        <f>IF($B648="","",IF(ISNUMBER(SEARCH("fuel",$B648))+ISNUMBER(SEARCH("diesel",$B648))+ISNUMBER(SEARCH("krudo",$B648))+ISNUMBER(SEARCH("gasolina",$B648))&gt;0,1,0))</f>
        <v/>
      </c>
    </row>
    <row r="649">
      <c r="A649" s="86" t="n"/>
      <c r="B649" s="88" t="n"/>
      <c r="C649" s="88" t="n"/>
      <c r="D649" s="87" t="n"/>
      <c r="E649" s="88" t="n"/>
      <c r="F649" s="92" t="n"/>
      <c r="G649" s="87" t="n"/>
      <c r="H649" s="87" t="n"/>
      <c r="I649" s="101">
        <f>IF($B649="","",IF(COUNTIF(Setup!$A$99:$A$128,$B649)&gt;0,IF(INDEX(Setup!$B$99:$B$128,MATCH($B649,Setup!$A$99:$A$128,0))="","Overhead",INDEX(Setup!$B$99:$B$128,MATCH($B649,Setup!$A$99:$A$128,0))),IF(ISNUMBER(SEARCH("advance",$B649))+ISNUMBER(SEARCH("payout",$B649))+ISNUMBER(SEARCH("pay out",$B649))+ISNUMBER(SEARCH("reimburs",$B649))&gt;0,"Transfer",IF(ISNUMBER(SEARCH("loan",$B649))+ISNUMBER(SEARCH("amort",$B649))+ISNUMBER(SEARCH("installment",$B649))+ISNUMBER(SEARCH("instalment",$B649))&gt;0,"Financing",IF(ISNUMBER(SEARCH("draw",$B649))+ISNUMBER(SEARCH("owner",$B649))+ISNUMBER(SEARCH("asset",$B649))+ISNUMBER(SEARCH("capital",$B649))&gt;0,"Other",IF(ISNUMBER(SEARCH("fuel",$B649))+ISNUMBER(SEARCH("diesel",$B649))+ISNUMBER(SEARCH("krudo",$B649))+ISNUMBER(SEARCH("gasolina",$B649))+ISNUMBER(SEARCH("toll",$B649))+ISNUMBER(SEARCH("parking",$B649))+ISNUMBER(SEARCH("repair",$B649))+ISNUMBER(SEARCH("maintenance",$B649))+ISNUMBER(SEARCH("tire",$B649))+ISNUMBER(SEARCH("tyre",$B649))+ISNUMBER(SEARCH("battery",$B649))+ISNUMBER(SEARCH("oil",$B649))+ISNUMBER(SEARCH("filter",$B649))+ISNUMBER(SEARCH("spare",$B649))+ISNUMBER(SEARCH("insurance",$B649))+ISNUMBER(SEARCH("lto",$B649))+ISNUMBER(SEARCH("registration",$B649))+ISNUMBER(SEARCH("emission",$B649))+ISNUMBER(SEARCH("wash",$B649))+ISNUMBER(SEARCH("weigh",$B649))+ISNUMBER(SEARCH("tarp",$B649))&gt;0,"Vehicle",IF(ISNUMBER(SEARCH("rent",$B649))+ISNUMBER(SEARCH("upa",$B649))+ISNUMBER(SEARCH("salary",$B649))+ISNUMBER(SEARCH("sweldo",$B649))+ISNUMBER(SEARCH("wage",$B649))+ISNUMBER(SEARCH("electric",$B649))+ISNUMBER(SEARCH("kuryente",$B649))+ISNUMBER(SEARCH("water",$B649))+ISNUMBER(SEARCH("tubig",$B649))+ISNUMBER(SEARCH("internet",$B649))+ISNUMBER(SEARCH("pldt",$B649))+ISNUMBER(SEARCH("meralco",$B649))+ISNUMBER(SEARCH("supplies",$B649))+ISNUMBER(SEARCH("office",$B649))+ISNUMBER(SEARCH("professional",$B649))+ISNUMBER(SEARCH("accountant",$B649))+ISNUMBER(SEARCH("lawyer",$B649))+ISNUMBER(SEARCH("broker",$B649))+ISNUMBER(SEARCH("bank",$B649))+ISNUMBER(SEARCH("charge",$B649))+ISNUMBER(SEARCH("permit",$B649))+ISNUMBER(SEARCH("bir",$B649))+ISNUMBER(SEARCH("ltfrb",$B649))+ISNUMBER(SEARCH("misc",$B649))+ISNUMBER(SEARCH("fee",$B649))&gt;0,"Overhead","Overhead")))))))</f>
        <v/>
      </c>
      <c r="J649">
        <f>IF($A649="","",DATE(YEAR($A649),MONTH($A649),1))</f>
        <v/>
      </c>
      <c r="K649">
        <f>IF($B649="","",IF(COUNTIF(Setup!$A$99:$A$128,$B649)&gt;0,0,1))</f>
        <v/>
      </c>
      <c r="L649">
        <f>IF($B649="","",IF(ISNUMBER(SEARCH("advance",$B649)),"ADV",IF(OR(ISNUMBER(SEARCH("payout",$B649)),ISNUMBER(SEARCH("pay out",$B649)),ISNUMBER(SEARCH("release",$B649))),"PAY","")))</f>
        <v/>
      </c>
      <c r="M649">
        <f>IF($B649="","",IF(ISNUMBER(SEARCH("bulk",$B649)),0,IF(ISNUMBER(SEARCH("fuel",$B649))+ISNUMBER(SEARCH("diesel",$B649))+ISNUMBER(SEARCH("krudo",$B649))+ISNUMBER(SEARCH("gasolina",$B649))&gt;0,1,0)))</f>
        <v/>
      </c>
      <c r="N649">
        <f>IF($B649="","",IF(ISNUMBER(SEARCH("fuel",$B649))+ISNUMBER(SEARCH("diesel",$B649))+ISNUMBER(SEARCH("krudo",$B649))+ISNUMBER(SEARCH("gasolina",$B649))&gt;0,1,0))</f>
        <v/>
      </c>
    </row>
    <row r="650">
      <c r="A650" s="94" t="n"/>
      <c r="B650" s="96" t="n"/>
      <c r="C650" s="96" t="n"/>
      <c r="D650" s="95" t="n"/>
      <c r="E650" s="96" t="n"/>
      <c r="F650" s="99" t="n"/>
      <c r="G650" s="95" t="n"/>
      <c r="H650" s="95" t="n"/>
      <c r="I650" s="101">
        <f>IF($B650="","",IF(COUNTIF(Setup!$A$99:$A$128,$B650)&gt;0,IF(INDEX(Setup!$B$99:$B$128,MATCH($B650,Setup!$A$99:$A$128,0))="","Overhead",INDEX(Setup!$B$99:$B$128,MATCH($B650,Setup!$A$99:$A$128,0))),IF(ISNUMBER(SEARCH("advance",$B650))+ISNUMBER(SEARCH("payout",$B650))+ISNUMBER(SEARCH("pay out",$B650))+ISNUMBER(SEARCH("reimburs",$B650))&gt;0,"Transfer",IF(ISNUMBER(SEARCH("loan",$B650))+ISNUMBER(SEARCH("amort",$B650))+ISNUMBER(SEARCH("installment",$B650))+ISNUMBER(SEARCH("instalment",$B650))&gt;0,"Financing",IF(ISNUMBER(SEARCH("draw",$B650))+ISNUMBER(SEARCH("owner",$B650))+ISNUMBER(SEARCH("asset",$B650))+ISNUMBER(SEARCH("capital",$B650))&gt;0,"Other",IF(ISNUMBER(SEARCH("fuel",$B650))+ISNUMBER(SEARCH("diesel",$B650))+ISNUMBER(SEARCH("krudo",$B650))+ISNUMBER(SEARCH("gasolina",$B650))+ISNUMBER(SEARCH("toll",$B650))+ISNUMBER(SEARCH("parking",$B650))+ISNUMBER(SEARCH("repair",$B650))+ISNUMBER(SEARCH("maintenance",$B650))+ISNUMBER(SEARCH("tire",$B650))+ISNUMBER(SEARCH("tyre",$B650))+ISNUMBER(SEARCH("battery",$B650))+ISNUMBER(SEARCH("oil",$B650))+ISNUMBER(SEARCH("filter",$B650))+ISNUMBER(SEARCH("spare",$B650))+ISNUMBER(SEARCH("insurance",$B650))+ISNUMBER(SEARCH("lto",$B650))+ISNUMBER(SEARCH("registration",$B650))+ISNUMBER(SEARCH("emission",$B650))+ISNUMBER(SEARCH("wash",$B650))+ISNUMBER(SEARCH("weigh",$B650))+ISNUMBER(SEARCH("tarp",$B650))&gt;0,"Vehicle",IF(ISNUMBER(SEARCH("rent",$B650))+ISNUMBER(SEARCH("upa",$B650))+ISNUMBER(SEARCH("salary",$B650))+ISNUMBER(SEARCH("sweldo",$B650))+ISNUMBER(SEARCH("wage",$B650))+ISNUMBER(SEARCH("electric",$B650))+ISNUMBER(SEARCH("kuryente",$B650))+ISNUMBER(SEARCH("water",$B650))+ISNUMBER(SEARCH("tubig",$B650))+ISNUMBER(SEARCH("internet",$B650))+ISNUMBER(SEARCH("pldt",$B650))+ISNUMBER(SEARCH("meralco",$B650))+ISNUMBER(SEARCH("supplies",$B650))+ISNUMBER(SEARCH("office",$B650))+ISNUMBER(SEARCH("professional",$B650))+ISNUMBER(SEARCH("accountant",$B650))+ISNUMBER(SEARCH("lawyer",$B650))+ISNUMBER(SEARCH("broker",$B650))+ISNUMBER(SEARCH("bank",$B650))+ISNUMBER(SEARCH("charge",$B650))+ISNUMBER(SEARCH("permit",$B650))+ISNUMBER(SEARCH("bir",$B650))+ISNUMBER(SEARCH("ltfrb",$B650))+ISNUMBER(SEARCH("misc",$B650))+ISNUMBER(SEARCH("fee",$B650))&gt;0,"Overhead","Overhead")))))))</f>
        <v/>
      </c>
      <c r="J650">
        <f>IF($A650="","",DATE(YEAR($A650),MONTH($A650),1))</f>
        <v/>
      </c>
      <c r="K650">
        <f>IF($B650="","",IF(COUNTIF(Setup!$A$99:$A$128,$B650)&gt;0,0,1))</f>
        <v/>
      </c>
      <c r="L650">
        <f>IF($B650="","",IF(ISNUMBER(SEARCH("advance",$B650)),"ADV",IF(OR(ISNUMBER(SEARCH("payout",$B650)),ISNUMBER(SEARCH("pay out",$B650)),ISNUMBER(SEARCH("release",$B650))),"PAY","")))</f>
        <v/>
      </c>
      <c r="M650">
        <f>IF($B650="","",IF(ISNUMBER(SEARCH("bulk",$B650)),0,IF(ISNUMBER(SEARCH("fuel",$B650))+ISNUMBER(SEARCH("diesel",$B650))+ISNUMBER(SEARCH("krudo",$B650))+ISNUMBER(SEARCH("gasolina",$B650))&gt;0,1,0)))</f>
        <v/>
      </c>
      <c r="N650">
        <f>IF($B650="","",IF(ISNUMBER(SEARCH("fuel",$B650))+ISNUMBER(SEARCH("diesel",$B650))+ISNUMBER(SEARCH("krudo",$B650))+ISNUMBER(SEARCH("gasolina",$B650))&gt;0,1,0))</f>
        <v/>
      </c>
    </row>
    <row r="651">
      <c r="A651" s="86" t="n"/>
      <c r="B651" s="88" t="n"/>
      <c r="C651" s="88" t="n"/>
      <c r="D651" s="87" t="n"/>
      <c r="E651" s="88" t="n"/>
      <c r="F651" s="92" t="n"/>
      <c r="G651" s="87" t="n"/>
      <c r="H651" s="87" t="n"/>
      <c r="I651" s="101">
        <f>IF($B651="","",IF(COUNTIF(Setup!$A$99:$A$128,$B651)&gt;0,IF(INDEX(Setup!$B$99:$B$128,MATCH($B651,Setup!$A$99:$A$128,0))="","Overhead",INDEX(Setup!$B$99:$B$128,MATCH($B651,Setup!$A$99:$A$128,0))),IF(ISNUMBER(SEARCH("advance",$B651))+ISNUMBER(SEARCH("payout",$B651))+ISNUMBER(SEARCH("pay out",$B651))+ISNUMBER(SEARCH("reimburs",$B651))&gt;0,"Transfer",IF(ISNUMBER(SEARCH("loan",$B651))+ISNUMBER(SEARCH("amort",$B651))+ISNUMBER(SEARCH("installment",$B651))+ISNUMBER(SEARCH("instalment",$B651))&gt;0,"Financing",IF(ISNUMBER(SEARCH("draw",$B651))+ISNUMBER(SEARCH("owner",$B651))+ISNUMBER(SEARCH("asset",$B651))+ISNUMBER(SEARCH("capital",$B651))&gt;0,"Other",IF(ISNUMBER(SEARCH("fuel",$B651))+ISNUMBER(SEARCH("diesel",$B651))+ISNUMBER(SEARCH("krudo",$B651))+ISNUMBER(SEARCH("gasolina",$B651))+ISNUMBER(SEARCH("toll",$B651))+ISNUMBER(SEARCH("parking",$B651))+ISNUMBER(SEARCH("repair",$B651))+ISNUMBER(SEARCH("maintenance",$B651))+ISNUMBER(SEARCH("tire",$B651))+ISNUMBER(SEARCH("tyre",$B651))+ISNUMBER(SEARCH("battery",$B651))+ISNUMBER(SEARCH("oil",$B651))+ISNUMBER(SEARCH("filter",$B651))+ISNUMBER(SEARCH("spare",$B651))+ISNUMBER(SEARCH("insurance",$B651))+ISNUMBER(SEARCH("lto",$B651))+ISNUMBER(SEARCH("registration",$B651))+ISNUMBER(SEARCH("emission",$B651))+ISNUMBER(SEARCH("wash",$B651))+ISNUMBER(SEARCH("weigh",$B651))+ISNUMBER(SEARCH("tarp",$B651))&gt;0,"Vehicle",IF(ISNUMBER(SEARCH("rent",$B651))+ISNUMBER(SEARCH("upa",$B651))+ISNUMBER(SEARCH("salary",$B651))+ISNUMBER(SEARCH("sweldo",$B651))+ISNUMBER(SEARCH("wage",$B651))+ISNUMBER(SEARCH("electric",$B651))+ISNUMBER(SEARCH("kuryente",$B651))+ISNUMBER(SEARCH("water",$B651))+ISNUMBER(SEARCH("tubig",$B651))+ISNUMBER(SEARCH("internet",$B651))+ISNUMBER(SEARCH("pldt",$B651))+ISNUMBER(SEARCH("meralco",$B651))+ISNUMBER(SEARCH("supplies",$B651))+ISNUMBER(SEARCH("office",$B651))+ISNUMBER(SEARCH("professional",$B651))+ISNUMBER(SEARCH("accountant",$B651))+ISNUMBER(SEARCH("lawyer",$B651))+ISNUMBER(SEARCH("broker",$B651))+ISNUMBER(SEARCH("bank",$B651))+ISNUMBER(SEARCH("charge",$B651))+ISNUMBER(SEARCH("permit",$B651))+ISNUMBER(SEARCH("bir",$B651))+ISNUMBER(SEARCH("ltfrb",$B651))+ISNUMBER(SEARCH("misc",$B651))+ISNUMBER(SEARCH("fee",$B651))&gt;0,"Overhead","Overhead")))))))</f>
        <v/>
      </c>
      <c r="J651">
        <f>IF($A651="","",DATE(YEAR($A651),MONTH($A651),1))</f>
        <v/>
      </c>
      <c r="K651">
        <f>IF($B651="","",IF(COUNTIF(Setup!$A$99:$A$128,$B651)&gt;0,0,1))</f>
        <v/>
      </c>
      <c r="L651">
        <f>IF($B651="","",IF(ISNUMBER(SEARCH("advance",$B651)),"ADV",IF(OR(ISNUMBER(SEARCH("payout",$B651)),ISNUMBER(SEARCH("pay out",$B651)),ISNUMBER(SEARCH("release",$B651))),"PAY","")))</f>
        <v/>
      </c>
      <c r="M651">
        <f>IF($B651="","",IF(ISNUMBER(SEARCH("bulk",$B651)),0,IF(ISNUMBER(SEARCH("fuel",$B651))+ISNUMBER(SEARCH("diesel",$B651))+ISNUMBER(SEARCH("krudo",$B651))+ISNUMBER(SEARCH("gasolina",$B651))&gt;0,1,0)))</f>
        <v/>
      </c>
      <c r="N651">
        <f>IF($B651="","",IF(ISNUMBER(SEARCH("fuel",$B651))+ISNUMBER(SEARCH("diesel",$B651))+ISNUMBER(SEARCH("krudo",$B651))+ISNUMBER(SEARCH("gasolina",$B651))&gt;0,1,0))</f>
        <v/>
      </c>
    </row>
    <row r="652">
      <c r="A652" s="94" t="n"/>
      <c r="B652" s="96" t="n"/>
      <c r="C652" s="96" t="n"/>
      <c r="D652" s="95" t="n"/>
      <c r="E652" s="96" t="n"/>
      <c r="F652" s="99" t="n"/>
      <c r="G652" s="95" t="n"/>
      <c r="H652" s="95" t="n"/>
      <c r="I652" s="101">
        <f>IF($B652="","",IF(COUNTIF(Setup!$A$99:$A$128,$B652)&gt;0,IF(INDEX(Setup!$B$99:$B$128,MATCH($B652,Setup!$A$99:$A$128,0))="","Overhead",INDEX(Setup!$B$99:$B$128,MATCH($B652,Setup!$A$99:$A$128,0))),IF(ISNUMBER(SEARCH("advance",$B652))+ISNUMBER(SEARCH("payout",$B652))+ISNUMBER(SEARCH("pay out",$B652))+ISNUMBER(SEARCH("reimburs",$B652))&gt;0,"Transfer",IF(ISNUMBER(SEARCH("loan",$B652))+ISNUMBER(SEARCH("amort",$B652))+ISNUMBER(SEARCH("installment",$B652))+ISNUMBER(SEARCH("instalment",$B652))&gt;0,"Financing",IF(ISNUMBER(SEARCH("draw",$B652))+ISNUMBER(SEARCH("owner",$B652))+ISNUMBER(SEARCH("asset",$B652))+ISNUMBER(SEARCH("capital",$B652))&gt;0,"Other",IF(ISNUMBER(SEARCH("fuel",$B652))+ISNUMBER(SEARCH("diesel",$B652))+ISNUMBER(SEARCH("krudo",$B652))+ISNUMBER(SEARCH("gasolina",$B652))+ISNUMBER(SEARCH("toll",$B652))+ISNUMBER(SEARCH("parking",$B652))+ISNUMBER(SEARCH("repair",$B652))+ISNUMBER(SEARCH("maintenance",$B652))+ISNUMBER(SEARCH("tire",$B652))+ISNUMBER(SEARCH("tyre",$B652))+ISNUMBER(SEARCH("battery",$B652))+ISNUMBER(SEARCH("oil",$B652))+ISNUMBER(SEARCH("filter",$B652))+ISNUMBER(SEARCH("spare",$B652))+ISNUMBER(SEARCH("insurance",$B652))+ISNUMBER(SEARCH("lto",$B652))+ISNUMBER(SEARCH("registration",$B652))+ISNUMBER(SEARCH("emission",$B652))+ISNUMBER(SEARCH("wash",$B652))+ISNUMBER(SEARCH("weigh",$B652))+ISNUMBER(SEARCH("tarp",$B652))&gt;0,"Vehicle",IF(ISNUMBER(SEARCH("rent",$B652))+ISNUMBER(SEARCH("upa",$B652))+ISNUMBER(SEARCH("salary",$B652))+ISNUMBER(SEARCH("sweldo",$B652))+ISNUMBER(SEARCH("wage",$B652))+ISNUMBER(SEARCH("electric",$B652))+ISNUMBER(SEARCH("kuryente",$B652))+ISNUMBER(SEARCH("water",$B652))+ISNUMBER(SEARCH("tubig",$B652))+ISNUMBER(SEARCH("internet",$B652))+ISNUMBER(SEARCH("pldt",$B652))+ISNUMBER(SEARCH("meralco",$B652))+ISNUMBER(SEARCH("supplies",$B652))+ISNUMBER(SEARCH("office",$B652))+ISNUMBER(SEARCH("professional",$B652))+ISNUMBER(SEARCH("accountant",$B652))+ISNUMBER(SEARCH("lawyer",$B652))+ISNUMBER(SEARCH("broker",$B652))+ISNUMBER(SEARCH("bank",$B652))+ISNUMBER(SEARCH("charge",$B652))+ISNUMBER(SEARCH("permit",$B652))+ISNUMBER(SEARCH("bir",$B652))+ISNUMBER(SEARCH("ltfrb",$B652))+ISNUMBER(SEARCH("misc",$B652))+ISNUMBER(SEARCH("fee",$B652))&gt;0,"Overhead","Overhead")))))))</f>
        <v/>
      </c>
      <c r="J652">
        <f>IF($A652="","",DATE(YEAR($A652),MONTH($A652),1))</f>
        <v/>
      </c>
      <c r="K652">
        <f>IF($B652="","",IF(COUNTIF(Setup!$A$99:$A$128,$B652)&gt;0,0,1))</f>
        <v/>
      </c>
      <c r="L652">
        <f>IF($B652="","",IF(ISNUMBER(SEARCH("advance",$B652)),"ADV",IF(OR(ISNUMBER(SEARCH("payout",$B652)),ISNUMBER(SEARCH("pay out",$B652)),ISNUMBER(SEARCH("release",$B652))),"PAY","")))</f>
        <v/>
      </c>
      <c r="M652">
        <f>IF($B652="","",IF(ISNUMBER(SEARCH("bulk",$B652)),0,IF(ISNUMBER(SEARCH("fuel",$B652))+ISNUMBER(SEARCH("diesel",$B652))+ISNUMBER(SEARCH("krudo",$B652))+ISNUMBER(SEARCH("gasolina",$B652))&gt;0,1,0)))</f>
        <v/>
      </c>
      <c r="N652">
        <f>IF($B652="","",IF(ISNUMBER(SEARCH("fuel",$B652))+ISNUMBER(SEARCH("diesel",$B652))+ISNUMBER(SEARCH("krudo",$B652))+ISNUMBER(SEARCH("gasolina",$B652))&gt;0,1,0))</f>
        <v/>
      </c>
    </row>
    <row r="653">
      <c r="A653" s="86" t="n"/>
      <c r="B653" s="88" t="n"/>
      <c r="C653" s="88" t="n"/>
      <c r="D653" s="87" t="n"/>
      <c r="E653" s="88" t="n"/>
      <c r="F653" s="92" t="n"/>
      <c r="G653" s="87" t="n"/>
      <c r="H653" s="87" t="n"/>
      <c r="I653" s="101">
        <f>IF($B653="","",IF(COUNTIF(Setup!$A$99:$A$128,$B653)&gt;0,IF(INDEX(Setup!$B$99:$B$128,MATCH($B653,Setup!$A$99:$A$128,0))="","Overhead",INDEX(Setup!$B$99:$B$128,MATCH($B653,Setup!$A$99:$A$128,0))),IF(ISNUMBER(SEARCH("advance",$B653))+ISNUMBER(SEARCH("payout",$B653))+ISNUMBER(SEARCH("pay out",$B653))+ISNUMBER(SEARCH("reimburs",$B653))&gt;0,"Transfer",IF(ISNUMBER(SEARCH("loan",$B653))+ISNUMBER(SEARCH("amort",$B653))+ISNUMBER(SEARCH("installment",$B653))+ISNUMBER(SEARCH("instalment",$B653))&gt;0,"Financing",IF(ISNUMBER(SEARCH("draw",$B653))+ISNUMBER(SEARCH("owner",$B653))+ISNUMBER(SEARCH("asset",$B653))+ISNUMBER(SEARCH("capital",$B653))&gt;0,"Other",IF(ISNUMBER(SEARCH("fuel",$B653))+ISNUMBER(SEARCH("diesel",$B653))+ISNUMBER(SEARCH("krudo",$B653))+ISNUMBER(SEARCH("gasolina",$B653))+ISNUMBER(SEARCH("toll",$B653))+ISNUMBER(SEARCH("parking",$B653))+ISNUMBER(SEARCH("repair",$B653))+ISNUMBER(SEARCH("maintenance",$B653))+ISNUMBER(SEARCH("tire",$B653))+ISNUMBER(SEARCH("tyre",$B653))+ISNUMBER(SEARCH("battery",$B653))+ISNUMBER(SEARCH("oil",$B653))+ISNUMBER(SEARCH("filter",$B653))+ISNUMBER(SEARCH("spare",$B653))+ISNUMBER(SEARCH("insurance",$B653))+ISNUMBER(SEARCH("lto",$B653))+ISNUMBER(SEARCH("registration",$B653))+ISNUMBER(SEARCH("emission",$B653))+ISNUMBER(SEARCH("wash",$B653))+ISNUMBER(SEARCH("weigh",$B653))+ISNUMBER(SEARCH("tarp",$B653))&gt;0,"Vehicle",IF(ISNUMBER(SEARCH("rent",$B653))+ISNUMBER(SEARCH("upa",$B653))+ISNUMBER(SEARCH("salary",$B653))+ISNUMBER(SEARCH("sweldo",$B653))+ISNUMBER(SEARCH("wage",$B653))+ISNUMBER(SEARCH("electric",$B653))+ISNUMBER(SEARCH("kuryente",$B653))+ISNUMBER(SEARCH("water",$B653))+ISNUMBER(SEARCH("tubig",$B653))+ISNUMBER(SEARCH("internet",$B653))+ISNUMBER(SEARCH("pldt",$B653))+ISNUMBER(SEARCH("meralco",$B653))+ISNUMBER(SEARCH("supplies",$B653))+ISNUMBER(SEARCH("office",$B653))+ISNUMBER(SEARCH("professional",$B653))+ISNUMBER(SEARCH("accountant",$B653))+ISNUMBER(SEARCH("lawyer",$B653))+ISNUMBER(SEARCH("broker",$B653))+ISNUMBER(SEARCH("bank",$B653))+ISNUMBER(SEARCH("charge",$B653))+ISNUMBER(SEARCH("permit",$B653))+ISNUMBER(SEARCH("bir",$B653))+ISNUMBER(SEARCH("ltfrb",$B653))+ISNUMBER(SEARCH("misc",$B653))+ISNUMBER(SEARCH("fee",$B653))&gt;0,"Overhead","Overhead")))))))</f>
        <v/>
      </c>
      <c r="J653">
        <f>IF($A653="","",DATE(YEAR($A653),MONTH($A653),1))</f>
        <v/>
      </c>
      <c r="K653">
        <f>IF($B653="","",IF(COUNTIF(Setup!$A$99:$A$128,$B653)&gt;0,0,1))</f>
        <v/>
      </c>
      <c r="L653">
        <f>IF($B653="","",IF(ISNUMBER(SEARCH("advance",$B653)),"ADV",IF(OR(ISNUMBER(SEARCH("payout",$B653)),ISNUMBER(SEARCH("pay out",$B653)),ISNUMBER(SEARCH("release",$B653))),"PAY","")))</f>
        <v/>
      </c>
      <c r="M653">
        <f>IF($B653="","",IF(ISNUMBER(SEARCH("bulk",$B653)),0,IF(ISNUMBER(SEARCH("fuel",$B653))+ISNUMBER(SEARCH("diesel",$B653))+ISNUMBER(SEARCH("krudo",$B653))+ISNUMBER(SEARCH("gasolina",$B653))&gt;0,1,0)))</f>
        <v/>
      </c>
      <c r="N653">
        <f>IF($B653="","",IF(ISNUMBER(SEARCH("fuel",$B653))+ISNUMBER(SEARCH("diesel",$B653))+ISNUMBER(SEARCH("krudo",$B653))+ISNUMBER(SEARCH("gasolina",$B653))&gt;0,1,0))</f>
        <v/>
      </c>
    </row>
    <row r="654">
      <c r="A654" s="94" t="n"/>
      <c r="B654" s="96" t="n"/>
      <c r="C654" s="96" t="n"/>
      <c r="D654" s="95" t="n"/>
      <c r="E654" s="96" t="n"/>
      <c r="F654" s="99" t="n"/>
      <c r="G654" s="95" t="n"/>
      <c r="H654" s="95" t="n"/>
      <c r="I654" s="101">
        <f>IF($B654="","",IF(COUNTIF(Setup!$A$99:$A$128,$B654)&gt;0,IF(INDEX(Setup!$B$99:$B$128,MATCH($B654,Setup!$A$99:$A$128,0))="","Overhead",INDEX(Setup!$B$99:$B$128,MATCH($B654,Setup!$A$99:$A$128,0))),IF(ISNUMBER(SEARCH("advance",$B654))+ISNUMBER(SEARCH("payout",$B654))+ISNUMBER(SEARCH("pay out",$B654))+ISNUMBER(SEARCH("reimburs",$B654))&gt;0,"Transfer",IF(ISNUMBER(SEARCH("loan",$B654))+ISNUMBER(SEARCH("amort",$B654))+ISNUMBER(SEARCH("installment",$B654))+ISNUMBER(SEARCH("instalment",$B654))&gt;0,"Financing",IF(ISNUMBER(SEARCH("draw",$B654))+ISNUMBER(SEARCH("owner",$B654))+ISNUMBER(SEARCH("asset",$B654))+ISNUMBER(SEARCH("capital",$B654))&gt;0,"Other",IF(ISNUMBER(SEARCH("fuel",$B654))+ISNUMBER(SEARCH("diesel",$B654))+ISNUMBER(SEARCH("krudo",$B654))+ISNUMBER(SEARCH("gasolina",$B654))+ISNUMBER(SEARCH("toll",$B654))+ISNUMBER(SEARCH("parking",$B654))+ISNUMBER(SEARCH("repair",$B654))+ISNUMBER(SEARCH("maintenance",$B654))+ISNUMBER(SEARCH("tire",$B654))+ISNUMBER(SEARCH("tyre",$B654))+ISNUMBER(SEARCH("battery",$B654))+ISNUMBER(SEARCH("oil",$B654))+ISNUMBER(SEARCH("filter",$B654))+ISNUMBER(SEARCH("spare",$B654))+ISNUMBER(SEARCH("insurance",$B654))+ISNUMBER(SEARCH("lto",$B654))+ISNUMBER(SEARCH("registration",$B654))+ISNUMBER(SEARCH("emission",$B654))+ISNUMBER(SEARCH("wash",$B654))+ISNUMBER(SEARCH("weigh",$B654))+ISNUMBER(SEARCH("tarp",$B654))&gt;0,"Vehicle",IF(ISNUMBER(SEARCH("rent",$B654))+ISNUMBER(SEARCH("upa",$B654))+ISNUMBER(SEARCH("salary",$B654))+ISNUMBER(SEARCH("sweldo",$B654))+ISNUMBER(SEARCH("wage",$B654))+ISNUMBER(SEARCH("electric",$B654))+ISNUMBER(SEARCH("kuryente",$B654))+ISNUMBER(SEARCH("water",$B654))+ISNUMBER(SEARCH("tubig",$B654))+ISNUMBER(SEARCH("internet",$B654))+ISNUMBER(SEARCH("pldt",$B654))+ISNUMBER(SEARCH("meralco",$B654))+ISNUMBER(SEARCH("supplies",$B654))+ISNUMBER(SEARCH("office",$B654))+ISNUMBER(SEARCH("professional",$B654))+ISNUMBER(SEARCH("accountant",$B654))+ISNUMBER(SEARCH("lawyer",$B654))+ISNUMBER(SEARCH("broker",$B654))+ISNUMBER(SEARCH("bank",$B654))+ISNUMBER(SEARCH("charge",$B654))+ISNUMBER(SEARCH("permit",$B654))+ISNUMBER(SEARCH("bir",$B654))+ISNUMBER(SEARCH("ltfrb",$B654))+ISNUMBER(SEARCH("misc",$B654))+ISNUMBER(SEARCH("fee",$B654))&gt;0,"Overhead","Overhead")))))))</f>
        <v/>
      </c>
      <c r="J654">
        <f>IF($A654="","",DATE(YEAR($A654),MONTH($A654),1))</f>
        <v/>
      </c>
      <c r="K654">
        <f>IF($B654="","",IF(COUNTIF(Setup!$A$99:$A$128,$B654)&gt;0,0,1))</f>
        <v/>
      </c>
      <c r="L654">
        <f>IF($B654="","",IF(ISNUMBER(SEARCH("advance",$B654)),"ADV",IF(OR(ISNUMBER(SEARCH("payout",$B654)),ISNUMBER(SEARCH("pay out",$B654)),ISNUMBER(SEARCH("release",$B654))),"PAY","")))</f>
        <v/>
      </c>
      <c r="M654">
        <f>IF($B654="","",IF(ISNUMBER(SEARCH("bulk",$B654)),0,IF(ISNUMBER(SEARCH("fuel",$B654))+ISNUMBER(SEARCH("diesel",$B654))+ISNUMBER(SEARCH("krudo",$B654))+ISNUMBER(SEARCH("gasolina",$B654))&gt;0,1,0)))</f>
        <v/>
      </c>
      <c r="N654">
        <f>IF($B654="","",IF(ISNUMBER(SEARCH("fuel",$B654))+ISNUMBER(SEARCH("diesel",$B654))+ISNUMBER(SEARCH("krudo",$B654))+ISNUMBER(SEARCH("gasolina",$B654))&gt;0,1,0))</f>
        <v/>
      </c>
    </row>
    <row r="655">
      <c r="A655" s="86" t="n"/>
      <c r="B655" s="88" t="n"/>
      <c r="C655" s="88" t="n"/>
      <c r="D655" s="87" t="n"/>
      <c r="E655" s="88" t="n"/>
      <c r="F655" s="92" t="n"/>
      <c r="G655" s="87" t="n"/>
      <c r="H655" s="87" t="n"/>
      <c r="I655" s="101">
        <f>IF($B655="","",IF(COUNTIF(Setup!$A$99:$A$128,$B655)&gt;0,IF(INDEX(Setup!$B$99:$B$128,MATCH($B655,Setup!$A$99:$A$128,0))="","Overhead",INDEX(Setup!$B$99:$B$128,MATCH($B655,Setup!$A$99:$A$128,0))),IF(ISNUMBER(SEARCH("advance",$B655))+ISNUMBER(SEARCH("payout",$B655))+ISNUMBER(SEARCH("pay out",$B655))+ISNUMBER(SEARCH("reimburs",$B655))&gt;0,"Transfer",IF(ISNUMBER(SEARCH("loan",$B655))+ISNUMBER(SEARCH("amort",$B655))+ISNUMBER(SEARCH("installment",$B655))+ISNUMBER(SEARCH("instalment",$B655))&gt;0,"Financing",IF(ISNUMBER(SEARCH("draw",$B655))+ISNUMBER(SEARCH("owner",$B655))+ISNUMBER(SEARCH("asset",$B655))+ISNUMBER(SEARCH("capital",$B655))&gt;0,"Other",IF(ISNUMBER(SEARCH("fuel",$B655))+ISNUMBER(SEARCH("diesel",$B655))+ISNUMBER(SEARCH("krudo",$B655))+ISNUMBER(SEARCH("gasolina",$B655))+ISNUMBER(SEARCH("toll",$B655))+ISNUMBER(SEARCH("parking",$B655))+ISNUMBER(SEARCH("repair",$B655))+ISNUMBER(SEARCH("maintenance",$B655))+ISNUMBER(SEARCH("tire",$B655))+ISNUMBER(SEARCH("tyre",$B655))+ISNUMBER(SEARCH("battery",$B655))+ISNUMBER(SEARCH("oil",$B655))+ISNUMBER(SEARCH("filter",$B655))+ISNUMBER(SEARCH("spare",$B655))+ISNUMBER(SEARCH("insurance",$B655))+ISNUMBER(SEARCH("lto",$B655))+ISNUMBER(SEARCH("registration",$B655))+ISNUMBER(SEARCH("emission",$B655))+ISNUMBER(SEARCH("wash",$B655))+ISNUMBER(SEARCH("weigh",$B655))+ISNUMBER(SEARCH("tarp",$B655))&gt;0,"Vehicle",IF(ISNUMBER(SEARCH("rent",$B655))+ISNUMBER(SEARCH("upa",$B655))+ISNUMBER(SEARCH("salary",$B655))+ISNUMBER(SEARCH("sweldo",$B655))+ISNUMBER(SEARCH("wage",$B655))+ISNUMBER(SEARCH("electric",$B655))+ISNUMBER(SEARCH("kuryente",$B655))+ISNUMBER(SEARCH("water",$B655))+ISNUMBER(SEARCH("tubig",$B655))+ISNUMBER(SEARCH("internet",$B655))+ISNUMBER(SEARCH("pldt",$B655))+ISNUMBER(SEARCH("meralco",$B655))+ISNUMBER(SEARCH("supplies",$B655))+ISNUMBER(SEARCH("office",$B655))+ISNUMBER(SEARCH("professional",$B655))+ISNUMBER(SEARCH("accountant",$B655))+ISNUMBER(SEARCH("lawyer",$B655))+ISNUMBER(SEARCH("broker",$B655))+ISNUMBER(SEARCH("bank",$B655))+ISNUMBER(SEARCH("charge",$B655))+ISNUMBER(SEARCH("permit",$B655))+ISNUMBER(SEARCH("bir",$B655))+ISNUMBER(SEARCH("ltfrb",$B655))+ISNUMBER(SEARCH("misc",$B655))+ISNUMBER(SEARCH("fee",$B655))&gt;0,"Overhead","Overhead")))))))</f>
        <v/>
      </c>
      <c r="J655">
        <f>IF($A655="","",DATE(YEAR($A655),MONTH($A655),1))</f>
        <v/>
      </c>
      <c r="K655">
        <f>IF($B655="","",IF(COUNTIF(Setup!$A$99:$A$128,$B655)&gt;0,0,1))</f>
        <v/>
      </c>
      <c r="L655">
        <f>IF($B655="","",IF(ISNUMBER(SEARCH("advance",$B655)),"ADV",IF(OR(ISNUMBER(SEARCH("payout",$B655)),ISNUMBER(SEARCH("pay out",$B655)),ISNUMBER(SEARCH("release",$B655))),"PAY","")))</f>
        <v/>
      </c>
      <c r="M655">
        <f>IF($B655="","",IF(ISNUMBER(SEARCH("bulk",$B655)),0,IF(ISNUMBER(SEARCH("fuel",$B655))+ISNUMBER(SEARCH("diesel",$B655))+ISNUMBER(SEARCH("krudo",$B655))+ISNUMBER(SEARCH("gasolina",$B655))&gt;0,1,0)))</f>
        <v/>
      </c>
      <c r="N655">
        <f>IF($B655="","",IF(ISNUMBER(SEARCH("fuel",$B655))+ISNUMBER(SEARCH("diesel",$B655))+ISNUMBER(SEARCH("krudo",$B655))+ISNUMBER(SEARCH("gasolina",$B655))&gt;0,1,0))</f>
        <v/>
      </c>
    </row>
    <row r="656">
      <c r="A656" s="94" t="n"/>
      <c r="B656" s="96" t="n"/>
      <c r="C656" s="96" t="n"/>
      <c r="D656" s="95" t="n"/>
      <c r="E656" s="96" t="n"/>
      <c r="F656" s="99" t="n"/>
      <c r="G656" s="95" t="n"/>
      <c r="H656" s="95" t="n"/>
      <c r="I656" s="101">
        <f>IF($B656="","",IF(COUNTIF(Setup!$A$99:$A$128,$B656)&gt;0,IF(INDEX(Setup!$B$99:$B$128,MATCH($B656,Setup!$A$99:$A$128,0))="","Overhead",INDEX(Setup!$B$99:$B$128,MATCH($B656,Setup!$A$99:$A$128,0))),IF(ISNUMBER(SEARCH("advance",$B656))+ISNUMBER(SEARCH("payout",$B656))+ISNUMBER(SEARCH("pay out",$B656))+ISNUMBER(SEARCH("reimburs",$B656))&gt;0,"Transfer",IF(ISNUMBER(SEARCH("loan",$B656))+ISNUMBER(SEARCH("amort",$B656))+ISNUMBER(SEARCH("installment",$B656))+ISNUMBER(SEARCH("instalment",$B656))&gt;0,"Financing",IF(ISNUMBER(SEARCH("draw",$B656))+ISNUMBER(SEARCH("owner",$B656))+ISNUMBER(SEARCH("asset",$B656))+ISNUMBER(SEARCH("capital",$B656))&gt;0,"Other",IF(ISNUMBER(SEARCH("fuel",$B656))+ISNUMBER(SEARCH("diesel",$B656))+ISNUMBER(SEARCH("krudo",$B656))+ISNUMBER(SEARCH("gasolina",$B656))+ISNUMBER(SEARCH("toll",$B656))+ISNUMBER(SEARCH("parking",$B656))+ISNUMBER(SEARCH("repair",$B656))+ISNUMBER(SEARCH("maintenance",$B656))+ISNUMBER(SEARCH("tire",$B656))+ISNUMBER(SEARCH("tyre",$B656))+ISNUMBER(SEARCH("battery",$B656))+ISNUMBER(SEARCH("oil",$B656))+ISNUMBER(SEARCH("filter",$B656))+ISNUMBER(SEARCH("spare",$B656))+ISNUMBER(SEARCH("insurance",$B656))+ISNUMBER(SEARCH("lto",$B656))+ISNUMBER(SEARCH("registration",$B656))+ISNUMBER(SEARCH("emission",$B656))+ISNUMBER(SEARCH("wash",$B656))+ISNUMBER(SEARCH("weigh",$B656))+ISNUMBER(SEARCH("tarp",$B656))&gt;0,"Vehicle",IF(ISNUMBER(SEARCH("rent",$B656))+ISNUMBER(SEARCH("upa",$B656))+ISNUMBER(SEARCH("salary",$B656))+ISNUMBER(SEARCH("sweldo",$B656))+ISNUMBER(SEARCH("wage",$B656))+ISNUMBER(SEARCH("electric",$B656))+ISNUMBER(SEARCH("kuryente",$B656))+ISNUMBER(SEARCH("water",$B656))+ISNUMBER(SEARCH("tubig",$B656))+ISNUMBER(SEARCH("internet",$B656))+ISNUMBER(SEARCH("pldt",$B656))+ISNUMBER(SEARCH("meralco",$B656))+ISNUMBER(SEARCH("supplies",$B656))+ISNUMBER(SEARCH("office",$B656))+ISNUMBER(SEARCH("professional",$B656))+ISNUMBER(SEARCH("accountant",$B656))+ISNUMBER(SEARCH("lawyer",$B656))+ISNUMBER(SEARCH("broker",$B656))+ISNUMBER(SEARCH("bank",$B656))+ISNUMBER(SEARCH("charge",$B656))+ISNUMBER(SEARCH("permit",$B656))+ISNUMBER(SEARCH("bir",$B656))+ISNUMBER(SEARCH("ltfrb",$B656))+ISNUMBER(SEARCH("misc",$B656))+ISNUMBER(SEARCH("fee",$B656))&gt;0,"Overhead","Overhead")))))))</f>
        <v/>
      </c>
      <c r="J656">
        <f>IF($A656="","",DATE(YEAR($A656),MONTH($A656),1))</f>
        <v/>
      </c>
      <c r="K656">
        <f>IF($B656="","",IF(COUNTIF(Setup!$A$99:$A$128,$B656)&gt;0,0,1))</f>
        <v/>
      </c>
      <c r="L656">
        <f>IF($B656="","",IF(ISNUMBER(SEARCH("advance",$B656)),"ADV",IF(OR(ISNUMBER(SEARCH("payout",$B656)),ISNUMBER(SEARCH("pay out",$B656)),ISNUMBER(SEARCH("release",$B656))),"PAY","")))</f>
        <v/>
      </c>
      <c r="M656">
        <f>IF($B656="","",IF(ISNUMBER(SEARCH("bulk",$B656)),0,IF(ISNUMBER(SEARCH("fuel",$B656))+ISNUMBER(SEARCH("diesel",$B656))+ISNUMBER(SEARCH("krudo",$B656))+ISNUMBER(SEARCH("gasolina",$B656))&gt;0,1,0)))</f>
        <v/>
      </c>
      <c r="N656">
        <f>IF($B656="","",IF(ISNUMBER(SEARCH("fuel",$B656))+ISNUMBER(SEARCH("diesel",$B656))+ISNUMBER(SEARCH("krudo",$B656))+ISNUMBER(SEARCH("gasolina",$B656))&gt;0,1,0))</f>
        <v/>
      </c>
    </row>
    <row r="657">
      <c r="A657" s="86" t="n"/>
      <c r="B657" s="88" t="n"/>
      <c r="C657" s="88" t="n"/>
      <c r="D657" s="87" t="n"/>
      <c r="E657" s="88" t="n"/>
      <c r="F657" s="92" t="n"/>
      <c r="G657" s="87" t="n"/>
      <c r="H657" s="87" t="n"/>
      <c r="I657" s="101">
        <f>IF($B657="","",IF(COUNTIF(Setup!$A$99:$A$128,$B657)&gt;0,IF(INDEX(Setup!$B$99:$B$128,MATCH($B657,Setup!$A$99:$A$128,0))="","Overhead",INDEX(Setup!$B$99:$B$128,MATCH($B657,Setup!$A$99:$A$128,0))),IF(ISNUMBER(SEARCH("advance",$B657))+ISNUMBER(SEARCH("payout",$B657))+ISNUMBER(SEARCH("pay out",$B657))+ISNUMBER(SEARCH("reimburs",$B657))&gt;0,"Transfer",IF(ISNUMBER(SEARCH("loan",$B657))+ISNUMBER(SEARCH("amort",$B657))+ISNUMBER(SEARCH("installment",$B657))+ISNUMBER(SEARCH("instalment",$B657))&gt;0,"Financing",IF(ISNUMBER(SEARCH("draw",$B657))+ISNUMBER(SEARCH("owner",$B657))+ISNUMBER(SEARCH("asset",$B657))+ISNUMBER(SEARCH("capital",$B657))&gt;0,"Other",IF(ISNUMBER(SEARCH("fuel",$B657))+ISNUMBER(SEARCH("diesel",$B657))+ISNUMBER(SEARCH("krudo",$B657))+ISNUMBER(SEARCH("gasolina",$B657))+ISNUMBER(SEARCH("toll",$B657))+ISNUMBER(SEARCH("parking",$B657))+ISNUMBER(SEARCH("repair",$B657))+ISNUMBER(SEARCH("maintenance",$B657))+ISNUMBER(SEARCH("tire",$B657))+ISNUMBER(SEARCH("tyre",$B657))+ISNUMBER(SEARCH("battery",$B657))+ISNUMBER(SEARCH("oil",$B657))+ISNUMBER(SEARCH("filter",$B657))+ISNUMBER(SEARCH("spare",$B657))+ISNUMBER(SEARCH("insurance",$B657))+ISNUMBER(SEARCH("lto",$B657))+ISNUMBER(SEARCH("registration",$B657))+ISNUMBER(SEARCH("emission",$B657))+ISNUMBER(SEARCH("wash",$B657))+ISNUMBER(SEARCH("weigh",$B657))+ISNUMBER(SEARCH("tarp",$B657))&gt;0,"Vehicle",IF(ISNUMBER(SEARCH("rent",$B657))+ISNUMBER(SEARCH("upa",$B657))+ISNUMBER(SEARCH("salary",$B657))+ISNUMBER(SEARCH("sweldo",$B657))+ISNUMBER(SEARCH("wage",$B657))+ISNUMBER(SEARCH("electric",$B657))+ISNUMBER(SEARCH("kuryente",$B657))+ISNUMBER(SEARCH("water",$B657))+ISNUMBER(SEARCH("tubig",$B657))+ISNUMBER(SEARCH("internet",$B657))+ISNUMBER(SEARCH("pldt",$B657))+ISNUMBER(SEARCH("meralco",$B657))+ISNUMBER(SEARCH("supplies",$B657))+ISNUMBER(SEARCH("office",$B657))+ISNUMBER(SEARCH("professional",$B657))+ISNUMBER(SEARCH("accountant",$B657))+ISNUMBER(SEARCH("lawyer",$B657))+ISNUMBER(SEARCH("broker",$B657))+ISNUMBER(SEARCH("bank",$B657))+ISNUMBER(SEARCH("charge",$B657))+ISNUMBER(SEARCH("permit",$B657))+ISNUMBER(SEARCH("bir",$B657))+ISNUMBER(SEARCH("ltfrb",$B657))+ISNUMBER(SEARCH("misc",$B657))+ISNUMBER(SEARCH("fee",$B657))&gt;0,"Overhead","Overhead")))))))</f>
        <v/>
      </c>
      <c r="J657">
        <f>IF($A657="","",DATE(YEAR($A657),MONTH($A657),1))</f>
        <v/>
      </c>
      <c r="K657">
        <f>IF($B657="","",IF(COUNTIF(Setup!$A$99:$A$128,$B657)&gt;0,0,1))</f>
        <v/>
      </c>
      <c r="L657">
        <f>IF($B657="","",IF(ISNUMBER(SEARCH("advance",$B657)),"ADV",IF(OR(ISNUMBER(SEARCH("payout",$B657)),ISNUMBER(SEARCH("pay out",$B657)),ISNUMBER(SEARCH("release",$B657))),"PAY","")))</f>
        <v/>
      </c>
      <c r="M657">
        <f>IF($B657="","",IF(ISNUMBER(SEARCH("bulk",$B657)),0,IF(ISNUMBER(SEARCH("fuel",$B657))+ISNUMBER(SEARCH("diesel",$B657))+ISNUMBER(SEARCH("krudo",$B657))+ISNUMBER(SEARCH("gasolina",$B657))&gt;0,1,0)))</f>
        <v/>
      </c>
      <c r="N657">
        <f>IF($B657="","",IF(ISNUMBER(SEARCH("fuel",$B657))+ISNUMBER(SEARCH("diesel",$B657))+ISNUMBER(SEARCH("krudo",$B657))+ISNUMBER(SEARCH("gasolina",$B657))&gt;0,1,0))</f>
        <v/>
      </c>
    </row>
    <row r="658">
      <c r="A658" s="94" t="n"/>
      <c r="B658" s="96" t="n"/>
      <c r="C658" s="96" t="n"/>
      <c r="D658" s="95" t="n"/>
      <c r="E658" s="96" t="n"/>
      <c r="F658" s="99" t="n"/>
      <c r="G658" s="95" t="n"/>
      <c r="H658" s="95" t="n"/>
      <c r="I658" s="101">
        <f>IF($B658="","",IF(COUNTIF(Setup!$A$99:$A$128,$B658)&gt;0,IF(INDEX(Setup!$B$99:$B$128,MATCH($B658,Setup!$A$99:$A$128,0))="","Overhead",INDEX(Setup!$B$99:$B$128,MATCH($B658,Setup!$A$99:$A$128,0))),IF(ISNUMBER(SEARCH("advance",$B658))+ISNUMBER(SEARCH("payout",$B658))+ISNUMBER(SEARCH("pay out",$B658))+ISNUMBER(SEARCH("reimburs",$B658))&gt;0,"Transfer",IF(ISNUMBER(SEARCH("loan",$B658))+ISNUMBER(SEARCH("amort",$B658))+ISNUMBER(SEARCH("installment",$B658))+ISNUMBER(SEARCH("instalment",$B658))&gt;0,"Financing",IF(ISNUMBER(SEARCH("draw",$B658))+ISNUMBER(SEARCH("owner",$B658))+ISNUMBER(SEARCH("asset",$B658))+ISNUMBER(SEARCH("capital",$B658))&gt;0,"Other",IF(ISNUMBER(SEARCH("fuel",$B658))+ISNUMBER(SEARCH("diesel",$B658))+ISNUMBER(SEARCH("krudo",$B658))+ISNUMBER(SEARCH("gasolina",$B658))+ISNUMBER(SEARCH("toll",$B658))+ISNUMBER(SEARCH("parking",$B658))+ISNUMBER(SEARCH("repair",$B658))+ISNUMBER(SEARCH("maintenance",$B658))+ISNUMBER(SEARCH("tire",$B658))+ISNUMBER(SEARCH("tyre",$B658))+ISNUMBER(SEARCH("battery",$B658))+ISNUMBER(SEARCH("oil",$B658))+ISNUMBER(SEARCH("filter",$B658))+ISNUMBER(SEARCH("spare",$B658))+ISNUMBER(SEARCH("insurance",$B658))+ISNUMBER(SEARCH("lto",$B658))+ISNUMBER(SEARCH("registration",$B658))+ISNUMBER(SEARCH("emission",$B658))+ISNUMBER(SEARCH("wash",$B658))+ISNUMBER(SEARCH("weigh",$B658))+ISNUMBER(SEARCH("tarp",$B658))&gt;0,"Vehicle",IF(ISNUMBER(SEARCH("rent",$B658))+ISNUMBER(SEARCH("upa",$B658))+ISNUMBER(SEARCH("salary",$B658))+ISNUMBER(SEARCH("sweldo",$B658))+ISNUMBER(SEARCH("wage",$B658))+ISNUMBER(SEARCH("electric",$B658))+ISNUMBER(SEARCH("kuryente",$B658))+ISNUMBER(SEARCH("water",$B658))+ISNUMBER(SEARCH("tubig",$B658))+ISNUMBER(SEARCH("internet",$B658))+ISNUMBER(SEARCH("pldt",$B658))+ISNUMBER(SEARCH("meralco",$B658))+ISNUMBER(SEARCH("supplies",$B658))+ISNUMBER(SEARCH("office",$B658))+ISNUMBER(SEARCH("professional",$B658))+ISNUMBER(SEARCH("accountant",$B658))+ISNUMBER(SEARCH("lawyer",$B658))+ISNUMBER(SEARCH("broker",$B658))+ISNUMBER(SEARCH("bank",$B658))+ISNUMBER(SEARCH("charge",$B658))+ISNUMBER(SEARCH("permit",$B658))+ISNUMBER(SEARCH("bir",$B658))+ISNUMBER(SEARCH("ltfrb",$B658))+ISNUMBER(SEARCH("misc",$B658))+ISNUMBER(SEARCH("fee",$B658))&gt;0,"Overhead","Overhead")))))))</f>
        <v/>
      </c>
      <c r="J658">
        <f>IF($A658="","",DATE(YEAR($A658),MONTH($A658),1))</f>
        <v/>
      </c>
      <c r="K658">
        <f>IF($B658="","",IF(COUNTIF(Setup!$A$99:$A$128,$B658)&gt;0,0,1))</f>
        <v/>
      </c>
      <c r="L658">
        <f>IF($B658="","",IF(ISNUMBER(SEARCH("advance",$B658)),"ADV",IF(OR(ISNUMBER(SEARCH("payout",$B658)),ISNUMBER(SEARCH("pay out",$B658)),ISNUMBER(SEARCH("release",$B658))),"PAY","")))</f>
        <v/>
      </c>
      <c r="M658">
        <f>IF($B658="","",IF(ISNUMBER(SEARCH("bulk",$B658)),0,IF(ISNUMBER(SEARCH("fuel",$B658))+ISNUMBER(SEARCH("diesel",$B658))+ISNUMBER(SEARCH("krudo",$B658))+ISNUMBER(SEARCH("gasolina",$B658))&gt;0,1,0)))</f>
        <v/>
      </c>
      <c r="N658">
        <f>IF($B658="","",IF(ISNUMBER(SEARCH("fuel",$B658))+ISNUMBER(SEARCH("diesel",$B658))+ISNUMBER(SEARCH("krudo",$B658))+ISNUMBER(SEARCH("gasolina",$B658))&gt;0,1,0))</f>
        <v/>
      </c>
    </row>
    <row r="659">
      <c r="A659" s="86" t="n"/>
      <c r="B659" s="88" t="n"/>
      <c r="C659" s="88" t="n"/>
      <c r="D659" s="87" t="n"/>
      <c r="E659" s="88" t="n"/>
      <c r="F659" s="92" t="n"/>
      <c r="G659" s="87" t="n"/>
      <c r="H659" s="87" t="n"/>
      <c r="I659" s="101">
        <f>IF($B659="","",IF(COUNTIF(Setup!$A$99:$A$128,$B659)&gt;0,IF(INDEX(Setup!$B$99:$B$128,MATCH($B659,Setup!$A$99:$A$128,0))="","Overhead",INDEX(Setup!$B$99:$B$128,MATCH($B659,Setup!$A$99:$A$128,0))),IF(ISNUMBER(SEARCH("advance",$B659))+ISNUMBER(SEARCH("payout",$B659))+ISNUMBER(SEARCH("pay out",$B659))+ISNUMBER(SEARCH("reimburs",$B659))&gt;0,"Transfer",IF(ISNUMBER(SEARCH("loan",$B659))+ISNUMBER(SEARCH("amort",$B659))+ISNUMBER(SEARCH("installment",$B659))+ISNUMBER(SEARCH("instalment",$B659))&gt;0,"Financing",IF(ISNUMBER(SEARCH("draw",$B659))+ISNUMBER(SEARCH("owner",$B659))+ISNUMBER(SEARCH("asset",$B659))+ISNUMBER(SEARCH("capital",$B659))&gt;0,"Other",IF(ISNUMBER(SEARCH("fuel",$B659))+ISNUMBER(SEARCH("diesel",$B659))+ISNUMBER(SEARCH("krudo",$B659))+ISNUMBER(SEARCH("gasolina",$B659))+ISNUMBER(SEARCH("toll",$B659))+ISNUMBER(SEARCH("parking",$B659))+ISNUMBER(SEARCH("repair",$B659))+ISNUMBER(SEARCH("maintenance",$B659))+ISNUMBER(SEARCH("tire",$B659))+ISNUMBER(SEARCH("tyre",$B659))+ISNUMBER(SEARCH("battery",$B659))+ISNUMBER(SEARCH("oil",$B659))+ISNUMBER(SEARCH("filter",$B659))+ISNUMBER(SEARCH("spare",$B659))+ISNUMBER(SEARCH("insurance",$B659))+ISNUMBER(SEARCH("lto",$B659))+ISNUMBER(SEARCH("registration",$B659))+ISNUMBER(SEARCH("emission",$B659))+ISNUMBER(SEARCH("wash",$B659))+ISNUMBER(SEARCH("weigh",$B659))+ISNUMBER(SEARCH("tarp",$B659))&gt;0,"Vehicle",IF(ISNUMBER(SEARCH("rent",$B659))+ISNUMBER(SEARCH("upa",$B659))+ISNUMBER(SEARCH("salary",$B659))+ISNUMBER(SEARCH("sweldo",$B659))+ISNUMBER(SEARCH("wage",$B659))+ISNUMBER(SEARCH("electric",$B659))+ISNUMBER(SEARCH("kuryente",$B659))+ISNUMBER(SEARCH("water",$B659))+ISNUMBER(SEARCH("tubig",$B659))+ISNUMBER(SEARCH("internet",$B659))+ISNUMBER(SEARCH("pldt",$B659))+ISNUMBER(SEARCH("meralco",$B659))+ISNUMBER(SEARCH("supplies",$B659))+ISNUMBER(SEARCH("office",$B659))+ISNUMBER(SEARCH("professional",$B659))+ISNUMBER(SEARCH("accountant",$B659))+ISNUMBER(SEARCH("lawyer",$B659))+ISNUMBER(SEARCH("broker",$B659))+ISNUMBER(SEARCH("bank",$B659))+ISNUMBER(SEARCH("charge",$B659))+ISNUMBER(SEARCH("permit",$B659))+ISNUMBER(SEARCH("bir",$B659))+ISNUMBER(SEARCH("ltfrb",$B659))+ISNUMBER(SEARCH("misc",$B659))+ISNUMBER(SEARCH("fee",$B659))&gt;0,"Overhead","Overhead")))))))</f>
        <v/>
      </c>
      <c r="J659">
        <f>IF($A659="","",DATE(YEAR($A659),MONTH($A659),1))</f>
        <v/>
      </c>
      <c r="K659">
        <f>IF($B659="","",IF(COUNTIF(Setup!$A$99:$A$128,$B659)&gt;0,0,1))</f>
        <v/>
      </c>
      <c r="L659">
        <f>IF($B659="","",IF(ISNUMBER(SEARCH("advance",$B659)),"ADV",IF(OR(ISNUMBER(SEARCH("payout",$B659)),ISNUMBER(SEARCH("pay out",$B659)),ISNUMBER(SEARCH("release",$B659))),"PAY","")))</f>
        <v/>
      </c>
      <c r="M659">
        <f>IF($B659="","",IF(ISNUMBER(SEARCH("bulk",$B659)),0,IF(ISNUMBER(SEARCH("fuel",$B659))+ISNUMBER(SEARCH("diesel",$B659))+ISNUMBER(SEARCH("krudo",$B659))+ISNUMBER(SEARCH("gasolina",$B659))&gt;0,1,0)))</f>
        <v/>
      </c>
      <c r="N659">
        <f>IF($B659="","",IF(ISNUMBER(SEARCH("fuel",$B659))+ISNUMBER(SEARCH("diesel",$B659))+ISNUMBER(SEARCH("krudo",$B659))+ISNUMBER(SEARCH("gasolina",$B659))&gt;0,1,0))</f>
        <v/>
      </c>
    </row>
    <row r="660">
      <c r="A660" s="94" t="n"/>
      <c r="B660" s="96" t="n"/>
      <c r="C660" s="96" t="n"/>
      <c r="D660" s="95" t="n"/>
      <c r="E660" s="96" t="n"/>
      <c r="F660" s="99" t="n"/>
      <c r="G660" s="95" t="n"/>
      <c r="H660" s="95" t="n"/>
      <c r="I660" s="101">
        <f>IF($B660="","",IF(COUNTIF(Setup!$A$99:$A$128,$B660)&gt;0,IF(INDEX(Setup!$B$99:$B$128,MATCH($B660,Setup!$A$99:$A$128,0))="","Overhead",INDEX(Setup!$B$99:$B$128,MATCH($B660,Setup!$A$99:$A$128,0))),IF(ISNUMBER(SEARCH("advance",$B660))+ISNUMBER(SEARCH("payout",$B660))+ISNUMBER(SEARCH("pay out",$B660))+ISNUMBER(SEARCH("reimburs",$B660))&gt;0,"Transfer",IF(ISNUMBER(SEARCH("loan",$B660))+ISNUMBER(SEARCH("amort",$B660))+ISNUMBER(SEARCH("installment",$B660))+ISNUMBER(SEARCH("instalment",$B660))&gt;0,"Financing",IF(ISNUMBER(SEARCH("draw",$B660))+ISNUMBER(SEARCH("owner",$B660))+ISNUMBER(SEARCH("asset",$B660))+ISNUMBER(SEARCH("capital",$B660))&gt;0,"Other",IF(ISNUMBER(SEARCH("fuel",$B660))+ISNUMBER(SEARCH("diesel",$B660))+ISNUMBER(SEARCH("krudo",$B660))+ISNUMBER(SEARCH("gasolina",$B660))+ISNUMBER(SEARCH("toll",$B660))+ISNUMBER(SEARCH("parking",$B660))+ISNUMBER(SEARCH("repair",$B660))+ISNUMBER(SEARCH("maintenance",$B660))+ISNUMBER(SEARCH("tire",$B660))+ISNUMBER(SEARCH("tyre",$B660))+ISNUMBER(SEARCH("battery",$B660))+ISNUMBER(SEARCH("oil",$B660))+ISNUMBER(SEARCH("filter",$B660))+ISNUMBER(SEARCH("spare",$B660))+ISNUMBER(SEARCH("insurance",$B660))+ISNUMBER(SEARCH("lto",$B660))+ISNUMBER(SEARCH("registration",$B660))+ISNUMBER(SEARCH("emission",$B660))+ISNUMBER(SEARCH("wash",$B660))+ISNUMBER(SEARCH("weigh",$B660))+ISNUMBER(SEARCH("tarp",$B660))&gt;0,"Vehicle",IF(ISNUMBER(SEARCH("rent",$B660))+ISNUMBER(SEARCH("upa",$B660))+ISNUMBER(SEARCH("salary",$B660))+ISNUMBER(SEARCH("sweldo",$B660))+ISNUMBER(SEARCH("wage",$B660))+ISNUMBER(SEARCH("electric",$B660))+ISNUMBER(SEARCH("kuryente",$B660))+ISNUMBER(SEARCH("water",$B660))+ISNUMBER(SEARCH("tubig",$B660))+ISNUMBER(SEARCH("internet",$B660))+ISNUMBER(SEARCH("pldt",$B660))+ISNUMBER(SEARCH("meralco",$B660))+ISNUMBER(SEARCH("supplies",$B660))+ISNUMBER(SEARCH("office",$B660))+ISNUMBER(SEARCH("professional",$B660))+ISNUMBER(SEARCH("accountant",$B660))+ISNUMBER(SEARCH("lawyer",$B660))+ISNUMBER(SEARCH("broker",$B660))+ISNUMBER(SEARCH("bank",$B660))+ISNUMBER(SEARCH("charge",$B660))+ISNUMBER(SEARCH("permit",$B660))+ISNUMBER(SEARCH("bir",$B660))+ISNUMBER(SEARCH("ltfrb",$B660))+ISNUMBER(SEARCH("misc",$B660))+ISNUMBER(SEARCH("fee",$B660))&gt;0,"Overhead","Overhead")))))))</f>
        <v/>
      </c>
      <c r="J660">
        <f>IF($A660="","",DATE(YEAR($A660),MONTH($A660),1))</f>
        <v/>
      </c>
      <c r="K660">
        <f>IF($B660="","",IF(COUNTIF(Setup!$A$99:$A$128,$B660)&gt;0,0,1))</f>
        <v/>
      </c>
      <c r="L660">
        <f>IF($B660="","",IF(ISNUMBER(SEARCH("advance",$B660)),"ADV",IF(OR(ISNUMBER(SEARCH("payout",$B660)),ISNUMBER(SEARCH("pay out",$B660)),ISNUMBER(SEARCH("release",$B660))),"PAY","")))</f>
        <v/>
      </c>
      <c r="M660">
        <f>IF($B660="","",IF(ISNUMBER(SEARCH("bulk",$B660)),0,IF(ISNUMBER(SEARCH("fuel",$B660))+ISNUMBER(SEARCH("diesel",$B660))+ISNUMBER(SEARCH("krudo",$B660))+ISNUMBER(SEARCH("gasolina",$B660))&gt;0,1,0)))</f>
        <v/>
      </c>
      <c r="N660">
        <f>IF($B660="","",IF(ISNUMBER(SEARCH("fuel",$B660))+ISNUMBER(SEARCH("diesel",$B660))+ISNUMBER(SEARCH("krudo",$B660))+ISNUMBER(SEARCH("gasolina",$B660))&gt;0,1,0))</f>
        <v/>
      </c>
    </row>
    <row r="661">
      <c r="A661" s="86" t="n"/>
      <c r="B661" s="88" t="n"/>
      <c r="C661" s="88" t="n"/>
      <c r="D661" s="87" t="n"/>
      <c r="E661" s="88" t="n"/>
      <c r="F661" s="92" t="n"/>
      <c r="G661" s="87" t="n"/>
      <c r="H661" s="87" t="n"/>
      <c r="I661" s="101">
        <f>IF($B661="","",IF(COUNTIF(Setup!$A$99:$A$128,$B661)&gt;0,IF(INDEX(Setup!$B$99:$B$128,MATCH($B661,Setup!$A$99:$A$128,0))="","Overhead",INDEX(Setup!$B$99:$B$128,MATCH($B661,Setup!$A$99:$A$128,0))),IF(ISNUMBER(SEARCH("advance",$B661))+ISNUMBER(SEARCH("payout",$B661))+ISNUMBER(SEARCH("pay out",$B661))+ISNUMBER(SEARCH("reimburs",$B661))&gt;0,"Transfer",IF(ISNUMBER(SEARCH("loan",$B661))+ISNUMBER(SEARCH("amort",$B661))+ISNUMBER(SEARCH("installment",$B661))+ISNUMBER(SEARCH("instalment",$B661))&gt;0,"Financing",IF(ISNUMBER(SEARCH("draw",$B661))+ISNUMBER(SEARCH("owner",$B661))+ISNUMBER(SEARCH("asset",$B661))+ISNUMBER(SEARCH("capital",$B661))&gt;0,"Other",IF(ISNUMBER(SEARCH("fuel",$B661))+ISNUMBER(SEARCH("diesel",$B661))+ISNUMBER(SEARCH("krudo",$B661))+ISNUMBER(SEARCH("gasolina",$B661))+ISNUMBER(SEARCH("toll",$B661))+ISNUMBER(SEARCH("parking",$B661))+ISNUMBER(SEARCH("repair",$B661))+ISNUMBER(SEARCH("maintenance",$B661))+ISNUMBER(SEARCH("tire",$B661))+ISNUMBER(SEARCH("tyre",$B661))+ISNUMBER(SEARCH("battery",$B661))+ISNUMBER(SEARCH("oil",$B661))+ISNUMBER(SEARCH("filter",$B661))+ISNUMBER(SEARCH("spare",$B661))+ISNUMBER(SEARCH("insurance",$B661))+ISNUMBER(SEARCH("lto",$B661))+ISNUMBER(SEARCH("registration",$B661))+ISNUMBER(SEARCH("emission",$B661))+ISNUMBER(SEARCH("wash",$B661))+ISNUMBER(SEARCH("weigh",$B661))+ISNUMBER(SEARCH("tarp",$B661))&gt;0,"Vehicle",IF(ISNUMBER(SEARCH("rent",$B661))+ISNUMBER(SEARCH("upa",$B661))+ISNUMBER(SEARCH("salary",$B661))+ISNUMBER(SEARCH("sweldo",$B661))+ISNUMBER(SEARCH("wage",$B661))+ISNUMBER(SEARCH("electric",$B661))+ISNUMBER(SEARCH("kuryente",$B661))+ISNUMBER(SEARCH("water",$B661))+ISNUMBER(SEARCH("tubig",$B661))+ISNUMBER(SEARCH("internet",$B661))+ISNUMBER(SEARCH("pldt",$B661))+ISNUMBER(SEARCH("meralco",$B661))+ISNUMBER(SEARCH("supplies",$B661))+ISNUMBER(SEARCH("office",$B661))+ISNUMBER(SEARCH("professional",$B661))+ISNUMBER(SEARCH("accountant",$B661))+ISNUMBER(SEARCH("lawyer",$B661))+ISNUMBER(SEARCH("broker",$B661))+ISNUMBER(SEARCH("bank",$B661))+ISNUMBER(SEARCH("charge",$B661))+ISNUMBER(SEARCH("permit",$B661))+ISNUMBER(SEARCH("bir",$B661))+ISNUMBER(SEARCH("ltfrb",$B661))+ISNUMBER(SEARCH("misc",$B661))+ISNUMBER(SEARCH("fee",$B661))&gt;0,"Overhead","Overhead")))))))</f>
        <v/>
      </c>
      <c r="J661">
        <f>IF($A661="","",DATE(YEAR($A661),MONTH($A661),1))</f>
        <v/>
      </c>
      <c r="K661">
        <f>IF($B661="","",IF(COUNTIF(Setup!$A$99:$A$128,$B661)&gt;0,0,1))</f>
        <v/>
      </c>
      <c r="L661">
        <f>IF($B661="","",IF(ISNUMBER(SEARCH("advance",$B661)),"ADV",IF(OR(ISNUMBER(SEARCH("payout",$B661)),ISNUMBER(SEARCH("pay out",$B661)),ISNUMBER(SEARCH("release",$B661))),"PAY","")))</f>
        <v/>
      </c>
      <c r="M661">
        <f>IF($B661="","",IF(ISNUMBER(SEARCH("bulk",$B661)),0,IF(ISNUMBER(SEARCH("fuel",$B661))+ISNUMBER(SEARCH("diesel",$B661))+ISNUMBER(SEARCH("krudo",$B661))+ISNUMBER(SEARCH("gasolina",$B661))&gt;0,1,0)))</f>
        <v/>
      </c>
      <c r="N661">
        <f>IF($B661="","",IF(ISNUMBER(SEARCH("fuel",$B661))+ISNUMBER(SEARCH("diesel",$B661))+ISNUMBER(SEARCH("krudo",$B661))+ISNUMBER(SEARCH("gasolina",$B661))&gt;0,1,0))</f>
        <v/>
      </c>
    </row>
    <row r="662">
      <c r="A662" s="94" t="n"/>
      <c r="B662" s="96" t="n"/>
      <c r="C662" s="96" t="n"/>
      <c r="D662" s="95" t="n"/>
      <c r="E662" s="96" t="n"/>
      <c r="F662" s="99" t="n"/>
      <c r="G662" s="95" t="n"/>
      <c r="H662" s="95" t="n"/>
      <c r="I662" s="101">
        <f>IF($B662="","",IF(COUNTIF(Setup!$A$99:$A$128,$B662)&gt;0,IF(INDEX(Setup!$B$99:$B$128,MATCH($B662,Setup!$A$99:$A$128,0))="","Overhead",INDEX(Setup!$B$99:$B$128,MATCH($B662,Setup!$A$99:$A$128,0))),IF(ISNUMBER(SEARCH("advance",$B662))+ISNUMBER(SEARCH("payout",$B662))+ISNUMBER(SEARCH("pay out",$B662))+ISNUMBER(SEARCH("reimburs",$B662))&gt;0,"Transfer",IF(ISNUMBER(SEARCH("loan",$B662))+ISNUMBER(SEARCH("amort",$B662))+ISNUMBER(SEARCH("installment",$B662))+ISNUMBER(SEARCH("instalment",$B662))&gt;0,"Financing",IF(ISNUMBER(SEARCH("draw",$B662))+ISNUMBER(SEARCH("owner",$B662))+ISNUMBER(SEARCH("asset",$B662))+ISNUMBER(SEARCH("capital",$B662))&gt;0,"Other",IF(ISNUMBER(SEARCH("fuel",$B662))+ISNUMBER(SEARCH("diesel",$B662))+ISNUMBER(SEARCH("krudo",$B662))+ISNUMBER(SEARCH("gasolina",$B662))+ISNUMBER(SEARCH("toll",$B662))+ISNUMBER(SEARCH("parking",$B662))+ISNUMBER(SEARCH("repair",$B662))+ISNUMBER(SEARCH("maintenance",$B662))+ISNUMBER(SEARCH("tire",$B662))+ISNUMBER(SEARCH("tyre",$B662))+ISNUMBER(SEARCH("battery",$B662))+ISNUMBER(SEARCH("oil",$B662))+ISNUMBER(SEARCH("filter",$B662))+ISNUMBER(SEARCH("spare",$B662))+ISNUMBER(SEARCH("insurance",$B662))+ISNUMBER(SEARCH("lto",$B662))+ISNUMBER(SEARCH("registration",$B662))+ISNUMBER(SEARCH("emission",$B662))+ISNUMBER(SEARCH("wash",$B662))+ISNUMBER(SEARCH("weigh",$B662))+ISNUMBER(SEARCH("tarp",$B662))&gt;0,"Vehicle",IF(ISNUMBER(SEARCH("rent",$B662))+ISNUMBER(SEARCH("upa",$B662))+ISNUMBER(SEARCH("salary",$B662))+ISNUMBER(SEARCH("sweldo",$B662))+ISNUMBER(SEARCH("wage",$B662))+ISNUMBER(SEARCH("electric",$B662))+ISNUMBER(SEARCH("kuryente",$B662))+ISNUMBER(SEARCH("water",$B662))+ISNUMBER(SEARCH("tubig",$B662))+ISNUMBER(SEARCH("internet",$B662))+ISNUMBER(SEARCH("pldt",$B662))+ISNUMBER(SEARCH("meralco",$B662))+ISNUMBER(SEARCH("supplies",$B662))+ISNUMBER(SEARCH("office",$B662))+ISNUMBER(SEARCH("professional",$B662))+ISNUMBER(SEARCH("accountant",$B662))+ISNUMBER(SEARCH("lawyer",$B662))+ISNUMBER(SEARCH("broker",$B662))+ISNUMBER(SEARCH("bank",$B662))+ISNUMBER(SEARCH("charge",$B662))+ISNUMBER(SEARCH("permit",$B662))+ISNUMBER(SEARCH("bir",$B662))+ISNUMBER(SEARCH("ltfrb",$B662))+ISNUMBER(SEARCH("misc",$B662))+ISNUMBER(SEARCH("fee",$B662))&gt;0,"Overhead","Overhead")))))))</f>
        <v/>
      </c>
      <c r="J662">
        <f>IF($A662="","",DATE(YEAR($A662),MONTH($A662),1))</f>
        <v/>
      </c>
      <c r="K662">
        <f>IF($B662="","",IF(COUNTIF(Setup!$A$99:$A$128,$B662)&gt;0,0,1))</f>
        <v/>
      </c>
      <c r="L662">
        <f>IF($B662="","",IF(ISNUMBER(SEARCH("advance",$B662)),"ADV",IF(OR(ISNUMBER(SEARCH("payout",$B662)),ISNUMBER(SEARCH("pay out",$B662)),ISNUMBER(SEARCH("release",$B662))),"PAY","")))</f>
        <v/>
      </c>
      <c r="M662">
        <f>IF($B662="","",IF(ISNUMBER(SEARCH("bulk",$B662)),0,IF(ISNUMBER(SEARCH("fuel",$B662))+ISNUMBER(SEARCH("diesel",$B662))+ISNUMBER(SEARCH("krudo",$B662))+ISNUMBER(SEARCH("gasolina",$B662))&gt;0,1,0)))</f>
        <v/>
      </c>
      <c r="N662">
        <f>IF($B662="","",IF(ISNUMBER(SEARCH("fuel",$B662))+ISNUMBER(SEARCH("diesel",$B662))+ISNUMBER(SEARCH("krudo",$B662))+ISNUMBER(SEARCH("gasolina",$B662))&gt;0,1,0))</f>
        <v/>
      </c>
    </row>
    <row r="663">
      <c r="A663" s="86" t="n"/>
      <c r="B663" s="88" t="n"/>
      <c r="C663" s="88" t="n"/>
      <c r="D663" s="87" t="n"/>
      <c r="E663" s="88" t="n"/>
      <c r="F663" s="92" t="n"/>
      <c r="G663" s="87" t="n"/>
      <c r="H663" s="87" t="n"/>
      <c r="I663" s="101">
        <f>IF($B663="","",IF(COUNTIF(Setup!$A$99:$A$128,$B663)&gt;0,IF(INDEX(Setup!$B$99:$B$128,MATCH($B663,Setup!$A$99:$A$128,0))="","Overhead",INDEX(Setup!$B$99:$B$128,MATCH($B663,Setup!$A$99:$A$128,0))),IF(ISNUMBER(SEARCH("advance",$B663))+ISNUMBER(SEARCH("payout",$B663))+ISNUMBER(SEARCH("pay out",$B663))+ISNUMBER(SEARCH("reimburs",$B663))&gt;0,"Transfer",IF(ISNUMBER(SEARCH("loan",$B663))+ISNUMBER(SEARCH("amort",$B663))+ISNUMBER(SEARCH("installment",$B663))+ISNUMBER(SEARCH("instalment",$B663))&gt;0,"Financing",IF(ISNUMBER(SEARCH("draw",$B663))+ISNUMBER(SEARCH("owner",$B663))+ISNUMBER(SEARCH("asset",$B663))+ISNUMBER(SEARCH("capital",$B663))&gt;0,"Other",IF(ISNUMBER(SEARCH("fuel",$B663))+ISNUMBER(SEARCH("diesel",$B663))+ISNUMBER(SEARCH("krudo",$B663))+ISNUMBER(SEARCH("gasolina",$B663))+ISNUMBER(SEARCH("toll",$B663))+ISNUMBER(SEARCH("parking",$B663))+ISNUMBER(SEARCH("repair",$B663))+ISNUMBER(SEARCH("maintenance",$B663))+ISNUMBER(SEARCH("tire",$B663))+ISNUMBER(SEARCH("tyre",$B663))+ISNUMBER(SEARCH("battery",$B663))+ISNUMBER(SEARCH("oil",$B663))+ISNUMBER(SEARCH("filter",$B663))+ISNUMBER(SEARCH("spare",$B663))+ISNUMBER(SEARCH("insurance",$B663))+ISNUMBER(SEARCH("lto",$B663))+ISNUMBER(SEARCH("registration",$B663))+ISNUMBER(SEARCH("emission",$B663))+ISNUMBER(SEARCH("wash",$B663))+ISNUMBER(SEARCH("weigh",$B663))+ISNUMBER(SEARCH("tarp",$B663))&gt;0,"Vehicle",IF(ISNUMBER(SEARCH("rent",$B663))+ISNUMBER(SEARCH("upa",$B663))+ISNUMBER(SEARCH("salary",$B663))+ISNUMBER(SEARCH("sweldo",$B663))+ISNUMBER(SEARCH("wage",$B663))+ISNUMBER(SEARCH("electric",$B663))+ISNUMBER(SEARCH("kuryente",$B663))+ISNUMBER(SEARCH("water",$B663))+ISNUMBER(SEARCH("tubig",$B663))+ISNUMBER(SEARCH("internet",$B663))+ISNUMBER(SEARCH("pldt",$B663))+ISNUMBER(SEARCH("meralco",$B663))+ISNUMBER(SEARCH("supplies",$B663))+ISNUMBER(SEARCH("office",$B663))+ISNUMBER(SEARCH("professional",$B663))+ISNUMBER(SEARCH("accountant",$B663))+ISNUMBER(SEARCH("lawyer",$B663))+ISNUMBER(SEARCH("broker",$B663))+ISNUMBER(SEARCH("bank",$B663))+ISNUMBER(SEARCH("charge",$B663))+ISNUMBER(SEARCH("permit",$B663))+ISNUMBER(SEARCH("bir",$B663))+ISNUMBER(SEARCH("ltfrb",$B663))+ISNUMBER(SEARCH("misc",$B663))+ISNUMBER(SEARCH("fee",$B663))&gt;0,"Overhead","Overhead")))))))</f>
        <v/>
      </c>
      <c r="J663">
        <f>IF($A663="","",DATE(YEAR($A663),MONTH($A663),1))</f>
        <v/>
      </c>
      <c r="K663">
        <f>IF($B663="","",IF(COUNTIF(Setup!$A$99:$A$128,$B663)&gt;0,0,1))</f>
        <v/>
      </c>
      <c r="L663">
        <f>IF($B663="","",IF(ISNUMBER(SEARCH("advance",$B663)),"ADV",IF(OR(ISNUMBER(SEARCH("payout",$B663)),ISNUMBER(SEARCH("pay out",$B663)),ISNUMBER(SEARCH("release",$B663))),"PAY","")))</f>
        <v/>
      </c>
      <c r="M663">
        <f>IF($B663="","",IF(ISNUMBER(SEARCH("bulk",$B663)),0,IF(ISNUMBER(SEARCH("fuel",$B663))+ISNUMBER(SEARCH("diesel",$B663))+ISNUMBER(SEARCH("krudo",$B663))+ISNUMBER(SEARCH("gasolina",$B663))&gt;0,1,0)))</f>
        <v/>
      </c>
      <c r="N663">
        <f>IF($B663="","",IF(ISNUMBER(SEARCH("fuel",$B663))+ISNUMBER(SEARCH("diesel",$B663))+ISNUMBER(SEARCH("krudo",$B663))+ISNUMBER(SEARCH("gasolina",$B663))&gt;0,1,0))</f>
        <v/>
      </c>
    </row>
    <row r="664">
      <c r="A664" s="94" t="n"/>
      <c r="B664" s="96" t="n"/>
      <c r="C664" s="96" t="n"/>
      <c r="D664" s="95" t="n"/>
      <c r="E664" s="96" t="n"/>
      <c r="F664" s="99" t="n"/>
      <c r="G664" s="95" t="n"/>
      <c r="H664" s="95" t="n"/>
      <c r="I664" s="101">
        <f>IF($B664="","",IF(COUNTIF(Setup!$A$99:$A$128,$B664)&gt;0,IF(INDEX(Setup!$B$99:$B$128,MATCH($B664,Setup!$A$99:$A$128,0))="","Overhead",INDEX(Setup!$B$99:$B$128,MATCH($B664,Setup!$A$99:$A$128,0))),IF(ISNUMBER(SEARCH("advance",$B664))+ISNUMBER(SEARCH("payout",$B664))+ISNUMBER(SEARCH("pay out",$B664))+ISNUMBER(SEARCH("reimburs",$B664))&gt;0,"Transfer",IF(ISNUMBER(SEARCH("loan",$B664))+ISNUMBER(SEARCH("amort",$B664))+ISNUMBER(SEARCH("installment",$B664))+ISNUMBER(SEARCH("instalment",$B664))&gt;0,"Financing",IF(ISNUMBER(SEARCH("draw",$B664))+ISNUMBER(SEARCH("owner",$B664))+ISNUMBER(SEARCH("asset",$B664))+ISNUMBER(SEARCH("capital",$B664))&gt;0,"Other",IF(ISNUMBER(SEARCH("fuel",$B664))+ISNUMBER(SEARCH("diesel",$B664))+ISNUMBER(SEARCH("krudo",$B664))+ISNUMBER(SEARCH("gasolina",$B664))+ISNUMBER(SEARCH("toll",$B664))+ISNUMBER(SEARCH("parking",$B664))+ISNUMBER(SEARCH("repair",$B664))+ISNUMBER(SEARCH("maintenance",$B664))+ISNUMBER(SEARCH("tire",$B664))+ISNUMBER(SEARCH("tyre",$B664))+ISNUMBER(SEARCH("battery",$B664))+ISNUMBER(SEARCH("oil",$B664))+ISNUMBER(SEARCH("filter",$B664))+ISNUMBER(SEARCH("spare",$B664))+ISNUMBER(SEARCH("insurance",$B664))+ISNUMBER(SEARCH("lto",$B664))+ISNUMBER(SEARCH("registration",$B664))+ISNUMBER(SEARCH("emission",$B664))+ISNUMBER(SEARCH("wash",$B664))+ISNUMBER(SEARCH("weigh",$B664))+ISNUMBER(SEARCH("tarp",$B664))&gt;0,"Vehicle",IF(ISNUMBER(SEARCH("rent",$B664))+ISNUMBER(SEARCH("upa",$B664))+ISNUMBER(SEARCH("salary",$B664))+ISNUMBER(SEARCH("sweldo",$B664))+ISNUMBER(SEARCH("wage",$B664))+ISNUMBER(SEARCH("electric",$B664))+ISNUMBER(SEARCH("kuryente",$B664))+ISNUMBER(SEARCH("water",$B664))+ISNUMBER(SEARCH("tubig",$B664))+ISNUMBER(SEARCH("internet",$B664))+ISNUMBER(SEARCH("pldt",$B664))+ISNUMBER(SEARCH("meralco",$B664))+ISNUMBER(SEARCH("supplies",$B664))+ISNUMBER(SEARCH("office",$B664))+ISNUMBER(SEARCH("professional",$B664))+ISNUMBER(SEARCH("accountant",$B664))+ISNUMBER(SEARCH("lawyer",$B664))+ISNUMBER(SEARCH("broker",$B664))+ISNUMBER(SEARCH("bank",$B664))+ISNUMBER(SEARCH("charge",$B664))+ISNUMBER(SEARCH("permit",$B664))+ISNUMBER(SEARCH("bir",$B664))+ISNUMBER(SEARCH("ltfrb",$B664))+ISNUMBER(SEARCH("misc",$B664))+ISNUMBER(SEARCH("fee",$B664))&gt;0,"Overhead","Overhead")))))))</f>
        <v/>
      </c>
      <c r="J664">
        <f>IF($A664="","",DATE(YEAR($A664),MONTH($A664),1))</f>
        <v/>
      </c>
      <c r="K664">
        <f>IF($B664="","",IF(COUNTIF(Setup!$A$99:$A$128,$B664)&gt;0,0,1))</f>
        <v/>
      </c>
      <c r="L664">
        <f>IF($B664="","",IF(ISNUMBER(SEARCH("advance",$B664)),"ADV",IF(OR(ISNUMBER(SEARCH("payout",$B664)),ISNUMBER(SEARCH("pay out",$B664)),ISNUMBER(SEARCH("release",$B664))),"PAY","")))</f>
        <v/>
      </c>
      <c r="M664">
        <f>IF($B664="","",IF(ISNUMBER(SEARCH("bulk",$B664)),0,IF(ISNUMBER(SEARCH("fuel",$B664))+ISNUMBER(SEARCH("diesel",$B664))+ISNUMBER(SEARCH("krudo",$B664))+ISNUMBER(SEARCH("gasolina",$B664))&gt;0,1,0)))</f>
        <v/>
      </c>
      <c r="N664">
        <f>IF($B664="","",IF(ISNUMBER(SEARCH("fuel",$B664))+ISNUMBER(SEARCH("diesel",$B664))+ISNUMBER(SEARCH("krudo",$B664))+ISNUMBER(SEARCH("gasolina",$B664))&gt;0,1,0))</f>
        <v/>
      </c>
    </row>
    <row r="665">
      <c r="A665" s="86" t="n"/>
      <c r="B665" s="88" t="n"/>
      <c r="C665" s="88" t="n"/>
      <c r="D665" s="87" t="n"/>
      <c r="E665" s="88" t="n"/>
      <c r="F665" s="92" t="n"/>
      <c r="G665" s="87" t="n"/>
      <c r="H665" s="87" t="n"/>
      <c r="I665" s="101">
        <f>IF($B665="","",IF(COUNTIF(Setup!$A$99:$A$128,$B665)&gt;0,IF(INDEX(Setup!$B$99:$B$128,MATCH($B665,Setup!$A$99:$A$128,0))="","Overhead",INDEX(Setup!$B$99:$B$128,MATCH($B665,Setup!$A$99:$A$128,0))),IF(ISNUMBER(SEARCH("advance",$B665))+ISNUMBER(SEARCH("payout",$B665))+ISNUMBER(SEARCH("pay out",$B665))+ISNUMBER(SEARCH("reimburs",$B665))&gt;0,"Transfer",IF(ISNUMBER(SEARCH("loan",$B665))+ISNUMBER(SEARCH("amort",$B665))+ISNUMBER(SEARCH("installment",$B665))+ISNUMBER(SEARCH("instalment",$B665))&gt;0,"Financing",IF(ISNUMBER(SEARCH("draw",$B665))+ISNUMBER(SEARCH("owner",$B665))+ISNUMBER(SEARCH("asset",$B665))+ISNUMBER(SEARCH("capital",$B665))&gt;0,"Other",IF(ISNUMBER(SEARCH("fuel",$B665))+ISNUMBER(SEARCH("diesel",$B665))+ISNUMBER(SEARCH("krudo",$B665))+ISNUMBER(SEARCH("gasolina",$B665))+ISNUMBER(SEARCH("toll",$B665))+ISNUMBER(SEARCH("parking",$B665))+ISNUMBER(SEARCH("repair",$B665))+ISNUMBER(SEARCH("maintenance",$B665))+ISNUMBER(SEARCH("tire",$B665))+ISNUMBER(SEARCH("tyre",$B665))+ISNUMBER(SEARCH("battery",$B665))+ISNUMBER(SEARCH("oil",$B665))+ISNUMBER(SEARCH("filter",$B665))+ISNUMBER(SEARCH("spare",$B665))+ISNUMBER(SEARCH("insurance",$B665))+ISNUMBER(SEARCH("lto",$B665))+ISNUMBER(SEARCH("registration",$B665))+ISNUMBER(SEARCH("emission",$B665))+ISNUMBER(SEARCH("wash",$B665))+ISNUMBER(SEARCH("weigh",$B665))+ISNUMBER(SEARCH("tarp",$B665))&gt;0,"Vehicle",IF(ISNUMBER(SEARCH("rent",$B665))+ISNUMBER(SEARCH("upa",$B665))+ISNUMBER(SEARCH("salary",$B665))+ISNUMBER(SEARCH("sweldo",$B665))+ISNUMBER(SEARCH("wage",$B665))+ISNUMBER(SEARCH("electric",$B665))+ISNUMBER(SEARCH("kuryente",$B665))+ISNUMBER(SEARCH("water",$B665))+ISNUMBER(SEARCH("tubig",$B665))+ISNUMBER(SEARCH("internet",$B665))+ISNUMBER(SEARCH("pldt",$B665))+ISNUMBER(SEARCH("meralco",$B665))+ISNUMBER(SEARCH("supplies",$B665))+ISNUMBER(SEARCH("office",$B665))+ISNUMBER(SEARCH("professional",$B665))+ISNUMBER(SEARCH("accountant",$B665))+ISNUMBER(SEARCH("lawyer",$B665))+ISNUMBER(SEARCH("broker",$B665))+ISNUMBER(SEARCH("bank",$B665))+ISNUMBER(SEARCH("charge",$B665))+ISNUMBER(SEARCH("permit",$B665))+ISNUMBER(SEARCH("bir",$B665))+ISNUMBER(SEARCH("ltfrb",$B665))+ISNUMBER(SEARCH("misc",$B665))+ISNUMBER(SEARCH("fee",$B665))&gt;0,"Overhead","Overhead")))))))</f>
        <v/>
      </c>
      <c r="J665">
        <f>IF($A665="","",DATE(YEAR($A665),MONTH($A665),1))</f>
        <v/>
      </c>
      <c r="K665">
        <f>IF($B665="","",IF(COUNTIF(Setup!$A$99:$A$128,$B665)&gt;0,0,1))</f>
        <v/>
      </c>
      <c r="L665">
        <f>IF($B665="","",IF(ISNUMBER(SEARCH("advance",$B665)),"ADV",IF(OR(ISNUMBER(SEARCH("payout",$B665)),ISNUMBER(SEARCH("pay out",$B665)),ISNUMBER(SEARCH("release",$B665))),"PAY","")))</f>
        <v/>
      </c>
      <c r="M665">
        <f>IF($B665="","",IF(ISNUMBER(SEARCH("bulk",$B665)),0,IF(ISNUMBER(SEARCH("fuel",$B665))+ISNUMBER(SEARCH("diesel",$B665))+ISNUMBER(SEARCH("krudo",$B665))+ISNUMBER(SEARCH("gasolina",$B665))&gt;0,1,0)))</f>
        <v/>
      </c>
      <c r="N665">
        <f>IF($B665="","",IF(ISNUMBER(SEARCH("fuel",$B665))+ISNUMBER(SEARCH("diesel",$B665))+ISNUMBER(SEARCH("krudo",$B665))+ISNUMBER(SEARCH("gasolina",$B665))&gt;0,1,0))</f>
        <v/>
      </c>
    </row>
    <row r="666">
      <c r="A666" s="94" t="n"/>
      <c r="B666" s="96" t="n"/>
      <c r="C666" s="96" t="n"/>
      <c r="D666" s="95" t="n"/>
      <c r="E666" s="96" t="n"/>
      <c r="F666" s="99" t="n"/>
      <c r="G666" s="95" t="n"/>
      <c r="H666" s="95" t="n"/>
      <c r="I666" s="101">
        <f>IF($B666="","",IF(COUNTIF(Setup!$A$99:$A$128,$B666)&gt;0,IF(INDEX(Setup!$B$99:$B$128,MATCH($B666,Setup!$A$99:$A$128,0))="","Overhead",INDEX(Setup!$B$99:$B$128,MATCH($B666,Setup!$A$99:$A$128,0))),IF(ISNUMBER(SEARCH("advance",$B666))+ISNUMBER(SEARCH("payout",$B666))+ISNUMBER(SEARCH("pay out",$B666))+ISNUMBER(SEARCH("reimburs",$B666))&gt;0,"Transfer",IF(ISNUMBER(SEARCH("loan",$B666))+ISNUMBER(SEARCH("amort",$B666))+ISNUMBER(SEARCH("installment",$B666))+ISNUMBER(SEARCH("instalment",$B666))&gt;0,"Financing",IF(ISNUMBER(SEARCH("draw",$B666))+ISNUMBER(SEARCH("owner",$B666))+ISNUMBER(SEARCH("asset",$B666))+ISNUMBER(SEARCH("capital",$B666))&gt;0,"Other",IF(ISNUMBER(SEARCH("fuel",$B666))+ISNUMBER(SEARCH("diesel",$B666))+ISNUMBER(SEARCH("krudo",$B666))+ISNUMBER(SEARCH("gasolina",$B666))+ISNUMBER(SEARCH("toll",$B666))+ISNUMBER(SEARCH("parking",$B666))+ISNUMBER(SEARCH("repair",$B666))+ISNUMBER(SEARCH("maintenance",$B666))+ISNUMBER(SEARCH("tire",$B666))+ISNUMBER(SEARCH("tyre",$B666))+ISNUMBER(SEARCH("battery",$B666))+ISNUMBER(SEARCH("oil",$B666))+ISNUMBER(SEARCH("filter",$B666))+ISNUMBER(SEARCH("spare",$B666))+ISNUMBER(SEARCH("insurance",$B666))+ISNUMBER(SEARCH("lto",$B666))+ISNUMBER(SEARCH("registration",$B666))+ISNUMBER(SEARCH("emission",$B666))+ISNUMBER(SEARCH("wash",$B666))+ISNUMBER(SEARCH("weigh",$B666))+ISNUMBER(SEARCH("tarp",$B666))&gt;0,"Vehicle",IF(ISNUMBER(SEARCH("rent",$B666))+ISNUMBER(SEARCH("upa",$B666))+ISNUMBER(SEARCH("salary",$B666))+ISNUMBER(SEARCH("sweldo",$B666))+ISNUMBER(SEARCH("wage",$B666))+ISNUMBER(SEARCH("electric",$B666))+ISNUMBER(SEARCH("kuryente",$B666))+ISNUMBER(SEARCH("water",$B666))+ISNUMBER(SEARCH("tubig",$B666))+ISNUMBER(SEARCH("internet",$B666))+ISNUMBER(SEARCH("pldt",$B666))+ISNUMBER(SEARCH("meralco",$B666))+ISNUMBER(SEARCH("supplies",$B666))+ISNUMBER(SEARCH("office",$B666))+ISNUMBER(SEARCH("professional",$B666))+ISNUMBER(SEARCH("accountant",$B666))+ISNUMBER(SEARCH("lawyer",$B666))+ISNUMBER(SEARCH("broker",$B666))+ISNUMBER(SEARCH("bank",$B666))+ISNUMBER(SEARCH("charge",$B666))+ISNUMBER(SEARCH("permit",$B666))+ISNUMBER(SEARCH("bir",$B666))+ISNUMBER(SEARCH("ltfrb",$B666))+ISNUMBER(SEARCH("misc",$B666))+ISNUMBER(SEARCH("fee",$B666))&gt;0,"Overhead","Overhead")))))))</f>
        <v/>
      </c>
      <c r="J666">
        <f>IF($A666="","",DATE(YEAR($A666),MONTH($A666),1))</f>
        <v/>
      </c>
      <c r="K666">
        <f>IF($B666="","",IF(COUNTIF(Setup!$A$99:$A$128,$B666)&gt;0,0,1))</f>
        <v/>
      </c>
      <c r="L666">
        <f>IF($B666="","",IF(ISNUMBER(SEARCH("advance",$B666)),"ADV",IF(OR(ISNUMBER(SEARCH("payout",$B666)),ISNUMBER(SEARCH("pay out",$B666)),ISNUMBER(SEARCH("release",$B666))),"PAY","")))</f>
        <v/>
      </c>
      <c r="M666">
        <f>IF($B666="","",IF(ISNUMBER(SEARCH("bulk",$B666)),0,IF(ISNUMBER(SEARCH("fuel",$B666))+ISNUMBER(SEARCH("diesel",$B666))+ISNUMBER(SEARCH("krudo",$B666))+ISNUMBER(SEARCH("gasolina",$B666))&gt;0,1,0)))</f>
        <v/>
      </c>
      <c r="N666">
        <f>IF($B666="","",IF(ISNUMBER(SEARCH("fuel",$B666))+ISNUMBER(SEARCH("diesel",$B666))+ISNUMBER(SEARCH("krudo",$B666))+ISNUMBER(SEARCH("gasolina",$B666))&gt;0,1,0))</f>
        <v/>
      </c>
    </row>
    <row r="667">
      <c r="A667" s="86" t="n"/>
      <c r="B667" s="88" t="n"/>
      <c r="C667" s="88" t="n"/>
      <c r="D667" s="87" t="n"/>
      <c r="E667" s="88" t="n"/>
      <c r="F667" s="92" t="n"/>
      <c r="G667" s="87" t="n"/>
      <c r="H667" s="87" t="n"/>
      <c r="I667" s="101">
        <f>IF($B667="","",IF(COUNTIF(Setup!$A$99:$A$128,$B667)&gt;0,IF(INDEX(Setup!$B$99:$B$128,MATCH($B667,Setup!$A$99:$A$128,0))="","Overhead",INDEX(Setup!$B$99:$B$128,MATCH($B667,Setup!$A$99:$A$128,0))),IF(ISNUMBER(SEARCH("advance",$B667))+ISNUMBER(SEARCH("payout",$B667))+ISNUMBER(SEARCH("pay out",$B667))+ISNUMBER(SEARCH("reimburs",$B667))&gt;0,"Transfer",IF(ISNUMBER(SEARCH("loan",$B667))+ISNUMBER(SEARCH("amort",$B667))+ISNUMBER(SEARCH("installment",$B667))+ISNUMBER(SEARCH("instalment",$B667))&gt;0,"Financing",IF(ISNUMBER(SEARCH("draw",$B667))+ISNUMBER(SEARCH("owner",$B667))+ISNUMBER(SEARCH("asset",$B667))+ISNUMBER(SEARCH("capital",$B667))&gt;0,"Other",IF(ISNUMBER(SEARCH("fuel",$B667))+ISNUMBER(SEARCH("diesel",$B667))+ISNUMBER(SEARCH("krudo",$B667))+ISNUMBER(SEARCH("gasolina",$B667))+ISNUMBER(SEARCH("toll",$B667))+ISNUMBER(SEARCH("parking",$B667))+ISNUMBER(SEARCH("repair",$B667))+ISNUMBER(SEARCH("maintenance",$B667))+ISNUMBER(SEARCH("tire",$B667))+ISNUMBER(SEARCH("tyre",$B667))+ISNUMBER(SEARCH("battery",$B667))+ISNUMBER(SEARCH("oil",$B667))+ISNUMBER(SEARCH("filter",$B667))+ISNUMBER(SEARCH("spare",$B667))+ISNUMBER(SEARCH("insurance",$B667))+ISNUMBER(SEARCH("lto",$B667))+ISNUMBER(SEARCH("registration",$B667))+ISNUMBER(SEARCH("emission",$B667))+ISNUMBER(SEARCH("wash",$B667))+ISNUMBER(SEARCH("weigh",$B667))+ISNUMBER(SEARCH("tarp",$B667))&gt;0,"Vehicle",IF(ISNUMBER(SEARCH("rent",$B667))+ISNUMBER(SEARCH("upa",$B667))+ISNUMBER(SEARCH("salary",$B667))+ISNUMBER(SEARCH("sweldo",$B667))+ISNUMBER(SEARCH("wage",$B667))+ISNUMBER(SEARCH("electric",$B667))+ISNUMBER(SEARCH("kuryente",$B667))+ISNUMBER(SEARCH("water",$B667))+ISNUMBER(SEARCH("tubig",$B667))+ISNUMBER(SEARCH("internet",$B667))+ISNUMBER(SEARCH("pldt",$B667))+ISNUMBER(SEARCH("meralco",$B667))+ISNUMBER(SEARCH("supplies",$B667))+ISNUMBER(SEARCH("office",$B667))+ISNUMBER(SEARCH("professional",$B667))+ISNUMBER(SEARCH("accountant",$B667))+ISNUMBER(SEARCH("lawyer",$B667))+ISNUMBER(SEARCH("broker",$B667))+ISNUMBER(SEARCH("bank",$B667))+ISNUMBER(SEARCH("charge",$B667))+ISNUMBER(SEARCH("permit",$B667))+ISNUMBER(SEARCH("bir",$B667))+ISNUMBER(SEARCH("ltfrb",$B667))+ISNUMBER(SEARCH("misc",$B667))+ISNUMBER(SEARCH("fee",$B667))&gt;0,"Overhead","Overhead")))))))</f>
        <v/>
      </c>
      <c r="J667">
        <f>IF($A667="","",DATE(YEAR($A667),MONTH($A667),1))</f>
        <v/>
      </c>
      <c r="K667">
        <f>IF($B667="","",IF(COUNTIF(Setup!$A$99:$A$128,$B667)&gt;0,0,1))</f>
        <v/>
      </c>
      <c r="L667">
        <f>IF($B667="","",IF(ISNUMBER(SEARCH("advance",$B667)),"ADV",IF(OR(ISNUMBER(SEARCH("payout",$B667)),ISNUMBER(SEARCH("pay out",$B667)),ISNUMBER(SEARCH("release",$B667))),"PAY","")))</f>
        <v/>
      </c>
      <c r="M667">
        <f>IF($B667="","",IF(ISNUMBER(SEARCH("bulk",$B667)),0,IF(ISNUMBER(SEARCH("fuel",$B667))+ISNUMBER(SEARCH("diesel",$B667))+ISNUMBER(SEARCH("krudo",$B667))+ISNUMBER(SEARCH("gasolina",$B667))&gt;0,1,0)))</f>
        <v/>
      </c>
      <c r="N667">
        <f>IF($B667="","",IF(ISNUMBER(SEARCH("fuel",$B667))+ISNUMBER(SEARCH("diesel",$B667))+ISNUMBER(SEARCH("krudo",$B667))+ISNUMBER(SEARCH("gasolina",$B667))&gt;0,1,0))</f>
        <v/>
      </c>
    </row>
    <row r="668">
      <c r="A668" s="94" t="n"/>
      <c r="B668" s="96" t="n"/>
      <c r="C668" s="96" t="n"/>
      <c r="D668" s="95" t="n"/>
      <c r="E668" s="96" t="n"/>
      <c r="F668" s="99" t="n"/>
      <c r="G668" s="95" t="n"/>
      <c r="H668" s="95" t="n"/>
      <c r="I668" s="101">
        <f>IF($B668="","",IF(COUNTIF(Setup!$A$99:$A$128,$B668)&gt;0,IF(INDEX(Setup!$B$99:$B$128,MATCH($B668,Setup!$A$99:$A$128,0))="","Overhead",INDEX(Setup!$B$99:$B$128,MATCH($B668,Setup!$A$99:$A$128,0))),IF(ISNUMBER(SEARCH("advance",$B668))+ISNUMBER(SEARCH("payout",$B668))+ISNUMBER(SEARCH("pay out",$B668))+ISNUMBER(SEARCH("reimburs",$B668))&gt;0,"Transfer",IF(ISNUMBER(SEARCH("loan",$B668))+ISNUMBER(SEARCH("amort",$B668))+ISNUMBER(SEARCH("installment",$B668))+ISNUMBER(SEARCH("instalment",$B668))&gt;0,"Financing",IF(ISNUMBER(SEARCH("draw",$B668))+ISNUMBER(SEARCH("owner",$B668))+ISNUMBER(SEARCH("asset",$B668))+ISNUMBER(SEARCH("capital",$B668))&gt;0,"Other",IF(ISNUMBER(SEARCH("fuel",$B668))+ISNUMBER(SEARCH("diesel",$B668))+ISNUMBER(SEARCH("krudo",$B668))+ISNUMBER(SEARCH("gasolina",$B668))+ISNUMBER(SEARCH("toll",$B668))+ISNUMBER(SEARCH("parking",$B668))+ISNUMBER(SEARCH("repair",$B668))+ISNUMBER(SEARCH("maintenance",$B668))+ISNUMBER(SEARCH("tire",$B668))+ISNUMBER(SEARCH("tyre",$B668))+ISNUMBER(SEARCH("battery",$B668))+ISNUMBER(SEARCH("oil",$B668))+ISNUMBER(SEARCH("filter",$B668))+ISNUMBER(SEARCH("spare",$B668))+ISNUMBER(SEARCH("insurance",$B668))+ISNUMBER(SEARCH("lto",$B668))+ISNUMBER(SEARCH("registration",$B668))+ISNUMBER(SEARCH("emission",$B668))+ISNUMBER(SEARCH("wash",$B668))+ISNUMBER(SEARCH("weigh",$B668))+ISNUMBER(SEARCH("tarp",$B668))&gt;0,"Vehicle",IF(ISNUMBER(SEARCH("rent",$B668))+ISNUMBER(SEARCH("upa",$B668))+ISNUMBER(SEARCH("salary",$B668))+ISNUMBER(SEARCH("sweldo",$B668))+ISNUMBER(SEARCH("wage",$B668))+ISNUMBER(SEARCH("electric",$B668))+ISNUMBER(SEARCH("kuryente",$B668))+ISNUMBER(SEARCH("water",$B668))+ISNUMBER(SEARCH("tubig",$B668))+ISNUMBER(SEARCH("internet",$B668))+ISNUMBER(SEARCH("pldt",$B668))+ISNUMBER(SEARCH("meralco",$B668))+ISNUMBER(SEARCH("supplies",$B668))+ISNUMBER(SEARCH("office",$B668))+ISNUMBER(SEARCH("professional",$B668))+ISNUMBER(SEARCH("accountant",$B668))+ISNUMBER(SEARCH("lawyer",$B668))+ISNUMBER(SEARCH("broker",$B668))+ISNUMBER(SEARCH("bank",$B668))+ISNUMBER(SEARCH("charge",$B668))+ISNUMBER(SEARCH("permit",$B668))+ISNUMBER(SEARCH("bir",$B668))+ISNUMBER(SEARCH("ltfrb",$B668))+ISNUMBER(SEARCH("misc",$B668))+ISNUMBER(SEARCH("fee",$B668))&gt;0,"Overhead","Overhead")))))))</f>
        <v/>
      </c>
      <c r="J668">
        <f>IF($A668="","",DATE(YEAR($A668),MONTH($A668),1))</f>
        <v/>
      </c>
      <c r="K668">
        <f>IF($B668="","",IF(COUNTIF(Setup!$A$99:$A$128,$B668)&gt;0,0,1))</f>
        <v/>
      </c>
      <c r="L668">
        <f>IF($B668="","",IF(ISNUMBER(SEARCH("advance",$B668)),"ADV",IF(OR(ISNUMBER(SEARCH("payout",$B668)),ISNUMBER(SEARCH("pay out",$B668)),ISNUMBER(SEARCH("release",$B668))),"PAY","")))</f>
        <v/>
      </c>
      <c r="M668">
        <f>IF($B668="","",IF(ISNUMBER(SEARCH("bulk",$B668)),0,IF(ISNUMBER(SEARCH("fuel",$B668))+ISNUMBER(SEARCH("diesel",$B668))+ISNUMBER(SEARCH("krudo",$B668))+ISNUMBER(SEARCH("gasolina",$B668))&gt;0,1,0)))</f>
        <v/>
      </c>
      <c r="N668">
        <f>IF($B668="","",IF(ISNUMBER(SEARCH("fuel",$B668))+ISNUMBER(SEARCH("diesel",$B668))+ISNUMBER(SEARCH("krudo",$B668))+ISNUMBER(SEARCH("gasolina",$B668))&gt;0,1,0))</f>
        <v/>
      </c>
    </row>
    <row r="669">
      <c r="A669" s="86" t="n"/>
      <c r="B669" s="88" t="n"/>
      <c r="C669" s="88" t="n"/>
      <c r="D669" s="87" t="n"/>
      <c r="E669" s="88" t="n"/>
      <c r="F669" s="92" t="n"/>
      <c r="G669" s="87" t="n"/>
      <c r="H669" s="87" t="n"/>
      <c r="I669" s="101">
        <f>IF($B669="","",IF(COUNTIF(Setup!$A$99:$A$128,$B669)&gt;0,IF(INDEX(Setup!$B$99:$B$128,MATCH($B669,Setup!$A$99:$A$128,0))="","Overhead",INDEX(Setup!$B$99:$B$128,MATCH($B669,Setup!$A$99:$A$128,0))),IF(ISNUMBER(SEARCH("advance",$B669))+ISNUMBER(SEARCH("payout",$B669))+ISNUMBER(SEARCH("pay out",$B669))+ISNUMBER(SEARCH("reimburs",$B669))&gt;0,"Transfer",IF(ISNUMBER(SEARCH("loan",$B669))+ISNUMBER(SEARCH("amort",$B669))+ISNUMBER(SEARCH("installment",$B669))+ISNUMBER(SEARCH("instalment",$B669))&gt;0,"Financing",IF(ISNUMBER(SEARCH("draw",$B669))+ISNUMBER(SEARCH("owner",$B669))+ISNUMBER(SEARCH("asset",$B669))+ISNUMBER(SEARCH("capital",$B669))&gt;0,"Other",IF(ISNUMBER(SEARCH("fuel",$B669))+ISNUMBER(SEARCH("diesel",$B669))+ISNUMBER(SEARCH("krudo",$B669))+ISNUMBER(SEARCH("gasolina",$B669))+ISNUMBER(SEARCH("toll",$B669))+ISNUMBER(SEARCH("parking",$B669))+ISNUMBER(SEARCH("repair",$B669))+ISNUMBER(SEARCH("maintenance",$B669))+ISNUMBER(SEARCH("tire",$B669))+ISNUMBER(SEARCH("tyre",$B669))+ISNUMBER(SEARCH("battery",$B669))+ISNUMBER(SEARCH("oil",$B669))+ISNUMBER(SEARCH("filter",$B669))+ISNUMBER(SEARCH("spare",$B669))+ISNUMBER(SEARCH("insurance",$B669))+ISNUMBER(SEARCH("lto",$B669))+ISNUMBER(SEARCH("registration",$B669))+ISNUMBER(SEARCH("emission",$B669))+ISNUMBER(SEARCH("wash",$B669))+ISNUMBER(SEARCH("weigh",$B669))+ISNUMBER(SEARCH("tarp",$B669))&gt;0,"Vehicle",IF(ISNUMBER(SEARCH("rent",$B669))+ISNUMBER(SEARCH("upa",$B669))+ISNUMBER(SEARCH("salary",$B669))+ISNUMBER(SEARCH("sweldo",$B669))+ISNUMBER(SEARCH("wage",$B669))+ISNUMBER(SEARCH("electric",$B669))+ISNUMBER(SEARCH("kuryente",$B669))+ISNUMBER(SEARCH("water",$B669))+ISNUMBER(SEARCH("tubig",$B669))+ISNUMBER(SEARCH("internet",$B669))+ISNUMBER(SEARCH("pldt",$B669))+ISNUMBER(SEARCH("meralco",$B669))+ISNUMBER(SEARCH("supplies",$B669))+ISNUMBER(SEARCH("office",$B669))+ISNUMBER(SEARCH("professional",$B669))+ISNUMBER(SEARCH("accountant",$B669))+ISNUMBER(SEARCH("lawyer",$B669))+ISNUMBER(SEARCH("broker",$B669))+ISNUMBER(SEARCH("bank",$B669))+ISNUMBER(SEARCH("charge",$B669))+ISNUMBER(SEARCH("permit",$B669))+ISNUMBER(SEARCH("bir",$B669))+ISNUMBER(SEARCH("ltfrb",$B669))+ISNUMBER(SEARCH("misc",$B669))+ISNUMBER(SEARCH("fee",$B669))&gt;0,"Overhead","Overhead")))))))</f>
        <v/>
      </c>
      <c r="J669">
        <f>IF($A669="","",DATE(YEAR($A669),MONTH($A669),1))</f>
        <v/>
      </c>
      <c r="K669">
        <f>IF($B669="","",IF(COUNTIF(Setup!$A$99:$A$128,$B669)&gt;0,0,1))</f>
        <v/>
      </c>
      <c r="L669">
        <f>IF($B669="","",IF(ISNUMBER(SEARCH("advance",$B669)),"ADV",IF(OR(ISNUMBER(SEARCH("payout",$B669)),ISNUMBER(SEARCH("pay out",$B669)),ISNUMBER(SEARCH("release",$B669))),"PAY","")))</f>
        <v/>
      </c>
      <c r="M669">
        <f>IF($B669="","",IF(ISNUMBER(SEARCH("bulk",$B669)),0,IF(ISNUMBER(SEARCH("fuel",$B669))+ISNUMBER(SEARCH("diesel",$B669))+ISNUMBER(SEARCH("krudo",$B669))+ISNUMBER(SEARCH("gasolina",$B669))&gt;0,1,0)))</f>
        <v/>
      </c>
      <c r="N669">
        <f>IF($B669="","",IF(ISNUMBER(SEARCH("fuel",$B669))+ISNUMBER(SEARCH("diesel",$B669))+ISNUMBER(SEARCH("krudo",$B669))+ISNUMBER(SEARCH("gasolina",$B669))&gt;0,1,0))</f>
        <v/>
      </c>
    </row>
    <row r="670">
      <c r="A670" s="94" t="n"/>
      <c r="B670" s="96" t="n"/>
      <c r="C670" s="96" t="n"/>
      <c r="D670" s="95" t="n"/>
      <c r="E670" s="96" t="n"/>
      <c r="F670" s="99" t="n"/>
      <c r="G670" s="95" t="n"/>
      <c r="H670" s="95" t="n"/>
      <c r="I670" s="101">
        <f>IF($B670="","",IF(COUNTIF(Setup!$A$99:$A$128,$B670)&gt;0,IF(INDEX(Setup!$B$99:$B$128,MATCH($B670,Setup!$A$99:$A$128,0))="","Overhead",INDEX(Setup!$B$99:$B$128,MATCH($B670,Setup!$A$99:$A$128,0))),IF(ISNUMBER(SEARCH("advance",$B670))+ISNUMBER(SEARCH("payout",$B670))+ISNUMBER(SEARCH("pay out",$B670))+ISNUMBER(SEARCH("reimburs",$B670))&gt;0,"Transfer",IF(ISNUMBER(SEARCH("loan",$B670))+ISNUMBER(SEARCH("amort",$B670))+ISNUMBER(SEARCH("installment",$B670))+ISNUMBER(SEARCH("instalment",$B670))&gt;0,"Financing",IF(ISNUMBER(SEARCH("draw",$B670))+ISNUMBER(SEARCH("owner",$B670))+ISNUMBER(SEARCH("asset",$B670))+ISNUMBER(SEARCH("capital",$B670))&gt;0,"Other",IF(ISNUMBER(SEARCH("fuel",$B670))+ISNUMBER(SEARCH("diesel",$B670))+ISNUMBER(SEARCH("krudo",$B670))+ISNUMBER(SEARCH("gasolina",$B670))+ISNUMBER(SEARCH("toll",$B670))+ISNUMBER(SEARCH("parking",$B670))+ISNUMBER(SEARCH("repair",$B670))+ISNUMBER(SEARCH("maintenance",$B670))+ISNUMBER(SEARCH("tire",$B670))+ISNUMBER(SEARCH("tyre",$B670))+ISNUMBER(SEARCH("battery",$B670))+ISNUMBER(SEARCH("oil",$B670))+ISNUMBER(SEARCH("filter",$B670))+ISNUMBER(SEARCH("spare",$B670))+ISNUMBER(SEARCH("insurance",$B670))+ISNUMBER(SEARCH("lto",$B670))+ISNUMBER(SEARCH("registration",$B670))+ISNUMBER(SEARCH("emission",$B670))+ISNUMBER(SEARCH("wash",$B670))+ISNUMBER(SEARCH("weigh",$B670))+ISNUMBER(SEARCH("tarp",$B670))&gt;0,"Vehicle",IF(ISNUMBER(SEARCH("rent",$B670))+ISNUMBER(SEARCH("upa",$B670))+ISNUMBER(SEARCH("salary",$B670))+ISNUMBER(SEARCH("sweldo",$B670))+ISNUMBER(SEARCH("wage",$B670))+ISNUMBER(SEARCH("electric",$B670))+ISNUMBER(SEARCH("kuryente",$B670))+ISNUMBER(SEARCH("water",$B670))+ISNUMBER(SEARCH("tubig",$B670))+ISNUMBER(SEARCH("internet",$B670))+ISNUMBER(SEARCH("pldt",$B670))+ISNUMBER(SEARCH("meralco",$B670))+ISNUMBER(SEARCH("supplies",$B670))+ISNUMBER(SEARCH("office",$B670))+ISNUMBER(SEARCH("professional",$B670))+ISNUMBER(SEARCH("accountant",$B670))+ISNUMBER(SEARCH("lawyer",$B670))+ISNUMBER(SEARCH("broker",$B670))+ISNUMBER(SEARCH("bank",$B670))+ISNUMBER(SEARCH("charge",$B670))+ISNUMBER(SEARCH("permit",$B670))+ISNUMBER(SEARCH("bir",$B670))+ISNUMBER(SEARCH("ltfrb",$B670))+ISNUMBER(SEARCH("misc",$B670))+ISNUMBER(SEARCH("fee",$B670))&gt;0,"Overhead","Overhead")))))))</f>
        <v/>
      </c>
      <c r="J670">
        <f>IF($A670="","",DATE(YEAR($A670),MONTH($A670),1))</f>
        <v/>
      </c>
      <c r="K670">
        <f>IF($B670="","",IF(COUNTIF(Setup!$A$99:$A$128,$B670)&gt;0,0,1))</f>
        <v/>
      </c>
      <c r="L670">
        <f>IF($B670="","",IF(ISNUMBER(SEARCH("advance",$B670)),"ADV",IF(OR(ISNUMBER(SEARCH("payout",$B670)),ISNUMBER(SEARCH("pay out",$B670)),ISNUMBER(SEARCH("release",$B670))),"PAY","")))</f>
        <v/>
      </c>
      <c r="M670">
        <f>IF($B670="","",IF(ISNUMBER(SEARCH("bulk",$B670)),0,IF(ISNUMBER(SEARCH("fuel",$B670))+ISNUMBER(SEARCH("diesel",$B670))+ISNUMBER(SEARCH("krudo",$B670))+ISNUMBER(SEARCH("gasolina",$B670))&gt;0,1,0)))</f>
        <v/>
      </c>
      <c r="N670">
        <f>IF($B670="","",IF(ISNUMBER(SEARCH("fuel",$B670))+ISNUMBER(SEARCH("diesel",$B670))+ISNUMBER(SEARCH("krudo",$B670))+ISNUMBER(SEARCH("gasolina",$B670))&gt;0,1,0))</f>
        <v/>
      </c>
    </row>
    <row r="671">
      <c r="A671" s="86" t="n"/>
      <c r="B671" s="88" t="n"/>
      <c r="C671" s="88" t="n"/>
      <c r="D671" s="87" t="n"/>
      <c r="E671" s="88" t="n"/>
      <c r="F671" s="92" t="n"/>
      <c r="G671" s="87" t="n"/>
      <c r="H671" s="87" t="n"/>
      <c r="I671" s="101">
        <f>IF($B671="","",IF(COUNTIF(Setup!$A$99:$A$128,$B671)&gt;0,IF(INDEX(Setup!$B$99:$B$128,MATCH($B671,Setup!$A$99:$A$128,0))="","Overhead",INDEX(Setup!$B$99:$B$128,MATCH($B671,Setup!$A$99:$A$128,0))),IF(ISNUMBER(SEARCH("advance",$B671))+ISNUMBER(SEARCH("payout",$B671))+ISNUMBER(SEARCH("pay out",$B671))+ISNUMBER(SEARCH("reimburs",$B671))&gt;0,"Transfer",IF(ISNUMBER(SEARCH("loan",$B671))+ISNUMBER(SEARCH("amort",$B671))+ISNUMBER(SEARCH("installment",$B671))+ISNUMBER(SEARCH("instalment",$B671))&gt;0,"Financing",IF(ISNUMBER(SEARCH("draw",$B671))+ISNUMBER(SEARCH("owner",$B671))+ISNUMBER(SEARCH("asset",$B671))+ISNUMBER(SEARCH("capital",$B671))&gt;0,"Other",IF(ISNUMBER(SEARCH("fuel",$B671))+ISNUMBER(SEARCH("diesel",$B671))+ISNUMBER(SEARCH("krudo",$B671))+ISNUMBER(SEARCH("gasolina",$B671))+ISNUMBER(SEARCH("toll",$B671))+ISNUMBER(SEARCH("parking",$B671))+ISNUMBER(SEARCH("repair",$B671))+ISNUMBER(SEARCH("maintenance",$B671))+ISNUMBER(SEARCH("tire",$B671))+ISNUMBER(SEARCH("tyre",$B671))+ISNUMBER(SEARCH("battery",$B671))+ISNUMBER(SEARCH("oil",$B671))+ISNUMBER(SEARCH("filter",$B671))+ISNUMBER(SEARCH("spare",$B671))+ISNUMBER(SEARCH("insurance",$B671))+ISNUMBER(SEARCH("lto",$B671))+ISNUMBER(SEARCH("registration",$B671))+ISNUMBER(SEARCH("emission",$B671))+ISNUMBER(SEARCH("wash",$B671))+ISNUMBER(SEARCH("weigh",$B671))+ISNUMBER(SEARCH("tarp",$B671))&gt;0,"Vehicle",IF(ISNUMBER(SEARCH("rent",$B671))+ISNUMBER(SEARCH("upa",$B671))+ISNUMBER(SEARCH("salary",$B671))+ISNUMBER(SEARCH("sweldo",$B671))+ISNUMBER(SEARCH("wage",$B671))+ISNUMBER(SEARCH("electric",$B671))+ISNUMBER(SEARCH("kuryente",$B671))+ISNUMBER(SEARCH("water",$B671))+ISNUMBER(SEARCH("tubig",$B671))+ISNUMBER(SEARCH("internet",$B671))+ISNUMBER(SEARCH("pldt",$B671))+ISNUMBER(SEARCH("meralco",$B671))+ISNUMBER(SEARCH("supplies",$B671))+ISNUMBER(SEARCH("office",$B671))+ISNUMBER(SEARCH("professional",$B671))+ISNUMBER(SEARCH("accountant",$B671))+ISNUMBER(SEARCH("lawyer",$B671))+ISNUMBER(SEARCH("broker",$B671))+ISNUMBER(SEARCH("bank",$B671))+ISNUMBER(SEARCH("charge",$B671))+ISNUMBER(SEARCH("permit",$B671))+ISNUMBER(SEARCH("bir",$B671))+ISNUMBER(SEARCH("ltfrb",$B671))+ISNUMBER(SEARCH("misc",$B671))+ISNUMBER(SEARCH("fee",$B671))&gt;0,"Overhead","Overhead")))))))</f>
        <v/>
      </c>
      <c r="J671">
        <f>IF($A671="","",DATE(YEAR($A671),MONTH($A671),1))</f>
        <v/>
      </c>
      <c r="K671">
        <f>IF($B671="","",IF(COUNTIF(Setup!$A$99:$A$128,$B671)&gt;0,0,1))</f>
        <v/>
      </c>
      <c r="L671">
        <f>IF($B671="","",IF(ISNUMBER(SEARCH("advance",$B671)),"ADV",IF(OR(ISNUMBER(SEARCH("payout",$B671)),ISNUMBER(SEARCH("pay out",$B671)),ISNUMBER(SEARCH("release",$B671))),"PAY","")))</f>
        <v/>
      </c>
      <c r="M671">
        <f>IF($B671="","",IF(ISNUMBER(SEARCH("bulk",$B671)),0,IF(ISNUMBER(SEARCH("fuel",$B671))+ISNUMBER(SEARCH("diesel",$B671))+ISNUMBER(SEARCH("krudo",$B671))+ISNUMBER(SEARCH("gasolina",$B671))&gt;0,1,0)))</f>
        <v/>
      </c>
      <c r="N671">
        <f>IF($B671="","",IF(ISNUMBER(SEARCH("fuel",$B671))+ISNUMBER(SEARCH("diesel",$B671))+ISNUMBER(SEARCH("krudo",$B671))+ISNUMBER(SEARCH("gasolina",$B671))&gt;0,1,0))</f>
        <v/>
      </c>
    </row>
    <row r="672">
      <c r="A672" s="94" t="n"/>
      <c r="B672" s="96" t="n"/>
      <c r="C672" s="96" t="n"/>
      <c r="D672" s="95" t="n"/>
      <c r="E672" s="96" t="n"/>
      <c r="F672" s="99" t="n"/>
      <c r="G672" s="95" t="n"/>
      <c r="H672" s="95" t="n"/>
      <c r="I672" s="101">
        <f>IF($B672="","",IF(COUNTIF(Setup!$A$99:$A$128,$B672)&gt;0,IF(INDEX(Setup!$B$99:$B$128,MATCH($B672,Setup!$A$99:$A$128,0))="","Overhead",INDEX(Setup!$B$99:$B$128,MATCH($B672,Setup!$A$99:$A$128,0))),IF(ISNUMBER(SEARCH("advance",$B672))+ISNUMBER(SEARCH("payout",$B672))+ISNUMBER(SEARCH("pay out",$B672))+ISNUMBER(SEARCH("reimburs",$B672))&gt;0,"Transfer",IF(ISNUMBER(SEARCH("loan",$B672))+ISNUMBER(SEARCH("amort",$B672))+ISNUMBER(SEARCH("installment",$B672))+ISNUMBER(SEARCH("instalment",$B672))&gt;0,"Financing",IF(ISNUMBER(SEARCH("draw",$B672))+ISNUMBER(SEARCH("owner",$B672))+ISNUMBER(SEARCH("asset",$B672))+ISNUMBER(SEARCH("capital",$B672))&gt;0,"Other",IF(ISNUMBER(SEARCH("fuel",$B672))+ISNUMBER(SEARCH("diesel",$B672))+ISNUMBER(SEARCH("krudo",$B672))+ISNUMBER(SEARCH("gasolina",$B672))+ISNUMBER(SEARCH("toll",$B672))+ISNUMBER(SEARCH("parking",$B672))+ISNUMBER(SEARCH("repair",$B672))+ISNUMBER(SEARCH("maintenance",$B672))+ISNUMBER(SEARCH("tire",$B672))+ISNUMBER(SEARCH("tyre",$B672))+ISNUMBER(SEARCH("battery",$B672))+ISNUMBER(SEARCH("oil",$B672))+ISNUMBER(SEARCH("filter",$B672))+ISNUMBER(SEARCH("spare",$B672))+ISNUMBER(SEARCH("insurance",$B672))+ISNUMBER(SEARCH("lto",$B672))+ISNUMBER(SEARCH("registration",$B672))+ISNUMBER(SEARCH("emission",$B672))+ISNUMBER(SEARCH("wash",$B672))+ISNUMBER(SEARCH("weigh",$B672))+ISNUMBER(SEARCH("tarp",$B672))&gt;0,"Vehicle",IF(ISNUMBER(SEARCH("rent",$B672))+ISNUMBER(SEARCH("upa",$B672))+ISNUMBER(SEARCH("salary",$B672))+ISNUMBER(SEARCH("sweldo",$B672))+ISNUMBER(SEARCH("wage",$B672))+ISNUMBER(SEARCH("electric",$B672))+ISNUMBER(SEARCH("kuryente",$B672))+ISNUMBER(SEARCH("water",$B672))+ISNUMBER(SEARCH("tubig",$B672))+ISNUMBER(SEARCH("internet",$B672))+ISNUMBER(SEARCH("pldt",$B672))+ISNUMBER(SEARCH("meralco",$B672))+ISNUMBER(SEARCH("supplies",$B672))+ISNUMBER(SEARCH("office",$B672))+ISNUMBER(SEARCH("professional",$B672))+ISNUMBER(SEARCH("accountant",$B672))+ISNUMBER(SEARCH("lawyer",$B672))+ISNUMBER(SEARCH("broker",$B672))+ISNUMBER(SEARCH("bank",$B672))+ISNUMBER(SEARCH("charge",$B672))+ISNUMBER(SEARCH("permit",$B672))+ISNUMBER(SEARCH("bir",$B672))+ISNUMBER(SEARCH("ltfrb",$B672))+ISNUMBER(SEARCH("misc",$B672))+ISNUMBER(SEARCH("fee",$B672))&gt;0,"Overhead","Overhead")))))))</f>
        <v/>
      </c>
      <c r="J672">
        <f>IF($A672="","",DATE(YEAR($A672),MONTH($A672),1))</f>
        <v/>
      </c>
      <c r="K672">
        <f>IF($B672="","",IF(COUNTIF(Setup!$A$99:$A$128,$B672)&gt;0,0,1))</f>
        <v/>
      </c>
      <c r="L672">
        <f>IF($B672="","",IF(ISNUMBER(SEARCH("advance",$B672)),"ADV",IF(OR(ISNUMBER(SEARCH("payout",$B672)),ISNUMBER(SEARCH("pay out",$B672)),ISNUMBER(SEARCH("release",$B672))),"PAY","")))</f>
        <v/>
      </c>
      <c r="M672">
        <f>IF($B672="","",IF(ISNUMBER(SEARCH("bulk",$B672)),0,IF(ISNUMBER(SEARCH("fuel",$B672))+ISNUMBER(SEARCH("diesel",$B672))+ISNUMBER(SEARCH("krudo",$B672))+ISNUMBER(SEARCH("gasolina",$B672))&gt;0,1,0)))</f>
        <v/>
      </c>
      <c r="N672">
        <f>IF($B672="","",IF(ISNUMBER(SEARCH("fuel",$B672))+ISNUMBER(SEARCH("diesel",$B672))+ISNUMBER(SEARCH("krudo",$B672))+ISNUMBER(SEARCH("gasolina",$B672))&gt;0,1,0))</f>
        <v/>
      </c>
    </row>
    <row r="673">
      <c r="A673" s="86" t="n"/>
      <c r="B673" s="88" t="n"/>
      <c r="C673" s="88" t="n"/>
      <c r="D673" s="87" t="n"/>
      <c r="E673" s="88" t="n"/>
      <c r="F673" s="92" t="n"/>
      <c r="G673" s="87" t="n"/>
      <c r="H673" s="87" t="n"/>
      <c r="I673" s="101">
        <f>IF($B673="","",IF(COUNTIF(Setup!$A$99:$A$128,$B673)&gt;0,IF(INDEX(Setup!$B$99:$B$128,MATCH($B673,Setup!$A$99:$A$128,0))="","Overhead",INDEX(Setup!$B$99:$B$128,MATCH($B673,Setup!$A$99:$A$128,0))),IF(ISNUMBER(SEARCH("advance",$B673))+ISNUMBER(SEARCH("payout",$B673))+ISNUMBER(SEARCH("pay out",$B673))+ISNUMBER(SEARCH("reimburs",$B673))&gt;0,"Transfer",IF(ISNUMBER(SEARCH("loan",$B673))+ISNUMBER(SEARCH("amort",$B673))+ISNUMBER(SEARCH("installment",$B673))+ISNUMBER(SEARCH("instalment",$B673))&gt;0,"Financing",IF(ISNUMBER(SEARCH("draw",$B673))+ISNUMBER(SEARCH("owner",$B673))+ISNUMBER(SEARCH("asset",$B673))+ISNUMBER(SEARCH("capital",$B673))&gt;0,"Other",IF(ISNUMBER(SEARCH("fuel",$B673))+ISNUMBER(SEARCH("diesel",$B673))+ISNUMBER(SEARCH("krudo",$B673))+ISNUMBER(SEARCH("gasolina",$B673))+ISNUMBER(SEARCH("toll",$B673))+ISNUMBER(SEARCH("parking",$B673))+ISNUMBER(SEARCH("repair",$B673))+ISNUMBER(SEARCH("maintenance",$B673))+ISNUMBER(SEARCH("tire",$B673))+ISNUMBER(SEARCH("tyre",$B673))+ISNUMBER(SEARCH("battery",$B673))+ISNUMBER(SEARCH("oil",$B673))+ISNUMBER(SEARCH("filter",$B673))+ISNUMBER(SEARCH("spare",$B673))+ISNUMBER(SEARCH("insurance",$B673))+ISNUMBER(SEARCH("lto",$B673))+ISNUMBER(SEARCH("registration",$B673))+ISNUMBER(SEARCH("emission",$B673))+ISNUMBER(SEARCH("wash",$B673))+ISNUMBER(SEARCH("weigh",$B673))+ISNUMBER(SEARCH("tarp",$B673))&gt;0,"Vehicle",IF(ISNUMBER(SEARCH("rent",$B673))+ISNUMBER(SEARCH("upa",$B673))+ISNUMBER(SEARCH("salary",$B673))+ISNUMBER(SEARCH("sweldo",$B673))+ISNUMBER(SEARCH("wage",$B673))+ISNUMBER(SEARCH("electric",$B673))+ISNUMBER(SEARCH("kuryente",$B673))+ISNUMBER(SEARCH("water",$B673))+ISNUMBER(SEARCH("tubig",$B673))+ISNUMBER(SEARCH("internet",$B673))+ISNUMBER(SEARCH("pldt",$B673))+ISNUMBER(SEARCH("meralco",$B673))+ISNUMBER(SEARCH("supplies",$B673))+ISNUMBER(SEARCH("office",$B673))+ISNUMBER(SEARCH("professional",$B673))+ISNUMBER(SEARCH("accountant",$B673))+ISNUMBER(SEARCH("lawyer",$B673))+ISNUMBER(SEARCH("broker",$B673))+ISNUMBER(SEARCH("bank",$B673))+ISNUMBER(SEARCH("charge",$B673))+ISNUMBER(SEARCH("permit",$B673))+ISNUMBER(SEARCH("bir",$B673))+ISNUMBER(SEARCH("ltfrb",$B673))+ISNUMBER(SEARCH("misc",$B673))+ISNUMBER(SEARCH("fee",$B673))&gt;0,"Overhead","Overhead")))))))</f>
        <v/>
      </c>
      <c r="J673">
        <f>IF($A673="","",DATE(YEAR($A673),MONTH($A673),1))</f>
        <v/>
      </c>
      <c r="K673">
        <f>IF($B673="","",IF(COUNTIF(Setup!$A$99:$A$128,$B673)&gt;0,0,1))</f>
        <v/>
      </c>
      <c r="L673">
        <f>IF($B673="","",IF(ISNUMBER(SEARCH("advance",$B673)),"ADV",IF(OR(ISNUMBER(SEARCH("payout",$B673)),ISNUMBER(SEARCH("pay out",$B673)),ISNUMBER(SEARCH("release",$B673))),"PAY","")))</f>
        <v/>
      </c>
      <c r="M673">
        <f>IF($B673="","",IF(ISNUMBER(SEARCH("bulk",$B673)),0,IF(ISNUMBER(SEARCH("fuel",$B673))+ISNUMBER(SEARCH("diesel",$B673))+ISNUMBER(SEARCH("krudo",$B673))+ISNUMBER(SEARCH("gasolina",$B673))&gt;0,1,0)))</f>
        <v/>
      </c>
      <c r="N673">
        <f>IF($B673="","",IF(ISNUMBER(SEARCH("fuel",$B673))+ISNUMBER(SEARCH("diesel",$B673))+ISNUMBER(SEARCH("krudo",$B673))+ISNUMBER(SEARCH("gasolina",$B673))&gt;0,1,0))</f>
        <v/>
      </c>
    </row>
    <row r="674">
      <c r="A674" s="94" t="n"/>
      <c r="B674" s="96" t="n"/>
      <c r="C674" s="96" t="n"/>
      <c r="D674" s="95" t="n"/>
      <c r="E674" s="96" t="n"/>
      <c r="F674" s="99" t="n"/>
      <c r="G674" s="95" t="n"/>
      <c r="H674" s="95" t="n"/>
      <c r="I674" s="101">
        <f>IF($B674="","",IF(COUNTIF(Setup!$A$99:$A$128,$B674)&gt;0,IF(INDEX(Setup!$B$99:$B$128,MATCH($B674,Setup!$A$99:$A$128,0))="","Overhead",INDEX(Setup!$B$99:$B$128,MATCH($B674,Setup!$A$99:$A$128,0))),IF(ISNUMBER(SEARCH("advance",$B674))+ISNUMBER(SEARCH("payout",$B674))+ISNUMBER(SEARCH("pay out",$B674))+ISNUMBER(SEARCH("reimburs",$B674))&gt;0,"Transfer",IF(ISNUMBER(SEARCH("loan",$B674))+ISNUMBER(SEARCH("amort",$B674))+ISNUMBER(SEARCH("installment",$B674))+ISNUMBER(SEARCH("instalment",$B674))&gt;0,"Financing",IF(ISNUMBER(SEARCH("draw",$B674))+ISNUMBER(SEARCH("owner",$B674))+ISNUMBER(SEARCH("asset",$B674))+ISNUMBER(SEARCH("capital",$B674))&gt;0,"Other",IF(ISNUMBER(SEARCH("fuel",$B674))+ISNUMBER(SEARCH("diesel",$B674))+ISNUMBER(SEARCH("krudo",$B674))+ISNUMBER(SEARCH("gasolina",$B674))+ISNUMBER(SEARCH("toll",$B674))+ISNUMBER(SEARCH("parking",$B674))+ISNUMBER(SEARCH("repair",$B674))+ISNUMBER(SEARCH("maintenance",$B674))+ISNUMBER(SEARCH("tire",$B674))+ISNUMBER(SEARCH("tyre",$B674))+ISNUMBER(SEARCH("battery",$B674))+ISNUMBER(SEARCH("oil",$B674))+ISNUMBER(SEARCH("filter",$B674))+ISNUMBER(SEARCH("spare",$B674))+ISNUMBER(SEARCH("insurance",$B674))+ISNUMBER(SEARCH("lto",$B674))+ISNUMBER(SEARCH("registration",$B674))+ISNUMBER(SEARCH("emission",$B674))+ISNUMBER(SEARCH("wash",$B674))+ISNUMBER(SEARCH("weigh",$B674))+ISNUMBER(SEARCH("tarp",$B674))&gt;0,"Vehicle",IF(ISNUMBER(SEARCH("rent",$B674))+ISNUMBER(SEARCH("upa",$B674))+ISNUMBER(SEARCH("salary",$B674))+ISNUMBER(SEARCH("sweldo",$B674))+ISNUMBER(SEARCH("wage",$B674))+ISNUMBER(SEARCH("electric",$B674))+ISNUMBER(SEARCH("kuryente",$B674))+ISNUMBER(SEARCH("water",$B674))+ISNUMBER(SEARCH("tubig",$B674))+ISNUMBER(SEARCH("internet",$B674))+ISNUMBER(SEARCH("pldt",$B674))+ISNUMBER(SEARCH("meralco",$B674))+ISNUMBER(SEARCH("supplies",$B674))+ISNUMBER(SEARCH("office",$B674))+ISNUMBER(SEARCH("professional",$B674))+ISNUMBER(SEARCH("accountant",$B674))+ISNUMBER(SEARCH("lawyer",$B674))+ISNUMBER(SEARCH("broker",$B674))+ISNUMBER(SEARCH("bank",$B674))+ISNUMBER(SEARCH("charge",$B674))+ISNUMBER(SEARCH("permit",$B674))+ISNUMBER(SEARCH("bir",$B674))+ISNUMBER(SEARCH("ltfrb",$B674))+ISNUMBER(SEARCH("misc",$B674))+ISNUMBER(SEARCH("fee",$B674))&gt;0,"Overhead","Overhead")))))))</f>
        <v/>
      </c>
      <c r="J674">
        <f>IF($A674="","",DATE(YEAR($A674),MONTH($A674),1))</f>
        <v/>
      </c>
      <c r="K674">
        <f>IF($B674="","",IF(COUNTIF(Setup!$A$99:$A$128,$B674)&gt;0,0,1))</f>
        <v/>
      </c>
      <c r="L674">
        <f>IF($B674="","",IF(ISNUMBER(SEARCH("advance",$B674)),"ADV",IF(OR(ISNUMBER(SEARCH("payout",$B674)),ISNUMBER(SEARCH("pay out",$B674)),ISNUMBER(SEARCH("release",$B674))),"PAY","")))</f>
        <v/>
      </c>
      <c r="M674">
        <f>IF($B674="","",IF(ISNUMBER(SEARCH("bulk",$B674)),0,IF(ISNUMBER(SEARCH("fuel",$B674))+ISNUMBER(SEARCH("diesel",$B674))+ISNUMBER(SEARCH("krudo",$B674))+ISNUMBER(SEARCH("gasolina",$B674))&gt;0,1,0)))</f>
        <v/>
      </c>
      <c r="N674">
        <f>IF($B674="","",IF(ISNUMBER(SEARCH("fuel",$B674))+ISNUMBER(SEARCH("diesel",$B674))+ISNUMBER(SEARCH("krudo",$B674))+ISNUMBER(SEARCH("gasolina",$B674))&gt;0,1,0))</f>
        <v/>
      </c>
    </row>
    <row r="675">
      <c r="A675" s="86" t="n"/>
      <c r="B675" s="88" t="n"/>
      <c r="C675" s="88" t="n"/>
      <c r="D675" s="87" t="n"/>
      <c r="E675" s="88" t="n"/>
      <c r="F675" s="92" t="n"/>
      <c r="G675" s="87" t="n"/>
      <c r="H675" s="87" t="n"/>
      <c r="I675" s="101">
        <f>IF($B675="","",IF(COUNTIF(Setup!$A$99:$A$128,$B675)&gt;0,IF(INDEX(Setup!$B$99:$B$128,MATCH($B675,Setup!$A$99:$A$128,0))="","Overhead",INDEX(Setup!$B$99:$B$128,MATCH($B675,Setup!$A$99:$A$128,0))),IF(ISNUMBER(SEARCH("advance",$B675))+ISNUMBER(SEARCH("payout",$B675))+ISNUMBER(SEARCH("pay out",$B675))+ISNUMBER(SEARCH("reimburs",$B675))&gt;0,"Transfer",IF(ISNUMBER(SEARCH("loan",$B675))+ISNUMBER(SEARCH("amort",$B675))+ISNUMBER(SEARCH("installment",$B675))+ISNUMBER(SEARCH("instalment",$B675))&gt;0,"Financing",IF(ISNUMBER(SEARCH("draw",$B675))+ISNUMBER(SEARCH("owner",$B675))+ISNUMBER(SEARCH("asset",$B675))+ISNUMBER(SEARCH("capital",$B675))&gt;0,"Other",IF(ISNUMBER(SEARCH("fuel",$B675))+ISNUMBER(SEARCH("diesel",$B675))+ISNUMBER(SEARCH("krudo",$B675))+ISNUMBER(SEARCH("gasolina",$B675))+ISNUMBER(SEARCH("toll",$B675))+ISNUMBER(SEARCH("parking",$B675))+ISNUMBER(SEARCH("repair",$B675))+ISNUMBER(SEARCH("maintenance",$B675))+ISNUMBER(SEARCH("tire",$B675))+ISNUMBER(SEARCH("tyre",$B675))+ISNUMBER(SEARCH("battery",$B675))+ISNUMBER(SEARCH("oil",$B675))+ISNUMBER(SEARCH("filter",$B675))+ISNUMBER(SEARCH("spare",$B675))+ISNUMBER(SEARCH("insurance",$B675))+ISNUMBER(SEARCH("lto",$B675))+ISNUMBER(SEARCH("registration",$B675))+ISNUMBER(SEARCH("emission",$B675))+ISNUMBER(SEARCH("wash",$B675))+ISNUMBER(SEARCH("weigh",$B675))+ISNUMBER(SEARCH("tarp",$B675))&gt;0,"Vehicle",IF(ISNUMBER(SEARCH("rent",$B675))+ISNUMBER(SEARCH("upa",$B675))+ISNUMBER(SEARCH("salary",$B675))+ISNUMBER(SEARCH("sweldo",$B675))+ISNUMBER(SEARCH("wage",$B675))+ISNUMBER(SEARCH("electric",$B675))+ISNUMBER(SEARCH("kuryente",$B675))+ISNUMBER(SEARCH("water",$B675))+ISNUMBER(SEARCH("tubig",$B675))+ISNUMBER(SEARCH("internet",$B675))+ISNUMBER(SEARCH("pldt",$B675))+ISNUMBER(SEARCH("meralco",$B675))+ISNUMBER(SEARCH("supplies",$B675))+ISNUMBER(SEARCH("office",$B675))+ISNUMBER(SEARCH("professional",$B675))+ISNUMBER(SEARCH("accountant",$B675))+ISNUMBER(SEARCH("lawyer",$B675))+ISNUMBER(SEARCH("broker",$B675))+ISNUMBER(SEARCH("bank",$B675))+ISNUMBER(SEARCH("charge",$B675))+ISNUMBER(SEARCH("permit",$B675))+ISNUMBER(SEARCH("bir",$B675))+ISNUMBER(SEARCH("ltfrb",$B675))+ISNUMBER(SEARCH("misc",$B675))+ISNUMBER(SEARCH("fee",$B675))&gt;0,"Overhead","Overhead")))))))</f>
        <v/>
      </c>
      <c r="J675">
        <f>IF($A675="","",DATE(YEAR($A675),MONTH($A675),1))</f>
        <v/>
      </c>
      <c r="K675">
        <f>IF($B675="","",IF(COUNTIF(Setup!$A$99:$A$128,$B675)&gt;0,0,1))</f>
        <v/>
      </c>
      <c r="L675">
        <f>IF($B675="","",IF(ISNUMBER(SEARCH("advance",$B675)),"ADV",IF(OR(ISNUMBER(SEARCH("payout",$B675)),ISNUMBER(SEARCH("pay out",$B675)),ISNUMBER(SEARCH("release",$B675))),"PAY","")))</f>
        <v/>
      </c>
      <c r="M675">
        <f>IF($B675="","",IF(ISNUMBER(SEARCH("bulk",$B675)),0,IF(ISNUMBER(SEARCH("fuel",$B675))+ISNUMBER(SEARCH("diesel",$B675))+ISNUMBER(SEARCH("krudo",$B675))+ISNUMBER(SEARCH("gasolina",$B675))&gt;0,1,0)))</f>
        <v/>
      </c>
      <c r="N675">
        <f>IF($B675="","",IF(ISNUMBER(SEARCH("fuel",$B675))+ISNUMBER(SEARCH("diesel",$B675))+ISNUMBER(SEARCH("krudo",$B675))+ISNUMBER(SEARCH("gasolina",$B675))&gt;0,1,0))</f>
        <v/>
      </c>
    </row>
    <row r="676">
      <c r="A676" s="94" t="n"/>
      <c r="B676" s="96" t="n"/>
      <c r="C676" s="96" t="n"/>
      <c r="D676" s="95" t="n"/>
      <c r="E676" s="96" t="n"/>
      <c r="F676" s="99" t="n"/>
      <c r="G676" s="95" t="n"/>
      <c r="H676" s="95" t="n"/>
      <c r="I676" s="101">
        <f>IF($B676="","",IF(COUNTIF(Setup!$A$99:$A$128,$B676)&gt;0,IF(INDEX(Setup!$B$99:$B$128,MATCH($B676,Setup!$A$99:$A$128,0))="","Overhead",INDEX(Setup!$B$99:$B$128,MATCH($B676,Setup!$A$99:$A$128,0))),IF(ISNUMBER(SEARCH("advance",$B676))+ISNUMBER(SEARCH("payout",$B676))+ISNUMBER(SEARCH("pay out",$B676))+ISNUMBER(SEARCH("reimburs",$B676))&gt;0,"Transfer",IF(ISNUMBER(SEARCH("loan",$B676))+ISNUMBER(SEARCH("amort",$B676))+ISNUMBER(SEARCH("installment",$B676))+ISNUMBER(SEARCH("instalment",$B676))&gt;0,"Financing",IF(ISNUMBER(SEARCH("draw",$B676))+ISNUMBER(SEARCH("owner",$B676))+ISNUMBER(SEARCH("asset",$B676))+ISNUMBER(SEARCH("capital",$B676))&gt;0,"Other",IF(ISNUMBER(SEARCH("fuel",$B676))+ISNUMBER(SEARCH("diesel",$B676))+ISNUMBER(SEARCH("krudo",$B676))+ISNUMBER(SEARCH("gasolina",$B676))+ISNUMBER(SEARCH("toll",$B676))+ISNUMBER(SEARCH("parking",$B676))+ISNUMBER(SEARCH("repair",$B676))+ISNUMBER(SEARCH("maintenance",$B676))+ISNUMBER(SEARCH("tire",$B676))+ISNUMBER(SEARCH("tyre",$B676))+ISNUMBER(SEARCH("battery",$B676))+ISNUMBER(SEARCH("oil",$B676))+ISNUMBER(SEARCH("filter",$B676))+ISNUMBER(SEARCH("spare",$B676))+ISNUMBER(SEARCH("insurance",$B676))+ISNUMBER(SEARCH("lto",$B676))+ISNUMBER(SEARCH("registration",$B676))+ISNUMBER(SEARCH("emission",$B676))+ISNUMBER(SEARCH("wash",$B676))+ISNUMBER(SEARCH("weigh",$B676))+ISNUMBER(SEARCH("tarp",$B676))&gt;0,"Vehicle",IF(ISNUMBER(SEARCH("rent",$B676))+ISNUMBER(SEARCH("upa",$B676))+ISNUMBER(SEARCH("salary",$B676))+ISNUMBER(SEARCH("sweldo",$B676))+ISNUMBER(SEARCH("wage",$B676))+ISNUMBER(SEARCH("electric",$B676))+ISNUMBER(SEARCH("kuryente",$B676))+ISNUMBER(SEARCH("water",$B676))+ISNUMBER(SEARCH("tubig",$B676))+ISNUMBER(SEARCH("internet",$B676))+ISNUMBER(SEARCH("pldt",$B676))+ISNUMBER(SEARCH("meralco",$B676))+ISNUMBER(SEARCH("supplies",$B676))+ISNUMBER(SEARCH("office",$B676))+ISNUMBER(SEARCH("professional",$B676))+ISNUMBER(SEARCH("accountant",$B676))+ISNUMBER(SEARCH("lawyer",$B676))+ISNUMBER(SEARCH("broker",$B676))+ISNUMBER(SEARCH("bank",$B676))+ISNUMBER(SEARCH("charge",$B676))+ISNUMBER(SEARCH("permit",$B676))+ISNUMBER(SEARCH("bir",$B676))+ISNUMBER(SEARCH("ltfrb",$B676))+ISNUMBER(SEARCH("misc",$B676))+ISNUMBER(SEARCH("fee",$B676))&gt;0,"Overhead","Overhead")))))))</f>
        <v/>
      </c>
      <c r="J676">
        <f>IF($A676="","",DATE(YEAR($A676),MONTH($A676),1))</f>
        <v/>
      </c>
      <c r="K676">
        <f>IF($B676="","",IF(COUNTIF(Setup!$A$99:$A$128,$B676)&gt;0,0,1))</f>
        <v/>
      </c>
      <c r="L676">
        <f>IF($B676="","",IF(ISNUMBER(SEARCH("advance",$B676)),"ADV",IF(OR(ISNUMBER(SEARCH("payout",$B676)),ISNUMBER(SEARCH("pay out",$B676)),ISNUMBER(SEARCH("release",$B676))),"PAY","")))</f>
        <v/>
      </c>
      <c r="M676">
        <f>IF($B676="","",IF(ISNUMBER(SEARCH("bulk",$B676)),0,IF(ISNUMBER(SEARCH("fuel",$B676))+ISNUMBER(SEARCH("diesel",$B676))+ISNUMBER(SEARCH("krudo",$B676))+ISNUMBER(SEARCH("gasolina",$B676))&gt;0,1,0)))</f>
        <v/>
      </c>
      <c r="N676">
        <f>IF($B676="","",IF(ISNUMBER(SEARCH("fuel",$B676))+ISNUMBER(SEARCH("diesel",$B676))+ISNUMBER(SEARCH("krudo",$B676))+ISNUMBER(SEARCH("gasolina",$B676))&gt;0,1,0))</f>
        <v/>
      </c>
    </row>
    <row r="677">
      <c r="A677" s="86" t="n"/>
      <c r="B677" s="88" t="n"/>
      <c r="C677" s="88" t="n"/>
      <c r="D677" s="87" t="n"/>
      <c r="E677" s="88" t="n"/>
      <c r="F677" s="92" t="n"/>
      <c r="G677" s="87" t="n"/>
      <c r="H677" s="87" t="n"/>
      <c r="I677" s="101">
        <f>IF($B677="","",IF(COUNTIF(Setup!$A$99:$A$128,$B677)&gt;0,IF(INDEX(Setup!$B$99:$B$128,MATCH($B677,Setup!$A$99:$A$128,0))="","Overhead",INDEX(Setup!$B$99:$B$128,MATCH($B677,Setup!$A$99:$A$128,0))),IF(ISNUMBER(SEARCH("advance",$B677))+ISNUMBER(SEARCH("payout",$B677))+ISNUMBER(SEARCH("pay out",$B677))+ISNUMBER(SEARCH("reimburs",$B677))&gt;0,"Transfer",IF(ISNUMBER(SEARCH("loan",$B677))+ISNUMBER(SEARCH("amort",$B677))+ISNUMBER(SEARCH("installment",$B677))+ISNUMBER(SEARCH("instalment",$B677))&gt;0,"Financing",IF(ISNUMBER(SEARCH("draw",$B677))+ISNUMBER(SEARCH("owner",$B677))+ISNUMBER(SEARCH("asset",$B677))+ISNUMBER(SEARCH("capital",$B677))&gt;0,"Other",IF(ISNUMBER(SEARCH("fuel",$B677))+ISNUMBER(SEARCH("diesel",$B677))+ISNUMBER(SEARCH("krudo",$B677))+ISNUMBER(SEARCH("gasolina",$B677))+ISNUMBER(SEARCH("toll",$B677))+ISNUMBER(SEARCH("parking",$B677))+ISNUMBER(SEARCH("repair",$B677))+ISNUMBER(SEARCH("maintenance",$B677))+ISNUMBER(SEARCH("tire",$B677))+ISNUMBER(SEARCH("tyre",$B677))+ISNUMBER(SEARCH("battery",$B677))+ISNUMBER(SEARCH("oil",$B677))+ISNUMBER(SEARCH("filter",$B677))+ISNUMBER(SEARCH("spare",$B677))+ISNUMBER(SEARCH("insurance",$B677))+ISNUMBER(SEARCH("lto",$B677))+ISNUMBER(SEARCH("registration",$B677))+ISNUMBER(SEARCH("emission",$B677))+ISNUMBER(SEARCH("wash",$B677))+ISNUMBER(SEARCH("weigh",$B677))+ISNUMBER(SEARCH("tarp",$B677))&gt;0,"Vehicle",IF(ISNUMBER(SEARCH("rent",$B677))+ISNUMBER(SEARCH("upa",$B677))+ISNUMBER(SEARCH("salary",$B677))+ISNUMBER(SEARCH("sweldo",$B677))+ISNUMBER(SEARCH("wage",$B677))+ISNUMBER(SEARCH("electric",$B677))+ISNUMBER(SEARCH("kuryente",$B677))+ISNUMBER(SEARCH("water",$B677))+ISNUMBER(SEARCH("tubig",$B677))+ISNUMBER(SEARCH("internet",$B677))+ISNUMBER(SEARCH("pldt",$B677))+ISNUMBER(SEARCH("meralco",$B677))+ISNUMBER(SEARCH("supplies",$B677))+ISNUMBER(SEARCH("office",$B677))+ISNUMBER(SEARCH("professional",$B677))+ISNUMBER(SEARCH("accountant",$B677))+ISNUMBER(SEARCH("lawyer",$B677))+ISNUMBER(SEARCH("broker",$B677))+ISNUMBER(SEARCH("bank",$B677))+ISNUMBER(SEARCH("charge",$B677))+ISNUMBER(SEARCH("permit",$B677))+ISNUMBER(SEARCH("bir",$B677))+ISNUMBER(SEARCH("ltfrb",$B677))+ISNUMBER(SEARCH("misc",$B677))+ISNUMBER(SEARCH("fee",$B677))&gt;0,"Overhead","Overhead")))))))</f>
        <v/>
      </c>
      <c r="J677">
        <f>IF($A677="","",DATE(YEAR($A677),MONTH($A677),1))</f>
        <v/>
      </c>
      <c r="K677">
        <f>IF($B677="","",IF(COUNTIF(Setup!$A$99:$A$128,$B677)&gt;0,0,1))</f>
        <v/>
      </c>
      <c r="L677">
        <f>IF($B677="","",IF(ISNUMBER(SEARCH("advance",$B677)),"ADV",IF(OR(ISNUMBER(SEARCH("payout",$B677)),ISNUMBER(SEARCH("pay out",$B677)),ISNUMBER(SEARCH("release",$B677))),"PAY","")))</f>
        <v/>
      </c>
      <c r="M677">
        <f>IF($B677="","",IF(ISNUMBER(SEARCH("bulk",$B677)),0,IF(ISNUMBER(SEARCH("fuel",$B677))+ISNUMBER(SEARCH("diesel",$B677))+ISNUMBER(SEARCH("krudo",$B677))+ISNUMBER(SEARCH("gasolina",$B677))&gt;0,1,0)))</f>
        <v/>
      </c>
      <c r="N677">
        <f>IF($B677="","",IF(ISNUMBER(SEARCH("fuel",$B677))+ISNUMBER(SEARCH("diesel",$B677))+ISNUMBER(SEARCH("krudo",$B677))+ISNUMBER(SEARCH("gasolina",$B677))&gt;0,1,0))</f>
        <v/>
      </c>
    </row>
    <row r="678">
      <c r="A678" s="94" t="n"/>
      <c r="B678" s="96" t="n"/>
      <c r="C678" s="96" t="n"/>
      <c r="D678" s="95" t="n"/>
      <c r="E678" s="96" t="n"/>
      <c r="F678" s="99" t="n"/>
      <c r="G678" s="95" t="n"/>
      <c r="H678" s="95" t="n"/>
      <c r="I678" s="101">
        <f>IF($B678="","",IF(COUNTIF(Setup!$A$99:$A$128,$B678)&gt;0,IF(INDEX(Setup!$B$99:$B$128,MATCH($B678,Setup!$A$99:$A$128,0))="","Overhead",INDEX(Setup!$B$99:$B$128,MATCH($B678,Setup!$A$99:$A$128,0))),IF(ISNUMBER(SEARCH("advance",$B678))+ISNUMBER(SEARCH("payout",$B678))+ISNUMBER(SEARCH("pay out",$B678))+ISNUMBER(SEARCH("reimburs",$B678))&gt;0,"Transfer",IF(ISNUMBER(SEARCH("loan",$B678))+ISNUMBER(SEARCH("amort",$B678))+ISNUMBER(SEARCH("installment",$B678))+ISNUMBER(SEARCH("instalment",$B678))&gt;0,"Financing",IF(ISNUMBER(SEARCH("draw",$B678))+ISNUMBER(SEARCH("owner",$B678))+ISNUMBER(SEARCH("asset",$B678))+ISNUMBER(SEARCH("capital",$B678))&gt;0,"Other",IF(ISNUMBER(SEARCH("fuel",$B678))+ISNUMBER(SEARCH("diesel",$B678))+ISNUMBER(SEARCH("krudo",$B678))+ISNUMBER(SEARCH("gasolina",$B678))+ISNUMBER(SEARCH("toll",$B678))+ISNUMBER(SEARCH("parking",$B678))+ISNUMBER(SEARCH("repair",$B678))+ISNUMBER(SEARCH("maintenance",$B678))+ISNUMBER(SEARCH("tire",$B678))+ISNUMBER(SEARCH("tyre",$B678))+ISNUMBER(SEARCH("battery",$B678))+ISNUMBER(SEARCH("oil",$B678))+ISNUMBER(SEARCH("filter",$B678))+ISNUMBER(SEARCH("spare",$B678))+ISNUMBER(SEARCH("insurance",$B678))+ISNUMBER(SEARCH("lto",$B678))+ISNUMBER(SEARCH("registration",$B678))+ISNUMBER(SEARCH("emission",$B678))+ISNUMBER(SEARCH("wash",$B678))+ISNUMBER(SEARCH("weigh",$B678))+ISNUMBER(SEARCH("tarp",$B678))&gt;0,"Vehicle",IF(ISNUMBER(SEARCH("rent",$B678))+ISNUMBER(SEARCH("upa",$B678))+ISNUMBER(SEARCH("salary",$B678))+ISNUMBER(SEARCH("sweldo",$B678))+ISNUMBER(SEARCH("wage",$B678))+ISNUMBER(SEARCH("electric",$B678))+ISNUMBER(SEARCH("kuryente",$B678))+ISNUMBER(SEARCH("water",$B678))+ISNUMBER(SEARCH("tubig",$B678))+ISNUMBER(SEARCH("internet",$B678))+ISNUMBER(SEARCH("pldt",$B678))+ISNUMBER(SEARCH("meralco",$B678))+ISNUMBER(SEARCH("supplies",$B678))+ISNUMBER(SEARCH("office",$B678))+ISNUMBER(SEARCH("professional",$B678))+ISNUMBER(SEARCH("accountant",$B678))+ISNUMBER(SEARCH("lawyer",$B678))+ISNUMBER(SEARCH("broker",$B678))+ISNUMBER(SEARCH("bank",$B678))+ISNUMBER(SEARCH("charge",$B678))+ISNUMBER(SEARCH("permit",$B678))+ISNUMBER(SEARCH("bir",$B678))+ISNUMBER(SEARCH("ltfrb",$B678))+ISNUMBER(SEARCH("misc",$B678))+ISNUMBER(SEARCH("fee",$B678))&gt;0,"Overhead","Overhead")))))))</f>
        <v/>
      </c>
      <c r="J678">
        <f>IF($A678="","",DATE(YEAR($A678),MONTH($A678),1))</f>
        <v/>
      </c>
      <c r="K678">
        <f>IF($B678="","",IF(COUNTIF(Setup!$A$99:$A$128,$B678)&gt;0,0,1))</f>
        <v/>
      </c>
      <c r="L678">
        <f>IF($B678="","",IF(ISNUMBER(SEARCH("advance",$B678)),"ADV",IF(OR(ISNUMBER(SEARCH("payout",$B678)),ISNUMBER(SEARCH("pay out",$B678)),ISNUMBER(SEARCH("release",$B678))),"PAY","")))</f>
        <v/>
      </c>
      <c r="M678">
        <f>IF($B678="","",IF(ISNUMBER(SEARCH("bulk",$B678)),0,IF(ISNUMBER(SEARCH("fuel",$B678))+ISNUMBER(SEARCH("diesel",$B678))+ISNUMBER(SEARCH("krudo",$B678))+ISNUMBER(SEARCH("gasolina",$B678))&gt;0,1,0)))</f>
        <v/>
      </c>
      <c r="N678">
        <f>IF($B678="","",IF(ISNUMBER(SEARCH("fuel",$B678))+ISNUMBER(SEARCH("diesel",$B678))+ISNUMBER(SEARCH("krudo",$B678))+ISNUMBER(SEARCH("gasolina",$B678))&gt;0,1,0))</f>
        <v/>
      </c>
    </row>
    <row r="679">
      <c r="A679" s="86" t="n"/>
      <c r="B679" s="88" t="n"/>
      <c r="C679" s="88" t="n"/>
      <c r="D679" s="87" t="n"/>
      <c r="E679" s="88" t="n"/>
      <c r="F679" s="92" t="n"/>
      <c r="G679" s="87" t="n"/>
      <c r="H679" s="87" t="n"/>
      <c r="I679" s="101">
        <f>IF($B679="","",IF(COUNTIF(Setup!$A$99:$A$128,$B679)&gt;0,IF(INDEX(Setup!$B$99:$B$128,MATCH($B679,Setup!$A$99:$A$128,0))="","Overhead",INDEX(Setup!$B$99:$B$128,MATCH($B679,Setup!$A$99:$A$128,0))),IF(ISNUMBER(SEARCH("advance",$B679))+ISNUMBER(SEARCH("payout",$B679))+ISNUMBER(SEARCH("pay out",$B679))+ISNUMBER(SEARCH("reimburs",$B679))&gt;0,"Transfer",IF(ISNUMBER(SEARCH("loan",$B679))+ISNUMBER(SEARCH("amort",$B679))+ISNUMBER(SEARCH("installment",$B679))+ISNUMBER(SEARCH("instalment",$B679))&gt;0,"Financing",IF(ISNUMBER(SEARCH("draw",$B679))+ISNUMBER(SEARCH("owner",$B679))+ISNUMBER(SEARCH("asset",$B679))+ISNUMBER(SEARCH("capital",$B679))&gt;0,"Other",IF(ISNUMBER(SEARCH("fuel",$B679))+ISNUMBER(SEARCH("diesel",$B679))+ISNUMBER(SEARCH("krudo",$B679))+ISNUMBER(SEARCH("gasolina",$B679))+ISNUMBER(SEARCH("toll",$B679))+ISNUMBER(SEARCH("parking",$B679))+ISNUMBER(SEARCH("repair",$B679))+ISNUMBER(SEARCH("maintenance",$B679))+ISNUMBER(SEARCH("tire",$B679))+ISNUMBER(SEARCH("tyre",$B679))+ISNUMBER(SEARCH("battery",$B679))+ISNUMBER(SEARCH("oil",$B679))+ISNUMBER(SEARCH("filter",$B679))+ISNUMBER(SEARCH("spare",$B679))+ISNUMBER(SEARCH("insurance",$B679))+ISNUMBER(SEARCH("lto",$B679))+ISNUMBER(SEARCH("registration",$B679))+ISNUMBER(SEARCH("emission",$B679))+ISNUMBER(SEARCH("wash",$B679))+ISNUMBER(SEARCH("weigh",$B679))+ISNUMBER(SEARCH("tarp",$B679))&gt;0,"Vehicle",IF(ISNUMBER(SEARCH("rent",$B679))+ISNUMBER(SEARCH("upa",$B679))+ISNUMBER(SEARCH("salary",$B679))+ISNUMBER(SEARCH("sweldo",$B679))+ISNUMBER(SEARCH("wage",$B679))+ISNUMBER(SEARCH("electric",$B679))+ISNUMBER(SEARCH("kuryente",$B679))+ISNUMBER(SEARCH("water",$B679))+ISNUMBER(SEARCH("tubig",$B679))+ISNUMBER(SEARCH("internet",$B679))+ISNUMBER(SEARCH("pldt",$B679))+ISNUMBER(SEARCH("meralco",$B679))+ISNUMBER(SEARCH("supplies",$B679))+ISNUMBER(SEARCH("office",$B679))+ISNUMBER(SEARCH("professional",$B679))+ISNUMBER(SEARCH("accountant",$B679))+ISNUMBER(SEARCH("lawyer",$B679))+ISNUMBER(SEARCH("broker",$B679))+ISNUMBER(SEARCH("bank",$B679))+ISNUMBER(SEARCH("charge",$B679))+ISNUMBER(SEARCH("permit",$B679))+ISNUMBER(SEARCH("bir",$B679))+ISNUMBER(SEARCH("ltfrb",$B679))+ISNUMBER(SEARCH("misc",$B679))+ISNUMBER(SEARCH("fee",$B679))&gt;0,"Overhead","Overhead")))))))</f>
        <v/>
      </c>
      <c r="J679">
        <f>IF($A679="","",DATE(YEAR($A679),MONTH($A679),1))</f>
        <v/>
      </c>
      <c r="K679">
        <f>IF($B679="","",IF(COUNTIF(Setup!$A$99:$A$128,$B679)&gt;0,0,1))</f>
        <v/>
      </c>
      <c r="L679">
        <f>IF($B679="","",IF(ISNUMBER(SEARCH("advance",$B679)),"ADV",IF(OR(ISNUMBER(SEARCH("payout",$B679)),ISNUMBER(SEARCH("pay out",$B679)),ISNUMBER(SEARCH("release",$B679))),"PAY","")))</f>
        <v/>
      </c>
      <c r="M679">
        <f>IF($B679="","",IF(ISNUMBER(SEARCH("bulk",$B679)),0,IF(ISNUMBER(SEARCH("fuel",$B679))+ISNUMBER(SEARCH("diesel",$B679))+ISNUMBER(SEARCH("krudo",$B679))+ISNUMBER(SEARCH("gasolina",$B679))&gt;0,1,0)))</f>
        <v/>
      </c>
      <c r="N679">
        <f>IF($B679="","",IF(ISNUMBER(SEARCH("fuel",$B679))+ISNUMBER(SEARCH("diesel",$B679))+ISNUMBER(SEARCH("krudo",$B679))+ISNUMBER(SEARCH("gasolina",$B679))&gt;0,1,0))</f>
        <v/>
      </c>
    </row>
    <row r="680">
      <c r="A680" s="94" t="n"/>
      <c r="B680" s="96" t="n"/>
      <c r="C680" s="96" t="n"/>
      <c r="D680" s="95" t="n"/>
      <c r="E680" s="96" t="n"/>
      <c r="F680" s="99" t="n"/>
      <c r="G680" s="95" t="n"/>
      <c r="H680" s="95" t="n"/>
      <c r="I680" s="101">
        <f>IF($B680="","",IF(COUNTIF(Setup!$A$99:$A$128,$B680)&gt;0,IF(INDEX(Setup!$B$99:$B$128,MATCH($B680,Setup!$A$99:$A$128,0))="","Overhead",INDEX(Setup!$B$99:$B$128,MATCH($B680,Setup!$A$99:$A$128,0))),IF(ISNUMBER(SEARCH("advance",$B680))+ISNUMBER(SEARCH("payout",$B680))+ISNUMBER(SEARCH("pay out",$B680))+ISNUMBER(SEARCH("reimburs",$B680))&gt;0,"Transfer",IF(ISNUMBER(SEARCH("loan",$B680))+ISNUMBER(SEARCH("amort",$B680))+ISNUMBER(SEARCH("installment",$B680))+ISNUMBER(SEARCH("instalment",$B680))&gt;0,"Financing",IF(ISNUMBER(SEARCH("draw",$B680))+ISNUMBER(SEARCH("owner",$B680))+ISNUMBER(SEARCH("asset",$B680))+ISNUMBER(SEARCH("capital",$B680))&gt;0,"Other",IF(ISNUMBER(SEARCH("fuel",$B680))+ISNUMBER(SEARCH("diesel",$B680))+ISNUMBER(SEARCH("krudo",$B680))+ISNUMBER(SEARCH("gasolina",$B680))+ISNUMBER(SEARCH("toll",$B680))+ISNUMBER(SEARCH("parking",$B680))+ISNUMBER(SEARCH("repair",$B680))+ISNUMBER(SEARCH("maintenance",$B680))+ISNUMBER(SEARCH("tire",$B680))+ISNUMBER(SEARCH("tyre",$B680))+ISNUMBER(SEARCH("battery",$B680))+ISNUMBER(SEARCH("oil",$B680))+ISNUMBER(SEARCH("filter",$B680))+ISNUMBER(SEARCH("spare",$B680))+ISNUMBER(SEARCH("insurance",$B680))+ISNUMBER(SEARCH("lto",$B680))+ISNUMBER(SEARCH("registration",$B680))+ISNUMBER(SEARCH("emission",$B680))+ISNUMBER(SEARCH("wash",$B680))+ISNUMBER(SEARCH("weigh",$B680))+ISNUMBER(SEARCH("tarp",$B680))&gt;0,"Vehicle",IF(ISNUMBER(SEARCH("rent",$B680))+ISNUMBER(SEARCH("upa",$B680))+ISNUMBER(SEARCH("salary",$B680))+ISNUMBER(SEARCH("sweldo",$B680))+ISNUMBER(SEARCH("wage",$B680))+ISNUMBER(SEARCH("electric",$B680))+ISNUMBER(SEARCH("kuryente",$B680))+ISNUMBER(SEARCH("water",$B680))+ISNUMBER(SEARCH("tubig",$B680))+ISNUMBER(SEARCH("internet",$B680))+ISNUMBER(SEARCH("pldt",$B680))+ISNUMBER(SEARCH("meralco",$B680))+ISNUMBER(SEARCH("supplies",$B680))+ISNUMBER(SEARCH("office",$B680))+ISNUMBER(SEARCH("professional",$B680))+ISNUMBER(SEARCH("accountant",$B680))+ISNUMBER(SEARCH("lawyer",$B680))+ISNUMBER(SEARCH("broker",$B680))+ISNUMBER(SEARCH("bank",$B680))+ISNUMBER(SEARCH("charge",$B680))+ISNUMBER(SEARCH("permit",$B680))+ISNUMBER(SEARCH("bir",$B680))+ISNUMBER(SEARCH("ltfrb",$B680))+ISNUMBER(SEARCH("misc",$B680))+ISNUMBER(SEARCH("fee",$B680))&gt;0,"Overhead","Overhead")))))))</f>
        <v/>
      </c>
      <c r="J680">
        <f>IF($A680="","",DATE(YEAR($A680),MONTH($A680),1))</f>
        <v/>
      </c>
      <c r="K680">
        <f>IF($B680="","",IF(COUNTIF(Setup!$A$99:$A$128,$B680)&gt;0,0,1))</f>
        <v/>
      </c>
      <c r="L680">
        <f>IF($B680="","",IF(ISNUMBER(SEARCH("advance",$B680)),"ADV",IF(OR(ISNUMBER(SEARCH("payout",$B680)),ISNUMBER(SEARCH("pay out",$B680)),ISNUMBER(SEARCH("release",$B680))),"PAY","")))</f>
        <v/>
      </c>
      <c r="M680">
        <f>IF($B680="","",IF(ISNUMBER(SEARCH("bulk",$B680)),0,IF(ISNUMBER(SEARCH("fuel",$B680))+ISNUMBER(SEARCH("diesel",$B680))+ISNUMBER(SEARCH("krudo",$B680))+ISNUMBER(SEARCH("gasolina",$B680))&gt;0,1,0)))</f>
        <v/>
      </c>
      <c r="N680">
        <f>IF($B680="","",IF(ISNUMBER(SEARCH("fuel",$B680))+ISNUMBER(SEARCH("diesel",$B680))+ISNUMBER(SEARCH("krudo",$B680))+ISNUMBER(SEARCH("gasolina",$B680))&gt;0,1,0))</f>
        <v/>
      </c>
    </row>
    <row r="681">
      <c r="A681" s="86" t="n"/>
      <c r="B681" s="88" t="n"/>
      <c r="C681" s="88" t="n"/>
      <c r="D681" s="87" t="n"/>
      <c r="E681" s="88" t="n"/>
      <c r="F681" s="92" t="n"/>
      <c r="G681" s="87" t="n"/>
      <c r="H681" s="87" t="n"/>
      <c r="I681" s="101">
        <f>IF($B681="","",IF(COUNTIF(Setup!$A$99:$A$128,$B681)&gt;0,IF(INDEX(Setup!$B$99:$B$128,MATCH($B681,Setup!$A$99:$A$128,0))="","Overhead",INDEX(Setup!$B$99:$B$128,MATCH($B681,Setup!$A$99:$A$128,0))),IF(ISNUMBER(SEARCH("advance",$B681))+ISNUMBER(SEARCH("payout",$B681))+ISNUMBER(SEARCH("pay out",$B681))+ISNUMBER(SEARCH("reimburs",$B681))&gt;0,"Transfer",IF(ISNUMBER(SEARCH("loan",$B681))+ISNUMBER(SEARCH("amort",$B681))+ISNUMBER(SEARCH("installment",$B681))+ISNUMBER(SEARCH("instalment",$B681))&gt;0,"Financing",IF(ISNUMBER(SEARCH("draw",$B681))+ISNUMBER(SEARCH("owner",$B681))+ISNUMBER(SEARCH("asset",$B681))+ISNUMBER(SEARCH("capital",$B681))&gt;0,"Other",IF(ISNUMBER(SEARCH("fuel",$B681))+ISNUMBER(SEARCH("diesel",$B681))+ISNUMBER(SEARCH("krudo",$B681))+ISNUMBER(SEARCH("gasolina",$B681))+ISNUMBER(SEARCH("toll",$B681))+ISNUMBER(SEARCH("parking",$B681))+ISNUMBER(SEARCH("repair",$B681))+ISNUMBER(SEARCH("maintenance",$B681))+ISNUMBER(SEARCH("tire",$B681))+ISNUMBER(SEARCH("tyre",$B681))+ISNUMBER(SEARCH("battery",$B681))+ISNUMBER(SEARCH("oil",$B681))+ISNUMBER(SEARCH("filter",$B681))+ISNUMBER(SEARCH("spare",$B681))+ISNUMBER(SEARCH("insurance",$B681))+ISNUMBER(SEARCH("lto",$B681))+ISNUMBER(SEARCH("registration",$B681))+ISNUMBER(SEARCH("emission",$B681))+ISNUMBER(SEARCH("wash",$B681))+ISNUMBER(SEARCH("weigh",$B681))+ISNUMBER(SEARCH("tarp",$B681))&gt;0,"Vehicle",IF(ISNUMBER(SEARCH("rent",$B681))+ISNUMBER(SEARCH("upa",$B681))+ISNUMBER(SEARCH("salary",$B681))+ISNUMBER(SEARCH("sweldo",$B681))+ISNUMBER(SEARCH("wage",$B681))+ISNUMBER(SEARCH("electric",$B681))+ISNUMBER(SEARCH("kuryente",$B681))+ISNUMBER(SEARCH("water",$B681))+ISNUMBER(SEARCH("tubig",$B681))+ISNUMBER(SEARCH("internet",$B681))+ISNUMBER(SEARCH("pldt",$B681))+ISNUMBER(SEARCH("meralco",$B681))+ISNUMBER(SEARCH("supplies",$B681))+ISNUMBER(SEARCH("office",$B681))+ISNUMBER(SEARCH("professional",$B681))+ISNUMBER(SEARCH("accountant",$B681))+ISNUMBER(SEARCH("lawyer",$B681))+ISNUMBER(SEARCH("broker",$B681))+ISNUMBER(SEARCH("bank",$B681))+ISNUMBER(SEARCH("charge",$B681))+ISNUMBER(SEARCH("permit",$B681))+ISNUMBER(SEARCH("bir",$B681))+ISNUMBER(SEARCH("ltfrb",$B681))+ISNUMBER(SEARCH("misc",$B681))+ISNUMBER(SEARCH("fee",$B681))&gt;0,"Overhead","Overhead")))))))</f>
        <v/>
      </c>
      <c r="J681">
        <f>IF($A681="","",DATE(YEAR($A681),MONTH($A681),1))</f>
        <v/>
      </c>
      <c r="K681">
        <f>IF($B681="","",IF(COUNTIF(Setup!$A$99:$A$128,$B681)&gt;0,0,1))</f>
        <v/>
      </c>
      <c r="L681">
        <f>IF($B681="","",IF(ISNUMBER(SEARCH("advance",$B681)),"ADV",IF(OR(ISNUMBER(SEARCH("payout",$B681)),ISNUMBER(SEARCH("pay out",$B681)),ISNUMBER(SEARCH("release",$B681))),"PAY","")))</f>
        <v/>
      </c>
      <c r="M681">
        <f>IF($B681="","",IF(ISNUMBER(SEARCH("bulk",$B681)),0,IF(ISNUMBER(SEARCH("fuel",$B681))+ISNUMBER(SEARCH("diesel",$B681))+ISNUMBER(SEARCH("krudo",$B681))+ISNUMBER(SEARCH("gasolina",$B681))&gt;0,1,0)))</f>
        <v/>
      </c>
      <c r="N681">
        <f>IF($B681="","",IF(ISNUMBER(SEARCH("fuel",$B681))+ISNUMBER(SEARCH("diesel",$B681))+ISNUMBER(SEARCH("krudo",$B681))+ISNUMBER(SEARCH("gasolina",$B681))&gt;0,1,0))</f>
        <v/>
      </c>
    </row>
    <row r="682">
      <c r="A682" s="94" t="n"/>
      <c r="B682" s="96" t="n"/>
      <c r="C682" s="96" t="n"/>
      <c r="D682" s="95" t="n"/>
      <c r="E682" s="96" t="n"/>
      <c r="F682" s="99" t="n"/>
      <c r="G682" s="95" t="n"/>
      <c r="H682" s="95" t="n"/>
      <c r="I682" s="101">
        <f>IF($B682="","",IF(COUNTIF(Setup!$A$99:$A$128,$B682)&gt;0,IF(INDEX(Setup!$B$99:$B$128,MATCH($B682,Setup!$A$99:$A$128,0))="","Overhead",INDEX(Setup!$B$99:$B$128,MATCH($B682,Setup!$A$99:$A$128,0))),IF(ISNUMBER(SEARCH("advance",$B682))+ISNUMBER(SEARCH("payout",$B682))+ISNUMBER(SEARCH("pay out",$B682))+ISNUMBER(SEARCH("reimburs",$B682))&gt;0,"Transfer",IF(ISNUMBER(SEARCH("loan",$B682))+ISNUMBER(SEARCH("amort",$B682))+ISNUMBER(SEARCH("installment",$B682))+ISNUMBER(SEARCH("instalment",$B682))&gt;0,"Financing",IF(ISNUMBER(SEARCH("draw",$B682))+ISNUMBER(SEARCH("owner",$B682))+ISNUMBER(SEARCH("asset",$B682))+ISNUMBER(SEARCH("capital",$B682))&gt;0,"Other",IF(ISNUMBER(SEARCH("fuel",$B682))+ISNUMBER(SEARCH("diesel",$B682))+ISNUMBER(SEARCH("krudo",$B682))+ISNUMBER(SEARCH("gasolina",$B682))+ISNUMBER(SEARCH("toll",$B682))+ISNUMBER(SEARCH("parking",$B682))+ISNUMBER(SEARCH("repair",$B682))+ISNUMBER(SEARCH("maintenance",$B682))+ISNUMBER(SEARCH("tire",$B682))+ISNUMBER(SEARCH("tyre",$B682))+ISNUMBER(SEARCH("battery",$B682))+ISNUMBER(SEARCH("oil",$B682))+ISNUMBER(SEARCH("filter",$B682))+ISNUMBER(SEARCH("spare",$B682))+ISNUMBER(SEARCH("insurance",$B682))+ISNUMBER(SEARCH("lto",$B682))+ISNUMBER(SEARCH("registration",$B682))+ISNUMBER(SEARCH("emission",$B682))+ISNUMBER(SEARCH("wash",$B682))+ISNUMBER(SEARCH("weigh",$B682))+ISNUMBER(SEARCH("tarp",$B682))&gt;0,"Vehicle",IF(ISNUMBER(SEARCH("rent",$B682))+ISNUMBER(SEARCH("upa",$B682))+ISNUMBER(SEARCH("salary",$B682))+ISNUMBER(SEARCH("sweldo",$B682))+ISNUMBER(SEARCH("wage",$B682))+ISNUMBER(SEARCH("electric",$B682))+ISNUMBER(SEARCH("kuryente",$B682))+ISNUMBER(SEARCH("water",$B682))+ISNUMBER(SEARCH("tubig",$B682))+ISNUMBER(SEARCH("internet",$B682))+ISNUMBER(SEARCH("pldt",$B682))+ISNUMBER(SEARCH("meralco",$B682))+ISNUMBER(SEARCH("supplies",$B682))+ISNUMBER(SEARCH("office",$B682))+ISNUMBER(SEARCH("professional",$B682))+ISNUMBER(SEARCH("accountant",$B682))+ISNUMBER(SEARCH("lawyer",$B682))+ISNUMBER(SEARCH("broker",$B682))+ISNUMBER(SEARCH("bank",$B682))+ISNUMBER(SEARCH("charge",$B682))+ISNUMBER(SEARCH("permit",$B682))+ISNUMBER(SEARCH("bir",$B682))+ISNUMBER(SEARCH("ltfrb",$B682))+ISNUMBER(SEARCH("misc",$B682))+ISNUMBER(SEARCH("fee",$B682))&gt;0,"Overhead","Overhead")))))))</f>
        <v/>
      </c>
      <c r="J682">
        <f>IF($A682="","",DATE(YEAR($A682),MONTH($A682),1))</f>
        <v/>
      </c>
      <c r="K682">
        <f>IF($B682="","",IF(COUNTIF(Setup!$A$99:$A$128,$B682)&gt;0,0,1))</f>
        <v/>
      </c>
      <c r="L682">
        <f>IF($B682="","",IF(ISNUMBER(SEARCH("advance",$B682)),"ADV",IF(OR(ISNUMBER(SEARCH("payout",$B682)),ISNUMBER(SEARCH("pay out",$B682)),ISNUMBER(SEARCH("release",$B682))),"PAY","")))</f>
        <v/>
      </c>
      <c r="M682">
        <f>IF($B682="","",IF(ISNUMBER(SEARCH("bulk",$B682)),0,IF(ISNUMBER(SEARCH("fuel",$B682))+ISNUMBER(SEARCH("diesel",$B682))+ISNUMBER(SEARCH("krudo",$B682))+ISNUMBER(SEARCH("gasolina",$B682))&gt;0,1,0)))</f>
        <v/>
      </c>
      <c r="N682">
        <f>IF($B682="","",IF(ISNUMBER(SEARCH("fuel",$B682))+ISNUMBER(SEARCH("diesel",$B682))+ISNUMBER(SEARCH("krudo",$B682))+ISNUMBER(SEARCH("gasolina",$B682))&gt;0,1,0))</f>
        <v/>
      </c>
    </row>
    <row r="683">
      <c r="A683" s="86" t="n"/>
      <c r="B683" s="88" t="n"/>
      <c r="C683" s="88" t="n"/>
      <c r="D683" s="87" t="n"/>
      <c r="E683" s="88" t="n"/>
      <c r="F683" s="92" t="n"/>
      <c r="G683" s="87" t="n"/>
      <c r="H683" s="87" t="n"/>
      <c r="I683" s="101">
        <f>IF($B683="","",IF(COUNTIF(Setup!$A$99:$A$128,$B683)&gt;0,IF(INDEX(Setup!$B$99:$B$128,MATCH($B683,Setup!$A$99:$A$128,0))="","Overhead",INDEX(Setup!$B$99:$B$128,MATCH($B683,Setup!$A$99:$A$128,0))),IF(ISNUMBER(SEARCH("advance",$B683))+ISNUMBER(SEARCH("payout",$B683))+ISNUMBER(SEARCH("pay out",$B683))+ISNUMBER(SEARCH("reimburs",$B683))&gt;0,"Transfer",IF(ISNUMBER(SEARCH("loan",$B683))+ISNUMBER(SEARCH("amort",$B683))+ISNUMBER(SEARCH("installment",$B683))+ISNUMBER(SEARCH("instalment",$B683))&gt;0,"Financing",IF(ISNUMBER(SEARCH("draw",$B683))+ISNUMBER(SEARCH("owner",$B683))+ISNUMBER(SEARCH("asset",$B683))+ISNUMBER(SEARCH("capital",$B683))&gt;0,"Other",IF(ISNUMBER(SEARCH("fuel",$B683))+ISNUMBER(SEARCH("diesel",$B683))+ISNUMBER(SEARCH("krudo",$B683))+ISNUMBER(SEARCH("gasolina",$B683))+ISNUMBER(SEARCH("toll",$B683))+ISNUMBER(SEARCH("parking",$B683))+ISNUMBER(SEARCH("repair",$B683))+ISNUMBER(SEARCH("maintenance",$B683))+ISNUMBER(SEARCH("tire",$B683))+ISNUMBER(SEARCH("tyre",$B683))+ISNUMBER(SEARCH("battery",$B683))+ISNUMBER(SEARCH("oil",$B683))+ISNUMBER(SEARCH("filter",$B683))+ISNUMBER(SEARCH("spare",$B683))+ISNUMBER(SEARCH("insurance",$B683))+ISNUMBER(SEARCH("lto",$B683))+ISNUMBER(SEARCH("registration",$B683))+ISNUMBER(SEARCH("emission",$B683))+ISNUMBER(SEARCH("wash",$B683))+ISNUMBER(SEARCH("weigh",$B683))+ISNUMBER(SEARCH("tarp",$B683))&gt;0,"Vehicle",IF(ISNUMBER(SEARCH("rent",$B683))+ISNUMBER(SEARCH("upa",$B683))+ISNUMBER(SEARCH("salary",$B683))+ISNUMBER(SEARCH("sweldo",$B683))+ISNUMBER(SEARCH("wage",$B683))+ISNUMBER(SEARCH("electric",$B683))+ISNUMBER(SEARCH("kuryente",$B683))+ISNUMBER(SEARCH("water",$B683))+ISNUMBER(SEARCH("tubig",$B683))+ISNUMBER(SEARCH("internet",$B683))+ISNUMBER(SEARCH("pldt",$B683))+ISNUMBER(SEARCH("meralco",$B683))+ISNUMBER(SEARCH("supplies",$B683))+ISNUMBER(SEARCH("office",$B683))+ISNUMBER(SEARCH("professional",$B683))+ISNUMBER(SEARCH("accountant",$B683))+ISNUMBER(SEARCH("lawyer",$B683))+ISNUMBER(SEARCH("broker",$B683))+ISNUMBER(SEARCH("bank",$B683))+ISNUMBER(SEARCH("charge",$B683))+ISNUMBER(SEARCH("permit",$B683))+ISNUMBER(SEARCH("bir",$B683))+ISNUMBER(SEARCH("ltfrb",$B683))+ISNUMBER(SEARCH("misc",$B683))+ISNUMBER(SEARCH("fee",$B683))&gt;0,"Overhead","Overhead")))))))</f>
        <v/>
      </c>
      <c r="J683">
        <f>IF($A683="","",DATE(YEAR($A683),MONTH($A683),1))</f>
        <v/>
      </c>
      <c r="K683">
        <f>IF($B683="","",IF(COUNTIF(Setup!$A$99:$A$128,$B683)&gt;0,0,1))</f>
        <v/>
      </c>
      <c r="L683">
        <f>IF($B683="","",IF(ISNUMBER(SEARCH("advance",$B683)),"ADV",IF(OR(ISNUMBER(SEARCH("payout",$B683)),ISNUMBER(SEARCH("pay out",$B683)),ISNUMBER(SEARCH("release",$B683))),"PAY","")))</f>
        <v/>
      </c>
      <c r="M683">
        <f>IF($B683="","",IF(ISNUMBER(SEARCH("bulk",$B683)),0,IF(ISNUMBER(SEARCH("fuel",$B683))+ISNUMBER(SEARCH("diesel",$B683))+ISNUMBER(SEARCH("krudo",$B683))+ISNUMBER(SEARCH("gasolina",$B683))&gt;0,1,0)))</f>
        <v/>
      </c>
      <c r="N683">
        <f>IF($B683="","",IF(ISNUMBER(SEARCH("fuel",$B683))+ISNUMBER(SEARCH("diesel",$B683))+ISNUMBER(SEARCH("krudo",$B683))+ISNUMBER(SEARCH("gasolina",$B683))&gt;0,1,0))</f>
        <v/>
      </c>
    </row>
    <row r="684">
      <c r="A684" s="94" t="n"/>
      <c r="B684" s="96" t="n"/>
      <c r="C684" s="96" t="n"/>
      <c r="D684" s="95" t="n"/>
      <c r="E684" s="96" t="n"/>
      <c r="F684" s="99" t="n"/>
      <c r="G684" s="95" t="n"/>
      <c r="H684" s="95" t="n"/>
      <c r="I684" s="101">
        <f>IF($B684="","",IF(COUNTIF(Setup!$A$99:$A$128,$B684)&gt;0,IF(INDEX(Setup!$B$99:$B$128,MATCH($B684,Setup!$A$99:$A$128,0))="","Overhead",INDEX(Setup!$B$99:$B$128,MATCH($B684,Setup!$A$99:$A$128,0))),IF(ISNUMBER(SEARCH("advance",$B684))+ISNUMBER(SEARCH("payout",$B684))+ISNUMBER(SEARCH("pay out",$B684))+ISNUMBER(SEARCH("reimburs",$B684))&gt;0,"Transfer",IF(ISNUMBER(SEARCH("loan",$B684))+ISNUMBER(SEARCH("amort",$B684))+ISNUMBER(SEARCH("installment",$B684))+ISNUMBER(SEARCH("instalment",$B684))&gt;0,"Financing",IF(ISNUMBER(SEARCH("draw",$B684))+ISNUMBER(SEARCH("owner",$B684))+ISNUMBER(SEARCH("asset",$B684))+ISNUMBER(SEARCH("capital",$B684))&gt;0,"Other",IF(ISNUMBER(SEARCH("fuel",$B684))+ISNUMBER(SEARCH("diesel",$B684))+ISNUMBER(SEARCH("krudo",$B684))+ISNUMBER(SEARCH("gasolina",$B684))+ISNUMBER(SEARCH("toll",$B684))+ISNUMBER(SEARCH("parking",$B684))+ISNUMBER(SEARCH("repair",$B684))+ISNUMBER(SEARCH("maintenance",$B684))+ISNUMBER(SEARCH("tire",$B684))+ISNUMBER(SEARCH("tyre",$B684))+ISNUMBER(SEARCH("battery",$B684))+ISNUMBER(SEARCH("oil",$B684))+ISNUMBER(SEARCH("filter",$B684))+ISNUMBER(SEARCH("spare",$B684))+ISNUMBER(SEARCH("insurance",$B684))+ISNUMBER(SEARCH("lto",$B684))+ISNUMBER(SEARCH("registration",$B684))+ISNUMBER(SEARCH("emission",$B684))+ISNUMBER(SEARCH("wash",$B684))+ISNUMBER(SEARCH("weigh",$B684))+ISNUMBER(SEARCH("tarp",$B684))&gt;0,"Vehicle",IF(ISNUMBER(SEARCH("rent",$B684))+ISNUMBER(SEARCH("upa",$B684))+ISNUMBER(SEARCH("salary",$B684))+ISNUMBER(SEARCH("sweldo",$B684))+ISNUMBER(SEARCH("wage",$B684))+ISNUMBER(SEARCH("electric",$B684))+ISNUMBER(SEARCH("kuryente",$B684))+ISNUMBER(SEARCH("water",$B684))+ISNUMBER(SEARCH("tubig",$B684))+ISNUMBER(SEARCH("internet",$B684))+ISNUMBER(SEARCH("pldt",$B684))+ISNUMBER(SEARCH("meralco",$B684))+ISNUMBER(SEARCH("supplies",$B684))+ISNUMBER(SEARCH("office",$B684))+ISNUMBER(SEARCH("professional",$B684))+ISNUMBER(SEARCH("accountant",$B684))+ISNUMBER(SEARCH("lawyer",$B684))+ISNUMBER(SEARCH("broker",$B684))+ISNUMBER(SEARCH("bank",$B684))+ISNUMBER(SEARCH("charge",$B684))+ISNUMBER(SEARCH("permit",$B684))+ISNUMBER(SEARCH("bir",$B684))+ISNUMBER(SEARCH("ltfrb",$B684))+ISNUMBER(SEARCH("misc",$B684))+ISNUMBER(SEARCH("fee",$B684))&gt;0,"Overhead","Overhead")))))))</f>
        <v/>
      </c>
      <c r="J684">
        <f>IF($A684="","",DATE(YEAR($A684),MONTH($A684),1))</f>
        <v/>
      </c>
      <c r="K684">
        <f>IF($B684="","",IF(COUNTIF(Setup!$A$99:$A$128,$B684)&gt;0,0,1))</f>
        <v/>
      </c>
      <c r="L684">
        <f>IF($B684="","",IF(ISNUMBER(SEARCH("advance",$B684)),"ADV",IF(OR(ISNUMBER(SEARCH("payout",$B684)),ISNUMBER(SEARCH("pay out",$B684)),ISNUMBER(SEARCH("release",$B684))),"PAY","")))</f>
        <v/>
      </c>
      <c r="M684">
        <f>IF($B684="","",IF(ISNUMBER(SEARCH("bulk",$B684)),0,IF(ISNUMBER(SEARCH("fuel",$B684))+ISNUMBER(SEARCH("diesel",$B684))+ISNUMBER(SEARCH("krudo",$B684))+ISNUMBER(SEARCH("gasolina",$B684))&gt;0,1,0)))</f>
        <v/>
      </c>
      <c r="N684">
        <f>IF($B684="","",IF(ISNUMBER(SEARCH("fuel",$B684))+ISNUMBER(SEARCH("diesel",$B684))+ISNUMBER(SEARCH("krudo",$B684))+ISNUMBER(SEARCH("gasolina",$B684))&gt;0,1,0))</f>
        <v/>
      </c>
    </row>
    <row r="685">
      <c r="A685" s="86" t="n"/>
      <c r="B685" s="88" t="n"/>
      <c r="C685" s="88" t="n"/>
      <c r="D685" s="87" t="n"/>
      <c r="E685" s="88" t="n"/>
      <c r="F685" s="92" t="n"/>
      <c r="G685" s="87" t="n"/>
      <c r="H685" s="87" t="n"/>
      <c r="I685" s="101">
        <f>IF($B685="","",IF(COUNTIF(Setup!$A$99:$A$128,$B685)&gt;0,IF(INDEX(Setup!$B$99:$B$128,MATCH($B685,Setup!$A$99:$A$128,0))="","Overhead",INDEX(Setup!$B$99:$B$128,MATCH($B685,Setup!$A$99:$A$128,0))),IF(ISNUMBER(SEARCH("advance",$B685))+ISNUMBER(SEARCH("payout",$B685))+ISNUMBER(SEARCH("pay out",$B685))+ISNUMBER(SEARCH("reimburs",$B685))&gt;0,"Transfer",IF(ISNUMBER(SEARCH("loan",$B685))+ISNUMBER(SEARCH("amort",$B685))+ISNUMBER(SEARCH("installment",$B685))+ISNUMBER(SEARCH("instalment",$B685))&gt;0,"Financing",IF(ISNUMBER(SEARCH("draw",$B685))+ISNUMBER(SEARCH("owner",$B685))+ISNUMBER(SEARCH("asset",$B685))+ISNUMBER(SEARCH("capital",$B685))&gt;0,"Other",IF(ISNUMBER(SEARCH("fuel",$B685))+ISNUMBER(SEARCH("diesel",$B685))+ISNUMBER(SEARCH("krudo",$B685))+ISNUMBER(SEARCH("gasolina",$B685))+ISNUMBER(SEARCH("toll",$B685))+ISNUMBER(SEARCH("parking",$B685))+ISNUMBER(SEARCH("repair",$B685))+ISNUMBER(SEARCH("maintenance",$B685))+ISNUMBER(SEARCH("tire",$B685))+ISNUMBER(SEARCH("tyre",$B685))+ISNUMBER(SEARCH("battery",$B685))+ISNUMBER(SEARCH("oil",$B685))+ISNUMBER(SEARCH("filter",$B685))+ISNUMBER(SEARCH("spare",$B685))+ISNUMBER(SEARCH("insurance",$B685))+ISNUMBER(SEARCH("lto",$B685))+ISNUMBER(SEARCH("registration",$B685))+ISNUMBER(SEARCH("emission",$B685))+ISNUMBER(SEARCH("wash",$B685))+ISNUMBER(SEARCH("weigh",$B685))+ISNUMBER(SEARCH("tarp",$B685))&gt;0,"Vehicle",IF(ISNUMBER(SEARCH("rent",$B685))+ISNUMBER(SEARCH("upa",$B685))+ISNUMBER(SEARCH("salary",$B685))+ISNUMBER(SEARCH("sweldo",$B685))+ISNUMBER(SEARCH("wage",$B685))+ISNUMBER(SEARCH("electric",$B685))+ISNUMBER(SEARCH("kuryente",$B685))+ISNUMBER(SEARCH("water",$B685))+ISNUMBER(SEARCH("tubig",$B685))+ISNUMBER(SEARCH("internet",$B685))+ISNUMBER(SEARCH("pldt",$B685))+ISNUMBER(SEARCH("meralco",$B685))+ISNUMBER(SEARCH("supplies",$B685))+ISNUMBER(SEARCH("office",$B685))+ISNUMBER(SEARCH("professional",$B685))+ISNUMBER(SEARCH("accountant",$B685))+ISNUMBER(SEARCH("lawyer",$B685))+ISNUMBER(SEARCH("broker",$B685))+ISNUMBER(SEARCH("bank",$B685))+ISNUMBER(SEARCH("charge",$B685))+ISNUMBER(SEARCH("permit",$B685))+ISNUMBER(SEARCH("bir",$B685))+ISNUMBER(SEARCH("ltfrb",$B685))+ISNUMBER(SEARCH("misc",$B685))+ISNUMBER(SEARCH("fee",$B685))&gt;0,"Overhead","Overhead")))))))</f>
        <v/>
      </c>
      <c r="J685">
        <f>IF($A685="","",DATE(YEAR($A685),MONTH($A685),1))</f>
        <v/>
      </c>
      <c r="K685">
        <f>IF($B685="","",IF(COUNTIF(Setup!$A$99:$A$128,$B685)&gt;0,0,1))</f>
        <v/>
      </c>
      <c r="L685">
        <f>IF($B685="","",IF(ISNUMBER(SEARCH("advance",$B685)),"ADV",IF(OR(ISNUMBER(SEARCH("payout",$B685)),ISNUMBER(SEARCH("pay out",$B685)),ISNUMBER(SEARCH("release",$B685))),"PAY","")))</f>
        <v/>
      </c>
      <c r="M685">
        <f>IF($B685="","",IF(ISNUMBER(SEARCH("bulk",$B685)),0,IF(ISNUMBER(SEARCH("fuel",$B685))+ISNUMBER(SEARCH("diesel",$B685))+ISNUMBER(SEARCH("krudo",$B685))+ISNUMBER(SEARCH("gasolina",$B685))&gt;0,1,0)))</f>
        <v/>
      </c>
      <c r="N685">
        <f>IF($B685="","",IF(ISNUMBER(SEARCH("fuel",$B685))+ISNUMBER(SEARCH("diesel",$B685))+ISNUMBER(SEARCH("krudo",$B685))+ISNUMBER(SEARCH("gasolina",$B685))&gt;0,1,0))</f>
        <v/>
      </c>
    </row>
    <row r="686">
      <c r="A686" s="94" t="n"/>
      <c r="B686" s="96" t="n"/>
      <c r="C686" s="96" t="n"/>
      <c r="D686" s="95" t="n"/>
      <c r="E686" s="96" t="n"/>
      <c r="F686" s="99" t="n"/>
      <c r="G686" s="95" t="n"/>
      <c r="H686" s="95" t="n"/>
      <c r="I686" s="101">
        <f>IF($B686="","",IF(COUNTIF(Setup!$A$99:$A$128,$B686)&gt;0,IF(INDEX(Setup!$B$99:$B$128,MATCH($B686,Setup!$A$99:$A$128,0))="","Overhead",INDEX(Setup!$B$99:$B$128,MATCH($B686,Setup!$A$99:$A$128,0))),IF(ISNUMBER(SEARCH("advance",$B686))+ISNUMBER(SEARCH("payout",$B686))+ISNUMBER(SEARCH("pay out",$B686))+ISNUMBER(SEARCH("reimburs",$B686))&gt;0,"Transfer",IF(ISNUMBER(SEARCH("loan",$B686))+ISNUMBER(SEARCH("amort",$B686))+ISNUMBER(SEARCH("installment",$B686))+ISNUMBER(SEARCH("instalment",$B686))&gt;0,"Financing",IF(ISNUMBER(SEARCH("draw",$B686))+ISNUMBER(SEARCH("owner",$B686))+ISNUMBER(SEARCH("asset",$B686))+ISNUMBER(SEARCH("capital",$B686))&gt;0,"Other",IF(ISNUMBER(SEARCH("fuel",$B686))+ISNUMBER(SEARCH("diesel",$B686))+ISNUMBER(SEARCH("krudo",$B686))+ISNUMBER(SEARCH("gasolina",$B686))+ISNUMBER(SEARCH("toll",$B686))+ISNUMBER(SEARCH("parking",$B686))+ISNUMBER(SEARCH("repair",$B686))+ISNUMBER(SEARCH("maintenance",$B686))+ISNUMBER(SEARCH("tire",$B686))+ISNUMBER(SEARCH("tyre",$B686))+ISNUMBER(SEARCH("battery",$B686))+ISNUMBER(SEARCH("oil",$B686))+ISNUMBER(SEARCH("filter",$B686))+ISNUMBER(SEARCH("spare",$B686))+ISNUMBER(SEARCH("insurance",$B686))+ISNUMBER(SEARCH("lto",$B686))+ISNUMBER(SEARCH("registration",$B686))+ISNUMBER(SEARCH("emission",$B686))+ISNUMBER(SEARCH("wash",$B686))+ISNUMBER(SEARCH("weigh",$B686))+ISNUMBER(SEARCH("tarp",$B686))&gt;0,"Vehicle",IF(ISNUMBER(SEARCH("rent",$B686))+ISNUMBER(SEARCH("upa",$B686))+ISNUMBER(SEARCH("salary",$B686))+ISNUMBER(SEARCH("sweldo",$B686))+ISNUMBER(SEARCH("wage",$B686))+ISNUMBER(SEARCH("electric",$B686))+ISNUMBER(SEARCH("kuryente",$B686))+ISNUMBER(SEARCH("water",$B686))+ISNUMBER(SEARCH("tubig",$B686))+ISNUMBER(SEARCH("internet",$B686))+ISNUMBER(SEARCH("pldt",$B686))+ISNUMBER(SEARCH("meralco",$B686))+ISNUMBER(SEARCH("supplies",$B686))+ISNUMBER(SEARCH("office",$B686))+ISNUMBER(SEARCH("professional",$B686))+ISNUMBER(SEARCH("accountant",$B686))+ISNUMBER(SEARCH("lawyer",$B686))+ISNUMBER(SEARCH("broker",$B686))+ISNUMBER(SEARCH("bank",$B686))+ISNUMBER(SEARCH("charge",$B686))+ISNUMBER(SEARCH("permit",$B686))+ISNUMBER(SEARCH("bir",$B686))+ISNUMBER(SEARCH("ltfrb",$B686))+ISNUMBER(SEARCH("misc",$B686))+ISNUMBER(SEARCH("fee",$B686))&gt;0,"Overhead","Overhead")))))))</f>
        <v/>
      </c>
      <c r="J686">
        <f>IF($A686="","",DATE(YEAR($A686),MONTH($A686),1))</f>
        <v/>
      </c>
      <c r="K686">
        <f>IF($B686="","",IF(COUNTIF(Setup!$A$99:$A$128,$B686)&gt;0,0,1))</f>
        <v/>
      </c>
      <c r="L686">
        <f>IF($B686="","",IF(ISNUMBER(SEARCH("advance",$B686)),"ADV",IF(OR(ISNUMBER(SEARCH("payout",$B686)),ISNUMBER(SEARCH("pay out",$B686)),ISNUMBER(SEARCH("release",$B686))),"PAY","")))</f>
        <v/>
      </c>
      <c r="M686">
        <f>IF($B686="","",IF(ISNUMBER(SEARCH("bulk",$B686)),0,IF(ISNUMBER(SEARCH("fuel",$B686))+ISNUMBER(SEARCH("diesel",$B686))+ISNUMBER(SEARCH("krudo",$B686))+ISNUMBER(SEARCH("gasolina",$B686))&gt;0,1,0)))</f>
        <v/>
      </c>
      <c r="N686">
        <f>IF($B686="","",IF(ISNUMBER(SEARCH("fuel",$B686))+ISNUMBER(SEARCH("diesel",$B686))+ISNUMBER(SEARCH("krudo",$B686))+ISNUMBER(SEARCH("gasolina",$B686))&gt;0,1,0))</f>
        <v/>
      </c>
    </row>
    <row r="687">
      <c r="A687" s="86" t="n"/>
      <c r="B687" s="88" t="n"/>
      <c r="C687" s="88" t="n"/>
      <c r="D687" s="87" t="n"/>
      <c r="E687" s="88" t="n"/>
      <c r="F687" s="92" t="n"/>
      <c r="G687" s="87" t="n"/>
      <c r="H687" s="87" t="n"/>
      <c r="I687" s="101">
        <f>IF($B687="","",IF(COUNTIF(Setup!$A$99:$A$128,$B687)&gt;0,IF(INDEX(Setup!$B$99:$B$128,MATCH($B687,Setup!$A$99:$A$128,0))="","Overhead",INDEX(Setup!$B$99:$B$128,MATCH($B687,Setup!$A$99:$A$128,0))),IF(ISNUMBER(SEARCH("advance",$B687))+ISNUMBER(SEARCH("payout",$B687))+ISNUMBER(SEARCH("pay out",$B687))+ISNUMBER(SEARCH("reimburs",$B687))&gt;0,"Transfer",IF(ISNUMBER(SEARCH("loan",$B687))+ISNUMBER(SEARCH("amort",$B687))+ISNUMBER(SEARCH("installment",$B687))+ISNUMBER(SEARCH("instalment",$B687))&gt;0,"Financing",IF(ISNUMBER(SEARCH("draw",$B687))+ISNUMBER(SEARCH("owner",$B687))+ISNUMBER(SEARCH("asset",$B687))+ISNUMBER(SEARCH("capital",$B687))&gt;0,"Other",IF(ISNUMBER(SEARCH("fuel",$B687))+ISNUMBER(SEARCH("diesel",$B687))+ISNUMBER(SEARCH("krudo",$B687))+ISNUMBER(SEARCH("gasolina",$B687))+ISNUMBER(SEARCH("toll",$B687))+ISNUMBER(SEARCH("parking",$B687))+ISNUMBER(SEARCH("repair",$B687))+ISNUMBER(SEARCH("maintenance",$B687))+ISNUMBER(SEARCH("tire",$B687))+ISNUMBER(SEARCH("tyre",$B687))+ISNUMBER(SEARCH("battery",$B687))+ISNUMBER(SEARCH("oil",$B687))+ISNUMBER(SEARCH("filter",$B687))+ISNUMBER(SEARCH("spare",$B687))+ISNUMBER(SEARCH("insurance",$B687))+ISNUMBER(SEARCH("lto",$B687))+ISNUMBER(SEARCH("registration",$B687))+ISNUMBER(SEARCH("emission",$B687))+ISNUMBER(SEARCH("wash",$B687))+ISNUMBER(SEARCH("weigh",$B687))+ISNUMBER(SEARCH("tarp",$B687))&gt;0,"Vehicle",IF(ISNUMBER(SEARCH("rent",$B687))+ISNUMBER(SEARCH("upa",$B687))+ISNUMBER(SEARCH("salary",$B687))+ISNUMBER(SEARCH("sweldo",$B687))+ISNUMBER(SEARCH("wage",$B687))+ISNUMBER(SEARCH("electric",$B687))+ISNUMBER(SEARCH("kuryente",$B687))+ISNUMBER(SEARCH("water",$B687))+ISNUMBER(SEARCH("tubig",$B687))+ISNUMBER(SEARCH("internet",$B687))+ISNUMBER(SEARCH("pldt",$B687))+ISNUMBER(SEARCH("meralco",$B687))+ISNUMBER(SEARCH("supplies",$B687))+ISNUMBER(SEARCH("office",$B687))+ISNUMBER(SEARCH("professional",$B687))+ISNUMBER(SEARCH("accountant",$B687))+ISNUMBER(SEARCH("lawyer",$B687))+ISNUMBER(SEARCH("broker",$B687))+ISNUMBER(SEARCH("bank",$B687))+ISNUMBER(SEARCH("charge",$B687))+ISNUMBER(SEARCH("permit",$B687))+ISNUMBER(SEARCH("bir",$B687))+ISNUMBER(SEARCH("ltfrb",$B687))+ISNUMBER(SEARCH("misc",$B687))+ISNUMBER(SEARCH("fee",$B687))&gt;0,"Overhead","Overhead")))))))</f>
        <v/>
      </c>
      <c r="J687">
        <f>IF($A687="","",DATE(YEAR($A687),MONTH($A687),1))</f>
        <v/>
      </c>
      <c r="K687">
        <f>IF($B687="","",IF(COUNTIF(Setup!$A$99:$A$128,$B687)&gt;0,0,1))</f>
        <v/>
      </c>
      <c r="L687">
        <f>IF($B687="","",IF(ISNUMBER(SEARCH("advance",$B687)),"ADV",IF(OR(ISNUMBER(SEARCH("payout",$B687)),ISNUMBER(SEARCH("pay out",$B687)),ISNUMBER(SEARCH("release",$B687))),"PAY","")))</f>
        <v/>
      </c>
      <c r="M687">
        <f>IF($B687="","",IF(ISNUMBER(SEARCH("bulk",$B687)),0,IF(ISNUMBER(SEARCH("fuel",$B687))+ISNUMBER(SEARCH("diesel",$B687))+ISNUMBER(SEARCH("krudo",$B687))+ISNUMBER(SEARCH("gasolina",$B687))&gt;0,1,0)))</f>
        <v/>
      </c>
      <c r="N687">
        <f>IF($B687="","",IF(ISNUMBER(SEARCH("fuel",$B687))+ISNUMBER(SEARCH("diesel",$B687))+ISNUMBER(SEARCH("krudo",$B687))+ISNUMBER(SEARCH("gasolina",$B687))&gt;0,1,0))</f>
        <v/>
      </c>
    </row>
    <row r="688">
      <c r="A688" s="94" t="n"/>
      <c r="B688" s="96" t="n"/>
      <c r="C688" s="96" t="n"/>
      <c r="D688" s="95" t="n"/>
      <c r="E688" s="96" t="n"/>
      <c r="F688" s="99" t="n"/>
      <c r="G688" s="95" t="n"/>
      <c r="H688" s="95" t="n"/>
      <c r="I688" s="101">
        <f>IF($B688="","",IF(COUNTIF(Setup!$A$99:$A$128,$B688)&gt;0,IF(INDEX(Setup!$B$99:$B$128,MATCH($B688,Setup!$A$99:$A$128,0))="","Overhead",INDEX(Setup!$B$99:$B$128,MATCH($B688,Setup!$A$99:$A$128,0))),IF(ISNUMBER(SEARCH("advance",$B688))+ISNUMBER(SEARCH("payout",$B688))+ISNUMBER(SEARCH("pay out",$B688))+ISNUMBER(SEARCH("reimburs",$B688))&gt;0,"Transfer",IF(ISNUMBER(SEARCH("loan",$B688))+ISNUMBER(SEARCH("amort",$B688))+ISNUMBER(SEARCH("installment",$B688))+ISNUMBER(SEARCH("instalment",$B688))&gt;0,"Financing",IF(ISNUMBER(SEARCH("draw",$B688))+ISNUMBER(SEARCH("owner",$B688))+ISNUMBER(SEARCH("asset",$B688))+ISNUMBER(SEARCH("capital",$B688))&gt;0,"Other",IF(ISNUMBER(SEARCH("fuel",$B688))+ISNUMBER(SEARCH("diesel",$B688))+ISNUMBER(SEARCH("krudo",$B688))+ISNUMBER(SEARCH("gasolina",$B688))+ISNUMBER(SEARCH("toll",$B688))+ISNUMBER(SEARCH("parking",$B688))+ISNUMBER(SEARCH("repair",$B688))+ISNUMBER(SEARCH("maintenance",$B688))+ISNUMBER(SEARCH("tire",$B688))+ISNUMBER(SEARCH("tyre",$B688))+ISNUMBER(SEARCH("battery",$B688))+ISNUMBER(SEARCH("oil",$B688))+ISNUMBER(SEARCH("filter",$B688))+ISNUMBER(SEARCH("spare",$B688))+ISNUMBER(SEARCH("insurance",$B688))+ISNUMBER(SEARCH("lto",$B688))+ISNUMBER(SEARCH("registration",$B688))+ISNUMBER(SEARCH("emission",$B688))+ISNUMBER(SEARCH("wash",$B688))+ISNUMBER(SEARCH("weigh",$B688))+ISNUMBER(SEARCH("tarp",$B688))&gt;0,"Vehicle",IF(ISNUMBER(SEARCH("rent",$B688))+ISNUMBER(SEARCH("upa",$B688))+ISNUMBER(SEARCH("salary",$B688))+ISNUMBER(SEARCH("sweldo",$B688))+ISNUMBER(SEARCH("wage",$B688))+ISNUMBER(SEARCH("electric",$B688))+ISNUMBER(SEARCH("kuryente",$B688))+ISNUMBER(SEARCH("water",$B688))+ISNUMBER(SEARCH("tubig",$B688))+ISNUMBER(SEARCH("internet",$B688))+ISNUMBER(SEARCH("pldt",$B688))+ISNUMBER(SEARCH("meralco",$B688))+ISNUMBER(SEARCH("supplies",$B688))+ISNUMBER(SEARCH("office",$B688))+ISNUMBER(SEARCH("professional",$B688))+ISNUMBER(SEARCH("accountant",$B688))+ISNUMBER(SEARCH("lawyer",$B688))+ISNUMBER(SEARCH("broker",$B688))+ISNUMBER(SEARCH("bank",$B688))+ISNUMBER(SEARCH("charge",$B688))+ISNUMBER(SEARCH("permit",$B688))+ISNUMBER(SEARCH("bir",$B688))+ISNUMBER(SEARCH("ltfrb",$B688))+ISNUMBER(SEARCH("misc",$B688))+ISNUMBER(SEARCH("fee",$B688))&gt;0,"Overhead","Overhead")))))))</f>
        <v/>
      </c>
      <c r="J688">
        <f>IF($A688="","",DATE(YEAR($A688),MONTH($A688),1))</f>
        <v/>
      </c>
      <c r="K688">
        <f>IF($B688="","",IF(COUNTIF(Setup!$A$99:$A$128,$B688)&gt;0,0,1))</f>
        <v/>
      </c>
      <c r="L688">
        <f>IF($B688="","",IF(ISNUMBER(SEARCH("advance",$B688)),"ADV",IF(OR(ISNUMBER(SEARCH("payout",$B688)),ISNUMBER(SEARCH("pay out",$B688)),ISNUMBER(SEARCH("release",$B688))),"PAY","")))</f>
        <v/>
      </c>
      <c r="M688">
        <f>IF($B688="","",IF(ISNUMBER(SEARCH("bulk",$B688)),0,IF(ISNUMBER(SEARCH("fuel",$B688))+ISNUMBER(SEARCH("diesel",$B688))+ISNUMBER(SEARCH("krudo",$B688))+ISNUMBER(SEARCH("gasolina",$B688))&gt;0,1,0)))</f>
        <v/>
      </c>
      <c r="N688">
        <f>IF($B688="","",IF(ISNUMBER(SEARCH("fuel",$B688))+ISNUMBER(SEARCH("diesel",$B688))+ISNUMBER(SEARCH("krudo",$B688))+ISNUMBER(SEARCH("gasolina",$B688))&gt;0,1,0))</f>
        <v/>
      </c>
    </row>
    <row r="689">
      <c r="A689" s="86" t="n"/>
      <c r="B689" s="88" t="n"/>
      <c r="C689" s="88" t="n"/>
      <c r="D689" s="87" t="n"/>
      <c r="E689" s="88" t="n"/>
      <c r="F689" s="92" t="n"/>
      <c r="G689" s="87" t="n"/>
      <c r="H689" s="87" t="n"/>
      <c r="I689" s="101">
        <f>IF($B689="","",IF(COUNTIF(Setup!$A$99:$A$128,$B689)&gt;0,IF(INDEX(Setup!$B$99:$B$128,MATCH($B689,Setup!$A$99:$A$128,0))="","Overhead",INDEX(Setup!$B$99:$B$128,MATCH($B689,Setup!$A$99:$A$128,0))),IF(ISNUMBER(SEARCH("advance",$B689))+ISNUMBER(SEARCH("payout",$B689))+ISNUMBER(SEARCH("pay out",$B689))+ISNUMBER(SEARCH("reimburs",$B689))&gt;0,"Transfer",IF(ISNUMBER(SEARCH("loan",$B689))+ISNUMBER(SEARCH("amort",$B689))+ISNUMBER(SEARCH("installment",$B689))+ISNUMBER(SEARCH("instalment",$B689))&gt;0,"Financing",IF(ISNUMBER(SEARCH("draw",$B689))+ISNUMBER(SEARCH("owner",$B689))+ISNUMBER(SEARCH("asset",$B689))+ISNUMBER(SEARCH("capital",$B689))&gt;0,"Other",IF(ISNUMBER(SEARCH("fuel",$B689))+ISNUMBER(SEARCH("diesel",$B689))+ISNUMBER(SEARCH("krudo",$B689))+ISNUMBER(SEARCH("gasolina",$B689))+ISNUMBER(SEARCH("toll",$B689))+ISNUMBER(SEARCH("parking",$B689))+ISNUMBER(SEARCH("repair",$B689))+ISNUMBER(SEARCH("maintenance",$B689))+ISNUMBER(SEARCH("tire",$B689))+ISNUMBER(SEARCH("tyre",$B689))+ISNUMBER(SEARCH("battery",$B689))+ISNUMBER(SEARCH("oil",$B689))+ISNUMBER(SEARCH("filter",$B689))+ISNUMBER(SEARCH("spare",$B689))+ISNUMBER(SEARCH("insurance",$B689))+ISNUMBER(SEARCH("lto",$B689))+ISNUMBER(SEARCH("registration",$B689))+ISNUMBER(SEARCH("emission",$B689))+ISNUMBER(SEARCH("wash",$B689))+ISNUMBER(SEARCH("weigh",$B689))+ISNUMBER(SEARCH("tarp",$B689))&gt;0,"Vehicle",IF(ISNUMBER(SEARCH("rent",$B689))+ISNUMBER(SEARCH("upa",$B689))+ISNUMBER(SEARCH("salary",$B689))+ISNUMBER(SEARCH("sweldo",$B689))+ISNUMBER(SEARCH("wage",$B689))+ISNUMBER(SEARCH("electric",$B689))+ISNUMBER(SEARCH("kuryente",$B689))+ISNUMBER(SEARCH("water",$B689))+ISNUMBER(SEARCH("tubig",$B689))+ISNUMBER(SEARCH("internet",$B689))+ISNUMBER(SEARCH("pldt",$B689))+ISNUMBER(SEARCH("meralco",$B689))+ISNUMBER(SEARCH("supplies",$B689))+ISNUMBER(SEARCH("office",$B689))+ISNUMBER(SEARCH("professional",$B689))+ISNUMBER(SEARCH("accountant",$B689))+ISNUMBER(SEARCH("lawyer",$B689))+ISNUMBER(SEARCH("broker",$B689))+ISNUMBER(SEARCH("bank",$B689))+ISNUMBER(SEARCH("charge",$B689))+ISNUMBER(SEARCH("permit",$B689))+ISNUMBER(SEARCH("bir",$B689))+ISNUMBER(SEARCH("ltfrb",$B689))+ISNUMBER(SEARCH("misc",$B689))+ISNUMBER(SEARCH("fee",$B689))&gt;0,"Overhead","Overhead")))))))</f>
        <v/>
      </c>
      <c r="J689">
        <f>IF($A689="","",DATE(YEAR($A689),MONTH($A689),1))</f>
        <v/>
      </c>
      <c r="K689">
        <f>IF($B689="","",IF(COUNTIF(Setup!$A$99:$A$128,$B689)&gt;0,0,1))</f>
        <v/>
      </c>
      <c r="L689">
        <f>IF($B689="","",IF(ISNUMBER(SEARCH("advance",$B689)),"ADV",IF(OR(ISNUMBER(SEARCH("payout",$B689)),ISNUMBER(SEARCH("pay out",$B689)),ISNUMBER(SEARCH("release",$B689))),"PAY","")))</f>
        <v/>
      </c>
      <c r="M689">
        <f>IF($B689="","",IF(ISNUMBER(SEARCH("bulk",$B689)),0,IF(ISNUMBER(SEARCH("fuel",$B689))+ISNUMBER(SEARCH("diesel",$B689))+ISNUMBER(SEARCH("krudo",$B689))+ISNUMBER(SEARCH("gasolina",$B689))&gt;0,1,0)))</f>
        <v/>
      </c>
      <c r="N689">
        <f>IF($B689="","",IF(ISNUMBER(SEARCH("fuel",$B689))+ISNUMBER(SEARCH("diesel",$B689))+ISNUMBER(SEARCH("krudo",$B689))+ISNUMBER(SEARCH("gasolina",$B689))&gt;0,1,0))</f>
        <v/>
      </c>
    </row>
    <row r="690">
      <c r="A690" s="94" t="n"/>
      <c r="B690" s="96" t="n"/>
      <c r="C690" s="96" t="n"/>
      <c r="D690" s="95" t="n"/>
      <c r="E690" s="96" t="n"/>
      <c r="F690" s="99" t="n"/>
      <c r="G690" s="95" t="n"/>
      <c r="H690" s="95" t="n"/>
      <c r="I690" s="101">
        <f>IF($B690="","",IF(COUNTIF(Setup!$A$99:$A$128,$B690)&gt;0,IF(INDEX(Setup!$B$99:$B$128,MATCH($B690,Setup!$A$99:$A$128,0))="","Overhead",INDEX(Setup!$B$99:$B$128,MATCH($B690,Setup!$A$99:$A$128,0))),IF(ISNUMBER(SEARCH("advance",$B690))+ISNUMBER(SEARCH("payout",$B690))+ISNUMBER(SEARCH("pay out",$B690))+ISNUMBER(SEARCH("reimburs",$B690))&gt;0,"Transfer",IF(ISNUMBER(SEARCH("loan",$B690))+ISNUMBER(SEARCH("amort",$B690))+ISNUMBER(SEARCH("installment",$B690))+ISNUMBER(SEARCH("instalment",$B690))&gt;0,"Financing",IF(ISNUMBER(SEARCH("draw",$B690))+ISNUMBER(SEARCH("owner",$B690))+ISNUMBER(SEARCH("asset",$B690))+ISNUMBER(SEARCH("capital",$B690))&gt;0,"Other",IF(ISNUMBER(SEARCH("fuel",$B690))+ISNUMBER(SEARCH("diesel",$B690))+ISNUMBER(SEARCH("krudo",$B690))+ISNUMBER(SEARCH("gasolina",$B690))+ISNUMBER(SEARCH("toll",$B690))+ISNUMBER(SEARCH("parking",$B690))+ISNUMBER(SEARCH("repair",$B690))+ISNUMBER(SEARCH("maintenance",$B690))+ISNUMBER(SEARCH("tire",$B690))+ISNUMBER(SEARCH("tyre",$B690))+ISNUMBER(SEARCH("battery",$B690))+ISNUMBER(SEARCH("oil",$B690))+ISNUMBER(SEARCH("filter",$B690))+ISNUMBER(SEARCH("spare",$B690))+ISNUMBER(SEARCH("insurance",$B690))+ISNUMBER(SEARCH("lto",$B690))+ISNUMBER(SEARCH("registration",$B690))+ISNUMBER(SEARCH("emission",$B690))+ISNUMBER(SEARCH("wash",$B690))+ISNUMBER(SEARCH("weigh",$B690))+ISNUMBER(SEARCH("tarp",$B690))&gt;0,"Vehicle",IF(ISNUMBER(SEARCH("rent",$B690))+ISNUMBER(SEARCH("upa",$B690))+ISNUMBER(SEARCH("salary",$B690))+ISNUMBER(SEARCH("sweldo",$B690))+ISNUMBER(SEARCH("wage",$B690))+ISNUMBER(SEARCH("electric",$B690))+ISNUMBER(SEARCH("kuryente",$B690))+ISNUMBER(SEARCH("water",$B690))+ISNUMBER(SEARCH("tubig",$B690))+ISNUMBER(SEARCH("internet",$B690))+ISNUMBER(SEARCH("pldt",$B690))+ISNUMBER(SEARCH("meralco",$B690))+ISNUMBER(SEARCH("supplies",$B690))+ISNUMBER(SEARCH("office",$B690))+ISNUMBER(SEARCH("professional",$B690))+ISNUMBER(SEARCH("accountant",$B690))+ISNUMBER(SEARCH("lawyer",$B690))+ISNUMBER(SEARCH("broker",$B690))+ISNUMBER(SEARCH("bank",$B690))+ISNUMBER(SEARCH("charge",$B690))+ISNUMBER(SEARCH("permit",$B690))+ISNUMBER(SEARCH("bir",$B690))+ISNUMBER(SEARCH("ltfrb",$B690))+ISNUMBER(SEARCH("misc",$B690))+ISNUMBER(SEARCH("fee",$B690))&gt;0,"Overhead","Overhead")))))))</f>
        <v/>
      </c>
      <c r="J690">
        <f>IF($A690="","",DATE(YEAR($A690),MONTH($A690),1))</f>
        <v/>
      </c>
      <c r="K690">
        <f>IF($B690="","",IF(COUNTIF(Setup!$A$99:$A$128,$B690)&gt;0,0,1))</f>
        <v/>
      </c>
      <c r="L690">
        <f>IF($B690="","",IF(ISNUMBER(SEARCH("advance",$B690)),"ADV",IF(OR(ISNUMBER(SEARCH("payout",$B690)),ISNUMBER(SEARCH("pay out",$B690)),ISNUMBER(SEARCH("release",$B690))),"PAY","")))</f>
        <v/>
      </c>
      <c r="M690">
        <f>IF($B690="","",IF(ISNUMBER(SEARCH("bulk",$B690)),0,IF(ISNUMBER(SEARCH("fuel",$B690))+ISNUMBER(SEARCH("diesel",$B690))+ISNUMBER(SEARCH("krudo",$B690))+ISNUMBER(SEARCH("gasolina",$B690))&gt;0,1,0)))</f>
        <v/>
      </c>
      <c r="N690">
        <f>IF($B690="","",IF(ISNUMBER(SEARCH("fuel",$B690))+ISNUMBER(SEARCH("diesel",$B690))+ISNUMBER(SEARCH("krudo",$B690))+ISNUMBER(SEARCH("gasolina",$B690))&gt;0,1,0))</f>
        <v/>
      </c>
    </row>
    <row r="691">
      <c r="A691" s="86" t="n"/>
      <c r="B691" s="88" t="n"/>
      <c r="C691" s="88" t="n"/>
      <c r="D691" s="87" t="n"/>
      <c r="E691" s="88" t="n"/>
      <c r="F691" s="92" t="n"/>
      <c r="G691" s="87" t="n"/>
      <c r="H691" s="87" t="n"/>
      <c r="I691" s="101">
        <f>IF($B691="","",IF(COUNTIF(Setup!$A$99:$A$128,$B691)&gt;0,IF(INDEX(Setup!$B$99:$B$128,MATCH($B691,Setup!$A$99:$A$128,0))="","Overhead",INDEX(Setup!$B$99:$B$128,MATCH($B691,Setup!$A$99:$A$128,0))),IF(ISNUMBER(SEARCH("advance",$B691))+ISNUMBER(SEARCH("payout",$B691))+ISNUMBER(SEARCH("pay out",$B691))+ISNUMBER(SEARCH("reimburs",$B691))&gt;0,"Transfer",IF(ISNUMBER(SEARCH("loan",$B691))+ISNUMBER(SEARCH("amort",$B691))+ISNUMBER(SEARCH("installment",$B691))+ISNUMBER(SEARCH("instalment",$B691))&gt;0,"Financing",IF(ISNUMBER(SEARCH("draw",$B691))+ISNUMBER(SEARCH("owner",$B691))+ISNUMBER(SEARCH("asset",$B691))+ISNUMBER(SEARCH("capital",$B691))&gt;0,"Other",IF(ISNUMBER(SEARCH("fuel",$B691))+ISNUMBER(SEARCH("diesel",$B691))+ISNUMBER(SEARCH("krudo",$B691))+ISNUMBER(SEARCH("gasolina",$B691))+ISNUMBER(SEARCH("toll",$B691))+ISNUMBER(SEARCH("parking",$B691))+ISNUMBER(SEARCH("repair",$B691))+ISNUMBER(SEARCH("maintenance",$B691))+ISNUMBER(SEARCH("tire",$B691))+ISNUMBER(SEARCH("tyre",$B691))+ISNUMBER(SEARCH("battery",$B691))+ISNUMBER(SEARCH("oil",$B691))+ISNUMBER(SEARCH("filter",$B691))+ISNUMBER(SEARCH("spare",$B691))+ISNUMBER(SEARCH("insurance",$B691))+ISNUMBER(SEARCH("lto",$B691))+ISNUMBER(SEARCH("registration",$B691))+ISNUMBER(SEARCH("emission",$B691))+ISNUMBER(SEARCH("wash",$B691))+ISNUMBER(SEARCH("weigh",$B691))+ISNUMBER(SEARCH("tarp",$B691))&gt;0,"Vehicle",IF(ISNUMBER(SEARCH("rent",$B691))+ISNUMBER(SEARCH("upa",$B691))+ISNUMBER(SEARCH("salary",$B691))+ISNUMBER(SEARCH("sweldo",$B691))+ISNUMBER(SEARCH("wage",$B691))+ISNUMBER(SEARCH("electric",$B691))+ISNUMBER(SEARCH("kuryente",$B691))+ISNUMBER(SEARCH("water",$B691))+ISNUMBER(SEARCH("tubig",$B691))+ISNUMBER(SEARCH("internet",$B691))+ISNUMBER(SEARCH("pldt",$B691))+ISNUMBER(SEARCH("meralco",$B691))+ISNUMBER(SEARCH("supplies",$B691))+ISNUMBER(SEARCH("office",$B691))+ISNUMBER(SEARCH("professional",$B691))+ISNUMBER(SEARCH("accountant",$B691))+ISNUMBER(SEARCH("lawyer",$B691))+ISNUMBER(SEARCH("broker",$B691))+ISNUMBER(SEARCH("bank",$B691))+ISNUMBER(SEARCH("charge",$B691))+ISNUMBER(SEARCH("permit",$B691))+ISNUMBER(SEARCH("bir",$B691))+ISNUMBER(SEARCH("ltfrb",$B691))+ISNUMBER(SEARCH("misc",$B691))+ISNUMBER(SEARCH("fee",$B691))&gt;0,"Overhead","Overhead")))))))</f>
        <v/>
      </c>
      <c r="J691">
        <f>IF($A691="","",DATE(YEAR($A691),MONTH($A691),1))</f>
        <v/>
      </c>
      <c r="K691">
        <f>IF($B691="","",IF(COUNTIF(Setup!$A$99:$A$128,$B691)&gt;0,0,1))</f>
        <v/>
      </c>
      <c r="L691">
        <f>IF($B691="","",IF(ISNUMBER(SEARCH("advance",$B691)),"ADV",IF(OR(ISNUMBER(SEARCH("payout",$B691)),ISNUMBER(SEARCH("pay out",$B691)),ISNUMBER(SEARCH("release",$B691))),"PAY","")))</f>
        <v/>
      </c>
      <c r="M691">
        <f>IF($B691="","",IF(ISNUMBER(SEARCH("bulk",$B691)),0,IF(ISNUMBER(SEARCH("fuel",$B691))+ISNUMBER(SEARCH("diesel",$B691))+ISNUMBER(SEARCH("krudo",$B691))+ISNUMBER(SEARCH("gasolina",$B691))&gt;0,1,0)))</f>
        <v/>
      </c>
      <c r="N691">
        <f>IF($B691="","",IF(ISNUMBER(SEARCH("fuel",$B691))+ISNUMBER(SEARCH("diesel",$B691))+ISNUMBER(SEARCH("krudo",$B691))+ISNUMBER(SEARCH("gasolina",$B691))&gt;0,1,0))</f>
        <v/>
      </c>
    </row>
    <row r="692">
      <c r="A692" s="94" t="n"/>
      <c r="B692" s="96" t="n"/>
      <c r="C692" s="96" t="n"/>
      <c r="D692" s="95" t="n"/>
      <c r="E692" s="96" t="n"/>
      <c r="F692" s="99" t="n"/>
      <c r="G692" s="95" t="n"/>
      <c r="H692" s="95" t="n"/>
      <c r="I692" s="101">
        <f>IF($B692="","",IF(COUNTIF(Setup!$A$99:$A$128,$B692)&gt;0,IF(INDEX(Setup!$B$99:$B$128,MATCH($B692,Setup!$A$99:$A$128,0))="","Overhead",INDEX(Setup!$B$99:$B$128,MATCH($B692,Setup!$A$99:$A$128,0))),IF(ISNUMBER(SEARCH("advance",$B692))+ISNUMBER(SEARCH("payout",$B692))+ISNUMBER(SEARCH("pay out",$B692))+ISNUMBER(SEARCH("reimburs",$B692))&gt;0,"Transfer",IF(ISNUMBER(SEARCH("loan",$B692))+ISNUMBER(SEARCH("amort",$B692))+ISNUMBER(SEARCH("installment",$B692))+ISNUMBER(SEARCH("instalment",$B692))&gt;0,"Financing",IF(ISNUMBER(SEARCH("draw",$B692))+ISNUMBER(SEARCH("owner",$B692))+ISNUMBER(SEARCH("asset",$B692))+ISNUMBER(SEARCH("capital",$B692))&gt;0,"Other",IF(ISNUMBER(SEARCH("fuel",$B692))+ISNUMBER(SEARCH("diesel",$B692))+ISNUMBER(SEARCH("krudo",$B692))+ISNUMBER(SEARCH("gasolina",$B692))+ISNUMBER(SEARCH("toll",$B692))+ISNUMBER(SEARCH("parking",$B692))+ISNUMBER(SEARCH("repair",$B692))+ISNUMBER(SEARCH("maintenance",$B692))+ISNUMBER(SEARCH("tire",$B692))+ISNUMBER(SEARCH("tyre",$B692))+ISNUMBER(SEARCH("battery",$B692))+ISNUMBER(SEARCH("oil",$B692))+ISNUMBER(SEARCH("filter",$B692))+ISNUMBER(SEARCH("spare",$B692))+ISNUMBER(SEARCH("insurance",$B692))+ISNUMBER(SEARCH("lto",$B692))+ISNUMBER(SEARCH("registration",$B692))+ISNUMBER(SEARCH("emission",$B692))+ISNUMBER(SEARCH("wash",$B692))+ISNUMBER(SEARCH("weigh",$B692))+ISNUMBER(SEARCH("tarp",$B692))&gt;0,"Vehicle",IF(ISNUMBER(SEARCH("rent",$B692))+ISNUMBER(SEARCH("upa",$B692))+ISNUMBER(SEARCH("salary",$B692))+ISNUMBER(SEARCH("sweldo",$B692))+ISNUMBER(SEARCH("wage",$B692))+ISNUMBER(SEARCH("electric",$B692))+ISNUMBER(SEARCH("kuryente",$B692))+ISNUMBER(SEARCH("water",$B692))+ISNUMBER(SEARCH("tubig",$B692))+ISNUMBER(SEARCH("internet",$B692))+ISNUMBER(SEARCH("pldt",$B692))+ISNUMBER(SEARCH("meralco",$B692))+ISNUMBER(SEARCH("supplies",$B692))+ISNUMBER(SEARCH("office",$B692))+ISNUMBER(SEARCH("professional",$B692))+ISNUMBER(SEARCH("accountant",$B692))+ISNUMBER(SEARCH("lawyer",$B692))+ISNUMBER(SEARCH("broker",$B692))+ISNUMBER(SEARCH("bank",$B692))+ISNUMBER(SEARCH("charge",$B692))+ISNUMBER(SEARCH("permit",$B692))+ISNUMBER(SEARCH("bir",$B692))+ISNUMBER(SEARCH("ltfrb",$B692))+ISNUMBER(SEARCH("misc",$B692))+ISNUMBER(SEARCH("fee",$B692))&gt;0,"Overhead","Overhead")))))))</f>
        <v/>
      </c>
      <c r="J692">
        <f>IF($A692="","",DATE(YEAR($A692),MONTH($A692),1))</f>
        <v/>
      </c>
      <c r="K692">
        <f>IF($B692="","",IF(COUNTIF(Setup!$A$99:$A$128,$B692)&gt;0,0,1))</f>
        <v/>
      </c>
      <c r="L692">
        <f>IF($B692="","",IF(ISNUMBER(SEARCH("advance",$B692)),"ADV",IF(OR(ISNUMBER(SEARCH("payout",$B692)),ISNUMBER(SEARCH("pay out",$B692)),ISNUMBER(SEARCH("release",$B692))),"PAY","")))</f>
        <v/>
      </c>
      <c r="M692">
        <f>IF($B692="","",IF(ISNUMBER(SEARCH("bulk",$B692)),0,IF(ISNUMBER(SEARCH("fuel",$B692))+ISNUMBER(SEARCH("diesel",$B692))+ISNUMBER(SEARCH("krudo",$B692))+ISNUMBER(SEARCH("gasolina",$B692))&gt;0,1,0)))</f>
        <v/>
      </c>
      <c r="N692">
        <f>IF($B692="","",IF(ISNUMBER(SEARCH("fuel",$B692))+ISNUMBER(SEARCH("diesel",$B692))+ISNUMBER(SEARCH("krudo",$B692))+ISNUMBER(SEARCH("gasolina",$B692))&gt;0,1,0))</f>
        <v/>
      </c>
    </row>
    <row r="693">
      <c r="A693" s="86" t="n"/>
      <c r="B693" s="88" t="n"/>
      <c r="C693" s="88" t="n"/>
      <c r="D693" s="87" t="n"/>
      <c r="E693" s="88" t="n"/>
      <c r="F693" s="92" t="n"/>
      <c r="G693" s="87" t="n"/>
      <c r="H693" s="87" t="n"/>
      <c r="I693" s="101">
        <f>IF($B693="","",IF(COUNTIF(Setup!$A$99:$A$128,$B693)&gt;0,IF(INDEX(Setup!$B$99:$B$128,MATCH($B693,Setup!$A$99:$A$128,0))="","Overhead",INDEX(Setup!$B$99:$B$128,MATCH($B693,Setup!$A$99:$A$128,0))),IF(ISNUMBER(SEARCH("advance",$B693))+ISNUMBER(SEARCH("payout",$B693))+ISNUMBER(SEARCH("pay out",$B693))+ISNUMBER(SEARCH("reimburs",$B693))&gt;0,"Transfer",IF(ISNUMBER(SEARCH("loan",$B693))+ISNUMBER(SEARCH("amort",$B693))+ISNUMBER(SEARCH("installment",$B693))+ISNUMBER(SEARCH("instalment",$B693))&gt;0,"Financing",IF(ISNUMBER(SEARCH("draw",$B693))+ISNUMBER(SEARCH("owner",$B693))+ISNUMBER(SEARCH("asset",$B693))+ISNUMBER(SEARCH("capital",$B693))&gt;0,"Other",IF(ISNUMBER(SEARCH("fuel",$B693))+ISNUMBER(SEARCH("diesel",$B693))+ISNUMBER(SEARCH("krudo",$B693))+ISNUMBER(SEARCH("gasolina",$B693))+ISNUMBER(SEARCH("toll",$B693))+ISNUMBER(SEARCH("parking",$B693))+ISNUMBER(SEARCH("repair",$B693))+ISNUMBER(SEARCH("maintenance",$B693))+ISNUMBER(SEARCH("tire",$B693))+ISNUMBER(SEARCH("tyre",$B693))+ISNUMBER(SEARCH("battery",$B693))+ISNUMBER(SEARCH("oil",$B693))+ISNUMBER(SEARCH("filter",$B693))+ISNUMBER(SEARCH("spare",$B693))+ISNUMBER(SEARCH("insurance",$B693))+ISNUMBER(SEARCH("lto",$B693))+ISNUMBER(SEARCH("registration",$B693))+ISNUMBER(SEARCH("emission",$B693))+ISNUMBER(SEARCH("wash",$B693))+ISNUMBER(SEARCH("weigh",$B693))+ISNUMBER(SEARCH("tarp",$B693))&gt;0,"Vehicle",IF(ISNUMBER(SEARCH("rent",$B693))+ISNUMBER(SEARCH("upa",$B693))+ISNUMBER(SEARCH("salary",$B693))+ISNUMBER(SEARCH("sweldo",$B693))+ISNUMBER(SEARCH("wage",$B693))+ISNUMBER(SEARCH("electric",$B693))+ISNUMBER(SEARCH("kuryente",$B693))+ISNUMBER(SEARCH("water",$B693))+ISNUMBER(SEARCH("tubig",$B693))+ISNUMBER(SEARCH("internet",$B693))+ISNUMBER(SEARCH("pldt",$B693))+ISNUMBER(SEARCH("meralco",$B693))+ISNUMBER(SEARCH("supplies",$B693))+ISNUMBER(SEARCH("office",$B693))+ISNUMBER(SEARCH("professional",$B693))+ISNUMBER(SEARCH("accountant",$B693))+ISNUMBER(SEARCH("lawyer",$B693))+ISNUMBER(SEARCH("broker",$B693))+ISNUMBER(SEARCH("bank",$B693))+ISNUMBER(SEARCH("charge",$B693))+ISNUMBER(SEARCH("permit",$B693))+ISNUMBER(SEARCH("bir",$B693))+ISNUMBER(SEARCH("ltfrb",$B693))+ISNUMBER(SEARCH("misc",$B693))+ISNUMBER(SEARCH("fee",$B693))&gt;0,"Overhead","Overhead")))))))</f>
        <v/>
      </c>
      <c r="J693">
        <f>IF($A693="","",DATE(YEAR($A693),MONTH($A693),1))</f>
        <v/>
      </c>
      <c r="K693">
        <f>IF($B693="","",IF(COUNTIF(Setup!$A$99:$A$128,$B693)&gt;0,0,1))</f>
        <v/>
      </c>
      <c r="L693">
        <f>IF($B693="","",IF(ISNUMBER(SEARCH("advance",$B693)),"ADV",IF(OR(ISNUMBER(SEARCH("payout",$B693)),ISNUMBER(SEARCH("pay out",$B693)),ISNUMBER(SEARCH("release",$B693))),"PAY","")))</f>
        <v/>
      </c>
      <c r="M693">
        <f>IF($B693="","",IF(ISNUMBER(SEARCH("bulk",$B693)),0,IF(ISNUMBER(SEARCH("fuel",$B693))+ISNUMBER(SEARCH("diesel",$B693))+ISNUMBER(SEARCH("krudo",$B693))+ISNUMBER(SEARCH("gasolina",$B693))&gt;0,1,0)))</f>
        <v/>
      </c>
      <c r="N693">
        <f>IF($B693="","",IF(ISNUMBER(SEARCH("fuel",$B693))+ISNUMBER(SEARCH("diesel",$B693))+ISNUMBER(SEARCH("krudo",$B693))+ISNUMBER(SEARCH("gasolina",$B693))&gt;0,1,0))</f>
        <v/>
      </c>
    </row>
    <row r="694">
      <c r="A694" s="94" t="n"/>
      <c r="B694" s="96" t="n"/>
      <c r="C694" s="96" t="n"/>
      <c r="D694" s="95" t="n"/>
      <c r="E694" s="96" t="n"/>
      <c r="F694" s="99" t="n"/>
      <c r="G694" s="95" t="n"/>
      <c r="H694" s="95" t="n"/>
      <c r="I694" s="101">
        <f>IF($B694="","",IF(COUNTIF(Setup!$A$99:$A$128,$B694)&gt;0,IF(INDEX(Setup!$B$99:$B$128,MATCH($B694,Setup!$A$99:$A$128,0))="","Overhead",INDEX(Setup!$B$99:$B$128,MATCH($B694,Setup!$A$99:$A$128,0))),IF(ISNUMBER(SEARCH("advance",$B694))+ISNUMBER(SEARCH("payout",$B694))+ISNUMBER(SEARCH("pay out",$B694))+ISNUMBER(SEARCH("reimburs",$B694))&gt;0,"Transfer",IF(ISNUMBER(SEARCH("loan",$B694))+ISNUMBER(SEARCH("amort",$B694))+ISNUMBER(SEARCH("installment",$B694))+ISNUMBER(SEARCH("instalment",$B694))&gt;0,"Financing",IF(ISNUMBER(SEARCH("draw",$B694))+ISNUMBER(SEARCH("owner",$B694))+ISNUMBER(SEARCH("asset",$B694))+ISNUMBER(SEARCH("capital",$B694))&gt;0,"Other",IF(ISNUMBER(SEARCH("fuel",$B694))+ISNUMBER(SEARCH("diesel",$B694))+ISNUMBER(SEARCH("krudo",$B694))+ISNUMBER(SEARCH("gasolina",$B694))+ISNUMBER(SEARCH("toll",$B694))+ISNUMBER(SEARCH("parking",$B694))+ISNUMBER(SEARCH("repair",$B694))+ISNUMBER(SEARCH("maintenance",$B694))+ISNUMBER(SEARCH("tire",$B694))+ISNUMBER(SEARCH("tyre",$B694))+ISNUMBER(SEARCH("battery",$B694))+ISNUMBER(SEARCH("oil",$B694))+ISNUMBER(SEARCH("filter",$B694))+ISNUMBER(SEARCH("spare",$B694))+ISNUMBER(SEARCH("insurance",$B694))+ISNUMBER(SEARCH("lto",$B694))+ISNUMBER(SEARCH("registration",$B694))+ISNUMBER(SEARCH("emission",$B694))+ISNUMBER(SEARCH("wash",$B694))+ISNUMBER(SEARCH("weigh",$B694))+ISNUMBER(SEARCH("tarp",$B694))&gt;0,"Vehicle",IF(ISNUMBER(SEARCH("rent",$B694))+ISNUMBER(SEARCH("upa",$B694))+ISNUMBER(SEARCH("salary",$B694))+ISNUMBER(SEARCH("sweldo",$B694))+ISNUMBER(SEARCH("wage",$B694))+ISNUMBER(SEARCH("electric",$B694))+ISNUMBER(SEARCH("kuryente",$B694))+ISNUMBER(SEARCH("water",$B694))+ISNUMBER(SEARCH("tubig",$B694))+ISNUMBER(SEARCH("internet",$B694))+ISNUMBER(SEARCH("pldt",$B694))+ISNUMBER(SEARCH("meralco",$B694))+ISNUMBER(SEARCH("supplies",$B694))+ISNUMBER(SEARCH("office",$B694))+ISNUMBER(SEARCH("professional",$B694))+ISNUMBER(SEARCH("accountant",$B694))+ISNUMBER(SEARCH("lawyer",$B694))+ISNUMBER(SEARCH("broker",$B694))+ISNUMBER(SEARCH("bank",$B694))+ISNUMBER(SEARCH("charge",$B694))+ISNUMBER(SEARCH("permit",$B694))+ISNUMBER(SEARCH("bir",$B694))+ISNUMBER(SEARCH("ltfrb",$B694))+ISNUMBER(SEARCH("misc",$B694))+ISNUMBER(SEARCH("fee",$B694))&gt;0,"Overhead","Overhead")))))))</f>
        <v/>
      </c>
      <c r="J694">
        <f>IF($A694="","",DATE(YEAR($A694),MONTH($A694),1))</f>
        <v/>
      </c>
      <c r="K694">
        <f>IF($B694="","",IF(COUNTIF(Setup!$A$99:$A$128,$B694)&gt;0,0,1))</f>
        <v/>
      </c>
      <c r="L694">
        <f>IF($B694="","",IF(ISNUMBER(SEARCH("advance",$B694)),"ADV",IF(OR(ISNUMBER(SEARCH("payout",$B694)),ISNUMBER(SEARCH("pay out",$B694)),ISNUMBER(SEARCH("release",$B694))),"PAY","")))</f>
        <v/>
      </c>
      <c r="M694">
        <f>IF($B694="","",IF(ISNUMBER(SEARCH("bulk",$B694)),0,IF(ISNUMBER(SEARCH("fuel",$B694))+ISNUMBER(SEARCH("diesel",$B694))+ISNUMBER(SEARCH("krudo",$B694))+ISNUMBER(SEARCH("gasolina",$B694))&gt;0,1,0)))</f>
        <v/>
      </c>
      <c r="N694">
        <f>IF($B694="","",IF(ISNUMBER(SEARCH("fuel",$B694))+ISNUMBER(SEARCH("diesel",$B694))+ISNUMBER(SEARCH("krudo",$B694))+ISNUMBER(SEARCH("gasolina",$B694))&gt;0,1,0))</f>
        <v/>
      </c>
    </row>
    <row r="695">
      <c r="A695" s="86" t="n"/>
      <c r="B695" s="88" t="n"/>
      <c r="C695" s="88" t="n"/>
      <c r="D695" s="87" t="n"/>
      <c r="E695" s="88" t="n"/>
      <c r="F695" s="92" t="n"/>
      <c r="G695" s="87" t="n"/>
      <c r="H695" s="87" t="n"/>
      <c r="I695" s="101">
        <f>IF($B695="","",IF(COUNTIF(Setup!$A$99:$A$128,$B695)&gt;0,IF(INDEX(Setup!$B$99:$B$128,MATCH($B695,Setup!$A$99:$A$128,0))="","Overhead",INDEX(Setup!$B$99:$B$128,MATCH($B695,Setup!$A$99:$A$128,0))),IF(ISNUMBER(SEARCH("advance",$B695))+ISNUMBER(SEARCH("payout",$B695))+ISNUMBER(SEARCH("pay out",$B695))+ISNUMBER(SEARCH("reimburs",$B695))&gt;0,"Transfer",IF(ISNUMBER(SEARCH("loan",$B695))+ISNUMBER(SEARCH("amort",$B695))+ISNUMBER(SEARCH("installment",$B695))+ISNUMBER(SEARCH("instalment",$B695))&gt;0,"Financing",IF(ISNUMBER(SEARCH("draw",$B695))+ISNUMBER(SEARCH("owner",$B695))+ISNUMBER(SEARCH("asset",$B695))+ISNUMBER(SEARCH("capital",$B695))&gt;0,"Other",IF(ISNUMBER(SEARCH("fuel",$B695))+ISNUMBER(SEARCH("diesel",$B695))+ISNUMBER(SEARCH("krudo",$B695))+ISNUMBER(SEARCH("gasolina",$B695))+ISNUMBER(SEARCH("toll",$B695))+ISNUMBER(SEARCH("parking",$B695))+ISNUMBER(SEARCH("repair",$B695))+ISNUMBER(SEARCH("maintenance",$B695))+ISNUMBER(SEARCH("tire",$B695))+ISNUMBER(SEARCH("tyre",$B695))+ISNUMBER(SEARCH("battery",$B695))+ISNUMBER(SEARCH("oil",$B695))+ISNUMBER(SEARCH("filter",$B695))+ISNUMBER(SEARCH("spare",$B695))+ISNUMBER(SEARCH("insurance",$B695))+ISNUMBER(SEARCH("lto",$B695))+ISNUMBER(SEARCH("registration",$B695))+ISNUMBER(SEARCH("emission",$B695))+ISNUMBER(SEARCH("wash",$B695))+ISNUMBER(SEARCH("weigh",$B695))+ISNUMBER(SEARCH("tarp",$B695))&gt;0,"Vehicle",IF(ISNUMBER(SEARCH("rent",$B695))+ISNUMBER(SEARCH("upa",$B695))+ISNUMBER(SEARCH("salary",$B695))+ISNUMBER(SEARCH("sweldo",$B695))+ISNUMBER(SEARCH("wage",$B695))+ISNUMBER(SEARCH("electric",$B695))+ISNUMBER(SEARCH("kuryente",$B695))+ISNUMBER(SEARCH("water",$B695))+ISNUMBER(SEARCH("tubig",$B695))+ISNUMBER(SEARCH("internet",$B695))+ISNUMBER(SEARCH("pldt",$B695))+ISNUMBER(SEARCH("meralco",$B695))+ISNUMBER(SEARCH("supplies",$B695))+ISNUMBER(SEARCH("office",$B695))+ISNUMBER(SEARCH("professional",$B695))+ISNUMBER(SEARCH("accountant",$B695))+ISNUMBER(SEARCH("lawyer",$B695))+ISNUMBER(SEARCH("broker",$B695))+ISNUMBER(SEARCH("bank",$B695))+ISNUMBER(SEARCH("charge",$B695))+ISNUMBER(SEARCH("permit",$B695))+ISNUMBER(SEARCH("bir",$B695))+ISNUMBER(SEARCH("ltfrb",$B695))+ISNUMBER(SEARCH("misc",$B695))+ISNUMBER(SEARCH("fee",$B695))&gt;0,"Overhead","Overhead")))))))</f>
        <v/>
      </c>
      <c r="J695">
        <f>IF($A695="","",DATE(YEAR($A695),MONTH($A695),1))</f>
        <v/>
      </c>
      <c r="K695">
        <f>IF($B695="","",IF(COUNTIF(Setup!$A$99:$A$128,$B695)&gt;0,0,1))</f>
        <v/>
      </c>
      <c r="L695">
        <f>IF($B695="","",IF(ISNUMBER(SEARCH("advance",$B695)),"ADV",IF(OR(ISNUMBER(SEARCH("payout",$B695)),ISNUMBER(SEARCH("pay out",$B695)),ISNUMBER(SEARCH("release",$B695))),"PAY","")))</f>
        <v/>
      </c>
      <c r="M695">
        <f>IF($B695="","",IF(ISNUMBER(SEARCH("bulk",$B695)),0,IF(ISNUMBER(SEARCH("fuel",$B695))+ISNUMBER(SEARCH("diesel",$B695))+ISNUMBER(SEARCH("krudo",$B695))+ISNUMBER(SEARCH("gasolina",$B695))&gt;0,1,0)))</f>
        <v/>
      </c>
      <c r="N695">
        <f>IF($B695="","",IF(ISNUMBER(SEARCH("fuel",$B695))+ISNUMBER(SEARCH("diesel",$B695))+ISNUMBER(SEARCH("krudo",$B695))+ISNUMBER(SEARCH("gasolina",$B695))&gt;0,1,0))</f>
        <v/>
      </c>
    </row>
    <row r="696">
      <c r="A696" s="94" t="n"/>
      <c r="B696" s="96" t="n"/>
      <c r="C696" s="96" t="n"/>
      <c r="D696" s="95" t="n"/>
      <c r="E696" s="96" t="n"/>
      <c r="F696" s="99" t="n"/>
      <c r="G696" s="95" t="n"/>
      <c r="H696" s="95" t="n"/>
      <c r="I696" s="101">
        <f>IF($B696="","",IF(COUNTIF(Setup!$A$99:$A$128,$B696)&gt;0,IF(INDEX(Setup!$B$99:$B$128,MATCH($B696,Setup!$A$99:$A$128,0))="","Overhead",INDEX(Setup!$B$99:$B$128,MATCH($B696,Setup!$A$99:$A$128,0))),IF(ISNUMBER(SEARCH("advance",$B696))+ISNUMBER(SEARCH("payout",$B696))+ISNUMBER(SEARCH("pay out",$B696))+ISNUMBER(SEARCH("reimburs",$B696))&gt;0,"Transfer",IF(ISNUMBER(SEARCH("loan",$B696))+ISNUMBER(SEARCH("amort",$B696))+ISNUMBER(SEARCH("installment",$B696))+ISNUMBER(SEARCH("instalment",$B696))&gt;0,"Financing",IF(ISNUMBER(SEARCH("draw",$B696))+ISNUMBER(SEARCH("owner",$B696))+ISNUMBER(SEARCH("asset",$B696))+ISNUMBER(SEARCH("capital",$B696))&gt;0,"Other",IF(ISNUMBER(SEARCH("fuel",$B696))+ISNUMBER(SEARCH("diesel",$B696))+ISNUMBER(SEARCH("krudo",$B696))+ISNUMBER(SEARCH("gasolina",$B696))+ISNUMBER(SEARCH("toll",$B696))+ISNUMBER(SEARCH("parking",$B696))+ISNUMBER(SEARCH("repair",$B696))+ISNUMBER(SEARCH("maintenance",$B696))+ISNUMBER(SEARCH("tire",$B696))+ISNUMBER(SEARCH("tyre",$B696))+ISNUMBER(SEARCH("battery",$B696))+ISNUMBER(SEARCH("oil",$B696))+ISNUMBER(SEARCH("filter",$B696))+ISNUMBER(SEARCH("spare",$B696))+ISNUMBER(SEARCH("insurance",$B696))+ISNUMBER(SEARCH("lto",$B696))+ISNUMBER(SEARCH("registration",$B696))+ISNUMBER(SEARCH("emission",$B696))+ISNUMBER(SEARCH("wash",$B696))+ISNUMBER(SEARCH("weigh",$B696))+ISNUMBER(SEARCH("tarp",$B696))&gt;0,"Vehicle",IF(ISNUMBER(SEARCH("rent",$B696))+ISNUMBER(SEARCH("upa",$B696))+ISNUMBER(SEARCH("salary",$B696))+ISNUMBER(SEARCH("sweldo",$B696))+ISNUMBER(SEARCH("wage",$B696))+ISNUMBER(SEARCH("electric",$B696))+ISNUMBER(SEARCH("kuryente",$B696))+ISNUMBER(SEARCH("water",$B696))+ISNUMBER(SEARCH("tubig",$B696))+ISNUMBER(SEARCH("internet",$B696))+ISNUMBER(SEARCH("pldt",$B696))+ISNUMBER(SEARCH("meralco",$B696))+ISNUMBER(SEARCH("supplies",$B696))+ISNUMBER(SEARCH("office",$B696))+ISNUMBER(SEARCH("professional",$B696))+ISNUMBER(SEARCH("accountant",$B696))+ISNUMBER(SEARCH("lawyer",$B696))+ISNUMBER(SEARCH("broker",$B696))+ISNUMBER(SEARCH("bank",$B696))+ISNUMBER(SEARCH("charge",$B696))+ISNUMBER(SEARCH("permit",$B696))+ISNUMBER(SEARCH("bir",$B696))+ISNUMBER(SEARCH("ltfrb",$B696))+ISNUMBER(SEARCH("misc",$B696))+ISNUMBER(SEARCH("fee",$B696))&gt;0,"Overhead","Overhead")))))))</f>
        <v/>
      </c>
      <c r="J696">
        <f>IF($A696="","",DATE(YEAR($A696),MONTH($A696),1))</f>
        <v/>
      </c>
      <c r="K696">
        <f>IF($B696="","",IF(COUNTIF(Setup!$A$99:$A$128,$B696)&gt;0,0,1))</f>
        <v/>
      </c>
      <c r="L696">
        <f>IF($B696="","",IF(ISNUMBER(SEARCH("advance",$B696)),"ADV",IF(OR(ISNUMBER(SEARCH("payout",$B696)),ISNUMBER(SEARCH("pay out",$B696)),ISNUMBER(SEARCH("release",$B696))),"PAY","")))</f>
        <v/>
      </c>
      <c r="M696">
        <f>IF($B696="","",IF(ISNUMBER(SEARCH("bulk",$B696)),0,IF(ISNUMBER(SEARCH("fuel",$B696))+ISNUMBER(SEARCH("diesel",$B696))+ISNUMBER(SEARCH("krudo",$B696))+ISNUMBER(SEARCH("gasolina",$B696))&gt;0,1,0)))</f>
        <v/>
      </c>
      <c r="N696">
        <f>IF($B696="","",IF(ISNUMBER(SEARCH("fuel",$B696))+ISNUMBER(SEARCH("diesel",$B696))+ISNUMBER(SEARCH("krudo",$B696))+ISNUMBER(SEARCH("gasolina",$B696))&gt;0,1,0))</f>
        <v/>
      </c>
    </row>
    <row r="697">
      <c r="A697" s="86" t="n"/>
      <c r="B697" s="88" t="n"/>
      <c r="C697" s="88" t="n"/>
      <c r="D697" s="87" t="n"/>
      <c r="E697" s="88" t="n"/>
      <c r="F697" s="92" t="n"/>
      <c r="G697" s="87" t="n"/>
      <c r="H697" s="87" t="n"/>
      <c r="I697" s="101">
        <f>IF($B697="","",IF(COUNTIF(Setup!$A$99:$A$128,$B697)&gt;0,IF(INDEX(Setup!$B$99:$B$128,MATCH($B697,Setup!$A$99:$A$128,0))="","Overhead",INDEX(Setup!$B$99:$B$128,MATCH($B697,Setup!$A$99:$A$128,0))),IF(ISNUMBER(SEARCH("advance",$B697))+ISNUMBER(SEARCH("payout",$B697))+ISNUMBER(SEARCH("pay out",$B697))+ISNUMBER(SEARCH("reimburs",$B697))&gt;0,"Transfer",IF(ISNUMBER(SEARCH("loan",$B697))+ISNUMBER(SEARCH("amort",$B697))+ISNUMBER(SEARCH("installment",$B697))+ISNUMBER(SEARCH("instalment",$B697))&gt;0,"Financing",IF(ISNUMBER(SEARCH("draw",$B697))+ISNUMBER(SEARCH("owner",$B697))+ISNUMBER(SEARCH("asset",$B697))+ISNUMBER(SEARCH("capital",$B697))&gt;0,"Other",IF(ISNUMBER(SEARCH("fuel",$B697))+ISNUMBER(SEARCH("diesel",$B697))+ISNUMBER(SEARCH("krudo",$B697))+ISNUMBER(SEARCH("gasolina",$B697))+ISNUMBER(SEARCH("toll",$B697))+ISNUMBER(SEARCH("parking",$B697))+ISNUMBER(SEARCH("repair",$B697))+ISNUMBER(SEARCH("maintenance",$B697))+ISNUMBER(SEARCH("tire",$B697))+ISNUMBER(SEARCH("tyre",$B697))+ISNUMBER(SEARCH("battery",$B697))+ISNUMBER(SEARCH("oil",$B697))+ISNUMBER(SEARCH("filter",$B697))+ISNUMBER(SEARCH("spare",$B697))+ISNUMBER(SEARCH("insurance",$B697))+ISNUMBER(SEARCH("lto",$B697))+ISNUMBER(SEARCH("registration",$B697))+ISNUMBER(SEARCH("emission",$B697))+ISNUMBER(SEARCH("wash",$B697))+ISNUMBER(SEARCH("weigh",$B697))+ISNUMBER(SEARCH("tarp",$B697))&gt;0,"Vehicle",IF(ISNUMBER(SEARCH("rent",$B697))+ISNUMBER(SEARCH("upa",$B697))+ISNUMBER(SEARCH("salary",$B697))+ISNUMBER(SEARCH("sweldo",$B697))+ISNUMBER(SEARCH("wage",$B697))+ISNUMBER(SEARCH("electric",$B697))+ISNUMBER(SEARCH("kuryente",$B697))+ISNUMBER(SEARCH("water",$B697))+ISNUMBER(SEARCH("tubig",$B697))+ISNUMBER(SEARCH("internet",$B697))+ISNUMBER(SEARCH("pldt",$B697))+ISNUMBER(SEARCH("meralco",$B697))+ISNUMBER(SEARCH("supplies",$B697))+ISNUMBER(SEARCH("office",$B697))+ISNUMBER(SEARCH("professional",$B697))+ISNUMBER(SEARCH("accountant",$B697))+ISNUMBER(SEARCH("lawyer",$B697))+ISNUMBER(SEARCH("broker",$B697))+ISNUMBER(SEARCH("bank",$B697))+ISNUMBER(SEARCH("charge",$B697))+ISNUMBER(SEARCH("permit",$B697))+ISNUMBER(SEARCH("bir",$B697))+ISNUMBER(SEARCH("ltfrb",$B697))+ISNUMBER(SEARCH("misc",$B697))+ISNUMBER(SEARCH("fee",$B697))&gt;0,"Overhead","Overhead")))))))</f>
        <v/>
      </c>
      <c r="J697">
        <f>IF($A697="","",DATE(YEAR($A697),MONTH($A697),1))</f>
        <v/>
      </c>
      <c r="K697">
        <f>IF($B697="","",IF(COUNTIF(Setup!$A$99:$A$128,$B697)&gt;0,0,1))</f>
        <v/>
      </c>
      <c r="L697">
        <f>IF($B697="","",IF(ISNUMBER(SEARCH("advance",$B697)),"ADV",IF(OR(ISNUMBER(SEARCH("payout",$B697)),ISNUMBER(SEARCH("pay out",$B697)),ISNUMBER(SEARCH("release",$B697))),"PAY","")))</f>
        <v/>
      </c>
      <c r="M697">
        <f>IF($B697="","",IF(ISNUMBER(SEARCH("bulk",$B697)),0,IF(ISNUMBER(SEARCH("fuel",$B697))+ISNUMBER(SEARCH("diesel",$B697))+ISNUMBER(SEARCH("krudo",$B697))+ISNUMBER(SEARCH("gasolina",$B697))&gt;0,1,0)))</f>
        <v/>
      </c>
      <c r="N697">
        <f>IF($B697="","",IF(ISNUMBER(SEARCH("fuel",$B697))+ISNUMBER(SEARCH("diesel",$B697))+ISNUMBER(SEARCH("krudo",$B697))+ISNUMBER(SEARCH("gasolina",$B697))&gt;0,1,0))</f>
        <v/>
      </c>
    </row>
    <row r="698">
      <c r="A698" s="94" t="n"/>
      <c r="B698" s="96" t="n"/>
      <c r="C698" s="96" t="n"/>
      <c r="D698" s="95" t="n"/>
      <c r="E698" s="96" t="n"/>
      <c r="F698" s="99" t="n"/>
      <c r="G698" s="95" t="n"/>
      <c r="H698" s="95" t="n"/>
      <c r="I698" s="101">
        <f>IF($B698="","",IF(COUNTIF(Setup!$A$99:$A$128,$B698)&gt;0,IF(INDEX(Setup!$B$99:$B$128,MATCH($B698,Setup!$A$99:$A$128,0))="","Overhead",INDEX(Setup!$B$99:$B$128,MATCH($B698,Setup!$A$99:$A$128,0))),IF(ISNUMBER(SEARCH("advance",$B698))+ISNUMBER(SEARCH("payout",$B698))+ISNUMBER(SEARCH("pay out",$B698))+ISNUMBER(SEARCH("reimburs",$B698))&gt;0,"Transfer",IF(ISNUMBER(SEARCH("loan",$B698))+ISNUMBER(SEARCH("amort",$B698))+ISNUMBER(SEARCH("installment",$B698))+ISNUMBER(SEARCH("instalment",$B698))&gt;0,"Financing",IF(ISNUMBER(SEARCH("draw",$B698))+ISNUMBER(SEARCH("owner",$B698))+ISNUMBER(SEARCH("asset",$B698))+ISNUMBER(SEARCH("capital",$B698))&gt;0,"Other",IF(ISNUMBER(SEARCH("fuel",$B698))+ISNUMBER(SEARCH("diesel",$B698))+ISNUMBER(SEARCH("krudo",$B698))+ISNUMBER(SEARCH("gasolina",$B698))+ISNUMBER(SEARCH("toll",$B698))+ISNUMBER(SEARCH("parking",$B698))+ISNUMBER(SEARCH("repair",$B698))+ISNUMBER(SEARCH("maintenance",$B698))+ISNUMBER(SEARCH("tire",$B698))+ISNUMBER(SEARCH("tyre",$B698))+ISNUMBER(SEARCH("battery",$B698))+ISNUMBER(SEARCH("oil",$B698))+ISNUMBER(SEARCH("filter",$B698))+ISNUMBER(SEARCH("spare",$B698))+ISNUMBER(SEARCH("insurance",$B698))+ISNUMBER(SEARCH("lto",$B698))+ISNUMBER(SEARCH("registration",$B698))+ISNUMBER(SEARCH("emission",$B698))+ISNUMBER(SEARCH("wash",$B698))+ISNUMBER(SEARCH("weigh",$B698))+ISNUMBER(SEARCH("tarp",$B698))&gt;0,"Vehicle",IF(ISNUMBER(SEARCH("rent",$B698))+ISNUMBER(SEARCH("upa",$B698))+ISNUMBER(SEARCH("salary",$B698))+ISNUMBER(SEARCH("sweldo",$B698))+ISNUMBER(SEARCH("wage",$B698))+ISNUMBER(SEARCH("electric",$B698))+ISNUMBER(SEARCH("kuryente",$B698))+ISNUMBER(SEARCH("water",$B698))+ISNUMBER(SEARCH("tubig",$B698))+ISNUMBER(SEARCH("internet",$B698))+ISNUMBER(SEARCH("pldt",$B698))+ISNUMBER(SEARCH("meralco",$B698))+ISNUMBER(SEARCH("supplies",$B698))+ISNUMBER(SEARCH("office",$B698))+ISNUMBER(SEARCH("professional",$B698))+ISNUMBER(SEARCH("accountant",$B698))+ISNUMBER(SEARCH("lawyer",$B698))+ISNUMBER(SEARCH("broker",$B698))+ISNUMBER(SEARCH("bank",$B698))+ISNUMBER(SEARCH("charge",$B698))+ISNUMBER(SEARCH("permit",$B698))+ISNUMBER(SEARCH("bir",$B698))+ISNUMBER(SEARCH("ltfrb",$B698))+ISNUMBER(SEARCH("misc",$B698))+ISNUMBER(SEARCH("fee",$B698))&gt;0,"Overhead","Overhead")))))))</f>
        <v/>
      </c>
      <c r="J698">
        <f>IF($A698="","",DATE(YEAR($A698),MONTH($A698),1))</f>
        <v/>
      </c>
      <c r="K698">
        <f>IF($B698="","",IF(COUNTIF(Setup!$A$99:$A$128,$B698)&gt;0,0,1))</f>
        <v/>
      </c>
      <c r="L698">
        <f>IF($B698="","",IF(ISNUMBER(SEARCH("advance",$B698)),"ADV",IF(OR(ISNUMBER(SEARCH("payout",$B698)),ISNUMBER(SEARCH("pay out",$B698)),ISNUMBER(SEARCH("release",$B698))),"PAY","")))</f>
        <v/>
      </c>
      <c r="M698">
        <f>IF($B698="","",IF(ISNUMBER(SEARCH("bulk",$B698)),0,IF(ISNUMBER(SEARCH("fuel",$B698))+ISNUMBER(SEARCH("diesel",$B698))+ISNUMBER(SEARCH("krudo",$B698))+ISNUMBER(SEARCH("gasolina",$B698))&gt;0,1,0)))</f>
        <v/>
      </c>
      <c r="N698">
        <f>IF($B698="","",IF(ISNUMBER(SEARCH("fuel",$B698))+ISNUMBER(SEARCH("diesel",$B698))+ISNUMBER(SEARCH("krudo",$B698))+ISNUMBER(SEARCH("gasolina",$B698))&gt;0,1,0))</f>
        <v/>
      </c>
    </row>
    <row r="699">
      <c r="A699" s="86" t="n"/>
      <c r="B699" s="88" t="n"/>
      <c r="C699" s="88" t="n"/>
      <c r="D699" s="87" t="n"/>
      <c r="E699" s="88" t="n"/>
      <c r="F699" s="92" t="n"/>
      <c r="G699" s="87" t="n"/>
      <c r="H699" s="87" t="n"/>
      <c r="I699" s="101">
        <f>IF($B699="","",IF(COUNTIF(Setup!$A$99:$A$128,$B699)&gt;0,IF(INDEX(Setup!$B$99:$B$128,MATCH($B699,Setup!$A$99:$A$128,0))="","Overhead",INDEX(Setup!$B$99:$B$128,MATCH($B699,Setup!$A$99:$A$128,0))),IF(ISNUMBER(SEARCH("advance",$B699))+ISNUMBER(SEARCH("payout",$B699))+ISNUMBER(SEARCH("pay out",$B699))+ISNUMBER(SEARCH("reimburs",$B699))&gt;0,"Transfer",IF(ISNUMBER(SEARCH("loan",$B699))+ISNUMBER(SEARCH("amort",$B699))+ISNUMBER(SEARCH("installment",$B699))+ISNUMBER(SEARCH("instalment",$B699))&gt;0,"Financing",IF(ISNUMBER(SEARCH("draw",$B699))+ISNUMBER(SEARCH("owner",$B699))+ISNUMBER(SEARCH("asset",$B699))+ISNUMBER(SEARCH("capital",$B699))&gt;0,"Other",IF(ISNUMBER(SEARCH("fuel",$B699))+ISNUMBER(SEARCH("diesel",$B699))+ISNUMBER(SEARCH("krudo",$B699))+ISNUMBER(SEARCH("gasolina",$B699))+ISNUMBER(SEARCH("toll",$B699))+ISNUMBER(SEARCH("parking",$B699))+ISNUMBER(SEARCH("repair",$B699))+ISNUMBER(SEARCH("maintenance",$B699))+ISNUMBER(SEARCH("tire",$B699))+ISNUMBER(SEARCH("tyre",$B699))+ISNUMBER(SEARCH("battery",$B699))+ISNUMBER(SEARCH("oil",$B699))+ISNUMBER(SEARCH("filter",$B699))+ISNUMBER(SEARCH("spare",$B699))+ISNUMBER(SEARCH("insurance",$B699))+ISNUMBER(SEARCH("lto",$B699))+ISNUMBER(SEARCH("registration",$B699))+ISNUMBER(SEARCH("emission",$B699))+ISNUMBER(SEARCH("wash",$B699))+ISNUMBER(SEARCH("weigh",$B699))+ISNUMBER(SEARCH("tarp",$B699))&gt;0,"Vehicle",IF(ISNUMBER(SEARCH("rent",$B699))+ISNUMBER(SEARCH("upa",$B699))+ISNUMBER(SEARCH("salary",$B699))+ISNUMBER(SEARCH("sweldo",$B699))+ISNUMBER(SEARCH("wage",$B699))+ISNUMBER(SEARCH("electric",$B699))+ISNUMBER(SEARCH("kuryente",$B699))+ISNUMBER(SEARCH("water",$B699))+ISNUMBER(SEARCH("tubig",$B699))+ISNUMBER(SEARCH("internet",$B699))+ISNUMBER(SEARCH("pldt",$B699))+ISNUMBER(SEARCH("meralco",$B699))+ISNUMBER(SEARCH("supplies",$B699))+ISNUMBER(SEARCH("office",$B699))+ISNUMBER(SEARCH("professional",$B699))+ISNUMBER(SEARCH("accountant",$B699))+ISNUMBER(SEARCH("lawyer",$B699))+ISNUMBER(SEARCH("broker",$B699))+ISNUMBER(SEARCH("bank",$B699))+ISNUMBER(SEARCH("charge",$B699))+ISNUMBER(SEARCH("permit",$B699))+ISNUMBER(SEARCH("bir",$B699))+ISNUMBER(SEARCH("ltfrb",$B699))+ISNUMBER(SEARCH("misc",$B699))+ISNUMBER(SEARCH("fee",$B699))&gt;0,"Overhead","Overhead")))))))</f>
        <v/>
      </c>
      <c r="J699">
        <f>IF($A699="","",DATE(YEAR($A699),MONTH($A699),1))</f>
        <v/>
      </c>
      <c r="K699">
        <f>IF($B699="","",IF(COUNTIF(Setup!$A$99:$A$128,$B699)&gt;0,0,1))</f>
        <v/>
      </c>
      <c r="L699">
        <f>IF($B699="","",IF(ISNUMBER(SEARCH("advance",$B699)),"ADV",IF(OR(ISNUMBER(SEARCH("payout",$B699)),ISNUMBER(SEARCH("pay out",$B699)),ISNUMBER(SEARCH("release",$B699))),"PAY","")))</f>
        <v/>
      </c>
      <c r="M699">
        <f>IF($B699="","",IF(ISNUMBER(SEARCH("bulk",$B699)),0,IF(ISNUMBER(SEARCH("fuel",$B699))+ISNUMBER(SEARCH("diesel",$B699))+ISNUMBER(SEARCH("krudo",$B699))+ISNUMBER(SEARCH("gasolina",$B699))&gt;0,1,0)))</f>
        <v/>
      </c>
      <c r="N699">
        <f>IF($B699="","",IF(ISNUMBER(SEARCH("fuel",$B699))+ISNUMBER(SEARCH("diesel",$B699))+ISNUMBER(SEARCH("krudo",$B699))+ISNUMBER(SEARCH("gasolina",$B699))&gt;0,1,0))</f>
        <v/>
      </c>
    </row>
    <row r="700">
      <c r="A700" s="94" t="n"/>
      <c r="B700" s="96" t="n"/>
      <c r="C700" s="96" t="n"/>
      <c r="D700" s="95" t="n"/>
      <c r="E700" s="96" t="n"/>
      <c r="F700" s="99" t="n"/>
      <c r="G700" s="95" t="n"/>
      <c r="H700" s="95" t="n"/>
      <c r="I700" s="101">
        <f>IF($B700="","",IF(COUNTIF(Setup!$A$99:$A$128,$B700)&gt;0,IF(INDEX(Setup!$B$99:$B$128,MATCH($B700,Setup!$A$99:$A$128,0))="","Overhead",INDEX(Setup!$B$99:$B$128,MATCH($B700,Setup!$A$99:$A$128,0))),IF(ISNUMBER(SEARCH("advance",$B700))+ISNUMBER(SEARCH("payout",$B700))+ISNUMBER(SEARCH("pay out",$B700))+ISNUMBER(SEARCH("reimburs",$B700))&gt;0,"Transfer",IF(ISNUMBER(SEARCH("loan",$B700))+ISNUMBER(SEARCH("amort",$B700))+ISNUMBER(SEARCH("installment",$B700))+ISNUMBER(SEARCH("instalment",$B700))&gt;0,"Financing",IF(ISNUMBER(SEARCH("draw",$B700))+ISNUMBER(SEARCH("owner",$B700))+ISNUMBER(SEARCH("asset",$B700))+ISNUMBER(SEARCH("capital",$B700))&gt;0,"Other",IF(ISNUMBER(SEARCH("fuel",$B700))+ISNUMBER(SEARCH("diesel",$B700))+ISNUMBER(SEARCH("krudo",$B700))+ISNUMBER(SEARCH("gasolina",$B700))+ISNUMBER(SEARCH("toll",$B700))+ISNUMBER(SEARCH("parking",$B700))+ISNUMBER(SEARCH("repair",$B700))+ISNUMBER(SEARCH("maintenance",$B700))+ISNUMBER(SEARCH("tire",$B700))+ISNUMBER(SEARCH("tyre",$B700))+ISNUMBER(SEARCH("battery",$B700))+ISNUMBER(SEARCH("oil",$B700))+ISNUMBER(SEARCH("filter",$B700))+ISNUMBER(SEARCH("spare",$B700))+ISNUMBER(SEARCH("insurance",$B700))+ISNUMBER(SEARCH("lto",$B700))+ISNUMBER(SEARCH("registration",$B700))+ISNUMBER(SEARCH("emission",$B700))+ISNUMBER(SEARCH("wash",$B700))+ISNUMBER(SEARCH("weigh",$B700))+ISNUMBER(SEARCH("tarp",$B700))&gt;0,"Vehicle",IF(ISNUMBER(SEARCH("rent",$B700))+ISNUMBER(SEARCH("upa",$B700))+ISNUMBER(SEARCH("salary",$B700))+ISNUMBER(SEARCH("sweldo",$B700))+ISNUMBER(SEARCH("wage",$B700))+ISNUMBER(SEARCH("electric",$B700))+ISNUMBER(SEARCH("kuryente",$B700))+ISNUMBER(SEARCH("water",$B700))+ISNUMBER(SEARCH("tubig",$B700))+ISNUMBER(SEARCH("internet",$B700))+ISNUMBER(SEARCH("pldt",$B700))+ISNUMBER(SEARCH("meralco",$B700))+ISNUMBER(SEARCH("supplies",$B700))+ISNUMBER(SEARCH("office",$B700))+ISNUMBER(SEARCH("professional",$B700))+ISNUMBER(SEARCH("accountant",$B700))+ISNUMBER(SEARCH("lawyer",$B700))+ISNUMBER(SEARCH("broker",$B700))+ISNUMBER(SEARCH("bank",$B700))+ISNUMBER(SEARCH("charge",$B700))+ISNUMBER(SEARCH("permit",$B700))+ISNUMBER(SEARCH("bir",$B700))+ISNUMBER(SEARCH("ltfrb",$B700))+ISNUMBER(SEARCH("misc",$B700))+ISNUMBER(SEARCH("fee",$B700))&gt;0,"Overhead","Overhead")))))))</f>
        <v/>
      </c>
      <c r="J700">
        <f>IF($A700="","",DATE(YEAR($A700),MONTH($A700),1))</f>
        <v/>
      </c>
      <c r="K700">
        <f>IF($B700="","",IF(COUNTIF(Setup!$A$99:$A$128,$B700)&gt;0,0,1))</f>
        <v/>
      </c>
      <c r="L700">
        <f>IF($B700="","",IF(ISNUMBER(SEARCH("advance",$B700)),"ADV",IF(OR(ISNUMBER(SEARCH("payout",$B700)),ISNUMBER(SEARCH("pay out",$B700)),ISNUMBER(SEARCH("release",$B700))),"PAY","")))</f>
        <v/>
      </c>
      <c r="M700">
        <f>IF($B700="","",IF(ISNUMBER(SEARCH("bulk",$B700)),0,IF(ISNUMBER(SEARCH("fuel",$B700))+ISNUMBER(SEARCH("diesel",$B700))+ISNUMBER(SEARCH("krudo",$B700))+ISNUMBER(SEARCH("gasolina",$B700))&gt;0,1,0)))</f>
        <v/>
      </c>
      <c r="N700">
        <f>IF($B700="","",IF(ISNUMBER(SEARCH("fuel",$B700))+ISNUMBER(SEARCH("diesel",$B700))+ISNUMBER(SEARCH("krudo",$B700))+ISNUMBER(SEARCH("gasolina",$B700))&gt;0,1,0))</f>
        <v/>
      </c>
    </row>
    <row r="701">
      <c r="A701" s="86" t="n"/>
      <c r="B701" s="88" t="n"/>
      <c r="C701" s="88" t="n"/>
      <c r="D701" s="87" t="n"/>
      <c r="E701" s="88" t="n"/>
      <c r="F701" s="92" t="n"/>
      <c r="G701" s="87" t="n"/>
      <c r="H701" s="87" t="n"/>
      <c r="I701" s="101">
        <f>IF($B701="","",IF(COUNTIF(Setup!$A$99:$A$128,$B701)&gt;0,IF(INDEX(Setup!$B$99:$B$128,MATCH($B701,Setup!$A$99:$A$128,0))="","Overhead",INDEX(Setup!$B$99:$B$128,MATCH($B701,Setup!$A$99:$A$128,0))),IF(ISNUMBER(SEARCH("advance",$B701))+ISNUMBER(SEARCH("payout",$B701))+ISNUMBER(SEARCH("pay out",$B701))+ISNUMBER(SEARCH("reimburs",$B701))&gt;0,"Transfer",IF(ISNUMBER(SEARCH("loan",$B701))+ISNUMBER(SEARCH("amort",$B701))+ISNUMBER(SEARCH("installment",$B701))+ISNUMBER(SEARCH("instalment",$B701))&gt;0,"Financing",IF(ISNUMBER(SEARCH("draw",$B701))+ISNUMBER(SEARCH("owner",$B701))+ISNUMBER(SEARCH("asset",$B701))+ISNUMBER(SEARCH("capital",$B701))&gt;0,"Other",IF(ISNUMBER(SEARCH("fuel",$B701))+ISNUMBER(SEARCH("diesel",$B701))+ISNUMBER(SEARCH("krudo",$B701))+ISNUMBER(SEARCH("gasolina",$B701))+ISNUMBER(SEARCH("toll",$B701))+ISNUMBER(SEARCH("parking",$B701))+ISNUMBER(SEARCH("repair",$B701))+ISNUMBER(SEARCH("maintenance",$B701))+ISNUMBER(SEARCH("tire",$B701))+ISNUMBER(SEARCH("tyre",$B701))+ISNUMBER(SEARCH("battery",$B701))+ISNUMBER(SEARCH("oil",$B701))+ISNUMBER(SEARCH("filter",$B701))+ISNUMBER(SEARCH("spare",$B701))+ISNUMBER(SEARCH("insurance",$B701))+ISNUMBER(SEARCH("lto",$B701))+ISNUMBER(SEARCH("registration",$B701))+ISNUMBER(SEARCH("emission",$B701))+ISNUMBER(SEARCH("wash",$B701))+ISNUMBER(SEARCH("weigh",$B701))+ISNUMBER(SEARCH("tarp",$B701))&gt;0,"Vehicle",IF(ISNUMBER(SEARCH("rent",$B701))+ISNUMBER(SEARCH("upa",$B701))+ISNUMBER(SEARCH("salary",$B701))+ISNUMBER(SEARCH("sweldo",$B701))+ISNUMBER(SEARCH("wage",$B701))+ISNUMBER(SEARCH("electric",$B701))+ISNUMBER(SEARCH("kuryente",$B701))+ISNUMBER(SEARCH("water",$B701))+ISNUMBER(SEARCH("tubig",$B701))+ISNUMBER(SEARCH("internet",$B701))+ISNUMBER(SEARCH("pldt",$B701))+ISNUMBER(SEARCH("meralco",$B701))+ISNUMBER(SEARCH("supplies",$B701))+ISNUMBER(SEARCH("office",$B701))+ISNUMBER(SEARCH("professional",$B701))+ISNUMBER(SEARCH("accountant",$B701))+ISNUMBER(SEARCH("lawyer",$B701))+ISNUMBER(SEARCH("broker",$B701))+ISNUMBER(SEARCH("bank",$B701))+ISNUMBER(SEARCH("charge",$B701))+ISNUMBER(SEARCH("permit",$B701))+ISNUMBER(SEARCH("bir",$B701))+ISNUMBER(SEARCH("ltfrb",$B701))+ISNUMBER(SEARCH("misc",$B701))+ISNUMBER(SEARCH("fee",$B701))&gt;0,"Overhead","Overhead")))))))</f>
        <v/>
      </c>
      <c r="J701">
        <f>IF($A701="","",DATE(YEAR($A701),MONTH($A701),1))</f>
        <v/>
      </c>
      <c r="K701">
        <f>IF($B701="","",IF(COUNTIF(Setup!$A$99:$A$128,$B701)&gt;0,0,1))</f>
        <v/>
      </c>
      <c r="L701">
        <f>IF($B701="","",IF(ISNUMBER(SEARCH("advance",$B701)),"ADV",IF(OR(ISNUMBER(SEARCH("payout",$B701)),ISNUMBER(SEARCH("pay out",$B701)),ISNUMBER(SEARCH("release",$B701))),"PAY","")))</f>
        <v/>
      </c>
      <c r="M701">
        <f>IF($B701="","",IF(ISNUMBER(SEARCH("bulk",$B701)),0,IF(ISNUMBER(SEARCH("fuel",$B701))+ISNUMBER(SEARCH("diesel",$B701))+ISNUMBER(SEARCH("krudo",$B701))+ISNUMBER(SEARCH("gasolina",$B701))&gt;0,1,0)))</f>
        <v/>
      </c>
      <c r="N701">
        <f>IF($B701="","",IF(ISNUMBER(SEARCH("fuel",$B701))+ISNUMBER(SEARCH("diesel",$B701))+ISNUMBER(SEARCH("krudo",$B701))+ISNUMBER(SEARCH("gasolina",$B701))&gt;0,1,0))</f>
        <v/>
      </c>
    </row>
    <row r="702">
      <c r="A702" s="94" t="n"/>
      <c r="B702" s="96" t="n"/>
      <c r="C702" s="96" t="n"/>
      <c r="D702" s="95" t="n"/>
      <c r="E702" s="96" t="n"/>
      <c r="F702" s="99" t="n"/>
      <c r="G702" s="95" t="n"/>
      <c r="H702" s="95" t="n"/>
      <c r="I702" s="101">
        <f>IF($B702="","",IF(COUNTIF(Setup!$A$99:$A$128,$B702)&gt;0,IF(INDEX(Setup!$B$99:$B$128,MATCH($B702,Setup!$A$99:$A$128,0))="","Overhead",INDEX(Setup!$B$99:$B$128,MATCH($B702,Setup!$A$99:$A$128,0))),IF(ISNUMBER(SEARCH("advance",$B702))+ISNUMBER(SEARCH("payout",$B702))+ISNUMBER(SEARCH("pay out",$B702))+ISNUMBER(SEARCH("reimburs",$B702))&gt;0,"Transfer",IF(ISNUMBER(SEARCH("loan",$B702))+ISNUMBER(SEARCH("amort",$B702))+ISNUMBER(SEARCH("installment",$B702))+ISNUMBER(SEARCH("instalment",$B702))&gt;0,"Financing",IF(ISNUMBER(SEARCH("draw",$B702))+ISNUMBER(SEARCH("owner",$B702))+ISNUMBER(SEARCH("asset",$B702))+ISNUMBER(SEARCH("capital",$B702))&gt;0,"Other",IF(ISNUMBER(SEARCH("fuel",$B702))+ISNUMBER(SEARCH("diesel",$B702))+ISNUMBER(SEARCH("krudo",$B702))+ISNUMBER(SEARCH("gasolina",$B702))+ISNUMBER(SEARCH("toll",$B702))+ISNUMBER(SEARCH("parking",$B702))+ISNUMBER(SEARCH("repair",$B702))+ISNUMBER(SEARCH("maintenance",$B702))+ISNUMBER(SEARCH("tire",$B702))+ISNUMBER(SEARCH("tyre",$B702))+ISNUMBER(SEARCH("battery",$B702))+ISNUMBER(SEARCH("oil",$B702))+ISNUMBER(SEARCH("filter",$B702))+ISNUMBER(SEARCH("spare",$B702))+ISNUMBER(SEARCH("insurance",$B702))+ISNUMBER(SEARCH("lto",$B702))+ISNUMBER(SEARCH("registration",$B702))+ISNUMBER(SEARCH("emission",$B702))+ISNUMBER(SEARCH("wash",$B702))+ISNUMBER(SEARCH("weigh",$B702))+ISNUMBER(SEARCH("tarp",$B702))&gt;0,"Vehicle",IF(ISNUMBER(SEARCH("rent",$B702))+ISNUMBER(SEARCH("upa",$B702))+ISNUMBER(SEARCH("salary",$B702))+ISNUMBER(SEARCH("sweldo",$B702))+ISNUMBER(SEARCH("wage",$B702))+ISNUMBER(SEARCH("electric",$B702))+ISNUMBER(SEARCH("kuryente",$B702))+ISNUMBER(SEARCH("water",$B702))+ISNUMBER(SEARCH("tubig",$B702))+ISNUMBER(SEARCH("internet",$B702))+ISNUMBER(SEARCH("pldt",$B702))+ISNUMBER(SEARCH("meralco",$B702))+ISNUMBER(SEARCH("supplies",$B702))+ISNUMBER(SEARCH("office",$B702))+ISNUMBER(SEARCH("professional",$B702))+ISNUMBER(SEARCH("accountant",$B702))+ISNUMBER(SEARCH("lawyer",$B702))+ISNUMBER(SEARCH("broker",$B702))+ISNUMBER(SEARCH("bank",$B702))+ISNUMBER(SEARCH("charge",$B702))+ISNUMBER(SEARCH("permit",$B702))+ISNUMBER(SEARCH("bir",$B702))+ISNUMBER(SEARCH("ltfrb",$B702))+ISNUMBER(SEARCH("misc",$B702))+ISNUMBER(SEARCH("fee",$B702))&gt;0,"Overhead","Overhead")))))))</f>
        <v/>
      </c>
      <c r="J702">
        <f>IF($A702="","",DATE(YEAR($A702),MONTH($A702),1))</f>
        <v/>
      </c>
      <c r="K702">
        <f>IF($B702="","",IF(COUNTIF(Setup!$A$99:$A$128,$B702)&gt;0,0,1))</f>
        <v/>
      </c>
      <c r="L702">
        <f>IF($B702="","",IF(ISNUMBER(SEARCH("advance",$B702)),"ADV",IF(OR(ISNUMBER(SEARCH("payout",$B702)),ISNUMBER(SEARCH("pay out",$B702)),ISNUMBER(SEARCH("release",$B702))),"PAY","")))</f>
        <v/>
      </c>
      <c r="M702">
        <f>IF($B702="","",IF(ISNUMBER(SEARCH("bulk",$B702)),0,IF(ISNUMBER(SEARCH("fuel",$B702))+ISNUMBER(SEARCH("diesel",$B702))+ISNUMBER(SEARCH("krudo",$B702))+ISNUMBER(SEARCH("gasolina",$B702))&gt;0,1,0)))</f>
        <v/>
      </c>
      <c r="N702">
        <f>IF($B702="","",IF(ISNUMBER(SEARCH("fuel",$B702))+ISNUMBER(SEARCH("diesel",$B702))+ISNUMBER(SEARCH("krudo",$B702))+ISNUMBER(SEARCH("gasolina",$B702))&gt;0,1,0))</f>
        <v/>
      </c>
    </row>
    <row r="703">
      <c r="A703" s="86" t="n"/>
      <c r="B703" s="88" t="n"/>
      <c r="C703" s="88" t="n"/>
      <c r="D703" s="87" t="n"/>
      <c r="E703" s="88" t="n"/>
      <c r="F703" s="92" t="n"/>
      <c r="G703" s="87" t="n"/>
      <c r="H703" s="87" t="n"/>
      <c r="I703" s="101">
        <f>IF($B703="","",IF(COUNTIF(Setup!$A$99:$A$128,$B703)&gt;0,IF(INDEX(Setup!$B$99:$B$128,MATCH($B703,Setup!$A$99:$A$128,0))="","Overhead",INDEX(Setup!$B$99:$B$128,MATCH($B703,Setup!$A$99:$A$128,0))),IF(ISNUMBER(SEARCH("advance",$B703))+ISNUMBER(SEARCH("payout",$B703))+ISNUMBER(SEARCH("pay out",$B703))+ISNUMBER(SEARCH("reimburs",$B703))&gt;0,"Transfer",IF(ISNUMBER(SEARCH("loan",$B703))+ISNUMBER(SEARCH("amort",$B703))+ISNUMBER(SEARCH("installment",$B703))+ISNUMBER(SEARCH("instalment",$B703))&gt;0,"Financing",IF(ISNUMBER(SEARCH("draw",$B703))+ISNUMBER(SEARCH("owner",$B703))+ISNUMBER(SEARCH("asset",$B703))+ISNUMBER(SEARCH("capital",$B703))&gt;0,"Other",IF(ISNUMBER(SEARCH("fuel",$B703))+ISNUMBER(SEARCH("diesel",$B703))+ISNUMBER(SEARCH("krudo",$B703))+ISNUMBER(SEARCH("gasolina",$B703))+ISNUMBER(SEARCH("toll",$B703))+ISNUMBER(SEARCH("parking",$B703))+ISNUMBER(SEARCH("repair",$B703))+ISNUMBER(SEARCH("maintenance",$B703))+ISNUMBER(SEARCH("tire",$B703))+ISNUMBER(SEARCH("tyre",$B703))+ISNUMBER(SEARCH("battery",$B703))+ISNUMBER(SEARCH("oil",$B703))+ISNUMBER(SEARCH("filter",$B703))+ISNUMBER(SEARCH("spare",$B703))+ISNUMBER(SEARCH("insurance",$B703))+ISNUMBER(SEARCH("lto",$B703))+ISNUMBER(SEARCH("registration",$B703))+ISNUMBER(SEARCH("emission",$B703))+ISNUMBER(SEARCH("wash",$B703))+ISNUMBER(SEARCH("weigh",$B703))+ISNUMBER(SEARCH("tarp",$B703))&gt;0,"Vehicle",IF(ISNUMBER(SEARCH("rent",$B703))+ISNUMBER(SEARCH("upa",$B703))+ISNUMBER(SEARCH("salary",$B703))+ISNUMBER(SEARCH("sweldo",$B703))+ISNUMBER(SEARCH("wage",$B703))+ISNUMBER(SEARCH("electric",$B703))+ISNUMBER(SEARCH("kuryente",$B703))+ISNUMBER(SEARCH("water",$B703))+ISNUMBER(SEARCH("tubig",$B703))+ISNUMBER(SEARCH("internet",$B703))+ISNUMBER(SEARCH("pldt",$B703))+ISNUMBER(SEARCH("meralco",$B703))+ISNUMBER(SEARCH("supplies",$B703))+ISNUMBER(SEARCH("office",$B703))+ISNUMBER(SEARCH("professional",$B703))+ISNUMBER(SEARCH("accountant",$B703))+ISNUMBER(SEARCH("lawyer",$B703))+ISNUMBER(SEARCH("broker",$B703))+ISNUMBER(SEARCH("bank",$B703))+ISNUMBER(SEARCH("charge",$B703))+ISNUMBER(SEARCH("permit",$B703))+ISNUMBER(SEARCH("bir",$B703))+ISNUMBER(SEARCH("ltfrb",$B703))+ISNUMBER(SEARCH("misc",$B703))+ISNUMBER(SEARCH("fee",$B703))&gt;0,"Overhead","Overhead")))))))</f>
        <v/>
      </c>
      <c r="J703">
        <f>IF($A703="","",DATE(YEAR($A703),MONTH($A703),1))</f>
        <v/>
      </c>
      <c r="K703">
        <f>IF($B703="","",IF(COUNTIF(Setup!$A$99:$A$128,$B703)&gt;0,0,1))</f>
        <v/>
      </c>
      <c r="L703">
        <f>IF($B703="","",IF(ISNUMBER(SEARCH("advance",$B703)),"ADV",IF(OR(ISNUMBER(SEARCH("payout",$B703)),ISNUMBER(SEARCH("pay out",$B703)),ISNUMBER(SEARCH("release",$B703))),"PAY","")))</f>
        <v/>
      </c>
      <c r="M703">
        <f>IF($B703="","",IF(ISNUMBER(SEARCH("bulk",$B703)),0,IF(ISNUMBER(SEARCH("fuel",$B703))+ISNUMBER(SEARCH("diesel",$B703))+ISNUMBER(SEARCH("krudo",$B703))+ISNUMBER(SEARCH("gasolina",$B703))&gt;0,1,0)))</f>
        <v/>
      </c>
      <c r="N703">
        <f>IF($B703="","",IF(ISNUMBER(SEARCH("fuel",$B703))+ISNUMBER(SEARCH("diesel",$B703))+ISNUMBER(SEARCH("krudo",$B703))+ISNUMBER(SEARCH("gasolina",$B703))&gt;0,1,0))</f>
        <v/>
      </c>
    </row>
    <row r="704">
      <c r="A704" s="94" t="n"/>
      <c r="B704" s="96" t="n"/>
      <c r="C704" s="96" t="n"/>
      <c r="D704" s="95" t="n"/>
      <c r="E704" s="96" t="n"/>
      <c r="F704" s="99" t="n"/>
      <c r="G704" s="95" t="n"/>
      <c r="H704" s="95" t="n"/>
      <c r="I704" s="101">
        <f>IF($B704="","",IF(COUNTIF(Setup!$A$99:$A$128,$B704)&gt;0,IF(INDEX(Setup!$B$99:$B$128,MATCH($B704,Setup!$A$99:$A$128,0))="","Overhead",INDEX(Setup!$B$99:$B$128,MATCH($B704,Setup!$A$99:$A$128,0))),IF(ISNUMBER(SEARCH("advance",$B704))+ISNUMBER(SEARCH("payout",$B704))+ISNUMBER(SEARCH("pay out",$B704))+ISNUMBER(SEARCH("reimburs",$B704))&gt;0,"Transfer",IF(ISNUMBER(SEARCH("loan",$B704))+ISNUMBER(SEARCH("amort",$B704))+ISNUMBER(SEARCH("installment",$B704))+ISNUMBER(SEARCH("instalment",$B704))&gt;0,"Financing",IF(ISNUMBER(SEARCH("draw",$B704))+ISNUMBER(SEARCH("owner",$B704))+ISNUMBER(SEARCH("asset",$B704))+ISNUMBER(SEARCH("capital",$B704))&gt;0,"Other",IF(ISNUMBER(SEARCH("fuel",$B704))+ISNUMBER(SEARCH("diesel",$B704))+ISNUMBER(SEARCH("krudo",$B704))+ISNUMBER(SEARCH("gasolina",$B704))+ISNUMBER(SEARCH("toll",$B704))+ISNUMBER(SEARCH("parking",$B704))+ISNUMBER(SEARCH("repair",$B704))+ISNUMBER(SEARCH("maintenance",$B704))+ISNUMBER(SEARCH("tire",$B704))+ISNUMBER(SEARCH("tyre",$B704))+ISNUMBER(SEARCH("battery",$B704))+ISNUMBER(SEARCH("oil",$B704))+ISNUMBER(SEARCH("filter",$B704))+ISNUMBER(SEARCH("spare",$B704))+ISNUMBER(SEARCH("insurance",$B704))+ISNUMBER(SEARCH("lto",$B704))+ISNUMBER(SEARCH("registration",$B704))+ISNUMBER(SEARCH("emission",$B704))+ISNUMBER(SEARCH("wash",$B704))+ISNUMBER(SEARCH("weigh",$B704))+ISNUMBER(SEARCH("tarp",$B704))&gt;0,"Vehicle",IF(ISNUMBER(SEARCH("rent",$B704))+ISNUMBER(SEARCH("upa",$B704))+ISNUMBER(SEARCH("salary",$B704))+ISNUMBER(SEARCH("sweldo",$B704))+ISNUMBER(SEARCH("wage",$B704))+ISNUMBER(SEARCH("electric",$B704))+ISNUMBER(SEARCH("kuryente",$B704))+ISNUMBER(SEARCH("water",$B704))+ISNUMBER(SEARCH("tubig",$B704))+ISNUMBER(SEARCH("internet",$B704))+ISNUMBER(SEARCH("pldt",$B704))+ISNUMBER(SEARCH("meralco",$B704))+ISNUMBER(SEARCH("supplies",$B704))+ISNUMBER(SEARCH("office",$B704))+ISNUMBER(SEARCH("professional",$B704))+ISNUMBER(SEARCH("accountant",$B704))+ISNUMBER(SEARCH("lawyer",$B704))+ISNUMBER(SEARCH("broker",$B704))+ISNUMBER(SEARCH("bank",$B704))+ISNUMBER(SEARCH("charge",$B704))+ISNUMBER(SEARCH("permit",$B704))+ISNUMBER(SEARCH("bir",$B704))+ISNUMBER(SEARCH("ltfrb",$B704))+ISNUMBER(SEARCH("misc",$B704))+ISNUMBER(SEARCH("fee",$B704))&gt;0,"Overhead","Overhead")))))))</f>
        <v/>
      </c>
      <c r="J704">
        <f>IF($A704="","",DATE(YEAR($A704),MONTH($A704),1))</f>
        <v/>
      </c>
      <c r="K704">
        <f>IF($B704="","",IF(COUNTIF(Setup!$A$99:$A$128,$B704)&gt;0,0,1))</f>
        <v/>
      </c>
      <c r="L704">
        <f>IF($B704="","",IF(ISNUMBER(SEARCH("advance",$B704)),"ADV",IF(OR(ISNUMBER(SEARCH("payout",$B704)),ISNUMBER(SEARCH("pay out",$B704)),ISNUMBER(SEARCH("release",$B704))),"PAY","")))</f>
        <v/>
      </c>
      <c r="M704">
        <f>IF($B704="","",IF(ISNUMBER(SEARCH("bulk",$B704)),0,IF(ISNUMBER(SEARCH("fuel",$B704))+ISNUMBER(SEARCH("diesel",$B704))+ISNUMBER(SEARCH("krudo",$B704))+ISNUMBER(SEARCH("gasolina",$B704))&gt;0,1,0)))</f>
        <v/>
      </c>
      <c r="N704">
        <f>IF($B704="","",IF(ISNUMBER(SEARCH("fuel",$B704))+ISNUMBER(SEARCH("diesel",$B704))+ISNUMBER(SEARCH("krudo",$B704))+ISNUMBER(SEARCH("gasolina",$B704))&gt;0,1,0))</f>
        <v/>
      </c>
    </row>
    <row r="705">
      <c r="A705" s="86" t="n"/>
      <c r="B705" s="88" t="n"/>
      <c r="C705" s="88" t="n"/>
      <c r="D705" s="87" t="n"/>
      <c r="E705" s="88" t="n"/>
      <c r="F705" s="92" t="n"/>
      <c r="G705" s="87" t="n"/>
      <c r="H705" s="87" t="n"/>
      <c r="I705" s="101">
        <f>IF($B705="","",IF(COUNTIF(Setup!$A$99:$A$128,$B705)&gt;0,IF(INDEX(Setup!$B$99:$B$128,MATCH($B705,Setup!$A$99:$A$128,0))="","Overhead",INDEX(Setup!$B$99:$B$128,MATCH($B705,Setup!$A$99:$A$128,0))),IF(ISNUMBER(SEARCH("advance",$B705))+ISNUMBER(SEARCH("payout",$B705))+ISNUMBER(SEARCH("pay out",$B705))+ISNUMBER(SEARCH("reimburs",$B705))&gt;0,"Transfer",IF(ISNUMBER(SEARCH("loan",$B705))+ISNUMBER(SEARCH("amort",$B705))+ISNUMBER(SEARCH("installment",$B705))+ISNUMBER(SEARCH("instalment",$B705))&gt;0,"Financing",IF(ISNUMBER(SEARCH("draw",$B705))+ISNUMBER(SEARCH("owner",$B705))+ISNUMBER(SEARCH("asset",$B705))+ISNUMBER(SEARCH("capital",$B705))&gt;0,"Other",IF(ISNUMBER(SEARCH("fuel",$B705))+ISNUMBER(SEARCH("diesel",$B705))+ISNUMBER(SEARCH("krudo",$B705))+ISNUMBER(SEARCH("gasolina",$B705))+ISNUMBER(SEARCH("toll",$B705))+ISNUMBER(SEARCH("parking",$B705))+ISNUMBER(SEARCH("repair",$B705))+ISNUMBER(SEARCH("maintenance",$B705))+ISNUMBER(SEARCH("tire",$B705))+ISNUMBER(SEARCH("tyre",$B705))+ISNUMBER(SEARCH("battery",$B705))+ISNUMBER(SEARCH("oil",$B705))+ISNUMBER(SEARCH("filter",$B705))+ISNUMBER(SEARCH("spare",$B705))+ISNUMBER(SEARCH("insurance",$B705))+ISNUMBER(SEARCH("lto",$B705))+ISNUMBER(SEARCH("registration",$B705))+ISNUMBER(SEARCH("emission",$B705))+ISNUMBER(SEARCH("wash",$B705))+ISNUMBER(SEARCH("weigh",$B705))+ISNUMBER(SEARCH("tarp",$B705))&gt;0,"Vehicle",IF(ISNUMBER(SEARCH("rent",$B705))+ISNUMBER(SEARCH("upa",$B705))+ISNUMBER(SEARCH("salary",$B705))+ISNUMBER(SEARCH("sweldo",$B705))+ISNUMBER(SEARCH("wage",$B705))+ISNUMBER(SEARCH("electric",$B705))+ISNUMBER(SEARCH("kuryente",$B705))+ISNUMBER(SEARCH("water",$B705))+ISNUMBER(SEARCH("tubig",$B705))+ISNUMBER(SEARCH("internet",$B705))+ISNUMBER(SEARCH("pldt",$B705))+ISNUMBER(SEARCH("meralco",$B705))+ISNUMBER(SEARCH("supplies",$B705))+ISNUMBER(SEARCH("office",$B705))+ISNUMBER(SEARCH("professional",$B705))+ISNUMBER(SEARCH("accountant",$B705))+ISNUMBER(SEARCH("lawyer",$B705))+ISNUMBER(SEARCH("broker",$B705))+ISNUMBER(SEARCH("bank",$B705))+ISNUMBER(SEARCH("charge",$B705))+ISNUMBER(SEARCH("permit",$B705))+ISNUMBER(SEARCH("bir",$B705))+ISNUMBER(SEARCH("ltfrb",$B705))+ISNUMBER(SEARCH("misc",$B705))+ISNUMBER(SEARCH("fee",$B705))&gt;0,"Overhead","Overhead")))))))</f>
        <v/>
      </c>
      <c r="J705">
        <f>IF($A705="","",DATE(YEAR($A705),MONTH($A705),1))</f>
        <v/>
      </c>
      <c r="K705">
        <f>IF($B705="","",IF(COUNTIF(Setup!$A$99:$A$128,$B705)&gt;0,0,1))</f>
        <v/>
      </c>
      <c r="L705">
        <f>IF($B705="","",IF(ISNUMBER(SEARCH("advance",$B705)),"ADV",IF(OR(ISNUMBER(SEARCH("payout",$B705)),ISNUMBER(SEARCH("pay out",$B705)),ISNUMBER(SEARCH("release",$B705))),"PAY","")))</f>
        <v/>
      </c>
      <c r="M705">
        <f>IF($B705="","",IF(ISNUMBER(SEARCH("bulk",$B705)),0,IF(ISNUMBER(SEARCH("fuel",$B705))+ISNUMBER(SEARCH("diesel",$B705))+ISNUMBER(SEARCH("krudo",$B705))+ISNUMBER(SEARCH("gasolina",$B705))&gt;0,1,0)))</f>
        <v/>
      </c>
      <c r="N705">
        <f>IF($B705="","",IF(ISNUMBER(SEARCH("fuel",$B705))+ISNUMBER(SEARCH("diesel",$B705))+ISNUMBER(SEARCH("krudo",$B705))+ISNUMBER(SEARCH("gasolina",$B705))&gt;0,1,0))</f>
        <v/>
      </c>
    </row>
    <row r="706">
      <c r="A706" s="94" t="n"/>
      <c r="B706" s="96" t="n"/>
      <c r="C706" s="96" t="n"/>
      <c r="D706" s="95" t="n"/>
      <c r="E706" s="96" t="n"/>
      <c r="F706" s="99" t="n"/>
      <c r="G706" s="95" t="n"/>
      <c r="H706" s="95" t="n"/>
      <c r="I706" s="101">
        <f>IF($B706="","",IF(COUNTIF(Setup!$A$99:$A$128,$B706)&gt;0,IF(INDEX(Setup!$B$99:$B$128,MATCH($B706,Setup!$A$99:$A$128,0))="","Overhead",INDEX(Setup!$B$99:$B$128,MATCH($B706,Setup!$A$99:$A$128,0))),IF(ISNUMBER(SEARCH("advance",$B706))+ISNUMBER(SEARCH("payout",$B706))+ISNUMBER(SEARCH("pay out",$B706))+ISNUMBER(SEARCH("reimburs",$B706))&gt;0,"Transfer",IF(ISNUMBER(SEARCH("loan",$B706))+ISNUMBER(SEARCH("amort",$B706))+ISNUMBER(SEARCH("installment",$B706))+ISNUMBER(SEARCH("instalment",$B706))&gt;0,"Financing",IF(ISNUMBER(SEARCH("draw",$B706))+ISNUMBER(SEARCH("owner",$B706))+ISNUMBER(SEARCH("asset",$B706))+ISNUMBER(SEARCH("capital",$B706))&gt;0,"Other",IF(ISNUMBER(SEARCH("fuel",$B706))+ISNUMBER(SEARCH("diesel",$B706))+ISNUMBER(SEARCH("krudo",$B706))+ISNUMBER(SEARCH("gasolina",$B706))+ISNUMBER(SEARCH("toll",$B706))+ISNUMBER(SEARCH("parking",$B706))+ISNUMBER(SEARCH("repair",$B706))+ISNUMBER(SEARCH("maintenance",$B706))+ISNUMBER(SEARCH("tire",$B706))+ISNUMBER(SEARCH("tyre",$B706))+ISNUMBER(SEARCH("battery",$B706))+ISNUMBER(SEARCH("oil",$B706))+ISNUMBER(SEARCH("filter",$B706))+ISNUMBER(SEARCH("spare",$B706))+ISNUMBER(SEARCH("insurance",$B706))+ISNUMBER(SEARCH("lto",$B706))+ISNUMBER(SEARCH("registration",$B706))+ISNUMBER(SEARCH("emission",$B706))+ISNUMBER(SEARCH("wash",$B706))+ISNUMBER(SEARCH("weigh",$B706))+ISNUMBER(SEARCH("tarp",$B706))&gt;0,"Vehicle",IF(ISNUMBER(SEARCH("rent",$B706))+ISNUMBER(SEARCH("upa",$B706))+ISNUMBER(SEARCH("salary",$B706))+ISNUMBER(SEARCH("sweldo",$B706))+ISNUMBER(SEARCH("wage",$B706))+ISNUMBER(SEARCH("electric",$B706))+ISNUMBER(SEARCH("kuryente",$B706))+ISNUMBER(SEARCH("water",$B706))+ISNUMBER(SEARCH("tubig",$B706))+ISNUMBER(SEARCH("internet",$B706))+ISNUMBER(SEARCH("pldt",$B706))+ISNUMBER(SEARCH("meralco",$B706))+ISNUMBER(SEARCH("supplies",$B706))+ISNUMBER(SEARCH("office",$B706))+ISNUMBER(SEARCH("professional",$B706))+ISNUMBER(SEARCH("accountant",$B706))+ISNUMBER(SEARCH("lawyer",$B706))+ISNUMBER(SEARCH("broker",$B706))+ISNUMBER(SEARCH("bank",$B706))+ISNUMBER(SEARCH("charge",$B706))+ISNUMBER(SEARCH("permit",$B706))+ISNUMBER(SEARCH("bir",$B706))+ISNUMBER(SEARCH("ltfrb",$B706))+ISNUMBER(SEARCH("misc",$B706))+ISNUMBER(SEARCH("fee",$B706))&gt;0,"Overhead","Overhead")))))))</f>
        <v/>
      </c>
      <c r="J706">
        <f>IF($A706="","",DATE(YEAR($A706),MONTH($A706),1))</f>
        <v/>
      </c>
      <c r="K706">
        <f>IF($B706="","",IF(COUNTIF(Setup!$A$99:$A$128,$B706)&gt;0,0,1))</f>
        <v/>
      </c>
      <c r="L706">
        <f>IF($B706="","",IF(ISNUMBER(SEARCH("advance",$B706)),"ADV",IF(OR(ISNUMBER(SEARCH("payout",$B706)),ISNUMBER(SEARCH("pay out",$B706)),ISNUMBER(SEARCH("release",$B706))),"PAY","")))</f>
        <v/>
      </c>
      <c r="M706">
        <f>IF($B706="","",IF(ISNUMBER(SEARCH("bulk",$B706)),0,IF(ISNUMBER(SEARCH("fuel",$B706))+ISNUMBER(SEARCH("diesel",$B706))+ISNUMBER(SEARCH("krudo",$B706))+ISNUMBER(SEARCH("gasolina",$B706))&gt;0,1,0)))</f>
        <v/>
      </c>
      <c r="N706">
        <f>IF($B706="","",IF(ISNUMBER(SEARCH("fuel",$B706))+ISNUMBER(SEARCH("diesel",$B706))+ISNUMBER(SEARCH("krudo",$B706))+ISNUMBER(SEARCH("gasolina",$B706))&gt;0,1,0))</f>
        <v/>
      </c>
    </row>
    <row r="707">
      <c r="A707" s="86" t="n"/>
      <c r="B707" s="88" t="n"/>
      <c r="C707" s="88" t="n"/>
      <c r="D707" s="87" t="n"/>
      <c r="E707" s="88" t="n"/>
      <c r="F707" s="92" t="n"/>
      <c r="G707" s="87" t="n"/>
      <c r="H707" s="87" t="n"/>
      <c r="I707" s="101">
        <f>IF($B707="","",IF(COUNTIF(Setup!$A$99:$A$128,$B707)&gt;0,IF(INDEX(Setup!$B$99:$B$128,MATCH($B707,Setup!$A$99:$A$128,0))="","Overhead",INDEX(Setup!$B$99:$B$128,MATCH($B707,Setup!$A$99:$A$128,0))),IF(ISNUMBER(SEARCH("advance",$B707))+ISNUMBER(SEARCH("payout",$B707))+ISNUMBER(SEARCH("pay out",$B707))+ISNUMBER(SEARCH("reimburs",$B707))&gt;0,"Transfer",IF(ISNUMBER(SEARCH("loan",$B707))+ISNUMBER(SEARCH("amort",$B707))+ISNUMBER(SEARCH("installment",$B707))+ISNUMBER(SEARCH("instalment",$B707))&gt;0,"Financing",IF(ISNUMBER(SEARCH("draw",$B707))+ISNUMBER(SEARCH("owner",$B707))+ISNUMBER(SEARCH("asset",$B707))+ISNUMBER(SEARCH("capital",$B707))&gt;0,"Other",IF(ISNUMBER(SEARCH("fuel",$B707))+ISNUMBER(SEARCH("diesel",$B707))+ISNUMBER(SEARCH("krudo",$B707))+ISNUMBER(SEARCH("gasolina",$B707))+ISNUMBER(SEARCH("toll",$B707))+ISNUMBER(SEARCH("parking",$B707))+ISNUMBER(SEARCH("repair",$B707))+ISNUMBER(SEARCH("maintenance",$B707))+ISNUMBER(SEARCH("tire",$B707))+ISNUMBER(SEARCH("tyre",$B707))+ISNUMBER(SEARCH("battery",$B707))+ISNUMBER(SEARCH("oil",$B707))+ISNUMBER(SEARCH("filter",$B707))+ISNUMBER(SEARCH("spare",$B707))+ISNUMBER(SEARCH("insurance",$B707))+ISNUMBER(SEARCH("lto",$B707))+ISNUMBER(SEARCH("registration",$B707))+ISNUMBER(SEARCH("emission",$B707))+ISNUMBER(SEARCH("wash",$B707))+ISNUMBER(SEARCH("weigh",$B707))+ISNUMBER(SEARCH("tarp",$B707))&gt;0,"Vehicle",IF(ISNUMBER(SEARCH("rent",$B707))+ISNUMBER(SEARCH("upa",$B707))+ISNUMBER(SEARCH("salary",$B707))+ISNUMBER(SEARCH("sweldo",$B707))+ISNUMBER(SEARCH("wage",$B707))+ISNUMBER(SEARCH("electric",$B707))+ISNUMBER(SEARCH("kuryente",$B707))+ISNUMBER(SEARCH("water",$B707))+ISNUMBER(SEARCH("tubig",$B707))+ISNUMBER(SEARCH("internet",$B707))+ISNUMBER(SEARCH("pldt",$B707))+ISNUMBER(SEARCH("meralco",$B707))+ISNUMBER(SEARCH("supplies",$B707))+ISNUMBER(SEARCH("office",$B707))+ISNUMBER(SEARCH("professional",$B707))+ISNUMBER(SEARCH("accountant",$B707))+ISNUMBER(SEARCH("lawyer",$B707))+ISNUMBER(SEARCH("broker",$B707))+ISNUMBER(SEARCH("bank",$B707))+ISNUMBER(SEARCH("charge",$B707))+ISNUMBER(SEARCH("permit",$B707))+ISNUMBER(SEARCH("bir",$B707))+ISNUMBER(SEARCH("ltfrb",$B707))+ISNUMBER(SEARCH("misc",$B707))+ISNUMBER(SEARCH("fee",$B707))&gt;0,"Overhead","Overhead")))))))</f>
        <v/>
      </c>
      <c r="J707">
        <f>IF($A707="","",DATE(YEAR($A707),MONTH($A707),1))</f>
        <v/>
      </c>
      <c r="K707">
        <f>IF($B707="","",IF(COUNTIF(Setup!$A$99:$A$128,$B707)&gt;0,0,1))</f>
        <v/>
      </c>
      <c r="L707">
        <f>IF($B707="","",IF(ISNUMBER(SEARCH("advance",$B707)),"ADV",IF(OR(ISNUMBER(SEARCH("payout",$B707)),ISNUMBER(SEARCH("pay out",$B707)),ISNUMBER(SEARCH("release",$B707))),"PAY","")))</f>
        <v/>
      </c>
      <c r="M707">
        <f>IF($B707="","",IF(ISNUMBER(SEARCH("bulk",$B707)),0,IF(ISNUMBER(SEARCH("fuel",$B707))+ISNUMBER(SEARCH("diesel",$B707))+ISNUMBER(SEARCH("krudo",$B707))+ISNUMBER(SEARCH("gasolina",$B707))&gt;0,1,0)))</f>
        <v/>
      </c>
      <c r="N707">
        <f>IF($B707="","",IF(ISNUMBER(SEARCH("fuel",$B707))+ISNUMBER(SEARCH("diesel",$B707))+ISNUMBER(SEARCH("krudo",$B707))+ISNUMBER(SEARCH("gasolina",$B707))&gt;0,1,0))</f>
        <v/>
      </c>
    </row>
    <row r="708">
      <c r="A708" s="94" t="n"/>
      <c r="B708" s="96" t="n"/>
      <c r="C708" s="96" t="n"/>
      <c r="D708" s="95" t="n"/>
      <c r="E708" s="96" t="n"/>
      <c r="F708" s="99" t="n"/>
      <c r="G708" s="95" t="n"/>
      <c r="H708" s="95" t="n"/>
      <c r="I708" s="101">
        <f>IF($B708="","",IF(COUNTIF(Setup!$A$99:$A$128,$B708)&gt;0,IF(INDEX(Setup!$B$99:$B$128,MATCH($B708,Setup!$A$99:$A$128,0))="","Overhead",INDEX(Setup!$B$99:$B$128,MATCH($B708,Setup!$A$99:$A$128,0))),IF(ISNUMBER(SEARCH("advance",$B708))+ISNUMBER(SEARCH("payout",$B708))+ISNUMBER(SEARCH("pay out",$B708))+ISNUMBER(SEARCH("reimburs",$B708))&gt;0,"Transfer",IF(ISNUMBER(SEARCH("loan",$B708))+ISNUMBER(SEARCH("amort",$B708))+ISNUMBER(SEARCH("installment",$B708))+ISNUMBER(SEARCH("instalment",$B708))&gt;0,"Financing",IF(ISNUMBER(SEARCH("draw",$B708))+ISNUMBER(SEARCH("owner",$B708))+ISNUMBER(SEARCH("asset",$B708))+ISNUMBER(SEARCH("capital",$B708))&gt;0,"Other",IF(ISNUMBER(SEARCH("fuel",$B708))+ISNUMBER(SEARCH("diesel",$B708))+ISNUMBER(SEARCH("krudo",$B708))+ISNUMBER(SEARCH("gasolina",$B708))+ISNUMBER(SEARCH("toll",$B708))+ISNUMBER(SEARCH("parking",$B708))+ISNUMBER(SEARCH("repair",$B708))+ISNUMBER(SEARCH("maintenance",$B708))+ISNUMBER(SEARCH("tire",$B708))+ISNUMBER(SEARCH("tyre",$B708))+ISNUMBER(SEARCH("battery",$B708))+ISNUMBER(SEARCH("oil",$B708))+ISNUMBER(SEARCH("filter",$B708))+ISNUMBER(SEARCH("spare",$B708))+ISNUMBER(SEARCH("insurance",$B708))+ISNUMBER(SEARCH("lto",$B708))+ISNUMBER(SEARCH("registration",$B708))+ISNUMBER(SEARCH("emission",$B708))+ISNUMBER(SEARCH("wash",$B708))+ISNUMBER(SEARCH("weigh",$B708))+ISNUMBER(SEARCH("tarp",$B708))&gt;0,"Vehicle",IF(ISNUMBER(SEARCH("rent",$B708))+ISNUMBER(SEARCH("upa",$B708))+ISNUMBER(SEARCH("salary",$B708))+ISNUMBER(SEARCH("sweldo",$B708))+ISNUMBER(SEARCH("wage",$B708))+ISNUMBER(SEARCH("electric",$B708))+ISNUMBER(SEARCH("kuryente",$B708))+ISNUMBER(SEARCH("water",$B708))+ISNUMBER(SEARCH("tubig",$B708))+ISNUMBER(SEARCH("internet",$B708))+ISNUMBER(SEARCH("pldt",$B708))+ISNUMBER(SEARCH("meralco",$B708))+ISNUMBER(SEARCH("supplies",$B708))+ISNUMBER(SEARCH("office",$B708))+ISNUMBER(SEARCH("professional",$B708))+ISNUMBER(SEARCH("accountant",$B708))+ISNUMBER(SEARCH("lawyer",$B708))+ISNUMBER(SEARCH("broker",$B708))+ISNUMBER(SEARCH("bank",$B708))+ISNUMBER(SEARCH("charge",$B708))+ISNUMBER(SEARCH("permit",$B708))+ISNUMBER(SEARCH("bir",$B708))+ISNUMBER(SEARCH("ltfrb",$B708))+ISNUMBER(SEARCH("misc",$B708))+ISNUMBER(SEARCH("fee",$B708))&gt;0,"Overhead","Overhead")))))))</f>
        <v/>
      </c>
      <c r="J708">
        <f>IF($A708="","",DATE(YEAR($A708),MONTH($A708),1))</f>
        <v/>
      </c>
      <c r="K708">
        <f>IF($B708="","",IF(COUNTIF(Setup!$A$99:$A$128,$B708)&gt;0,0,1))</f>
        <v/>
      </c>
      <c r="L708">
        <f>IF($B708="","",IF(ISNUMBER(SEARCH("advance",$B708)),"ADV",IF(OR(ISNUMBER(SEARCH("payout",$B708)),ISNUMBER(SEARCH("pay out",$B708)),ISNUMBER(SEARCH("release",$B708))),"PAY","")))</f>
        <v/>
      </c>
      <c r="M708">
        <f>IF($B708="","",IF(ISNUMBER(SEARCH("bulk",$B708)),0,IF(ISNUMBER(SEARCH("fuel",$B708))+ISNUMBER(SEARCH("diesel",$B708))+ISNUMBER(SEARCH("krudo",$B708))+ISNUMBER(SEARCH("gasolina",$B708))&gt;0,1,0)))</f>
        <v/>
      </c>
      <c r="N708">
        <f>IF($B708="","",IF(ISNUMBER(SEARCH("fuel",$B708))+ISNUMBER(SEARCH("diesel",$B708))+ISNUMBER(SEARCH("krudo",$B708))+ISNUMBER(SEARCH("gasolina",$B708))&gt;0,1,0))</f>
        <v/>
      </c>
    </row>
    <row r="709">
      <c r="A709" s="86" t="n"/>
      <c r="B709" s="88" t="n"/>
      <c r="C709" s="88" t="n"/>
      <c r="D709" s="87" t="n"/>
      <c r="E709" s="88" t="n"/>
      <c r="F709" s="92" t="n"/>
      <c r="G709" s="87" t="n"/>
      <c r="H709" s="87" t="n"/>
      <c r="I709" s="101">
        <f>IF($B709="","",IF(COUNTIF(Setup!$A$99:$A$128,$B709)&gt;0,IF(INDEX(Setup!$B$99:$B$128,MATCH($B709,Setup!$A$99:$A$128,0))="","Overhead",INDEX(Setup!$B$99:$B$128,MATCH($B709,Setup!$A$99:$A$128,0))),IF(ISNUMBER(SEARCH("advance",$B709))+ISNUMBER(SEARCH("payout",$B709))+ISNUMBER(SEARCH("pay out",$B709))+ISNUMBER(SEARCH("reimburs",$B709))&gt;0,"Transfer",IF(ISNUMBER(SEARCH("loan",$B709))+ISNUMBER(SEARCH("amort",$B709))+ISNUMBER(SEARCH("installment",$B709))+ISNUMBER(SEARCH("instalment",$B709))&gt;0,"Financing",IF(ISNUMBER(SEARCH("draw",$B709))+ISNUMBER(SEARCH("owner",$B709))+ISNUMBER(SEARCH("asset",$B709))+ISNUMBER(SEARCH("capital",$B709))&gt;0,"Other",IF(ISNUMBER(SEARCH("fuel",$B709))+ISNUMBER(SEARCH("diesel",$B709))+ISNUMBER(SEARCH("krudo",$B709))+ISNUMBER(SEARCH("gasolina",$B709))+ISNUMBER(SEARCH("toll",$B709))+ISNUMBER(SEARCH("parking",$B709))+ISNUMBER(SEARCH("repair",$B709))+ISNUMBER(SEARCH("maintenance",$B709))+ISNUMBER(SEARCH("tire",$B709))+ISNUMBER(SEARCH("tyre",$B709))+ISNUMBER(SEARCH("battery",$B709))+ISNUMBER(SEARCH("oil",$B709))+ISNUMBER(SEARCH("filter",$B709))+ISNUMBER(SEARCH("spare",$B709))+ISNUMBER(SEARCH("insurance",$B709))+ISNUMBER(SEARCH("lto",$B709))+ISNUMBER(SEARCH("registration",$B709))+ISNUMBER(SEARCH("emission",$B709))+ISNUMBER(SEARCH("wash",$B709))+ISNUMBER(SEARCH("weigh",$B709))+ISNUMBER(SEARCH("tarp",$B709))&gt;0,"Vehicle",IF(ISNUMBER(SEARCH("rent",$B709))+ISNUMBER(SEARCH("upa",$B709))+ISNUMBER(SEARCH("salary",$B709))+ISNUMBER(SEARCH("sweldo",$B709))+ISNUMBER(SEARCH("wage",$B709))+ISNUMBER(SEARCH("electric",$B709))+ISNUMBER(SEARCH("kuryente",$B709))+ISNUMBER(SEARCH("water",$B709))+ISNUMBER(SEARCH("tubig",$B709))+ISNUMBER(SEARCH("internet",$B709))+ISNUMBER(SEARCH("pldt",$B709))+ISNUMBER(SEARCH("meralco",$B709))+ISNUMBER(SEARCH("supplies",$B709))+ISNUMBER(SEARCH("office",$B709))+ISNUMBER(SEARCH("professional",$B709))+ISNUMBER(SEARCH("accountant",$B709))+ISNUMBER(SEARCH("lawyer",$B709))+ISNUMBER(SEARCH("broker",$B709))+ISNUMBER(SEARCH("bank",$B709))+ISNUMBER(SEARCH("charge",$B709))+ISNUMBER(SEARCH("permit",$B709))+ISNUMBER(SEARCH("bir",$B709))+ISNUMBER(SEARCH("ltfrb",$B709))+ISNUMBER(SEARCH("misc",$B709))+ISNUMBER(SEARCH("fee",$B709))&gt;0,"Overhead","Overhead")))))))</f>
        <v/>
      </c>
      <c r="J709">
        <f>IF($A709="","",DATE(YEAR($A709),MONTH($A709),1))</f>
        <v/>
      </c>
      <c r="K709">
        <f>IF($B709="","",IF(COUNTIF(Setup!$A$99:$A$128,$B709)&gt;0,0,1))</f>
        <v/>
      </c>
      <c r="L709">
        <f>IF($B709="","",IF(ISNUMBER(SEARCH("advance",$B709)),"ADV",IF(OR(ISNUMBER(SEARCH("payout",$B709)),ISNUMBER(SEARCH("pay out",$B709)),ISNUMBER(SEARCH("release",$B709))),"PAY","")))</f>
        <v/>
      </c>
      <c r="M709">
        <f>IF($B709="","",IF(ISNUMBER(SEARCH("bulk",$B709)),0,IF(ISNUMBER(SEARCH("fuel",$B709))+ISNUMBER(SEARCH("diesel",$B709))+ISNUMBER(SEARCH("krudo",$B709))+ISNUMBER(SEARCH("gasolina",$B709))&gt;0,1,0)))</f>
        <v/>
      </c>
      <c r="N709">
        <f>IF($B709="","",IF(ISNUMBER(SEARCH("fuel",$B709))+ISNUMBER(SEARCH("diesel",$B709))+ISNUMBER(SEARCH("krudo",$B709))+ISNUMBER(SEARCH("gasolina",$B709))&gt;0,1,0))</f>
        <v/>
      </c>
    </row>
    <row r="710">
      <c r="A710" s="94" t="n"/>
      <c r="B710" s="96" t="n"/>
      <c r="C710" s="96" t="n"/>
      <c r="D710" s="95" t="n"/>
      <c r="E710" s="96" t="n"/>
      <c r="F710" s="99" t="n"/>
      <c r="G710" s="95" t="n"/>
      <c r="H710" s="95" t="n"/>
      <c r="I710" s="101">
        <f>IF($B710="","",IF(COUNTIF(Setup!$A$99:$A$128,$B710)&gt;0,IF(INDEX(Setup!$B$99:$B$128,MATCH($B710,Setup!$A$99:$A$128,0))="","Overhead",INDEX(Setup!$B$99:$B$128,MATCH($B710,Setup!$A$99:$A$128,0))),IF(ISNUMBER(SEARCH("advance",$B710))+ISNUMBER(SEARCH("payout",$B710))+ISNUMBER(SEARCH("pay out",$B710))+ISNUMBER(SEARCH("reimburs",$B710))&gt;0,"Transfer",IF(ISNUMBER(SEARCH("loan",$B710))+ISNUMBER(SEARCH("amort",$B710))+ISNUMBER(SEARCH("installment",$B710))+ISNUMBER(SEARCH("instalment",$B710))&gt;0,"Financing",IF(ISNUMBER(SEARCH("draw",$B710))+ISNUMBER(SEARCH("owner",$B710))+ISNUMBER(SEARCH("asset",$B710))+ISNUMBER(SEARCH("capital",$B710))&gt;0,"Other",IF(ISNUMBER(SEARCH("fuel",$B710))+ISNUMBER(SEARCH("diesel",$B710))+ISNUMBER(SEARCH("krudo",$B710))+ISNUMBER(SEARCH("gasolina",$B710))+ISNUMBER(SEARCH("toll",$B710))+ISNUMBER(SEARCH("parking",$B710))+ISNUMBER(SEARCH("repair",$B710))+ISNUMBER(SEARCH("maintenance",$B710))+ISNUMBER(SEARCH("tire",$B710))+ISNUMBER(SEARCH("tyre",$B710))+ISNUMBER(SEARCH("battery",$B710))+ISNUMBER(SEARCH("oil",$B710))+ISNUMBER(SEARCH("filter",$B710))+ISNUMBER(SEARCH("spare",$B710))+ISNUMBER(SEARCH("insurance",$B710))+ISNUMBER(SEARCH("lto",$B710))+ISNUMBER(SEARCH("registration",$B710))+ISNUMBER(SEARCH("emission",$B710))+ISNUMBER(SEARCH("wash",$B710))+ISNUMBER(SEARCH("weigh",$B710))+ISNUMBER(SEARCH("tarp",$B710))&gt;0,"Vehicle",IF(ISNUMBER(SEARCH("rent",$B710))+ISNUMBER(SEARCH("upa",$B710))+ISNUMBER(SEARCH("salary",$B710))+ISNUMBER(SEARCH("sweldo",$B710))+ISNUMBER(SEARCH("wage",$B710))+ISNUMBER(SEARCH("electric",$B710))+ISNUMBER(SEARCH("kuryente",$B710))+ISNUMBER(SEARCH("water",$B710))+ISNUMBER(SEARCH("tubig",$B710))+ISNUMBER(SEARCH("internet",$B710))+ISNUMBER(SEARCH("pldt",$B710))+ISNUMBER(SEARCH("meralco",$B710))+ISNUMBER(SEARCH("supplies",$B710))+ISNUMBER(SEARCH("office",$B710))+ISNUMBER(SEARCH("professional",$B710))+ISNUMBER(SEARCH("accountant",$B710))+ISNUMBER(SEARCH("lawyer",$B710))+ISNUMBER(SEARCH("broker",$B710))+ISNUMBER(SEARCH("bank",$B710))+ISNUMBER(SEARCH("charge",$B710))+ISNUMBER(SEARCH("permit",$B710))+ISNUMBER(SEARCH("bir",$B710))+ISNUMBER(SEARCH("ltfrb",$B710))+ISNUMBER(SEARCH("misc",$B710))+ISNUMBER(SEARCH("fee",$B710))&gt;0,"Overhead","Overhead")))))))</f>
        <v/>
      </c>
      <c r="J710">
        <f>IF($A710="","",DATE(YEAR($A710),MONTH($A710),1))</f>
        <v/>
      </c>
      <c r="K710">
        <f>IF($B710="","",IF(COUNTIF(Setup!$A$99:$A$128,$B710)&gt;0,0,1))</f>
        <v/>
      </c>
      <c r="L710">
        <f>IF($B710="","",IF(ISNUMBER(SEARCH("advance",$B710)),"ADV",IF(OR(ISNUMBER(SEARCH("payout",$B710)),ISNUMBER(SEARCH("pay out",$B710)),ISNUMBER(SEARCH("release",$B710))),"PAY","")))</f>
        <v/>
      </c>
      <c r="M710">
        <f>IF($B710="","",IF(ISNUMBER(SEARCH("bulk",$B710)),0,IF(ISNUMBER(SEARCH("fuel",$B710))+ISNUMBER(SEARCH("diesel",$B710))+ISNUMBER(SEARCH("krudo",$B710))+ISNUMBER(SEARCH("gasolina",$B710))&gt;0,1,0)))</f>
        <v/>
      </c>
      <c r="N710">
        <f>IF($B710="","",IF(ISNUMBER(SEARCH("fuel",$B710))+ISNUMBER(SEARCH("diesel",$B710))+ISNUMBER(SEARCH("krudo",$B710))+ISNUMBER(SEARCH("gasolina",$B710))&gt;0,1,0))</f>
        <v/>
      </c>
    </row>
    <row r="711">
      <c r="A711" s="86" t="n"/>
      <c r="B711" s="88" t="n"/>
      <c r="C711" s="88" t="n"/>
      <c r="D711" s="87" t="n"/>
      <c r="E711" s="88" t="n"/>
      <c r="F711" s="92" t="n"/>
      <c r="G711" s="87" t="n"/>
      <c r="H711" s="87" t="n"/>
      <c r="I711" s="101">
        <f>IF($B711="","",IF(COUNTIF(Setup!$A$99:$A$128,$B711)&gt;0,IF(INDEX(Setup!$B$99:$B$128,MATCH($B711,Setup!$A$99:$A$128,0))="","Overhead",INDEX(Setup!$B$99:$B$128,MATCH($B711,Setup!$A$99:$A$128,0))),IF(ISNUMBER(SEARCH("advance",$B711))+ISNUMBER(SEARCH("payout",$B711))+ISNUMBER(SEARCH("pay out",$B711))+ISNUMBER(SEARCH("reimburs",$B711))&gt;0,"Transfer",IF(ISNUMBER(SEARCH("loan",$B711))+ISNUMBER(SEARCH("amort",$B711))+ISNUMBER(SEARCH("installment",$B711))+ISNUMBER(SEARCH("instalment",$B711))&gt;0,"Financing",IF(ISNUMBER(SEARCH("draw",$B711))+ISNUMBER(SEARCH("owner",$B711))+ISNUMBER(SEARCH("asset",$B711))+ISNUMBER(SEARCH("capital",$B711))&gt;0,"Other",IF(ISNUMBER(SEARCH("fuel",$B711))+ISNUMBER(SEARCH("diesel",$B711))+ISNUMBER(SEARCH("krudo",$B711))+ISNUMBER(SEARCH("gasolina",$B711))+ISNUMBER(SEARCH("toll",$B711))+ISNUMBER(SEARCH("parking",$B711))+ISNUMBER(SEARCH("repair",$B711))+ISNUMBER(SEARCH("maintenance",$B711))+ISNUMBER(SEARCH("tire",$B711))+ISNUMBER(SEARCH("tyre",$B711))+ISNUMBER(SEARCH("battery",$B711))+ISNUMBER(SEARCH("oil",$B711))+ISNUMBER(SEARCH("filter",$B711))+ISNUMBER(SEARCH("spare",$B711))+ISNUMBER(SEARCH("insurance",$B711))+ISNUMBER(SEARCH("lto",$B711))+ISNUMBER(SEARCH("registration",$B711))+ISNUMBER(SEARCH("emission",$B711))+ISNUMBER(SEARCH("wash",$B711))+ISNUMBER(SEARCH("weigh",$B711))+ISNUMBER(SEARCH("tarp",$B711))&gt;0,"Vehicle",IF(ISNUMBER(SEARCH("rent",$B711))+ISNUMBER(SEARCH("upa",$B711))+ISNUMBER(SEARCH("salary",$B711))+ISNUMBER(SEARCH("sweldo",$B711))+ISNUMBER(SEARCH("wage",$B711))+ISNUMBER(SEARCH("electric",$B711))+ISNUMBER(SEARCH("kuryente",$B711))+ISNUMBER(SEARCH("water",$B711))+ISNUMBER(SEARCH("tubig",$B711))+ISNUMBER(SEARCH("internet",$B711))+ISNUMBER(SEARCH("pldt",$B711))+ISNUMBER(SEARCH("meralco",$B711))+ISNUMBER(SEARCH("supplies",$B711))+ISNUMBER(SEARCH("office",$B711))+ISNUMBER(SEARCH("professional",$B711))+ISNUMBER(SEARCH("accountant",$B711))+ISNUMBER(SEARCH("lawyer",$B711))+ISNUMBER(SEARCH("broker",$B711))+ISNUMBER(SEARCH("bank",$B711))+ISNUMBER(SEARCH("charge",$B711))+ISNUMBER(SEARCH("permit",$B711))+ISNUMBER(SEARCH("bir",$B711))+ISNUMBER(SEARCH("ltfrb",$B711))+ISNUMBER(SEARCH("misc",$B711))+ISNUMBER(SEARCH("fee",$B711))&gt;0,"Overhead","Overhead")))))))</f>
        <v/>
      </c>
      <c r="J711">
        <f>IF($A711="","",DATE(YEAR($A711),MONTH($A711),1))</f>
        <v/>
      </c>
      <c r="K711">
        <f>IF($B711="","",IF(COUNTIF(Setup!$A$99:$A$128,$B711)&gt;0,0,1))</f>
        <v/>
      </c>
      <c r="L711">
        <f>IF($B711="","",IF(ISNUMBER(SEARCH("advance",$B711)),"ADV",IF(OR(ISNUMBER(SEARCH("payout",$B711)),ISNUMBER(SEARCH("pay out",$B711)),ISNUMBER(SEARCH("release",$B711))),"PAY","")))</f>
        <v/>
      </c>
      <c r="M711">
        <f>IF($B711="","",IF(ISNUMBER(SEARCH("bulk",$B711)),0,IF(ISNUMBER(SEARCH("fuel",$B711))+ISNUMBER(SEARCH("diesel",$B711))+ISNUMBER(SEARCH("krudo",$B711))+ISNUMBER(SEARCH("gasolina",$B711))&gt;0,1,0)))</f>
        <v/>
      </c>
      <c r="N711">
        <f>IF($B711="","",IF(ISNUMBER(SEARCH("fuel",$B711))+ISNUMBER(SEARCH("diesel",$B711))+ISNUMBER(SEARCH("krudo",$B711))+ISNUMBER(SEARCH("gasolina",$B711))&gt;0,1,0))</f>
        <v/>
      </c>
    </row>
    <row r="712">
      <c r="A712" s="94" t="n"/>
      <c r="B712" s="96" t="n"/>
      <c r="C712" s="96" t="n"/>
      <c r="D712" s="95" t="n"/>
      <c r="E712" s="96" t="n"/>
      <c r="F712" s="99" t="n"/>
      <c r="G712" s="95" t="n"/>
      <c r="H712" s="95" t="n"/>
      <c r="I712" s="101">
        <f>IF($B712="","",IF(COUNTIF(Setup!$A$99:$A$128,$B712)&gt;0,IF(INDEX(Setup!$B$99:$B$128,MATCH($B712,Setup!$A$99:$A$128,0))="","Overhead",INDEX(Setup!$B$99:$B$128,MATCH($B712,Setup!$A$99:$A$128,0))),IF(ISNUMBER(SEARCH("advance",$B712))+ISNUMBER(SEARCH("payout",$B712))+ISNUMBER(SEARCH("pay out",$B712))+ISNUMBER(SEARCH("reimburs",$B712))&gt;0,"Transfer",IF(ISNUMBER(SEARCH("loan",$B712))+ISNUMBER(SEARCH("amort",$B712))+ISNUMBER(SEARCH("installment",$B712))+ISNUMBER(SEARCH("instalment",$B712))&gt;0,"Financing",IF(ISNUMBER(SEARCH("draw",$B712))+ISNUMBER(SEARCH("owner",$B712))+ISNUMBER(SEARCH("asset",$B712))+ISNUMBER(SEARCH("capital",$B712))&gt;0,"Other",IF(ISNUMBER(SEARCH("fuel",$B712))+ISNUMBER(SEARCH("diesel",$B712))+ISNUMBER(SEARCH("krudo",$B712))+ISNUMBER(SEARCH("gasolina",$B712))+ISNUMBER(SEARCH("toll",$B712))+ISNUMBER(SEARCH("parking",$B712))+ISNUMBER(SEARCH("repair",$B712))+ISNUMBER(SEARCH("maintenance",$B712))+ISNUMBER(SEARCH("tire",$B712))+ISNUMBER(SEARCH("tyre",$B712))+ISNUMBER(SEARCH("battery",$B712))+ISNUMBER(SEARCH("oil",$B712))+ISNUMBER(SEARCH("filter",$B712))+ISNUMBER(SEARCH("spare",$B712))+ISNUMBER(SEARCH("insurance",$B712))+ISNUMBER(SEARCH("lto",$B712))+ISNUMBER(SEARCH("registration",$B712))+ISNUMBER(SEARCH("emission",$B712))+ISNUMBER(SEARCH("wash",$B712))+ISNUMBER(SEARCH("weigh",$B712))+ISNUMBER(SEARCH("tarp",$B712))&gt;0,"Vehicle",IF(ISNUMBER(SEARCH("rent",$B712))+ISNUMBER(SEARCH("upa",$B712))+ISNUMBER(SEARCH("salary",$B712))+ISNUMBER(SEARCH("sweldo",$B712))+ISNUMBER(SEARCH("wage",$B712))+ISNUMBER(SEARCH("electric",$B712))+ISNUMBER(SEARCH("kuryente",$B712))+ISNUMBER(SEARCH("water",$B712))+ISNUMBER(SEARCH("tubig",$B712))+ISNUMBER(SEARCH("internet",$B712))+ISNUMBER(SEARCH("pldt",$B712))+ISNUMBER(SEARCH("meralco",$B712))+ISNUMBER(SEARCH("supplies",$B712))+ISNUMBER(SEARCH("office",$B712))+ISNUMBER(SEARCH("professional",$B712))+ISNUMBER(SEARCH("accountant",$B712))+ISNUMBER(SEARCH("lawyer",$B712))+ISNUMBER(SEARCH("broker",$B712))+ISNUMBER(SEARCH("bank",$B712))+ISNUMBER(SEARCH("charge",$B712))+ISNUMBER(SEARCH("permit",$B712))+ISNUMBER(SEARCH("bir",$B712))+ISNUMBER(SEARCH("ltfrb",$B712))+ISNUMBER(SEARCH("misc",$B712))+ISNUMBER(SEARCH("fee",$B712))&gt;0,"Overhead","Overhead")))))))</f>
        <v/>
      </c>
      <c r="J712">
        <f>IF($A712="","",DATE(YEAR($A712),MONTH($A712),1))</f>
        <v/>
      </c>
      <c r="K712">
        <f>IF($B712="","",IF(COUNTIF(Setup!$A$99:$A$128,$B712)&gt;0,0,1))</f>
        <v/>
      </c>
      <c r="L712">
        <f>IF($B712="","",IF(ISNUMBER(SEARCH("advance",$B712)),"ADV",IF(OR(ISNUMBER(SEARCH("payout",$B712)),ISNUMBER(SEARCH("pay out",$B712)),ISNUMBER(SEARCH("release",$B712))),"PAY","")))</f>
        <v/>
      </c>
      <c r="M712">
        <f>IF($B712="","",IF(ISNUMBER(SEARCH("bulk",$B712)),0,IF(ISNUMBER(SEARCH("fuel",$B712))+ISNUMBER(SEARCH("diesel",$B712))+ISNUMBER(SEARCH("krudo",$B712))+ISNUMBER(SEARCH("gasolina",$B712))&gt;0,1,0)))</f>
        <v/>
      </c>
      <c r="N712">
        <f>IF($B712="","",IF(ISNUMBER(SEARCH("fuel",$B712))+ISNUMBER(SEARCH("diesel",$B712))+ISNUMBER(SEARCH("krudo",$B712))+ISNUMBER(SEARCH("gasolina",$B712))&gt;0,1,0))</f>
        <v/>
      </c>
    </row>
    <row r="713">
      <c r="A713" s="86" t="n"/>
      <c r="B713" s="88" t="n"/>
      <c r="C713" s="88" t="n"/>
      <c r="D713" s="87" t="n"/>
      <c r="E713" s="88" t="n"/>
      <c r="F713" s="92" t="n"/>
      <c r="G713" s="87" t="n"/>
      <c r="H713" s="87" t="n"/>
      <c r="I713" s="101">
        <f>IF($B713="","",IF(COUNTIF(Setup!$A$99:$A$128,$B713)&gt;0,IF(INDEX(Setup!$B$99:$B$128,MATCH($B713,Setup!$A$99:$A$128,0))="","Overhead",INDEX(Setup!$B$99:$B$128,MATCH($B713,Setup!$A$99:$A$128,0))),IF(ISNUMBER(SEARCH("advance",$B713))+ISNUMBER(SEARCH("payout",$B713))+ISNUMBER(SEARCH("pay out",$B713))+ISNUMBER(SEARCH("reimburs",$B713))&gt;0,"Transfer",IF(ISNUMBER(SEARCH("loan",$B713))+ISNUMBER(SEARCH("amort",$B713))+ISNUMBER(SEARCH("installment",$B713))+ISNUMBER(SEARCH("instalment",$B713))&gt;0,"Financing",IF(ISNUMBER(SEARCH("draw",$B713))+ISNUMBER(SEARCH("owner",$B713))+ISNUMBER(SEARCH("asset",$B713))+ISNUMBER(SEARCH("capital",$B713))&gt;0,"Other",IF(ISNUMBER(SEARCH("fuel",$B713))+ISNUMBER(SEARCH("diesel",$B713))+ISNUMBER(SEARCH("krudo",$B713))+ISNUMBER(SEARCH("gasolina",$B713))+ISNUMBER(SEARCH("toll",$B713))+ISNUMBER(SEARCH("parking",$B713))+ISNUMBER(SEARCH("repair",$B713))+ISNUMBER(SEARCH("maintenance",$B713))+ISNUMBER(SEARCH("tire",$B713))+ISNUMBER(SEARCH("tyre",$B713))+ISNUMBER(SEARCH("battery",$B713))+ISNUMBER(SEARCH("oil",$B713))+ISNUMBER(SEARCH("filter",$B713))+ISNUMBER(SEARCH("spare",$B713))+ISNUMBER(SEARCH("insurance",$B713))+ISNUMBER(SEARCH("lto",$B713))+ISNUMBER(SEARCH("registration",$B713))+ISNUMBER(SEARCH("emission",$B713))+ISNUMBER(SEARCH("wash",$B713))+ISNUMBER(SEARCH("weigh",$B713))+ISNUMBER(SEARCH("tarp",$B713))&gt;0,"Vehicle",IF(ISNUMBER(SEARCH("rent",$B713))+ISNUMBER(SEARCH("upa",$B713))+ISNUMBER(SEARCH("salary",$B713))+ISNUMBER(SEARCH("sweldo",$B713))+ISNUMBER(SEARCH("wage",$B713))+ISNUMBER(SEARCH("electric",$B713))+ISNUMBER(SEARCH("kuryente",$B713))+ISNUMBER(SEARCH("water",$B713))+ISNUMBER(SEARCH("tubig",$B713))+ISNUMBER(SEARCH("internet",$B713))+ISNUMBER(SEARCH("pldt",$B713))+ISNUMBER(SEARCH("meralco",$B713))+ISNUMBER(SEARCH("supplies",$B713))+ISNUMBER(SEARCH("office",$B713))+ISNUMBER(SEARCH("professional",$B713))+ISNUMBER(SEARCH("accountant",$B713))+ISNUMBER(SEARCH("lawyer",$B713))+ISNUMBER(SEARCH("broker",$B713))+ISNUMBER(SEARCH("bank",$B713))+ISNUMBER(SEARCH("charge",$B713))+ISNUMBER(SEARCH("permit",$B713))+ISNUMBER(SEARCH("bir",$B713))+ISNUMBER(SEARCH("ltfrb",$B713))+ISNUMBER(SEARCH("misc",$B713))+ISNUMBER(SEARCH("fee",$B713))&gt;0,"Overhead","Overhead")))))))</f>
        <v/>
      </c>
      <c r="J713">
        <f>IF($A713="","",DATE(YEAR($A713),MONTH($A713),1))</f>
        <v/>
      </c>
      <c r="K713">
        <f>IF($B713="","",IF(COUNTIF(Setup!$A$99:$A$128,$B713)&gt;0,0,1))</f>
        <v/>
      </c>
      <c r="L713">
        <f>IF($B713="","",IF(ISNUMBER(SEARCH("advance",$B713)),"ADV",IF(OR(ISNUMBER(SEARCH("payout",$B713)),ISNUMBER(SEARCH("pay out",$B713)),ISNUMBER(SEARCH("release",$B713))),"PAY","")))</f>
        <v/>
      </c>
      <c r="M713">
        <f>IF($B713="","",IF(ISNUMBER(SEARCH("bulk",$B713)),0,IF(ISNUMBER(SEARCH("fuel",$B713))+ISNUMBER(SEARCH("diesel",$B713))+ISNUMBER(SEARCH("krudo",$B713))+ISNUMBER(SEARCH("gasolina",$B713))&gt;0,1,0)))</f>
        <v/>
      </c>
      <c r="N713">
        <f>IF($B713="","",IF(ISNUMBER(SEARCH("fuel",$B713))+ISNUMBER(SEARCH("diesel",$B713))+ISNUMBER(SEARCH("krudo",$B713))+ISNUMBER(SEARCH("gasolina",$B713))&gt;0,1,0))</f>
        <v/>
      </c>
    </row>
    <row r="714">
      <c r="A714" s="94" t="n"/>
      <c r="B714" s="96" t="n"/>
      <c r="C714" s="96" t="n"/>
      <c r="D714" s="95" t="n"/>
      <c r="E714" s="96" t="n"/>
      <c r="F714" s="99" t="n"/>
      <c r="G714" s="95" t="n"/>
      <c r="H714" s="95" t="n"/>
      <c r="I714" s="101">
        <f>IF($B714="","",IF(COUNTIF(Setup!$A$99:$A$128,$B714)&gt;0,IF(INDEX(Setup!$B$99:$B$128,MATCH($B714,Setup!$A$99:$A$128,0))="","Overhead",INDEX(Setup!$B$99:$B$128,MATCH($B714,Setup!$A$99:$A$128,0))),IF(ISNUMBER(SEARCH("advance",$B714))+ISNUMBER(SEARCH("payout",$B714))+ISNUMBER(SEARCH("pay out",$B714))+ISNUMBER(SEARCH("reimburs",$B714))&gt;0,"Transfer",IF(ISNUMBER(SEARCH("loan",$B714))+ISNUMBER(SEARCH("amort",$B714))+ISNUMBER(SEARCH("installment",$B714))+ISNUMBER(SEARCH("instalment",$B714))&gt;0,"Financing",IF(ISNUMBER(SEARCH("draw",$B714))+ISNUMBER(SEARCH("owner",$B714))+ISNUMBER(SEARCH("asset",$B714))+ISNUMBER(SEARCH("capital",$B714))&gt;0,"Other",IF(ISNUMBER(SEARCH("fuel",$B714))+ISNUMBER(SEARCH("diesel",$B714))+ISNUMBER(SEARCH("krudo",$B714))+ISNUMBER(SEARCH("gasolina",$B714))+ISNUMBER(SEARCH("toll",$B714))+ISNUMBER(SEARCH("parking",$B714))+ISNUMBER(SEARCH("repair",$B714))+ISNUMBER(SEARCH("maintenance",$B714))+ISNUMBER(SEARCH("tire",$B714))+ISNUMBER(SEARCH("tyre",$B714))+ISNUMBER(SEARCH("battery",$B714))+ISNUMBER(SEARCH("oil",$B714))+ISNUMBER(SEARCH("filter",$B714))+ISNUMBER(SEARCH("spare",$B714))+ISNUMBER(SEARCH("insurance",$B714))+ISNUMBER(SEARCH("lto",$B714))+ISNUMBER(SEARCH("registration",$B714))+ISNUMBER(SEARCH("emission",$B714))+ISNUMBER(SEARCH("wash",$B714))+ISNUMBER(SEARCH("weigh",$B714))+ISNUMBER(SEARCH("tarp",$B714))&gt;0,"Vehicle",IF(ISNUMBER(SEARCH("rent",$B714))+ISNUMBER(SEARCH("upa",$B714))+ISNUMBER(SEARCH("salary",$B714))+ISNUMBER(SEARCH("sweldo",$B714))+ISNUMBER(SEARCH("wage",$B714))+ISNUMBER(SEARCH("electric",$B714))+ISNUMBER(SEARCH("kuryente",$B714))+ISNUMBER(SEARCH("water",$B714))+ISNUMBER(SEARCH("tubig",$B714))+ISNUMBER(SEARCH("internet",$B714))+ISNUMBER(SEARCH("pldt",$B714))+ISNUMBER(SEARCH("meralco",$B714))+ISNUMBER(SEARCH("supplies",$B714))+ISNUMBER(SEARCH("office",$B714))+ISNUMBER(SEARCH("professional",$B714))+ISNUMBER(SEARCH("accountant",$B714))+ISNUMBER(SEARCH("lawyer",$B714))+ISNUMBER(SEARCH("broker",$B714))+ISNUMBER(SEARCH("bank",$B714))+ISNUMBER(SEARCH("charge",$B714))+ISNUMBER(SEARCH("permit",$B714))+ISNUMBER(SEARCH("bir",$B714))+ISNUMBER(SEARCH("ltfrb",$B714))+ISNUMBER(SEARCH("misc",$B714))+ISNUMBER(SEARCH("fee",$B714))&gt;0,"Overhead","Overhead")))))))</f>
        <v/>
      </c>
      <c r="J714">
        <f>IF($A714="","",DATE(YEAR($A714),MONTH($A714),1))</f>
        <v/>
      </c>
      <c r="K714">
        <f>IF($B714="","",IF(COUNTIF(Setup!$A$99:$A$128,$B714)&gt;0,0,1))</f>
        <v/>
      </c>
      <c r="L714">
        <f>IF($B714="","",IF(ISNUMBER(SEARCH("advance",$B714)),"ADV",IF(OR(ISNUMBER(SEARCH("payout",$B714)),ISNUMBER(SEARCH("pay out",$B714)),ISNUMBER(SEARCH("release",$B714))),"PAY","")))</f>
        <v/>
      </c>
      <c r="M714">
        <f>IF($B714="","",IF(ISNUMBER(SEARCH("bulk",$B714)),0,IF(ISNUMBER(SEARCH("fuel",$B714))+ISNUMBER(SEARCH("diesel",$B714))+ISNUMBER(SEARCH("krudo",$B714))+ISNUMBER(SEARCH("gasolina",$B714))&gt;0,1,0)))</f>
        <v/>
      </c>
      <c r="N714">
        <f>IF($B714="","",IF(ISNUMBER(SEARCH("fuel",$B714))+ISNUMBER(SEARCH("diesel",$B714))+ISNUMBER(SEARCH("krudo",$B714))+ISNUMBER(SEARCH("gasolina",$B714))&gt;0,1,0))</f>
        <v/>
      </c>
    </row>
    <row r="715">
      <c r="A715" s="86" t="n"/>
      <c r="B715" s="88" t="n"/>
      <c r="C715" s="88" t="n"/>
      <c r="D715" s="87" t="n"/>
      <c r="E715" s="88" t="n"/>
      <c r="F715" s="92" t="n"/>
      <c r="G715" s="87" t="n"/>
      <c r="H715" s="87" t="n"/>
      <c r="I715" s="101">
        <f>IF($B715="","",IF(COUNTIF(Setup!$A$99:$A$128,$B715)&gt;0,IF(INDEX(Setup!$B$99:$B$128,MATCH($B715,Setup!$A$99:$A$128,0))="","Overhead",INDEX(Setup!$B$99:$B$128,MATCH($B715,Setup!$A$99:$A$128,0))),IF(ISNUMBER(SEARCH("advance",$B715))+ISNUMBER(SEARCH("payout",$B715))+ISNUMBER(SEARCH("pay out",$B715))+ISNUMBER(SEARCH("reimburs",$B715))&gt;0,"Transfer",IF(ISNUMBER(SEARCH("loan",$B715))+ISNUMBER(SEARCH("amort",$B715))+ISNUMBER(SEARCH("installment",$B715))+ISNUMBER(SEARCH("instalment",$B715))&gt;0,"Financing",IF(ISNUMBER(SEARCH("draw",$B715))+ISNUMBER(SEARCH("owner",$B715))+ISNUMBER(SEARCH("asset",$B715))+ISNUMBER(SEARCH("capital",$B715))&gt;0,"Other",IF(ISNUMBER(SEARCH("fuel",$B715))+ISNUMBER(SEARCH("diesel",$B715))+ISNUMBER(SEARCH("krudo",$B715))+ISNUMBER(SEARCH("gasolina",$B715))+ISNUMBER(SEARCH("toll",$B715))+ISNUMBER(SEARCH("parking",$B715))+ISNUMBER(SEARCH("repair",$B715))+ISNUMBER(SEARCH("maintenance",$B715))+ISNUMBER(SEARCH("tire",$B715))+ISNUMBER(SEARCH("tyre",$B715))+ISNUMBER(SEARCH("battery",$B715))+ISNUMBER(SEARCH("oil",$B715))+ISNUMBER(SEARCH("filter",$B715))+ISNUMBER(SEARCH("spare",$B715))+ISNUMBER(SEARCH("insurance",$B715))+ISNUMBER(SEARCH("lto",$B715))+ISNUMBER(SEARCH("registration",$B715))+ISNUMBER(SEARCH("emission",$B715))+ISNUMBER(SEARCH("wash",$B715))+ISNUMBER(SEARCH("weigh",$B715))+ISNUMBER(SEARCH("tarp",$B715))&gt;0,"Vehicle",IF(ISNUMBER(SEARCH("rent",$B715))+ISNUMBER(SEARCH("upa",$B715))+ISNUMBER(SEARCH("salary",$B715))+ISNUMBER(SEARCH("sweldo",$B715))+ISNUMBER(SEARCH("wage",$B715))+ISNUMBER(SEARCH("electric",$B715))+ISNUMBER(SEARCH("kuryente",$B715))+ISNUMBER(SEARCH("water",$B715))+ISNUMBER(SEARCH("tubig",$B715))+ISNUMBER(SEARCH("internet",$B715))+ISNUMBER(SEARCH("pldt",$B715))+ISNUMBER(SEARCH("meralco",$B715))+ISNUMBER(SEARCH("supplies",$B715))+ISNUMBER(SEARCH("office",$B715))+ISNUMBER(SEARCH("professional",$B715))+ISNUMBER(SEARCH("accountant",$B715))+ISNUMBER(SEARCH("lawyer",$B715))+ISNUMBER(SEARCH("broker",$B715))+ISNUMBER(SEARCH("bank",$B715))+ISNUMBER(SEARCH("charge",$B715))+ISNUMBER(SEARCH("permit",$B715))+ISNUMBER(SEARCH("bir",$B715))+ISNUMBER(SEARCH("ltfrb",$B715))+ISNUMBER(SEARCH("misc",$B715))+ISNUMBER(SEARCH("fee",$B715))&gt;0,"Overhead","Overhead")))))))</f>
        <v/>
      </c>
      <c r="J715">
        <f>IF($A715="","",DATE(YEAR($A715),MONTH($A715),1))</f>
        <v/>
      </c>
      <c r="K715">
        <f>IF($B715="","",IF(COUNTIF(Setup!$A$99:$A$128,$B715)&gt;0,0,1))</f>
        <v/>
      </c>
      <c r="L715">
        <f>IF($B715="","",IF(ISNUMBER(SEARCH("advance",$B715)),"ADV",IF(OR(ISNUMBER(SEARCH("payout",$B715)),ISNUMBER(SEARCH("pay out",$B715)),ISNUMBER(SEARCH("release",$B715))),"PAY","")))</f>
        <v/>
      </c>
      <c r="M715">
        <f>IF($B715="","",IF(ISNUMBER(SEARCH("bulk",$B715)),0,IF(ISNUMBER(SEARCH("fuel",$B715))+ISNUMBER(SEARCH("diesel",$B715))+ISNUMBER(SEARCH("krudo",$B715))+ISNUMBER(SEARCH("gasolina",$B715))&gt;0,1,0)))</f>
        <v/>
      </c>
      <c r="N715">
        <f>IF($B715="","",IF(ISNUMBER(SEARCH("fuel",$B715))+ISNUMBER(SEARCH("diesel",$B715))+ISNUMBER(SEARCH("krudo",$B715))+ISNUMBER(SEARCH("gasolina",$B715))&gt;0,1,0))</f>
        <v/>
      </c>
    </row>
    <row r="716">
      <c r="A716" s="94" t="n"/>
      <c r="B716" s="96" t="n"/>
      <c r="C716" s="96" t="n"/>
      <c r="D716" s="95" t="n"/>
      <c r="E716" s="96" t="n"/>
      <c r="F716" s="99" t="n"/>
      <c r="G716" s="95" t="n"/>
      <c r="H716" s="95" t="n"/>
      <c r="I716" s="101">
        <f>IF($B716="","",IF(COUNTIF(Setup!$A$99:$A$128,$B716)&gt;0,IF(INDEX(Setup!$B$99:$B$128,MATCH($B716,Setup!$A$99:$A$128,0))="","Overhead",INDEX(Setup!$B$99:$B$128,MATCH($B716,Setup!$A$99:$A$128,0))),IF(ISNUMBER(SEARCH("advance",$B716))+ISNUMBER(SEARCH("payout",$B716))+ISNUMBER(SEARCH("pay out",$B716))+ISNUMBER(SEARCH("reimburs",$B716))&gt;0,"Transfer",IF(ISNUMBER(SEARCH("loan",$B716))+ISNUMBER(SEARCH("amort",$B716))+ISNUMBER(SEARCH("installment",$B716))+ISNUMBER(SEARCH("instalment",$B716))&gt;0,"Financing",IF(ISNUMBER(SEARCH("draw",$B716))+ISNUMBER(SEARCH("owner",$B716))+ISNUMBER(SEARCH("asset",$B716))+ISNUMBER(SEARCH("capital",$B716))&gt;0,"Other",IF(ISNUMBER(SEARCH("fuel",$B716))+ISNUMBER(SEARCH("diesel",$B716))+ISNUMBER(SEARCH("krudo",$B716))+ISNUMBER(SEARCH("gasolina",$B716))+ISNUMBER(SEARCH("toll",$B716))+ISNUMBER(SEARCH("parking",$B716))+ISNUMBER(SEARCH("repair",$B716))+ISNUMBER(SEARCH("maintenance",$B716))+ISNUMBER(SEARCH("tire",$B716))+ISNUMBER(SEARCH("tyre",$B716))+ISNUMBER(SEARCH("battery",$B716))+ISNUMBER(SEARCH("oil",$B716))+ISNUMBER(SEARCH("filter",$B716))+ISNUMBER(SEARCH("spare",$B716))+ISNUMBER(SEARCH("insurance",$B716))+ISNUMBER(SEARCH("lto",$B716))+ISNUMBER(SEARCH("registration",$B716))+ISNUMBER(SEARCH("emission",$B716))+ISNUMBER(SEARCH("wash",$B716))+ISNUMBER(SEARCH("weigh",$B716))+ISNUMBER(SEARCH("tarp",$B716))&gt;0,"Vehicle",IF(ISNUMBER(SEARCH("rent",$B716))+ISNUMBER(SEARCH("upa",$B716))+ISNUMBER(SEARCH("salary",$B716))+ISNUMBER(SEARCH("sweldo",$B716))+ISNUMBER(SEARCH("wage",$B716))+ISNUMBER(SEARCH("electric",$B716))+ISNUMBER(SEARCH("kuryente",$B716))+ISNUMBER(SEARCH("water",$B716))+ISNUMBER(SEARCH("tubig",$B716))+ISNUMBER(SEARCH("internet",$B716))+ISNUMBER(SEARCH("pldt",$B716))+ISNUMBER(SEARCH("meralco",$B716))+ISNUMBER(SEARCH("supplies",$B716))+ISNUMBER(SEARCH("office",$B716))+ISNUMBER(SEARCH("professional",$B716))+ISNUMBER(SEARCH("accountant",$B716))+ISNUMBER(SEARCH("lawyer",$B716))+ISNUMBER(SEARCH("broker",$B716))+ISNUMBER(SEARCH("bank",$B716))+ISNUMBER(SEARCH("charge",$B716))+ISNUMBER(SEARCH("permit",$B716))+ISNUMBER(SEARCH("bir",$B716))+ISNUMBER(SEARCH("ltfrb",$B716))+ISNUMBER(SEARCH("misc",$B716))+ISNUMBER(SEARCH("fee",$B716))&gt;0,"Overhead","Overhead")))))))</f>
        <v/>
      </c>
      <c r="J716">
        <f>IF($A716="","",DATE(YEAR($A716),MONTH($A716),1))</f>
        <v/>
      </c>
      <c r="K716">
        <f>IF($B716="","",IF(COUNTIF(Setup!$A$99:$A$128,$B716)&gt;0,0,1))</f>
        <v/>
      </c>
      <c r="L716">
        <f>IF($B716="","",IF(ISNUMBER(SEARCH("advance",$B716)),"ADV",IF(OR(ISNUMBER(SEARCH("payout",$B716)),ISNUMBER(SEARCH("pay out",$B716)),ISNUMBER(SEARCH("release",$B716))),"PAY","")))</f>
        <v/>
      </c>
      <c r="M716">
        <f>IF($B716="","",IF(ISNUMBER(SEARCH("bulk",$B716)),0,IF(ISNUMBER(SEARCH("fuel",$B716))+ISNUMBER(SEARCH("diesel",$B716))+ISNUMBER(SEARCH("krudo",$B716))+ISNUMBER(SEARCH("gasolina",$B716))&gt;0,1,0)))</f>
        <v/>
      </c>
      <c r="N716">
        <f>IF($B716="","",IF(ISNUMBER(SEARCH("fuel",$B716))+ISNUMBER(SEARCH("diesel",$B716))+ISNUMBER(SEARCH("krudo",$B716))+ISNUMBER(SEARCH("gasolina",$B716))&gt;0,1,0))</f>
        <v/>
      </c>
    </row>
    <row r="717">
      <c r="A717" s="86" t="n"/>
      <c r="B717" s="88" t="n"/>
      <c r="C717" s="88" t="n"/>
      <c r="D717" s="87" t="n"/>
      <c r="E717" s="88" t="n"/>
      <c r="F717" s="92" t="n"/>
      <c r="G717" s="87" t="n"/>
      <c r="H717" s="87" t="n"/>
      <c r="I717" s="101">
        <f>IF($B717="","",IF(COUNTIF(Setup!$A$99:$A$128,$B717)&gt;0,IF(INDEX(Setup!$B$99:$B$128,MATCH($B717,Setup!$A$99:$A$128,0))="","Overhead",INDEX(Setup!$B$99:$B$128,MATCH($B717,Setup!$A$99:$A$128,0))),IF(ISNUMBER(SEARCH("advance",$B717))+ISNUMBER(SEARCH("payout",$B717))+ISNUMBER(SEARCH("pay out",$B717))+ISNUMBER(SEARCH("reimburs",$B717))&gt;0,"Transfer",IF(ISNUMBER(SEARCH("loan",$B717))+ISNUMBER(SEARCH("amort",$B717))+ISNUMBER(SEARCH("installment",$B717))+ISNUMBER(SEARCH("instalment",$B717))&gt;0,"Financing",IF(ISNUMBER(SEARCH("draw",$B717))+ISNUMBER(SEARCH("owner",$B717))+ISNUMBER(SEARCH("asset",$B717))+ISNUMBER(SEARCH("capital",$B717))&gt;0,"Other",IF(ISNUMBER(SEARCH("fuel",$B717))+ISNUMBER(SEARCH("diesel",$B717))+ISNUMBER(SEARCH("krudo",$B717))+ISNUMBER(SEARCH("gasolina",$B717))+ISNUMBER(SEARCH("toll",$B717))+ISNUMBER(SEARCH("parking",$B717))+ISNUMBER(SEARCH("repair",$B717))+ISNUMBER(SEARCH("maintenance",$B717))+ISNUMBER(SEARCH("tire",$B717))+ISNUMBER(SEARCH("tyre",$B717))+ISNUMBER(SEARCH("battery",$B717))+ISNUMBER(SEARCH("oil",$B717))+ISNUMBER(SEARCH("filter",$B717))+ISNUMBER(SEARCH("spare",$B717))+ISNUMBER(SEARCH("insurance",$B717))+ISNUMBER(SEARCH("lto",$B717))+ISNUMBER(SEARCH("registration",$B717))+ISNUMBER(SEARCH("emission",$B717))+ISNUMBER(SEARCH("wash",$B717))+ISNUMBER(SEARCH("weigh",$B717))+ISNUMBER(SEARCH("tarp",$B717))&gt;0,"Vehicle",IF(ISNUMBER(SEARCH("rent",$B717))+ISNUMBER(SEARCH("upa",$B717))+ISNUMBER(SEARCH("salary",$B717))+ISNUMBER(SEARCH("sweldo",$B717))+ISNUMBER(SEARCH("wage",$B717))+ISNUMBER(SEARCH("electric",$B717))+ISNUMBER(SEARCH("kuryente",$B717))+ISNUMBER(SEARCH("water",$B717))+ISNUMBER(SEARCH("tubig",$B717))+ISNUMBER(SEARCH("internet",$B717))+ISNUMBER(SEARCH("pldt",$B717))+ISNUMBER(SEARCH("meralco",$B717))+ISNUMBER(SEARCH("supplies",$B717))+ISNUMBER(SEARCH("office",$B717))+ISNUMBER(SEARCH("professional",$B717))+ISNUMBER(SEARCH("accountant",$B717))+ISNUMBER(SEARCH("lawyer",$B717))+ISNUMBER(SEARCH("broker",$B717))+ISNUMBER(SEARCH("bank",$B717))+ISNUMBER(SEARCH("charge",$B717))+ISNUMBER(SEARCH("permit",$B717))+ISNUMBER(SEARCH("bir",$B717))+ISNUMBER(SEARCH("ltfrb",$B717))+ISNUMBER(SEARCH("misc",$B717))+ISNUMBER(SEARCH("fee",$B717))&gt;0,"Overhead","Overhead")))))))</f>
        <v/>
      </c>
      <c r="J717">
        <f>IF($A717="","",DATE(YEAR($A717),MONTH($A717),1))</f>
        <v/>
      </c>
      <c r="K717">
        <f>IF($B717="","",IF(COUNTIF(Setup!$A$99:$A$128,$B717)&gt;0,0,1))</f>
        <v/>
      </c>
      <c r="L717">
        <f>IF($B717="","",IF(ISNUMBER(SEARCH("advance",$B717)),"ADV",IF(OR(ISNUMBER(SEARCH("payout",$B717)),ISNUMBER(SEARCH("pay out",$B717)),ISNUMBER(SEARCH("release",$B717))),"PAY","")))</f>
        <v/>
      </c>
      <c r="M717">
        <f>IF($B717="","",IF(ISNUMBER(SEARCH("bulk",$B717)),0,IF(ISNUMBER(SEARCH("fuel",$B717))+ISNUMBER(SEARCH("diesel",$B717))+ISNUMBER(SEARCH("krudo",$B717))+ISNUMBER(SEARCH("gasolina",$B717))&gt;0,1,0)))</f>
        <v/>
      </c>
      <c r="N717">
        <f>IF($B717="","",IF(ISNUMBER(SEARCH("fuel",$B717))+ISNUMBER(SEARCH("diesel",$B717))+ISNUMBER(SEARCH("krudo",$B717))+ISNUMBER(SEARCH("gasolina",$B717))&gt;0,1,0))</f>
        <v/>
      </c>
    </row>
    <row r="718">
      <c r="A718" s="94" t="n"/>
      <c r="B718" s="96" t="n"/>
      <c r="C718" s="96" t="n"/>
      <c r="D718" s="95" t="n"/>
      <c r="E718" s="96" t="n"/>
      <c r="F718" s="99" t="n"/>
      <c r="G718" s="95" t="n"/>
      <c r="H718" s="95" t="n"/>
      <c r="I718" s="101">
        <f>IF($B718="","",IF(COUNTIF(Setup!$A$99:$A$128,$B718)&gt;0,IF(INDEX(Setup!$B$99:$B$128,MATCH($B718,Setup!$A$99:$A$128,0))="","Overhead",INDEX(Setup!$B$99:$B$128,MATCH($B718,Setup!$A$99:$A$128,0))),IF(ISNUMBER(SEARCH("advance",$B718))+ISNUMBER(SEARCH("payout",$B718))+ISNUMBER(SEARCH("pay out",$B718))+ISNUMBER(SEARCH("reimburs",$B718))&gt;0,"Transfer",IF(ISNUMBER(SEARCH("loan",$B718))+ISNUMBER(SEARCH("amort",$B718))+ISNUMBER(SEARCH("installment",$B718))+ISNUMBER(SEARCH("instalment",$B718))&gt;0,"Financing",IF(ISNUMBER(SEARCH("draw",$B718))+ISNUMBER(SEARCH("owner",$B718))+ISNUMBER(SEARCH("asset",$B718))+ISNUMBER(SEARCH("capital",$B718))&gt;0,"Other",IF(ISNUMBER(SEARCH("fuel",$B718))+ISNUMBER(SEARCH("diesel",$B718))+ISNUMBER(SEARCH("krudo",$B718))+ISNUMBER(SEARCH("gasolina",$B718))+ISNUMBER(SEARCH("toll",$B718))+ISNUMBER(SEARCH("parking",$B718))+ISNUMBER(SEARCH("repair",$B718))+ISNUMBER(SEARCH("maintenance",$B718))+ISNUMBER(SEARCH("tire",$B718))+ISNUMBER(SEARCH("tyre",$B718))+ISNUMBER(SEARCH("battery",$B718))+ISNUMBER(SEARCH("oil",$B718))+ISNUMBER(SEARCH("filter",$B718))+ISNUMBER(SEARCH("spare",$B718))+ISNUMBER(SEARCH("insurance",$B718))+ISNUMBER(SEARCH("lto",$B718))+ISNUMBER(SEARCH("registration",$B718))+ISNUMBER(SEARCH("emission",$B718))+ISNUMBER(SEARCH("wash",$B718))+ISNUMBER(SEARCH("weigh",$B718))+ISNUMBER(SEARCH("tarp",$B718))&gt;0,"Vehicle",IF(ISNUMBER(SEARCH("rent",$B718))+ISNUMBER(SEARCH("upa",$B718))+ISNUMBER(SEARCH("salary",$B718))+ISNUMBER(SEARCH("sweldo",$B718))+ISNUMBER(SEARCH("wage",$B718))+ISNUMBER(SEARCH("electric",$B718))+ISNUMBER(SEARCH("kuryente",$B718))+ISNUMBER(SEARCH("water",$B718))+ISNUMBER(SEARCH("tubig",$B718))+ISNUMBER(SEARCH("internet",$B718))+ISNUMBER(SEARCH("pldt",$B718))+ISNUMBER(SEARCH("meralco",$B718))+ISNUMBER(SEARCH("supplies",$B718))+ISNUMBER(SEARCH("office",$B718))+ISNUMBER(SEARCH("professional",$B718))+ISNUMBER(SEARCH("accountant",$B718))+ISNUMBER(SEARCH("lawyer",$B718))+ISNUMBER(SEARCH("broker",$B718))+ISNUMBER(SEARCH("bank",$B718))+ISNUMBER(SEARCH("charge",$B718))+ISNUMBER(SEARCH("permit",$B718))+ISNUMBER(SEARCH("bir",$B718))+ISNUMBER(SEARCH("ltfrb",$B718))+ISNUMBER(SEARCH("misc",$B718))+ISNUMBER(SEARCH("fee",$B718))&gt;0,"Overhead","Overhead")))))))</f>
        <v/>
      </c>
      <c r="J718">
        <f>IF($A718="","",DATE(YEAR($A718),MONTH($A718),1))</f>
        <v/>
      </c>
      <c r="K718">
        <f>IF($B718="","",IF(COUNTIF(Setup!$A$99:$A$128,$B718)&gt;0,0,1))</f>
        <v/>
      </c>
      <c r="L718">
        <f>IF($B718="","",IF(ISNUMBER(SEARCH("advance",$B718)),"ADV",IF(OR(ISNUMBER(SEARCH("payout",$B718)),ISNUMBER(SEARCH("pay out",$B718)),ISNUMBER(SEARCH("release",$B718))),"PAY","")))</f>
        <v/>
      </c>
      <c r="M718">
        <f>IF($B718="","",IF(ISNUMBER(SEARCH("bulk",$B718)),0,IF(ISNUMBER(SEARCH("fuel",$B718))+ISNUMBER(SEARCH("diesel",$B718))+ISNUMBER(SEARCH("krudo",$B718))+ISNUMBER(SEARCH("gasolina",$B718))&gt;0,1,0)))</f>
        <v/>
      </c>
      <c r="N718">
        <f>IF($B718="","",IF(ISNUMBER(SEARCH("fuel",$B718))+ISNUMBER(SEARCH("diesel",$B718))+ISNUMBER(SEARCH("krudo",$B718))+ISNUMBER(SEARCH("gasolina",$B718))&gt;0,1,0))</f>
        <v/>
      </c>
    </row>
    <row r="719">
      <c r="A719" s="86" t="n"/>
      <c r="B719" s="88" t="n"/>
      <c r="C719" s="88" t="n"/>
      <c r="D719" s="87" t="n"/>
      <c r="E719" s="88" t="n"/>
      <c r="F719" s="92" t="n"/>
      <c r="G719" s="87" t="n"/>
      <c r="H719" s="87" t="n"/>
      <c r="I719" s="101">
        <f>IF($B719="","",IF(COUNTIF(Setup!$A$99:$A$128,$B719)&gt;0,IF(INDEX(Setup!$B$99:$B$128,MATCH($B719,Setup!$A$99:$A$128,0))="","Overhead",INDEX(Setup!$B$99:$B$128,MATCH($B719,Setup!$A$99:$A$128,0))),IF(ISNUMBER(SEARCH("advance",$B719))+ISNUMBER(SEARCH("payout",$B719))+ISNUMBER(SEARCH("pay out",$B719))+ISNUMBER(SEARCH("reimburs",$B719))&gt;0,"Transfer",IF(ISNUMBER(SEARCH("loan",$B719))+ISNUMBER(SEARCH("amort",$B719))+ISNUMBER(SEARCH("installment",$B719))+ISNUMBER(SEARCH("instalment",$B719))&gt;0,"Financing",IF(ISNUMBER(SEARCH("draw",$B719))+ISNUMBER(SEARCH("owner",$B719))+ISNUMBER(SEARCH("asset",$B719))+ISNUMBER(SEARCH("capital",$B719))&gt;0,"Other",IF(ISNUMBER(SEARCH("fuel",$B719))+ISNUMBER(SEARCH("diesel",$B719))+ISNUMBER(SEARCH("krudo",$B719))+ISNUMBER(SEARCH("gasolina",$B719))+ISNUMBER(SEARCH("toll",$B719))+ISNUMBER(SEARCH("parking",$B719))+ISNUMBER(SEARCH("repair",$B719))+ISNUMBER(SEARCH("maintenance",$B719))+ISNUMBER(SEARCH("tire",$B719))+ISNUMBER(SEARCH("tyre",$B719))+ISNUMBER(SEARCH("battery",$B719))+ISNUMBER(SEARCH("oil",$B719))+ISNUMBER(SEARCH("filter",$B719))+ISNUMBER(SEARCH("spare",$B719))+ISNUMBER(SEARCH("insurance",$B719))+ISNUMBER(SEARCH("lto",$B719))+ISNUMBER(SEARCH("registration",$B719))+ISNUMBER(SEARCH("emission",$B719))+ISNUMBER(SEARCH("wash",$B719))+ISNUMBER(SEARCH("weigh",$B719))+ISNUMBER(SEARCH("tarp",$B719))&gt;0,"Vehicle",IF(ISNUMBER(SEARCH("rent",$B719))+ISNUMBER(SEARCH("upa",$B719))+ISNUMBER(SEARCH("salary",$B719))+ISNUMBER(SEARCH("sweldo",$B719))+ISNUMBER(SEARCH("wage",$B719))+ISNUMBER(SEARCH("electric",$B719))+ISNUMBER(SEARCH("kuryente",$B719))+ISNUMBER(SEARCH("water",$B719))+ISNUMBER(SEARCH("tubig",$B719))+ISNUMBER(SEARCH("internet",$B719))+ISNUMBER(SEARCH("pldt",$B719))+ISNUMBER(SEARCH("meralco",$B719))+ISNUMBER(SEARCH("supplies",$B719))+ISNUMBER(SEARCH("office",$B719))+ISNUMBER(SEARCH("professional",$B719))+ISNUMBER(SEARCH("accountant",$B719))+ISNUMBER(SEARCH("lawyer",$B719))+ISNUMBER(SEARCH("broker",$B719))+ISNUMBER(SEARCH("bank",$B719))+ISNUMBER(SEARCH("charge",$B719))+ISNUMBER(SEARCH("permit",$B719))+ISNUMBER(SEARCH("bir",$B719))+ISNUMBER(SEARCH("ltfrb",$B719))+ISNUMBER(SEARCH("misc",$B719))+ISNUMBER(SEARCH("fee",$B719))&gt;0,"Overhead","Overhead")))))))</f>
        <v/>
      </c>
      <c r="J719">
        <f>IF($A719="","",DATE(YEAR($A719),MONTH($A719),1))</f>
        <v/>
      </c>
      <c r="K719">
        <f>IF($B719="","",IF(COUNTIF(Setup!$A$99:$A$128,$B719)&gt;0,0,1))</f>
        <v/>
      </c>
      <c r="L719">
        <f>IF($B719="","",IF(ISNUMBER(SEARCH("advance",$B719)),"ADV",IF(OR(ISNUMBER(SEARCH("payout",$B719)),ISNUMBER(SEARCH("pay out",$B719)),ISNUMBER(SEARCH("release",$B719))),"PAY","")))</f>
        <v/>
      </c>
      <c r="M719">
        <f>IF($B719="","",IF(ISNUMBER(SEARCH("bulk",$B719)),0,IF(ISNUMBER(SEARCH("fuel",$B719))+ISNUMBER(SEARCH("diesel",$B719))+ISNUMBER(SEARCH("krudo",$B719))+ISNUMBER(SEARCH("gasolina",$B719))&gt;0,1,0)))</f>
        <v/>
      </c>
      <c r="N719">
        <f>IF($B719="","",IF(ISNUMBER(SEARCH("fuel",$B719))+ISNUMBER(SEARCH("diesel",$B719))+ISNUMBER(SEARCH("krudo",$B719))+ISNUMBER(SEARCH("gasolina",$B719))&gt;0,1,0))</f>
        <v/>
      </c>
    </row>
    <row r="720">
      <c r="A720" s="94" t="n"/>
      <c r="B720" s="96" t="n"/>
      <c r="C720" s="96" t="n"/>
      <c r="D720" s="95" t="n"/>
      <c r="E720" s="96" t="n"/>
      <c r="F720" s="99" t="n"/>
      <c r="G720" s="95" t="n"/>
      <c r="H720" s="95" t="n"/>
      <c r="I720" s="101">
        <f>IF($B720="","",IF(COUNTIF(Setup!$A$99:$A$128,$B720)&gt;0,IF(INDEX(Setup!$B$99:$B$128,MATCH($B720,Setup!$A$99:$A$128,0))="","Overhead",INDEX(Setup!$B$99:$B$128,MATCH($B720,Setup!$A$99:$A$128,0))),IF(ISNUMBER(SEARCH("advance",$B720))+ISNUMBER(SEARCH("payout",$B720))+ISNUMBER(SEARCH("pay out",$B720))+ISNUMBER(SEARCH("reimburs",$B720))&gt;0,"Transfer",IF(ISNUMBER(SEARCH("loan",$B720))+ISNUMBER(SEARCH("amort",$B720))+ISNUMBER(SEARCH("installment",$B720))+ISNUMBER(SEARCH("instalment",$B720))&gt;0,"Financing",IF(ISNUMBER(SEARCH("draw",$B720))+ISNUMBER(SEARCH("owner",$B720))+ISNUMBER(SEARCH("asset",$B720))+ISNUMBER(SEARCH("capital",$B720))&gt;0,"Other",IF(ISNUMBER(SEARCH("fuel",$B720))+ISNUMBER(SEARCH("diesel",$B720))+ISNUMBER(SEARCH("krudo",$B720))+ISNUMBER(SEARCH("gasolina",$B720))+ISNUMBER(SEARCH("toll",$B720))+ISNUMBER(SEARCH("parking",$B720))+ISNUMBER(SEARCH("repair",$B720))+ISNUMBER(SEARCH("maintenance",$B720))+ISNUMBER(SEARCH("tire",$B720))+ISNUMBER(SEARCH("tyre",$B720))+ISNUMBER(SEARCH("battery",$B720))+ISNUMBER(SEARCH("oil",$B720))+ISNUMBER(SEARCH("filter",$B720))+ISNUMBER(SEARCH("spare",$B720))+ISNUMBER(SEARCH("insurance",$B720))+ISNUMBER(SEARCH("lto",$B720))+ISNUMBER(SEARCH("registration",$B720))+ISNUMBER(SEARCH("emission",$B720))+ISNUMBER(SEARCH("wash",$B720))+ISNUMBER(SEARCH("weigh",$B720))+ISNUMBER(SEARCH("tarp",$B720))&gt;0,"Vehicle",IF(ISNUMBER(SEARCH("rent",$B720))+ISNUMBER(SEARCH("upa",$B720))+ISNUMBER(SEARCH("salary",$B720))+ISNUMBER(SEARCH("sweldo",$B720))+ISNUMBER(SEARCH("wage",$B720))+ISNUMBER(SEARCH("electric",$B720))+ISNUMBER(SEARCH("kuryente",$B720))+ISNUMBER(SEARCH("water",$B720))+ISNUMBER(SEARCH("tubig",$B720))+ISNUMBER(SEARCH("internet",$B720))+ISNUMBER(SEARCH("pldt",$B720))+ISNUMBER(SEARCH("meralco",$B720))+ISNUMBER(SEARCH("supplies",$B720))+ISNUMBER(SEARCH("office",$B720))+ISNUMBER(SEARCH("professional",$B720))+ISNUMBER(SEARCH("accountant",$B720))+ISNUMBER(SEARCH("lawyer",$B720))+ISNUMBER(SEARCH("broker",$B720))+ISNUMBER(SEARCH("bank",$B720))+ISNUMBER(SEARCH("charge",$B720))+ISNUMBER(SEARCH("permit",$B720))+ISNUMBER(SEARCH("bir",$B720))+ISNUMBER(SEARCH("ltfrb",$B720))+ISNUMBER(SEARCH("misc",$B720))+ISNUMBER(SEARCH("fee",$B720))&gt;0,"Overhead","Overhead")))))))</f>
        <v/>
      </c>
      <c r="J720">
        <f>IF($A720="","",DATE(YEAR($A720),MONTH($A720),1))</f>
        <v/>
      </c>
      <c r="K720">
        <f>IF($B720="","",IF(COUNTIF(Setup!$A$99:$A$128,$B720)&gt;0,0,1))</f>
        <v/>
      </c>
      <c r="L720">
        <f>IF($B720="","",IF(ISNUMBER(SEARCH("advance",$B720)),"ADV",IF(OR(ISNUMBER(SEARCH("payout",$B720)),ISNUMBER(SEARCH("pay out",$B720)),ISNUMBER(SEARCH("release",$B720))),"PAY","")))</f>
        <v/>
      </c>
      <c r="M720">
        <f>IF($B720="","",IF(ISNUMBER(SEARCH("bulk",$B720)),0,IF(ISNUMBER(SEARCH("fuel",$B720))+ISNUMBER(SEARCH("diesel",$B720))+ISNUMBER(SEARCH("krudo",$B720))+ISNUMBER(SEARCH("gasolina",$B720))&gt;0,1,0)))</f>
        <v/>
      </c>
      <c r="N720">
        <f>IF($B720="","",IF(ISNUMBER(SEARCH("fuel",$B720))+ISNUMBER(SEARCH("diesel",$B720))+ISNUMBER(SEARCH("krudo",$B720))+ISNUMBER(SEARCH("gasolina",$B720))&gt;0,1,0))</f>
        <v/>
      </c>
    </row>
    <row r="721">
      <c r="A721" s="86" t="n"/>
      <c r="B721" s="88" t="n"/>
      <c r="C721" s="88" t="n"/>
      <c r="D721" s="87" t="n"/>
      <c r="E721" s="88" t="n"/>
      <c r="F721" s="92" t="n"/>
      <c r="G721" s="87" t="n"/>
      <c r="H721" s="87" t="n"/>
      <c r="I721" s="101">
        <f>IF($B721="","",IF(COUNTIF(Setup!$A$99:$A$128,$B721)&gt;0,IF(INDEX(Setup!$B$99:$B$128,MATCH($B721,Setup!$A$99:$A$128,0))="","Overhead",INDEX(Setup!$B$99:$B$128,MATCH($B721,Setup!$A$99:$A$128,0))),IF(ISNUMBER(SEARCH("advance",$B721))+ISNUMBER(SEARCH("payout",$B721))+ISNUMBER(SEARCH("pay out",$B721))+ISNUMBER(SEARCH("reimburs",$B721))&gt;0,"Transfer",IF(ISNUMBER(SEARCH("loan",$B721))+ISNUMBER(SEARCH("amort",$B721))+ISNUMBER(SEARCH("installment",$B721))+ISNUMBER(SEARCH("instalment",$B721))&gt;0,"Financing",IF(ISNUMBER(SEARCH("draw",$B721))+ISNUMBER(SEARCH("owner",$B721))+ISNUMBER(SEARCH("asset",$B721))+ISNUMBER(SEARCH("capital",$B721))&gt;0,"Other",IF(ISNUMBER(SEARCH("fuel",$B721))+ISNUMBER(SEARCH("diesel",$B721))+ISNUMBER(SEARCH("krudo",$B721))+ISNUMBER(SEARCH("gasolina",$B721))+ISNUMBER(SEARCH("toll",$B721))+ISNUMBER(SEARCH("parking",$B721))+ISNUMBER(SEARCH("repair",$B721))+ISNUMBER(SEARCH("maintenance",$B721))+ISNUMBER(SEARCH("tire",$B721))+ISNUMBER(SEARCH("tyre",$B721))+ISNUMBER(SEARCH("battery",$B721))+ISNUMBER(SEARCH("oil",$B721))+ISNUMBER(SEARCH("filter",$B721))+ISNUMBER(SEARCH("spare",$B721))+ISNUMBER(SEARCH("insurance",$B721))+ISNUMBER(SEARCH("lto",$B721))+ISNUMBER(SEARCH("registration",$B721))+ISNUMBER(SEARCH("emission",$B721))+ISNUMBER(SEARCH("wash",$B721))+ISNUMBER(SEARCH("weigh",$B721))+ISNUMBER(SEARCH("tarp",$B721))&gt;0,"Vehicle",IF(ISNUMBER(SEARCH("rent",$B721))+ISNUMBER(SEARCH("upa",$B721))+ISNUMBER(SEARCH("salary",$B721))+ISNUMBER(SEARCH("sweldo",$B721))+ISNUMBER(SEARCH("wage",$B721))+ISNUMBER(SEARCH("electric",$B721))+ISNUMBER(SEARCH("kuryente",$B721))+ISNUMBER(SEARCH("water",$B721))+ISNUMBER(SEARCH("tubig",$B721))+ISNUMBER(SEARCH("internet",$B721))+ISNUMBER(SEARCH("pldt",$B721))+ISNUMBER(SEARCH("meralco",$B721))+ISNUMBER(SEARCH("supplies",$B721))+ISNUMBER(SEARCH("office",$B721))+ISNUMBER(SEARCH("professional",$B721))+ISNUMBER(SEARCH("accountant",$B721))+ISNUMBER(SEARCH("lawyer",$B721))+ISNUMBER(SEARCH("broker",$B721))+ISNUMBER(SEARCH("bank",$B721))+ISNUMBER(SEARCH("charge",$B721))+ISNUMBER(SEARCH("permit",$B721))+ISNUMBER(SEARCH("bir",$B721))+ISNUMBER(SEARCH("ltfrb",$B721))+ISNUMBER(SEARCH("misc",$B721))+ISNUMBER(SEARCH("fee",$B721))&gt;0,"Overhead","Overhead")))))))</f>
        <v/>
      </c>
      <c r="J721">
        <f>IF($A721="","",DATE(YEAR($A721),MONTH($A721),1))</f>
        <v/>
      </c>
      <c r="K721">
        <f>IF($B721="","",IF(COUNTIF(Setup!$A$99:$A$128,$B721)&gt;0,0,1))</f>
        <v/>
      </c>
      <c r="L721">
        <f>IF($B721="","",IF(ISNUMBER(SEARCH("advance",$B721)),"ADV",IF(OR(ISNUMBER(SEARCH("payout",$B721)),ISNUMBER(SEARCH("pay out",$B721)),ISNUMBER(SEARCH("release",$B721))),"PAY","")))</f>
        <v/>
      </c>
      <c r="M721">
        <f>IF($B721="","",IF(ISNUMBER(SEARCH("bulk",$B721)),0,IF(ISNUMBER(SEARCH("fuel",$B721))+ISNUMBER(SEARCH("diesel",$B721))+ISNUMBER(SEARCH("krudo",$B721))+ISNUMBER(SEARCH("gasolina",$B721))&gt;0,1,0)))</f>
        <v/>
      </c>
      <c r="N721">
        <f>IF($B721="","",IF(ISNUMBER(SEARCH("fuel",$B721))+ISNUMBER(SEARCH("diesel",$B721))+ISNUMBER(SEARCH("krudo",$B721))+ISNUMBER(SEARCH("gasolina",$B721))&gt;0,1,0))</f>
        <v/>
      </c>
    </row>
    <row r="722">
      <c r="A722" s="94" t="n"/>
      <c r="B722" s="96" t="n"/>
      <c r="C722" s="96" t="n"/>
      <c r="D722" s="95" t="n"/>
      <c r="E722" s="96" t="n"/>
      <c r="F722" s="99" t="n"/>
      <c r="G722" s="95" t="n"/>
      <c r="H722" s="95" t="n"/>
      <c r="I722" s="101">
        <f>IF($B722="","",IF(COUNTIF(Setup!$A$99:$A$128,$B722)&gt;0,IF(INDEX(Setup!$B$99:$B$128,MATCH($B722,Setup!$A$99:$A$128,0))="","Overhead",INDEX(Setup!$B$99:$B$128,MATCH($B722,Setup!$A$99:$A$128,0))),IF(ISNUMBER(SEARCH("advance",$B722))+ISNUMBER(SEARCH("payout",$B722))+ISNUMBER(SEARCH("pay out",$B722))+ISNUMBER(SEARCH("reimburs",$B722))&gt;0,"Transfer",IF(ISNUMBER(SEARCH("loan",$B722))+ISNUMBER(SEARCH("amort",$B722))+ISNUMBER(SEARCH("installment",$B722))+ISNUMBER(SEARCH("instalment",$B722))&gt;0,"Financing",IF(ISNUMBER(SEARCH("draw",$B722))+ISNUMBER(SEARCH("owner",$B722))+ISNUMBER(SEARCH("asset",$B722))+ISNUMBER(SEARCH("capital",$B722))&gt;0,"Other",IF(ISNUMBER(SEARCH("fuel",$B722))+ISNUMBER(SEARCH("diesel",$B722))+ISNUMBER(SEARCH("krudo",$B722))+ISNUMBER(SEARCH("gasolina",$B722))+ISNUMBER(SEARCH("toll",$B722))+ISNUMBER(SEARCH("parking",$B722))+ISNUMBER(SEARCH("repair",$B722))+ISNUMBER(SEARCH("maintenance",$B722))+ISNUMBER(SEARCH("tire",$B722))+ISNUMBER(SEARCH("tyre",$B722))+ISNUMBER(SEARCH("battery",$B722))+ISNUMBER(SEARCH("oil",$B722))+ISNUMBER(SEARCH("filter",$B722))+ISNUMBER(SEARCH("spare",$B722))+ISNUMBER(SEARCH("insurance",$B722))+ISNUMBER(SEARCH("lto",$B722))+ISNUMBER(SEARCH("registration",$B722))+ISNUMBER(SEARCH("emission",$B722))+ISNUMBER(SEARCH("wash",$B722))+ISNUMBER(SEARCH("weigh",$B722))+ISNUMBER(SEARCH("tarp",$B722))&gt;0,"Vehicle",IF(ISNUMBER(SEARCH("rent",$B722))+ISNUMBER(SEARCH("upa",$B722))+ISNUMBER(SEARCH("salary",$B722))+ISNUMBER(SEARCH("sweldo",$B722))+ISNUMBER(SEARCH("wage",$B722))+ISNUMBER(SEARCH("electric",$B722))+ISNUMBER(SEARCH("kuryente",$B722))+ISNUMBER(SEARCH("water",$B722))+ISNUMBER(SEARCH("tubig",$B722))+ISNUMBER(SEARCH("internet",$B722))+ISNUMBER(SEARCH("pldt",$B722))+ISNUMBER(SEARCH("meralco",$B722))+ISNUMBER(SEARCH("supplies",$B722))+ISNUMBER(SEARCH("office",$B722))+ISNUMBER(SEARCH("professional",$B722))+ISNUMBER(SEARCH("accountant",$B722))+ISNUMBER(SEARCH("lawyer",$B722))+ISNUMBER(SEARCH("broker",$B722))+ISNUMBER(SEARCH("bank",$B722))+ISNUMBER(SEARCH("charge",$B722))+ISNUMBER(SEARCH("permit",$B722))+ISNUMBER(SEARCH("bir",$B722))+ISNUMBER(SEARCH("ltfrb",$B722))+ISNUMBER(SEARCH("misc",$B722))+ISNUMBER(SEARCH("fee",$B722))&gt;0,"Overhead","Overhead")))))))</f>
        <v/>
      </c>
      <c r="J722">
        <f>IF($A722="","",DATE(YEAR($A722),MONTH($A722),1))</f>
        <v/>
      </c>
      <c r="K722">
        <f>IF($B722="","",IF(COUNTIF(Setup!$A$99:$A$128,$B722)&gt;0,0,1))</f>
        <v/>
      </c>
      <c r="L722">
        <f>IF($B722="","",IF(ISNUMBER(SEARCH("advance",$B722)),"ADV",IF(OR(ISNUMBER(SEARCH("payout",$B722)),ISNUMBER(SEARCH("pay out",$B722)),ISNUMBER(SEARCH("release",$B722))),"PAY","")))</f>
        <v/>
      </c>
      <c r="M722">
        <f>IF($B722="","",IF(ISNUMBER(SEARCH("bulk",$B722)),0,IF(ISNUMBER(SEARCH("fuel",$B722))+ISNUMBER(SEARCH("diesel",$B722))+ISNUMBER(SEARCH("krudo",$B722))+ISNUMBER(SEARCH("gasolina",$B722))&gt;0,1,0)))</f>
        <v/>
      </c>
      <c r="N722">
        <f>IF($B722="","",IF(ISNUMBER(SEARCH("fuel",$B722))+ISNUMBER(SEARCH("diesel",$B722))+ISNUMBER(SEARCH("krudo",$B722))+ISNUMBER(SEARCH("gasolina",$B722))&gt;0,1,0))</f>
        <v/>
      </c>
    </row>
    <row r="723">
      <c r="A723" s="86" t="n"/>
      <c r="B723" s="88" t="n"/>
      <c r="C723" s="88" t="n"/>
      <c r="D723" s="87" t="n"/>
      <c r="E723" s="88" t="n"/>
      <c r="F723" s="92" t="n"/>
      <c r="G723" s="87" t="n"/>
      <c r="H723" s="87" t="n"/>
      <c r="I723" s="101">
        <f>IF($B723="","",IF(COUNTIF(Setup!$A$99:$A$128,$B723)&gt;0,IF(INDEX(Setup!$B$99:$B$128,MATCH($B723,Setup!$A$99:$A$128,0))="","Overhead",INDEX(Setup!$B$99:$B$128,MATCH($B723,Setup!$A$99:$A$128,0))),IF(ISNUMBER(SEARCH("advance",$B723))+ISNUMBER(SEARCH("payout",$B723))+ISNUMBER(SEARCH("pay out",$B723))+ISNUMBER(SEARCH("reimburs",$B723))&gt;0,"Transfer",IF(ISNUMBER(SEARCH("loan",$B723))+ISNUMBER(SEARCH("amort",$B723))+ISNUMBER(SEARCH("installment",$B723))+ISNUMBER(SEARCH("instalment",$B723))&gt;0,"Financing",IF(ISNUMBER(SEARCH("draw",$B723))+ISNUMBER(SEARCH("owner",$B723))+ISNUMBER(SEARCH("asset",$B723))+ISNUMBER(SEARCH("capital",$B723))&gt;0,"Other",IF(ISNUMBER(SEARCH("fuel",$B723))+ISNUMBER(SEARCH("diesel",$B723))+ISNUMBER(SEARCH("krudo",$B723))+ISNUMBER(SEARCH("gasolina",$B723))+ISNUMBER(SEARCH("toll",$B723))+ISNUMBER(SEARCH("parking",$B723))+ISNUMBER(SEARCH("repair",$B723))+ISNUMBER(SEARCH("maintenance",$B723))+ISNUMBER(SEARCH("tire",$B723))+ISNUMBER(SEARCH("tyre",$B723))+ISNUMBER(SEARCH("battery",$B723))+ISNUMBER(SEARCH("oil",$B723))+ISNUMBER(SEARCH("filter",$B723))+ISNUMBER(SEARCH("spare",$B723))+ISNUMBER(SEARCH("insurance",$B723))+ISNUMBER(SEARCH("lto",$B723))+ISNUMBER(SEARCH("registration",$B723))+ISNUMBER(SEARCH("emission",$B723))+ISNUMBER(SEARCH("wash",$B723))+ISNUMBER(SEARCH("weigh",$B723))+ISNUMBER(SEARCH("tarp",$B723))&gt;0,"Vehicle",IF(ISNUMBER(SEARCH("rent",$B723))+ISNUMBER(SEARCH("upa",$B723))+ISNUMBER(SEARCH("salary",$B723))+ISNUMBER(SEARCH("sweldo",$B723))+ISNUMBER(SEARCH("wage",$B723))+ISNUMBER(SEARCH("electric",$B723))+ISNUMBER(SEARCH("kuryente",$B723))+ISNUMBER(SEARCH("water",$B723))+ISNUMBER(SEARCH("tubig",$B723))+ISNUMBER(SEARCH("internet",$B723))+ISNUMBER(SEARCH("pldt",$B723))+ISNUMBER(SEARCH("meralco",$B723))+ISNUMBER(SEARCH("supplies",$B723))+ISNUMBER(SEARCH("office",$B723))+ISNUMBER(SEARCH("professional",$B723))+ISNUMBER(SEARCH("accountant",$B723))+ISNUMBER(SEARCH("lawyer",$B723))+ISNUMBER(SEARCH("broker",$B723))+ISNUMBER(SEARCH("bank",$B723))+ISNUMBER(SEARCH("charge",$B723))+ISNUMBER(SEARCH("permit",$B723))+ISNUMBER(SEARCH("bir",$B723))+ISNUMBER(SEARCH("ltfrb",$B723))+ISNUMBER(SEARCH("misc",$B723))+ISNUMBER(SEARCH("fee",$B723))&gt;0,"Overhead","Overhead")))))))</f>
        <v/>
      </c>
      <c r="J723">
        <f>IF($A723="","",DATE(YEAR($A723),MONTH($A723),1))</f>
        <v/>
      </c>
      <c r="K723">
        <f>IF($B723="","",IF(COUNTIF(Setup!$A$99:$A$128,$B723)&gt;0,0,1))</f>
        <v/>
      </c>
      <c r="L723">
        <f>IF($B723="","",IF(ISNUMBER(SEARCH("advance",$B723)),"ADV",IF(OR(ISNUMBER(SEARCH("payout",$B723)),ISNUMBER(SEARCH("pay out",$B723)),ISNUMBER(SEARCH("release",$B723))),"PAY","")))</f>
        <v/>
      </c>
      <c r="M723">
        <f>IF($B723="","",IF(ISNUMBER(SEARCH("bulk",$B723)),0,IF(ISNUMBER(SEARCH("fuel",$B723))+ISNUMBER(SEARCH("diesel",$B723))+ISNUMBER(SEARCH("krudo",$B723))+ISNUMBER(SEARCH("gasolina",$B723))&gt;0,1,0)))</f>
        <v/>
      </c>
      <c r="N723">
        <f>IF($B723="","",IF(ISNUMBER(SEARCH("fuel",$B723))+ISNUMBER(SEARCH("diesel",$B723))+ISNUMBER(SEARCH("krudo",$B723))+ISNUMBER(SEARCH("gasolina",$B723))&gt;0,1,0))</f>
        <v/>
      </c>
    </row>
    <row r="724">
      <c r="A724" s="94" t="n"/>
      <c r="B724" s="96" t="n"/>
      <c r="C724" s="96" t="n"/>
      <c r="D724" s="95" t="n"/>
      <c r="E724" s="96" t="n"/>
      <c r="F724" s="99" t="n"/>
      <c r="G724" s="95" t="n"/>
      <c r="H724" s="95" t="n"/>
      <c r="I724" s="101">
        <f>IF($B724="","",IF(COUNTIF(Setup!$A$99:$A$128,$B724)&gt;0,IF(INDEX(Setup!$B$99:$B$128,MATCH($B724,Setup!$A$99:$A$128,0))="","Overhead",INDEX(Setup!$B$99:$B$128,MATCH($B724,Setup!$A$99:$A$128,0))),IF(ISNUMBER(SEARCH("advance",$B724))+ISNUMBER(SEARCH("payout",$B724))+ISNUMBER(SEARCH("pay out",$B724))+ISNUMBER(SEARCH("reimburs",$B724))&gt;0,"Transfer",IF(ISNUMBER(SEARCH("loan",$B724))+ISNUMBER(SEARCH("amort",$B724))+ISNUMBER(SEARCH("installment",$B724))+ISNUMBER(SEARCH("instalment",$B724))&gt;0,"Financing",IF(ISNUMBER(SEARCH("draw",$B724))+ISNUMBER(SEARCH("owner",$B724))+ISNUMBER(SEARCH("asset",$B724))+ISNUMBER(SEARCH("capital",$B724))&gt;0,"Other",IF(ISNUMBER(SEARCH("fuel",$B724))+ISNUMBER(SEARCH("diesel",$B724))+ISNUMBER(SEARCH("krudo",$B724))+ISNUMBER(SEARCH("gasolina",$B724))+ISNUMBER(SEARCH("toll",$B724))+ISNUMBER(SEARCH("parking",$B724))+ISNUMBER(SEARCH("repair",$B724))+ISNUMBER(SEARCH("maintenance",$B724))+ISNUMBER(SEARCH("tire",$B724))+ISNUMBER(SEARCH("tyre",$B724))+ISNUMBER(SEARCH("battery",$B724))+ISNUMBER(SEARCH("oil",$B724))+ISNUMBER(SEARCH("filter",$B724))+ISNUMBER(SEARCH("spare",$B724))+ISNUMBER(SEARCH("insurance",$B724))+ISNUMBER(SEARCH("lto",$B724))+ISNUMBER(SEARCH("registration",$B724))+ISNUMBER(SEARCH("emission",$B724))+ISNUMBER(SEARCH("wash",$B724))+ISNUMBER(SEARCH("weigh",$B724))+ISNUMBER(SEARCH("tarp",$B724))&gt;0,"Vehicle",IF(ISNUMBER(SEARCH("rent",$B724))+ISNUMBER(SEARCH("upa",$B724))+ISNUMBER(SEARCH("salary",$B724))+ISNUMBER(SEARCH("sweldo",$B724))+ISNUMBER(SEARCH("wage",$B724))+ISNUMBER(SEARCH("electric",$B724))+ISNUMBER(SEARCH("kuryente",$B724))+ISNUMBER(SEARCH("water",$B724))+ISNUMBER(SEARCH("tubig",$B724))+ISNUMBER(SEARCH("internet",$B724))+ISNUMBER(SEARCH("pldt",$B724))+ISNUMBER(SEARCH("meralco",$B724))+ISNUMBER(SEARCH("supplies",$B724))+ISNUMBER(SEARCH("office",$B724))+ISNUMBER(SEARCH("professional",$B724))+ISNUMBER(SEARCH("accountant",$B724))+ISNUMBER(SEARCH("lawyer",$B724))+ISNUMBER(SEARCH("broker",$B724))+ISNUMBER(SEARCH("bank",$B724))+ISNUMBER(SEARCH("charge",$B724))+ISNUMBER(SEARCH("permit",$B724))+ISNUMBER(SEARCH("bir",$B724))+ISNUMBER(SEARCH("ltfrb",$B724))+ISNUMBER(SEARCH("misc",$B724))+ISNUMBER(SEARCH("fee",$B724))&gt;0,"Overhead","Overhead")))))))</f>
        <v/>
      </c>
      <c r="J724">
        <f>IF($A724="","",DATE(YEAR($A724),MONTH($A724),1))</f>
        <v/>
      </c>
      <c r="K724">
        <f>IF($B724="","",IF(COUNTIF(Setup!$A$99:$A$128,$B724)&gt;0,0,1))</f>
        <v/>
      </c>
      <c r="L724">
        <f>IF($B724="","",IF(ISNUMBER(SEARCH("advance",$B724)),"ADV",IF(OR(ISNUMBER(SEARCH("payout",$B724)),ISNUMBER(SEARCH("pay out",$B724)),ISNUMBER(SEARCH("release",$B724))),"PAY","")))</f>
        <v/>
      </c>
      <c r="M724">
        <f>IF($B724="","",IF(ISNUMBER(SEARCH("bulk",$B724)),0,IF(ISNUMBER(SEARCH("fuel",$B724))+ISNUMBER(SEARCH("diesel",$B724))+ISNUMBER(SEARCH("krudo",$B724))+ISNUMBER(SEARCH("gasolina",$B724))&gt;0,1,0)))</f>
        <v/>
      </c>
      <c r="N724">
        <f>IF($B724="","",IF(ISNUMBER(SEARCH("fuel",$B724))+ISNUMBER(SEARCH("diesel",$B724))+ISNUMBER(SEARCH("krudo",$B724))+ISNUMBER(SEARCH("gasolina",$B724))&gt;0,1,0))</f>
        <v/>
      </c>
    </row>
    <row r="725">
      <c r="A725" s="86" t="n"/>
      <c r="B725" s="88" t="n"/>
      <c r="C725" s="88" t="n"/>
      <c r="D725" s="87" t="n"/>
      <c r="E725" s="88" t="n"/>
      <c r="F725" s="92" t="n"/>
      <c r="G725" s="87" t="n"/>
      <c r="H725" s="87" t="n"/>
      <c r="I725" s="101">
        <f>IF($B725="","",IF(COUNTIF(Setup!$A$99:$A$128,$B725)&gt;0,IF(INDEX(Setup!$B$99:$B$128,MATCH($B725,Setup!$A$99:$A$128,0))="","Overhead",INDEX(Setup!$B$99:$B$128,MATCH($B725,Setup!$A$99:$A$128,0))),IF(ISNUMBER(SEARCH("advance",$B725))+ISNUMBER(SEARCH("payout",$B725))+ISNUMBER(SEARCH("pay out",$B725))+ISNUMBER(SEARCH("reimburs",$B725))&gt;0,"Transfer",IF(ISNUMBER(SEARCH("loan",$B725))+ISNUMBER(SEARCH("amort",$B725))+ISNUMBER(SEARCH("installment",$B725))+ISNUMBER(SEARCH("instalment",$B725))&gt;0,"Financing",IF(ISNUMBER(SEARCH("draw",$B725))+ISNUMBER(SEARCH("owner",$B725))+ISNUMBER(SEARCH("asset",$B725))+ISNUMBER(SEARCH("capital",$B725))&gt;0,"Other",IF(ISNUMBER(SEARCH("fuel",$B725))+ISNUMBER(SEARCH("diesel",$B725))+ISNUMBER(SEARCH("krudo",$B725))+ISNUMBER(SEARCH("gasolina",$B725))+ISNUMBER(SEARCH("toll",$B725))+ISNUMBER(SEARCH("parking",$B725))+ISNUMBER(SEARCH("repair",$B725))+ISNUMBER(SEARCH("maintenance",$B725))+ISNUMBER(SEARCH("tire",$B725))+ISNUMBER(SEARCH("tyre",$B725))+ISNUMBER(SEARCH("battery",$B725))+ISNUMBER(SEARCH("oil",$B725))+ISNUMBER(SEARCH("filter",$B725))+ISNUMBER(SEARCH("spare",$B725))+ISNUMBER(SEARCH("insurance",$B725))+ISNUMBER(SEARCH("lto",$B725))+ISNUMBER(SEARCH("registration",$B725))+ISNUMBER(SEARCH("emission",$B725))+ISNUMBER(SEARCH("wash",$B725))+ISNUMBER(SEARCH("weigh",$B725))+ISNUMBER(SEARCH("tarp",$B725))&gt;0,"Vehicle",IF(ISNUMBER(SEARCH("rent",$B725))+ISNUMBER(SEARCH("upa",$B725))+ISNUMBER(SEARCH("salary",$B725))+ISNUMBER(SEARCH("sweldo",$B725))+ISNUMBER(SEARCH("wage",$B725))+ISNUMBER(SEARCH("electric",$B725))+ISNUMBER(SEARCH("kuryente",$B725))+ISNUMBER(SEARCH("water",$B725))+ISNUMBER(SEARCH("tubig",$B725))+ISNUMBER(SEARCH("internet",$B725))+ISNUMBER(SEARCH("pldt",$B725))+ISNUMBER(SEARCH("meralco",$B725))+ISNUMBER(SEARCH("supplies",$B725))+ISNUMBER(SEARCH("office",$B725))+ISNUMBER(SEARCH("professional",$B725))+ISNUMBER(SEARCH("accountant",$B725))+ISNUMBER(SEARCH("lawyer",$B725))+ISNUMBER(SEARCH("broker",$B725))+ISNUMBER(SEARCH("bank",$B725))+ISNUMBER(SEARCH("charge",$B725))+ISNUMBER(SEARCH("permit",$B725))+ISNUMBER(SEARCH("bir",$B725))+ISNUMBER(SEARCH("ltfrb",$B725))+ISNUMBER(SEARCH("misc",$B725))+ISNUMBER(SEARCH("fee",$B725))&gt;0,"Overhead","Overhead")))))))</f>
        <v/>
      </c>
      <c r="J725">
        <f>IF($A725="","",DATE(YEAR($A725),MONTH($A725),1))</f>
        <v/>
      </c>
      <c r="K725">
        <f>IF($B725="","",IF(COUNTIF(Setup!$A$99:$A$128,$B725)&gt;0,0,1))</f>
        <v/>
      </c>
      <c r="L725">
        <f>IF($B725="","",IF(ISNUMBER(SEARCH("advance",$B725)),"ADV",IF(OR(ISNUMBER(SEARCH("payout",$B725)),ISNUMBER(SEARCH("pay out",$B725)),ISNUMBER(SEARCH("release",$B725))),"PAY","")))</f>
        <v/>
      </c>
      <c r="M725">
        <f>IF($B725="","",IF(ISNUMBER(SEARCH("bulk",$B725)),0,IF(ISNUMBER(SEARCH("fuel",$B725))+ISNUMBER(SEARCH("diesel",$B725))+ISNUMBER(SEARCH("krudo",$B725))+ISNUMBER(SEARCH("gasolina",$B725))&gt;0,1,0)))</f>
        <v/>
      </c>
      <c r="N725">
        <f>IF($B725="","",IF(ISNUMBER(SEARCH("fuel",$B725))+ISNUMBER(SEARCH("diesel",$B725))+ISNUMBER(SEARCH("krudo",$B725))+ISNUMBER(SEARCH("gasolina",$B725))&gt;0,1,0))</f>
        <v/>
      </c>
    </row>
    <row r="726">
      <c r="A726" s="94" t="n"/>
      <c r="B726" s="96" t="n"/>
      <c r="C726" s="96" t="n"/>
      <c r="D726" s="95" t="n"/>
      <c r="E726" s="96" t="n"/>
      <c r="F726" s="99" t="n"/>
      <c r="G726" s="95" t="n"/>
      <c r="H726" s="95" t="n"/>
      <c r="I726" s="101">
        <f>IF($B726="","",IF(COUNTIF(Setup!$A$99:$A$128,$B726)&gt;0,IF(INDEX(Setup!$B$99:$B$128,MATCH($B726,Setup!$A$99:$A$128,0))="","Overhead",INDEX(Setup!$B$99:$B$128,MATCH($B726,Setup!$A$99:$A$128,0))),IF(ISNUMBER(SEARCH("advance",$B726))+ISNUMBER(SEARCH("payout",$B726))+ISNUMBER(SEARCH("pay out",$B726))+ISNUMBER(SEARCH("reimburs",$B726))&gt;0,"Transfer",IF(ISNUMBER(SEARCH("loan",$B726))+ISNUMBER(SEARCH("amort",$B726))+ISNUMBER(SEARCH("installment",$B726))+ISNUMBER(SEARCH("instalment",$B726))&gt;0,"Financing",IF(ISNUMBER(SEARCH("draw",$B726))+ISNUMBER(SEARCH("owner",$B726))+ISNUMBER(SEARCH("asset",$B726))+ISNUMBER(SEARCH("capital",$B726))&gt;0,"Other",IF(ISNUMBER(SEARCH("fuel",$B726))+ISNUMBER(SEARCH("diesel",$B726))+ISNUMBER(SEARCH("krudo",$B726))+ISNUMBER(SEARCH("gasolina",$B726))+ISNUMBER(SEARCH("toll",$B726))+ISNUMBER(SEARCH("parking",$B726))+ISNUMBER(SEARCH("repair",$B726))+ISNUMBER(SEARCH("maintenance",$B726))+ISNUMBER(SEARCH("tire",$B726))+ISNUMBER(SEARCH("tyre",$B726))+ISNUMBER(SEARCH("battery",$B726))+ISNUMBER(SEARCH("oil",$B726))+ISNUMBER(SEARCH("filter",$B726))+ISNUMBER(SEARCH("spare",$B726))+ISNUMBER(SEARCH("insurance",$B726))+ISNUMBER(SEARCH("lto",$B726))+ISNUMBER(SEARCH("registration",$B726))+ISNUMBER(SEARCH("emission",$B726))+ISNUMBER(SEARCH("wash",$B726))+ISNUMBER(SEARCH("weigh",$B726))+ISNUMBER(SEARCH("tarp",$B726))&gt;0,"Vehicle",IF(ISNUMBER(SEARCH("rent",$B726))+ISNUMBER(SEARCH("upa",$B726))+ISNUMBER(SEARCH("salary",$B726))+ISNUMBER(SEARCH("sweldo",$B726))+ISNUMBER(SEARCH("wage",$B726))+ISNUMBER(SEARCH("electric",$B726))+ISNUMBER(SEARCH("kuryente",$B726))+ISNUMBER(SEARCH("water",$B726))+ISNUMBER(SEARCH("tubig",$B726))+ISNUMBER(SEARCH("internet",$B726))+ISNUMBER(SEARCH("pldt",$B726))+ISNUMBER(SEARCH("meralco",$B726))+ISNUMBER(SEARCH("supplies",$B726))+ISNUMBER(SEARCH("office",$B726))+ISNUMBER(SEARCH("professional",$B726))+ISNUMBER(SEARCH("accountant",$B726))+ISNUMBER(SEARCH("lawyer",$B726))+ISNUMBER(SEARCH("broker",$B726))+ISNUMBER(SEARCH("bank",$B726))+ISNUMBER(SEARCH("charge",$B726))+ISNUMBER(SEARCH("permit",$B726))+ISNUMBER(SEARCH("bir",$B726))+ISNUMBER(SEARCH("ltfrb",$B726))+ISNUMBER(SEARCH("misc",$B726))+ISNUMBER(SEARCH("fee",$B726))&gt;0,"Overhead","Overhead")))))))</f>
        <v/>
      </c>
      <c r="J726">
        <f>IF($A726="","",DATE(YEAR($A726),MONTH($A726),1))</f>
        <v/>
      </c>
      <c r="K726">
        <f>IF($B726="","",IF(COUNTIF(Setup!$A$99:$A$128,$B726)&gt;0,0,1))</f>
        <v/>
      </c>
      <c r="L726">
        <f>IF($B726="","",IF(ISNUMBER(SEARCH("advance",$B726)),"ADV",IF(OR(ISNUMBER(SEARCH("payout",$B726)),ISNUMBER(SEARCH("pay out",$B726)),ISNUMBER(SEARCH("release",$B726))),"PAY","")))</f>
        <v/>
      </c>
      <c r="M726">
        <f>IF($B726="","",IF(ISNUMBER(SEARCH("bulk",$B726)),0,IF(ISNUMBER(SEARCH("fuel",$B726))+ISNUMBER(SEARCH("diesel",$B726))+ISNUMBER(SEARCH("krudo",$B726))+ISNUMBER(SEARCH("gasolina",$B726))&gt;0,1,0)))</f>
        <v/>
      </c>
      <c r="N726">
        <f>IF($B726="","",IF(ISNUMBER(SEARCH("fuel",$B726))+ISNUMBER(SEARCH("diesel",$B726))+ISNUMBER(SEARCH("krudo",$B726))+ISNUMBER(SEARCH("gasolina",$B726))&gt;0,1,0))</f>
        <v/>
      </c>
    </row>
    <row r="727">
      <c r="A727" s="86" t="n"/>
      <c r="B727" s="88" t="n"/>
      <c r="C727" s="88" t="n"/>
      <c r="D727" s="87" t="n"/>
      <c r="E727" s="88" t="n"/>
      <c r="F727" s="92" t="n"/>
      <c r="G727" s="87" t="n"/>
      <c r="H727" s="87" t="n"/>
      <c r="I727" s="101">
        <f>IF($B727="","",IF(COUNTIF(Setup!$A$99:$A$128,$B727)&gt;0,IF(INDEX(Setup!$B$99:$B$128,MATCH($B727,Setup!$A$99:$A$128,0))="","Overhead",INDEX(Setup!$B$99:$B$128,MATCH($B727,Setup!$A$99:$A$128,0))),IF(ISNUMBER(SEARCH("advance",$B727))+ISNUMBER(SEARCH("payout",$B727))+ISNUMBER(SEARCH("pay out",$B727))+ISNUMBER(SEARCH("reimburs",$B727))&gt;0,"Transfer",IF(ISNUMBER(SEARCH("loan",$B727))+ISNUMBER(SEARCH("amort",$B727))+ISNUMBER(SEARCH("installment",$B727))+ISNUMBER(SEARCH("instalment",$B727))&gt;0,"Financing",IF(ISNUMBER(SEARCH("draw",$B727))+ISNUMBER(SEARCH("owner",$B727))+ISNUMBER(SEARCH("asset",$B727))+ISNUMBER(SEARCH("capital",$B727))&gt;0,"Other",IF(ISNUMBER(SEARCH("fuel",$B727))+ISNUMBER(SEARCH("diesel",$B727))+ISNUMBER(SEARCH("krudo",$B727))+ISNUMBER(SEARCH("gasolina",$B727))+ISNUMBER(SEARCH("toll",$B727))+ISNUMBER(SEARCH("parking",$B727))+ISNUMBER(SEARCH("repair",$B727))+ISNUMBER(SEARCH("maintenance",$B727))+ISNUMBER(SEARCH("tire",$B727))+ISNUMBER(SEARCH("tyre",$B727))+ISNUMBER(SEARCH("battery",$B727))+ISNUMBER(SEARCH("oil",$B727))+ISNUMBER(SEARCH("filter",$B727))+ISNUMBER(SEARCH("spare",$B727))+ISNUMBER(SEARCH("insurance",$B727))+ISNUMBER(SEARCH("lto",$B727))+ISNUMBER(SEARCH("registration",$B727))+ISNUMBER(SEARCH("emission",$B727))+ISNUMBER(SEARCH("wash",$B727))+ISNUMBER(SEARCH("weigh",$B727))+ISNUMBER(SEARCH("tarp",$B727))&gt;0,"Vehicle",IF(ISNUMBER(SEARCH("rent",$B727))+ISNUMBER(SEARCH("upa",$B727))+ISNUMBER(SEARCH("salary",$B727))+ISNUMBER(SEARCH("sweldo",$B727))+ISNUMBER(SEARCH("wage",$B727))+ISNUMBER(SEARCH("electric",$B727))+ISNUMBER(SEARCH("kuryente",$B727))+ISNUMBER(SEARCH("water",$B727))+ISNUMBER(SEARCH("tubig",$B727))+ISNUMBER(SEARCH("internet",$B727))+ISNUMBER(SEARCH("pldt",$B727))+ISNUMBER(SEARCH("meralco",$B727))+ISNUMBER(SEARCH("supplies",$B727))+ISNUMBER(SEARCH("office",$B727))+ISNUMBER(SEARCH("professional",$B727))+ISNUMBER(SEARCH("accountant",$B727))+ISNUMBER(SEARCH("lawyer",$B727))+ISNUMBER(SEARCH("broker",$B727))+ISNUMBER(SEARCH("bank",$B727))+ISNUMBER(SEARCH("charge",$B727))+ISNUMBER(SEARCH("permit",$B727))+ISNUMBER(SEARCH("bir",$B727))+ISNUMBER(SEARCH("ltfrb",$B727))+ISNUMBER(SEARCH("misc",$B727))+ISNUMBER(SEARCH("fee",$B727))&gt;0,"Overhead","Overhead")))))))</f>
        <v/>
      </c>
      <c r="J727">
        <f>IF($A727="","",DATE(YEAR($A727),MONTH($A727),1))</f>
        <v/>
      </c>
      <c r="K727">
        <f>IF($B727="","",IF(COUNTIF(Setup!$A$99:$A$128,$B727)&gt;0,0,1))</f>
        <v/>
      </c>
      <c r="L727">
        <f>IF($B727="","",IF(ISNUMBER(SEARCH("advance",$B727)),"ADV",IF(OR(ISNUMBER(SEARCH("payout",$B727)),ISNUMBER(SEARCH("pay out",$B727)),ISNUMBER(SEARCH("release",$B727))),"PAY","")))</f>
        <v/>
      </c>
      <c r="M727">
        <f>IF($B727="","",IF(ISNUMBER(SEARCH("bulk",$B727)),0,IF(ISNUMBER(SEARCH("fuel",$B727))+ISNUMBER(SEARCH("diesel",$B727))+ISNUMBER(SEARCH("krudo",$B727))+ISNUMBER(SEARCH("gasolina",$B727))&gt;0,1,0)))</f>
        <v/>
      </c>
      <c r="N727">
        <f>IF($B727="","",IF(ISNUMBER(SEARCH("fuel",$B727))+ISNUMBER(SEARCH("diesel",$B727))+ISNUMBER(SEARCH("krudo",$B727))+ISNUMBER(SEARCH("gasolina",$B727))&gt;0,1,0))</f>
        <v/>
      </c>
    </row>
    <row r="728">
      <c r="A728" s="94" t="n"/>
      <c r="B728" s="96" t="n"/>
      <c r="C728" s="96" t="n"/>
      <c r="D728" s="95" t="n"/>
      <c r="E728" s="96" t="n"/>
      <c r="F728" s="99" t="n"/>
      <c r="G728" s="95" t="n"/>
      <c r="H728" s="95" t="n"/>
      <c r="I728" s="101">
        <f>IF($B728="","",IF(COUNTIF(Setup!$A$99:$A$128,$B728)&gt;0,IF(INDEX(Setup!$B$99:$B$128,MATCH($B728,Setup!$A$99:$A$128,0))="","Overhead",INDEX(Setup!$B$99:$B$128,MATCH($B728,Setup!$A$99:$A$128,0))),IF(ISNUMBER(SEARCH("advance",$B728))+ISNUMBER(SEARCH("payout",$B728))+ISNUMBER(SEARCH("pay out",$B728))+ISNUMBER(SEARCH("reimburs",$B728))&gt;0,"Transfer",IF(ISNUMBER(SEARCH("loan",$B728))+ISNUMBER(SEARCH("amort",$B728))+ISNUMBER(SEARCH("installment",$B728))+ISNUMBER(SEARCH("instalment",$B728))&gt;0,"Financing",IF(ISNUMBER(SEARCH("draw",$B728))+ISNUMBER(SEARCH("owner",$B728))+ISNUMBER(SEARCH("asset",$B728))+ISNUMBER(SEARCH("capital",$B728))&gt;0,"Other",IF(ISNUMBER(SEARCH("fuel",$B728))+ISNUMBER(SEARCH("diesel",$B728))+ISNUMBER(SEARCH("krudo",$B728))+ISNUMBER(SEARCH("gasolina",$B728))+ISNUMBER(SEARCH("toll",$B728))+ISNUMBER(SEARCH("parking",$B728))+ISNUMBER(SEARCH("repair",$B728))+ISNUMBER(SEARCH("maintenance",$B728))+ISNUMBER(SEARCH("tire",$B728))+ISNUMBER(SEARCH("tyre",$B728))+ISNUMBER(SEARCH("battery",$B728))+ISNUMBER(SEARCH("oil",$B728))+ISNUMBER(SEARCH("filter",$B728))+ISNUMBER(SEARCH("spare",$B728))+ISNUMBER(SEARCH("insurance",$B728))+ISNUMBER(SEARCH("lto",$B728))+ISNUMBER(SEARCH("registration",$B728))+ISNUMBER(SEARCH("emission",$B728))+ISNUMBER(SEARCH("wash",$B728))+ISNUMBER(SEARCH("weigh",$B728))+ISNUMBER(SEARCH("tarp",$B728))&gt;0,"Vehicle",IF(ISNUMBER(SEARCH("rent",$B728))+ISNUMBER(SEARCH("upa",$B728))+ISNUMBER(SEARCH("salary",$B728))+ISNUMBER(SEARCH("sweldo",$B728))+ISNUMBER(SEARCH("wage",$B728))+ISNUMBER(SEARCH("electric",$B728))+ISNUMBER(SEARCH("kuryente",$B728))+ISNUMBER(SEARCH("water",$B728))+ISNUMBER(SEARCH("tubig",$B728))+ISNUMBER(SEARCH("internet",$B728))+ISNUMBER(SEARCH("pldt",$B728))+ISNUMBER(SEARCH("meralco",$B728))+ISNUMBER(SEARCH("supplies",$B728))+ISNUMBER(SEARCH("office",$B728))+ISNUMBER(SEARCH("professional",$B728))+ISNUMBER(SEARCH("accountant",$B728))+ISNUMBER(SEARCH("lawyer",$B728))+ISNUMBER(SEARCH("broker",$B728))+ISNUMBER(SEARCH("bank",$B728))+ISNUMBER(SEARCH("charge",$B728))+ISNUMBER(SEARCH("permit",$B728))+ISNUMBER(SEARCH("bir",$B728))+ISNUMBER(SEARCH("ltfrb",$B728))+ISNUMBER(SEARCH("misc",$B728))+ISNUMBER(SEARCH("fee",$B728))&gt;0,"Overhead","Overhead")))))))</f>
        <v/>
      </c>
      <c r="J728">
        <f>IF($A728="","",DATE(YEAR($A728),MONTH($A728),1))</f>
        <v/>
      </c>
      <c r="K728">
        <f>IF($B728="","",IF(COUNTIF(Setup!$A$99:$A$128,$B728)&gt;0,0,1))</f>
        <v/>
      </c>
      <c r="L728">
        <f>IF($B728="","",IF(ISNUMBER(SEARCH("advance",$B728)),"ADV",IF(OR(ISNUMBER(SEARCH("payout",$B728)),ISNUMBER(SEARCH("pay out",$B728)),ISNUMBER(SEARCH("release",$B728))),"PAY","")))</f>
        <v/>
      </c>
      <c r="M728">
        <f>IF($B728="","",IF(ISNUMBER(SEARCH("bulk",$B728)),0,IF(ISNUMBER(SEARCH("fuel",$B728))+ISNUMBER(SEARCH("diesel",$B728))+ISNUMBER(SEARCH("krudo",$B728))+ISNUMBER(SEARCH("gasolina",$B728))&gt;0,1,0)))</f>
        <v/>
      </c>
      <c r="N728">
        <f>IF($B728="","",IF(ISNUMBER(SEARCH("fuel",$B728))+ISNUMBER(SEARCH("diesel",$B728))+ISNUMBER(SEARCH("krudo",$B728))+ISNUMBER(SEARCH("gasolina",$B728))&gt;0,1,0))</f>
        <v/>
      </c>
    </row>
    <row r="729">
      <c r="A729" s="86" t="n"/>
      <c r="B729" s="88" t="n"/>
      <c r="C729" s="88" t="n"/>
      <c r="D729" s="87" t="n"/>
      <c r="E729" s="88" t="n"/>
      <c r="F729" s="92" t="n"/>
      <c r="G729" s="87" t="n"/>
      <c r="H729" s="87" t="n"/>
      <c r="I729" s="101">
        <f>IF($B729="","",IF(COUNTIF(Setup!$A$99:$A$128,$B729)&gt;0,IF(INDEX(Setup!$B$99:$B$128,MATCH($B729,Setup!$A$99:$A$128,0))="","Overhead",INDEX(Setup!$B$99:$B$128,MATCH($B729,Setup!$A$99:$A$128,0))),IF(ISNUMBER(SEARCH("advance",$B729))+ISNUMBER(SEARCH("payout",$B729))+ISNUMBER(SEARCH("pay out",$B729))+ISNUMBER(SEARCH("reimburs",$B729))&gt;0,"Transfer",IF(ISNUMBER(SEARCH("loan",$B729))+ISNUMBER(SEARCH("amort",$B729))+ISNUMBER(SEARCH("installment",$B729))+ISNUMBER(SEARCH("instalment",$B729))&gt;0,"Financing",IF(ISNUMBER(SEARCH("draw",$B729))+ISNUMBER(SEARCH("owner",$B729))+ISNUMBER(SEARCH("asset",$B729))+ISNUMBER(SEARCH("capital",$B729))&gt;0,"Other",IF(ISNUMBER(SEARCH("fuel",$B729))+ISNUMBER(SEARCH("diesel",$B729))+ISNUMBER(SEARCH("krudo",$B729))+ISNUMBER(SEARCH("gasolina",$B729))+ISNUMBER(SEARCH("toll",$B729))+ISNUMBER(SEARCH("parking",$B729))+ISNUMBER(SEARCH("repair",$B729))+ISNUMBER(SEARCH("maintenance",$B729))+ISNUMBER(SEARCH("tire",$B729))+ISNUMBER(SEARCH("tyre",$B729))+ISNUMBER(SEARCH("battery",$B729))+ISNUMBER(SEARCH("oil",$B729))+ISNUMBER(SEARCH("filter",$B729))+ISNUMBER(SEARCH("spare",$B729))+ISNUMBER(SEARCH("insurance",$B729))+ISNUMBER(SEARCH("lto",$B729))+ISNUMBER(SEARCH("registration",$B729))+ISNUMBER(SEARCH("emission",$B729))+ISNUMBER(SEARCH("wash",$B729))+ISNUMBER(SEARCH("weigh",$B729))+ISNUMBER(SEARCH("tarp",$B729))&gt;0,"Vehicle",IF(ISNUMBER(SEARCH("rent",$B729))+ISNUMBER(SEARCH("upa",$B729))+ISNUMBER(SEARCH("salary",$B729))+ISNUMBER(SEARCH("sweldo",$B729))+ISNUMBER(SEARCH("wage",$B729))+ISNUMBER(SEARCH("electric",$B729))+ISNUMBER(SEARCH("kuryente",$B729))+ISNUMBER(SEARCH("water",$B729))+ISNUMBER(SEARCH("tubig",$B729))+ISNUMBER(SEARCH("internet",$B729))+ISNUMBER(SEARCH("pldt",$B729))+ISNUMBER(SEARCH("meralco",$B729))+ISNUMBER(SEARCH("supplies",$B729))+ISNUMBER(SEARCH("office",$B729))+ISNUMBER(SEARCH("professional",$B729))+ISNUMBER(SEARCH("accountant",$B729))+ISNUMBER(SEARCH("lawyer",$B729))+ISNUMBER(SEARCH("broker",$B729))+ISNUMBER(SEARCH("bank",$B729))+ISNUMBER(SEARCH("charge",$B729))+ISNUMBER(SEARCH("permit",$B729))+ISNUMBER(SEARCH("bir",$B729))+ISNUMBER(SEARCH("ltfrb",$B729))+ISNUMBER(SEARCH("misc",$B729))+ISNUMBER(SEARCH("fee",$B729))&gt;0,"Overhead","Overhead")))))))</f>
        <v/>
      </c>
      <c r="J729">
        <f>IF($A729="","",DATE(YEAR($A729),MONTH($A729),1))</f>
        <v/>
      </c>
      <c r="K729">
        <f>IF($B729="","",IF(COUNTIF(Setup!$A$99:$A$128,$B729)&gt;0,0,1))</f>
        <v/>
      </c>
      <c r="L729">
        <f>IF($B729="","",IF(ISNUMBER(SEARCH("advance",$B729)),"ADV",IF(OR(ISNUMBER(SEARCH("payout",$B729)),ISNUMBER(SEARCH("pay out",$B729)),ISNUMBER(SEARCH("release",$B729))),"PAY","")))</f>
        <v/>
      </c>
      <c r="M729">
        <f>IF($B729="","",IF(ISNUMBER(SEARCH("bulk",$B729)),0,IF(ISNUMBER(SEARCH("fuel",$B729))+ISNUMBER(SEARCH("diesel",$B729))+ISNUMBER(SEARCH("krudo",$B729))+ISNUMBER(SEARCH("gasolina",$B729))&gt;0,1,0)))</f>
        <v/>
      </c>
      <c r="N729">
        <f>IF($B729="","",IF(ISNUMBER(SEARCH("fuel",$B729))+ISNUMBER(SEARCH("diesel",$B729))+ISNUMBER(SEARCH("krudo",$B729))+ISNUMBER(SEARCH("gasolina",$B729))&gt;0,1,0))</f>
        <v/>
      </c>
    </row>
    <row r="730">
      <c r="A730" s="94" t="n"/>
      <c r="B730" s="96" t="n"/>
      <c r="C730" s="96" t="n"/>
      <c r="D730" s="95" t="n"/>
      <c r="E730" s="96" t="n"/>
      <c r="F730" s="99" t="n"/>
      <c r="G730" s="95" t="n"/>
      <c r="H730" s="95" t="n"/>
      <c r="I730" s="101">
        <f>IF($B730="","",IF(COUNTIF(Setup!$A$99:$A$128,$B730)&gt;0,IF(INDEX(Setup!$B$99:$B$128,MATCH($B730,Setup!$A$99:$A$128,0))="","Overhead",INDEX(Setup!$B$99:$B$128,MATCH($B730,Setup!$A$99:$A$128,0))),IF(ISNUMBER(SEARCH("advance",$B730))+ISNUMBER(SEARCH("payout",$B730))+ISNUMBER(SEARCH("pay out",$B730))+ISNUMBER(SEARCH("reimburs",$B730))&gt;0,"Transfer",IF(ISNUMBER(SEARCH("loan",$B730))+ISNUMBER(SEARCH("amort",$B730))+ISNUMBER(SEARCH("installment",$B730))+ISNUMBER(SEARCH("instalment",$B730))&gt;0,"Financing",IF(ISNUMBER(SEARCH("draw",$B730))+ISNUMBER(SEARCH("owner",$B730))+ISNUMBER(SEARCH("asset",$B730))+ISNUMBER(SEARCH("capital",$B730))&gt;0,"Other",IF(ISNUMBER(SEARCH("fuel",$B730))+ISNUMBER(SEARCH("diesel",$B730))+ISNUMBER(SEARCH("krudo",$B730))+ISNUMBER(SEARCH("gasolina",$B730))+ISNUMBER(SEARCH("toll",$B730))+ISNUMBER(SEARCH("parking",$B730))+ISNUMBER(SEARCH("repair",$B730))+ISNUMBER(SEARCH("maintenance",$B730))+ISNUMBER(SEARCH("tire",$B730))+ISNUMBER(SEARCH("tyre",$B730))+ISNUMBER(SEARCH("battery",$B730))+ISNUMBER(SEARCH("oil",$B730))+ISNUMBER(SEARCH("filter",$B730))+ISNUMBER(SEARCH("spare",$B730))+ISNUMBER(SEARCH("insurance",$B730))+ISNUMBER(SEARCH("lto",$B730))+ISNUMBER(SEARCH("registration",$B730))+ISNUMBER(SEARCH("emission",$B730))+ISNUMBER(SEARCH("wash",$B730))+ISNUMBER(SEARCH("weigh",$B730))+ISNUMBER(SEARCH("tarp",$B730))&gt;0,"Vehicle",IF(ISNUMBER(SEARCH("rent",$B730))+ISNUMBER(SEARCH("upa",$B730))+ISNUMBER(SEARCH("salary",$B730))+ISNUMBER(SEARCH("sweldo",$B730))+ISNUMBER(SEARCH("wage",$B730))+ISNUMBER(SEARCH("electric",$B730))+ISNUMBER(SEARCH("kuryente",$B730))+ISNUMBER(SEARCH("water",$B730))+ISNUMBER(SEARCH("tubig",$B730))+ISNUMBER(SEARCH("internet",$B730))+ISNUMBER(SEARCH("pldt",$B730))+ISNUMBER(SEARCH("meralco",$B730))+ISNUMBER(SEARCH("supplies",$B730))+ISNUMBER(SEARCH("office",$B730))+ISNUMBER(SEARCH("professional",$B730))+ISNUMBER(SEARCH("accountant",$B730))+ISNUMBER(SEARCH("lawyer",$B730))+ISNUMBER(SEARCH("broker",$B730))+ISNUMBER(SEARCH("bank",$B730))+ISNUMBER(SEARCH("charge",$B730))+ISNUMBER(SEARCH("permit",$B730))+ISNUMBER(SEARCH("bir",$B730))+ISNUMBER(SEARCH("ltfrb",$B730))+ISNUMBER(SEARCH("misc",$B730))+ISNUMBER(SEARCH("fee",$B730))&gt;0,"Overhead","Overhead")))))))</f>
        <v/>
      </c>
      <c r="J730">
        <f>IF($A730="","",DATE(YEAR($A730),MONTH($A730),1))</f>
        <v/>
      </c>
      <c r="K730">
        <f>IF($B730="","",IF(COUNTIF(Setup!$A$99:$A$128,$B730)&gt;0,0,1))</f>
        <v/>
      </c>
      <c r="L730">
        <f>IF($B730="","",IF(ISNUMBER(SEARCH("advance",$B730)),"ADV",IF(OR(ISNUMBER(SEARCH("payout",$B730)),ISNUMBER(SEARCH("pay out",$B730)),ISNUMBER(SEARCH("release",$B730))),"PAY","")))</f>
        <v/>
      </c>
      <c r="M730">
        <f>IF($B730="","",IF(ISNUMBER(SEARCH("bulk",$B730)),0,IF(ISNUMBER(SEARCH("fuel",$B730))+ISNUMBER(SEARCH("diesel",$B730))+ISNUMBER(SEARCH("krudo",$B730))+ISNUMBER(SEARCH("gasolina",$B730))&gt;0,1,0)))</f>
        <v/>
      </c>
      <c r="N730">
        <f>IF($B730="","",IF(ISNUMBER(SEARCH("fuel",$B730))+ISNUMBER(SEARCH("diesel",$B730))+ISNUMBER(SEARCH("krudo",$B730))+ISNUMBER(SEARCH("gasolina",$B730))&gt;0,1,0))</f>
        <v/>
      </c>
    </row>
    <row r="731">
      <c r="A731" s="86" t="n"/>
      <c r="B731" s="88" t="n"/>
      <c r="C731" s="88" t="n"/>
      <c r="D731" s="87" t="n"/>
      <c r="E731" s="88" t="n"/>
      <c r="F731" s="92" t="n"/>
      <c r="G731" s="87" t="n"/>
      <c r="H731" s="87" t="n"/>
      <c r="I731" s="101">
        <f>IF($B731="","",IF(COUNTIF(Setup!$A$99:$A$128,$B731)&gt;0,IF(INDEX(Setup!$B$99:$B$128,MATCH($B731,Setup!$A$99:$A$128,0))="","Overhead",INDEX(Setup!$B$99:$B$128,MATCH($B731,Setup!$A$99:$A$128,0))),IF(ISNUMBER(SEARCH("advance",$B731))+ISNUMBER(SEARCH("payout",$B731))+ISNUMBER(SEARCH("pay out",$B731))+ISNUMBER(SEARCH("reimburs",$B731))&gt;0,"Transfer",IF(ISNUMBER(SEARCH("loan",$B731))+ISNUMBER(SEARCH("amort",$B731))+ISNUMBER(SEARCH("installment",$B731))+ISNUMBER(SEARCH("instalment",$B731))&gt;0,"Financing",IF(ISNUMBER(SEARCH("draw",$B731))+ISNUMBER(SEARCH("owner",$B731))+ISNUMBER(SEARCH("asset",$B731))+ISNUMBER(SEARCH("capital",$B731))&gt;0,"Other",IF(ISNUMBER(SEARCH("fuel",$B731))+ISNUMBER(SEARCH("diesel",$B731))+ISNUMBER(SEARCH("krudo",$B731))+ISNUMBER(SEARCH("gasolina",$B731))+ISNUMBER(SEARCH("toll",$B731))+ISNUMBER(SEARCH("parking",$B731))+ISNUMBER(SEARCH("repair",$B731))+ISNUMBER(SEARCH("maintenance",$B731))+ISNUMBER(SEARCH("tire",$B731))+ISNUMBER(SEARCH("tyre",$B731))+ISNUMBER(SEARCH("battery",$B731))+ISNUMBER(SEARCH("oil",$B731))+ISNUMBER(SEARCH("filter",$B731))+ISNUMBER(SEARCH("spare",$B731))+ISNUMBER(SEARCH("insurance",$B731))+ISNUMBER(SEARCH("lto",$B731))+ISNUMBER(SEARCH("registration",$B731))+ISNUMBER(SEARCH("emission",$B731))+ISNUMBER(SEARCH("wash",$B731))+ISNUMBER(SEARCH("weigh",$B731))+ISNUMBER(SEARCH("tarp",$B731))&gt;0,"Vehicle",IF(ISNUMBER(SEARCH("rent",$B731))+ISNUMBER(SEARCH("upa",$B731))+ISNUMBER(SEARCH("salary",$B731))+ISNUMBER(SEARCH("sweldo",$B731))+ISNUMBER(SEARCH("wage",$B731))+ISNUMBER(SEARCH("electric",$B731))+ISNUMBER(SEARCH("kuryente",$B731))+ISNUMBER(SEARCH("water",$B731))+ISNUMBER(SEARCH("tubig",$B731))+ISNUMBER(SEARCH("internet",$B731))+ISNUMBER(SEARCH("pldt",$B731))+ISNUMBER(SEARCH("meralco",$B731))+ISNUMBER(SEARCH("supplies",$B731))+ISNUMBER(SEARCH("office",$B731))+ISNUMBER(SEARCH("professional",$B731))+ISNUMBER(SEARCH("accountant",$B731))+ISNUMBER(SEARCH("lawyer",$B731))+ISNUMBER(SEARCH("broker",$B731))+ISNUMBER(SEARCH("bank",$B731))+ISNUMBER(SEARCH("charge",$B731))+ISNUMBER(SEARCH("permit",$B731))+ISNUMBER(SEARCH("bir",$B731))+ISNUMBER(SEARCH("ltfrb",$B731))+ISNUMBER(SEARCH("misc",$B731))+ISNUMBER(SEARCH("fee",$B731))&gt;0,"Overhead","Overhead")))))))</f>
        <v/>
      </c>
      <c r="J731">
        <f>IF($A731="","",DATE(YEAR($A731),MONTH($A731),1))</f>
        <v/>
      </c>
      <c r="K731">
        <f>IF($B731="","",IF(COUNTIF(Setup!$A$99:$A$128,$B731)&gt;0,0,1))</f>
        <v/>
      </c>
      <c r="L731">
        <f>IF($B731="","",IF(ISNUMBER(SEARCH("advance",$B731)),"ADV",IF(OR(ISNUMBER(SEARCH("payout",$B731)),ISNUMBER(SEARCH("pay out",$B731)),ISNUMBER(SEARCH("release",$B731))),"PAY","")))</f>
        <v/>
      </c>
      <c r="M731">
        <f>IF($B731="","",IF(ISNUMBER(SEARCH("bulk",$B731)),0,IF(ISNUMBER(SEARCH("fuel",$B731))+ISNUMBER(SEARCH("diesel",$B731))+ISNUMBER(SEARCH("krudo",$B731))+ISNUMBER(SEARCH("gasolina",$B731))&gt;0,1,0)))</f>
        <v/>
      </c>
      <c r="N731">
        <f>IF($B731="","",IF(ISNUMBER(SEARCH("fuel",$B731))+ISNUMBER(SEARCH("diesel",$B731))+ISNUMBER(SEARCH("krudo",$B731))+ISNUMBER(SEARCH("gasolina",$B731))&gt;0,1,0))</f>
        <v/>
      </c>
    </row>
    <row r="732">
      <c r="A732" s="94" t="n"/>
      <c r="B732" s="96" t="n"/>
      <c r="C732" s="96" t="n"/>
      <c r="D732" s="95" t="n"/>
      <c r="E732" s="96" t="n"/>
      <c r="F732" s="99" t="n"/>
      <c r="G732" s="95" t="n"/>
      <c r="H732" s="95" t="n"/>
      <c r="I732" s="101">
        <f>IF($B732="","",IF(COUNTIF(Setup!$A$99:$A$128,$B732)&gt;0,IF(INDEX(Setup!$B$99:$B$128,MATCH($B732,Setup!$A$99:$A$128,0))="","Overhead",INDEX(Setup!$B$99:$B$128,MATCH($B732,Setup!$A$99:$A$128,0))),IF(ISNUMBER(SEARCH("advance",$B732))+ISNUMBER(SEARCH("payout",$B732))+ISNUMBER(SEARCH("pay out",$B732))+ISNUMBER(SEARCH("reimburs",$B732))&gt;0,"Transfer",IF(ISNUMBER(SEARCH("loan",$B732))+ISNUMBER(SEARCH("amort",$B732))+ISNUMBER(SEARCH("installment",$B732))+ISNUMBER(SEARCH("instalment",$B732))&gt;0,"Financing",IF(ISNUMBER(SEARCH("draw",$B732))+ISNUMBER(SEARCH("owner",$B732))+ISNUMBER(SEARCH("asset",$B732))+ISNUMBER(SEARCH("capital",$B732))&gt;0,"Other",IF(ISNUMBER(SEARCH("fuel",$B732))+ISNUMBER(SEARCH("diesel",$B732))+ISNUMBER(SEARCH("krudo",$B732))+ISNUMBER(SEARCH("gasolina",$B732))+ISNUMBER(SEARCH("toll",$B732))+ISNUMBER(SEARCH("parking",$B732))+ISNUMBER(SEARCH("repair",$B732))+ISNUMBER(SEARCH("maintenance",$B732))+ISNUMBER(SEARCH("tire",$B732))+ISNUMBER(SEARCH("tyre",$B732))+ISNUMBER(SEARCH("battery",$B732))+ISNUMBER(SEARCH("oil",$B732))+ISNUMBER(SEARCH("filter",$B732))+ISNUMBER(SEARCH("spare",$B732))+ISNUMBER(SEARCH("insurance",$B732))+ISNUMBER(SEARCH("lto",$B732))+ISNUMBER(SEARCH("registration",$B732))+ISNUMBER(SEARCH("emission",$B732))+ISNUMBER(SEARCH("wash",$B732))+ISNUMBER(SEARCH("weigh",$B732))+ISNUMBER(SEARCH("tarp",$B732))&gt;0,"Vehicle",IF(ISNUMBER(SEARCH("rent",$B732))+ISNUMBER(SEARCH("upa",$B732))+ISNUMBER(SEARCH("salary",$B732))+ISNUMBER(SEARCH("sweldo",$B732))+ISNUMBER(SEARCH("wage",$B732))+ISNUMBER(SEARCH("electric",$B732))+ISNUMBER(SEARCH("kuryente",$B732))+ISNUMBER(SEARCH("water",$B732))+ISNUMBER(SEARCH("tubig",$B732))+ISNUMBER(SEARCH("internet",$B732))+ISNUMBER(SEARCH("pldt",$B732))+ISNUMBER(SEARCH("meralco",$B732))+ISNUMBER(SEARCH("supplies",$B732))+ISNUMBER(SEARCH("office",$B732))+ISNUMBER(SEARCH("professional",$B732))+ISNUMBER(SEARCH("accountant",$B732))+ISNUMBER(SEARCH("lawyer",$B732))+ISNUMBER(SEARCH("broker",$B732))+ISNUMBER(SEARCH("bank",$B732))+ISNUMBER(SEARCH("charge",$B732))+ISNUMBER(SEARCH("permit",$B732))+ISNUMBER(SEARCH("bir",$B732))+ISNUMBER(SEARCH("ltfrb",$B732))+ISNUMBER(SEARCH("misc",$B732))+ISNUMBER(SEARCH("fee",$B732))&gt;0,"Overhead","Overhead")))))))</f>
        <v/>
      </c>
      <c r="J732">
        <f>IF($A732="","",DATE(YEAR($A732),MONTH($A732),1))</f>
        <v/>
      </c>
      <c r="K732">
        <f>IF($B732="","",IF(COUNTIF(Setup!$A$99:$A$128,$B732)&gt;0,0,1))</f>
        <v/>
      </c>
      <c r="L732">
        <f>IF($B732="","",IF(ISNUMBER(SEARCH("advance",$B732)),"ADV",IF(OR(ISNUMBER(SEARCH("payout",$B732)),ISNUMBER(SEARCH("pay out",$B732)),ISNUMBER(SEARCH("release",$B732))),"PAY","")))</f>
        <v/>
      </c>
      <c r="M732">
        <f>IF($B732="","",IF(ISNUMBER(SEARCH("bulk",$B732)),0,IF(ISNUMBER(SEARCH("fuel",$B732))+ISNUMBER(SEARCH("diesel",$B732))+ISNUMBER(SEARCH("krudo",$B732))+ISNUMBER(SEARCH("gasolina",$B732))&gt;0,1,0)))</f>
        <v/>
      </c>
      <c r="N732">
        <f>IF($B732="","",IF(ISNUMBER(SEARCH("fuel",$B732))+ISNUMBER(SEARCH("diesel",$B732))+ISNUMBER(SEARCH("krudo",$B732))+ISNUMBER(SEARCH("gasolina",$B732))&gt;0,1,0))</f>
        <v/>
      </c>
    </row>
    <row r="733">
      <c r="A733" s="86" t="n"/>
      <c r="B733" s="88" t="n"/>
      <c r="C733" s="88" t="n"/>
      <c r="D733" s="87" t="n"/>
      <c r="E733" s="88" t="n"/>
      <c r="F733" s="92" t="n"/>
      <c r="G733" s="87" t="n"/>
      <c r="H733" s="87" t="n"/>
      <c r="I733" s="101">
        <f>IF($B733="","",IF(COUNTIF(Setup!$A$99:$A$128,$B733)&gt;0,IF(INDEX(Setup!$B$99:$B$128,MATCH($B733,Setup!$A$99:$A$128,0))="","Overhead",INDEX(Setup!$B$99:$B$128,MATCH($B733,Setup!$A$99:$A$128,0))),IF(ISNUMBER(SEARCH("advance",$B733))+ISNUMBER(SEARCH("payout",$B733))+ISNUMBER(SEARCH("pay out",$B733))+ISNUMBER(SEARCH("reimburs",$B733))&gt;0,"Transfer",IF(ISNUMBER(SEARCH("loan",$B733))+ISNUMBER(SEARCH("amort",$B733))+ISNUMBER(SEARCH("installment",$B733))+ISNUMBER(SEARCH("instalment",$B733))&gt;0,"Financing",IF(ISNUMBER(SEARCH("draw",$B733))+ISNUMBER(SEARCH("owner",$B733))+ISNUMBER(SEARCH("asset",$B733))+ISNUMBER(SEARCH("capital",$B733))&gt;0,"Other",IF(ISNUMBER(SEARCH("fuel",$B733))+ISNUMBER(SEARCH("diesel",$B733))+ISNUMBER(SEARCH("krudo",$B733))+ISNUMBER(SEARCH("gasolina",$B733))+ISNUMBER(SEARCH("toll",$B733))+ISNUMBER(SEARCH("parking",$B733))+ISNUMBER(SEARCH("repair",$B733))+ISNUMBER(SEARCH("maintenance",$B733))+ISNUMBER(SEARCH("tire",$B733))+ISNUMBER(SEARCH("tyre",$B733))+ISNUMBER(SEARCH("battery",$B733))+ISNUMBER(SEARCH("oil",$B733))+ISNUMBER(SEARCH("filter",$B733))+ISNUMBER(SEARCH("spare",$B733))+ISNUMBER(SEARCH("insurance",$B733))+ISNUMBER(SEARCH("lto",$B733))+ISNUMBER(SEARCH("registration",$B733))+ISNUMBER(SEARCH("emission",$B733))+ISNUMBER(SEARCH("wash",$B733))+ISNUMBER(SEARCH("weigh",$B733))+ISNUMBER(SEARCH("tarp",$B733))&gt;0,"Vehicle",IF(ISNUMBER(SEARCH("rent",$B733))+ISNUMBER(SEARCH("upa",$B733))+ISNUMBER(SEARCH("salary",$B733))+ISNUMBER(SEARCH("sweldo",$B733))+ISNUMBER(SEARCH("wage",$B733))+ISNUMBER(SEARCH("electric",$B733))+ISNUMBER(SEARCH("kuryente",$B733))+ISNUMBER(SEARCH("water",$B733))+ISNUMBER(SEARCH("tubig",$B733))+ISNUMBER(SEARCH("internet",$B733))+ISNUMBER(SEARCH("pldt",$B733))+ISNUMBER(SEARCH("meralco",$B733))+ISNUMBER(SEARCH("supplies",$B733))+ISNUMBER(SEARCH("office",$B733))+ISNUMBER(SEARCH("professional",$B733))+ISNUMBER(SEARCH("accountant",$B733))+ISNUMBER(SEARCH("lawyer",$B733))+ISNUMBER(SEARCH("broker",$B733))+ISNUMBER(SEARCH("bank",$B733))+ISNUMBER(SEARCH("charge",$B733))+ISNUMBER(SEARCH("permit",$B733))+ISNUMBER(SEARCH("bir",$B733))+ISNUMBER(SEARCH("ltfrb",$B733))+ISNUMBER(SEARCH("misc",$B733))+ISNUMBER(SEARCH("fee",$B733))&gt;0,"Overhead","Overhead")))))))</f>
        <v/>
      </c>
      <c r="J733">
        <f>IF($A733="","",DATE(YEAR($A733),MONTH($A733),1))</f>
        <v/>
      </c>
      <c r="K733">
        <f>IF($B733="","",IF(COUNTIF(Setup!$A$99:$A$128,$B733)&gt;0,0,1))</f>
        <v/>
      </c>
      <c r="L733">
        <f>IF($B733="","",IF(ISNUMBER(SEARCH("advance",$B733)),"ADV",IF(OR(ISNUMBER(SEARCH("payout",$B733)),ISNUMBER(SEARCH("pay out",$B733)),ISNUMBER(SEARCH("release",$B733))),"PAY","")))</f>
        <v/>
      </c>
      <c r="M733">
        <f>IF($B733="","",IF(ISNUMBER(SEARCH("bulk",$B733)),0,IF(ISNUMBER(SEARCH("fuel",$B733))+ISNUMBER(SEARCH("diesel",$B733))+ISNUMBER(SEARCH("krudo",$B733))+ISNUMBER(SEARCH("gasolina",$B733))&gt;0,1,0)))</f>
        <v/>
      </c>
      <c r="N733">
        <f>IF($B733="","",IF(ISNUMBER(SEARCH("fuel",$B733))+ISNUMBER(SEARCH("diesel",$B733))+ISNUMBER(SEARCH("krudo",$B733))+ISNUMBER(SEARCH("gasolina",$B733))&gt;0,1,0))</f>
        <v/>
      </c>
    </row>
    <row r="734">
      <c r="A734" s="94" t="n"/>
      <c r="B734" s="96" t="n"/>
      <c r="C734" s="96" t="n"/>
      <c r="D734" s="95" t="n"/>
      <c r="E734" s="96" t="n"/>
      <c r="F734" s="99" t="n"/>
      <c r="G734" s="95" t="n"/>
      <c r="H734" s="95" t="n"/>
      <c r="I734" s="101">
        <f>IF($B734="","",IF(COUNTIF(Setup!$A$99:$A$128,$B734)&gt;0,IF(INDEX(Setup!$B$99:$B$128,MATCH($B734,Setup!$A$99:$A$128,0))="","Overhead",INDEX(Setup!$B$99:$B$128,MATCH($B734,Setup!$A$99:$A$128,0))),IF(ISNUMBER(SEARCH("advance",$B734))+ISNUMBER(SEARCH("payout",$B734))+ISNUMBER(SEARCH("pay out",$B734))+ISNUMBER(SEARCH("reimburs",$B734))&gt;0,"Transfer",IF(ISNUMBER(SEARCH("loan",$B734))+ISNUMBER(SEARCH("amort",$B734))+ISNUMBER(SEARCH("installment",$B734))+ISNUMBER(SEARCH("instalment",$B734))&gt;0,"Financing",IF(ISNUMBER(SEARCH("draw",$B734))+ISNUMBER(SEARCH("owner",$B734))+ISNUMBER(SEARCH("asset",$B734))+ISNUMBER(SEARCH("capital",$B734))&gt;0,"Other",IF(ISNUMBER(SEARCH("fuel",$B734))+ISNUMBER(SEARCH("diesel",$B734))+ISNUMBER(SEARCH("krudo",$B734))+ISNUMBER(SEARCH("gasolina",$B734))+ISNUMBER(SEARCH("toll",$B734))+ISNUMBER(SEARCH("parking",$B734))+ISNUMBER(SEARCH("repair",$B734))+ISNUMBER(SEARCH("maintenance",$B734))+ISNUMBER(SEARCH("tire",$B734))+ISNUMBER(SEARCH("tyre",$B734))+ISNUMBER(SEARCH("battery",$B734))+ISNUMBER(SEARCH("oil",$B734))+ISNUMBER(SEARCH("filter",$B734))+ISNUMBER(SEARCH("spare",$B734))+ISNUMBER(SEARCH("insurance",$B734))+ISNUMBER(SEARCH("lto",$B734))+ISNUMBER(SEARCH("registration",$B734))+ISNUMBER(SEARCH("emission",$B734))+ISNUMBER(SEARCH("wash",$B734))+ISNUMBER(SEARCH("weigh",$B734))+ISNUMBER(SEARCH("tarp",$B734))&gt;0,"Vehicle",IF(ISNUMBER(SEARCH("rent",$B734))+ISNUMBER(SEARCH("upa",$B734))+ISNUMBER(SEARCH("salary",$B734))+ISNUMBER(SEARCH("sweldo",$B734))+ISNUMBER(SEARCH("wage",$B734))+ISNUMBER(SEARCH("electric",$B734))+ISNUMBER(SEARCH("kuryente",$B734))+ISNUMBER(SEARCH("water",$B734))+ISNUMBER(SEARCH("tubig",$B734))+ISNUMBER(SEARCH("internet",$B734))+ISNUMBER(SEARCH("pldt",$B734))+ISNUMBER(SEARCH("meralco",$B734))+ISNUMBER(SEARCH("supplies",$B734))+ISNUMBER(SEARCH("office",$B734))+ISNUMBER(SEARCH("professional",$B734))+ISNUMBER(SEARCH("accountant",$B734))+ISNUMBER(SEARCH("lawyer",$B734))+ISNUMBER(SEARCH("broker",$B734))+ISNUMBER(SEARCH("bank",$B734))+ISNUMBER(SEARCH("charge",$B734))+ISNUMBER(SEARCH("permit",$B734))+ISNUMBER(SEARCH("bir",$B734))+ISNUMBER(SEARCH("ltfrb",$B734))+ISNUMBER(SEARCH("misc",$B734))+ISNUMBER(SEARCH("fee",$B734))&gt;0,"Overhead","Overhead")))))))</f>
        <v/>
      </c>
      <c r="J734">
        <f>IF($A734="","",DATE(YEAR($A734),MONTH($A734),1))</f>
        <v/>
      </c>
      <c r="K734">
        <f>IF($B734="","",IF(COUNTIF(Setup!$A$99:$A$128,$B734)&gt;0,0,1))</f>
        <v/>
      </c>
      <c r="L734">
        <f>IF($B734="","",IF(ISNUMBER(SEARCH("advance",$B734)),"ADV",IF(OR(ISNUMBER(SEARCH("payout",$B734)),ISNUMBER(SEARCH("pay out",$B734)),ISNUMBER(SEARCH("release",$B734))),"PAY","")))</f>
        <v/>
      </c>
      <c r="M734">
        <f>IF($B734="","",IF(ISNUMBER(SEARCH("bulk",$B734)),0,IF(ISNUMBER(SEARCH("fuel",$B734))+ISNUMBER(SEARCH("diesel",$B734))+ISNUMBER(SEARCH("krudo",$B734))+ISNUMBER(SEARCH("gasolina",$B734))&gt;0,1,0)))</f>
        <v/>
      </c>
      <c r="N734">
        <f>IF($B734="","",IF(ISNUMBER(SEARCH("fuel",$B734))+ISNUMBER(SEARCH("diesel",$B734))+ISNUMBER(SEARCH("krudo",$B734))+ISNUMBER(SEARCH("gasolina",$B734))&gt;0,1,0))</f>
        <v/>
      </c>
    </row>
    <row r="735">
      <c r="A735" s="86" t="n"/>
      <c r="B735" s="88" t="n"/>
      <c r="C735" s="88" t="n"/>
      <c r="D735" s="87" t="n"/>
      <c r="E735" s="88" t="n"/>
      <c r="F735" s="92" t="n"/>
      <c r="G735" s="87" t="n"/>
      <c r="H735" s="87" t="n"/>
      <c r="I735" s="101">
        <f>IF($B735="","",IF(COUNTIF(Setup!$A$99:$A$128,$B735)&gt;0,IF(INDEX(Setup!$B$99:$B$128,MATCH($B735,Setup!$A$99:$A$128,0))="","Overhead",INDEX(Setup!$B$99:$B$128,MATCH($B735,Setup!$A$99:$A$128,0))),IF(ISNUMBER(SEARCH("advance",$B735))+ISNUMBER(SEARCH("payout",$B735))+ISNUMBER(SEARCH("pay out",$B735))+ISNUMBER(SEARCH("reimburs",$B735))&gt;0,"Transfer",IF(ISNUMBER(SEARCH("loan",$B735))+ISNUMBER(SEARCH("amort",$B735))+ISNUMBER(SEARCH("installment",$B735))+ISNUMBER(SEARCH("instalment",$B735))&gt;0,"Financing",IF(ISNUMBER(SEARCH("draw",$B735))+ISNUMBER(SEARCH("owner",$B735))+ISNUMBER(SEARCH("asset",$B735))+ISNUMBER(SEARCH("capital",$B735))&gt;0,"Other",IF(ISNUMBER(SEARCH("fuel",$B735))+ISNUMBER(SEARCH("diesel",$B735))+ISNUMBER(SEARCH("krudo",$B735))+ISNUMBER(SEARCH("gasolina",$B735))+ISNUMBER(SEARCH("toll",$B735))+ISNUMBER(SEARCH("parking",$B735))+ISNUMBER(SEARCH("repair",$B735))+ISNUMBER(SEARCH("maintenance",$B735))+ISNUMBER(SEARCH("tire",$B735))+ISNUMBER(SEARCH("tyre",$B735))+ISNUMBER(SEARCH("battery",$B735))+ISNUMBER(SEARCH("oil",$B735))+ISNUMBER(SEARCH("filter",$B735))+ISNUMBER(SEARCH("spare",$B735))+ISNUMBER(SEARCH("insurance",$B735))+ISNUMBER(SEARCH("lto",$B735))+ISNUMBER(SEARCH("registration",$B735))+ISNUMBER(SEARCH("emission",$B735))+ISNUMBER(SEARCH("wash",$B735))+ISNUMBER(SEARCH("weigh",$B735))+ISNUMBER(SEARCH("tarp",$B735))&gt;0,"Vehicle",IF(ISNUMBER(SEARCH("rent",$B735))+ISNUMBER(SEARCH("upa",$B735))+ISNUMBER(SEARCH("salary",$B735))+ISNUMBER(SEARCH("sweldo",$B735))+ISNUMBER(SEARCH("wage",$B735))+ISNUMBER(SEARCH("electric",$B735))+ISNUMBER(SEARCH("kuryente",$B735))+ISNUMBER(SEARCH("water",$B735))+ISNUMBER(SEARCH("tubig",$B735))+ISNUMBER(SEARCH("internet",$B735))+ISNUMBER(SEARCH("pldt",$B735))+ISNUMBER(SEARCH("meralco",$B735))+ISNUMBER(SEARCH("supplies",$B735))+ISNUMBER(SEARCH("office",$B735))+ISNUMBER(SEARCH("professional",$B735))+ISNUMBER(SEARCH("accountant",$B735))+ISNUMBER(SEARCH("lawyer",$B735))+ISNUMBER(SEARCH("broker",$B735))+ISNUMBER(SEARCH("bank",$B735))+ISNUMBER(SEARCH("charge",$B735))+ISNUMBER(SEARCH("permit",$B735))+ISNUMBER(SEARCH("bir",$B735))+ISNUMBER(SEARCH("ltfrb",$B735))+ISNUMBER(SEARCH("misc",$B735))+ISNUMBER(SEARCH("fee",$B735))&gt;0,"Overhead","Overhead")))))))</f>
        <v/>
      </c>
      <c r="J735">
        <f>IF($A735="","",DATE(YEAR($A735),MONTH($A735),1))</f>
        <v/>
      </c>
      <c r="K735">
        <f>IF($B735="","",IF(COUNTIF(Setup!$A$99:$A$128,$B735)&gt;0,0,1))</f>
        <v/>
      </c>
      <c r="L735">
        <f>IF($B735="","",IF(ISNUMBER(SEARCH("advance",$B735)),"ADV",IF(OR(ISNUMBER(SEARCH("payout",$B735)),ISNUMBER(SEARCH("pay out",$B735)),ISNUMBER(SEARCH("release",$B735))),"PAY","")))</f>
        <v/>
      </c>
      <c r="M735">
        <f>IF($B735="","",IF(ISNUMBER(SEARCH("bulk",$B735)),0,IF(ISNUMBER(SEARCH("fuel",$B735))+ISNUMBER(SEARCH("diesel",$B735))+ISNUMBER(SEARCH("krudo",$B735))+ISNUMBER(SEARCH("gasolina",$B735))&gt;0,1,0)))</f>
        <v/>
      </c>
      <c r="N735">
        <f>IF($B735="","",IF(ISNUMBER(SEARCH("fuel",$B735))+ISNUMBER(SEARCH("diesel",$B735))+ISNUMBER(SEARCH("krudo",$B735))+ISNUMBER(SEARCH("gasolina",$B735))&gt;0,1,0))</f>
        <v/>
      </c>
    </row>
    <row r="736">
      <c r="A736" s="94" t="n"/>
      <c r="B736" s="96" t="n"/>
      <c r="C736" s="96" t="n"/>
      <c r="D736" s="95" t="n"/>
      <c r="E736" s="96" t="n"/>
      <c r="F736" s="99" t="n"/>
      <c r="G736" s="95" t="n"/>
      <c r="H736" s="95" t="n"/>
      <c r="I736" s="101">
        <f>IF($B736="","",IF(COUNTIF(Setup!$A$99:$A$128,$B736)&gt;0,IF(INDEX(Setup!$B$99:$B$128,MATCH($B736,Setup!$A$99:$A$128,0))="","Overhead",INDEX(Setup!$B$99:$B$128,MATCH($B736,Setup!$A$99:$A$128,0))),IF(ISNUMBER(SEARCH("advance",$B736))+ISNUMBER(SEARCH("payout",$B736))+ISNUMBER(SEARCH("pay out",$B736))+ISNUMBER(SEARCH("reimburs",$B736))&gt;0,"Transfer",IF(ISNUMBER(SEARCH("loan",$B736))+ISNUMBER(SEARCH("amort",$B736))+ISNUMBER(SEARCH("installment",$B736))+ISNUMBER(SEARCH("instalment",$B736))&gt;0,"Financing",IF(ISNUMBER(SEARCH("draw",$B736))+ISNUMBER(SEARCH("owner",$B736))+ISNUMBER(SEARCH("asset",$B736))+ISNUMBER(SEARCH("capital",$B736))&gt;0,"Other",IF(ISNUMBER(SEARCH("fuel",$B736))+ISNUMBER(SEARCH("diesel",$B736))+ISNUMBER(SEARCH("krudo",$B736))+ISNUMBER(SEARCH("gasolina",$B736))+ISNUMBER(SEARCH("toll",$B736))+ISNUMBER(SEARCH("parking",$B736))+ISNUMBER(SEARCH("repair",$B736))+ISNUMBER(SEARCH("maintenance",$B736))+ISNUMBER(SEARCH("tire",$B736))+ISNUMBER(SEARCH("tyre",$B736))+ISNUMBER(SEARCH("battery",$B736))+ISNUMBER(SEARCH("oil",$B736))+ISNUMBER(SEARCH("filter",$B736))+ISNUMBER(SEARCH("spare",$B736))+ISNUMBER(SEARCH("insurance",$B736))+ISNUMBER(SEARCH("lto",$B736))+ISNUMBER(SEARCH("registration",$B736))+ISNUMBER(SEARCH("emission",$B736))+ISNUMBER(SEARCH("wash",$B736))+ISNUMBER(SEARCH("weigh",$B736))+ISNUMBER(SEARCH("tarp",$B736))&gt;0,"Vehicle",IF(ISNUMBER(SEARCH("rent",$B736))+ISNUMBER(SEARCH("upa",$B736))+ISNUMBER(SEARCH("salary",$B736))+ISNUMBER(SEARCH("sweldo",$B736))+ISNUMBER(SEARCH("wage",$B736))+ISNUMBER(SEARCH("electric",$B736))+ISNUMBER(SEARCH("kuryente",$B736))+ISNUMBER(SEARCH("water",$B736))+ISNUMBER(SEARCH("tubig",$B736))+ISNUMBER(SEARCH("internet",$B736))+ISNUMBER(SEARCH("pldt",$B736))+ISNUMBER(SEARCH("meralco",$B736))+ISNUMBER(SEARCH("supplies",$B736))+ISNUMBER(SEARCH("office",$B736))+ISNUMBER(SEARCH("professional",$B736))+ISNUMBER(SEARCH("accountant",$B736))+ISNUMBER(SEARCH("lawyer",$B736))+ISNUMBER(SEARCH("broker",$B736))+ISNUMBER(SEARCH("bank",$B736))+ISNUMBER(SEARCH("charge",$B736))+ISNUMBER(SEARCH("permit",$B736))+ISNUMBER(SEARCH("bir",$B736))+ISNUMBER(SEARCH("ltfrb",$B736))+ISNUMBER(SEARCH("misc",$B736))+ISNUMBER(SEARCH("fee",$B736))&gt;0,"Overhead","Overhead")))))))</f>
        <v/>
      </c>
      <c r="J736">
        <f>IF($A736="","",DATE(YEAR($A736),MONTH($A736),1))</f>
        <v/>
      </c>
      <c r="K736">
        <f>IF($B736="","",IF(COUNTIF(Setup!$A$99:$A$128,$B736)&gt;0,0,1))</f>
        <v/>
      </c>
      <c r="L736">
        <f>IF($B736="","",IF(ISNUMBER(SEARCH("advance",$B736)),"ADV",IF(OR(ISNUMBER(SEARCH("payout",$B736)),ISNUMBER(SEARCH("pay out",$B736)),ISNUMBER(SEARCH("release",$B736))),"PAY","")))</f>
        <v/>
      </c>
      <c r="M736">
        <f>IF($B736="","",IF(ISNUMBER(SEARCH("bulk",$B736)),0,IF(ISNUMBER(SEARCH("fuel",$B736))+ISNUMBER(SEARCH("diesel",$B736))+ISNUMBER(SEARCH("krudo",$B736))+ISNUMBER(SEARCH("gasolina",$B736))&gt;0,1,0)))</f>
        <v/>
      </c>
      <c r="N736">
        <f>IF($B736="","",IF(ISNUMBER(SEARCH("fuel",$B736))+ISNUMBER(SEARCH("diesel",$B736))+ISNUMBER(SEARCH("krudo",$B736))+ISNUMBER(SEARCH("gasolina",$B736))&gt;0,1,0))</f>
        <v/>
      </c>
    </row>
    <row r="737">
      <c r="A737" s="86" t="n"/>
      <c r="B737" s="88" t="n"/>
      <c r="C737" s="88" t="n"/>
      <c r="D737" s="87" t="n"/>
      <c r="E737" s="88" t="n"/>
      <c r="F737" s="92" t="n"/>
      <c r="G737" s="87" t="n"/>
      <c r="H737" s="87" t="n"/>
      <c r="I737" s="101">
        <f>IF($B737="","",IF(COUNTIF(Setup!$A$99:$A$128,$B737)&gt;0,IF(INDEX(Setup!$B$99:$B$128,MATCH($B737,Setup!$A$99:$A$128,0))="","Overhead",INDEX(Setup!$B$99:$B$128,MATCH($B737,Setup!$A$99:$A$128,0))),IF(ISNUMBER(SEARCH("advance",$B737))+ISNUMBER(SEARCH("payout",$B737))+ISNUMBER(SEARCH("pay out",$B737))+ISNUMBER(SEARCH("reimburs",$B737))&gt;0,"Transfer",IF(ISNUMBER(SEARCH("loan",$B737))+ISNUMBER(SEARCH("amort",$B737))+ISNUMBER(SEARCH("installment",$B737))+ISNUMBER(SEARCH("instalment",$B737))&gt;0,"Financing",IF(ISNUMBER(SEARCH("draw",$B737))+ISNUMBER(SEARCH("owner",$B737))+ISNUMBER(SEARCH("asset",$B737))+ISNUMBER(SEARCH("capital",$B737))&gt;0,"Other",IF(ISNUMBER(SEARCH("fuel",$B737))+ISNUMBER(SEARCH("diesel",$B737))+ISNUMBER(SEARCH("krudo",$B737))+ISNUMBER(SEARCH("gasolina",$B737))+ISNUMBER(SEARCH("toll",$B737))+ISNUMBER(SEARCH("parking",$B737))+ISNUMBER(SEARCH("repair",$B737))+ISNUMBER(SEARCH("maintenance",$B737))+ISNUMBER(SEARCH("tire",$B737))+ISNUMBER(SEARCH("tyre",$B737))+ISNUMBER(SEARCH("battery",$B737))+ISNUMBER(SEARCH("oil",$B737))+ISNUMBER(SEARCH("filter",$B737))+ISNUMBER(SEARCH("spare",$B737))+ISNUMBER(SEARCH("insurance",$B737))+ISNUMBER(SEARCH("lto",$B737))+ISNUMBER(SEARCH("registration",$B737))+ISNUMBER(SEARCH("emission",$B737))+ISNUMBER(SEARCH("wash",$B737))+ISNUMBER(SEARCH("weigh",$B737))+ISNUMBER(SEARCH("tarp",$B737))&gt;0,"Vehicle",IF(ISNUMBER(SEARCH("rent",$B737))+ISNUMBER(SEARCH("upa",$B737))+ISNUMBER(SEARCH("salary",$B737))+ISNUMBER(SEARCH("sweldo",$B737))+ISNUMBER(SEARCH("wage",$B737))+ISNUMBER(SEARCH("electric",$B737))+ISNUMBER(SEARCH("kuryente",$B737))+ISNUMBER(SEARCH("water",$B737))+ISNUMBER(SEARCH("tubig",$B737))+ISNUMBER(SEARCH("internet",$B737))+ISNUMBER(SEARCH("pldt",$B737))+ISNUMBER(SEARCH("meralco",$B737))+ISNUMBER(SEARCH("supplies",$B737))+ISNUMBER(SEARCH("office",$B737))+ISNUMBER(SEARCH("professional",$B737))+ISNUMBER(SEARCH("accountant",$B737))+ISNUMBER(SEARCH("lawyer",$B737))+ISNUMBER(SEARCH("broker",$B737))+ISNUMBER(SEARCH("bank",$B737))+ISNUMBER(SEARCH("charge",$B737))+ISNUMBER(SEARCH("permit",$B737))+ISNUMBER(SEARCH("bir",$B737))+ISNUMBER(SEARCH("ltfrb",$B737))+ISNUMBER(SEARCH("misc",$B737))+ISNUMBER(SEARCH("fee",$B737))&gt;0,"Overhead","Overhead")))))))</f>
        <v/>
      </c>
      <c r="J737">
        <f>IF($A737="","",DATE(YEAR($A737),MONTH($A737),1))</f>
        <v/>
      </c>
      <c r="K737">
        <f>IF($B737="","",IF(COUNTIF(Setup!$A$99:$A$128,$B737)&gt;0,0,1))</f>
        <v/>
      </c>
      <c r="L737">
        <f>IF($B737="","",IF(ISNUMBER(SEARCH("advance",$B737)),"ADV",IF(OR(ISNUMBER(SEARCH("payout",$B737)),ISNUMBER(SEARCH("pay out",$B737)),ISNUMBER(SEARCH("release",$B737))),"PAY","")))</f>
        <v/>
      </c>
      <c r="M737">
        <f>IF($B737="","",IF(ISNUMBER(SEARCH("bulk",$B737)),0,IF(ISNUMBER(SEARCH("fuel",$B737))+ISNUMBER(SEARCH("diesel",$B737))+ISNUMBER(SEARCH("krudo",$B737))+ISNUMBER(SEARCH("gasolina",$B737))&gt;0,1,0)))</f>
        <v/>
      </c>
      <c r="N737">
        <f>IF($B737="","",IF(ISNUMBER(SEARCH("fuel",$B737))+ISNUMBER(SEARCH("diesel",$B737))+ISNUMBER(SEARCH("krudo",$B737))+ISNUMBER(SEARCH("gasolina",$B737))&gt;0,1,0))</f>
        <v/>
      </c>
    </row>
    <row r="738">
      <c r="A738" s="94" t="n"/>
      <c r="B738" s="96" t="n"/>
      <c r="C738" s="96" t="n"/>
      <c r="D738" s="95" t="n"/>
      <c r="E738" s="96" t="n"/>
      <c r="F738" s="99" t="n"/>
      <c r="G738" s="95" t="n"/>
      <c r="H738" s="95" t="n"/>
      <c r="I738" s="101">
        <f>IF($B738="","",IF(COUNTIF(Setup!$A$99:$A$128,$B738)&gt;0,IF(INDEX(Setup!$B$99:$B$128,MATCH($B738,Setup!$A$99:$A$128,0))="","Overhead",INDEX(Setup!$B$99:$B$128,MATCH($B738,Setup!$A$99:$A$128,0))),IF(ISNUMBER(SEARCH("advance",$B738))+ISNUMBER(SEARCH("payout",$B738))+ISNUMBER(SEARCH("pay out",$B738))+ISNUMBER(SEARCH("reimburs",$B738))&gt;0,"Transfer",IF(ISNUMBER(SEARCH("loan",$B738))+ISNUMBER(SEARCH("amort",$B738))+ISNUMBER(SEARCH("installment",$B738))+ISNUMBER(SEARCH("instalment",$B738))&gt;0,"Financing",IF(ISNUMBER(SEARCH("draw",$B738))+ISNUMBER(SEARCH("owner",$B738))+ISNUMBER(SEARCH("asset",$B738))+ISNUMBER(SEARCH("capital",$B738))&gt;0,"Other",IF(ISNUMBER(SEARCH("fuel",$B738))+ISNUMBER(SEARCH("diesel",$B738))+ISNUMBER(SEARCH("krudo",$B738))+ISNUMBER(SEARCH("gasolina",$B738))+ISNUMBER(SEARCH("toll",$B738))+ISNUMBER(SEARCH("parking",$B738))+ISNUMBER(SEARCH("repair",$B738))+ISNUMBER(SEARCH("maintenance",$B738))+ISNUMBER(SEARCH("tire",$B738))+ISNUMBER(SEARCH("tyre",$B738))+ISNUMBER(SEARCH("battery",$B738))+ISNUMBER(SEARCH("oil",$B738))+ISNUMBER(SEARCH("filter",$B738))+ISNUMBER(SEARCH("spare",$B738))+ISNUMBER(SEARCH("insurance",$B738))+ISNUMBER(SEARCH("lto",$B738))+ISNUMBER(SEARCH("registration",$B738))+ISNUMBER(SEARCH("emission",$B738))+ISNUMBER(SEARCH("wash",$B738))+ISNUMBER(SEARCH("weigh",$B738))+ISNUMBER(SEARCH("tarp",$B738))&gt;0,"Vehicle",IF(ISNUMBER(SEARCH("rent",$B738))+ISNUMBER(SEARCH("upa",$B738))+ISNUMBER(SEARCH("salary",$B738))+ISNUMBER(SEARCH("sweldo",$B738))+ISNUMBER(SEARCH("wage",$B738))+ISNUMBER(SEARCH("electric",$B738))+ISNUMBER(SEARCH("kuryente",$B738))+ISNUMBER(SEARCH("water",$B738))+ISNUMBER(SEARCH("tubig",$B738))+ISNUMBER(SEARCH("internet",$B738))+ISNUMBER(SEARCH("pldt",$B738))+ISNUMBER(SEARCH("meralco",$B738))+ISNUMBER(SEARCH("supplies",$B738))+ISNUMBER(SEARCH("office",$B738))+ISNUMBER(SEARCH("professional",$B738))+ISNUMBER(SEARCH("accountant",$B738))+ISNUMBER(SEARCH("lawyer",$B738))+ISNUMBER(SEARCH("broker",$B738))+ISNUMBER(SEARCH("bank",$B738))+ISNUMBER(SEARCH("charge",$B738))+ISNUMBER(SEARCH("permit",$B738))+ISNUMBER(SEARCH("bir",$B738))+ISNUMBER(SEARCH("ltfrb",$B738))+ISNUMBER(SEARCH("misc",$B738))+ISNUMBER(SEARCH("fee",$B738))&gt;0,"Overhead","Overhead")))))))</f>
        <v/>
      </c>
      <c r="J738">
        <f>IF($A738="","",DATE(YEAR($A738),MONTH($A738),1))</f>
        <v/>
      </c>
      <c r="K738">
        <f>IF($B738="","",IF(COUNTIF(Setup!$A$99:$A$128,$B738)&gt;0,0,1))</f>
        <v/>
      </c>
      <c r="L738">
        <f>IF($B738="","",IF(ISNUMBER(SEARCH("advance",$B738)),"ADV",IF(OR(ISNUMBER(SEARCH("payout",$B738)),ISNUMBER(SEARCH("pay out",$B738)),ISNUMBER(SEARCH("release",$B738))),"PAY","")))</f>
        <v/>
      </c>
      <c r="M738">
        <f>IF($B738="","",IF(ISNUMBER(SEARCH("bulk",$B738)),0,IF(ISNUMBER(SEARCH("fuel",$B738))+ISNUMBER(SEARCH("diesel",$B738))+ISNUMBER(SEARCH("krudo",$B738))+ISNUMBER(SEARCH("gasolina",$B738))&gt;0,1,0)))</f>
        <v/>
      </c>
      <c r="N738">
        <f>IF($B738="","",IF(ISNUMBER(SEARCH("fuel",$B738))+ISNUMBER(SEARCH("diesel",$B738))+ISNUMBER(SEARCH("krudo",$B738))+ISNUMBER(SEARCH("gasolina",$B738))&gt;0,1,0))</f>
        <v/>
      </c>
    </row>
    <row r="739">
      <c r="A739" s="86" t="n"/>
      <c r="B739" s="88" t="n"/>
      <c r="C739" s="88" t="n"/>
      <c r="D739" s="87" t="n"/>
      <c r="E739" s="88" t="n"/>
      <c r="F739" s="92" t="n"/>
      <c r="G739" s="87" t="n"/>
      <c r="H739" s="87" t="n"/>
      <c r="I739" s="101">
        <f>IF($B739="","",IF(COUNTIF(Setup!$A$99:$A$128,$B739)&gt;0,IF(INDEX(Setup!$B$99:$B$128,MATCH($B739,Setup!$A$99:$A$128,0))="","Overhead",INDEX(Setup!$B$99:$B$128,MATCH($B739,Setup!$A$99:$A$128,0))),IF(ISNUMBER(SEARCH("advance",$B739))+ISNUMBER(SEARCH("payout",$B739))+ISNUMBER(SEARCH("pay out",$B739))+ISNUMBER(SEARCH("reimburs",$B739))&gt;0,"Transfer",IF(ISNUMBER(SEARCH("loan",$B739))+ISNUMBER(SEARCH("amort",$B739))+ISNUMBER(SEARCH("installment",$B739))+ISNUMBER(SEARCH("instalment",$B739))&gt;0,"Financing",IF(ISNUMBER(SEARCH("draw",$B739))+ISNUMBER(SEARCH("owner",$B739))+ISNUMBER(SEARCH("asset",$B739))+ISNUMBER(SEARCH("capital",$B739))&gt;0,"Other",IF(ISNUMBER(SEARCH("fuel",$B739))+ISNUMBER(SEARCH("diesel",$B739))+ISNUMBER(SEARCH("krudo",$B739))+ISNUMBER(SEARCH("gasolina",$B739))+ISNUMBER(SEARCH("toll",$B739))+ISNUMBER(SEARCH("parking",$B739))+ISNUMBER(SEARCH("repair",$B739))+ISNUMBER(SEARCH("maintenance",$B739))+ISNUMBER(SEARCH("tire",$B739))+ISNUMBER(SEARCH("tyre",$B739))+ISNUMBER(SEARCH("battery",$B739))+ISNUMBER(SEARCH("oil",$B739))+ISNUMBER(SEARCH("filter",$B739))+ISNUMBER(SEARCH("spare",$B739))+ISNUMBER(SEARCH("insurance",$B739))+ISNUMBER(SEARCH("lto",$B739))+ISNUMBER(SEARCH("registration",$B739))+ISNUMBER(SEARCH("emission",$B739))+ISNUMBER(SEARCH("wash",$B739))+ISNUMBER(SEARCH("weigh",$B739))+ISNUMBER(SEARCH("tarp",$B739))&gt;0,"Vehicle",IF(ISNUMBER(SEARCH("rent",$B739))+ISNUMBER(SEARCH("upa",$B739))+ISNUMBER(SEARCH("salary",$B739))+ISNUMBER(SEARCH("sweldo",$B739))+ISNUMBER(SEARCH("wage",$B739))+ISNUMBER(SEARCH("electric",$B739))+ISNUMBER(SEARCH("kuryente",$B739))+ISNUMBER(SEARCH("water",$B739))+ISNUMBER(SEARCH("tubig",$B739))+ISNUMBER(SEARCH("internet",$B739))+ISNUMBER(SEARCH("pldt",$B739))+ISNUMBER(SEARCH("meralco",$B739))+ISNUMBER(SEARCH("supplies",$B739))+ISNUMBER(SEARCH("office",$B739))+ISNUMBER(SEARCH("professional",$B739))+ISNUMBER(SEARCH("accountant",$B739))+ISNUMBER(SEARCH("lawyer",$B739))+ISNUMBER(SEARCH("broker",$B739))+ISNUMBER(SEARCH("bank",$B739))+ISNUMBER(SEARCH("charge",$B739))+ISNUMBER(SEARCH("permit",$B739))+ISNUMBER(SEARCH("bir",$B739))+ISNUMBER(SEARCH("ltfrb",$B739))+ISNUMBER(SEARCH("misc",$B739))+ISNUMBER(SEARCH("fee",$B739))&gt;0,"Overhead","Overhead")))))))</f>
        <v/>
      </c>
      <c r="J739">
        <f>IF($A739="","",DATE(YEAR($A739),MONTH($A739),1))</f>
        <v/>
      </c>
      <c r="K739">
        <f>IF($B739="","",IF(COUNTIF(Setup!$A$99:$A$128,$B739)&gt;0,0,1))</f>
        <v/>
      </c>
      <c r="L739">
        <f>IF($B739="","",IF(ISNUMBER(SEARCH("advance",$B739)),"ADV",IF(OR(ISNUMBER(SEARCH("payout",$B739)),ISNUMBER(SEARCH("pay out",$B739)),ISNUMBER(SEARCH("release",$B739))),"PAY","")))</f>
        <v/>
      </c>
      <c r="M739">
        <f>IF($B739="","",IF(ISNUMBER(SEARCH("bulk",$B739)),0,IF(ISNUMBER(SEARCH("fuel",$B739))+ISNUMBER(SEARCH("diesel",$B739))+ISNUMBER(SEARCH("krudo",$B739))+ISNUMBER(SEARCH("gasolina",$B739))&gt;0,1,0)))</f>
        <v/>
      </c>
      <c r="N739">
        <f>IF($B739="","",IF(ISNUMBER(SEARCH("fuel",$B739))+ISNUMBER(SEARCH("diesel",$B739))+ISNUMBER(SEARCH("krudo",$B739))+ISNUMBER(SEARCH("gasolina",$B739))&gt;0,1,0))</f>
        <v/>
      </c>
    </row>
    <row r="740">
      <c r="A740" s="94" t="n"/>
      <c r="B740" s="96" t="n"/>
      <c r="C740" s="96" t="n"/>
      <c r="D740" s="95" t="n"/>
      <c r="E740" s="96" t="n"/>
      <c r="F740" s="99" t="n"/>
      <c r="G740" s="95" t="n"/>
      <c r="H740" s="95" t="n"/>
      <c r="I740" s="101">
        <f>IF($B740="","",IF(COUNTIF(Setup!$A$99:$A$128,$B740)&gt;0,IF(INDEX(Setup!$B$99:$B$128,MATCH($B740,Setup!$A$99:$A$128,0))="","Overhead",INDEX(Setup!$B$99:$B$128,MATCH($B740,Setup!$A$99:$A$128,0))),IF(ISNUMBER(SEARCH("advance",$B740))+ISNUMBER(SEARCH("payout",$B740))+ISNUMBER(SEARCH("pay out",$B740))+ISNUMBER(SEARCH("reimburs",$B740))&gt;0,"Transfer",IF(ISNUMBER(SEARCH("loan",$B740))+ISNUMBER(SEARCH("amort",$B740))+ISNUMBER(SEARCH("installment",$B740))+ISNUMBER(SEARCH("instalment",$B740))&gt;0,"Financing",IF(ISNUMBER(SEARCH("draw",$B740))+ISNUMBER(SEARCH("owner",$B740))+ISNUMBER(SEARCH("asset",$B740))+ISNUMBER(SEARCH("capital",$B740))&gt;0,"Other",IF(ISNUMBER(SEARCH("fuel",$B740))+ISNUMBER(SEARCH("diesel",$B740))+ISNUMBER(SEARCH("krudo",$B740))+ISNUMBER(SEARCH("gasolina",$B740))+ISNUMBER(SEARCH("toll",$B740))+ISNUMBER(SEARCH("parking",$B740))+ISNUMBER(SEARCH("repair",$B740))+ISNUMBER(SEARCH("maintenance",$B740))+ISNUMBER(SEARCH("tire",$B740))+ISNUMBER(SEARCH("tyre",$B740))+ISNUMBER(SEARCH("battery",$B740))+ISNUMBER(SEARCH("oil",$B740))+ISNUMBER(SEARCH("filter",$B740))+ISNUMBER(SEARCH("spare",$B740))+ISNUMBER(SEARCH("insurance",$B740))+ISNUMBER(SEARCH("lto",$B740))+ISNUMBER(SEARCH("registration",$B740))+ISNUMBER(SEARCH("emission",$B740))+ISNUMBER(SEARCH("wash",$B740))+ISNUMBER(SEARCH("weigh",$B740))+ISNUMBER(SEARCH("tarp",$B740))&gt;0,"Vehicle",IF(ISNUMBER(SEARCH("rent",$B740))+ISNUMBER(SEARCH("upa",$B740))+ISNUMBER(SEARCH("salary",$B740))+ISNUMBER(SEARCH("sweldo",$B740))+ISNUMBER(SEARCH("wage",$B740))+ISNUMBER(SEARCH("electric",$B740))+ISNUMBER(SEARCH("kuryente",$B740))+ISNUMBER(SEARCH("water",$B740))+ISNUMBER(SEARCH("tubig",$B740))+ISNUMBER(SEARCH("internet",$B740))+ISNUMBER(SEARCH("pldt",$B740))+ISNUMBER(SEARCH("meralco",$B740))+ISNUMBER(SEARCH("supplies",$B740))+ISNUMBER(SEARCH("office",$B740))+ISNUMBER(SEARCH("professional",$B740))+ISNUMBER(SEARCH("accountant",$B740))+ISNUMBER(SEARCH("lawyer",$B740))+ISNUMBER(SEARCH("broker",$B740))+ISNUMBER(SEARCH("bank",$B740))+ISNUMBER(SEARCH("charge",$B740))+ISNUMBER(SEARCH("permit",$B740))+ISNUMBER(SEARCH("bir",$B740))+ISNUMBER(SEARCH("ltfrb",$B740))+ISNUMBER(SEARCH("misc",$B740))+ISNUMBER(SEARCH("fee",$B740))&gt;0,"Overhead","Overhead")))))))</f>
        <v/>
      </c>
      <c r="J740">
        <f>IF($A740="","",DATE(YEAR($A740),MONTH($A740),1))</f>
        <v/>
      </c>
      <c r="K740">
        <f>IF($B740="","",IF(COUNTIF(Setup!$A$99:$A$128,$B740)&gt;0,0,1))</f>
        <v/>
      </c>
      <c r="L740">
        <f>IF($B740="","",IF(ISNUMBER(SEARCH("advance",$B740)),"ADV",IF(OR(ISNUMBER(SEARCH("payout",$B740)),ISNUMBER(SEARCH("pay out",$B740)),ISNUMBER(SEARCH("release",$B740))),"PAY","")))</f>
        <v/>
      </c>
      <c r="M740">
        <f>IF($B740="","",IF(ISNUMBER(SEARCH("bulk",$B740)),0,IF(ISNUMBER(SEARCH("fuel",$B740))+ISNUMBER(SEARCH("diesel",$B740))+ISNUMBER(SEARCH("krudo",$B740))+ISNUMBER(SEARCH("gasolina",$B740))&gt;0,1,0)))</f>
        <v/>
      </c>
      <c r="N740">
        <f>IF($B740="","",IF(ISNUMBER(SEARCH("fuel",$B740))+ISNUMBER(SEARCH("diesel",$B740))+ISNUMBER(SEARCH("krudo",$B740))+ISNUMBER(SEARCH("gasolina",$B740))&gt;0,1,0))</f>
        <v/>
      </c>
    </row>
    <row r="741">
      <c r="A741" s="86" t="n"/>
      <c r="B741" s="88" t="n"/>
      <c r="C741" s="88" t="n"/>
      <c r="D741" s="87" t="n"/>
      <c r="E741" s="88" t="n"/>
      <c r="F741" s="92" t="n"/>
      <c r="G741" s="87" t="n"/>
      <c r="H741" s="87" t="n"/>
      <c r="I741" s="101">
        <f>IF($B741="","",IF(COUNTIF(Setup!$A$99:$A$128,$B741)&gt;0,IF(INDEX(Setup!$B$99:$B$128,MATCH($B741,Setup!$A$99:$A$128,0))="","Overhead",INDEX(Setup!$B$99:$B$128,MATCH($B741,Setup!$A$99:$A$128,0))),IF(ISNUMBER(SEARCH("advance",$B741))+ISNUMBER(SEARCH("payout",$B741))+ISNUMBER(SEARCH("pay out",$B741))+ISNUMBER(SEARCH("reimburs",$B741))&gt;0,"Transfer",IF(ISNUMBER(SEARCH("loan",$B741))+ISNUMBER(SEARCH("amort",$B741))+ISNUMBER(SEARCH("installment",$B741))+ISNUMBER(SEARCH("instalment",$B741))&gt;0,"Financing",IF(ISNUMBER(SEARCH("draw",$B741))+ISNUMBER(SEARCH("owner",$B741))+ISNUMBER(SEARCH("asset",$B741))+ISNUMBER(SEARCH("capital",$B741))&gt;0,"Other",IF(ISNUMBER(SEARCH("fuel",$B741))+ISNUMBER(SEARCH("diesel",$B741))+ISNUMBER(SEARCH("krudo",$B741))+ISNUMBER(SEARCH("gasolina",$B741))+ISNUMBER(SEARCH("toll",$B741))+ISNUMBER(SEARCH("parking",$B741))+ISNUMBER(SEARCH("repair",$B741))+ISNUMBER(SEARCH("maintenance",$B741))+ISNUMBER(SEARCH("tire",$B741))+ISNUMBER(SEARCH("tyre",$B741))+ISNUMBER(SEARCH("battery",$B741))+ISNUMBER(SEARCH("oil",$B741))+ISNUMBER(SEARCH("filter",$B741))+ISNUMBER(SEARCH("spare",$B741))+ISNUMBER(SEARCH("insurance",$B741))+ISNUMBER(SEARCH("lto",$B741))+ISNUMBER(SEARCH("registration",$B741))+ISNUMBER(SEARCH("emission",$B741))+ISNUMBER(SEARCH("wash",$B741))+ISNUMBER(SEARCH("weigh",$B741))+ISNUMBER(SEARCH("tarp",$B741))&gt;0,"Vehicle",IF(ISNUMBER(SEARCH("rent",$B741))+ISNUMBER(SEARCH("upa",$B741))+ISNUMBER(SEARCH("salary",$B741))+ISNUMBER(SEARCH("sweldo",$B741))+ISNUMBER(SEARCH("wage",$B741))+ISNUMBER(SEARCH("electric",$B741))+ISNUMBER(SEARCH("kuryente",$B741))+ISNUMBER(SEARCH("water",$B741))+ISNUMBER(SEARCH("tubig",$B741))+ISNUMBER(SEARCH("internet",$B741))+ISNUMBER(SEARCH("pldt",$B741))+ISNUMBER(SEARCH("meralco",$B741))+ISNUMBER(SEARCH("supplies",$B741))+ISNUMBER(SEARCH("office",$B741))+ISNUMBER(SEARCH("professional",$B741))+ISNUMBER(SEARCH("accountant",$B741))+ISNUMBER(SEARCH("lawyer",$B741))+ISNUMBER(SEARCH("broker",$B741))+ISNUMBER(SEARCH("bank",$B741))+ISNUMBER(SEARCH("charge",$B741))+ISNUMBER(SEARCH("permit",$B741))+ISNUMBER(SEARCH("bir",$B741))+ISNUMBER(SEARCH("ltfrb",$B741))+ISNUMBER(SEARCH("misc",$B741))+ISNUMBER(SEARCH("fee",$B741))&gt;0,"Overhead","Overhead")))))))</f>
        <v/>
      </c>
      <c r="J741">
        <f>IF($A741="","",DATE(YEAR($A741),MONTH($A741),1))</f>
        <v/>
      </c>
      <c r="K741">
        <f>IF($B741="","",IF(COUNTIF(Setup!$A$99:$A$128,$B741)&gt;0,0,1))</f>
        <v/>
      </c>
      <c r="L741">
        <f>IF($B741="","",IF(ISNUMBER(SEARCH("advance",$B741)),"ADV",IF(OR(ISNUMBER(SEARCH("payout",$B741)),ISNUMBER(SEARCH("pay out",$B741)),ISNUMBER(SEARCH("release",$B741))),"PAY","")))</f>
        <v/>
      </c>
      <c r="M741">
        <f>IF($B741="","",IF(ISNUMBER(SEARCH("bulk",$B741)),0,IF(ISNUMBER(SEARCH("fuel",$B741))+ISNUMBER(SEARCH("diesel",$B741))+ISNUMBER(SEARCH("krudo",$B741))+ISNUMBER(SEARCH("gasolina",$B741))&gt;0,1,0)))</f>
        <v/>
      </c>
      <c r="N741">
        <f>IF($B741="","",IF(ISNUMBER(SEARCH("fuel",$B741))+ISNUMBER(SEARCH("diesel",$B741))+ISNUMBER(SEARCH("krudo",$B741))+ISNUMBER(SEARCH("gasolina",$B741))&gt;0,1,0))</f>
        <v/>
      </c>
    </row>
    <row r="742">
      <c r="A742" s="94" t="n"/>
      <c r="B742" s="96" t="n"/>
      <c r="C742" s="96" t="n"/>
      <c r="D742" s="95" t="n"/>
      <c r="E742" s="96" t="n"/>
      <c r="F742" s="99" t="n"/>
      <c r="G742" s="95" t="n"/>
      <c r="H742" s="95" t="n"/>
      <c r="I742" s="101">
        <f>IF($B742="","",IF(COUNTIF(Setup!$A$99:$A$128,$B742)&gt;0,IF(INDEX(Setup!$B$99:$B$128,MATCH($B742,Setup!$A$99:$A$128,0))="","Overhead",INDEX(Setup!$B$99:$B$128,MATCH($B742,Setup!$A$99:$A$128,0))),IF(ISNUMBER(SEARCH("advance",$B742))+ISNUMBER(SEARCH("payout",$B742))+ISNUMBER(SEARCH("pay out",$B742))+ISNUMBER(SEARCH("reimburs",$B742))&gt;0,"Transfer",IF(ISNUMBER(SEARCH("loan",$B742))+ISNUMBER(SEARCH("amort",$B742))+ISNUMBER(SEARCH("installment",$B742))+ISNUMBER(SEARCH("instalment",$B742))&gt;0,"Financing",IF(ISNUMBER(SEARCH("draw",$B742))+ISNUMBER(SEARCH("owner",$B742))+ISNUMBER(SEARCH("asset",$B742))+ISNUMBER(SEARCH("capital",$B742))&gt;0,"Other",IF(ISNUMBER(SEARCH("fuel",$B742))+ISNUMBER(SEARCH("diesel",$B742))+ISNUMBER(SEARCH("krudo",$B742))+ISNUMBER(SEARCH("gasolina",$B742))+ISNUMBER(SEARCH("toll",$B742))+ISNUMBER(SEARCH("parking",$B742))+ISNUMBER(SEARCH("repair",$B742))+ISNUMBER(SEARCH("maintenance",$B742))+ISNUMBER(SEARCH("tire",$B742))+ISNUMBER(SEARCH("tyre",$B742))+ISNUMBER(SEARCH("battery",$B742))+ISNUMBER(SEARCH("oil",$B742))+ISNUMBER(SEARCH("filter",$B742))+ISNUMBER(SEARCH("spare",$B742))+ISNUMBER(SEARCH("insurance",$B742))+ISNUMBER(SEARCH("lto",$B742))+ISNUMBER(SEARCH("registration",$B742))+ISNUMBER(SEARCH("emission",$B742))+ISNUMBER(SEARCH("wash",$B742))+ISNUMBER(SEARCH("weigh",$B742))+ISNUMBER(SEARCH("tarp",$B742))&gt;0,"Vehicle",IF(ISNUMBER(SEARCH("rent",$B742))+ISNUMBER(SEARCH("upa",$B742))+ISNUMBER(SEARCH("salary",$B742))+ISNUMBER(SEARCH("sweldo",$B742))+ISNUMBER(SEARCH("wage",$B742))+ISNUMBER(SEARCH("electric",$B742))+ISNUMBER(SEARCH("kuryente",$B742))+ISNUMBER(SEARCH("water",$B742))+ISNUMBER(SEARCH("tubig",$B742))+ISNUMBER(SEARCH("internet",$B742))+ISNUMBER(SEARCH("pldt",$B742))+ISNUMBER(SEARCH("meralco",$B742))+ISNUMBER(SEARCH("supplies",$B742))+ISNUMBER(SEARCH("office",$B742))+ISNUMBER(SEARCH("professional",$B742))+ISNUMBER(SEARCH("accountant",$B742))+ISNUMBER(SEARCH("lawyer",$B742))+ISNUMBER(SEARCH("broker",$B742))+ISNUMBER(SEARCH("bank",$B742))+ISNUMBER(SEARCH("charge",$B742))+ISNUMBER(SEARCH("permit",$B742))+ISNUMBER(SEARCH("bir",$B742))+ISNUMBER(SEARCH("ltfrb",$B742))+ISNUMBER(SEARCH("misc",$B742))+ISNUMBER(SEARCH("fee",$B742))&gt;0,"Overhead","Overhead")))))))</f>
        <v/>
      </c>
      <c r="J742">
        <f>IF($A742="","",DATE(YEAR($A742),MONTH($A742),1))</f>
        <v/>
      </c>
      <c r="K742">
        <f>IF($B742="","",IF(COUNTIF(Setup!$A$99:$A$128,$B742)&gt;0,0,1))</f>
        <v/>
      </c>
      <c r="L742">
        <f>IF($B742="","",IF(ISNUMBER(SEARCH("advance",$B742)),"ADV",IF(OR(ISNUMBER(SEARCH("payout",$B742)),ISNUMBER(SEARCH("pay out",$B742)),ISNUMBER(SEARCH("release",$B742))),"PAY","")))</f>
        <v/>
      </c>
      <c r="M742">
        <f>IF($B742="","",IF(ISNUMBER(SEARCH("bulk",$B742)),0,IF(ISNUMBER(SEARCH("fuel",$B742))+ISNUMBER(SEARCH("diesel",$B742))+ISNUMBER(SEARCH("krudo",$B742))+ISNUMBER(SEARCH("gasolina",$B742))&gt;0,1,0)))</f>
        <v/>
      </c>
      <c r="N742">
        <f>IF($B742="","",IF(ISNUMBER(SEARCH("fuel",$B742))+ISNUMBER(SEARCH("diesel",$B742))+ISNUMBER(SEARCH("krudo",$B742))+ISNUMBER(SEARCH("gasolina",$B742))&gt;0,1,0))</f>
        <v/>
      </c>
    </row>
    <row r="743">
      <c r="A743" s="86" t="n"/>
      <c r="B743" s="88" t="n"/>
      <c r="C743" s="88" t="n"/>
      <c r="D743" s="87" t="n"/>
      <c r="E743" s="88" t="n"/>
      <c r="F743" s="92" t="n"/>
      <c r="G743" s="87" t="n"/>
      <c r="H743" s="87" t="n"/>
      <c r="I743" s="101">
        <f>IF($B743="","",IF(COUNTIF(Setup!$A$99:$A$128,$B743)&gt;0,IF(INDEX(Setup!$B$99:$B$128,MATCH($B743,Setup!$A$99:$A$128,0))="","Overhead",INDEX(Setup!$B$99:$B$128,MATCH($B743,Setup!$A$99:$A$128,0))),IF(ISNUMBER(SEARCH("advance",$B743))+ISNUMBER(SEARCH("payout",$B743))+ISNUMBER(SEARCH("pay out",$B743))+ISNUMBER(SEARCH("reimburs",$B743))&gt;0,"Transfer",IF(ISNUMBER(SEARCH("loan",$B743))+ISNUMBER(SEARCH("amort",$B743))+ISNUMBER(SEARCH("installment",$B743))+ISNUMBER(SEARCH("instalment",$B743))&gt;0,"Financing",IF(ISNUMBER(SEARCH("draw",$B743))+ISNUMBER(SEARCH("owner",$B743))+ISNUMBER(SEARCH("asset",$B743))+ISNUMBER(SEARCH("capital",$B743))&gt;0,"Other",IF(ISNUMBER(SEARCH("fuel",$B743))+ISNUMBER(SEARCH("diesel",$B743))+ISNUMBER(SEARCH("krudo",$B743))+ISNUMBER(SEARCH("gasolina",$B743))+ISNUMBER(SEARCH("toll",$B743))+ISNUMBER(SEARCH("parking",$B743))+ISNUMBER(SEARCH("repair",$B743))+ISNUMBER(SEARCH("maintenance",$B743))+ISNUMBER(SEARCH("tire",$B743))+ISNUMBER(SEARCH("tyre",$B743))+ISNUMBER(SEARCH("battery",$B743))+ISNUMBER(SEARCH("oil",$B743))+ISNUMBER(SEARCH("filter",$B743))+ISNUMBER(SEARCH("spare",$B743))+ISNUMBER(SEARCH("insurance",$B743))+ISNUMBER(SEARCH("lto",$B743))+ISNUMBER(SEARCH("registration",$B743))+ISNUMBER(SEARCH("emission",$B743))+ISNUMBER(SEARCH("wash",$B743))+ISNUMBER(SEARCH("weigh",$B743))+ISNUMBER(SEARCH("tarp",$B743))&gt;0,"Vehicle",IF(ISNUMBER(SEARCH("rent",$B743))+ISNUMBER(SEARCH("upa",$B743))+ISNUMBER(SEARCH("salary",$B743))+ISNUMBER(SEARCH("sweldo",$B743))+ISNUMBER(SEARCH("wage",$B743))+ISNUMBER(SEARCH("electric",$B743))+ISNUMBER(SEARCH("kuryente",$B743))+ISNUMBER(SEARCH("water",$B743))+ISNUMBER(SEARCH("tubig",$B743))+ISNUMBER(SEARCH("internet",$B743))+ISNUMBER(SEARCH("pldt",$B743))+ISNUMBER(SEARCH("meralco",$B743))+ISNUMBER(SEARCH("supplies",$B743))+ISNUMBER(SEARCH("office",$B743))+ISNUMBER(SEARCH("professional",$B743))+ISNUMBER(SEARCH("accountant",$B743))+ISNUMBER(SEARCH("lawyer",$B743))+ISNUMBER(SEARCH("broker",$B743))+ISNUMBER(SEARCH("bank",$B743))+ISNUMBER(SEARCH("charge",$B743))+ISNUMBER(SEARCH("permit",$B743))+ISNUMBER(SEARCH("bir",$B743))+ISNUMBER(SEARCH("ltfrb",$B743))+ISNUMBER(SEARCH("misc",$B743))+ISNUMBER(SEARCH("fee",$B743))&gt;0,"Overhead","Overhead")))))))</f>
        <v/>
      </c>
      <c r="J743">
        <f>IF($A743="","",DATE(YEAR($A743),MONTH($A743),1))</f>
        <v/>
      </c>
      <c r="K743">
        <f>IF($B743="","",IF(COUNTIF(Setup!$A$99:$A$128,$B743)&gt;0,0,1))</f>
        <v/>
      </c>
      <c r="L743">
        <f>IF($B743="","",IF(ISNUMBER(SEARCH("advance",$B743)),"ADV",IF(OR(ISNUMBER(SEARCH("payout",$B743)),ISNUMBER(SEARCH("pay out",$B743)),ISNUMBER(SEARCH("release",$B743))),"PAY","")))</f>
        <v/>
      </c>
      <c r="M743">
        <f>IF($B743="","",IF(ISNUMBER(SEARCH("bulk",$B743)),0,IF(ISNUMBER(SEARCH("fuel",$B743))+ISNUMBER(SEARCH("diesel",$B743))+ISNUMBER(SEARCH("krudo",$B743))+ISNUMBER(SEARCH("gasolina",$B743))&gt;0,1,0)))</f>
        <v/>
      </c>
      <c r="N743">
        <f>IF($B743="","",IF(ISNUMBER(SEARCH("fuel",$B743))+ISNUMBER(SEARCH("diesel",$B743))+ISNUMBER(SEARCH("krudo",$B743))+ISNUMBER(SEARCH("gasolina",$B743))&gt;0,1,0))</f>
        <v/>
      </c>
    </row>
    <row r="744">
      <c r="A744" s="94" t="n"/>
      <c r="B744" s="96" t="n"/>
      <c r="C744" s="96" t="n"/>
      <c r="D744" s="95" t="n"/>
      <c r="E744" s="96" t="n"/>
      <c r="F744" s="99" t="n"/>
      <c r="G744" s="95" t="n"/>
      <c r="H744" s="95" t="n"/>
      <c r="I744" s="101">
        <f>IF($B744="","",IF(COUNTIF(Setup!$A$99:$A$128,$B744)&gt;0,IF(INDEX(Setup!$B$99:$B$128,MATCH($B744,Setup!$A$99:$A$128,0))="","Overhead",INDEX(Setup!$B$99:$B$128,MATCH($B744,Setup!$A$99:$A$128,0))),IF(ISNUMBER(SEARCH("advance",$B744))+ISNUMBER(SEARCH("payout",$B744))+ISNUMBER(SEARCH("pay out",$B744))+ISNUMBER(SEARCH("reimburs",$B744))&gt;0,"Transfer",IF(ISNUMBER(SEARCH("loan",$B744))+ISNUMBER(SEARCH("amort",$B744))+ISNUMBER(SEARCH("installment",$B744))+ISNUMBER(SEARCH("instalment",$B744))&gt;0,"Financing",IF(ISNUMBER(SEARCH("draw",$B744))+ISNUMBER(SEARCH("owner",$B744))+ISNUMBER(SEARCH("asset",$B744))+ISNUMBER(SEARCH("capital",$B744))&gt;0,"Other",IF(ISNUMBER(SEARCH("fuel",$B744))+ISNUMBER(SEARCH("diesel",$B744))+ISNUMBER(SEARCH("krudo",$B744))+ISNUMBER(SEARCH("gasolina",$B744))+ISNUMBER(SEARCH("toll",$B744))+ISNUMBER(SEARCH("parking",$B744))+ISNUMBER(SEARCH("repair",$B744))+ISNUMBER(SEARCH("maintenance",$B744))+ISNUMBER(SEARCH("tire",$B744))+ISNUMBER(SEARCH("tyre",$B744))+ISNUMBER(SEARCH("battery",$B744))+ISNUMBER(SEARCH("oil",$B744))+ISNUMBER(SEARCH("filter",$B744))+ISNUMBER(SEARCH("spare",$B744))+ISNUMBER(SEARCH("insurance",$B744))+ISNUMBER(SEARCH("lto",$B744))+ISNUMBER(SEARCH("registration",$B744))+ISNUMBER(SEARCH("emission",$B744))+ISNUMBER(SEARCH("wash",$B744))+ISNUMBER(SEARCH("weigh",$B744))+ISNUMBER(SEARCH("tarp",$B744))&gt;0,"Vehicle",IF(ISNUMBER(SEARCH("rent",$B744))+ISNUMBER(SEARCH("upa",$B744))+ISNUMBER(SEARCH("salary",$B744))+ISNUMBER(SEARCH("sweldo",$B744))+ISNUMBER(SEARCH("wage",$B744))+ISNUMBER(SEARCH("electric",$B744))+ISNUMBER(SEARCH("kuryente",$B744))+ISNUMBER(SEARCH("water",$B744))+ISNUMBER(SEARCH("tubig",$B744))+ISNUMBER(SEARCH("internet",$B744))+ISNUMBER(SEARCH("pldt",$B744))+ISNUMBER(SEARCH("meralco",$B744))+ISNUMBER(SEARCH("supplies",$B744))+ISNUMBER(SEARCH("office",$B744))+ISNUMBER(SEARCH("professional",$B744))+ISNUMBER(SEARCH("accountant",$B744))+ISNUMBER(SEARCH("lawyer",$B744))+ISNUMBER(SEARCH("broker",$B744))+ISNUMBER(SEARCH("bank",$B744))+ISNUMBER(SEARCH("charge",$B744))+ISNUMBER(SEARCH("permit",$B744))+ISNUMBER(SEARCH("bir",$B744))+ISNUMBER(SEARCH("ltfrb",$B744))+ISNUMBER(SEARCH("misc",$B744))+ISNUMBER(SEARCH("fee",$B744))&gt;0,"Overhead","Overhead")))))))</f>
        <v/>
      </c>
      <c r="J744">
        <f>IF($A744="","",DATE(YEAR($A744),MONTH($A744),1))</f>
        <v/>
      </c>
      <c r="K744">
        <f>IF($B744="","",IF(COUNTIF(Setup!$A$99:$A$128,$B744)&gt;0,0,1))</f>
        <v/>
      </c>
      <c r="L744">
        <f>IF($B744="","",IF(ISNUMBER(SEARCH("advance",$B744)),"ADV",IF(OR(ISNUMBER(SEARCH("payout",$B744)),ISNUMBER(SEARCH("pay out",$B744)),ISNUMBER(SEARCH("release",$B744))),"PAY","")))</f>
        <v/>
      </c>
      <c r="M744">
        <f>IF($B744="","",IF(ISNUMBER(SEARCH("bulk",$B744)),0,IF(ISNUMBER(SEARCH("fuel",$B744))+ISNUMBER(SEARCH("diesel",$B744))+ISNUMBER(SEARCH("krudo",$B744))+ISNUMBER(SEARCH("gasolina",$B744))&gt;0,1,0)))</f>
        <v/>
      </c>
      <c r="N744">
        <f>IF($B744="","",IF(ISNUMBER(SEARCH("fuel",$B744))+ISNUMBER(SEARCH("diesel",$B744))+ISNUMBER(SEARCH("krudo",$B744))+ISNUMBER(SEARCH("gasolina",$B744))&gt;0,1,0))</f>
        <v/>
      </c>
    </row>
    <row r="745">
      <c r="A745" s="86" t="n"/>
      <c r="B745" s="88" t="n"/>
      <c r="C745" s="88" t="n"/>
      <c r="D745" s="87" t="n"/>
      <c r="E745" s="88" t="n"/>
      <c r="F745" s="92" t="n"/>
      <c r="G745" s="87" t="n"/>
      <c r="H745" s="87" t="n"/>
      <c r="I745" s="101">
        <f>IF($B745="","",IF(COUNTIF(Setup!$A$99:$A$128,$B745)&gt;0,IF(INDEX(Setup!$B$99:$B$128,MATCH($B745,Setup!$A$99:$A$128,0))="","Overhead",INDEX(Setup!$B$99:$B$128,MATCH($B745,Setup!$A$99:$A$128,0))),IF(ISNUMBER(SEARCH("advance",$B745))+ISNUMBER(SEARCH("payout",$B745))+ISNUMBER(SEARCH("pay out",$B745))+ISNUMBER(SEARCH("reimburs",$B745))&gt;0,"Transfer",IF(ISNUMBER(SEARCH("loan",$B745))+ISNUMBER(SEARCH("amort",$B745))+ISNUMBER(SEARCH("installment",$B745))+ISNUMBER(SEARCH("instalment",$B745))&gt;0,"Financing",IF(ISNUMBER(SEARCH("draw",$B745))+ISNUMBER(SEARCH("owner",$B745))+ISNUMBER(SEARCH("asset",$B745))+ISNUMBER(SEARCH("capital",$B745))&gt;0,"Other",IF(ISNUMBER(SEARCH("fuel",$B745))+ISNUMBER(SEARCH("diesel",$B745))+ISNUMBER(SEARCH("krudo",$B745))+ISNUMBER(SEARCH("gasolina",$B745))+ISNUMBER(SEARCH("toll",$B745))+ISNUMBER(SEARCH("parking",$B745))+ISNUMBER(SEARCH("repair",$B745))+ISNUMBER(SEARCH("maintenance",$B745))+ISNUMBER(SEARCH("tire",$B745))+ISNUMBER(SEARCH("tyre",$B745))+ISNUMBER(SEARCH("battery",$B745))+ISNUMBER(SEARCH("oil",$B745))+ISNUMBER(SEARCH("filter",$B745))+ISNUMBER(SEARCH("spare",$B745))+ISNUMBER(SEARCH("insurance",$B745))+ISNUMBER(SEARCH("lto",$B745))+ISNUMBER(SEARCH("registration",$B745))+ISNUMBER(SEARCH("emission",$B745))+ISNUMBER(SEARCH("wash",$B745))+ISNUMBER(SEARCH("weigh",$B745))+ISNUMBER(SEARCH("tarp",$B745))&gt;0,"Vehicle",IF(ISNUMBER(SEARCH("rent",$B745))+ISNUMBER(SEARCH("upa",$B745))+ISNUMBER(SEARCH("salary",$B745))+ISNUMBER(SEARCH("sweldo",$B745))+ISNUMBER(SEARCH("wage",$B745))+ISNUMBER(SEARCH("electric",$B745))+ISNUMBER(SEARCH("kuryente",$B745))+ISNUMBER(SEARCH("water",$B745))+ISNUMBER(SEARCH("tubig",$B745))+ISNUMBER(SEARCH("internet",$B745))+ISNUMBER(SEARCH("pldt",$B745))+ISNUMBER(SEARCH("meralco",$B745))+ISNUMBER(SEARCH("supplies",$B745))+ISNUMBER(SEARCH("office",$B745))+ISNUMBER(SEARCH("professional",$B745))+ISNUMBER(SEARCH("accountant",$B745))+ISNUMBER(SEARCH("lawyer",$B745))+ISNUMBER(SEARCH("broker",$B745))+ISNUMBER(SEARCH("bank",$B745))+ISNUMBER(SEARCH("charge",$B745))+ISNUMBER(SEARCH("permit",$B745))+ISNUMBER(SEARCH("bir",$B745))+ISNUMBER(SEARCH("ltfrb",$B745))+ISNUMBER(SEARCH("misc",$B745))+ISNUMBER(SEARCH("fee",$B745))&gt;0,"Overhead","Overhead")))))))</f>
        <v/>
      </c>
      <c r="J745">
        <f>IF($A745="","",DATE(YEAR($A745),MONTH($A745),1))</f>
        <v/>
      </c>
      <c r="K745">
        <f>IF($B745="","",IF(COUNTIF(Setup!$A$99:$A$128,$B745)&gt;0,0,1))</f>
        <v/>
      </c>
      <c r="L745">
        <f>IF($B745="","",IF(ISNUMBER(SEARCH("advance",$B745)),"ADV",IF(OR(ISNUMBER(SEARCH("payout",$B745)),ISNUMBER(SEARCH("pay out",$B745)),ISNUMBER(SEARCH("release",$B745))),"PAY","")))</f>
        <v/>
      </c>
      <c r="M745">
        <f>IF($B745="","",IF(ISNUMBER(SEARCH("bulk",$B745)),0,IF(ISNUMBER(SEARCH("fuel",$B745))+ISNUMBER(SEARCH("diesel",$B745))+ISNUMBER(SEARCH("krudo",$B745))+ISNUMBER(SEARCH("gasolina",$B745))&gt;0,1,0)))</f>
        <v/>
      </c>
      <c r="N745">
        <f>IF($B745="","",IF(ISNUMBER(SEARCH("fuel",$B745))+ISNUMBER(SEARCH("diesel",$B745))+ISNUMBER(SEARCH("krudo",$B745))+ISNUMBER(SEARCH("gasolina",$B745))&gt;0,1,0))</f>
        <v/>
      </c>
    </row>
    <row r="746">
      <c r="A746" s="94" t="n"/>
      <c r="B746" s="96" t="n"/>
      <c r="C746" s="96" t="n"/>
      <c r="D746" s="95" t="n"/>
      <c r="E746" s="96" t="n"/>
      <c r="F746" s="99" t="n"/>
      <c r="G746" s="95" t="n"/>
      <c r="H746" s="95" t="n"/>
      <c r="I746" s="101">
        <f>IF($B746="","",IF(COUNTIF(Setup!$A$99:$A$128,$B746)&gt;0,IF(INDEX(Setup!$B$99:$B$128,MATCH($B746,Setup!$A$99:$A$128,0))="","Overhead",INDEX(Setup!$B$99:$B$128,MATCH($B746,Setup!$A$99:$A$128,0))),IF(ISNUMBER(SEARCH("advance",$B746))+ISNUMBER(SEARCH("payout",$B746))+ISNUMBER(SEARCH("pay out",$B746))+ISNUMBER(SEARCH("reimburs",$B746))&gt;0,"Transfer",IF(ISNUMBER(SEARCH("loan",$B746))+ISNUMBER(SEARCH("amort",$B746))+ISNUMBER(SEARCH("installment",$B746))+ISNUMBER(SEARCH("instalment",$B746))&gt;0,"Financing",IF(ISNUMBER(SEARCH("draw",$B746))+ISNUMBER(SEARCH("owner",$B746))+ISNUMBER(SEARCH("asset",$B746))+ISNUMBER(SEARCH("capital",$B746))&gt;0,"Other",IF(ISNUMBER(SEARCH("fuel",$B746))+ISNUMBER(SEARCH("diesel",$B746))+ISNUMBER(SEARCH("krudo",$B746))+ISNUMBER(SEARCH("gasolina",$B746))+ISNUMBER(SEARCH("toll",$B746))+ISNUMBER(SEARCH("parking",$B746))+ISNUMBER(SEARCH("repair",$B746))+ISNUMBER(SEARCH("maintenance",$B746))+ISNUMBER(SEARCH("tire",$B746))+ISNUMBER(SEARCH("tyre",$B746))+ISNUMBER(SEARCH("battery",$B746))+ISNUMBER(SEARCH("oil",$B746))+ISNUMBER(SEARCH("filter",$B746))+ISNUMBER(SEARCH("spare",$B746))+ISNUMBER(SEARCH("insurance",$B746))+ISNUMBER(SEARCH("lto",$B746))+ISNUMBER(SEARCH("registration",$B746))+ISNUMBER(SEARCH("emission",$B746))+ISNUMBER(SEARCH("wash",$B746))+ISNUMBER(SEARCH("weigh",$B746))+ISNUMBER(SEARCH("tarp",$B746))&gt;0,"Vehicle",IF(ISNUMBER(SEARCH("rent",$B746))+ISNUMBER(SEARCH("upa",$B746))+ISNUMBER(SEARCH("salary",$B746))+ISNUMBER(SEARCH("sweldo",$B746))+ISNUMBER(SEARCH("wage",$B746))+ISNUMBER(SEARCH("electric",$B746))+ISNUMBER(SEARCH("kuryente",$B746))+ISNUMBER(SEARCH("water",$B746))+ISNUMBER(SEARCH("tubig",$B746))+ISNUMBER(SEARCH("internet",$B746))+ISNUMBER(SEARCH("pldt",$B746))+ISNUMBER(SEARCH("meralco",$B746))+ISNUMBER(SEARCH("supplies",$B746))+ISNUMBER(SEARCH("office",$B746))+ISNUMBER(SEARCH("professional",$B746))+ISNUMBER(SEARCH("accountant",$B746))+ISNUMBER(SEARCH("lawyer",$B746))+ISNUMBER(SEARCH("broker",$B746))+ISNUMBER(SEARCH("bank",$B746))+ISNUMBER(SEARCH("charge",$B746))+ISNUMBER(SEARCH("permit",$B746))+ISNUMBER(SEARCH("bir",$B746))+ISNUMBER(SEARCH("ltfrb",$B746))+ISNUMBER(SEARCH("misc",$B746))+ISNUMBER(SEARCH("fee",$B746))&gt;0,"Overhead","Overhead")))))))</f>
        <v/>
      </c>
      <c r="J746">
        <f>IF($A746="","",DATE(YEAR($A746),MONTH($A746),1))</f>
        <v/>
      </c>
      <c r="K746">
        <f>IF($B746="","",IF(COUNTIF(Setup!$A$99:$A$128,$B746)&gt;0,0,1))</f>
        <v/>
      </c>
      <c r="L746">
        <f>IF($B746="","",IF(ISNUMBER(SEARCH("advance",$B746)),"ADV",IF(OR(ISNUMBER(SEARCH("payout",$B746)),ISNUMBER(SEARCH("pay out",$B746)),ISNUMBER(SEARCH("release",$B746))),"PAY","")))</f>
        <v/>
      </c>
      <c r="M746">
        <f>IF($B746="","",IF(ISNUMBER(SEARCH("bulk",$B746)),0,IF(ISNUMBER(SEARCH("fuel",$B746))+ISNUMBER(SEARCH("diesel",$B746))+ISNUMBER(SEARCH("krudo",$B746))+ISNUMBER(SEARCH("gasolina",$B746))&gt;0,1,0)))</f>
        <v/>
      </c>
      <c r="N746">
        <f>IF($B746="","",IF(ISNUMBER(SEARCH("fuel",$B746))+ISNUMBER(SEARCH("diesel",$B746))+ISNUMBER(SEARCH("krudo",$B746))+ISNUMBER(SEARCH("gasolina",$B746))&gt;0,1,0))</f>
        <v/>
      </c>
    </row>
    <row r="747">
      <c r="A747" s="86" t="n"/>
      <c r="B747" s="88" t="n"/>
      <c r="C747" s="88" t="n"/>
      <c r="D747" s="87" t="n"/>
      <c r="E747" s="88" t="n"/>
      <c r="F747" s="92" t="n"/>
      <c r="G747" s="87" t="n"/>
      <c r="H747" s="87" t="n"/>
      <c r="I747" s="101">
        <f>IF($B747="","",IF(COUNTIF(Setup!$A$99:$A$128,$B747)&gt;0,IF(INDEX(Setup!$B$99:$B$128,MATCH($B747,Setup!$A$99:$A$128,0))="","Overhead",INDEX(Setup!$B$99:$B$128,MATCH($B747,Setup!$A$99:$A$128,0))),IF(ISNUMBER(SEARCH("advance",$B747))+ISNUMBER(SEARCH("payout",$B747))+ISNUMBER(SEARCH("pay out",$B747))+ISNUMBER(SEARCH("reimburs",$B747))&gt;0,"Transfer",IF(ISNUMBER(SEARCH("loan",$B747))+ISNUMBER(SEARCH("amort",$B747))+ISNUMBER(SEARCH("installment",$B747))+ISNUMBER(SEARCH("instalment",$B747))&gt;0,"Financing",IF(ISNUMBER(SEARCH("draw",$B747))+ISNUMBER(SEARCH("owner",$B747))+ISNUMBER(SEARCH("asset",$B747))+ISNUMBER(SEARCH("capital",$B747))&gt;0,"Other",IF(ISNUMBER(SEARCH("fuel",$B747))+ISNUMBER(SEARCH("diesel",$B747))+ISNUMBER(SEARCH("krudo",$B747))+ISNUMBER(SEARCH("gasolina",$B747))+ISNUMBER(SEARCH("toll",$B747))+ISNUMBER(SEARCH("parking",$B747))+ISNUMBER(SEARCH("repair",$B747))+ISNUMBER(SEARCH("maintenance",$B747))+ISNUMBER(SEARCH("tire",$B747))+ISNUMBER(SEARCH("tyre",$B747))+ISNUMBER(SEARCH("battery",$B747))+ISNUMBER(SEARCH("oil",$B747))+ISNUMBER(SEARCH("filter",$B747))+ISNUMBER(SEARCH("spare",$B747))+ISNUMBER(SEARCH("insurance",$B747))+ISNUMBER(SEARCH("lto",$B747))+ISNUMBER(SEARCH("registration",$B747))+ISNUMBER(SEARCH("emission",$B747))+ISNUMBER(SEARCH("wash",$B747))+ISNUMBER(SEARCH("weigh",$B747))+ISNUMBER(SEARCH("tarp",$B747))&gt;0,"Vehicle",IF(ISNUMBER(SEARCH("rent",$B747))+ISNUMBER(SEARCH("upa",$B747))+ISNUMBER(SEARCH("salary",$B747))+ISNUMBER(SEARCH("sweldo",$B747))+ISNUMBER(SEARCH("wage",$B747))+ISNUMBER(SEARCH("electric",$B747))+ISNUMBER(SEARCH("kuryente",$B747))+ISNUMBER(SEARCH("water",$B747))+ISNUMBER(SEARCH("tubig",$B747))+ISNUMBER(SEARCH("internet",$B747))+ISNUMBER(SEARCH("pldt",$B747))+ISNUMBER(SEARCH("meralco",$B747))+ISNUMBER(SEARCH("supplies",$B747))+ISNUMBER(SEARCH("office",$B747))+ISNUMBER(SEARCH("professional",$B747))+ISNUMBER(SEARCH("accountant",$B747))+ISNUMBER(SEARCH("lawyer",$B747))+ISNUMBER(SEARCH("broker",$B747))+ISNUMBER(SEARCH("bank",$B747))+ISNUMBER(SEARCH("charge",$B747))+ISNUMBER(SEARCH("permit",$B747))+ISNUMBER(SEARCH("bir",$B747))+ISNUMBER(SEARCH("ltfrb",$B747))+ISNUMBER(SEARCH("misc",$B747))+ISNUMBER(SEARCH("fee",$B747))&gt;0,"Overhead","Overhead")))))))</f>
        <v/>
      </c>
      <c r="J747">
        <f>IF($A747="","",DATE(YEAR($A747),MONTH($A747),1))</f>
        <v/>
      </c>
      <c r="K747">
        <f>IF($B747="","",IF(COUNTIF(Setup!$A$99:$A$128,$B747)&gt;0,0,1))</f>
        <v/>
      </c>
      <c r="L747">
        <f>IF($B747="","",IF(ISNUMBER(SEARCH("advance",$B747)),"ADV",IF(OR(ISNUMBER(SEARCH("payout",$B747)),ISNUMBER(SEARCH("pay out",$B747)),ISNUMBER(SEARCH("release",$B747))),"PAY","")))</f>
        <v/>
      </c>
      <c r="M747">
        <f>IF($B747="","",IF(ISNUMBER(SEARCH("bulk",$B747)),0,IF(ISNUMBER(SEARCH("fuel",$B747))+ISNUMBER(SEARCH("diesel",$B747))+ISNUMBER(SEARCH("krudo",$B747))+ISNUMBER(SEARCH("gasolina",$B747))&gt;0,1,0)))</f>
        <v/>
      </c>
      <c r="N747">
        <f>IF($B747="","",IF(ISNUMBER(SEARCH("fuel",$B747))+ISNUMBER(SEARCH("diesel",$B747))+ISNUMBER(SEARCH("krudo",$B747))+ISNUMBER(SEARCH("gasolina",$B747))&gt;0,1,0))</f>
        <v/>
      </c>
    </row>
    <row r="748">
      <c r="A748" s="94" t="n"/>
      <c r="B748" s="96" t="n"/>
      <c r="C748" s="96" t="n"/>
      <c r="D748" s="95" t="n"/>
      <c r="E748" s="96" t="n"/>
      <c r="F748" s="99" t="n"/>
      <c r="G748" s="95" t="n"/>
      <c r="H748" s="95" t="n"/>
      <c r="I748" s="101">
        <f>IF($B748="","",IF(COUNTIF(Setup!$A$99:$A$128,$B748)&gt;0,IF(INDEX(Setup!$B$99:$B$128,MATCH($B748,Setup!$A$99:$A$128,0))="","Overhead",INDEX(Setup!$B$99:$B$128,MATCH($B748,Setup!$A$99:$A$128,0))),IF(ISNUMBER(SEARCH("advance",$B748))+ISNUMBER(SEARCH("payout",$B748))+ISNUMBER(SEARCH("pay out",$B748))+ISNUMBER(SEARCH("reimburs",$B748))&gt;0,"Transfer",IF(ISNUMBER(SEARCH("loan",$B748))+ISNUMBER(SEARCH("amort",$B748))+ISNUMBER(SEARCH("installment",$B748))+ISNUMBER(SEARCH("instalment",$B748))&gt;0,"Financing",IF(ISNUMBER(SEARCH("draw",$B748))+ISNUMBER(SEARCH("owner",$B748))+ISNUMBER(SEARCH("asset",$B748))+ISNUMBER(SEARCH("capital",$B748))&gt;0,"Other",IF(ISNUMBER(SEARCH("fuel",$B748))+ISNUMBER(SEARCH("diesel",$B748))+ISNUMBER(SEARCH("krudo",$B748))+ISNUMBER(SEARCH("gasolina",$B748))+ISNUMBER(SEARCH("toll",$B748))+ISNUMBER(SEARCH("parking",$B748))+ISNUMBER(SEARCH("repair",$B748))+ISNUMBER(SEARCH("maintenance",$B748))+ISNUMBER(SEARCH("tire",$B748))+ISNUMBER(SEARCH("tyre",$B748))+ISNUMBER(SEARCH("battery",$B748))+ISNUMBER(SEARCH("oil",$B748))+ISNUMBER(SEARCH("filter",$B748))+ISNUMBER(SEARCH("spare",$B748))+ISNUMBER(SEARCH("insurance",$B748))+ISNUMBER(SEARCH("lto",$B748))+ISNUMBER(SEARCH("registration",$B748))+ISNUMBER(SEARCH("emission",$B748))+ISNUMBER(SEARCH("wash",$B748))+ISNUMBER(SEARCH("weigh",$B748))+ISNUMBER(SEARCH("tarp",$B748))&gt;0,"Vehicle",IF(ISNUMBER(SEARCH("rent",$B748))+ISNUMBER(SEARCH("upa",$B748))+ISNUMBER(SEARCH("salary",$B748))+ISNUMBER(SEARCH("sweldo",$B748))+ISNUMBER(SEARCH("wage",$B748))+ISNUMBER(SEARCH("electric",$B748))+ISNUMBER(SEARCH("kuryente",$B748))+ISNUMBER(SEARCH("water",$B748))+ISNUMBER(SEARCH("tubig",$B748))+ISNUMBER(SEARCH("internet",$B748))+ISNUMBER(SEARCH("pldt",$B748))+ISNUMBER(SEARCH("meralco",$B748))+ISNUMBER(SEARCH("supplies",$B748))+ISNUMBER(SEARCH("office",$B748))+ISNUMBER(SEARCH("professional",$B748))+ISNUMBER(SEARCH("accountant",$B748))+ISNUMBER(SEARCH("lawyer",$B748))+ISNUMBER(SEARCH("broker",$B748))+ISNUMBER(SEARCH("bank",$B748))+ISNUMBER(SEARCH("charge",$B748))+ISNUMBER(SEARCH("permit",$B748))+ISNUMBER(SEARCH("bir",$B748))+ISNUMBER(SEARCH("ltfrb",$B748))+ISNUMBER(SEARCH("misc",$B748))+ISNUMBER(SEARCH("fee",$B748))&gt;0,"Overhead","Overhead")))))))</f>
        <v/>
      </c>
      <c r="J748">
        <f>IF($A748="","",DATE(YEAR($A748),MONTH($A748),1))</f>
        <v/>
      </c>
      <c r="K748">
        <f>IF($B748="","",IF(COUNTIF(Setup!$A$99:$A$128,$B748)&gt;0,0,1))</f>
        <v/>
      </c>
      <c r="L748">
        <f>IF($B748="","",IF(ISNUMBER(SEARCH("advance",$B748)),"ADV",IF(OR(ISNUMBER(SEARCH("payout",$B748)),ISNUMBER(SEARCH("pay out",$B748)),ISNUMBER(SEARCH("release",$B748))),"PAY","")))</f>
        <v/>
      </c>
      <c r="M748">
        <f>IF($B748="","",IF(ISNUMBER(SEARCH("bulk",$B748)),0,IF(ISNUMBER(SEARCH("fuel",$B748))+ISNUMBER(SEARCH("diesel",$B748))+ISNUMBER(SEARCH("krudo",$B748))+ISNUMBER(SEARCH("gasolina",$B748))&gt;0,1,0)))</f>
        <v/>
      </c>
      <c r="N748">
        <f>IF($B748="","",IF(ISNUMBER(SEARCH("fuel",$B748))+ISNUMBER(SEARCH("diesel",$B748))+ISNUMBER(SEARCH("krudo",$B748))+ISNUMBER(SEARCH("gasolina",$B748))&gt;0,1,0))</f>
        <v/>
      </c>
    </row>
    <row r="749">
      <c r="A749" s="86" t="n"/>
      <c r="B749" s="88" t="n"/>
      <c r="C749" s="88" t="n"/>
      <c r="D749" s="87" t="n"/>
      <c r="E749" s="88" t="n"/>
      <c r="F749" s="92" t="n"/>
      <c r="G749" s="87" t="n"/>
      <c r="H749" s="87" t="n"/>
      <c r="I749" s="101">
        <f>IF($B749="","",IF(COUNTIF(Setup!$A$99:$A$128,$B749)&gt;0,IF(INDEX(Setup!$B$99:$B$128,MATCH($B749,Setup!$A$99:$A$128,0))="","Overhead",INDEX(Setup!$B$99:$B$128,MATCH($B749,Setup!$A$99:$A$128,0))),IF(ISNUMBER(SEARCH("advance",$B749))+ISNUMBER(SEARCH("payout",$B749))+ISNUMBER(SEARCH("pay out",$B749))+ISNUMBER(SEARCH("reimburs",$B749))&gt;0,"Transfer",IF(ISNUMBER(SEARCH("loan",$B749))+ISNUMBER(SEARCH("amort",$B749))+ISNUMBER(SEARCH("installment",$B749))+ISNUMBER(SEARCH("instalment",$B749))&gt;0,"Financing",IF(ISNUMBER(SEARCH("draw",$B749))+ISNUMBER(SEARCH("owner",$B749))+ISNUMBER(SEARCH("asset",$B749))+ISNUMBER(SEARCH("capital",$B749))&gt;0,"Other",IF(ISNUMBER(SEARCH("fuel",$B749))+ISNUMBER(SEARCH("diesel",$B749))+ISNUMBER(SEARCH("krudo",$B749))+ISNUMBER(SEARCH("gasolina",$B749))+ISNUMBER(SEARCH("toll",$B749))+ISNUMBER(SEARCH("parking",$B749))+ISNUMBER(SEARCH("repair",$B749))+ISNUMBER(SEARCH("maintenance",$B749))+ISNUMBER(SEARCH("tire",$B749))+ISNUMBER(SEARCH("tyre",$B749))+ISNUMBER(SEARCH("battery",$B749))+ISNUMBER(SEARCH("oil",$B749))+ISNUMBER(SEARCH("filter",$B749))+ISNUMBER(SEARCH("spare",$B749))+ISNUMBER(SEARCH("insurance",$B749))+ISNUMBER(SEARCH("lto",$B749))+ISNUMBER(SEARCH("registration",$B749))+ISNUMBER(SEARCH("emission",$B749))+ISNUMBER(SEARCH("wash",$B749))+ISNUMBER(SEARCH("weigh",$B749))+ISNUMBER(SEARCH("tarp",$B749))&gt;0,"Vehicle",IF(ISNUMBER(SEARCH("rent",$B749))+ISNUMBER(SEARCH("upa",$B749))+ISNUMBER(SEARCH("salary",$B749))+ISNUMBER(SEARCH("sweldo",$B749))+ISNUMBER(SEARCH("wage",$B749))+ISNUMBER(SEARCH("electric",$B749))+ISNUMBER(SEARCH("kuryente",$B749))+ISNUMBER(SEARCH("water",$B749))+ISNUMBER(SEARCH("tubig",$B749))+ISNUMBER(SEARCH("internet",$B749))+ISNUMBER(SEARCH("pldt",$B749))+ISNUMBER(SEARCH("meralco",$B749))+ISNUMBER(SEARCH("supplies",$B749))+ISNUMBER(SEARCH("office",$B749))+ISNUMBER(SEARCH("professional",$B749))+ISNUMBER(SEARCH("accountant",$B749))+ISNUMBER(SEARCH("lawyer",$B749))+ISNUMBER(SEARCH("broker",$B749))+ISNUMBER(SEARCH("bank",$B749))+ISNUMBER(SEARCH("charge",$B749))+ISNUMBER(SEARCH("permit",$B749))+ISNUMBER(SEARCH("bir",$B749))+ISNUMBER(SEARCH("ltfrb",$B749))+ISNUMBER(SEARCH("misc",$B749))+ISNUMBER(SEARCH("fee",$B749))&gt;0,"Overhead","Overhead")))))))</f>
        <v/>
      </c>
      <c r="J749">
        <f>IF($A749="","",DATE(YEAR($A749),MONTH($A749),1))</f>
        <v/>
      </c>
      <c r="K749">
        <f>IF($B749="","",IF(COUNTIF(Setup!$A$99:$A$128,$B749)&gt;0,0,1))</f>
        <v/>
      </c>
      <c r="L749">
        <f>IF($B749="","",IF(ISNUMBER(SEARCH("advance",$B749)),"ADV",IF(OR(ISNUMBER(SEARCH("payout",$B749)),ISNUMBER(SEARCH("pay out",$B749)),ISNUMBER(SEARCH("release",$B749))),"PAY","")))</f>
        <v/>
      </c>
      <c r="M749">
        <f>IF($B749="","",IF(ISNUMBER(SEARCH("bulk",$B749)),0,IF(ISNUMBER(SEARCH("fuel",$B749))+ISNUMBER(SEARCH("diesel",$B749))+ISNUMBER(SEARCH("krudo",$B749))+ISNUMBER(SEARCH("gasolina",$B749))&gt;0,1,0)))</f>
        <v/>
      </c>
      <c r="N749">
        <f>IF($B749="","",IF(ISNUMBER(SEARCH("fuel",$B749))+ISNUMBER(SEARCH("diesel",$B749))+ISNUMBER(SEARCH("krudo",$B749))+ISNUMBER(SEARCH("gasolina",$B749))&gt;0,1,0))</f>
        <v/>
      </c>
    </row>
    <row r="750">
      <c r="A750" s="94" t="n"/>
      <c r="B750" s="96" t="n"/>
      <c r="C750" s="96" t="n"/>
      <c r="D750" s="95" t="n"/>
      <c r="E750" s="96" t="n"/>
      <c r="F750" s="99" t="n"/>
      <c r="G750" s="95" t="n"/>
      <c r="H750" s="95" t="n"/>
      <c r="I750" s="101">
        <f>IF($B750="","",IF(COUNTIF(Setup!$A$99:$A$128,$B750)&gt;0,IF(INDEX(Setup!$B$99:$B$128,MATCH($B750,Setup!$A$99:$A$128,0))="","Overhead",INDEX(Setup!$B$99:$B$128,MATCH($B750,Setup!$A$99:$A$128,0))),IF(ISNUMBER(SEARCH("advance",$B750))+ISNUMBER(SEARCH("payout",$B750))+ISNUMBER(SEARCH("pay out",$B750))+ISNUMBER(SEARCH("reimburs",$B750))&gt;0,"Transfer",IF(ISNUMBER(SEARCH("loan",$B750))+ISNUMBER(SEARCH("amort",$B750))+ISNUMBER(SEARCH("installment",$B750))+ISNUMBER(SEARCH("instalment",$B750))&gt;0,"Financing",IF(ISNUMBER(SEARCH("draw",$B750))+ISNUMBER(SEARCH("owner",$B750))+ISNUMBER(SEARCH("asset",$B750))+ISNUMBER(SEARCH("capital",$B750))&gt;0,"Other",IF(ISNUMBER(SEARCH("fuel",$B750))+ISNUMBER(SEARCH("diesel",$B750))+ISNUMBER(SEARCH("krudo",$B750))+ISNUMBER(SEARCH("gasolina",$B750))+ISNUMBER(SEARCH("toll",$B750))+ISNUMBER(SEARCH("parking",$B750))+ISNUMBER(SEARCH("repair",$B750))+ISNUMBER(SEARCH("maintenance",$B750))+ISNUMBER(SEARCH("tire",$B750))+ISNUMBER(SEARCH("tyre",$B750))+ISNUMBER(SEARCH("battery",$B750))+ISNUMBER(SEARCH("oil",$B750))+ISNUMBER(SEARCH("filter",$B750))+ISNUMBER(SEARCH("spare",$B750))+ISNUMBER(SEARCH("insurance",$B750))+ISNUMBER(SEARCH("lto",$B750))+ISNUMBER(SEARCH("registration",$B750))+ISNUMBER(SEARCH("emission",$B750))+ISNUMBER(SEARCH("wash",$B750))+ISNUMBER(SEARCH("weigh",$B750))+ISNUMBER(SEARCH("tarp",$B750))&gt;0,"Vehicle",IF(ISNUMBER(SEARCH("rent",$B750))+ISNUMBER(SEARCH("upa",$B750))+ISNUMBER(SEARCH("salary",$B750))+ISNUMBER(SEARCH("sweldo",$B750))+ISNUMBER(SEARCH("wage",$B750))+ISNUMBER(SEARCH("electric",$B750))+ISNUMBER(SEARCH("kuryente",$B750))+ISNUMBER(SEARCH("water",$B750))+ISNUMBER(SEARCH("tubig",$B750))+ISNUMBER(SEARCH("internet",$B750))+ISNUMBER(SEARCH("pldt",$B750))+ISNUMBER(SEARCH("meralco",$B750))+ISNUMBER(SEARCH("supplies",$B750))+ISNUMBER(SEARCH("office",$B750))+ISNUMBER(SEARCH("professional",$B750))+ISNUMBER(SEARCH("accountant",$B750))+ISNUMBER(SEARCH("lawyer",$B750))+ISNUMBER(SEARCH("broker",$B750))+ISNUMBER(SEARCH("bank",$B750))+ISNUMBER(SEARCH("charge",$B750))+ISNUMBER(SEARCH("permit",$B750))+ISNUMBER(SEARCH("bir",$B750))+ISNUMBER(SEARCH("ltfrb",$B750))+ISNUMBER(SEARCH("misc",$B750))+ISNUMBER(SEARCH("fee",$B750))&gt;0,"Overhead","Overhead")))))))</f>
        <v/>
      </c>
      <c r="J750">
        <f>IF($A750="","",DATE(YEAR($A750),MONTH($A750),1))</f>
        <v/>
      </c>
      <c r="K750">
        <f>IF($B750="","",IF(COUNTIF(Setup!$A$99:$A$128,$B750)&gt;0,0,1))</f>
        <v/>
      </c>
      <c r="L750">
        <f>IF($B750="","",IF(ISNUMBER(SEARCH("advance",$B750)),"ADV",IF(OR(ISNUMBER(SEARCH("payout",$B750)),ISNUMBER(SEARCH("pay out",$B750)),ISNUMBER(SEARCH("release",$B750))),"PAY","")))</f>
        <v/>
      </c>
      <c r="M750">
        <f>IF($B750="","",IF(ISNUMBER(SEARCH("bulk",$B750)),0,IF(ISNUMBER(SEARCH("fuel",$B750))+ISNUMBER(SEARCH("diesel",$B750))+ISNUMBER(SEARCH("krudo",$B750))+ISNUMBER(SEARCH("gasolina",$B750))&gt;0,1,0)))</f>
        <v/>
      </c>
      <c r="N750">
        <f>IF($B750="","",IF(ISNUMBER(SEARCH("fuel",$B750))+ISNUMBER(SEARCH("diesel",$B750))+ISNUMBER(SEARCH("krudo",$B750))+ISNUMBER(SEARCH("gasolina",$B750))&gt;0,1,0))</f>
        <v/>
      </c>
    </row>
    <row r="751">
      <c r="A751" s="86" t="n"/>
      <c r="B751" s="88" t="n"/>
      <c r="C751" s="88" t="n"/>
      <c r="D751" s="87" t="n"/>
      <c r="E751" s="88" t="n"/>
      <c r="F751" s="92" t="n"/>
      <c r="G751" s="87" t="n"/>
      <c r="H751" s="87" t="n"/>
      <c r="I751" s="101">
        <f>IF($B751="","",IF(COUNTIF(Setup!$A$99:$A$128,$B751)&gt;0,IF(INDEX(Setup!$B$99:$B$128,MATCH($B751,Setup!$A$99:$A$128,0))="","Overhead",INDEX(Setup!$B$99:$B$128,MATCH($B751,Setup!$A$99:$A$128,0))),IF(ISNUMBER(SEARCH("advance",$B751))+ISNUMBER(SEARCH("payout",$B751))+ISNUMBER(SEARCH("pay out",$B751))+ISNUMBER(SEARCH("reimburs",$B751))&gt;0,"Transfer",IF(ISNUMBER(SEARCH("loan",$B751))+ISNUMBER(SEARCH("amort",$B751))+ISNUMBER(SEARCH("installment",$B751))+ISNUMBER(SEARCH("instalment",$B751))&gt;0,"Financing",IF(ISNUMBER(SEARCH("draw",$B751))+ISNUMBER(SEARCH("owner",$B751))+ISNUMBER(SEARCH("asset",$B751))+ISNUMBER(SEARCH("capital",$B751))&gt;0,"Other",IF(ISNUMBER(SEARCH("fuel",$B751))+ISNUMBER(SEARCH("diesel",$B751))+ISNUMBER(SEARCH("krudo",$B751))+ISNUMBER(SEARCH("gasolina",$B751))+ISNUMBER(SEARCH("toll",$B751))+ISNUMBER(SEARCH("parking",$B751))+ISNUMBER(SEARCH("repair",$B751))+ISNUMBER(SEARCH("maintenance",$B751))+ISNUMBER(SEARCH("tire",$B751))+ISNUMBER(SEARCH("tyre",$B751))+ISNUMBER(SEARCH("battery",$B751))+ISNUMBER(SEARCH("oil",$B751))+ISNUMBER(SEARCH("filter",$B751))+ISNUMBER(SEARCH("spare",$B751))+ISNUMBER(SEARCH("insurance",$B751))+ISNUMBER(SEARCH("lto",$B751))+ISNUMBER(SEARCH("registration",$B751))+ISNUMBER(SEARCH("emission",$B751))+ISNUMBER(SEARCH("wash",$B751))+ISNUMBER(SEARCH("weigh",$B751))+ISNUMBER(SEARCH("tarp",$B751))&gt;0,"Vehicle",IF(ISNUMBER(SEARCH("rent",$B751))+ISNUMBER(SEARCH("upa",$B751))+ISNUMBER(SEARCH("salary",$B751))+ISNUMBER(SEARCH("sweldo",$B751))+ISNUMBER(SEARCH("wage",$B751))+ISNUMBER(SEARCH("electric",$B751))+ISNUMBER(SEARCH("kuryente",$B751))+ISNUMBER(SEARCH("water",$B751))+ISNUMBER(SEARCH("tubig",$B751))+ISNUMBER(SEARCH("internet",$B751))+ISNUMBER(SEARCH("pldt",$B751))+ISNUMBER(SEARCH("meralco",$B751))+ISNUMBER(SEARCH("supplies",$B751))+ISNUMBER(SEARCH("office",$B751))+ISNUMBER(SEARCH("professional",$B751))+ISNUMBER(SEARCH("accountant",$B751))+ISNUMBER(SEARCH("lawyer",$B751))+ISNUMBER(SEARCH("broker",$B751))+ISNUMBER(SEARCH("bank",$B751))+ISNUMBER(SEARCH("charge",$B751))+ISNUMBER(SEARCH("permit",$B751))+ISNUMBER(SEARCH("bir",$B751))+ISNUMBER(SEARCH("ltfrb",$B751))+ISNUMBER(SEARCH("misc",$B751))+ISNUMBER(SEARCH("fee",$B751))&gt;0,"Overhead","Overhead")))))))</f>
        <v/>
      </c>
      <c r="J751">
        <f>IF($A751="","",DATE(YEAR($A751),MONTH($A751),1))</f>
        <v/>
      </c>
      <c r="K751">
        <f>IF($B751="","",IF(COUNTIF(Setup!$A$99:$A$128,$B751)&gt;0,0,1))</f>
        <v/>
      </c>
      <c r="L751">
        <f>IF($B751="","",IF(ISNUMBER(SEARCH("advance",$B751)),"ADV",IF(OR(ISNUMBER(SEARCH("payout",$B751)),ISNUMBER(SEARCH("pay out",$B751)),ISNUMBER(SEARCH("release",$B751))),"PAY","")))</f>
        <v/>
      </c>
      <c r="M751">
        <f>IF($B751="","",IF(ISNUMBER(SEARCH("bulk",$B751)),0,IF(ISNUMBER(SEARCH("fuel",$B751))+ISNUMBER(SEARCH("diesel",$B751))+ISNUMBER(SEARCH("krudo",$B751))+ISNUMBER(SEARCH("gasolina",$B751))&gt;0,1,0)))</f>
        <v/>
      </c>
      <c r="N751">
        <f>IF($B751="","",IF(ISNUMBER(SEARCH("fuel",$B751))+ISNUMBER(SEARCH("diesel",$B751))+ISNUMBER(SEARCH("krudo",$B751))+ISNUMBER(SEARCH("gasolina",$B751))&gt;0,1,0))</f>
        <v/>
      </c>
    </row>
    <row r="752">
      <c r="A752" s="94" t="n"/>
      <c r="B752" s="96" t="n"/>
      <c r="C752" s="96" t="n"/>
      <c r="D752" s="95" t="n"/>
      <c r="E752" s="96" t="n"/>
      <c r="F752" s="99" t="n"/>
      <c r="G752" s="95" t="n"/>
      <c r="H752" s="95" t="n"/>
      <c r="I752" s="101">
        <f>IF($B752="","",IF(COUNTIF(Setup!$A$99:$A$128,$B752)&gt;0,IF(INDEX(Setup!$B$99:$B$128,MATCH($B752,Setup!$A$99:$A$128,0))="","Overhead",INDEX(Setup!$B$99:$B$128,MATCH($B752,Setup!$A$99:$A$128,0))),IF(ISNUMBER(SEARCH("advance",$B752))+ISNUMBER(SEARCH("payout",$B752))+ISNUMBER(SEARCH("pay out",$B752))+ISNUMBER(SEARCH("reimburs",$B752))&gt;0,"Transfer",IF(ISNUMBER(SEARCH("loan",$B752))+ISNUMBER(SEARCH("amort",$B752))+ISNUMBER(SEARCH("installment",$B752))+ISNUMBER(SEARCH("instalment",$B752))&gt;0,"Financing",IF(ISNUMBER(SEARCH("draw",$B752))+ISNUMBER(SEARCH("owner",$B752))+ISNUMBER(SEARCH("asset",$B752))+ISNUMBER(SEARCH("capital",$B752))&gt;0,"Other",IF(ISNUMBER(SEARCH("fuel",$B752))+ISNUMBER(SEARCH("diesel",$B752))+ISNUMBER(SEARCH("krudo",$B752))+ISNUMBER(SEARCH("gasolina",$B752))+ISNUMBER(SEARCH("toll",$B752))+ISNUMBER(SEARCH("parking",$B752))+ISNUMBER(SEARCH("repair",$B752))+ISNUMBER(SEARCH("maintenance",$B752))+ISNUMBER(SEARCH("tire",$B752))+ISNUMBER(SEARCH("tyre",$B752))+ISNUMBER(SEARCH("battery",$B752))+ISNUMBER(SEARCH("oil",$B752))+ISNUMBER(SEARCH("filter",$B752))+ISNUMBER(SEARCH("spare",$B752))+ISNUMBER(SEARCH("insurance",$B752))+ISNUMBER(SEARCH("lto",$B752))+ISNUMBER(SEARCH("registration",$B752))+ISNUMBER(SEARCH("emission",$B752))+ISNUMBER(SEARCH("wash",$B752))+ISNUMBER(SEARCH("weigh",$B752))+ISNUMBER(SEARCH("tarp",$B752))&gt;0,"Vehicle",IF(ISNUMBER(SEARCH("rent",$B752))+ISNUMBER(SEARCH("upa",$B752))+ISNUMBER(SEARCH("salary",$B752))+ISNUMBER(SEARCH("sweldo",$B752))+ISNUMBER(SEARCH("wage",$B752))+ISNUMBER(SEARCH("electric",$B752))+ISNUMBER(SEARCH("kuryente",$B752))+ISNUMBER(SEARCH("water",$B752))+ISNUMBER(SEARCH("tubig",$B752))+ISNUMBER(SEARCH("internet",$B752))+ISNUMBER(SEARCH("pldt",$B752))+ISNUMBER(SEARCH("meralco",$B752))+ISNUMBER(SEARCH("supplies",$B752))+ISNUMBER(SEARCH("office",$B752))+ISNUMBER(SEARCH("professional",$B752))+ISNUMBER(SEARCH("accountant",$B752))+ISNUMBER(SEARCH("lawyer",$B752))+ISNUMBER(SEARCH("broker",$B752))+ISNUMBER(SEARCH("bank",$B752))+ISNUMBER(SEARCH("charge",$B752))+ISNUMBER(SEARCH("permit",$B752))+ISNUMBER(SEARCH("bir",$B752))+ISNUMBER(SEARCH("ltfrb",$B752))+ISNUMBER(SEARCH("misc",$B752))+ISNUMBER(SEARCH("fee",$B752))&gt;0,"Overhead","Overhead")))))))</f>
        <v/>
      </c>
      <c r="J752">
        <f>IF($A752="","",DATE(YEAR($A752),MONTH($A752),1))</f>
        <v/>
      </c>
      <c r="K752">
        <f>IF($B752="","",IF(COUNTIF(Setup!$A$99:$A$128,$B752)&gt;0,0,1))</f>
        <v/>
      </c>
      <c r="L752">
        <f>IF($B752="","",IF(ISNUMBER(SEARCH("advance",$B752)),"ADV",IF(OR(ISNUMBER(SEARCH("payout",$B752)),ISNUMBER(SEARCH("pay out",$B752)),ISNUMBER(SEARCH("release",$B752))),"PAY","")))</f>
        <v/>
      </c>
      <c r="M752">
        <f>IF($B752="","",IF(ISNUMBER(SEARCH("bulk",$B752)),0,IF(ISNUMBER(SEARCH("fuel",$B752))+ISNUMBER(SEARCH("diesel",$B752))+ISNUMBER(SEARCH("krudo",$B752))+ISNUMBER(SEARCH("gasolina",$B752))&gt;0,1,0)))</f>
        <v/>
      </c>
      <c r="N752">
        <f>IF($B752="","",IF(ISNUMBER(SEARCH("fuel",$B752))+ISNUMBER(SEARCH("diesel",$B752))+ISNUMBER(SEARCH("krudo",$B752))+ISNUMBER(SEARCH("gasolina",$B752))&gt;0,1,0))</f>
        <v/>
      </c>
    </row>
    <row r="753">
      <c r="A753" s="86" t="n"/>
      <c r="B753" s="88" t="n"/>
      <c r="C753" s="88" t="n"/>
      <c r="D753" s="87" t="n"/>
      <c r="E753" s="88" t="n"/>
      <c r="F753" s="92" t="n"/>
      <c r="G753" s="87" t="n"/>
      <c r="H753" s="87" t="n"/>
      <c r="I753" s="101">
        <f>IF($B753="","",IF(COUNTIF(Setup!$A$99:$A$128,$B753)&gt;0,IF(INDEX(Setup!$B$99:$B$128,MATCH($B753,Setup!$A$99:$A$128,0))="","Overhead",INDEX(Setup!$B$99:$B$128,MATCH($B753,Setup!$A$99:$A$128,0))),IF(ISNUMBER(SEARCH("advance",$B753))+ISNUMBER(SEARCH("payout",$B753))+ISNUMBER(SEARCH("pay out",$B753))+ISNUMBER(SEARCH("reimburs",$B753))&gt;0,"Transfer",IF(ISNUMBER(SEARCH("loan",$B753))+ISNUMBER(SEARCH("amort",$B753))+ISNUMBER(SEARCH("installment",$B753))+ISNUMBER(SEARCH("instalment",$B753))&gt;0,"Financing",IF(ISNUMBER(SEARCH("draw",$B753))+ISNUMBER(SEARCH("owner",$B753))+ISNUMBER(SEARCH("asset",$B753))+ISNUMBER(SEARCH("capital",$B753))&gt;0,"Other",IF(ISNUMBER(SEARCH("fuel",$B753))+ISNUMBER(SEARCH("diesel",$B753))+ISNUMBER(SEARCH("krudo",$B753))+ISNUMBER(SEARCH("gasolina",$B753))+ISNUMBER(SEARCH("toll",$B753))+ISNUMBER(SEARCH("parking",$B753))+ISNUMBER(SEARCH("repair",$B753))+ISNUMBER(SEARCH("maintenance",$B753))+ISNUMBER(SEARCH("tire",$B753))+ISNUMBER(SEARCH("tyre",$B753))+ISNUMBER(SEARCH("battery",$B753))+ISNUMBER(SEARCH("oil",$B753))+ISNUMBER(SEARCH("filter",$B753))+ISNUMBER(SEARCH("spare",$B753))+ISNUMBER(SEARCH("insurance",$B753))+ISNUMBER(SEARCH("lto",$B753))+ISNUMBER(SEARCH("registration",$B753))+ISNUMBER(SEARCH("emission",$B753))+ISNUMBER(SEARCH("wash",$B753))+ISNUMBER(SEARCH("weigh",$B753))+ISNUMBER(SEARCH("tarp",$B753))&gt;0,"Vehicle",IF(ISNUMBER(SEARCH("rent",$B753))+ISNUMBER(SEARCH("upa",$B753))+ISNUMBER(SEARCH("salary",$B753))+ISNUMBER(SEARCH("sweldo",$B753))+ISNUMBER(SEARCH("wage",$B753))+ISNUMBER(SEARCH("electric",$B753))+ISNUMBER(SEARCH("kuryente",$B753))+ISNUMBER(SEARCH("water",$B753))+ISNUMBER(SEARCH("tubig",$B753))+ISNUMBER(SEARCH("internet",$B753))+ISNUMBER(SEARCH("pldt",$B753))+ISNUMBER(SEARCH("meralco",$B753))+ISNUMBER(SEARCH("supplies",$B753))+ISNUMBER(SEARCH("office",$B753))+ISNUMBER(SEARCH("professional",$B753))+ISNUMBER(SEARCH("accountant",$B753))+ISNUMBER(SEARCH("lawyer",$B753))+ISNUMBER(SEARCH("broker",$B753))+ISNUMBER(SEARCH("bank",$B753))+ISNUMBER(SEARCH("charge",$B753))+ISNUMBER(SEARCH("permit",$B753))+ISNUMBER(SEARCH("bir",$B753))+ISNUMBER(SEARCH("ltfrb",$B753))+ISNUMBER(SEARCH("misc",$B753))+ISNUMBER(SEARCH("fee",$B753))&gt;0,"Overhead","Overhead")))))))</f>
        <v/>
      </c>
      <c r="J753">
        <f>IF($A753="","",DATE(YEAR($A753),MONTH($A753),1))</f>
        <v/>
      </c>
      <c r="K753">
        <f>IF($B753="","",IF(COUNTIF(Setup!$A$99:$A$128,$B753)&gt;0,0,1))</f>
        <v/>
      </c>
      <c r="L753">
        <f>IF($B753="","",IF(ISNUMBER(SEARCH("advance",$B753)),"ADV",IF(OR(ISNUMBER(SEARCH("payout",$B753)),ISNUMBER(SEARCH("pay out",$B753)),ISNUMBER(SEARCH("release",$B753))),"PAY","")))</f>
        <v/>
      </c>
      <c r="M753">
        <f>IF($B753="","",IF(ISNUMBER(SEARCH("bulk",$B753)),0,IF(ISNUMBER(SEARCH("fuel",$B753))+ISNUMBER(SEARCH("diesel",$B753))+ISNUMBER(SEARCH("krudo",$B753))+ISNUMBER(SEARCH("gasolina",$B753))&gt;0,1,0)))</f>
        <v/>
      </c>
      <c r="N753">
        <f>IF($B753="","",IF(ISNUMBER(SEARCH("fuel",$B753))+ISNUMBER(SEARCH("diesel",$B753))+ISNUMBER(SEARCH("krudo",$B753))+ISNUMBER(SEARCH("gasolina",$B753))&gt;0,1,0))</f>
        <v/>
      </c>
    </row>
    <row r="754">
      <c r="A754" s="94" t="n"/>
      <c r="B754" s="96" t="n"/>
      <c r="C754" s="96" t="n"/>
      <c r="D754" s="95" t="n"/>
      <c r="E754" s="96" t="n"/>
      <c r="F754" s="99" t="n"/>
      <c r="G754" s="95" t="n"/>
      <c r="H754" s="95" t="n"/>
      <c r="I754" s="101">
        <f>IF($B754="","",IF(COUNTIF(Setup!$A$99:$A$128,$B754)&gt;0,IF(INDEX(Setup!$B$99:$B$128,MATCH($B754,Setup!$A$99:$A$128,0))="","Overhead",INDEX(Setup!$B$99:$B$128,MATCH($B754,Setup!$A$99:$A$128,0))),IF(ISNUMBER(SEARCH("advance",$B754))+ISNUMBER(SEARCH("payout",$B754))+ISNUMBER(SEARCH("pay out",$B754))+ISNUMBER(SEARCH("reimburs",$B754))&gt;0,"Transfer",IF(ISNUMBER(SEARCH("loan",$B754))+ISNUMBER(SEARCH("amort",$B754))+ISNUMBER(SEARCH("installment",$B754))+ISNUMBER(SEARCH("instalment",$B754))&gt;0,"Financing",IF(ISNUMBER(SEARCH("draw",$B754))+ISNUMBER(SEARCH("owner",$B754))+ISNUMBER(SEARCH("asset",$B754))+ISNUMBER(SEARCH("capital",$B754))&gt;0,"Other",IF(ISNUMBER(SEARCH("fuel",$B754))+ISNUMBER(SEARCH("diesel",$B754))+ISNUMBER(SEARCH("krudo",$B754))+ISNUMBER(SEARCH("gasolina",$B754))+ISNUMBER(SEARCH("toll",$B754))+ISNUMBER(SEARCH("parking",$B754))+ISNUMBER(SEARCH("repair",$B754))+ISNUMBER(SEARCH("maintenance",$B754))+ISNUMBER(SEARCH("tire",$B754))+ISNUMBER(SEARCH("tyre",$B754))+ISNUMBER(SEARCH("battery",$B754))+ISNUMBER(SEARCH("oil",$B754))+ISNUMBER(SEARCH("filter",$B754))+ISNUMBER(SEARCH("spare",$B754))+ISNUMBER(SEARCH("insurance",$B754))+ISNUMBER(SEARCH("lto",$B754))+ISNUMBER(SEARCH("registration",$B754))+ISNUMBER(SEARCH("emission",$B754))+ISNUMBER(SEARCH("wash",$B754))+ISNUMBER(SEARCH("weigh",$B754))+ISNUMBER(SEARCH("tarp",$B754))&gt;0,"Vehicle",IF(ISNUMBER(SEARCH("rent",$B754))+ISNUMBER(SEARCH("upa",$B754))+ISNUMBER(SEARCH("salary",$B754))+ISNUMBER(SEARCH("sweldo",$B754))+ISNUMBER(SEARCH("wage",$B754))+ISNUMBER(SEARCH("electric",$B754))+ISNUMBER(SEARCH("kuryente",$B754))+ISNUMBER(SEARCH("water",$B754))+ISNUMBER(SEARCH("tubig",$B754))+ISNUMBER(SEARCH("internet",$B754))+ISNUMBER(SEARCH("pldt",$B754))+ISNUMBER(SEARCH("meralco",$B754))+ISNUMBER(SEARCH("supplies",$B754))+ISNUMBER(SEARCH("office",$B754))+ISNUMBER(SEARCH("professional",$B754))+ISNUMBER(SEARCH("accountant",$B754))+ISNUMBER(SEARCH("lawyer",$B754))+ISNUMBER(SEARCH("broker",$B754))+ISNUMBER(SEARCH("bank",$B754))+ISNUMBER(SEARCH("charge",$B754))+ISNUMBER(SEARCH("permit",$B754))+ISNUMBER(SEARCH("bir",$B754))+ISNUMBER(SEARCH("ltfrb",$B754))+ISNUMBER(SEARCH("misc",$B754))+ISNUMBER(SEARCH("fee",$B754))&gt;0,"Overhead","Overhead")))))))</f>
        <v/>
      </c>
      <c r="J754">
        <f>IF($A754="","",DATE(YEAR($A754),MONTH($A754),1))</f>
        <v/>
      </c>
      <c r="K754">
        <f>IF($B754="","",IF(COUNTIF(Setup!$A$99:$A$128,$B754)&gt;0,0,1))</f>
        <v/>
      </c>
      <c r="L754">
        <f>IF($B754="","",IF(ISNUMBER(SEARCH("advance",$B754)),"ADV",IF(OR(ISNUMBER(SEARCH("payout",$B754)),ISNUMBER(SEARCH("pay out",$B754)),ISNUMBER(SEARCH("release",$B754))),"PAY","")))</f>
        <v/>
      </c>
      <c r="M754">
        <f>IF($B754="","",IF(ISNUMBER(SEARCH("bulk",$B754)),0,IF(ISNUMBER(SEARCH("fuel",$B754))+ISNUMBER(SEARCH("diesel",$B754))+ISNUMBER(SEARCH("krudo",$B754))+ISNUMBER(SEARCH("gasolina",$B754))&gt;0,1,0)))</f>
        <v/>
      </c>
      <c r="N754">
        <f>IF($B754="","",IF(ISNUMBER(SEARCH("fuel",$B754))+ISNUMBER(SEARCH("diesel",$B754))+ISNUMBER(SEARCH("krudo",$B754))+ISNUMBER(SEARCH("gasolina",$B754))&gt;0,1,0))</f>
        <v/>
      </c>
    </row>
    <row r="755">
      <c r="A755" s="86" t="n"/>
      <c r="B755" s="88" t="n"/>
      <c r="C755" s="88" t="n"/>
      <c r="D755" s="87" t="n"/>
      <c r="E755" s="88" t="n"/>
      <c r="F755" s="92" t="n"/>
      <c r="G755" s="87" t="n"/>
      <c r="H755" s="87" t="n"/>
      <c r="I755" s="101">
        <f>IF($B755="","",IF(COUNTIF(Setup!$A$99:$A$128,$B755)&gt;0,IF(INDEX(Setup!$B$99:$B$128,MATCH($B755,Setup!$A$99:$A$128,0))="","Overhead",INDEX(Setup!$B$99:$B$128,MATCH($B755,Setup!$A$99:$A$128,0))),IF(ISNUMBER(SEARCH("advance",$B755))+ISNUMBER(SEARCH("payout",$B755))+ISNUMBER(SEARCH("pay out",$B755))+ISNUMBER(SEARCH("reimburs",$B755))&gt;0,"Transfer",IF(ISNUMBER(SEARCH("loan",$B755))+ISNUMBER(SEARCH("amort",$B755))+ISNUMBER(SEARCH("installment",$B755))+ISNUMBER(SEARCH("instalment",$B755))&gt;0,"Financing",IF(ISNUMBER(SEARCH("draw",$B755))+ISNUMBER(SEARCH("owner",$B755))+ISNUMBER(SEARCH("asset",$B755))+ISNUMBER(SEARCH("capital",$B755))&gt;0,"Other",IF(ISNUMBER(SEARCH("fuel",$B755))+ISNUMBER(SEARCH("diesel",$B755))+ISNUMBER(SEARCH("krudo",$B755))+ISNUMBER(SEARCH("gasolina",$B755))+ISNUMBER(SEARCH("toll",$B755))+ISNUMBER(SEARCH("parking",$B755))+ISNUMBER(SEARCH("repair",$B755))+ISNUMBER(SEARCH("maintenance",$B755))+ISNUMBER(SEARCH("tire",$B755))+ISNUMBER(SEARCH("tyre",$B755))+ISNUMBER(SEARCH("battery",$B755))+ISNUMBER(SEARCH("oil",$B755))+ISNUMBER(SEARCH("filter",$B755))+ISNUMBER(SEARCH("spare",$B755))+ISNUMBER(SEARCH("insurance",$B755))+ISNUMBER(SEARCH("lto",$B755))+ISNUMBER(SEARCH("registration",$B755))+ISNUMBER(SEARCH("emission",$B755))+ISNUMBER(SEARCH("wash",$B755))+ISNUMBER(SEARCH("weigh",$B755))+ISNUMBER(SEARCH("tarp",$B755))&gt;0,"Vehicle",IF(ISNUMBER(SEARCH("rent",$B755))+ISNUMBER(SEARCH("upa",$B755))+ISNUMBER(SEARCH("salary",$B755))+ISNUMBER(SEARCH("sweldo",$B755))+ISNUMBER(SEARCH("wage",$B755))+ISNUMBER(SEARCH("electric",$B755))+ISNUMBER(SEARCH("kuryente",$B755))+ISNUMBER(SEARCH("water",$B755))+ISNUMBER(SEARCH("tubig",$B755))+ISNUMBER(SEARCH("internet",$B755))+ISNUMBER(SEARCH("pldt",$B755))+ISNUMBER(SEARCH("meralco",$B755))+ISNUMBER(SEARCH("supplies",$B755))+ISNUMBER(SEARCH("office",$B755))+ISNUMBER(SEARCH("professional",$B755))+ISNUMBER(SEARCH("accountant",$B755))+ISNUMBER(SEARCH("lawyer",$B755))+ISNUMBER(SEARCH("broker",$B755))+ISNUMBER(SEARCH("bank",$B755))+ISNUMBER(SEARCH("charge",$B755))+ISNUMBER(SEARCH("permit",$B755))+ISNUMBER(SEARCH("bir",$B755))+ISNUMBER(SEARCH("ltfrb",$B755))+ISNUMBER(SEARCH("misc",$B755))+ISNUMBER(SEARCH("fee",$B755))&gt;0,"Overhead","Overhead")))))))</f>
        <v/>
      </c>
      <c r="J755">
        <f>IF($A755="","",DATE(YEAR($A755),MONTH($A755),1))</f>
        <v/>
      </c>
      <c r="K755">
        <f>IF($B755="","",IF(COUNTIF(Setup!$A$99:$A$128,$B755)&gt;0,0,1))</f>
        <v/>
      </c>
      <c r="L755">
        <f>IF($B755="","",IF(ISNUMBER(SEARCH("advance",$B755)),"ADV",IF(OR(ISNUMBER(SEARCH("payout",$B755)),ISNUMBER(SEARCH("pay out",$B755)),ISNUMBER(SEARCH("release",$B755))),"PAY","")))</f>
        <v/>
      </c>
      <c r="M755">
        <f>IF($B755="","",IF(ISNUMBER(SEARCH("bulk",$B755)),0,IF(ISNUMBER(SEARCH("fuel",$B755))+ISNUMBER(SEARCH("diesel",$B755))+ISNUMBER(SEARCH("krudo",$B755))+ISNUMBER(SEARCH("gasolina",$B755))&gt;0,1,0)))</f>
        <v/>
      </c>
      <c r="N755">
        <f>IF($B755="","",IF(ISNUMBER(SEARCH("fuel",$B755))+ISNUMBER(SEARCH("diesel",$B755))+ISNUMBER(SEARCH("krudo",$B755))+ISNUMBER(SEARCH("gasolina",$B755))&gt;0,1,0))</f>
        <v/>
      </c>
    </row>
    <row r="756">
      <c r="A756" s="94" t="n"/>
      <c r="B756" s="96" t="n"/>
      <c r="C756" s="96" t="n"/>
      <c r="D756" s="95" t="n"/>
      <c r="E756" s="96" t="n"/>
      <c r="F756" s="99" t="n"/>
      <c r="G756" s="95" t="n"/>
      <c r="H756" s="95" t="n"/>
      <c r="I756" s="101">
        <f>IF($B756="","",IF(COUNTIF(Setup!$A$99:$A$128,$B756)&gt;0,IF(INDEX(Setup!$B$99:$B$128,MATCH($B756,Setup!$A$99:$A$128,0))="","Overhead",INDEX(Setup!$B$99:$B$128,MATCH($B756,Setup!$A$99:$A$128,0))),IF(ISNUMBER(SEARCH("advance",$B756))+ISNUMBER(SEARCH("payout",$B756))+ISNUMBER(SEARCH("pay out",$B756))+ISNUMBER(SEARCH("reimburs",$B756))&gt;0,"Transfer",IF(ISNUMBER(SEARCH("loan",$B756))+ISNUMBER(SEARCH("amort",$B756))+ISNUMBER(SEARCH("installment",$B756))+ISNUMBER(SEARCH("instalment",$B756))&gt;0,"Financing",IF(ISNUMBER(SEARCH("draw",$B756))+ISNUMBER(SEARCH("owner",$B756))+ISNUMBER(SEARCH("asset",$B756))+ISNUMBER(SEARCH("capital",$B756))&gt;0,"Other",IF(ISNUMBER(SEARCH("fuel",$B756))+ISNUMBER(SEARCH("diesel",$B756))+ISNUMBER(SEARCH("krudo",$B756))+ISNUMBER(SEARCH("gasolina",$B756))+ISNUMBER(SEARCH("toll",$B756))+ISNUMBER(SEARCH("parking",$B756))+ISNUMBER(SEARCH("repair",$B756))+ISNUMBER(SEARCH("maintenance",$B756))+ISNUMBER(SEARCH("tire",$B756))+ISNUMBER(SEARCH("tyre",$B756))+ISNUMBER(SEARCH("battery",$B756))+ISNUMBER(SEARCH("oil",$B756))+ISNUMBER(SEARCH("filter",$B756))+ISNUMBER(SEARCH("spare",$B756))+ISNUMBER(SEARCH("insurance",$B756))+ISNUMBER(SEARCH("lto",$B756))+ISNUMBER(SEARCH("registration",$B756))+ISNUMBER(SEARCH("emission",$B756))+ISNUMBER(SEARCH("wash",$B756))+ISNUMBER(SEARCH("weigh",$B756))+ISNUMBER(SEARCH("tarp",$B756))&gt;0,"Vehicle",IF(ISNUMBER(SEARCH("rent",$B756))+ISNUMBER(SEARCH("upa",$B756))+ISNUMBER(SEARCH("salary",$B756))+ISNUMBER(SEARCH("sweldo",$B756))+ISNUMBER(SEARCH("wage",$B756))+ISNUMBER(SEARCH("electric",$B756))+ISNUMBER(SEARCH("kuryente",$B756))+ISNUMBER(SEARCH("water",$B756))+ISNUMBER(SEARCH("tubig",$B756))+ISNUMBER(SEARCH("internet",$B756))+ISNUMBER(SEARCH("pldt",$B756))+ISNUMBER(SEARCH("meralco",$B756))+ISNUMBER(SEARCH("supplies",$B756))+ISNUMBER(SEARCH("office",$B756))+ISNUMBER(SEARCH("professional",$B756))+ISNUMBER(SEARCH("accountant",$B756))+ISNUMBER(SEARCH("lawyer",$B756))+ISNUMBER(SEARCH("broker",$B756))+ISNUMBER(SEARCH("bank",$B756))+ISNUMBER(SEARCH("charge",$B756))+ISNUMBER(SEARCH("permit",$B756))+ISNUMBER(SEARCH("bir",$B756))+ISNUMBER(SEARCH("ltfrb",$B756))+ISNUMBER(SEARCH("misc",$B756))+ISNUMBER(SEARCH("fee",$B756))&gt;0,"Overhead","Overhead")))))))</f>
        <v/>
      </c>
      <c r="J756">
        <f>IF($A756="","",DATE(YEAR($A756),MONTH($A756),1))</f>
        <v/>
      </c>
      <c r="K756">
        <f>IF($B756="","",IF(COUNTIF(Setup!$A$99:$A$128,$B756)&gt;0,0,1))</f>
        <v/>
      </c>
      <c r="L756">
        <f>IF($B756="","",IF(ISNUMBER(SEARCH("advance",$B756)),"ADV",IF(OR(ISNUMBER(SEARCH("payout",$B756)),ISNUMBER(SEARCH("pay out",$B756)),ISNUMBER(SEARCH("release",$B756))),"PAY","")))</f>
        <v/>
      </c>
      <c r="M756">
        <f>IF($B756="","",IF(ISNUMBER(SEARCH("bulk",$B756)),0,IF(ISNUMBER(SEARCH("fuel",$B756))+ISNUMBER(SEARCH("diesel",$B756))+ISNUMBER(SEARCH("krudo",$B756))+ISNUMBER(SEARCH("gasolina",$B756))&gt;0,1,0)))</f>
        <v/>
      </c>
      <c r="N756">
        <f>IF($B756="","",IF(ISNUMBER(SEARCH("fuel",$B756))+ISNUMBER(SEARCH("diesel",$B756))+ISNUMBER(SEARCH("krudo",$B756))+ISNUMBER(SEARCH("gasolina",$B756))&gt;0,1,0))</f>
        <v/>
      </c>
    </row>
    <row r="757">
      <c r="A757" s="86" t="n"/>
      <c r="B757" s="88" t="n"/>
      <c r="C757" s="88" t="n"/>
      <c r="D757" s="87" t="n"/>
      <c r="E757" s="88" t="n"/>
      <c r="F757" s="92" t="n"/>
      <c r="G757" s="87" t="n"/>
      <c r="H757" s="87" t="n"/>
      <c r="I757" s="101">
        <f>IF($B757="","",IF(COUNTIF(Setup!$A$99:$A$128,$B757)&gt;0,IF(INDEX(Setup!$B$99:$B$128,MATCH($B757,Setup!$A$99:$A$128,0))="","Overhead",INDEX(Setup!$B$99:$B$128,MATCH($B757,Setup!$A$99:$A$128,0))),IF(ISNUMBER(SEARCH("advance",$B757))+ISNUMBER(SEARCH("payout",$B757))+ISNUMBER(SEARCH("pay out",$B757))+ISNUMBER(SEARCH("reimburs",$B757))&gt;0,"Transfer",IF(ISNUMBER(SEARCH("loan",$B757))+ISNUMBER(SEARCH("amort",$B757))+ISNUMBER(SEARCH("installment",$B757))+ISNUMBER(SEARCH("instalment",$B757))&gt;0,"Financing",IF(ISNUMBER(SEARCH("draw",$B757))+ISNUMBER(SEARCH("owner",$B757))+ISNUMBER(SEARCH("asset",$B757))+ISNUMBER(SEARCH("capital",$B757))&gt;0,"Other",IF(ISNUMBER(SEARCH("fuel",$B757))+ISNUMBER(SEARCH("diesel",$B757))+ISNUMBER(SEARCH("krudo",$B757))+ISNUMBER(SEARCH("gasolina",$B757))+ISNUMBER(SEARCH("toll",$B757))+ISNUMBER(SEARCH("parking",$B757))+ISNUMBER(SEARCH("repair",$B757))+ISNUMBER(SEARCH("maintenance",$B757))+ISNUMBER(SEARCH("tire",$B757))+ISNUMBER(SEARCH("tyre",$B757))+ISNUMBER(SEARCH("battery",$B757))+ISNUMBER(SEARCH("oil",$B757))+ISNUMBER(SEARCH("filter",$B757))+ISNUMBER(SEARCH("spare",$B757))+ISNUMBER(SEARCH("insurance",$B757))+ISNUMBER(SEARCH("lto",$B757))+ISNUMBER(SEARCH("registration",$B757))+ISNUMBER(SEARCH("emission",$B757))+ISNUMBER(SEARCH("wash",$B757))+ISNUMBER(SEARCH("weigh",$B757))+ISNUMBER(SEARCH("tarp",$B757))&gt;0,"Vehicle",IF(ISNUMBER(SEARCH("rent",$B757))+ISNUMBER(SEARCH("upa",$B757))+ISNUMBER(SEARCH("salary",$B757))+ISNUMBER(SEARCH("sweldo",$B757))+ISNUMBER(SEARCH("wage",$B757))+ISNUMBER(SEARCH("electric",$B757))+ISNUMBER(SEARCH("kuryente",$B757))+ISNUMBER(SEARCH("water",$B757))+ISNUMBER(SEARCH("tubig",$B757))+ISNUMBER(SEARCH("internet",$B757))+ISNUMBER(SEARCH("pldt",$B757))+ISNUMBER(SEARCH("meralco",$B757))+ISNUMBER(SEARCH("supplies",$B757))+ISNUMBER(SEARCH("office",$B757))+ISNUMBER(SEARCH("professional",$B757))+ISNUMBER(SEARCH("accountant",$B757))+ISNUMBER(SEARCH("lawyer",$B757))+ISNUMBER(SEARCH("broker",$B757))+ISNUMBER(SEARCH("bank",$B757))+ISNUMBER(SEARCH("charge",$B757))+ISNUMBER(SEARCH("permit",$B757))+ISNUMBER(SEARCH("bir",$B757))+ISNUMBER(SEARCH("ltfrb",$B757))+ISNUMBER(SEARCH("misc",$B757))+ISNUMBER(SEARCH("fee",$B757))&gt;0,"Overhead","Overhead")))))))</f>
        <v/>
      </c>
      <c r="J757">
        <f>IF($A757="","",DATE(YEAR($A757),MONTH($A757),1))</f>
        <v/>
      </c>
      <c r="K757">
        <f>IF($B757="","",IF(COUNTIF(Setup!$A$99:$A$128,$B757)&gt;0,0,1))</f>
        <v/>
      </c>
      <c r="L757">
        <f>IF($B757="","",IF(ISNUMBER(SEARCH("advance",$B757)),"ADV",IF(OR(ISNUMBER(SEARCH("payout",$B757)),ISNUMBER(SEARCH("pay out",$B757)),ISNUMBER(SEARCH("release",$B757))),"PAY","")))</f>
        <v/>
      </c>
      <c r="M757">
        <f>IF($B757="","",IF(ISNUMBER(SEARCH("bulk",$B757)),0,IF(ISNUMBER(SEARCH("fuel",$B757))+ISNUMBER(SEARCH("diesel",$B757))+ISNUMBER(SEARCH("krudo",$B757))+ISNUMBER(SEARCH("gasolina",$B757))&gt;0,1,0)))</f>
        <v/>
      </c>
      <c r="N757">
        <f>IF($B757="","",IF(ISNUMBER(SEARCH("fuel",$B757))+ISNUMBER(SEARCH("diesel",$B757))+ISNUMBER(SEARCH("krudo",$B757))+ISNUMBER(SEARCH("gasolina",$B757))&gt;0,1,0))</f>
        <v/>
      </c>
    </row>
    <row r="758">
      <c r="A758" s="94" t="n"/>
      <c r="B758" s="96" t="n"/>
      <c r="C758" s="96" t="n"/>
      <c r="D758" s="95" t="n"/>
      <c r="E758" s="96" t="n"/>
      <c r="F758" s="99" t="n"/>
      <c r="G758" s="95" t="n"/>
      <c r="H758" s="95" t="n"/>
      <c r="I758" s="101">
        <f>IF($B758="","",IF(COUNTIF(Setup!$A$99:$A$128,$B758)&gt;0,IF(INDEX(Setup!$B$99:$B$128,MATCH($B758,Setup!$A$99:$A$128,0))="","Overhead",INDEX(Setup!$B$99:$B$128,MATCH($B758,Setup!$A$99:$A$128,0))),IF(ISNUMBER(SEARCH("advance",$B758))+ISNUMBER(SEARCH("payout",$B758))+ISNUMBER(SEARCH("pay out",$B758))+ISNUMBER(SEARCH("reimburs",$B758))&gt;0,"Transfer",IF(ISNUMBER(SEARCH("loan",$B758))+ISNUMBER(SEARCH("amort",$B758))+ISNUMBER(SEARCH("installment",$B758))+ISNUMBER(SEARCH("instalment",$B758))&gt;0,"Financing",IF(ISNUMBER(SEARCH("draw",$B758))+ISNUMBER(SEARCH("owner",$B758))+ISNUMBER(SEARCH("asset",$B758))+ISNUMBER(SEARCH("capital",$B758))&gt;0,"Other",IF(ISNUMBER(SEARCH("fuel",$B758))+ISNUMBER(SEARCH("diesel",$B758))+ISNUMBER(SEARCH("krudo",$B758))+ISNUMBER(SEARCH("gasolina",$B758))+ISNUMBER(SEARCH("toll",$B758))+ISNUMBER(SEARCH("parking",$B758))+ISNUMBER(SEARCH("repair",$B758))+ISNUMBER(SEARCH("maintenance",$B758))+ISNUMBER(SEARCH("tire",$B758))+ISNUMBER(SEARCH("tyre",$B758))+ISNUMBER(SEARCH("battery",$B758))+ISNUMBER(SEARCH("oil",$B758))+ISNUMBER(SEARCH("filter",$B758))+ISNUMBER(SEARCH("spare",$B758))+ISNUMBER(SEARCH("insurance",$B758))+ISNUMBER(SEARCH("lto",$B758))+ISNUMBER(SEARCH("registration",$B758))+ISNUMBER(SEARCH("emission",$B758))+ISNUMBER(SEARCH("wash",$B758))+ISNUMBER(SEARCH("weigh",$B758))+ISNUMBER(SEARCH("tarp",$B758))&gt;0,"Vehicle",IF(ISNUMBER(SEARCH("rent",$B758))+ISNUMBER(SEARCH("upa",$B758))+ISNUMBER(SEARCH("salary",$B758))+ISNUMBER(SEARCH("sweldo",$B758))+ISNUMBER(SEARCH("wage",$B758))+ISNUMBER(SEARCH("electric",$B758))+ISNUMBER(SEARCH("kuryente",$B758))+ISNUMBER(SEARCH("water",$B758))+ISNUMBER(SEARCH("tubig",$B758))+ISNUMBER(SEARCH("internet",$B758))+ISNUMBER(SEARCH("pldt",$B758))+ISNUMBER(SEARCH("meralco",$B758))+ISNUMBER(SEARCH("supplies",$B758))+ISNUMBER(SEARCH("office",$B758))+ISNUMBER(SEARCH("professional",$B758))+ISNUMBER(SEARCH("accountant",$B758))+ISNUMBER(SEARCH("lawyer",$B758))+ISNUMBER(SEARCH("broker",$B758))+ISNUMBER(SEARCH("bank",$B758))+ISNUMBER(SEARCH("charge",$B758))+ISNUMBER(SEARCH("permit",$B758))+ISNUMBER(SEARCH("bir",$B758))+ISNUMBER(SEARCH("ltfrb",$B758))+ISNUMBER(SEARCH("misc",$B758))+ISNUMBER(SEARCH("fee",$B758))&gt;0,"Overhead","Overhead")))))))</f>
        <v/>
      </c>
      <c r="J758">
        <f>IF($A758="","",DATE(YEAR($A758),MONTH($A758),1))</f>
        <v/>
      </c>
      <c r="K758">
        <f>IF($B758="","",IF(COUNTIF(Setup!$A$99:$A$128,$B758)&gt;0,0,1))</f>
        <v/>
      </c>
      <c r="L758">
        <f>IF($B758="","",IF(ISNUMBER(SEARCH("advance",$B758)),"ADV",IF(OR(ISNUMBER(SEARCH("payout",$B758)),ISNUMBER(SEARCH("pay out",$B758)),ISNUMBER(SEARCH("release",$B758))),"PAY","")))</f>
        <v/>
      </c>
      <c r="M758">
        <f>IF($B758="","",IF(ISNUMBER(SEARCH("bulk",$B758)),0,IF(ISNUMBER(SEARCH("fuel",$B758))+ISNUMBER(SEARCH("diesel",$B758))+ISNUMBER(SEARCH("krudo",$B758))+ISNUMBER(SEARCH("gasolina",$B758))&gt;0,1,0)))</f>
        <v/>
      </c>
      <c r="N758">
        <f>IF($B758="","",IF(ISNUMBER(SEARCH("fuel",$B758))+ISNUMBER(SEARCH("diesel",$B758))+ISNUMBER(SEARCH("krudo",$B758))+ISNUMBER(SEARCH("gasolina",$B758))&gt;0,1,0))</f>
        <v/>
      </c>
    </row>
    <row r="759">
      <c r="A759" s="86" t="n"/>
      <c r="B759" s="88" t="n"/>
      <c r="C759" s="88" t="n"/>
      <c r="D759" s="87" t="n"/>
      <c r="E759" s="88" t="n"/>
      <c r="F759" s="92" t="n"/>
      <c r="G759" s="87" t="n"/>
      <c r="H759" s="87" t="n"/>
      <c r="I759" s="101">
        <f>IF($B759="","",IF(COUNTIF(Setup!$A$99:$A$128,$B759)&gt;0,IF(INDEX(Setup!$B$99:$B$128,MATCH($B759,Setup!$A$99:$A$128,0))="","Overhead",INDEX(Setup!$B$99:$B$128,MATCH($B759,Setup!$A$99:$A$128,0))),IF(ISNUMBER(SEARCH("advance",$B759))+ISNUMBER(SEARCH("payout",$B759))+ISNUMBER(SEARCH("pay out",$B759))+ISNUMBER(SEARCH("reimburs",$B759))&gt;0,"Transfer",IF(ISNUMBER(SEARCH("loan",$B759))+ISNUMBER(SEARCH("amort",$B759))+ISNUMBER(SEARCH("installment",$B759))+ISNUMBER(SEARCH("instalment",$B759))&gt;0,"Financing",IF(ISNUMBER(SEARCH("draw",$B759))+ISNUMBER(SEARCH("owner",$B759))+ISNUMBER(SEARCH("asset",$B759))+ISNUMBER(SEARCH("capital",$B759))&gt;0,"Other",IF(ISNUMBER(SEARCH("fuel",$B759))+ISNUMBER(SEARCH("diesel",$B759))+ISNUMBER(SEARCH("krudo",$B759))+ISNUMBER(SEARCH("gasolina",$B759))+ISNUMBER(SEARCH("toll",$B759))+ISNUMBER(SEARCH("parking",$B759))+ISNUMBER(SEARCH("repair",$B759))+ISNUMBER(SEARCH("maintenance",$B759))+ISNUMBER(SEARCH("tire",$B759))+ISNUMBER(SEARCH("tyre",$B759))+ISNUMBER(SEARCH("battery",$B759))+ISNUMBER(SEARCH("oil",$B759))+ISNUMBER(SEARCH("filter",$B759))+ISNUMBER(SEARCH("spare",$B759))+ISNUMBER(SEARCH("insurance",$B759))+ISNUMBER(SEARCH("lto",$B759))+ISNUMBER(SEARCH("registration",$B759))+ISNUMBER(SEARCH("emission",$B759))+ISNUMBER(SEARCH("wash",$B759))+ISNUMBER(SEARCH("weigh",$B759))+ISNUMBER(SEARCH("tarp",$B759))&gt;0,"Vehicle",IF(ISNUMBER(SEARCH("rent",$B759))+ISNUMBER(SEARCH("upa",$B759))+ISNUMBER(SEARCH("salary",$B759))+ISNUMBER(SEARCH("sweldo",$B759))+ISNUMBER(SEARCH("wage",$B759))+ISNUMBER(SEARCH("electric",$B759))+ISNUMBER(SEARCH("kuryente",$B759))+ISNUMBER(SEARCH("water",$B759))+ISNUMBER(SEARCH("tubig",$B759))+ISNUMBER(SEARCH("internet",$B759))+ISNUMBER(SEARCH("pldt",$B759))+ISNUMBER(SEARCH("meralco",$B759))+ISNUMBER(SEARCH("supplies",$B759))+ISNUMBER(SEARCH("office",$B759))+ISNUMBER(SEARCH("professional",$B759))+ISNUMBER(SEARCH("accountant",$B759))+ISNUMBER(SEARCH("lawyer",$B759))+ISNUMBER(SEARCH("broker",$B759))+ISNUMBER(SEARCH("bank",$B759))+ISNUMBER(SEARCH("charge",$B759))+ISNUMBER(SEARCH("permit",$B759))+ISNUMBER(SEARCH("bir",$B759))+ISNUMBER(SEARCH("ltfrb",$B759))+ISNUMBER(SEARCH("misc",$B759))+ISNUMBER(SEARCH("fee",$B759))&gt;0,"Overhead","Overhead")))))))</f>
        <v/>
      </c>
      <c r="J759">
        <f>IF($A759="","",DATE(YEAR($A759),MONTH($A759),1))</f>
        <v/>
      </c>
      <c r="K759">
        <f>IF($B759="","",IF(COUNTIF(Setup!$A$99:$A$128,$B759)&gt;0,0,1))</f>
        <v/>
      </c>
      <c r="L759">
        <f>IF($B759="","",IF(ISNUMBER(SEARCH("advance",$B759)),"ADV",IF(OR(ISNUMBER(SEARCH("payout",$B759)),ISNUMBER(SEARCH("pay out",$B759)),ISNUMBER(SEARCH("release",$B759))),"PAY","")))</f>
        <v/>
      </c>
      <c r="M759">
        <f>IF($B759="","",IF(ISNUMBER(SEARCH("bulk",$B759)),0,IF(ISNUMBER(SEARCH("fuel",$B759))+ISNUMBER(SEARCH("diesel",$B759))+ISNUMBER(SEARCH("krudo",$B759))+ISNUMBER(SEARCH("gasolina",$B759))&gt;0,1,0)))</f>
        <v/>
      </c>
      <c r="N759">
        <f>IF($B759="","",IF(ISNUMBER(SEARCH("fuel",$B759))+ISNUMBER(SEARCH("diesel",$B759))+ISNUMBER(SEARCH("krudo",$B759))+ISNUMBER(SEARCH("gasolina",$B759))&gt;0,1,0))</f>
        <v/>
      </c>
    </row>
    <row r="760">
      <c r="A760" s="94" t="n"/>
      <c r="B760" s="96" t="n"/>
      <c r="C760" s="96" t="n"/>
      <c r="D760" s="95" t="n"/>
      <c r="E760" s="96" t="n"/>
      <c r="F760" s="99" t="n"/>
      <c r="G760" s="95" t="n"/>
      <c r="H760" s="95" t="n"/>
      <c r="I760" s="101">
        <f>IF($B760="","",IF(COUNTIF(Setup!$A$99:$A$128,$B760)&gt;0,IF(INDEX(Setup!$B$99:$B$128,MATCH($B760,Setup!$A$99:$A$128,0))="","Overhead",INDEX(Setup!$B$99:$B$128,MATCH($B760,Setup!$A$99:$A$128,0))),IF(ISNUMBER(SEARCH("advance",$B760))+ISNUMBER(SEARCH("payout",$B760))+ISNUMBER(SEARCH("pay out",$B760))+ISNUMBER(SEARCH("reimburs",$B760))&gt;0,"Transfer",IF(ISNUMBER(SEARCH("loan",$B760))+ISNUMBER(SEARCH("amort",$B760))+ISNUMBER(SEARCH("installment",$B760))+ISNUMBER(SEARCH("instalment",$B760))&gt;0,"Financing",IF(ISNUMBER(SEARCH("draw",$B760))+ISNUMBER(SEARCH("owner",$B760))+ISNUMBER(SEARCH("asset",$B760))+ISNUMBER(SEARCH("capital",$B760))&gt;0,"Other",IF(ISNUMBER(SEARCH("fuel",$B760))+ISNUMBER(SEARCH("diesel",$B760))+ISNUMBER(SEARCH("krudo",$B760))+ISNUMBER(SEARCH("gasolina",$B760))+ISNUMBER(SEARCH("toll",$B760))+ISNUMBER(SEARCH("parking",$B760))+ISNUMBER(SEARCH("repair",$B760))+ISNUMBER(SEARCH("maintenance",$B760))+ISNUMBER(SEARCH("tire",$B760))+ISNUMBER(SEARCH("tyre",$B760))+ISNUMBER(SEARCH("battery",$B760))+ISNUMBER(SEARCH("oil",$B760))+ISNUMBER(SEARCH("filter",$B760))+ISNUMBER(SEARCH("spare",$B760))+ISNUMBER(SEARCH("insurance",$B760))+ISNUMBER(SEARCH("lto",$B760))+ISNUMBER(SEARCH("registration",$B760))+ISNUMBER(SEARCH("emission",$B760))+ISNUMBER(SEARCH("wash",$B760))+ISNUMBER(SEARCH("weigh",$B760))+ISNUMBER(SEARCH("tarp",$B760))&gt;0,"Vehicle",IF(ISNUMBER(SEARCH("rent",$B760))+ISNUMBER(SEARCH("upa",$B760))+ISNUMBER(SEARCH("salary",$B760))+ISNUMBER(SEARCH("sweldo",$B760))+ISNUMBER(SEARCH("wage",$B760))+ISNUMBER(SEARCH("electric",$B760))+ISNUMBER(SEARCH("kuryente",$B760))+ISNUMBER(SEARCH("water",$B760))+ISNUMBER(SEARCH("tubig",$B760))+ISNUMBER(SEARCH("internet",$B760))+ISNUMBER(SEARCH("pldt",$B760))+ISNUMBER(SEARCH("meralco",$B760))+ISNUMBER(SEARCH("supplies",$B760))+ISNUMBER(SEARCH("office",$B760))+ISNUMBER(SEARCH("professional",$B760))+ISNUMBER(SEARCH("accountant",$B760))+ISNUMBER(SEARCH("lawyer",$B760))+ISNUMBER(SEARCH("broker",$B760))+ISNUMBER(SEARCH("bank",$B760))+ISNUMBER(SEARCH("charge",$B760))+ISNUMBER(SEARCH("permit",$B760))+ISNUMBER(SEARCH("bir",$B760))+ISNUMBER(SEARCH("ltfrb",$B760))+ISNUMBER(SEARCH("misc",$B760))+ISNUMBER(SEARCH("fee",$B760))&gt;0,"Overhead","Overhead")))))))</f>
        <v/>
      </c>
      <c r="J760">
        <f>IF($A760="","",DATE(YEAR($A760),MONTH($A760),1))</f>
        <v/>
      </c>
      <c r="K760">
        <f>IF($B760="","",IF(COUNTIF(Setup!$A$99:$A$128,$B760)&gt;0,0,1))</f>
        <v/>
      </c>
      <c r="L760">
        <f>IF($B760="","",IF(ISNUMBER(SEARCH("advance",$B760)),"ADV",IF(OR(ISNUMBER(SEARCH("payout",$B760)),ISNUMBER(SEARCH("pay out",$B760)),ISNUMBER(SEARCH("release",$B760))),"PAY","")))</f>
        <v/>
      </c>
      <c r="M760">
        <f>IF($B760="","",IF(ISNUMBER(SEARCH("bulk",$B760)),0,IF(ISNUMBER(SEARCH("fuel",$B760))+ISNUMBER(SEARCH("diesel",$B760))+ISNUMBER(SEARCH("krudo",$B760))+ISNUMBER(SEARCH("gasolina",$B760))&gt;0,1,0)))</f>
        <v/>
      </c>
      <c r="N760">
        <f>IF($B760="","",IF(ISNUMBER(SEARCH("fuel",$B760))+ISNUMBER(SEARCH("diesel",$B760))+ISNUMBER(SEARCH("krudo",$B760))+ISNUMBER(SEARCH("gasolina",$B760))&gt;0,1,0))</f>
        <v/>
      </c>
    </row>
    <row r="761">
      <c r="A761" s="86" t="n"/>
      <c r="B761" s="88" t="n"/>
      <c r="C761" s="88" t="n"/>
      <c r="D761" s="87" t="n"/>
      <c r="E761" s="88" t="n"/>
      <c r="F761" s="92" t="n"/>
      <c r="G761" s="87" t="n"/>
      <c r="H761" s="87" t="n"/>
      <c r="I761" s="101">
        <f>IF($B761="","",IF(COUNTIF(Setup!$A$99:$A$128,$B761)&gt;0,IF(INDEX(Setup!$B$99:$B$128,MATCH($B761,Setup!$A$99:$A$128,0))="","Overhead",INDEX(Setup!$B$99:$B$128,MATCH($B761,Setup!$A$99:$A$128,0))),IF(ISNUMBER(SEARCH("advance",$B761))+ISNUMBER(SEARCH("payout",$B761))+ISNUMBER(SEARCH("pay out",$B761))+ISNUMBER(SEARCH("reimburs",$B761))&gt;0,"Transfer",IF(ISNUMBER(SEARCH("loan",$B761))+ISNUMBER(SEARCH("amort",$B761))+ISNUMBER(SEARCH("installment",$B761))+ISNUMBER(SEARCH("instalment",$B761))&gt;0,"Financing",IF(ISNUMBER(SEARCH("draw",$B761))+ISNUMBER(SEARCH("owner",$B761))+ISNUMBER(SEARCH("asset",$B761))+ISNUMBER(SEARCH("capital",$B761))&gt;0,"Other",IF(ISNUMBER(SEARCH("fuel",$B761))+ISNUMBER(SEARCH("diesel",$B761))+ISNUMBER(SEARCH("krudo",$B761))+ISNUMBER(SEARCH("gasolina",$B761))+ISNUMBER(SEARCH("toll",$B761))+ISNUMBER(SEARCH("parking",$B761))+ISNUMBER(SEARCH("repair",$B761))+ISNUMBER(SEARCH("maintenance",$B761))+ISNUMBER(SEARCH("tire",$B761))+ISNUMBER(SEARCH("tyre",$B761))+ISNUMBER(SEARCH("battery",$B761))+ISNUMBER(SEARCH("oil",$B761))+ISNUMBER(SEARCH("filter",$B761))+ISNUMBER(SEARCH("spare",$B761))+ISNUMBER(SEARCH("insurance",$B761))+ISNUMBER(SEARCH("lto",$B761))+ISNUMBER(SEARCH("registration",$B761))+ISNUMBER(SEARCH("emission",$B761))+ISNUMBER(SEARCH("wash",$B761))+ISNUMBER(SEARCH("weigh",$B761))+ISNUMBER(SEARCH("tarp",$B761))&gt;0,"Vehicle",IF(ISNUMBER(SEARCH("rent",$B761))+ISNUMBER(SEARCH("upa",$B761))+ISNUMBER(SEARCH("salary",$B761))+ISNUMBER(SEARCH("sweldo",$B761))+ISNUMBER(SEARCH("wage",$B761))+ISNUMBER(SEARCH("electric",$B761))+ISNUMBER(SEARCH("kuryente",$B761))+ISNUMBER(SEARCH("water",$B761))+ISNUMBER(SEARCH("tubig",$B761))+ISNUMBER(SEARCH("internet",$B761))+ISNUMBER(SEARCH("pldt",$B761))+ISNUMBER(SEARCH("meralco",$B761))+ISNUMBER(SEARCH("supplies",$B761))+ISNUMBER(SEARCH("office",$B761))+ISNUMBER(SEARCH("professional",$B761))+ISNUMBER(SEARCH("accountant",$B761))+ISNUMBER(SEARCH("lawyer",$B761))+ISNUMBER(SEARCH("broker",$B761))+ISNUMBER(SEARCH("bank",$B761))+ISNUMBER(SEARCH("charge",$B761))+ISNUMBER(SEARCH("permit",$B761))+ISNUMBER(SEARCH("bir",$B761))+ISNUMBER(SEARCH("ltfrb",$B761))+ISNUMBER(SEARCH("misc",$B761))+ISNUMBER(SEARCH("fee",$B761))&gt;0,"Overhead","Overhead")))))))</f>
        <v/>
      </c>
      <c r="J761">
        <f>IF($A761="","",DATE(YEAR($A761),MONTH($A761),1))</f>
        <v/>
      </c>
      <c r="K761">
        <f>IF($B761="","",IF(COUNTIF(Setup!$A$99:$A$128,$B761)&gt;0,0,1))</f>
        <v/>
      </c>
      <c r="L761">
        <f>IF($B761="","",IF(ISNUMBER(SEARCH("advance",$B761)),"ADV",IF(OR(ISNUMBER(SEARCH("payout",$B761)),ISNUMBER(SEARCH("pay out",$B761)),ISNUMBER(SEARCH("release",$B761))),"PAY","")))</f>
        <v/>
      </c>
      <c r="M761">
        <f>IF($B761="","",IF(ISNUMBER(SEARCH("bulk",$B761)),0,IF(ISNUMBER(SEARCH("fuel",$B761))+ISNUMBER(SEARCH("diesel",$B761))+ISNUMBER(SEARCH("krudo",$B761))+ISNUMBER(SEARCH("gasolina",$B761))&gt;0,1,0)))</f>
        <v/>
      </c>
      <c r="N761">
        <f>IF($B761="","",IF(ISNUMBER(SEARCH("fuel",$B761))+ISNUMBER(SEARCH("diesel",$B761))+ISNUMBER(SEARCH("krudo",$B761))+ISNUMBER(SEARCH("gasolina",$B761))&gt;0,1,0))</f>
        <v/>
      </c>
    </row>
    <row r="762">
      <c r="A762" s="94" t="n"/>
      <c r="B762" s="96" t="n"/>
      <c r="C762" s="96" t="n"/>
      <c r="D762" s="95" t="n"/>
      <c r="E762" s="96" t="n"/>
      <c r="F762" s="99" t="n"/>
      <c r="G762" s="95" t="n"/>
      <c r="H762" s="95" t="n"/>
      <c r="I762" s="101">
        <f>IF($B762="","",IF(COUNTIF(Setup!$A$99:$A$128,$B762)&gt;0,IF(INDEX(Setup!$B$99:$B$128,MATCH($B762,Setup!$A$99:$A$128,0))="","Overhead",INDEX(Setup!$B$99:$B$128,MATCH($B762,Setup!$A$99:$A$128,0))),IF(ISNUMBER(SEARCH("advance",$B762))+ISNUMBER(SEARCH("payout",$B762))+ISNUMBER(SEARCH("pay out",$B762))+ISNUMBER(SEARCH("reimburs",$B762))&gt;0,"Transfer",IF(ISNUMBER(SEARCH("loan",$B762))+ISNUMBER(SEARCH("amort",$B762))+ISNUMBER(SEARCH("installment",$B762))+ISNUMBER(SEARCH("instalment",$B762))&gt;0,"Financing",IF(ISNUMBER(SEARCH("draw",$B762))+ISNUMBER(SEARCH("owner",$B762))+ISNUMBER(SEARCH("asset",$B762))+ISNUMBER(SEARCH("capital",$B762))&gt;0,"Other",IF(ISNUMBER(SEARCH("fuel",$B762))+ISNUMBER(SEARCH("diesel",$B762))+ISNUMBER(SEARCH("krudo",$B762))+ISNUMBER(SEARCH("gasolina",$B762))+ISNUMBER(SEARCH("toll",$B762))+ISNUMBER(SEARCH("parking",$B762))+ISNUMBER(SEARCH("repair",$B762))+ISNUMBER(SEARCH("maintenance",$B762))+ISNUMBER(SEARCH("tire",$B762))+ISNUMBER(SEARCH("tyre",$B762))+ISNUMBER(SEARCH("battery",$B762))+ISNUMBER(SEARCH("oil",$B762))+ISNUMBER(SEARCH("filter",$B762))+ISNUMBER(SEARCH("spare",$B762))+ISNUMBER(SEARCH("insurance",$B762))+ISNUMBER(SEARCH("lto",$B762))+ISNUMBER(SEARCH("registration",$B762))+ISNUMBER(SEARCH("emission",$B762))+ISNUMBER(SEARCH("wash",$B762))+ISNUMBER(SEARCH("weigh",$B762))+ISNUMBER(SEARCH("tarp",$B762))&gt;0,"Vehicle",IF(ISNUMBER(SEARCH("rent",$B762))+ISNUMBER(SEARCH("upa",$B762))+ISNUMBER(SEARCH("salary",$B762))+ISNUMBER(SEARCH("sweldo",$B762))+ISNUMBER(SEARCH("wage",$B762))+ISNUMBER(SEARCH("electric",$B762))+ISNUMBER(SEARCH("kuryente",$B762))+ISNUMBER(SEARCH("water",$B762))+ISNUMBER(SEARCH("tubig",$B762))+ISNUMBER(SEARCH("internet",$B762))+ISNUMBER(SEARCH("pldt",$B762))+ISNUMBER(SEARCH("meralco",$B762))+ISNUMBER(SEARCH("supplies",$B762))+ISNUMBER(SEARCH("office",$B762))+ISNUMBER(SEARCH("professional",$B762))+ISNUMBER(SEARCH("accountant",$B762))+ISNUMBER(SEARCH("lawyer",$B762))+ISNUMBER(SEARCH("broker",$B762))+ISNUMBER(SEARCH("bank",$B762))+ISNUMBER(SEARCH("charge",$B762))+ISNUMBER(SEARCH("permit",$B762))+ISNUMBER(SEARCH("bir",$B762))+ISNUMBER(SEARCH("ltfrb",$B762))+ISNUMBER(SEARCH("misc",$B762))+ISNUMBER(SEARCH("fee",$B762))&gt;0,"Overhead","Overhead")))))))</f>
        <v/>
      </c>
      <c r="J762">
        <f>IF($A762="","",DATE(YEAR($A762),MONTH($A762),1))</f>
        <v/>
      </c>
      <c r="K762">
        <f>IF($B762="","",IF(COUNTIF(Setup!$A$99:$A$128,$B762)&gt;0,0,1))</f>
        <v/>
      </c>
      <c r="L762">
        <f>IF($B762="","",IF(ISNUMBER(SEARCH("advance",$B762)),"ADV",IF(OR(ISNUMBER(SEARCH("payout",$B762)),ISNUMBER(SEARCH("pay out",$B762)),ISNUMBER(SEARCH("release",$B762))),"PAY","")))</f>
        <v/>
      </c>
      <c r="M762">
        <f>IF($B762="","",IF(ISNUMBER(SEARCH("bulk",$B762)),0,IF(ISNUMBER(SEARCH("fuel",$B762))+ISNUMBER(SEARCH("diesel",$B762))+ISNUMBER(SEARCH("krudo",$B762))+ISNUMBER(SEARCH("gasolina",$B762))&gt;0,1,0)))</f>
        <v/>
      </c>
      <c r="N762">
        <f>IF($B762="","",IF(ISNUMBER(SEARCH("fuel",$B762))+ISNUMBER(SEARCH("diesel",$B762))+ISNUMBER(SEARCH("krudo",$B762))+ISNUMBER(SEARCH("gasolina",$B762))&gt;0,1,0))</f>
        <v/>
      </c>
    </row>
    <row r="763">
      <c r="A763" s="86" t="n"/>
      <c r="B763" s="88" t="n"/>
      <c r="C763" s="88" t="n"/>
      <c r="D763" s="87" t="n"/>
      <c r="E763" s="88" t="n"/>
      <c r="F763" s="92" t="n"/>
      <c r="G763" s="87" t="n"/>
      <c r="H763" s="87" t="n"/>
      <c r="I763" s="101">
        <f>IF($B763="","",IF(COUNTIF(Setup!$A$99:$A$128,$B763)&gt;0,IF(INDEX(Setup!$B$99:$B$128,MATCH($B763,Setup!$A$99:$A$128,0))="","Overhead",INDEX(Setup!$B$99:$B$128,MATCH($B763,Setup!$A$99:$A$128,0))),IF(ISNUMBER(SEARCH("advance",$B763))+ISNUMBER(SEARCH("payout",$B763))+ISNUMBER(SEARCH("pay out",$B763))+ISNUMBER(SEARCH("reimburs",$B763))&gt;0,"Transfer",IF(ISNUMBER(SEARCH("loan",$B763))+ISNUMBER(SEARCH("amort",$B763))+ISNUMBER(SEARCH("installment",$B763))+ISNUMBER(SEARCH("instalment",$B763))&gt;0,"Financing",IF(ISNUMBER(SEARCH("draw",$B763))+ISNUMBER(SEARCH("owner",$B763))+ISNUMBER(SEARCH("asset",$B763))+ISNUMBER(SEARCH("capital",$B763))&gt;0,"Other",IF(ISNUMBER(SEARCH("fuel",$B763))+ISNUMBER(SEARCH("diesel",$B763))+ISNUMBER(SEARCH("krudo",$B763))+ISNUMBER(SEARCH("gasolina",$B763))+ISNUMBER(SEARCH("toll",$B763))+ISNUMBER(SEARCH("parking",$B763))+ISNUMBER(SEARCH("repair",$B763))+ISNUMBER(SEARCH("maintenance",$B763))+ISNUMBER(SEARCH("tire",$B763))+ISNUMBER(SEARCH("tyre",$B763))+ISNUMBER(SEARCH("battery",$B763))+ISNUMBER(SEARCH("oil",$B763))+ISNUMBER(SEARCH("filter",$B763))+ISNUMBER(SEARCH("spare",$B763))+ISNUMBER(SEARCH("insurance",$B763))+ISNUMBER(SEARCH("lto",$B763))+ISNUMBER(SEARCH("registration",$B763))+ISNUMBER(SEARCH("emission",$B763))+ISNUMBER(SEARCH("wash",$B763))+ISNUMBER(SEARCH("weigh",$B763))+ISNUMBER(SEARCH("tarp",$B763))&gt;0,"Vehicle",IF(ISNUMBER(SEARCH("rent",$B763))+ISNUMBER(SEARCH("upa",$B763))+ISNUMBER(SEARCH("salary",$B763))+ISNUMBER(SEARCH("sweldo",$B763))+ISNUMBER(SEARCH("wage",$B763))+ISNUMBER(SEARCH("electric",$B763))+ISNUMBER(SEARCH("kuryente",$B763))+ISNUMBER(SEARCH("water",$B763))+ISNUMBER(SEARCH("tubig",$B763))+ISNUMBER(SEARCH("internet",$B763))+ISNUMBER(SEARCH("pldt",$B763))+ISNUMBER(SEARCH("meralco",$B763))+ISNUMBER(SEARCH("supplies",$B763))+ISNUMBER(SEARCH("office",$B763))+ISNUMBER(SEARCH("professional",$B763))+ISNUMBER(SEARCH("accountant",$B763))+ISNUMBER(SEARCH("lawyer",$B763))+ISNUMBER(SEARCH("broker",$B763))+ISNUMBER(SEARCH("bank",$B763))+ISNUMBER(SEARCH("charge",$B763))+ISNUMBER(SEARCH("permit",$B763))+ISNUMBER(SEARCH("bir",$B763))+ISNUMBER(SEARCH("ltfrb",$B763))+ISNUMBER(SEARCH("misc",$B763))+ISNUMBER(SEARCH("fee",$B763))&gt;0,"Overhead","Overhead")))))))</f>
        <v/>
      </c>
      <c r="J763">
        <f>IF($A763="","",DATE(YEAR($A763),MONTH($A763),1))</f>
        <v/>
      </c>
      <c r="K763">
        <f>IF($B763="","",IF(COUNTIF(Setup!$A$99:$A$128,$B763)&gt;0,0,1))</f>
        <v/>
      </c>
      <c r="L763">
        <f>IF($B763="","",IF(ISNUMBER(SEARCH("advance",$B763)),"ADV",IF(OR(ISNUMBER(SEARCH("payout",$B763)),ISNUMBER(SEARCH("pay out",$B763)),ISNUMBER(SEARCH("release",$B763))),"PAY","")))</f>
        <v/>
      </c>
      <c r="M763">
        <f>IF($B763="","",IF(ISNUMBER(SEARCH("bulk",$B763)),0,IF(ISNUMBER(SEARCH("fuel",$B763))+ISNUMBER(SEARCH("diesel",$B763))+ISNUMBER(SEARCH("krudo",$B763))+ISNUMBER(SEARCH("gasolina",$B763))&gt;0,1,0)))</f>
        <v/>
      </c>
      <c r="N763">
        <f>IF($B763="","",IF(ISNUMBER(SEARCH("fuel",$B763))+ISNUMBER(SEARCH("diesel",$B763))+ISNUMBER(SEARCH("krudo",$B763))+ISNUMBER(SEARCH("gasolina",$B763))&gt;0,1,0))</f>
        <v/>
      </c>
    </row>
    <row r="764">
      <c r="A764" s="94" t="n"/>
      <c r="B764" s="96" t="n"/>
      <c r="C764" s="96" t="n"/>
      <c r="D764" s="95" t="n"/>
      <c r="E764" s="96" t="n"/>
      <c r="F764" s="99" t="n"/>
      <c r="G764" s="95" t="n"/>
      <c r="H764" s="95" t="n"/>
      <c r="I764" s="101">
        <f>IF($B764="","",IF(COUNTIF(Setup!$A$99:$A$128,$B764)&gt;0,IF(INDEX(Setup!$B$99:$B$128,MATCH($B764,Setup!$A$99:$A$128,0))="","Overhead",INDEX(Setup!$B$99:$B$128,MATCH($B764,Setup!$A$99:$A$128,0))),IF(ISNUMBER(SEARCH("advance",$B764))+ISNUMBER(SEARCH("payout",$B764))+ISNUMBER(SEARCH("pay out",$B764))+ISNUMBER(SEARCH("reimburs",$B764))&gt;0,"Transfer",IF(ISNUMBER(SEARCH("loan",$B764))+ISNUMBER(SEARCH("amort",$B764))+ISNUMBER(SEARCH("installment",$B764))+ISNUMBER(SEARCH("instalment",$B764))&gt;0,"Financing",IF(ISNUMBER(SEARCH("draw",$B764))+ISNUMBER(SEARCH("owner",$B764))+ISNUMBER(SEARCH("asset",$B764))+ISNUMBER(SEARCH("capital",$B764))&gt;0,"Other",IF(ISNUMBER(SEARCH("fuel",$B764))+ISNUMBER(SEARCH("diesel",$B764))+ISNUMBER(SEARCH("krudo",$B764))+ISNUMBER(SEARCH("gasolina",$B764))+ISNUMBER(SEARCH("toll",$B764))+ISNUMBER(SEARCH("parking",$B764))+ISNUMBER(SEARCH("repair",$B764))+ISNUMBER(SEARCH("maintenance",$B764))+ISNUMBER(SEARCH("tire",$B764))+ISNUMBER(SEARCH("tyre",$B764))+ISNUMBER(SEARCH("battery",$B764))+ISNUMBER(SEARCH("oil",$B764))+ISNUMBER(SEARCH("filter",$B764))+ISNUMBER(SEARCH("spare",$B764))+ISNUMBER(SEARCH("insurance",$B764))+ISNUMBER(SEARCH("lto",$B764))+ISNUMBER(SEARCH("registration",$B764))+ISNUMBER(SEARCH("emission",$B764))+ISNUMBER(SEARCH("wash",$B764))+ISNUMBER(SEARCH("weigh",$B764))+ISNUMBER(SEARCH("tarp",$B764))&gt;0,"Vehicle",IF(ISNUMBER(SEARCH("rent",$B764))+ISNUMBER(SEARCH("upa",$B764))+ISNUMBER(SEARCH("salary",$B764))+ISNUMBER(SEARCH("sweldo",$B764))+ISNUMBER(SEARCH("wage",$B764))+ISNUMBER(SEARCH("electric",$B764))+ISNUMBER(SEARCH("kuryente",$B764))+ISNUMBER(SEARCH("water",$B764))+ISNUMBER(SEARCH("tubig",$B764))+ISNUMBER(SEARCH("internet",$B764))+ISNUMBER(SEARCH("pldt",$B764))+ISNUMBER(SEARCH("meralco",$B764))+ISNUMBER(SEARCH("supplies",$B764))+ISNUMBER(SEARCH("office",$B764))+ISNUMBER(SEARCH("professional",$B764))+ISNUMBER(SEARCH("accountant",$B764))+ISNUMBER(SEARCH("lawyer",$B764))+ISNUMBER(SEARCH("broker",$B764))+ISNUMBER(SEARCH("bank",$B764))+ISNUMBER(SEARCH("charge",$B764))+ISNUMBER(SEARCH("permit",$B764))+ISNUMBER(SEARCH("bir",$B764))+ISNUMBER(SEARCH("ltfrb",$B764))+ISNUMBER(SEARCH("misc",$B764))+ISNUMBER(SEARCH("fee",$B764))&gt;0,"Overhead","Overhead")))))))</f>
        <v/>
      </c>
      <c r="J764">
        <f>IF($A764="","",DATE(YEAR($A764),MONTH($A764),1))</f>
        <v/>
      </c>
      <c r="K764">
        <f>IF($B764="","",IF(COUNTIF(Setup!$A$99:$A$128,$B764)&gt;0,0,1))</f>
        <v/>
      </c>
      <c r="L764">
        <f>IF($B764="","",IF(ISNUMBER(SEARCH("advance",$B764)),"ADV",IF(OR(ISNUMBER(SEARCH("payout",$B764)),ISNUMBER(SEARCH("pay out",$B764)),ISNUMBER(SEARCH("release",$B764))),"PAY","")))</f>
        <v/>
      </c>
      <c r="M764">
        <f>IF($B764="","",IF(ISNUMBER(SEARCH("bulk",$B764)),0,IF(ISNUMBER(SEARCH("fuel",$B764))+ISNUMBER(SEARCH("diesel",$B764))+ISNUMBER(SEARCH("krudo",$B764))+ISNUMBER(SEARCH("gasolina",$B764))&gt;0,1,0)))</f>
        <v/>
      </c>
      <c r="N764">
        <f>IF($B764="","",IF(ISNUMBER(SEARCH("fuel",$B764))+ISNUMBER(SEARCH("diesel",$B764))+ISNUMBER(SEARCH("krudo",$B764))+ISNUMBER(SEARCH("gasolina",$B764))&gt;0,1,0))</f>
        <v/>
      </c>
    </row>
    <row r="765">
      <c r="A765" s="86" t="n"/>
      <c r="B765" s="88" t="n"/>
      <c r="C765" s="88" t="n"/>
      <c r="D765" s="87" t="n"/>
      <c r="E765" s="88" t="n"/>
      <c r="F765" s="92" t="n"/>
      <c r="G765" s="87" t="n"/>
      <c r="H765" s="87" t="n"/>
      <c r="I765" s="101">
        <f>IF($B765="","",IF(COUNTIF(Setup!$A$99:$A$128,$B765)&gt;0,IF(INDEX(Setup!$B$99:$B$128,MATCH($B765,Setup!$A$99:$A$128,0))="","Overhead",INDEX(Setup!$B$99:$B$128,MATCH($B765,Setup!$A$99:$A$128,0))),IF(ISNUMBER(SEARCH("advance",$B765))+ISNUMBER(SEARCH("payout",$B765))+ISNUMBER(SEARCH("pay out",$B765))+ISNUMBER(SEARCH("reimburs",$B765))&gt;0,"Transfer",IF(ISNUMBER(SEARCH("loan",$B765))+ISNUMBER(SEARCH("amort",$B765))+ISNUMBER(SEARCH("installment",$B765))+ISNUMBER(SEARCH("instalment",$B765))&gt;0,"Financing",IF(ISNUMBER(SEARCH("draw",$B765))+ISNUMBER(SEARCH("owner",$B765))+ISNUMBER(SEARCH("asset",$B765))+ISNUMBER(SEARCH("capital",$B765))&gt;0,"Other",IF(ISNUMBER(SEARCH("fuel",$B765))+ISNUMBER(SEARCH("diesel",$B765))+ISNUMBER(SEARCH("krudo",$B765))+ISNUMBER(SEARCH("gasolina",$B765))+ISNUMBER(SEARCH("toll",$B765))+ISNUMBER(SEARCH("parking",$B765))+ISNUMBER(SEARCH("repair",$B765))+ISNUMBER(SEARCH("maintenance",$B765))+ISNUMBER(SEARCH("tire",$B765))+ISNUMBER(SEARCH("tyre",$B765))+ISNUMBER(SEARCH("battery",$B765))+ISNUMBER(SEARCH("oil",$B765))+ISNUMBER(SEARCH("filter",$B765))+ISNUMBER(SEARCH("spare",$B765))+ISNUMBER(SEARCH("insurance",$B765))+ISNUMBER(SEARCH("lto",$B765))+ISNUMBER(SEARCH("registration",$B765))+ISNUMBER(SEARCH("emission",$B765))+ISNUMBER(SEARCH("wash",$B765))+ISNUMBER(SEARCH("weigh",$B765))+ISNUMBER(SEARCH("tarp",$B765))&gt;0,"Vehicle",IF(ISNUMBER(SEARCH("rent",$B765))+ISNUMBER(SEARCH("upa",$B765))+ISNUMBER(SEARCH("salary",$B765))+ISNUMBER(SEARCH("sweldo",$B765))+ISNUMBER(SEARCH("wage",$B765))+ISNUMBER(SEARCH("electric",$B765))+ISNUMBER(SEARCH("kuryente",$B765))+ISNUMBER(SEARCH("water",$B765))+ISNUMBER(SEARCH("tubig",$B765))+ISNUMBER(SEARCH("internet",$B765))+ISNUMBER(SEARCH("pldt",$B765))+ISNUMBER(SEARCH("meralco",$B765))+ISNUMBER(SEARCH("supplies",$B765))+ISNUMBER(SEARCH("office",$B765))+ISNUMBER(SEARCH("professional",$B765))+ISNUMBER(SEARCH("accountant",$B765))+ISNUMBER(SEARCH("lawyer",$B765))+ISNUMBER(SEARCH("broker",$B765))+ISNUMBER(SEARCH("bank",$B765))+ISNUMBER(SEARCH("charge",$B765))+ISNUMBER(SEARCH("permit",$B765))+ISNUMBER(SEARCH("bir",$B765))+ISNUMBER(SEARCH("ltfrb",$B765))+ISNUMBER(SEARCH("misc",$B765))+ISNUMBER(SEARCH("fee",$B765))&gt;0,"Overhead","Overhead")))))))</f>
        <v/>
      </c>
      <c r="J765">
        <f>IF($A765="","",DATE(YEAR($A765),MONTH($A765),1))</f>
        <v/>
      </c>
      <c r="K765">
        <f>IF($B765="","",IF(COUNTIF(Setup!$A$99:$A$128,$B765)&gt;0,0,1))</f>
        <v/>
      </c>
      <c r="L765">
        <f>IF($B765="","",IF(ISNUMBER(SEARCH("advance",$B765)),"ADV",IF(OR(ISNUMBER(SEARCH("payout",$B765)),ISNUMBER(SEARCH("pay out",$B765)),ISNUMBER(SEARCH("release",$B765))),"PAY","")))</f>
        <v/>
      </c>
      <c r="M765">
        <f>IF($B765="","",IF(ISNUMBER(SEARCH("bulk",$B765)),0,IF(ISNUMBER(SEARCH("fuel",$B765))+ISNUMBER(SEARCH("diesel",$B765))+ISNUMBER(SEARCH("krudo",$B765))+ISNUMBER(SEARCH("gasolina",$B765))&gt;0,1,0)))</f>
        <v/>
      </c>
      <c r="N765">
        <f>IF($B765="","",IF(ISNUMBER(SEARCH("fuel",$B765))+ISNUMBER(SEARCH("diesel",$B765))+ISNUMBER(SEARCH("krudo",$B765))+ISNUMBER(SEARCH("gasolina",$B765))&gt;0,1,0))</f>
        <v/>
      </c>
    </row>
    <row r="766">
      <c r="A766" s="94" t="n"/>
      <c r="B766" s="96" t="n"/>
      <c r="C766" s="96" t="n"/>
      <c r="D766" s="95" t="n"/>
      <c r="E766" s="96" t="n"/>
      <c r="F766" s="99" t="n"/>
      <c r="G766" s="95" t="n"/>
      <c r="H766" s="95" t="n"/>
      <c r="I766" s="101">
        <f>IF($B766="","",IF(COUNTIF(Setup!$A$99:$A$128,$B766)&gt;0,IF(INDEX(Setup!$B$99:$B$128,MATCH($B766,Setup!$A$99:$A$128,0))="","Overhead",INDEX(Setup!$B$99:$B$128,MATCH($B766,Setup!$A$99:$A$128,0))),IF(ISNUMBER(SEARCH("advance",$B766))+ISNUMBER(SEARCH("payout",$B766))+ISNUMBER(SEARCH("pay out",$B766))+ISNUMBER(SEARCH("reimburs",$B766))&gt;0,"Transfer",IF(ISNUMBER(SEARCH("loan",$B766))+ISNUMBER(SEARCH("amort",$B766))+ISNUMBER(SEARCH("installment",$B766))+ISNUMBER(SEARCH("instalment",$B766))&gt;0,"Financing",IF(ISNUMBER(SEARCH("draw",$B766))+ISNUMBER(SEARCH("owner",$B766))+ISNUMBER(SEARCH("asset",$B766))+ISNUMBER(SEARCH("capital",$B766))&gt;0,"Other",IF(ISNUMBER(SEARCH("fuel",$B766))+ISNUMBER(SEARCH("diesel",$B766))+ISNUMBER(SEARCH("krudo",$B766))+ISNUMBER(SEARCH("gasolina",$B766))+ISNUMBER(SEARCH("toll",$B766))+ISNUMBER(SEARCH("parking",$B766))+ISNUMBER(SEARCH("repair",$B766))+ISNUMBER(SEARCH("maintenance",$B766))+ISNUMBER(SEARCH("tire",$B766))+ISNUMBER(SEARCH("tyre",$B766))+ISNUMBER(SEARCH("battery",$B766))+ISNUMBER(SEARCH("oil",$B766))+ISNUMBER(SEARCH("filter",$B766))+ISNUMBER(SEARCH("spare",$B766))+ISNUMBER(SEARCH("insurance",$B766))+ISNUMBER(SEARCH("lto",$B766))+ISNUMBER(SEARCH("registration",$B766))+ISNUMBER(SEARCH("emission",$B766))+ISNUMBER(SEARCH("wash",$B766))+ISNUMBER(SEARCH("weigh",$B766))+ISNUMBER(SEARCH("tarp",$B766))&gt;0,"Vehicle",IF(ISNUMBER(SEARCH("rent",$B766))+ISNUMBER(SEARCH("upa",$B766))+ISNUMBER(SEARCH("salary",$B766))+ISNUMBER(SEARCH("sweldo",$B766))+ISNUMBER(SEARCH("wage",$B766))+ISNUMBER(SEARCH("electric",$B766))+ISNUMBER(SEARCH("kuryente",$B766))+ISNUMBER(SEARCH("water",$B766))+ISNUMBER(SEARCH("tubig",$B766))+ISNUMBER(SEARCH("internet",$B766))+ISNUMBER(SEARCH("pldt",$B766))+ISNUMBER(SEARCH("meralco",$B766))+ISNUMBER(SEARCH("supplies",$B766))+ISNUMBER(SEARCH("office",$B766))+ISNUMBER(SEARCH("professional",$B766))+ISNUMBER(SEARCH("accountant",$B766))+ISNUMBER(SEARCH("lawyer",$B766))+ISNUMBER(SEARCH("broker",$B766))+ISNUMBER(SEARCH("bank",$B766))+ISNUMBER(SEARCH("charge",$B766))+ISNUMBER(SEARCH("permit",$B766))+ISNUMBER(SEARCH("bir",$B766))+ISNUMBER(SEARCH("ltfrb",$B766))+ISNUMBER(SEARCH("misc",$B766))+ISNUMBER(SEARCH("fee",$B766))&gt;0,"Overhead","Overhead")))))))</f>
        <v/>
      </c>
      <c r="J766">
        <f>IF($A766="","",DATE(YEAR($A766),MONTH($A766),1))</f>
        <v/>
      </c>
      <c r="K766">
        <f>IF($B766="","",IF(COUNTIF(Setup!$A$99:$A$128,$B766)&gt;0,0,1))</f>
        <v/>
      </c>
      <c r="L766">
        <f>IF($B766="","",IF(ISNUMBER(SEARCH("advance",$B766)),"ADV",IF(OR(ISNUMBER(SEARCH("payout",$B766)),ISNUMBER(SEARCH("pay out",$B766)),ISNUMBER(SEARCH("release",$B766))),"PAY","")))</f>
        <v/>
      </c>
      <c r="M766">
        <f>IF($B766="","",IF(ISNUMBER(SEARCH("bulk",$B766)),0,IF(ISNUMBER(SEARCH("fuel",$B766))+ISNUMBER(SEARCH("diesel",$B766))+ISNUMBER(SEARCH("krudo",$B766))+ISNUMBER(SEARCH("gasolina",$B766))&gt;0,1,0)))</f>
        <v/>
      </c>
      <c r="N766">
        <f>IF($B766="","",IF(ISNUMBER(SEARCH("fuel",$B766))+ISNUMBER(SEARCH("diesel",$B766))+ISNUMBER(SEARCH("krudo",$B766))+ISNUMBER(SEARCH("gasolina",$B766))&gt;0,1,0))</f>
        <v/>
      </c>
    </row>
    <row r="767">
      <c r="A767" s="86" t="n"/>
      <c r="B767" s="88" t="n"/>
      <c r="C767" s="88" t="n"/>
      <c r="D767" s="87" t="n"/>
      <c r="E767" s="88" t="n"/>
      <c r="F767" s="92" t="n"/>
      <c r="G767" s="87" t="n"/>
      <c r="H767" s="87" t="n"/>
      <c r="I767" s="101">
        <f>IF($B767="","",IF(COUNTIF(Setup!$A$99:$A$128,$B767)&gt;0,IF(INDEX(Setup!$B$99:$B$128,MATCH($B767,Setup!$A$99:$A$128,0))="","Overhead",INDEX(Setup!$B$99:$B$128,MATCH($B767,Setup!$A$99:$A$128,0))),IF(ISNUMBER(SEARCH("advance",$B767))+ISNUMBER(SEARCH("payout",$B767))+ISNUMBER(SEARCH("pay out",$B767))+ISNUMBER(SEARCH("reimburs",$B767))&gt;0,"Transfer",IF(ISNUMBER(SEARCH("loan",$B767))+ISNUMBER(SEARCH("amort",$B767))+ISNUMBER(SEARCH("installment",$B767))+ISNUMBER(SEARCH("instalment",$B767))&gt;0,"Financing",IF(ISNUMBER(SEARCH("draw",$B767))+ISNUMBER(SEARCH("owner",$B767))+ISNUMBER(SEARCH("asset",$B767))+ISNUMBER(SEARCH("capital",$B767))&gt;0,"Other",IF(ISNUMBER(SEARCH("fuel",$B767))+ISNUMBER(SEARCH("diesel",$B767))+ISNUMBER(SEARCH("krudo",$B767))+ISNUMBER(SEARCH("gasolina",$B767))+ISNUMBER(SEARCH("toll",$B767))+ISNUMBER(SEARCH("parking",$B767))+ISNUMBER(SEARCH("repair",$B767))+ISNUMBER(SEARCH("maintenance",$B767))+ISNUMBER(SEARCH("tire",$B767))+ISNUMBER(SEARCH("tyre",$B767))+ISNUMBER(SEARCH("battery",$B767))+ISNUMBER(SEARCH("oil",$B767))+ISNUMBER(SEARCH("filter",$B767))+ISNUMBER(SEARCH("spare",$B767))+ISNUMBER(SEARCH("insurance",$B767))+ISNUMBER(SEARCH("lto",$B767))+ISNUMBER(SEARCH("registration",$B767))+ISNUMBER(SEARCH("emission",$B767))+ISNUMBER(SEARCH("wash",$B767))+ISNUMBER(SEARCH("weigh",$B767))+ISNUMBER(SEARCH("tarp",$B767))&gt;0,"Vehicle",IF(ISNUMBER(SEARCH("rent",$B767))+ISNUMBER(SEARCH("upa",$B767))+ISNUMBER(SEARCH("salary",$B767))+ISNUMBER(SEARCH("sweldo",$B767))+ISNUMBER(SEARCH("wage",$B767))+ISNUMBER(SEARCH("electric",$B767))+ISNUMBER(SEARCH("kuryente",$B767))+ISNUMBER(SEARCH("water",$B767))+ISNUMBER(SEARCH("tubig",$B767))+ISNUMBER(SEARCH("internet",$B767))+ISNUMBER(SEARCH("pldt",$B767))+ISNUMBER(SEARCH("meralco",$B767))+ISNUMBER(SEARCH("supplies",$B767))+ISNUMBER(SEARCH("office",$B767))+ISNUMBER(SEARCH("professional",$B767))+ISNUMBER(SEARCH("accountant",$B767))+ISNUMBER(SEARCH("lawyer",$B767))+ISNUMBER(SEARCH("broker",$B767))+ISNUMBER(SEARCH("bank",$B767))+ISNUMBER(SEARCH("charge",$B767))+ISNUMBER(SEARCH("permit",$B767))+ISNUMBER(SEARCH("bir",$B767))+ISNUMBER(SEARCH("ltfrb",$B767))+ISNUMBER(SEARCH("misc",$B767))+ISNUMBER(SEARCH("fee",$B767))&gt;0,"Overhead","Overhead")))))))</f>
        <v/>
      </c>
      <c r="J767">
        <f>IF($A767="","",DATE(YEAR($A767),MONTH($A767),1))</f>
        <v/>
      </c>
      <c r="K767">
        <f>IF($B767="","",IF(COUNTIF(Setup!$A$99:$A$128,$B767)&gt;0,0,1))</f>
        <v/>
      </c>
      <c r="L767">
        <f>IF($B767="","",IF(ISNUMBER(SEARCH("advance",$B767)),"ADV",IF(OR(ISNUMBER(SEARCH("payout",$B767)),ISNUMBER(SEARCH("pay out",$B767)),ISNUMBER(SEARCH("release",$B767))),"PAY","")))</f>
        <v/>
      </c>
      <c r="M767">
        <f>IF($B767="","",IF(ISNUMBER(SEARCH("bulk",$B767)),0,IF(ISNUMBER(SEARCH("fuel",$B767))+ISNUMBER(SEARCH("diesel",$B767))+ISNUMBER(SEARCH("krudo",$B767))+ISNUMBER(SEARCH("gasolina",$B767))&gt;0,1,0)))</f>
        <v/>
      </c>
      <c r="N767">
        <f>IF($B767="","",IF(ISNUMBER(SEARCH("fuel",$B767))+ISNUMBER(SEARCH("diesel",$B767))+ISNUMBER(SEARCH("krudo",$B767))+ISNUMBER(SEARCH("gasolina",$B767))&gt;0,1,0))</f>
        <v/>
      </c>
    </row>
    <row r="768">
      <c r="A768" s="94" t="n"/>
      <c r="B768" s="96" t="n"/>
      <c r="C768" s="96" t="n"/>
      <c r="D768" s="95" t="n"/>
      <c r="E768" s="96" t="n"/>
      <c r="F768" s="99" t="n"/>
      <c r="G768" s="95" t="n"/>
      <c r="H768" s="95" t="n"/>
      <c r="I768" s="101">
        <f>IF($B768="","",IF(COUNTIF(Setup!$A$99:$A$128,$B768)&gt;0,IF(INDEX(Setup!$B$99:$B$128,MATCH($B768,Setup!$A$99:$A$128,0))="","Overhead",INDEX(Setup!$B$99:$B$128,MATCH($B768,Setup!$A$99:$A$128,0))),IF(ISNUMBER(SEARCH("advance",$B768))+ISNUMBER(SEARCH("payout",$B768))+ISNUMBER(SEARCH("pay out",$B768))+ISNUMBER(SEARCH("reimburs",$B768))&gt;0,"Transfer",IF(ISNUMBER(SEARCH("loan",$B768))+ISNUMBER(SEARCH("amort",$B768))+ISNUMBER(SEARCH("installment",$B768))+ISNUMBER(SEARCH("instalment",$B768))&gt;0,"Financing",IF(ISNUMBER(SEARCH("draw",$B768))+ISNUMBER(SEARCH("owner",$B768))+ISNUMBER(SEARCH("asset",$B768))+ISNUMBER(SEARCH("capital",$B768))&gt;0,"Other",IF(ISNUMBER(SEARCH("fuel",$B768))+ISNUMBER(SEARCH("diesel",$B768))+ISNUMBER(SEARCH("krudo",$B768))+ISNUMBER(SEARCH("gasolina",$B768))+ISNUMBER(SEARCH("toll",$B768))+ISNUMBER(SEARCH("parking",$B768))+ISNUMBER(SEARCH("repair",$B768))+ISNUMBER(SEARCH("maintenance",$B768))+ISNUMBER(SEARCH("tire",$B768))+ISNUMBER(SEARCH("tyre",$B768))+ISNUMBER(SEARCH("battery",$B768))+ISNUMBER(SEARCH("oil",$B768))+ISNUMBER(SEARCH("filter",$B768))+ISNUMBER(SEARCH("spare",$B768))+ISNUMBER(SEARCH("insurance",$B768))+ISNUMBER(SEARCH("lto",$B768))+ISNUMBER(SEARCH("registration",$B768))+ISNUMBER(SEARCH("emission",$B768))+ISNUMBER(SEARCH("wash",$B768))+ISNUMBER(SEARCH("weigh",$B768))+ISNUMBER(SEARCH("tarp",$B768))&gt;0,"Vehicle",IF(ISNUMBER(SEARCH("rent",$B768))+ISNUMBER(SEARCH("upa",$B768))+ISNUMBER(SEARCH("salary",$B768))+ISNUMBER(SEARCH("sweldo",$B768))+ISNUMBER(SEARCH("wage",$B768))+ISNUMBER(SEARCH("electric",$B768))+ISNUMBER(SEARCH("kuryente",$B768))+ISNUMBER(SEARCH("water",$B768))+ISNUMBER(SEARCH("tubig",$B768))+ISNUMBER(SEARCH("internet",$B768))+ISNUMBER(SEARCH("pldt",$B768))+ISNUMBER(SEARCH("meralco",$B768))+ISNUMBER(SEARCH("supplies",$B768))+ISNUMBER(SEARCH("office",$B768))+ISNUMBER(SEARCH("professional",$B768))+ISNUMBER(SEARCH("accountant",$B768))+ISNUMBER(SEARCH("lawyer",$B768))+ISNUMBER(SEARCH("broker",$B768))+ISNUMBER(SEARCH("bank",$B768))+ISNUMBER(SEARCH("charge",$B768))+ISNUMBER(SEARCH("permit",$B768))+ISNUMBER(SEARCH("bir",$B768))+ISNUMBER(SEARCH("ltfrb",$B768))+ISNUMBER(SEARCH("misc",$B768))+ISNUMBER(SEARCH("fee",$B768))&gt;0,"Overhead","Overhead")))))))</f>
        <v/>
      </c>
      <c r="J768">
        <f>IF($A768="","",DATE(YEAR($A768),MONTH($A768),1))</f>
        <v/>
      </c>
      <c r="K768">
        <f>IF($B768="","",IF(COUNTIF(Setup!$A$99:$A$128,$B768)&gt;0,0,1))</f>
        <v/>
      </c>
      <c r="L768">
        <f>IF($B768="","",IF(ISNUMBER(SEARCH("advance",$B768)),"ADV",IF(OR(ISNUMBER(SEARCH("payout",$B768)),ISNUMBER(SEARCH("pay out",$B768)),ISNUMBER(SEARCH("release",$B768))),"PAY","")))</f>
        <v/>
      </c>
      <c r="M768">
        <f>IF($B768="","",IF(ISNUMBER(SEARCH("bulk",$B768)),0,IF(ISNUMBER(SEARCH("fuel",$B768))+ISNUMBER(SEARCH("diesel",$B768))+ISNUMBER(SEARCH("krudo",$B768))+ISNUMBER(SEARCH("gasolina",$B768))&gt;0,1,0)))</f>
        <v/>
      </c>
      <c r="N768">
        <f>IF($B768="","",IF(ISNUMBER(SEARCH("fuel",$B768))+ISNUMBER(SEARCH("diesel",$B768))+ISNUMBER(SEARCH("krudo",$B768))+ISNUMBER(SEARCH("gasolina",$B768))&gt;0,1,0))</f>
        <v/>
      </c>
    </row>
    <row r="769">
      <c r="A769" s="86" t="n"/>
      <c r="B769" s="88" t="n"/>
      <c r="C769" s="88" t="n"/>
      <c r="D769" s="87" t="n"/>
      <c r="E769" s="88" t="n"/>
      <c r="F769" s="92" t="n"/>
      <c r="G769" s="87" t="n"/>
      <c r="H769" s="87" t="n"/>
      <c r="I769" s="101">
        <f>IF($B769="","",IF(COUNTIF(Setup!$A$99:$A$128,$B769)&gt;0,IF(INDEX(Setup!$B$99:$B$128,MATCH($B769,Setup!$A$99:$A$128,0))="","Overhead",INDEX(Setup!$B$99:$B$128,MATCH($B769,Setup!$A$99:$A$128,0))),IF(ISNUMBER(SEARCH("advance",$B769))+ISNUMBER(SEARCH("payout",$B769))+ISNUMBER(SEARCH("pay out",$B769))+ISNUMBER(SEARCH("reimburs",$B769))&gt;0,"Transfer",IF(ISNUMBER(SEARCH("loan",$B769))+ISNUMBER(SEARCH("amort",$B769))+ISNUMBER(SEARCH("installment",$B769))+ISNUMBER(SEARCH("instalment",$B769))&gt;0,"Financing",IF(ISNUMBER(SEARCH("draw",$B769))+ISNUMBER(SEARCH("owner",$B769))+ISNUMBER(SEARCH("asset",$B769))+ISNUMBER(SEARCH("capital",$B769))&gt;0,"Other",IF(ISNUMBER(SEARCH("fuel",$B769))+ISNUMBER(SEARCH("diesel",$B769))+ISNUMBER(SEARCH("krudo",$B769))+ISNUMBER(SEARCH("gasolina",$B769))+ISNUMBER(SEARCH("toll",$B769))+ISNUMBER(SEARCH("parking",$B769))+ISNUMBER(SEARCH("repair",$B769))+ISNUMBER(SEARCH("maintenance",$B769))+ISNUMBER(SEARCH("tire",$B769))+ISNUMBER(SEARCH("tyre",$B769))+ISNUMBER(SEARCH("battery",$B769))+ISNUMBER(SEARCH("oil",$B769))+ISNUMBER(SEARCH("filter",$B769))+ISNUMBER(SEARCH("spare",$B769))+ISNUMBER(SEARCH("insurance",$B769))+ISNUMBER(SEARCH("lto",$B769))+ISNUMBER(SEARCH("registration",$B769))+ISNUMBER(SEARCH("emission",$B769))+ISNUMBER(SEARCH("wash",$B769))+ISNUMBER(SEARCH("weigh",$B769))+ISNUMBER(SEARCH("tarp",$B769))&gt;0,"Vehicle",IF(ISNUMBER(SEARCH("rent",$B769))+ISNUMBER(SEARCH("upa",$B769))+ISNUMBER(SEARCH("salary",$B769))+ISNUMBER(SEARCH("sweldo",$B769))+ISNUMBER(SEARCH("wage",$B769))+ISNUMBER(SEARCH("electric",$B769))+ISNUMBER(SEARCH("kuryente",$B769))+ISNUMBER(SEARCH("water",$B769))+ISNUMBER(SEARCH("tubig",$B769))+ISNUMBER(SEARCH("internet",$B769))+ISNUMBER(SEARCH("pldt",$B769))+ISNUMBER(SEARCH("meralco",$B769))+ISNUMBER(SEARCH("supplies",$B769))+ISNUMBER(SEARCH("office",$B769))+ISNUMBER(SEARCH("professional",$B769))+ISNUMBER(SEARCH("accountant",$B769))+ISNUMBER(SEARCH("lawyer",$B769))+ISNUMBER(SEARCH("broker",$B769))+ISNUMBER(SEARCH("bank",$B769))+ISNUMBER(SEARCH("charge",$B769))+ISNUMBER(SEARCH("permit",$B769))+ISNUMBER(SEARCH("bir",$B769))+ISNUMBER(SEARCH("ltfrb",$B769))+ISNUMBER(SEARCH("misc",$B769))+ISNUMBER(SEARCH("fee",$B769))&gt;0,"Overhead","Overhead")))))))</f>
        <v/>
      </c>
      <c r="J769">
        <f>IF($A769="","",DATE(YEAR($A769),MONTH($A769),1))</f>
        <v/>
      </c>
      <c r="K769">
        <f>IF($B769="","",IF(COUNTIF(Setup!$A$99:$A$128,$B769)&gt;0,0,1))</f>
        <v/>
      </c>
      <c r="L769">
        <f>IF($B769="","",IF(ISNUMBER(SEARCH("advance",$B769)),"ADV",IF(OR(ISNUMBER(SEARCH("payout",$B769)),ISNUMBER(SEARCH("pay out",$B769)),ISNUMBER(SEARCH("release",$B769))),"PAY","")))</f>
        <v/>
      </c>
      <c r="M769">
        <f>IF($B769="","",IF(ISNUMBER(SEARCH("bulk",$B769)),0,IF(ISNUMBER(SEARCH("fuel",$B769))+ISNUMBER(SEARCH("diesel",$B769))+ISNUMBER(SEARCH("krudo",$B769))+ISNUMBER(SEARCH("gasolina",$B769))&gt;0,1,0)))</f>
        <v/>
      </c>
      <c r="N769">
        <f>IF($B769="","",IF(ISNUMBER(SEARCH("fuel",$B769))+ISNUMBER(SEARCH("diesel",$B769))+ISNUMBER(SEARCH("krudo",$B769))+ISNUMBER(SEARCH("gasolina",$B769))&gt;0,1,0))</f>
        <v/>
      </c>
    </row>
    <row r="770">
      <c r="A770" s="94" t="n"/>
      <c r="B770" s="96" t="n"/>
      <c r="C770" s="96" t="n"/>
      <c r="D770" s="95" t="n"/>
      <c r="E770" s="96" t="n"/>
      <c r="F770" s="99" t="n"/>
      <c r="G770" s="95" t="n"/>
      <c r="H770" s="95" t="n"/>
      <c r="I770" s="101">
        <f>IF($B770="","",IF(COUNTIF(Setup!$A$99:$A$128,$B770)&gt;0,IF(INDEX(Setup!$B$99:$B$128,MATCH($B770,Setup!$A$99:$A$128,0))="","Overhead",INDEX(Setup!$B$99:$B$128,MATCH($B770,Setup!$A$99:$A$128,0))),IF(ISNUMBER(SEARCH("advance",$B770))+ISNUMBER(SEARCH("payout",$B770))+ISNUMBER(SEARCH("pay out",$B770))+ISNUMBER(SEARCH("reimburs",$B770))&gt;0,"Transfer",IF(ISNUMBER(SEARCH("loan",$B770))+ISNUMBER(SEARCH("amort",$B770))+ISNUMBER(SEARCH("installment",$B770))+ISNUMBER(SEARCH("instalment",$B770))&gt;0,"Financing",IF(ISNUMBER(SEARCH("draw",$B770))+ISNUMBER(SEARCH("owner",$B770))+ISNUMBER(SEARCH("asset",$B770))+ISNUMBER(SEARCH("capital",$B770))&gt;0,"Other",IF(ISNUMBER(SEARCH("fuel",$B770))+ISNUMBER(SEARCH("diesel",$B770))+ISNUMBER(SEARCH("krudo",$B770))+ISNUMBER(SEARCH("gasolina",$B770))+ISNUMBER(SEARCH("toll",$B770))+ISNUMBER(SEARCH("parking",$B770))+ISNUMBER(SEARCH("repair",$B770))+ISNUMBER(SEARCH("maintenance",$B770))+ISNUMBER(SEARCH("tire",$B770))+ISNUMBER(SEARCH("tyre",$B770))+ISNUMBER(SEARCH("battery",$B770))+ISNUMBER(SEARCH("oil",$B770))+ISNUMBER(SEARCH("filter",$B770))+ISNUMBER(SEARCH("spare",$B770))+ISNUMBER(SEARCH("insurance",$B770))+ISNUMBER(SEARCH("lto",$B770))+ISNUMBER(SEARCH("registration",$B770))+ISNUMBER(SEARCH("emission",$B770))+ISNUMBER(SEARCH("wash",$B770))+ISNUMBER(SEARCH("weigh",$B770))+ISNUMBER(SEARCH("tarp",$B770))&gt;0,"Vehicle",IF(ISNUMBER(SEARCH("rent",$B770))+ISNUMBER(SEARCH("upa",$B770))+ISNUMBER(SEARCH("salary",$B770))+ISNUMBER(SEARCH("sweldo",$B770))+ISNUMBER(SEARCH("wage",$B770))+ISNUMBER(SEARCH("electric",$B770))+ISNUMBER(SEARCH("kuryente",$B770))+ISNUMBER(SEARCH("water",$B770))+ISNUMBER(SEARCH("tubig",$B770))+ISNUMBER(SEARCH("internet",$B770))+ISNUMBER(SEARCH("pldt",$B770))+ISNUMBER(SEARCH("meralco",$B770))+ISNUMBER(SEARCH("supplies",$B770))+ISNUMBER(SEARCH("office",$B770))+ISNUMBER(SEARCH("professional",$B770))+ISNUMBER(SEARCH("accountant",$B770))+ISNUMBER(SEARCH("lawyer",$B770))+ISNUMBER(SEARCH("broker",$B770))+ISNUMBER(SEARCH("bank",$B770))+ISNUMBER(SEARCH("charge",$B770))+ISNUMBER(SEARCH("permit",$B770))+ISNUMBER(SEARCH("bir",$B770))+ISNUMBER(SEARCH("ltfrb",$B770))+ISNUMBER(SEARCH("misc",$B770))+ISNUMBER(SEARCH("fee",$B770))&gt;0,"Overhead","Overhead")))))))</f>
        <v/>
      </c>
      <c r="J770">
        <f>IF($A770="","",DATE(YEAR($A770),MONTH($A770),1))</f>
        <v/>
      </c>
      <c r="K770">
        <f>IF($B770="","",IF(COUNTIF(Setup!$A$99:$A$128,$B770)&gt;0,0,1))</f>
        <v/>
      </c>
      <c r="L770">
        <f>IF($B770="","",IF(ISNUMBER(SEARCH("advance",$B770)),"ADV",IF(OR(ISNUMBER(SEARCH("payout",$B770)),ISNUMBER(SEARCH("pay out",$B770)),ISNUMBER(SEARCH("release",$B770))),"PAY","")))</f>
        <v/>
      </c>
      <c r="M770">
        <f>IF($B770="","",IF(ISNUMBER(SEARCH("bulk",$B770)),0,IF(ISNUMBER(SEARCH("fuel",$B770))+ISNUMBER(SEARCH("diesel",$B770))+ISNUMBER(SEARCH("krudo",$B770))+ISNUMBER(SEARCH("gasolina",$B770))&gt;0,1,0)))</f>
        <v/>
      </c>
      <c r="N770">
        <f>IF($B770="","",IF(ISNUMBER(SEARCH("fuel",$B770))+ISNUMBER(SEARCH("diesel",$B770))+ISNUMBER(SEARCH("krudo",$B770))+ISNUMBER(SEARCH("gasolina",$B770))&gt;0,1,0))</f>
        <v/>
      </c>
    </row>
    <row r="771">
      <c r="A771" s="86" t="n"/>
      <c r="B771" s="88" t="n"/>
      <c r="C771" s="88" t="n"/>
      <c r="D771" s="87" t="n"/>
      <c r="E771" s="88" t="n"/>
      <c r="F771" s="92" t="n"/>
      <c r="G771" s="87" t="n"/>
      <c r="H771" s="87" t="n"/>
      <c r="I771" s="101">
        <f>IF($B771="","",IF(COUNTIF(Setup!$A$99:$A$128,$B771)&gt;0,IF(INDEX(Setup!$B$99:$B$128,MATCH($B771,Setup!$A$99:$A$128,0))="","Overhead",INDEX(Setup!$B$99:$B$128,MATCH($B771,Setup!$A$99:$A$128,0))),IF(ISNUMBER(SEARCH("advance",$B771))+ISNUMBER(SEARCH("payout",$B771))+ISNUMBER(SEARCH("pay out",$B771))+ISNUMBER(SEARCH("reimburs",$B771))&gt;0,"Transfer",IF(ISNUMBER(SEARCH("loan",$B771))+ISNUMBER(SEARCH("amort",$B771))+ISNUMBER(SEARCH("installment",$B771))+ISNUMBER(SEARCH("instalment",$B771))&gt;0,"Financing",IF(ISNUMBER(SEARCH("draw",$B771))+ISNUMBER(SEARCH("owner",$B771))+ISNUMBER(SEARCH("asset",$B771))+ISNUMBER(SEARCH("capital",$B771))&gt;0,"Other",IF(ISNUMBER(SEARCH("fuel",$B771))+ISNUMBER(SEARCH("diesel",$B771))+ISNUMBER(SEARCH("krudo",$B771))+ISNUMBER(SEARCH("gasolina",$B771))+ISNUMBER(SEARCH("toll",$B771))+ISNUMBER(SEARCH("parking",$B771))+ISNUMBER(SEARCH("repair",$B771))+ISNUMBER(SEARCH("maintenance",$B771))+ISNUMBER(SEARCH("tire",$B771))+ISNUMBER(SEARCH("tyre",$B771))+ISNUMBER(SEARCH("battery",$B771))+ISNUMBER(SEARCH("oil",$B771))+ISNUMBER(SEARCH("filter",$B771))+ISNUMBER(SEARCH("spare",$B771))+ISNUMBER(SEARCH("insurance",$B771))+ISNUMBER(SEARCH("lto",$B771))+ISNUMBER(SEARCH("registration",$B771))+ISNUMBER(SEARCH("emission",$B771))+ISNUMBER(SEARCH("wash",$B771))+ISNUMBER(SEARCH("weigh",$B771))+ISNUMBER(SEARCH("tarp",$B771))&gt;0,"Vehicle",IF(ISNUMBER(SEARCH("rent",$B771))+ISNUMBER(SEARCH("upa",$B771))+ISNUMBER(SEARCH("salary",$B771))+ISNUMBER(SEARCH("sweldo",$B771))+ISNUMBER(SEARCH("wage",$B771))+ISNUMBER(SEARCH("electric",$B771))+ISNUMBER(SEARCH("kuryente",$B771))+ISNUMBER(SEARCH("water",$B771))+ISNUMBER(SEARCH("tubig",$B771))+ISNUMBER(SEARCH("internet",$B771))+ISNUMBER(SEARCH("pldt",$B771))+ISNUMBER(SEARCH("meralco",$B771))+ISNUMBER(SEARCH("supplies",$B771))+ISNUMBER(SEARCH("office",$B771))+ISNUMBER(SEARCH("professional",$B771))+ISNUMBER(SEARCH("accountant",$B771))+ISNUMBER(SEARCH("lawyer",$B771))+ISNUMBER(SEARCH("broker",$B771))+ISNUMBER(SEARCH("bank",$B771))+ISNUMBER(SEARCH("charge",$B771))+ISNUMBER(SEARCH("permit",$B771))+ISNUMBER(SEARCH("bir",$B771))+ISNUMBER(SEARCH("ltfrb",$B771))+ISNUMBER(SEARCH("misc",$B771))+ISNUMBER(SEARCH("fee",$B771))&gt;0,"Overhead","Overhead")))))))</f>
        <v/>
      </c>
      <c r="J771">
        <f>IF($A771="","",DATE(YEAR($A771),MONTH($A771),1))</f>
        <v/>
      </c>
      <c r="K771">
        <f>IF($B771="","",IF(COUNTIF(Setup!$A$99:$A$128,$B771)&gt;0,0,1))</f>
        <v/>
      </c>
      <c r="L771">
        <f>IF($B771="","",IF(ISNUMBER(SEARCH("advance",$B771)),"ADV",IF(OR(ISNUMBER(SEARCH("payout",$B771)),ISNUMBER(SEARCH("pay out",$B771)),ISNUMBER(SEARCH("release",$B771))),"PAY","")))</f>
        <v/>
      </c>
      <c r="M771">
        <f>IF($B771="","",IF(ISNUMBER(SEARCH("bulk",$B771)),0,IF(ISNUMBER(SEARCH("fuel",$B771))+ISNUMBER(SEARCH("diesel",$B771))+ISNUMBER(SEARCH("krudo",$B771))+ISNUMBER(SEARCH("gasolina",$B771))&gt;0,1,0)))</f>
        <v/>
      </c>
      <c r="N771">
        <f>IF($B771="","",IF(ISNUMBER(SEARCH("fuel",$B771))+ISNUMBER(SEARCH("diesel",$B771))+ISNUMBER(SEARCH("krudo",$B771))+ISNUMBER(SEARCH("gasolina",$B771))&gt;0,1,0))</f>
        <v/>
      </c>
    </row>
    <row r="772">
      <c r="A772" s="94" t="n"/>
      <c r="B772" s="96" t="n"/>
      <c r="C772" s="96" t="n"/>
      <c r="D772" s="95" t="n"/>
      <c r="E772" s="96" t="n"/>
      <c r="F772" s="99" t="n"/>
      <c r="G772" s="95" t="n"/>
      <c r="H772" s="95" t="n"/>
      <c r="I772" s="101">
        <f>IF($B772="","",IF(COUNTIF(Setup!$A$99:$A$128,$B772)&gt;0,IF(INDEX(Setup!$B$99:$B$128,MATCH($B772,Setup!$A$99:$A$128,0))="","Overhead",INDEX(Setup!$B$99:$B$128,MATCH($B772,Setup!$A$99:$A$128,0))),IF(ISNUMBER(SEARCH("advance",$B772))+ISNUMBER(SEARCH("payout",$B772))+ISNUMBER(SEARCH("pay out",$B772))+ISNUMBER(SEARCH("reimburs",$B772))&gt;0,"Transfer",IF(ISNUMBER(SEARCH("loan",$B772))+ISNUMBER(SEARCH("amort",$B772))+ISNUMBER(SEARCH("installment",$B772))+ISNUMBER(SEARCH("instalment",$B772))&gt;0,"Financing",IF(ISNUMBER(SEARCH("draw",$B772))+ISNUMBER(SEARCH("owner",$B772))+ISNUMBER(SEARCH("asset",$B772))+ISNUMBER(SEARCH("capital",$B772))&gt;0,"Other",IF(ISNUMBER(SEARCH("fuel",$B772))+ISNUMBER(SEARCH("diesel",$B772))+ISNUMBER(SEARCH("krudo",$B772))+ISNUMBER(SEARCH("gasolina",$B772))+ISNUMBER(SEARCH("toll",$B772))+ISNUMBER(SEARCH("parking",$B772))+ISNUMBER(SEARCH("repair",$B772))+ISNUMBER(SEARCH("maintenance",$B772))+ISNUMBER(SEARCH("tire",$B772))+ISNUMBER(SEARCH("tyre",$B772))+ISNUMBER(SEARCH("battery",$B772))+ISNUMBER(SEARCH("oil",$B772))+ISNUMBER(SEARCH("filter",$B772))+ISNUMBER(SEARCH("spare",$B772))+ISNUMBER(SEARCH("insurance",$B772))+ISNUMBER(SEARCH("lto",$B772))+ISNUMBER(SEARCH("registration",$B772))+ISNUMBER(SEARCH("emission",$B772))+ISNUMBER(SEARCH("wash",$B772))+ISNUMBER(SEARCH("weigh",$B772))+ISNUMBER(SEARCH("tarp",$B772))&gt;0,"Vehicle",IF(ISNUMBER(SEARCH("rent",$B772))+ISNUMBER(SEARCH("upa",$B772))+ISNUMBER(SEARCH("salary",$B772))+ISNUMBER(SEARCH("sweldo",$B772))+ISNUMBER(SEARCH("wage",$B772))+ISNUMBER(SEARCH("electric",$B772))+ISNUMBER(SEARCH("kuryente",$B772))+ISNUMBER(SEARCH("water",$B772))+ISNUMBER(SEARCH("tubig",$B772))+ISNUMBER(SEARCH("internet",$B772))+ISNUMBER(SEARCH("pldt",$B772))+ISNUMBER(SEARCH("meralco",$B772))+ISNUMBER(SEARCH("supplies",$B772))+ISNUMBER(SEARCH("office",$B772))+ISNUMBER(SEARCH("professional",$B772))+ISNUMBER(SEARCH("accountant",$B772))+ISNUMBER(SEARCH("lawyer",$B772))+ISNUMBER(SEARCH("broker",$B772))+ISNUMBER(SEARCH("bank",$B772))+ISNUMBER(SEARCH("charge",$B772))+ISNUMBER(SEARCH("permit",$B772))+ISNUMBER(SEARCH("bir",$B772))+ISNUMBER(SEARCH("ltfrb",$B772))+ISNUMBER(SEARCH("misc",$B772))+ISNUMBER(SEARCH("fee",$B772))&gt;0,"Overhead","Overhead")))))))</f>
        <v/>
      </c>
      <c r="J772">
        <f>IF($A772="","",DATE(YEAR($A772),MONTH($A772),1))</f>
        <v/>
      </c>
      <c r="K772">
        <f>IF($B772="","",IF(COUNTIF(Setup!$A$99:$A$128,$B772)&gt;0,0,1))</f>
        <v/>
      </c>
      <c r="L772">
        <f>IF($B772="","",IF(ISNUMBER(SEARCH("advance",$B772)),"ADV",IF(OR(ISNUMBER(SEARCH("payout",$B772)),ISNUMBER(SEARCH("pay out",$B772)),ISNUMBER(SEARCH("release",$B772))),"PAY","")))</f>
        <v/>
      </c>
      <c r="M772">
        <f>IF($B772="","",IF(ISNUMBER(SEARCH("bulk",$B772)),0,IF(ISNUMBER(SEARCH("fuel",$B772))+ISNUMBER(SEARCH("diesel",$B772))+ISNUMBER(SEARCH("krudo",$B772))+ISNUMBER(SEARCH("gasolina",$B772))&gt;0,1,0)))</f>
        <v/>
      </c>
      <c r="N772">
        <f>IF($B772="","",IF(ISNUMBER(SEARCH("fuel",$B772))+ISNUMBER(SEARCH("diesel",$B772))+ISNUMBER(SEARCH("krudo",$B772))+ISNUMBER(SEARCH("gasolina",$B772))&gt;0,1,0))</f>
        <v/>
      </c>
    </row>
    <row r="773">
      <c r="A773" s="86" t="n"/>
      <c r="B773" s="88" t="n"/>
      <c r="C773" s="88" t="n"/>
      <c r="D773" s="87" t="n"/>
      <c r="E773" s="88" t="n"/>
      <c r="F773" s="92" t="n"/>
      <c r="G773" s="87" t="n"/>
      <c r="H773" s="87" t="n"/>
      <c r="I773" s="101">
        <f>IF($B773="","",IF(COUNTIF(Setup!$A$99:$A$128,$B773)&gt;0,IF(INDEX(Setup!$B$99:$B$128,MATCH($B773,Setup!$A$99:$A$128,0))="","Overhead",INDEX(Setup!$B$99:$B$128,MATCH($B773,Setup!$A$99:$A$128,0))),IF(ISNUMBER(SEARCH("advance",$B773))+ISNUMBER(SEARCH("payout",$B773))+ISNUMBER(SEARCH("pay out",$B773))+ISNUMBER(SEARCH("reimburs",$B773))&gt;0,"Transfer",IF(ISNUMBER(SEARCH("loan",$B773))+ISNUMBER(SEARCH("amort",$B773))+ISNUMBER(SEARCH("installment",$B773))+ISNUMBER(SEARCH("instalment",$B773))&gt;0,"Financing",IF(ISNUMBER(SEARCH("draw",$B773))+ISNUMBER(SEARCH("owner",$B773))+ISNUMBER(SEARCH("asset",$B773))+ISNUMBER(SEARCH("capital",$B773))&gt;0,"Other",IF(ISNUMBER(SEARCH("fuel",$B773))+ISNUMBER(SEARCH("diesel",$B773))+ISNUMBER(SEARCH("krudo",$B773))+ISNUMBER(SEARCH("gasolina",$B773))+ISNUMBER(SEARCH("toll",$B773))+ISNUMBER(SEARCH("parking",$B773))+ISNUMBER(SEARCH("repair",$B773))+ISNUMBER(SEARCH("maintenance",$B773))+ISNUMBER(SEARCH("tire",$B773))+ISNUMBER(SEARCH("tyre",$B773))+ISNUMBER(SEARCH("battery",$B773))+ISNUMBER(SEARCH("oil",$B773))+ISNUMBER(SEARCH("filter",$B773))+ISNUMBER(SEARCH("spare",$B773))+ISNUMBER(SEARCH("insurance",$B773))+ISNUMBER(SEARCH("lto",$B773))+ISNUMBER(SEARCH("registration",$B773))+ISNUMBER(SEARCH("emission",$B773))+ISNUMBER(SEARCH("wash",$B773))+ISNUMBER(SEARCH("weigh",$B773))+ISNUMBER(SEARCH("tarp",$B773))&gt;0,"Vehicle",IF(ISNUMBER(SEARCH("rent",$B773))+ISNUMBER(SEARCH("upa",$B773))+ISNUMBER(SEARCH("salary",$B773))+ISNUMBER(SEARCH("sweldo",$B773))+ISNUMBER(SEARCH("wage",$B773))+ISNUMBER(SEARCH("electric",$B773))+ISNUMBER(SEARCH("kuryente",$B773))+ISNUMBER(SEARCH("water",$B773))+ISNUMBER(SEARCH("tubig",$B773))+ISNUMBER(SEARCH("internet",$B773))+ISNUMBER(SEARCH("pldt",$B773))+ISNUMBER(SEARCH("meralco",$B773))+ISNUMBER(SEARCH("supplies",$B773))+ISNUMBER(SEARCH("office",$B773))+ISNUMBER(SEARCH("professional",$B773))+ISNUMBER(SEARCH("accountant",$B773))+ISNUMBER(SEARCH("lawyer",$B773))+ISNUMBER(SEARCH("broker",$B773))+ISNUMBER(SEARCH("bank",$B773))+ISNUMBER(SEARCH("charge",$B773))+ISNUMBER(SEARCH("permit",$B773))+ISNUMBER(SEARCH("bir",$B773))+ISNUMBER(SEARCH("ltfrb",$B773))+ISNUMBER(SEARCH("misc",$B773))+ISNUMBER(SEARCH("fee",$B773))&gt;0,"Overhead","Overhead")))))))</f>
        <v/>
      </c>
      <c r="J773">
        <f>IF($A773="","",DATE(YEAR($A773),MONTH($A773),1))</f>
        <v/>
      </c>
      <c r="K773">
        <f>IF($B773="","",IF(COUNTIF(Setup!$A$99:$A$128,$B773)&gt;0,0,1))</f>
        <v/>
      </c>
      <c r="L773">
        <f>IF($B773="","",IF(ISNUMBER(SEARCH("advance",$B773)),"ADV",IF(OR(ISNUMBER(SEARCH("payout",$B773)),ISNUMBER(SEARCH("pay out",$B773)),ISNUMBER(SEARCH("release",$B773))),"PAY","")))</f>
        <v/>
      </c>
      <c r="M773">
        <f>IF($B773="","",IF(ISNUMBER(SEARCH("bulk",$B773)),0,IF(ISNUMBER(SEARCH("fuel",$B773))+ISNUMBER(SEARCH("diesel",$B773))+ISNUMBER(SEARCH("krudo",$B773))+ISNUMBER(SEARCH("gasolina",$B773))&gt;0,1,0)))</f>
        <v/>
      </c>
      <c r="N773">
        <f>IF($B773="","",IF(ISNUMBER(SEARCH("fuel",$B773))+ISNUMBER(SEARCH("diesel",$B773))+ISNUMBER(SEARCH("krudo",$B773))+ISNUMBER(SEARCH("gasolina",$B773))&gt;0,1,0))</f>
        <v/>
      </c>
    </row>
    <row r="774">
      <c r="A774" s="94" t="n"/>
      <c r="B774" s="96" t="n"/>
      <c r="C774" s="96" t="n"/>
      <c r="D774" s="95" t="n"/>
      <c r="E774" s="96" t="n"/>
      <c r="F774" s="99" t="n"/>
      <c r="G774" s="95" t="n"/>
      <c r="H774" s="95" t="n"/>
      <c r="I774" s="101">
        <f>IF($B774="","",IF(COUNTIF(Setup!$A$99:$A$128,$B774)&gt;0,IF(INDEX(Setup!$B$99:$B$128,MATCH($B774,Setup!$A$99:$A$128,0))="","Overhead",INDEX(Setup!$B$99:$B$128,MATCH($B774,Setup!$A$99:$A$128,0))),IF(ISNUMBER(SEARCH("advance",$B774))+ISNUMBER(SEARCH("payout",$B774))+ISNUMBER(SEARCH("pay out",$B774))+ISNUMBER(SEARCH("reimburs",$B774))&gt;0,"Transfer",IF(ISNUMBER(SEARCH("loan",$B774))+ISNUMBER(SEARCH("amort",$B774))+ISNUMBER(SEARCH("installment",$B774))+ISNUMBER(SEARCH("instalment",$B774))&gt;0,"Financing",IF(ISNUMBER(SEARCH("draw",$B774))+ISNUMBER(SEARCH("owner",$B774))+ISNUMBER(SEARCH("asset",$B774))+ISNUMBER(SEARCH("capital",$B774))&gt;0,"Other",IF(ISNUMBER(SEARCH("fuel",$B774))+ISNUMBER(SEARCH("diesel",$B774))+ISNUMBER(SEARCH("krudo",$B774))+ISNUMBER(SEARCH("gasolina",$B774))+ISNUMBER(SEARCH("toll",$B774))+ISNUMBER(SEARCH("parking",$B774))+ISNUMBER(SEARCH("repair",$B774))+ISNUMBER(SEARCH("maintenance",$B774))+ISNUMBER(SEARCH("tire",$B774))+ISNUMBER(SEARCH("tyre",$B774))+ISNUMBER(SEARCH("battery",$B774))+ISNUMBER(SEARCH("oil",$B774))+ISNUMBER(SEARCH("filter",$B774))+ISNUMBER(SEARCH("spare",$B774))+ISNUMBER(SEARCH("insurance",$B774))+ISNUMBER(SEARCH("lto",$B774))+ISNUMBER(SEARCH("registration",$B774))+ISNUMBER(SEARCH("emission",$B774))+ISNUMBER(SEARCH("wash",$B774))+ISNUMBER(SEARCH("weigh",$B774))+ISNUMBER(SEARCH("tarp",$B774))&gt;0,"Vehicle",IF(ISNUMBER(SEARCH("rent",$B774))+ISNUMBER(SEARCH("upa",$B774))+ISNUMBER(SEARCH("salary",$B774))+ISNUMBER(SEARCH("sweldo",$B774))+ISNUMBER(SEARCH("wage",$B774))+ISNUMBER(SEARCH("electric",$B774))+ISNUMBER(SEARCH("kuryente",$B774))+ISNUMBER(SEARCH("water",$B774))+ISNUMBER(SEARCH("tubig",$B774))+ISNUMBER(SEARCH("internet",$B774))+ISNUMBER(SEARCH("pldt",$B774))+ISNUMBER(SEARCH("meralco",$B774))+ISNUMBER(SEARCH("supplies",$B774))+ISNUMBER(SEARCH("office",$B774))+ISNUMBER(SEARCH("professional",$B774))+ISNUMBER(SEARCH("accountant",$B774))+ISNUMBER(SEARCH("lawyer",$B774))+ISNUMBER(SEARCH("broker",$B774))+ISNUMBER(SEARCH("bank",$B774))+ISNUMBER(SEARCH("charge",$B774))+ISNUMBER(SEARCH("permit",$B774))+ISNUMBER(SEARCH("bir",$B774))+ISNUMBER(SEARCH("ltfrb",$B774))+ISNUMBER(SEARCH("misc",$B774))+ISNUMBER(SEARCH("fee",$B774))&gt;0,"Overhead","Overhead")))))))</f>
        <v/>
      </c>
      <c r="J774">
        <f>IF($A774="","",DATE(YEAR($A774),MONTH($A774),1))</f>
        <v/>
      </c>
      <c r="K774">
        <f>IF($B774="","",IF(COUNTIF(Setup!$A$99:$A$128,$B774)&gt;0,0,1))</f>
        <v/>
      </c>
      <c r="L774">
        <f>IF($B774="","",IF(ISNUMBER(SEARCH("advance",$B774)),"ADV",IF(OR(ISNUMBER(SEARCH("payout",$B774)),ISNUMBER(SEARCH("pay out",$B774)),ISNUMBER(SEARCH("release",$B774))),"PAY","")))</f>
        <v/>
      </c>
      <c r="M774">
        <f>IF($B774="","",IF(ISNUMBER(SEARCH("bulk",$B774)),0,IF(ISNUMBER(SEARCH("fuel",$B774))+ISNUMBER(SEARCH("diesel",$B774))+ISNUMBER(SEARCH("krudo",$B774))+ISNUMBER(SEARCH("gasolina",$B774))&gt;0,1,0)))</f>
        <v/>
      </c>
      <c r="N774">
        <f>IF($B774="","",IF(ISNUMBER(SEARCH("fuel",$B774))+ISNUMBER(SEARCH("diesel",$B774))+ISNUMBER(SEARCH("krudo",$B774))+ISNUMBER(SEARCH("gasolina",$B774))&gt;0,1,0))</f>
        <v/>
      </c>
    </row>
    <row r="775">
      <c r="A775" s="86" t="n"/>
      <c r="B775" s="88" t="n"/>
      <c r="C775" s="88" t="n"/>
      <c r="D775" s="87" t="n"/>
      <c r="E775" s="88" t="n"/>
      <c r="F775" s="92" t="n"/>
      <c r="G775" s="87" t="n"/>
      <c r="H775" s="87" t="n"/>
      <c r="I775" s="101">
        <f>IF($B775="","",IF(COUNTIF(Setup!$A$99:$A$128,$B775)&gt;0,IF(INDEX(Setup!$B$99:$B$128,MATCH($B775,Setup!$A$99:$A$128,0))="","Overhead",INDEX(Setup!$B$99:$B$128,MATCH($B775,Setup!$A$99:$A$128,0))),IF(ISNUMBER(SEARCH("advance",$B775))+ISNUMBER(SEARCH("payout",$B775))+ISNUMBER(SEARCH("pay out",$B775))+ISNUMBER(SEARCH("reimburs",$B775))&gt;0,"Transfer",IF(ISNUMBER(SEARCH("loan",$B775))+ISNUMBER(SEARCH("amort",$B775))+ISNUMBER(SEARCH("installment",$B775))+ISNUMBER(SEARCH("instalment",$B775))&gt;0,"Financing",IF(ISNUMBER(SEARCH("draw",$B775))+ISNUMBER(SEARCH("owner",$B775))+ISNUMBER(SEARCH("asset",$B775))+ISNUMBER(SEARCH("capital",$B775))&gt;0,"Other",IF(ISNUMBER(SEARCH("fuel",$B775))+ISNUMBER(SEARCH("diesel",$B775))+ISNUMBER(SEARCH("krudo",$B775))+ISNUMBER(SEARCH("gasolina",$B775))+ISNUMBER(SEARCH("toll",$B775))+ISNUMBER(SEARCH("parking",$B775))+ISNUMBER(SEARCH("repair",$B775))+ISNUMBER(SEARCH("maintenance",$B775))+ISNUMBER(SEARCH("tire",$B775))+ISNUMBER(SEARCH("tyre",$B775))+ISNUMBER(SEARCH("battery",$B775))+ISNUMBER(SEARCH("oil",$B775))+ISNUMBER(SEARCH("filter",$B775))+ISNUMBER(SEARCH("spare",$B775))+ISNUMBER(SEARCH("insurance",$B775))+ISNUMBER(SEARCH("lto",$B775))+ISNUMBER(SEARCH("registration",$B775))+ISNUMBER(SEARCH("emission",$B775))+ISNUMBER(SEARCH("wash",$B775))+ISNUMBER(SEARCH("weigh",$B775))+ISNUMBER(SEARCH("tarp",$B775))&gt;0,"Vehicle",IF(ISNUMBER(SEARCH("rent",$B775))+ISNUMBER(SEARCH("upa",$B775))+ISNUMBER(SEARCH("salary",$B775))+ISNUMBER(SEARCH("sweldo",$B775))+ISNUMBER(SEARCH("wage",$B775))+ISNUMBER(SEARCH("electric",$B775))+ISNUMBER(SEARCH("kuryente",$B775))+ISNUMBER(SEARCH("water",$B775))+ISNUMBER(SEARCH("tubig",$B775))+ISNUMBER(SEARCH("internet",$B775))+ISNUMBER(SEARCH("pldt",$B775))+ISNUMBER(SEARCH("meralco",$B775))+ISNUMBER(SEARCH("supplies",$B775))+ISNUMBER(SEARCH("office",$B775))+ISNUMBER(SEARCH("professional",$B775))+ISNUMBER(SEARCH("accountant",$B775))+ISNUMBER(SEARCH("lawyer",$B775))+ISNUMBER(SEARCH("broker",$B775))+ISNUMBER(SEARCH("bank",$B775))+ISNUMBER(SEARCH("charge",$B775))+ISNUMBER(SEARCH("permit",$B775))+ISNUMBER(SEARCH("bir",$B775))+ISNUMBER(SEARCH("ltfrb",$B775))+ISNUMBER(SEARCH("misc",$B775))+ISNUMBER(SEARCH("fee",$B775))&gt;0,"Overhead","Overhead")))))))</f>
        <v/>
      </c>
      <c r="J775">
        <f>IF($A775="","",DATE(YEAR($A775),MONTH($A775),1))</f>
        <v/>
      </c>
      <c r="K775">
        <f>IF($B775="","",IF(COUNTIF(Setup!$A$99:$A$128,$B775)&gt;0,0,1))</f>
        <v/>
      </c>
      <c r="L775">
        <f>IF($B775="","",IF(ISNUMBER(SEARCH("advance",$B775)),"ADV",IF(OR(ISNUMBER(SEARCH("payout",$B775)),ISNUMBER(SEARCH("pay out",$B775)),ISNUMBER(SEARCH("release",$B775))),"PAY","")))</f>
        <v/>
      </c>
      <c r="M775">
        <f>IF($B775="","",IF(ISNUMBER(SEARCH("bulk",$B775)),0,IF(ISNUMBER(SEARCH("fuel",$B775))+ISNUMBER(SEARCH("diesel",$B775))+ISNUMBER(SEARCH("krudo",$B775))+ISNUMBER(SEARCH("gasolina",$B775))&gt;0,1,0)))</f>
        <v/>
      </c>
      <c r="N775">
        <f>IF($B775="","",IF(ISNUMBER(SEARCH("fuel",$B775))+ISNUMBER(SEARCH("diesel",$B775))+ISNUMBER(SEARCH("krudo",$B775))+ISNUMBER(SEARCH("gasolina",$B775))&gt;0,1,0))</f>
        <v/>
      </c>
    </row>
    <row r="776">
      <c r="A776" s="94" t="n"/>
      <c r="B776" s="96" t="n"/>
      <c r="C776" s="96" t="n"/>
      <c r="D776" s="95" t="n"/>
      <c r="E776" s="96" t="n"/>
      <c r="F776" s="99" t="n"/>
      <c r="G776" s="95" t="n"/>
      <c r="H776" s="95" t="n"/>
      <c r="I776" s="101">
        <f>IF($B776="","",IF(COUNTIF(Setup!$A$99:$A$128,$B776)&gt;0,IF(INDEX(Setup!$B$99:$B$128,MATCH($B776,Setup!$A$99:$A$128,0))="","Overhead",INDEX(Setup!$B$99:$B$128,MATCH($B776,Setup!$A$99:$A$128,0))),IF(ISNUMBER(SEARCH("advance",$B776))+ISNUMBER(SEARCH("payout",$B776))+ISNUMBER(SEARCH("pay out",$B776))+ISNUMBER(SEARCH("reimburs",$B776))&gt;0,"Transfer",IF(ISNUMBER(SEARCH("loan",$B776))+ISNUMBER(SEARCH("amort",$B776))+ISNUMBER(SEARCH("installment",$B776))+ISNUMBER(SEARCH("instalment",$B776))&gt;0,"Financing",IF(ISNUMBER(SEARCH("draw",$B776))+ISNUMBER(SEARCH("owner",$B776))+ISNUMBER(SEARCH("asset",$B776))+ISNUMBER(SEARCH("capital",$B776))&gt;0,"Other",IF(ISNUMBER(SEARCH("fuel",$B776))+ISNUMBER(SEARCH("diesel",$B776))+ISNUMBER(SEARCH("krudo",$B776))+ISNUMBER(SEARCH("gasolina",$B776))+ISNUMBER(SEARCH("toll",$B776))+ISNUMBER(SEARCH("parking",$B776))+ISNUMBER(SEARCH("repair",$B776))+ISNUMBER(SEARCH("maintenance",$B776))+ISNUMBER(SEARCH("tire",$B776))+ISNUMBER(SEARCH("tyre",$B776))+ISNUMBER(SEARCH("battery",$B776))+ISNUMBER(SEARCH("oil",$B776))+ISNUMBER(SEARCH("filter",$B776))+ISNUMBER(SEARCH("spare",$B776))+ISNUMBER(SEARCH("insurance",$B776))+ISNUMBER(SEARCH("lto",$B776))+ISNUMBER(SEARCH("registration",$B776))+ISNUMBER(SEARCH("emission",$B776))+ISNUMBER(SEARCH("wash",$B776))+ISNUMBER(SEARCH("weigh",$B776))+ISNUMBER(SEARCH("tarp",$B776))&gt;0,"Vehicle",IF(ISNUMBER(SEARCH("rent",$B776))+ISNUMBER(SEARCH("upa",$B776))+ISNUMBER(SEARCH("salary",$B776))+ISNUMBER(SEARCH("sweldo",$B776))+ISNUMBER(SEARCH("wage",$B776))+ISNUMBER(SEARCH("electric",$B776))+ISNUMBER(SEARCH("kuryente",$B776))+ISNUMBER(SEARCH("water",$B776))+ISNUMBER(SEARCH("tubig",$B776))+ISNUMBER(SEARCH("internet",$B776))+ISNUMBER(SEARCH("pldt",$B776))+ISNUMBER(SEARCH("meralco",$B776))+ISNUMBER(SEARCH("supplies",$B776))+ISNUMBER(SEARCH("office",$B776))+ISNUMBER(SEARCH("professional",$B776))+ISNUMBER(SEARCH("accountant",$B776))+ISNUMBER(SEARCH("lawyer",$B776))+ISNUMBER(SEARCH("broker",$B776))+ISNUMBER(SEARCH("bank",$B776))+ISNUMBER(SEARCH("charge",$B776))+ISNUMBER(SEARCH("permit",$B776))+ISNUMBER(SEARCH("bir",$B776))+ISNUMBER(SEARCH("ltfrb",$B776))+ISNUMBER(SEARCH("misc",$B776))+ISNUMBER(SEARCH("fee",$B776))&gt;0,"Overhead","Overhead")))))))</f>
        <v/>
      </c>
      <c r="J776">
        <f>IF($A776="","",DATE(YEAR($A776),MONTH($A776),1))</f>
        <v/>
      </c>
      <c r="K776">
        <f>IF($B776="","",IF(COUNTIF(Setup!$A$99:$A$128,$B776)&gt;0,0,1))</f>
        <v/>
      </c>
      <c r="L776">
        <f>IF($B776="","",IF(ISNUMBER(SEARCH("advance",$B776)),"ADV",IF(OR(ISNUMBER(SEARCH("payout",$B776)),ISNUMBER(SEARCH("pay out",$B776)),ISNUMBER(SEARCH("release",$B776))),"PAY","")))</f>
        <v/>
      </c>
      <c r="M776">
        <f>IF($B776="","",IF(ISNUMBER(SEARCH("bulk",$B776)),0,IF(ISNUMBER(SEARCH("fuel",$B776))+ISNUMBER(SEARCH("diesel",$B776))+ISNUMBER(SEARCH("krudo",$B776))+ISNUMBER(SEARCH("gasolina",$B776))&gt;0,1,0)))</f>
        <v/>
      </c>
      <c r="N776">
        <f>IF($B776="","",IF(ISNUMBER(SEARCH("fuel",$B776))+ISNUMBER(SEARCH("diesel",$B776))+ISNUMBER(SEARCH("krudo",$B776))+ISNUMBER(SEARCH("gasolina",$B776))&gt;0,1,0))</f>
        <v/>
      </c>
    </row>
    <row r="777">
      <c r="A777" s="86" t="n"/>
      <c r="B777" s="88" t="n"/>
      <c r="C777" s="88" t="n"/>
      <c r="D777" s="87" t="n"/>
      <c r="E777" s="88" t="n"/>
      <c r="F777" s="92" t="n"/>
      <c r="G777" s="87" t="n"/>
      <c r="H777" s="87" t="n"/>
      <c r="I777" s="101">
        <f>IF($B777="","",IF(COUNTIF(Setup!$A$99:$A$128,$B777)&gt;0,IF(INDEX(Setup!$B$99:$B$128,MATCH($B777,Setup!$A$99:$A$128,0))="","Overhead",INDEX(Setup!$B$99:$B$128,MATCH($B777,Setup!$A$99:$A$128,0))),IF(ISNUMBER(SEARCH("advance",$B777))+ISNUMBER(SEARCH("payout",$B777))+ISNUMBER(SEARCH("pay out",$B777))+ISNUMBER(SEARCH("reimburs",$B777))&gt;0,"Transfer",IF(ISNUMBER(SEARCH("loan",$B777))+ISNUMBER(SEARCH("amort",$B777))+ISNUMBER(SEARCH("installment",$B777))+ISNUMBER(SEARCH("instalment",$B777))&gt;0,"Financing",IF(ISNUMBER(SEARCH("draw",$B777))+ISNUMBER(SEARCH("owner",$B777))+ISNUMBER(SEARCH("asset",$B777))+ISNUMBER(SEARCH("capital",$B777))&gt;0,"Other",IF(ISNUMBER(SEARCH("fuel",$B777))+ISNUMBER(SEARCH("diesel",$B777))+ISNUMBER(SEARCH("krudo",$B777))+ISNUMBER(SEARCH("gasolina",$B777))+ISNUMBER(SEARCH("toll",$B777))+ISNUMBER(SEARCH("parking",$B777))+ISNUMBER(SEARCH("repair",$B777))+ISNUMBER(SEARCH("maintenance",$B777))+ISNUMBER(SEARCH("tire",$B777))+ISNUMBER(SEARCH("tyre",$B777))+ISNUMBER(SEARCH("battery",$B777))+ISNUMBER(SEARCH("oil",$B777))+ISNUMBER(SEARCH("filter",$B777))+ISNUMBER(SEARCH("spare",$B777))+ISNUMBER(SEARCH("insurance",$B777))+ISNUMBER(SEARCH("lto",$B777))+ISNUMBER(SEARCH("registration",$B777))+ISNUMBER(SEARCH("emission",$B777))+ISNUMBER(SEARCH("wash",$B777))+ISNUMBER(SEARCH("weigh",$B777))+ISNUMBER(SEARCH("tarp",$B777))&gt;0,"Vehicle",IF(ISNUMBER(SEARCH("rent",$B777))+ISNUMBER(SEARCH("upa",$B777))+ISNUMBER(SEARCH("salary",$B777))+ISNUMBER(SEARCH("sweldo",$B777))+ISNUMBER(SEARCH("wage",$B777))+ISNUMBER(SEARCH("electric",$B777))+ISNUMBER(SEARCH("kuryente",$B777))+ISNUMBER(SEARCH("water",$B777))+ISNUMBER(SEARCH("tubig",$B777))+ISNUMBER(SEARCH("internet",$B777))+ISNUMBER(SEARCH("pldt",$B777))+ISNUMBER(SEARCH("meralco",$B777))+ISNUMBER(SEARCH("supplies",$B777))+ISNUMBER(SEARCH("office",$B777))+ISNUMBER(SEARCH("professional",$B777))+ISNUMBER(SEARCH("accountant",$B777))+ISNUMBER(SEARCH("lawyer",$B777))+ISNUMBER(SEARCH("broker",$B777))+ISNUMBER(SEARCH("bank",$B777))+ISNUMBER(SEARCH("charge",$B777))+ISNUMBER(SEARCH("permit",$B777))+ISNUMBER(SEARCH("bir",$B777))+ISNUMBER(SEARCH("ltfrb",$B777))+ISNUMBER(SEARCH("misc",$B777))+ISNUMBER(SEARCH("fee",$B777))&gt;0,"Overhead","Overhead")))))))</f>
        <v/>
      </c>
      <c r="J777">
        <f>IF($A777="","",DATE(YEAR($A777),MONTH($A777),1))</f>
        <v/>
      </c>
      <c r="K777">
        <f>IF($B777="","",IF(COUNTIF(Setup!$A$99:$A$128,$B777)&gt;0,0,1))</f>
        <v/>
      </c>
      <c r="L777">
        <f>IF($B777="","",IF(ISNUMBER(SEARCH("advance",$B777)),"ADV",IF(OR(ISNUMBER(SEARCH("payout",$B777)),ISNUMBER(SEARCH("pay out",$B777)),ISNUMBER(SEARCH("release",$B777))),"PAY","")))</f>
        <v/>
      </c>
      <c r="M777">
        <f>IF($B777="","",IF(ISNUMBER(SEARCH("bulk",$B777)),0,IF(ISNUMBER(SEARCH("fuel",$B777))+ISNUMBER(SEARCH("diesel",$B777))+ISNUMBER(SEARCH("krudo",$B777))+ISNUMBER(SEARCH("gasolina",$B777))&gt;0,1,0)))</f>
        <v/>
      </c>
      <c r="N777">
        <f>IF($B777="","",IF(ISNUMBER(SEARCH("fuel",$B777))+ISNUMBER(SEARCH("diesel",$B777))+ISNUMBER(SEARCH("krudo",$B777))+ISNUMBER(SEARCH("gasolina",$B777))&gt;0,1,0))</f>
        <v/>
      </c>
    </row>
    <row r="778">
      <c r="A778" s="94" t="n"/>
      <c r="B778" s="96" t="n"/>
      <c r="C778" s="96" t="n"/>
      <c r="D778" s="95" t="n"/>
      <c r="E778" s="96" t="n"/>
      <c r="F778" s="99" t="n"/>
      <c r="G778" s="95" t="n"/>
      <c r="H778" s="95" t="n"/>
      <c r="I778" s="101">
        <f>IF($B778="","",IF(COUNTIF(Setup!$A$99:$A$128,$B778)&gt;0,IF(INDEX(Setup!$B$99:$B$128,MATCH($B778,Setup!$A$99:$A$128,0))="","Overhead",INDEX(Setup!$B$99:$B$128,MATCH($B778,Setup!$A$99:$A$128,0))),IF(ISNUMBER(SEARCH("advance",$B778))+ISNUMBER(SEARCH("payout",$B778))+ISNUMBER(SEARCH("pay out",$B778))+ISNUMBER(SEARCH("reimburs",$B778))&gt;0,"Transfer",IF(ISNUMBER(SEARCH("loan",$B778))+ISNUMBER(SEARCH("amort",$B778))+ISNUMBER(SEARCH("installment",$B778))+ISNUMBER(SEARCH("instalment",$B778))&gt;0,"Financing",IF(ISNUMBER(SEARCH("draw",$B778))+ISNUMBER(SEARCH("owner",$B778))+ISNUMBER(SEARCH("asset",$B778))+ISNUMBER(SEARCH("capital",$B778))&gt;0,"Other",IF(ISNUMBER(SEARCH("fuel",$B778))+ISNUMBER(SEARCH("diesel",$B778))+ISNUMBER(SEARCH("krudo",$B778))+ISNUMBER(SEARCH("gasolina",$B778))+ISNUMBER(SEARCH("toll",$B778))+ISNUMBER(SEARCH("parking",$B778))+ISNUMBER(SEARCH("repair",$B778))+ISNUMBER(SEARCH("maintenance",$B778))+ISNUMBER(SEARCH("tire",$B778))+ISNUMBER(SEARCH("tyre",$B778))+ISNUMBER(SEARCH("battery",$B778))+ISNUMBER(SEARCH("oil",$B778))+ISNUMBER(SEARCH("filter",$B778))+ISNUMBER(SEARCH("spare",$B778))+ISNUMBER(SEARCH("insurance",$B778))+ISNUMBER(SEARCH("lto",$B778))+ISNUMBER(SEARCH("registration",$B778))+ISNUMBER(SEARCH("emission",$B778))+ISNUMBER(SEARCH("wash",$B778))+ISNUMBER(SEARCH("weigh",$B778))+ISNUMBER(SEARCH("tarp",$B778))&gt;0,"Vehicle",IF(ISNUMBER(SEARCH("rent",$B778))+ISNUMBER(SEARCH("upa",$B778))+ISNUMBER(SEARCH("salary",$B778))+ISNUMBER(SEARCH("sweldo",$B778))+ISNUMBER(SEARCH("wage",$B778))+ISNUMBER(SEARCH("electric",$B778))+ISNUMBER(SEARCH("kuryente",$B778))+ISNUMBER(SEARCH("water",$B778))+ISNUMBER(SEARCH("tubig",$B778))+ISNUMBER(SEARCH("internet",$B778))+ISNUMBER(SEARCH("pldt",$B778))+ISNUMBER(SEARCH("meralco",$B778))+ISNUMBER(SEARCH("supplies",$B778))+ISNUMBER(SEARCH("office",$B778))+ISNUMBER(SEARCH("professional",$B778))+ISNUMBER(SEARCH("accountant",$B778))+ISNUMBER(SEARCH("lawyer",$B778))+ISNUMBER(SEARCH("broker",$B778))+ISNUMBER(SEARCH("bank",$B778))+ISNUMBER(SEARCH("charge",$B778))+ISNUMBER(SEARCH("permit",$B778))+ISNUMBER(SEARCH("bir",$B778))+ISNUMBER(SEARCH("ltfrb",$B778))+ISNUMBER(SEARCH("misc",$B778))+ISNUMBER(SEARCH("fee",$B778))&gt;0,"Overhead","Overhead")))))))</f>
        <v/>
      </c>
      <c r="J778">
        <f>IF($A778="","",DATE(YEAR($A778),MONTH($A778),1))</f>
        <v/>
      </c>
      <c r="K778">
        <f>IF($B778="","",IF(COUNTIF(Setup!$A$99:$A$128,$B778)&gt;0,0,1))</f>
        <v/>
      </c>
      <c r="L778">
        <f>IF($B778="","",IF(ISNUMBER(SEARCH("advance",$B778)),"ADV",IF(OR(ISNUMBER(SEARCH("payout",$B778)),ISNUMBER(SEARCH("pay out",$B778)),ISNUMBER(SEARCH("release",$B778))),"PAY","")))</f>
        <v/>
      </c>
      <c r="M778">
        <f>IF($B778="","",IF(ISNUMBER(SEARCH("bulk",$B778)),0,IF(ISNUMBER(SEARCH("fuel",$B778))+ISNUMBER(SEARCH("diesel",$B778))+ISNUMBER(SEARCH("krudo",$B778))+ISNUMBER(SEARCH("gasolina",$B778))&gt;0,1,0)))</f>
        <v/>
      </c>
      <c r="N778">
        <f>IF($B778="","",IF(ISNUMBER(SEARCH("fuel",$B778))+ISNUMBER(SEARCH("diesel",$B778))+ISNUMBER(SEARCH("krudo",$B778))+ISNUMBER(SEARCH("gasolina",$B778))&gt;0,1,0))</f>
        <v/>
      </c>
    </row>
    <row r="779">
      <c r="A779" s="86" t="n"/>
      <c r="B779" s="88" t="n"/>
      <c r="C779" s="88" t="n"/>
      <c r="D779" s="87" t="n"/>
      <c r="E779" s="88" t="n"/>
      <c r="F779" s="92" t="n"/>
      <c r="G779" s="87" t="n"/>
      <c r="H779" s="87" t="n"/>
      <c r="I779" s="101">
        <f>IF($B779="","",IF(COUNTIF(Setup!$A$99:$A$128,$B779)&gt;0,IF(INDEX(Setup!$B$99:$B$128,MATCH($B779,Setup!$A$99:$A$128,0))="","Overhead",INDEX(Setup!$B$99:$B$128,MATCH($B779,Setup!$A$99:$A$128,0))),IF(ISNUMBER(SEARCH("advance",$B779))+ISNUMBER(SEARCH("payout",$B779))+ISNUMBER(SEARCH("pay out",$B779))+ISNUMBER(SEARCH("reimburs",$B779))&gt;0,"Transfer",IF(ISNUMBER(SEARCH("loan",$B779))+ISNUMBER(SEARCH("amort",$B779))+ISNUMBER(SEARCH("installment",$B779))+ISNUMBER(SEARCH("instalment",$B779))&gt;0,"Financing",IF(ISNUMBER(SEARCH("draw",$B779))+ISNUMBER(SEARCH("owner",$B779))+ISNUMBER(SEARCH("asset",$B779))+ISNUMBER(SEARCH("capital",$B779))&gt;0,"Other",IF(ISNUMBER(SEARCH("fuel",$B779))+ISNUMBER(SEARCH("diesel",$B779))+ISNUMBER(SEARCH("krudo",$B779))+ISNUMBER(SEARCH("gasolina",$B779))+ISNUMBER(SEARCH("toll",$B779))+ISNUMBER(SEARCH("parking",$B779))+ISNUMBER(SEARCH("repair",$B779))+ISNUMBER(SEARCH("maintenance",$B779))+ISNUMBER(SEARCH("tire",$B779))+ISNUMBER(SEARCH("tyre",$B779))+ISNUMBER(SEARCH("battery",$B779))+ISNUMBER(SEARCH("oil",$B779))+ISNUMBER(SEARCH("filter",$B779))+ISNUMBER(SEARCH("spare",$B779))+ISNUMBER(SEARCH("insurance",$B779))+ISNUMBER(SEARCH("lto",$B779))+ISNUMBER(SEARCH("registration",$B779))+ISNUMBER(SEARCH("emission",$B779))+ISNUMBER(SEARCH("wash",$B779))+ISNUMBER(SEARCH("weigh",$B779))+ISNUMBER(SEARCH("tarp",$B779))&gt;0,"Vehicle",IF(ISNUMBER(SEARCH("rent",$B779))+ISNUMBER(SEARCH("upa",$B779))+ISNUMBER(SEARCH("salary",$B779))+ISNUMBER(SEARCH("sweldo",$B779))+ISNUMBER(SEARCH("wage",$B779))+ISNUMBER(SEARCH("electric",$B779))+ISNUMBER(SEARCH("kuryente",$B779))+ISNUMBER(SEARCH("water",$B779))+ISNUMBER(SEARCH("tubig",$B779))+ISNUMBER(SEARCH("internet",$B779))+ISNUMBER(SEARCH("pldt",$B779))+ISNUMBER(SEARCH("meralco",$B779))+ISNUMBER(SEARCH("supplies",$B779))+ISNUMBER(SEARCH("office",$B779))+ISNUMBER(SEARCH("professional",$B779))+ISNUMBER(SEARCH("accountant",$B779))+ISNUMBER(SEARCH("lawyer",$B779))+ISNUMBER(SEARCH("broker",$B779))+ISNUMBER(SEARCH("bank",$B779))+ISNUMBER(SEARCH("charge",$B779))+ISNUMBER(SEARCH("permit",$B779))+ISNUMBER(SEARCH("bir",$B779))+ISNUMBER(SEARCH("ltfrb",$B779))+ISNUMBER(SEARCH("misc",$B779))+ISNUMBER(SEARCH("fee",$B779))&gt;0,"Overhead","Overhead")))))))</f>
        <v/>
      </c>
      <c r="J779">
        <f>IF($A779="","",DATE(YEAR($A779),MONTH($A779),1))</f>
        <v/>
      </c>
      <c r="K779">
        <f>IF($B779="","",IF(COUNTIF(Setup!$A$99:$A$128,$B779)&gt;0,0,1))</f>
        <v/>
      </c>
      <c r="L779">
        <f>IF($B779="","",IF(ISNUMBER(SEARCH("advance",$B779)),"ADV",IF(OR(ISNUMBER(SEARCH("payout",$B779)),ISNUMBER(SEARCH("pay out",$B779)),ISNUMBER(SEARCH("release",$B779))),"PAY","")))</f>
        <v/>
      </c>
      <c r="M779">
        <f>IF($B779="","",IF(ISNUMBER(SEARCH("bulk",$B779)),0,IF(ISNUMBER(SEARCH("fuel",$B779))+ISNUMBER(SEARCH("diesel",$B779))+ISNUMBER(SEARCH("krudo",$B779))+ISNUMBER(SEARCH("gasolina",$B779))&gt;0,1,0)))</f>
        <v/>
      </c>
      <c r="N779">
        <f>IF($B779="","",IF(ISNUMBER(SEARCH("fuel",$B779))+ISNUMBER(SEARCH("diesel",$B779))+ISNUMBER(SEARCH("krudo",$B779))+ISNUMBER(SEARCH("gasolina",$B779))&gt;0,1,0))</f>
        <v/>
      </c>
    </row>
    <row r="780">
      <c r="A780" s="94" t="n"/>
      <c r="B780" s="96" t="n"/>
      <c r="C780" s="96" t="n"/>
      <c r="D780" s="95" t="n"/>
      <c r="E780" s="96" t="n"/>
      <c r="F780" s="99" t="n"/>
      <c r="G780" s="95" t="n"/>
      <c r="H780" s="95" t="n"/>
      <c r="I780" s="101">
        <f>IF($B780="","",IF(COUNTIF(Setup!$A$99:$A$128,$B780)&gt;0,IF(INDEX(Setup!$B$99:$B$128,MATCH($B780,Setup!$A$99:$A$128,0))="","Overhead",INDEX(Setup!$B$99:$B$128,MATCH($B780,Setup!$A$99:$A$128,0))),IF(ISNUMBER(SEARCH("advance",$B780))+ISNUMBER(SEARCH("payout",$B780))+ISNUMBER(SEARCH("pay out",$B780))+ISNUMBER(SEARCH("reimburs",$B780))&gt;0,"Transfer",IF(ISNUMBER(SEARCH("loan",$B780))+ISNUMBER(SEARCH("amort",$B780))+ISNUMBER(SEARCH("installment",$B780))+ISNUMBER(SEARCH("instalment",$B780))&gt;0,"Financing",IF(ISNUMBER(SEARCH("draw",$B780))+ISNUMBER(SEARCH("owner",$B780))+ISNUMBER(SEARCH("asset",$B780))+ISNUMBER(SEARCH("capital",$B780))&gt;0,"Other",IF(ISNUMBER(SEARCH("fuel",$B780))+ISNUMBER(SEARCH("diesel",$B780))+ISNUMBER(SEARCH("krudo",$B780))+ISNUMBER(SEARCH("gasolina",$B780))+ISNUMBER(SEARCH("toll",$B780))+ISNUMBER(SEARCH("parking",$B780))+ISNUMBER(SEARCH("repair",$B780))+ISNUMBER(SEARCH("maintenance",$B780))+ISNUMBER(SEARCH("tire",$B780))+ISNUMBER(SEARCH("tyre",$B780))+ISNUMBER(SEARCH("battery",$B780))+ISNUMBER(SEARCH("oil",$B780))+ISNUMBER(SEARCH("filter",$B780))+ISNUMBER(SEARCH("spare",$B780))+ISNUMBER(SEARCH("insurance",$B780))+ISNUMBER(SEARCH("lto",$B780))+ISNUMBER(SEARCH("registration",$B780))+ISNUMBER(SEARCH("emission",$B780))+ISNUMBER(SEARCH("wash",$B780))+ISNUMBER(SEARCH("weigh",$B780))+ISNUMBER(SEARCH("tarp",$B780))&gt;0,"Vehicle",IF(ISNUMBER(SEARCH("rent",$B780))+ISNUMBER(SEARCH("upa",$B780))+ISNUMBER(SEARCH("salary",$B780))+ISNUMBER(SEARCH("sweldo",$B780))+ISNUMBER(SEARCH("wage",$B780))+ISNUMBER(SEARCH("electric",$B780))+ISNUMBER(SEARCH("kuryente",$B780))+ISNUMBER(SEARCH("water",$B780))+ISNUMBER(SEARCH("tubig",$B780))+ISNUMBER(SEARCH("internet",$B780))+ISNUMBER(SEARCH("pldt",$B780))+ISNUMBER(SEARCH("meralco",$B780))+ISNUMBER(SEARCH("supplies",$B780))+ISNUMBER(SEARCH("office",$B780))+ISNUMBER(SEARCH("professional",$B780))+ISNUMBER(SEARCH("accountant",$B780))+ISNUMBER(SEARCH("lawyer",$B780))+ISNUMBER(SEARCH("broker",$B780))+ISNUMBER(SEARCH("bank",$B780))+ISNUMBER(SEARCH("charge",$B780))+ISNUMBER(SEARCH("permit",$B780))+ISNUMBER(SEARCH("bir",$B780))+ISNUMBER(SEARCH("ltfrb",$B780))+ISNUMBER(SEARCH("misc",$B780))+ISNUMBER(SEARCH("fee",$B780))&gt;0,"Overhead","Overhead")))))))</f>
        <v/>
      </c>
      <c r="J780">
        <f>IF($A780="","",DATE(YEAR($A780),MONTH($A780),1))</f>
        <v/>
      </c>
      <c r="K780">
        <f>IF($B780="","",IF(COUNTIF(Setup!$A$99:$A$128,$B780)&gt;0,0,1))</f>
        <v/>
      </c>
      <c r="L780">
        <f>IF($B780="","",IF(ISNUMBER(SEARCH("advance",$B780)),"ADV",IF(OR(ISNUMBER(SEARCH("payout",$B780)),ISNUMBER(SEARCH("pay out",$B780)),ISNUMBER(SEARCH("release",$B780))),"PAY","")))</f>
        <v/>
      </c>
      <c r="M780">
        <f>IF($B780="","",IF(ISNUMBER(SEARCH("bulk",$B780)),0,IF(ISNUMBER(SEARCH("fuel",$B780))+ISNUMBER(SEARCH("diesel",$B780))+ISNUMBER(SEARCH("krudo",$B780))+ISNUMBER(SEARCH("gasolina",$B780))&gt;0,1,0)))</f>
        <v/>
      </c>
      <c r="N780">
        <f>IF($B780="","",IF(ISNUMBER(SEARCH("fuel",$B780))+ISNUMBER(SEARCH("diesel",$B780))+ISNUMBER(SEARCH("krudo",$B780))+ISNUMBER(SEARCH("gasolina",$B780))&gt;0,1,0))</f>
        <v/>
      </c>
    </row>
    <row r="781">
      <c r="A781" s="86" t="n"/>
      <c r="B781" s="88" t="n"/>
      <c r="C781" s="88" t="n"/>
      <c r="D781" s="87" t="n"/>
      <c r="E781" s="88" t="n"/>
      <c r="F781" s="92" t="n"/>
      <c r="G781" s="87" t="n"/>
      <c r="H781" s="87" t="n"/>
      <c r="I781" s="101">
        <f>IF($B781="","",IF(COUNTIF(Setup!$A$99:$A$128,$B781)&gt;0,IF(INDEX(Setup!$B$99:$B$128,MATCH($B781,Setup!$A$99:$A$128,0))="","Overhead",INDEX(Setup!$B$99:$B$128,MATCH($B781,Setup!$A$99:$A$128,0))),IF(ISNUMBER(SEARCH("advance",$B781))+ISNUMBER(SEARCH("payout",$B781))+ISNUMBER(SEARCH("pay out",$B781))+ISNUMBER(SEARCH("reimburs",$B781))&gt;0,"Transfer",IF(ISNUMBER(SEARCH("loan",$B781))+ISNUMBER(SEARCH("amort",$B781))+ISNUMBER(SEARCH("installment",$B781))+ISNUMBER(SEARCH("instalment",$B781))&gt;0,"Financing",IF(ISNUMBER(SEARCH("draw",$B781))+ISNUMBER(SEARCH("owner",$B781))+ISNUMBER(SEARCH("asset",$B781))+ISNUMBER(SEARCH("capital",$B781))&gt;0,"Other",IF(ISNUMBER(SEARCH("fuel",$B781))+ISNUMBER(SEARCH("diesel",$B781))+ISNUMBER(SEARCH("krudo",$B781))+ISNUMBER(SEARCH("gasolina",$B781))+ISNUMBER(SEARCH("toll",$B781))+ISNUMBER(SEARCH("parking",$B781))+ISNUMBER(SEARCH("repair",$B781))+ISNUMBER(SEARCH("maintenance",$B781))+ISNUMBER(SEARCH("tire",$B781))+ISNUMBER(SEARCH("tyre",$B781))+ISNUMBER(SEARCH("battery",$B781))+ISNUMBER(SEARCH("oil",$B781))+ISNUMBER(SEARCH("filter",$B781))+ISNUMBER(SEARCH("spare",$B781))+ISNUMBER(SEARCH("insurance",$B781))+ISNUMBER(SEARCH("lto",$B781))+ISNUMBER(SEARCH("registration",$B781))+ISNUMBER(SEARCH("emission",$B781))+ISNUMBER(SEARCH("wash",$B781))+ISNUMBER(SEARCH("weigh",$B781))+ISNUMBER(SEARCH("tarp",$B781))&gt;0,"Vehicle",IF(ISNUMBER(SEARCH("rent",$B781))+ISNUMBER(SEARCH("upa",$B781))+ISNUMBER(SEARCH("salary",$B781))+ISNUMBER(SEARCH("sweldo",$B781))+ISNUMBER(SEARCH("wage",$B781))+ISNUMBER(SEARCH("electric",$B781))+ISNUMBER(SEARCH("kuryente",$B781))+ISNUMBER(SEARCH("water",$B781))+ISNUMBER(SEARCH("tubig",$B781))+ISNUMBER(SEARCH("internet",$B781))+ISNUMBER(SEARCH("pldt",$B781))+ISNUMBER(SEARCH("meralco",$B781))+ISNUMBER(SEARCH("supplies",$B781))+ISNUMBER(SEARCH("office",$B781))+ISNUMBER(SEARCH("professional",$B781))+ISNUMBER(SEARCH("accountant",$B781))+ISNUMBER(SEARCH("lawyer",$B781))+ISNUMBER(SEARCH("broker",$B781))+ISNUMBER(SEARCH("bank",$B781))+ISNUMBER(SEARCH("charge",$B781))+ISNUMBER(SEARCH("permit",$B781))+ISNUMBER(SEARCH("bir",$B781))+ISNUMBER(SEARCH("ltfrb",$B781))+ISNUMBER(SEARCH("misc",$B781))+ISNUMBER(SEARCH("fee",$B781))&gt;0,"Overhead","Overhead")))))))</f>
        <v/>
      </c>
      <c r="J781">
        <f>IF($A781="","",DATE(YEAR($A781),MONTH($A781),1))</f>
        <v/>
      </c>
      <c r="K781">
        <f>IF($B781="","",IF(COUNTIF(Setup!$A$99:$A$128,$B781)&gt;0,0,1))</f>
        <v/>
      </c>
      <c r="L781">
        <f>IF($B781="","",IF(ISNUMBER(SEARCH("advance",$B781)),"ADV",IF(OR(ISNUMBER(SEARCH("payout",$B781)),ISNUMBER(SEARCH("pay out",$B781)),ISNUMBER(SEARCH("release",$B781))),"PAY","")))</f>
        <v/>
      </c>
      <c r="M781">
        <f>IF($B781="","",IF(ISNUMBER(SEARCH("bulk",$B781)),0,IF(ISNUMBER(SEARCH("fuel",$B781))+ISNUMBER(SEARCH("diesel",$B781))+ISNUMBER(SEARCH("krudo",$B781))+ISNUMBER(SEARCH("gasolina",$B781))&gt;0,1,0)))</f>
        <v/>
      </c>
      <c r="N781">
        <f>IF($B781="","",IF(ISNUMBER(SEARCH("fuel",$B781))+ISNUMBER(SEARCH("diesel",$B781))+ISNUMBER(SEARCH("krudo",$B781))+ISNUMBER(SEARCH("gasolina",$B781))&gt;0,1,0))</f>
        <v/>
      </c>
    </row>
    <row r="782">
      <c r="A782" s="94" t="n"/>
      <c r="B782" s="96" t="n"/>
      <c r="C782" s="96" t="n"/>
      <c r="D782" s="95" t="n"/>
      <c r="E782" s="96" t="n"/>
      <c r="F782" s="99" t="n"/>
      <c r="G782" s="95" t="n"/>
      <c r="H782" s="95" t="n"/>
      <c r="I782" s="101">
        <f>IF($B782="","",IF(COUNTIF(Setup!$A$99:$A$128,$B782)&gt;0,IF(INDEX(Setup!$B$99:$B$128,MATCH($B782,Setup!$A$99:$A$128,0))="","Overhead",INDEX(Setup!$B$99:$B$128,MATCH($B782,Setup!$A$99:$A$128,0))),IF(ISNUMBER(SEARCH("advance",$B782))+ISNUMBER(SEARCH("payout",$B782))+ISNUMBER(SEARCH("pay out",$B782))+ISNUMBER(SEARCH("reimburs",$B782))&gt;0,"Transfer",IF(ISNUMBER(SEARCH("loan",$B782))+ISNUMBER(SEARCH("amort",$B782))+ISNUMBER(SEARCH("installment",$B782))+ISNUMBER(SEARCH("instalment",$B782))&gt;0,"Financing",IF(ISNUMBER(SEARCH("draw",$B782))+ISNUMBER(SEARCH("owner",$B782))+ISNUMBER(SEARCH("asset",$B782))+ISNUMBER(SEARCH("capital",$B782))&gt;0,"Other",IF(ISNUMBER(SEARCH("fuel",$B782))+ISNUMBER(SEARCH("diesel",$B782))+ISNUMBER(SEARCH("krudo",$B782))+ISNUMBER(SEARCH("gasolina",$B782))+ISNUMBER(SEARCH("toll",$B782))+ISNUMBER(SEARCH("parking",$B782))+ISNUMBER(SEARCH("repair",$B782))+ISNUMBER(SEARCH("maintenance",$B782))+ISNUMBER(SEARCH("tire",$B782))+ISNUMBER(SEARCH("tyre",$B782))+ISNUMBER(SEARCH("battery",$B782))+ISNUMBER(SEARCH("oil",$B782))+ISNUMBER(SEARCH("filter",$B782))+ISNUMBER(SEARCH("spare",$B782))+ISNUMBER(SEARCH("insurance",$B782))+ISNUMBER(SEARCH("lto",$B782))+ISNUMBER(SEARCH("registration",$B782))+ISNUMBER(SEARCH("emission",$B782))+ISNUMBER(SEARCH("wash",$B782))+ISNUMBER(SEARCH("weigh",$B782))+ISNUMBER(SEARCH("tarp",$B782))&gt;0,"Vehicle",IF(ISNUMBER(SEARCH("rent",$B782))+ISNUMBER(SEARCH("upa",$B782))+ISNUMBER(SEARCH("salary",$B782))+ISNUMBER(SEARCH("sweldo",$B782))+ISNUMBER(SEARCH("wage",$B782))+ISNUMBER(SEARCH("electric",$B782))+ISNUMBER(SEARCH("kuryente",$B782))+ISNUMBER(SEARCH("water",$B782))+ISNUMBER(SEARCH("tubig",$B782))+ISNUMBER(SEARCH("internet",$B782))+ISNUMBER(SEARCH("pldt",$B782))+ISNUMBER(SEARCH("meralco",$B782))+ISNUMBER(SEARCH("supplies",$B782))+ISNUMBER(SEARCH("office",$B782))+ISNUMBER(SEARCH("professional",$B782))+ISNUMBER(SEARCH("accountant",$B782))+ISNUMBER(SEARCH("lawyer",$B782))+ISNUMBER(SEARCH("broker",$B782))+ISNUMBER(SEARCH("bank",$B782))+ISNUMBER(SEARCH("charge",$B782))+ISNUMBER(SEARCH("permit",$B782))+ISNUMBER(SEARCH("bir",$B782))+ISNUMBER(SEARCH("ltfrb",$B782))+ISNUMBER(SEARCH("misc",$B782))+ISNUMBER(SEARCH("fee",$B782))&gt;0,"Overhead","Overhead")))))))</f>
        <v/>
      </c>
      <c r="J782">
        <f>IF($A782="","",DATE(YEAR($A782),MONTH($A782),1))</f>
        <v/>
      </c>
      <c r="K782">
        <f>IF($B782="","",IF(COUNTIF(Setup!$A$99:$A$128,$B782)&gt;0,0,1))</f>
        <v/>
      </c>
      <c r="L782">
        <f>IF($B782="","",IF(ISNUMBER(SEARCH("advance",$B782)),"ADV",IF(OR(ISNUMBER(SEARCH("payout",$B782)),ISNUMBER(SEARCH("pay out",$B782)),ISNUMBER(SEARCH("release",$B782))),"PAY","")))</f>
        <v/>
      </c>
      <c r="M782">
        <f>IF($B782="","",IF(ISNUMBER(SEARCH("bulk",$B782)),0,IF(ISNUMBER(SEARCH("fuel",$B782))+ISNUMBER(SEARCH("diesel",$B782))+ISNUMBER(SEARCH("krudo",$B782))+ISNUMBER(SEARCH("gasolina",$B782))&gt;0,1,0)))</f>
        <v/>
      </c>
      <c r="N782">
        <f>IF($B782="","",IF(ISNUMBER(SEARCH("fuel",$B782))+ISNUMBER(SEARCH("diesel",$B782))+ISNUMBER(SEARCH("krudo",$B782))+ISNUMBER(SEARCH("gasolina",$B782))&gt;0,1,0))</f>
        <v/>
      </c>
    </row>
    <row r="783">
      <c r="A783" s="86" t="n"/>
      <c r="B783" s="88" t="n"/>
      <c r="C783" s="88" t="n"/>
      <c r="D783" s="87" t="n"/>
      <c r="E783" s="88" t="n"/>
      <c r="F783" s="92" t="n"/>
      <c r="G783" s="87" t="n"/>
      <c r="H783" s="87" t="n"/>
      <c r="I783" s="101">
        <f>IF($B783="","",IF(COUNTIF(Setup!$A$99:$A$128,$B783)&gt;0,IF(INDEX(Setup!$B$99:$B$128,MATCH($B783,Setup!$A$99:$A$128,0))="","Overhead",INDEX(Setup!$B$99:$B$128,MATCH($B783,Setup!$A$99:$A$128,0))),IF(ISNUMBER(SEARCH("advance",$B783))+ISNUMBER(SEARCH("payout",$B783))+ISNUMBER(SEARCH("pay out",$B783))+ISNUMBER(SEARCH("reimburs",$B783))&gt;0,"Transfer",IF(ISNUMBER(SEARCH("loan",$B783))+ISNUMBER(SEARCH("amort",$B783))+ISNUMBER(SEARCH("installment",$B783))+ISNUMBER(SEARCH("instalment",$B783))&gt;0,"Financing",IF(ISNUMBER(SEARCH("draw",$B783))+ISNUMBER(SEARCH("owner",$B783))+ISNUMBER(SEARCH("asset",$B783))+ISNUMBER(SEARCH("capital",$B783))&gt;0,"Other",IF(ISNUMBER(SEARCH("fuel",$B783))+ISNUMBER(SEARCH("diesel",$B783))+ISNUMBER(SEARCH("krudo",$B783))+ISNUMBER(SEARCH("gasolina",$B783))+ISNUMBER(SEARCH("toll",$B783))+ISNUMBER(SEARCH("parking",$B783))+ISNUMBER(SEARCH("repair",$B783))+ISNUMBER(SEARCH("maintenance",$B783))+ISNUMBER(SEARCH("tire",$B783))+ISNUMBER(SEARCH("tyre",$B783))+ISNUMBER(SEARCH("battery",$B783))+ISNUMBER(SEARCH("oil",$B783))+ISNUMBER(SEARCH("filter",$B783))+ISNUMBER(SEARCH("spare",$B783))+ISNUMBER(SEARCH("insurance",$B783))+ISNUMBER(SEARCH("lto",$B783))+ISNUMBER(SEARCH("registration",$B783))+ISNUMBER(SEARCH("emission",$B783))+ISNUMBER(SEARCH("wash",$B783))+ISNUMBER(SEARCH("weigh",$B783))+ISNUMBER(SEARCH("tarp",$B783))&gt;0,"Vehicle",IF(ISNUMBER(SEARCH("rent",$B783))+ISNUMBER(SEARCH("upa",$B783))+ISNUMBER(SEARCH("salary",$B783))+ISNUMBER(SEARCH("sweldo",$B783))+ISNUMBER(SEARCH("wage",$B783))+ISNUMBER(SEARCH("electric",$B783))+ISNUMBER(SEARCH("kuryente",$B783))+ISNUMBER(SEARCH("water",$B783))+ISNUMBER(SEARCH("tubig",$B783))+ISNUMBER(SEARCH("internet",$B783))+ISNUMBER(SEARCH("pldt",$B783))+ISNUMBER(SEARCH("meralco",$B783))+ISNUMBER(SEARCH("supplies",$B783))+ISNUMBER(SEARCH("office",$B783))+ISNUMBER(SEARCH("professional",$B783))+ISNUMBER(SEARCH("accountant",$B783))+ISNUMBER(SEARCH("lawyer",$B783))+ISNUMBER(SEARCH("broker",$B783))+ISNUMBER(SEARCH("bank",$B783))+ISNUMBER(SEARCH("charge",$B783))+ISNUMBER(SEARCH("permit",$B783))+ISNUMBER(SEARCH("bir",$B783))+ISNUMBER(SEARCH("ltfrb",$B783))+ISNUMBER(SEARCH("misc",$B783))+ISNUMBER(SEARCH("fee",$B783))&gt;0,"Overhead","Overhead")))))))</f>
        <v/>
      </c>
      <c r="J783">
        <f>IF($A783="","",DATE(YEAR($A783),MONTH($A783),1))</f>
        <v/>
      </c>
      <c r="K783">
        <f>IF($B783="","",IF(COUNTIF(Setup!$A$99:$A$128,$B783)&gt;0,0,1))</f>
        <v/>
      </c>
      <c r="L783">
        <f>IF($B783="","",IF(ISNUMBER(SEARCH("advance",$B783)),"ADV",IF(OR(ISNUMBER(SEARCH("payout",$B783)),ISNUMBER(SEARCH("pay out",$B783)),ISNUMBER(SEARCH("release",$B783))),"PAY","")))</f>
        <v/>
      </c>
      <c r="M783">
        <f>IF($B783="","",IF(ISNUMBER(SEARCH("bulk",$B783)),0,IF(ISNUMBER(SEARCH("fuel",$B783))+ISNUMBER(SEARCH("diesel",$B783))+ISNUMBER(SEARCH("krudo",$B783))+ISNUMBER(SEARCH("gasolina",$B783))&gt;0,1,0)))</f>
        <v/>
      </c>
      <c r="N783">
        <f>IF($B783="","",IF(ISNUMBER(SEARCH("fuel",$B783))+ISNUMBER(SEARCH("diesel",$B783))+ISNUMBER(SEARCH("krudo",$B783))+ISNUMBER(SEARCH("gasolina",$B783))&gt;0,1,0))</f>
        <v/>
      </c>
    </row>
    <row r="784">
      <c r="A784" s="94" t="n"/>
      <c r="B784" s="96" t="n"/>
      <c r="C784" s="96" t="n"/>
      <c r="D784" s="95" t="n"/>
      <c r="E784" s="96" t="n"/>
      <c r="F784" s="99" t="n"/>
      <c r="G784" s="95" t="n"/>
      <c r="H784" s="95" t="n"/>
      <c r="I784" s="101">
        <f>IF($B784="","",IF(COUNTIF(Setup!$A$99:$A$128,$B784)&gt;0,IF(INDEX(Setup!$B$99:$B$128,MATCH($B784,Setup!$A$99:$A$128,0))="","Overhead",INDEX(Setup!$B$99:$B$128,MATCH($B784,Setup!$A$99:$A$128,0))),IF(ISNUMBER(SEARCH("advance",$B784))+ISNUMBER(SEARCH("payout",$B784))+ISNUMBER(SEARCH("pay out",$B784))+ISNUMBER(SEARCH("reimburs",$B784))&gt;0,"Transfer",IF(ISNUMBER(SEARCH("loan",$B784))+ISNUMBER(SEARCH("amort",$B784))+ISNUMBER(SEARCH("installment",$B784))+ISNUMBER(SEARCH("instalment",$B784))&gt;0,"Financing",IF(ISNUMBER(SEARCH("draw",$B784))+ISNUMBER(SEARCH("owner",$B784))+ISNUMBER(SEARCH("asset",$B784))+ISNUMBER(SEARCH("capital",$B784))&gt;0,"Other",IF(ISNUMBER(SEARCH("fuel",$B784))+ISNUMBER(SEARCH("diesel",$B784))+ISNUMBER(SEARCH("krudo",$B784))+ISNUMBER(SEARCH("gasolina",$B784))+ISNUMBER(SEARCH("toll",$B784))+ISNUMBER(SEARCH("parking",$B784))+ISNUMBER(SEARCH("repair",$B784))+ISNUMBER(SEARCH("maintenance",$B784))+ISNUMBER(SEARCH("tire",$B784))+ISNUMBER(SEARCH("tyre",$B784))+ISNUMBER(SEARCH("battery",$B784))+ISNUMBER(SEARCH("oil",$B784))+ISNUMBER(SEARCH("filter",$B784))+ISNUMBER(SEARCH("spare",$B784))+ISNUMBER(SEARCH("insurance",$B784))+ISNUMBER(SEARCH("lto",$B784))+ISNUMBER(SEARCH("registration",$B784))+ISNUMBER(SEARCH("emission",$B784))+ISNUMBER(SEARCH("wash",$B784))+ISNUMBER(SEARCH("weigh",$B784))+ISNUMBER(SEARCH("tarp",$B784))&gt;0,"Vehicle",IF(ISNUMBER(SEARCH("rent",$B784))+ISNUMBER(SEARCH("upa",$B784))+ISNUMBER(SEARCH("salary",$B784))+ISNUMBER(SEARCH("sweldo",$B784))+ISNUMBER(SEARCH("wage",$B784))+ISNUMBER(SEARCH("electric",$B784))+ISNUMBER(SEARCH("kuryente",$B784))+ISNUMBER(SEARCH("water",$B784))+ISNUMBER(SEARCH("tubig",$B784))+ISNUMBER(SEARCH("internet",$B784))+ISNUMBER(SEARCH("pldt",$B784))+ISNUMBER(SEARCH("meralco",$B784))+ISNUMBER(SEARCH("supplies",$B784))+ISNUMBER(SEARCH("office",$B784))+ISNUMBER(SEARCH("professional",$B784))+ISNUMBER(SEARCH("accountant",$B784))+ISNUMBER(SEARCH("lawyer",$B784))+ISNUMBER(SEARCH("broker",$B784))+ISNUMBER(SEARCH("bank",$B784))+ISNUMBER(SEARCH("charge",$B784))+ISNUMBER(SEARCH("permit",$B784))+ISNUMBER(SEARCH("bir",$B784))+ISNUMBER(SEARCH("ltfrb",$B784))+ISNUMBER(SEARCH("misc",$B784))+ISNUMBER(SEARCH("fee",$B784))&gt;0,"Overhead","Overhead")))))))</f>
        <v/>
      </c>
      <c r="J784">
        <f>IF($A784="","",DATE(YEAR($A784),MONTH($A784),1))</f>
        <v/>
      </c>
      <c r="K784">
        <f>IF($B784="","",IF(COUNTIF(Setup!$A$99:$A$128,$B784)&gt;0,0,1))</f>
        <v/>
      </c>
      <c r="L784">
        <f>IF($B784="","",IF(ISNUMBER(SEARCH("advance",$B784)),"ADV",IF(OR(ISNUMBER(SEARCH("payout",$B784)),ISNUMBER(SEARCH("pay out",$B784)),ISNUMBER(SEARCH("release",$B784))),"PAY","")))</f>
        <v/>
      </c>
      <c r="M784">
        <f>IF($B784="","",IF(ISNUMBER(SEARCH("bulk",$B784)),0,IF(ISNUMBER(SEARCH("fuel",$B784))+ISNUMBER(SEARCH("diesel",$B784))+ISNUMBER(SEARCH("krudo",$B784))+ISNUMBER(SEARCH("gasolina",$B784))&gt;0,1,0)))</f>
        <v/>
      </c>
      <c r="N784">
        <f>IF($B784="","",IF(ISNUMBER(SEARCH("fuel",$B784))+ISNUMBER(SEARCH("diesel",$B784))+ISNUMBER(SEARCH("krudo",$B784))+ISNUMBER(SEARCH("gasolina",$B784))&gt;0,1,0))</f>
        <v/>
      </c>
    </row>
    <row r="785">
      <c r="A785" s="86" t="n"/>
      <c r="B785" s="88" t="n"/>
      <c r="C785" s="88" t="n"/>
      <c r="D785" s="87" t="n"/>
      <c r="E785" s="88" t="n"/>
      <c r="F785" s="92" t="n"/>
      <c r="G785" s="87" t="n"/>
      <c r="H785" s="87" t="n"/>
      <c r="I785" s="101">
        <f>IF($B785="","",IF(COUNTIF(Setup!$A$99:$A$128,$B785)&gt;0,IF(INDEX(Setup!$B$99:$B$128,MATCH($B785,Setup!$A$99:$A$128,0))="","Overhead",INDEX(Setup!$B$99:$B$128,MATCH($B785,Setup!$A$99:$A$128,0))),IF(ISNUMBER(SEARCH("advance",$B785))+ISNUMBER(SEARCH("payout",$B785))+ISNUMBER(SEARCH("pay out",$B785))+ISNUMBER(SEARCH("reimburs",$B785))&gt;0,"Transfer",IF(ISNUMBER(SEARCH("loan",$B785))+ISNUMBER(SEARCH("amort",$B785))+ISNUMBER(SEARCH("installment",$B785))+ISNUMBER(SEARCH("instalment",$B785))&gt;0,"Financing",IF(ISNUMBER(SEARCH("draw",$B785))+ISNUMBER(SEARCH("owner",$B785))+ISNUMBER(SEARCH("asset",$B785))+ISNUMBER(SEARCH("capital",$B785))&gt;0,"Other",IF(ISNUMBER(SEARCH("fuel",$B785))+ISNUMBER(SEARCH("diesel",$B785))+ISNUMBER(SEARCH("krudo",$B785))+ISNUMBER(SEARCH("gasolina",$B785))+ISNUMBER(SEARCH("toll",$B785))+ISNUMBER(SEARCH("parking",$B785))+ISNUMBER(SEARCH("repair",$B785))+ISNUMBER(SEARCH("maintenance",$B785))+ISNUMBER(SEARCH("tire",$B785))+ISNUMBER(SEARCH("tyre",$B785))+ISNUMBER(SEARCH("battery",$B785))+ISNUMBER(SEARCH("oil",$B785))+ISNUMBER(SEARCH("filter",$B785))+ISNUMBER(SEARCH("spare",$B785))+ISNUMBER(SEARCH("insurance",$B785))+ISNUMBER(SEARCH("lto",$B785))+ISNUMBER(SEARCH("registration",$B785))+ISNUMBER(SEARCH("emission",$B785))+ISNUMBER(SEARCH("wash",$B785))+ISNUMBER(SEARCH("weigh",$B785))+ISNUMBER(SEARCH("tarp",$B785))&gt;0,"Vehicle",IF(ISNUMBER(SEARCH("rent",$B785))+ISNUMBER(SEARCH("upa",$B785))+ISNUMBER(SEARCH("salary",$B785))+ISNUMBER(SEARCH("sweldo",$B785))+ISNUMBER(SEARCH("wage",$B785))+ISNUMBER(SEARCH("electric",$B785))+ISNUMBER(SEARCH("kuryente",$B785))+ISNUMBER(SEARCH("water",$B785))+ISNUMBER(SEARCH("tubig",$B785))+ISNUMBER(SEARCH("internet",$B785))+ISNUMBER(SEARCH("pldt",$B785))+ISNUMBER(SEARCH("meralco",$B785))+ISNUMBER(SEARCH("supplies",$B785))+ISNUMBER(SEARCH("office",$B785))+ISNUMBER(SEARCH("professional",$B785))+ISNUMBER(SEARCH("accountant",$B785))+ISNUMBER(SEARCH("lawyer",$B785))+ISNUMBER(SEARCH("broker",$B785))+ISNUMBER(SEARCH("bank",$B785))+ISNUMBER(SEARCH("charge",$B785))+ISNUMBER(SEARCH("permit",$B785))+ISNUMBER(SEARCH("bir",$B785))+ISNUMBER(SEARCH("ltfrb",$B785))+ISNUMBER(SEARCH("misc",$B785))+ISNUMBER(SEARCH("fee",$B785))&gt;0,"Overhead","Overhead")))))))</f>
        <v/>
      </c>
      <c r="J785">
        <f>IF($A785="","",DATE(YEAR($A785),MONTH($A785),1))</f>
        <v/>
      </c>
      <c r="K785">
        <f>IF($B785="","",IF(COUNTIF(Setup!$A$99:$A$128,$B785)&gt;0,0,1))</f>
        <v/>
      </c>
      <c r="L785">
        <f>IF($B785="","",IF(ISNUMBER(SEARCH("advance",$B785)),"ADV",IF(OR(ISNUMBER(SEARCH("payout",$B785)),ISNUMBER(SEARCH("pay out",$B785)),ISNUMBER(SEARCH("release",$B785))),"PAY","")))</f>
        <v/>
      </c>
      <c r="M785">
        <f>IF($B785="","",IF(ISNUMBER(SEARCH("bulk",$B785)),0,IF(ISNUMBER(SEARCH("fuel",$B785))+ISNUMBER(SEARCH("diesel",$B785))+ISNUMBER(SEARCH("krudo",$B785))+ISNUMBER(SEARCH("gasolina",$B785))&gt;0,1,0)))</f>
        <v/>
      </c>
      <c r="N785">
        <f>IF($B785="","",IF(ISNUMBER(SEARCH("fuel",$B785))+ISNUMBER(SEARCH("diesel",$B785))+ISNUMBER(SEARCH("krudo",$B785))+ISNUMBER(SEARCH("gasolina",$B785))&gt;0,1,0))</f>
        <v/>
      </c>
    </row>
    <row r="786">
      <c r="A786" s="94" t="n"/>
      <c r="B786" s="96" t="n"/>
      <c r="C786" s="96" t="n"/>
      <c r="D786" s="95" t="n"/>
      <c r="E786" s="96" t="n"/>
      <c r="F786" s="99" t="n"/>
      <c r="G786" s="95" t="n"/>
      <c r="H786" s="95" t="n"/>
      <c r="I786" s="101">
        <f>IF($B786="","",IF(COUNTIF(Setup!$A$99:$A$128,$B786)&gt;0,IF(INDEX(Setup!$B$99:$B$128,MATCH($B786,Setup!$A$99:$A$128,0))="","Overhead",INDEX(Setup!$B$99:$B$128,MATCH($B786,Setup!$A$99:$A$128,0))),IF(ISNUMBER(SEARCH("advance",$B786))+ISNUMBER(SEARCH("payout",$B786))+ISNUMBER(SEARCH("pay out",$B786))+ISNUMBER(SEARCH("reimburs",$B786))&gt;0,"Transfer",IF(ISNUMBER(SEARCH("loan",$B786))+ISNUMBER(SEARCH("amort",$B786))+ISNUMBER(SEARCH("installment",$B786))+ISNUMBER(SEARCH("instalment",$B786))&gt;0,"Financing",IF(ISNUMBER(SEARCH("draw",$B786))+ISNUMBER(SEARCH("owner",$B786))+ISNUMBER(SEARCH("asset",$B786))+ISNUMBER(SEARCH("capital",$B786))&gt;0,"Other",IF(ISNUMBER(SEARCH("fuel",$B786))+ISNUMBER(SEARCH("diesel",$B786))+ISNUMBER(SEARCH("krudo",$B786))+ISNUMBER(SEARCH("gasolina",$B786))+ISNUMBER(SEARCH("toll",$B786))+ISNUMBER(SEARCH("parking",$B786))+ISNUMBER(SEARCH("repair",$B786))+ISNUMBER(SEARCH("maintenance",$B786))+ISNUMBER(SEARCH("tire",$B786))+ISNUMBER(SEARCH("tyre",$B786))+ISNUMBER(SEARCH("battery",$B786))+ISNUMBER(SEARCH("oil",$B786))+ISNUMBER(SEARCH("filter",$B786))+ISNUMBER(SEARCH("spare",$B786))+ISNUMBER(SEARCH("insurance",$B786))+ISNUMBER(SEARCH("lto",$B786))+ISNUMBER(SEARCH("registration",$B786))+ISNUMBER(SEARCH("emission",$B786))+ISNUMBER(SEARCH("wash",$B786))+ISNUMBER(SEARCH("weigh",$B786))+ISNUMBER(SEARCH("tarp",$B786))&gt;0,"Vehicle",IF(ISNUMBER(SEARCH("rent",$B786))+ISNUMBER(SEARCH("upa",$B786))+ISNUMBER(SEARCH("salary",$B786))+ISNUMBER(SEARCH("sweldo",$B786))+ISNUMBER(SEARCH("wage",$B786))+ISNUMBER(SEARCH("electric",$B786))+ISNUMBER(SEARCH("kuryente",$B786))+ISNUMBER(SEARCH("water",$B786))+ISNUMBER(SEARCH("tubig",$B786))+ISNUMBER(SEARCH("internet",$B786))+ISNUMBER(SEARCH("pldt",$B786))+ISNUMBER(SEARCH("meralco",$B786))+ISNUMBER(SEARCH("supplies",$B786))+ISNUMBER(SEARCH("office",$B786))+ISNUMBER(SEARCH("professional",$B786))+ISNUMBER(SEARCH("accountant",$B786))+ISNUMBER(SEARCH("lawyer",$B786))+ISNUMBER(SEARCH("broker",$B786))+ISNUMBER(SEARCH("bank",$B786))+ISNUMBER(SEARCH("charge",$B786))+ISNUMBER(SEARCH("permit",$B786))+ISNUMBER(SEARCH("bir",$B786))+ISNUMBER(SEARCH("ltfrb",$B786))+ISNUMBER(SEARCH("misc",$B786))+ISNUMBER(SEARCH("fee",$B786))&gt;0,"Overhead","Overhead")))))))</f>
        <v/>
      </c>
      <c r="J786">
        <f>IF($A786="","",DATE(YEAR($A786),MONTH($A786),1))</f>
        <v/>
      </c>
      <c r="K786">
        <f>IF($B786="","",IF(COUNTIF(Setup!$A$99:$A$128,$B786)&gt;0,0,1))</f>
        <v/>
      </c>
      <c r="L786">
        <f>IF($B786="","",IF(ISNUMBER(SEARCH("advance",$B786)),"ADV",IF(OR(ISNUMBER(SEARCH("payout",$B786)),ISNUMBER(SEARCH("pay out",$B786)),ISNUMBER(SEARCH("release",$B786))),"PAY","")))</f>
        <v/>
      </c>
      <c r="M786">
        <f>IF($B786="","",IF(ISNUMBER(SEARCH("bulk",$B786)),0,IF(ISNUMBER(SEARCH("fuel",$B786))+ISNUMBER(SEARCH("diesel",$B786))+ISNUMBER(SEARCH("krudo",$B786))+ISNUMBER(SEARCH("gasolina",$B786))&gt;0,1,0)))</f>
        <v/>
      </c>
      <c r="N786">
        <f>IF($B786="","",IF(ISNUMBER(SEARCH("fuel",$B786))+ISNUMBER(SEARCH("diesel",$B786))+ISNUMBER(SEARCH("krudo",$B786))+ISNUMBER(SEARCH("gasolina",$B786))&gt;0,1,0))</f>
        <v/>
      </c>
    </row>
    <row r="787">
      <c r="A787" s="86" t="n"/>
      <c r="B787" s="88" t="n"/>
      <c r="C787" s="88" t="n"/>
      <c r="D787" s="87" t="n"/>
      <c r="E787" s="88" t="n"/>
      <c r="F787" s="92" t="n"/>
      <c r="G787" s="87" t="n"/>
      <c r="H787" s="87" t="n"/>
      <c r="I787" s="101">
        <f>IF($B787="","",IF(COUNTIF(Setup!$A$99:$A$128,$B787)&gt;0,IF(INDEX(Setup!$B$99:$B$128,MATCH($B787,Setup!$A$99:$A$128,0))="","Overhead",INDEX(Setup!$B$99:$B$128,MATCH($B787,Setup!$A$99:$A$128,0))),IF(ISNUMBER(SEARCH("advance",$B787))+ISNUMBER(SEARCH("payout",$B787))+ISNUMBER(SEARCH("pay out",$B787))+ISNUMBER(SEARCH("reimburs",$B787))&gt;0,"Transfer",IF(ISNUMBER(SEARCH("loan",$B787))+ISNUMBER(SEARCH("amort",$B787))+ISNUMBER(SEARCH("installment",$B787))+ISNUMBER(SEARCH("instalment",$B787))&gt;0,"Financing",IF(ISNUMBER(SEARCH("draw",$B787))+ISNUMBER(SEARCH("owner",$B787))+ISNUMBER(SEARCH("asset",$B787))+ISNUMBER(SEARCH("capital",$B787))&gt;0,"Other",IF(ISNUMBER(SEARCH("fuel",$B787))+ISNUMBER(SEARCH("diesel",$B787))+ISNUMBER(SEARCH("krudo",$B787))+ISNUMBER(SEARCH("gasolina",$B787))+ISNUMBER(SEARCH("toll",$B787))+ISNUMBER(SEARCH("parking",$B787))+ISNUMBER(SEARCH("repair",$B787))+ISNUMBER(SEARCH("maintenance",$B787))+ISNUMBER(SEARCH("tire",$B787))+ISNUMBER(SEARCH("tyre",$B787))+ISNUMBER(SEARCH("battery",$B787))+ISNUMBER(SEARCH("oil",$B787))+ISNUMBER(SEARCH("filter",$B787))+ISNUMBER(SEARCH("spare",$B787))+ISNUMBER(SEARCH("insurance",$B787))+ISNUMBER(SEARCH("lto",$B787))+ISNUMBER(SEARCH("registration",$B787))+ISNUMBER(SEARCH("emission",$B787))+ISNUMBER(SEARCH("wash",$B787))+ISNUMBER(SEARCH("weigh",$B787))+ISNUMBER(SEARCH("tarp",$B787))&gt;0,"Vehicle",IF(ISNUMBER(SEARCH("rent",$B787))+ISNUMBER(SEARCH("upa",$B787))+ISNUMBER(SEARCH("salary",$B787))+ISNUMBER(SEARCH("sweldo",$B787))+ISNUMBER(SEARCH("wage",$B787))+ISNUMBER(SEARCH("electric",$B787))+ISNUMBER(SEARCH("kuryente",$B787))+ISNUMBER(SEARCH("water",$B787))+ISNUMBER(SEARCH("tubig",$B787))+ISNUMBER(SEARCH("internet",$B787))+ISNUMBER(SEARCH("pldt",$B787))+ISNUMBER(SEARCH("meralco",$B787))+ISNUMBER(SEARCH("supplies",$B787))+ISNUMBER(SEARCH("office",$B787))+ISNUMBER(SEARCH("professional",$B787))+ISNUMBER(SEARCH("accountant",$B787))+ISNUMBER(SEARCH("lawyer",$B787))+ISNUMBER(SEARCH("broker",$B787))+ISNUMBER(SEARCH("bank",$B787))+ISNUMBER(SEARCH("charge",$B787))+ISNUMBER(SEARCH("permit",$B787))+ISNUMBER(SEARCH("bir",$B787))+ISNUMBER(SEARCH("ltfrb",$B787))+ISNUMBER(SEARCH("misc",$B787))+ISNUMBER(SEARCH("fee",$B787))&gt;0,"Overhead","Overhead")))))))</f>
        <v/>
      </c>
      <c r="J787">
        <f>IF($A787="","",DATE(YEAR($A787),MONTH($A787),1))</f>
        <v/>
      </c>
      <c r="K787">
        <f>IF($B787="","",IF(COUNTIF(Setup!$A$99:$A$128,$B787)&gt;0,0,1))</f>
        <v/>
      </c>
      <c r="L787">
        <f>IF($B787="","",IF(ISNUMBER(SEARCH("advance",$B787)),"ADV",IF(OR(ISNUMBER(SEARCH("payout",$B787)),ISNUMBER(SEARCH("pay out",$B787)),ISNUMBER(SEARCH("release",$B787))),"PAY","")))</f>
        <v/>
      </c>
      <c r="M787">
        <f>IF($B787="","",IF(ISNUMBER(SEARCH("bulk",$B787)),0,IF(ISNUMBER(SEARCH("fuel",$B787))+ISNUMBER(SEARCH("diesel",$B787))+ISNUMBER(SEARCH("krudo",$B787))+ISNUMBER(SEARCH("gasolina",$B787))&gt;0,1,0)))</f>
        <v/>
      </c>
      <c r="N787">
        <f>IF($B787="","",IF(ISNUMBER(SEARCH("fuel",$B787))+ISNUMBER(SEARCH("diesel",$B787))+ISNUMBER(SEARCH("krudo",$B787))+ISNUMBER(SEARCH("gasolina",$B787))&gt;0,1,0))</f>
        <v/>
      </c>
    </row>
    <row r="788">
      <c r="A788" s="94" t="n"/>
      <c r="B788" s="96" t="n"/>
      <c r="C788" s="96" t="n"/>
      <c r="D788" s="95" t="n"/>
      <c r="E788" s="96" t="n"/>
      <c r="F788" s="99" t="n"/>
      <c r="G788" s="95" t="n"/>
      <c r="H788" s="95" t="n"/>
      <c r="I788" s="101">
        <f>IF($B788="","",IF(COUNTIF(Setup!$A$99:$A$128,$B788)&gt;0,IF(INDEX(Setup!$B$99:$B$128,MATCH($B788,Setup!$A$99:$A$128,0))="","Overhead",INDEX(Setup!$B$99:$B$128,MATCH($B788,Setup!$A$99:$A$128,0))),IF(ISNUMBER(SEARCH("advance",$B788))+ISNUMBER(SEARCH("payout",$B788))+ISNUMBER(SEARCH("pay out",$B788))+ISNUMBER(SEARCH("reimburs",$B788))&gt;0,"Transfer",IF(ISNUMBER(SEARCH("loan",$B788))+ISNUMBER(SEARCH("amort",$B788))+ISNUMBER(SEARCH("installment",$B788))+ISNUMBER(SEARCH("instalment",$B788))&gt;0,"Financing",IF(ISNUMBER(SEARCH("draw",$B788))+ISNUMBER(SEARCH("owner",$B788))+ISNUMBER(SEARCH("asset",$B788))+ISNUMBER(SEARCH("capital",$B788))&gt;0,"Other",IF(ISNUMBER(SEARCH("fuel",$B788))+ISNUMBER(SEARCH("diesel",$B788))+ISNUMBER(SEARCH("krudo",$B788))+ISNUMBER(SEARCH("gasolina",$B788))+ISNUMBER(SEARCH("toll",$B788))+ISNUMBER(SEARCH("parking",$B788))+ISNUMBER(SEARCH("repair",$B788))+ISNUMBER(SEARCH("maintenance",$B788))+ISNUMBER(SEARCH("tire",$B788))+ISNUMBER(SEARCH("tyre",$B788))+ISNUMBER(SEARCH("battery",$B788))+ISNUMBER(SEARCH("oil",$B788))+ISNUMBER(SEARCH("filter",$B788))+ISNUMBER(SEARCH("spare",$B788))+ISNUMBER(SEARCH("insurance",$B788))+ISNUMBER(SEARCH("lto",$B788))+ISNUMBER(SEARCH("registration",$B788))+ISNUMBER(SEARCH("emission",$B788))+ISNUMBER(SEARCH("wash",$B788))+ISNUMBER(SEARCH("weigh",$B788))+ISNUMBER(SEARCH("tarp",$B788))&gt;0,"Vehicle",IF(ISNUMBER(SEARCH("rent",$B788))+ISNUMBER(SEARCH("upa",$B788))+ISNUMBER(SEARCH("salary",$B788))+ISNUMBER(SEARCH("sweldo",$B788))+ISNUMBER(SEARCH("wage",$B788))+ISNUMBER(SEARCH("electric",$B788))+ISNUMBER(SEARCH("kuryente",$B788))+ISNUMBER(SEARCH("water",$B788))+ISNUMBER(SEARCH("tubig",$B788))+ISNUMBER(SEARCH("internet",$B788))+ISNUMBER(SEARCH("pldt",$B788))+ISNUMBER(SEARCH("meralco",$B788))+ISNUMBER(SEARCH("supplies",$B788))+ISNUMBER(SEARCH("office",$B788))+ISNUMBER(SEARCH("professional",$B788))+ISNUMBER(SEARCH("accountant",$B788))+ISNUMBER(SEARCH("lawyer",$B788))+ISNUMBER(SEARCH("broker",$B788))+ISNUMBER(SEARCH("bank",$B788))+ISNUMBER(SEARCH("charge",$B788))+ISNUMBER(SEARCH("permit",$B788))+ISNUMBER(SEARCH("bir",$B788))+ISNUMBER(SEARCH("ltfrb",$B788))+ISNUMBER(SEARCH("misc",$B788))+ISNUMBER(SEARCH("fee",$B788))&gt;0,"Overhead","Overhead")))))))</f>
        <v/>
      </c>
      <c r="J788">
        <f>IF($A788="","",DATE(YEAR($A788),MONTH($A788),1))</f>
        <v/>
      </c>
      <c r="K788">
        <f>IF($B788="","",IF(COUNTIF(Setup!$A$99:$A$128,$B788)&gt;0,0,1))</f>
        <v/>
      </c>
      <c r="L788">
        <f>IF($B788="","",IF(ISNUMBER(SEARCH("advance",$B788)),"ADV",IF(OR(ISNUMBER(SEARCH("payout",$B788)),ISNUMBER(SEARCH("pay out",$B788)),ISNUMBER(SEARCH("release",$B788))),"PAY","")))</f>
        <v/>
      </c>
      <c r="M788">
        <f>IF($B788="","",IF(ISNUMBER(SEARCH("bulk",$B788)),0,IF(ISNUMBER(SEARCH("fuel",$B788))+ISNUMBER(SEARCH("diesel",$B788))+ISNUMBER(SEARCH("krudo",$B788))+ISNUMBER(SEARCH("gasolina",$B788))&gt;0,1,0)))</f>
        <v/>
      </c>
      <c r="N788">
        <f>IF($B788="","",IF(ISNUMBER(SEARCH("fuel",$B788))+ISNUMBER(SEARCH("diesel",$B788))+ISNUMBER(SEARCH("krudo",$B788))+ISNUMBER(SEARCH("gasolina",$B788))&gt;0,1,0))</f>
        <v/>
      </c>
    </row>
    <row r="789">
      <c r="A789" s="86" t="n"/>
      <c r="B789" s="88" t="n"/>
      <c r="C789" s="88" t="n"/>
      <c r="D789" s="87" t="n"/>
      <c r="E789" s="88" t="n"/>
      <c r="F789" s="92" t="n"/>
      <c r="G789" s="87" t="n"/>
      <c r="H789" s="87" t="n"/>
      <c r="I789" s="101">
        <f>IF($B789="","",IF(COUNTIF(Setup!$A$99:$A$128,$B789)&gt;0,IF(INDEX(Setup!$B$99:$B$128,MATCH($B789,Setup!$A$99:$A$128,0))="","Overhead",INDEX(Setup!$B$99:$B$128,MATCH($B789,Setup!$A$99:$A$128,0))),IF(ISNUMBER(SEARCH("advance",$B789))+ISNUMBER(SEARCH("payout",$B789))+ISNUMBER(SEARCH("pay out",$B789))+ISNUMBER(SEARCH("reimburs",$B789))&gt;0,"Transfer",IF(ISNUMBER(SEARCH("loan",$B789))+ISNUMBER(SEARCH("amort",$B789))+ISNUMBER(SEARCH("installment",$B789))+ISNUMBER(SEARCH("instalment",$B789))&gt;0,"Financing",IF(ISNUMBER(SEARCH("draw",$B789))+ISNUMBER(SEARCH("owner",$B789))+ISNUMBER(SEARCH("asset",$B789))+ISNUMBER(SEARCH("capital",$B789))&gt;0,"Other",IF(ISNUMBER(SEARCH("fuel",$B789))+ISNUMBER(SEARCH("diesel",$B789))+ISNUMBER(SEARCH("krudo",$B789))+ISNUMBER(SEARCH("gasolina",$B789))+ISNUMBER(SEARCH("toll",$B789))+ISNUMBER(SEARCH("parking",$B789))+ISNUMBER(SEARCH("repair",$B789))+ISNUMBER(SEARCH("maintenance",$B789))+ISNUMBER(SEARCH("tire",$B789))+ISNUMBER(SEARCH("tyre",$B789))+ISNUMBER(SEARCH("battery",$B789))+ISNUMBER(SEARCH("oil",$B789))+ISNUMBER(SEARCH("filter",$B789))+ISNUMBER(SEARCH("spare",$B789))+ISNUMBER(SEARCH("insurance",$B789))+ISNUMBER(SEARCH("lto",$B789))+ISNUMBER(SEARCH("registration",$B789))+ISNUMBER(SEARCH("emission",$B789))+ISNUMBER(SEARCH("wash",$B789))+ISNUMBER(SEARCH("weigh",$B789))+ISNUMBER(SEARCH("tarp",$B789))&gt;0,"Vehicle",IF(ISNUMBER(SEARCH("rent",$B789))+ISNUMBER(SEARCH("upa",$B789))+ISNUMBER(SEARCH("salary",$B789))+ISNUMBER(SEARCH("sweldo",$B789))+ISNUMBER(SEARCH("wage",$B789))+ISNUMBER(SEARCH("electric",$B789))+ISNUMBER(SEARCH("kuryente",$B789))+ISNUMBER(SEARCH("water",$B789))+ISNUMBER(SEARCH("tubig",$B789))+ISNUMBER(SEARCH("internet",$B789))+ISNUMBER(SEARCH("pldt",$B789))+ISNUMBER(SEARCH("meralco",$B789))+ISNUMBER(SEARCH("supplies",$B789))+ISNUMBER(SEARCH("office",$B789))+ISNUMBER(SEARCH("professional",$B789))+ISNUMBER(SEARCH("accountant",$B789))+ISNUMBER(SEARCH("lawyer",$B789))+ISNUMBER(SEARCH("broker",$B789))+ISNUMBER(SEARCH("bank",$B789))+ISNUMBER(SEARCH("charge",$B789))+ISNUMBER(SEARCH("permit",$B789))+ISNUMBER(SEARCH("bir",$B789))+ISNUMBER(SEARCH("ltfrb",$B789))+ISNUMBER(SEARCH("misc",$B789))+ISNUMBER(SEARCH("fee",$B789))&gt;0,"Overhead","Overhead")))))))</f>
        <v/>
      </c>
      <c r="J789">
        <f>IF($A789="","",DATE(YEAR($A789),MONTH($A789),1))</f>
        <v/>
      </c>
      <c r="K789">
        <f>IF($B789="","",IF(COUNTIF(Setup!$A$99:$A$128,$B789)&gt;0,0,1))</f>
        <v/>
      </c>
      <c r="L789">
        <f>IF($B789="","",IF(ISNUMBER(SEARCH("advance",$B789)),"ADV",IF(OR(ISNUMBER(SEARCH("payout",$B789)),ISNUMBER(SEARCH("pay out",$B789)),ISNUMBER(SEARCH("release",$B789))),"PAY","")))</f>
        <v/>
      </c>
      <c r="M789">
        <f>IF($B789="","",IF(ISNUMBER(SEARCH("bulk",$B789)),0,IF(ISNUMBER(SEARCH("fuel",$B789))+ISNUMBER(SEARCH("diesel",$B789))+ISNUMBER(SEARCH("krudo",$B789))+ISNUMBER(SEARCH("gasolina",$B789))&gt;0,1,0)))</f>
        <v/>
      </c>
      <c r="N789">
        <f>IF($B789="","",IF(ISNUMBER(SEARCH("fuel",$B789))+ISNUMBER(SEARCH("diesel",$B789))+ISNUMBER(SEARCH("krudo",$B789))+ISNUMBER(SEARCH("gasolina",$B789))&gt;0,1,0))</f>
        <v/>
      </c>
    </row>
    <row r="790">
      <c r="A790" s="94" t="n"/>
      <c r="B790" s="96" t="n"/>
      <c r="C790" s="96" t="n"/>
      <c r="D790" s="95" t="n"/>
      <c r="E790" s="96" t="n"/>
      <c r="F790" s="99" t="n"/>
      <c r="G790" s="95" t="n"/>
      <c r="H790" s="95" t="n"/>
      <c r="I790" s="101">
        <f>IF($B790="","",IF(COUNTIF(Setup!$A$99:$A$128,$B790)&gt;0,IF(INDEX(Setup!$B$99:$B$128,MATCH($B790,Setup!$A$99:$A$128,0))="","Overhead",INDEX(Setup!$B$99:$B$128,MATCH($B790,Setup!$A$99:$A$128,0))),IF(ISNUMBER(SEARCH("advance",$B790))+ISNUMBER(SEARCH("payout",$B790))+ISNUMBER(SEARCH("pay out",$B790))+ISNUMBER(SEARCH("reimburs",$B790))&gt;0,"Transfer",IF(ISNUMBER(SEARCH("loan",$B790))+ISNUMBER(SEARCH("amort",$B790))+ISNUMBER(SEARCH("installment",$B790))+ISNUMBER(SEARCH("instalment",$B790))&gt;0,"Financing",IF(ISNUMBER(SEARCH("draw",$B790))+ISNUMBER(SEARCH("owner",$B790))+ISNUMBER(SEARCH("asset",$B790))+ISNUMBER(SEARCH("capital",$B790))&gt;0,"Other",IF(ISNUMBER(SEARCH("fuel",$B790))+ISNUMBER(SEARCH("diesel",$B790))+ISNUMBER(SEARCH("krudo",$B790))+ISNUMBER(SEARCH("gasolina",$B790))+ISNUMBER(SEARCH("toll",$B790))+ISNUMBER(SEARCH("parking",$B790))+ISNUMBER(SEARCH("repair",$B790))+ISNUMBER(SEARCH("maintenance",$B790))+ISNUMBER(SEARCH("tire",$B790))+ISNUMBER(SEARCH("tyre",$B790))+ISNUMBER(SEARCH("battery",$B790))+ISNUMBER(SEARCH("oil",$B790))+ISNUMBER(SEARCH("filter",$B790))+ISNUMBER(SEARCH("spare",$B790))+ISNUMBER(SEARCH("insurance",$B790))+ISNUMBER(SEARCH("lto",$B790))+ISNUMBER(SEARCH("registration",$B790))+ISNUMBER(SEARCH("emission",$B790))+ISNUMBER(SEARCH("wash",$B790))+ISNUMBER(SEARCH("weigh",$B790))+ISNUMBER(SEARCH("tarp",$B790))&gt;0,"Vehicle",IF(ISNUMBER(SEARCH("rent",$B790))+ISNUMBER(SEARCH("upa",$B790))+ISNUMBER(SEARCH("salary",$B790))+ISNUMBER(SEARCH("sweldo",$B790))+ISNUMBER(SEARCH("wage",$B790))+ISNUMBER(SEARCH("electric",$B790))+ISNUMBER(SEARCH("kuryente",$B790))+ISNUMBER(SEARCH("water",$B790))+ISNUMBER(SEARCH("tubig",$B790))+ISNUMBER(SEARCH("internet",$B790))+ISNUMBER(SEARCH("pldt",$B790))+ISNUMBER(SEARCH("meralco",$B790))+ISNUMBER(SEARCH("supplies",$B790))+ISNUMBER(SEARCH("office",$B790))+ISNUMBER(SEARCH("professional",$B790))+ISNUMBER(SEARCH("accountant",$B790))+ISNUMBER(SEARCH("lawyer",$B790))+ISNUMBER(SEARCH("broker",$B790))+ISNUMBER(SEARCH("bank",$B790))+ISNUMBER(SEARCH("charge",$B790))+ISNUMBER(SEARCH("permit",$B790))+ISNUMBER(SEARCH("bir",$B790))+ISNUMBER(SEARCH("ltfrb",$B790))+ISNUMBER(SEARCH("misc",$B790))+ISNUMBER(SEARCH("fee",$B790))&gt;0,"Overhead","Overhead")))))))</f>
        <v/>
      </c>
      <c r="J790">
        <f>IF($A790="","",DATE(YEAR($A790),MONTH($A790),1))</f>
        <v/>
      </c>
      <c r="K790">
        <f>IF($B790="","",IF(COUNTIF(Setup!$A$99:$A$128,$B790)&gt;0,0,1))</f>
        <v/>
      </c>
      <c r="L790">
        <f>IF($B790="","",IF(ISNUMBER(SEARCH("advance",$B790)),"ADV",IF(OR(ISNUMBER(SEARCH("payout",$B790)),ISNUMBER(SEARCH("pay out",$B790)),ISNUMBER(SEARCH("release",$B790))),"PAY","")))</f>
        <v/>
      </c>
      <c r="M790">
        <f>IF($B790="","",IF(ISNUMBER(SEARCH("bulk",$B790)),0,IF(ISNUMBER(SEARCH("fuel",$B790))+ISNUMBER(SEARCH("diesel",$B790))+ISNUMBER(SEARCH("krudo",$B790))+ISNUMBER(SEARCH("gasolina",$B790))&gt;0,1,0)))</f>
        <v/>
      </c>
      <c r="N790">
        <f>IF($B790="","",IF(ISNUMBER(SEARCH("fuel",$B790))+ISNUMBER(SEARCH("diesel",$B790))+ISNUMBER(SEARCH("krudo",$B790))+ISNUMBER(SEARCH("gasolina",$B790))&gt;0,1,0))</f>
        <v/>
      </c>
    </row>
    <row r="791">
      <c r="A791" s="86" t="n"/>
      <c r="B791" s="88" t="n"/>
      <c r="C791" s="88" t="n"/>
      <c r="D791" s="87" t="n"/>
      <c r="E791" s="88" t="n"/>
      <c r="F791" s="92" t="n"/>
      <c r="G791" s="87" t="n"/>
      <c r="H791" s="87" t="n"/>
      <c r="I791" s="101">
        <f>IF($B791="","",IF(COUNTIF(Setup!$A$99:$A$128,$B791)&gt;0,IF(INDEX(Setup!$B$99:$B$128,MATCH($B791,Setup!$A$99:$A$128,0))="","Overhead",INDEX(Setup!$B$99:$B$128,MATCH($B791,Setup!$A$99:$A$128,0))),IF(ISNUMBER(SEARCH("advance",$B791))+ISNUMBER(SEARCH("payout",$B791))+ISNUMBER(SEARCH("pay out",$B791))+ISNUMBER(SEARCH("reimburs",$B791))&gt;0,"Transfer",IF(ISNUMBER(SEARCH("loan",$B791))+ISNUMBER(SEARCH("amort",$B791))+ISNUMBER(SEARCH("installment",$B791))+ISNUMBER(SEARCH("instalment",$B791))&gt;0,"Financing",IF(ISNUMBER(SEARCH("draw",$B791))+ISNUMBER(SEARCH("owner",$B791))+ISNUMBER(SEARCH("asset",$B791))+ISNUMBER(SEARCH("capital",$B791))&gt;0,"Other",IF(ISNUMBER(SEARCH("fuel",$B791))+ISNUMBER(SEARCH("diesel",$B791))+ISNUMBER(SEARCH("krudo",$B791))+ISNUMBER(SEARCH("gasolina",$B791))+ISNUMBER(SEARCH("toll",$B791))+ISNUMBER(SEARCH("parking",$B791))+ISNUMBER(SEARCH("repair",$B791))+ISNUMBER(SEARCH("maintenance",$B791))+ISNUMBER(SEARCH("tire",$B791))+ISNUMBER(SEARCH("tyre",$B791))+ISNUMBER(SEARCH("battery",$B791))+ISNUMBER(SEARCH("oil",$B791))+ISNUMBER(SEARCH("filter",$B791))+ISNUMBER(SEARCH("spare",$B791))+ISNUMBER(SEARCH("insurance",$B791))+ISNUMBER(SEARCH("lto",$B791))+ISNUMBER(SEARCH("registration",$B791))+ISNUMBER(SEARCH("emission",$B791))+ISNUMBER(SEARCH("wash",$B791))+ISNUMBER(SEARCH("weigh",$B791))+ISNUMBER(SEARCH("tarp",$B791))&gt;0,"Vehicle",IF(ISNUMBER(SEARCH("rent",$B791))+ISNUMBER(SEARCH("upa",$B791))+ISNUMBER(SEARCH("salary",$B791))+ISNUMBER(SEARCH("sweldo",$B791))+ISNUMBER(SEARCH("wage",$B791))+ISNUMBER(SEARCH("electric",$B791))+ISNUMBER(SEARCH("kuryente",$B791))+ISNUMBER(SEARCH("water",$B791))+ISNUMBER(SEARCH("tubig",$B791))+ISNUMBER(SEARCH("internet",$B791))+ISNUMBER(SEARCH("pldt",$B791))+ISNUMBER(SEARCH("meralco",$B791))+ISNUMBER(SEARCH("supplies",$B791))+ISNUMBER(SEARCH("office",$B791))+ISNUMBER(SEARCH("professional",$B791))+ISNUMBER(SEARCH("accountant",$B791))+ISNUMBER(SEARCH("lawyer",$B791))+ISNUMBER(SEARCH("broker",$B791))+ISNUMBER(SEARCH("bank",$B791))+ISNUMBER(SEARCH("charge",$B791))+ISNUMBER(SEARCH("permit",$B791))+ISNUMBER(SEARCH("bir",$B791))+ISNUMBER(SEARCH("ltfrb",$B791))+ISNUMBER(SEARCH("misc",$B791))+ISNUMBER(SEARCH("fee",$B791))&gt;0,"Overhead","Overhead")))))))</f>
        <v/>
      </c>
      <c r="J791">
        <f>IF($A791="","",DATE(YEAR($A791),MONTH($A791),1))</f>
        <v/>
      </c>
      <c r="K791">
        <f>IF($B791="","",IF(COUNTIF(Setup!$A$99:$A$128,$B791)&gt;0,0,1))</f>
        <v/>
      </c>
      <c r="L791">
        <f>IF($B791="","",IF(ISNUMBER(SEARCH("advance",$B791)),"ADV",IF(OR(ISNUMBER(SEARCH("payout",$B791)),ISNUMBER(SEARCH("pay out",$B791)),ISNUMBER(SEARCH("release",$B791))),"PAY","")))</f>
        <v/>
      </c>
      <c r="M791">
        <f>IF($B791="","",IF(ISNUMBER(SEARCH("bulk",$B791)),0,IF(ISNUMBER(SEARCH("fuel",$B791))+ISNUMBER(SEARCH("diesel",$B791))+ISNUMBER(SEARCH("krudo",$B791))+ISNUMBER(SEARCH("gasolina",$B791))&gt;0,1,0)))</f>
        <v/>
      </c>
      <c r="N791">
        <f>IF($B791="","",IF(ISNUMBER(SEARCH("fuel",$B791))+ISNUMBER(SEARCH("diesel",$B791))+ISNUMBER(SEARCH("krudo",$B791))+ISNUMBER(SEARCH("gasolina",$B791))&gt;0,1,0))</f>
        <v/>
      </c>
    </row>
    <row r="792">
      <c r="A792" s="94" t="n"/>
      <c r="B792" s="96" t="n"/>
      <c r="C792" s="96" t="n"/>
      <c r="D792" s="95" t="n"/>
      <c r="E792" s="96" t="n"/>
      <c r="F792" s="99" t="n"/>
      <c r="G792" s="95" t="n"/>
      <c r="H792" s="95" t="n"/>
      <c r="I792" s="101">
        <f>IF($B792="","",IF(COUNTIF(Setup!$A$99:$A$128,$B792)&gt;0,IF(INDEX(Setup!$B$99:$B$128,MATCH($B792,Setup!$A$99:$A$128,0))="","Overhead",INDEX(Setup!$B$99:$B$128,MATCH($B792,Setup!$A$99:$A$128,0))),IF(ISNUMBER(SEARCH("advance",$B792))+ISNUMBER(SEARCH("payout",$B792))+ISNUMBER(SEARCH("pay out",$B792))+ISNUMBER(SEARCH("reimburs",$B792))&gt;0,"Transfer",IF(ISNUMBER(SEARCH("loan",$B792))+ISNUMBER(SEARCH("amort",$B792))+ISNUMBER(SEARCH("installment",$B792))+ISNUMBER(SEARCH("instalment",$B792))&gt;0,"Financing",IF(ISNUMBER(SEARCH("draw",$B792))+ISNUMBER(SEARCH("owner",$B792))+ISNUMBER(SEARCH("asset",$B792))+ISNUMBER(SEARCH("capital",$B792))&gt;0,"Other",IF(ISNUMBER(SEARCH("fuel",$B792))+ISNUMBER(SEARCH("diesel",$B792))+ISNUMBER(SEARCH("krudo",$B792))+ISNUMBER(SEARCH("gasolina",$B792))+ISNUMBER(SEARCH("toll",$B792))+ISNUMBER(SEARCH("parking",$B792))+ISNUMBER(SEARCH("repair",$B792))+ISNUMBER(SEARCH("maintenance",$B792))+ISNUMBER(SEARCH("tire",$B792))+ISNUMBER(SEARCH("tyre",$B792))+ISNUMBER(SEARCH("battery",$B792))+ISNUMBER(SEARCH("oil",$B792))+ISNUMBER(SEARCH("filter",$B792))+ISNUMBER(SEARCH("spare",$B792))+ISNUMBER(SEARCH("insurance",$B792))+ISNUMBER(SEARCH("lto",$B792))+ISNUMBER(SEARCH("registration",$B792))+ISNUMBER(SEARCH("emission",$B792))+ISNUMBER(SEARCH("wash",$B792))+ISNUMBER(SEARCH("weigh",$B792))+ISNUMBER(SEARCH("tarp",$B792))&gt;0,"Vehicle",IF(ISNUMBER(SEARCH("rent",$B792))+ISNUMBER(SEARCH("upa",$B792))+ISNUMBER(SEARCH("salary",$B792))+ISNUMBER(SEARCH("sweldo",$B792))+ISNUMBER(SEARCH("wage",$B792))+ISNUMBER(SEARCH("electric",$B792))+ISNUMBER(SEARCH("kuryente",$B792))+ISNUMBER(SEARCH("water",$B792))+ISNUMBER(SEARCH("tubig",$B792))+ISNUMBER(SEARCH("internet",$B792))+ISNUMBER(SEARCH("pldt",$B792))+ISNUMBER(SEARCH("meralco",$B792))+ISNUMBER(SEARCH("supplies",$B792))+ISNUMBER(SEARCH("office",$B792))+ISNUMBER(SEARCH("professional",$B792))+ISNUMBER(SEARCH("accountant",$B792))+ISNUMBER(SEARCH("lawyer",$B792))+ISNUMBER(SEARCH("broker",$B792))+ISNUMBER(SEARCH("bank",$B792))+ISNUMBER(SEARCH("charge",$B792))+ISNUMBER(SEARCH("permit",$B792))+ISNUMBER(SEARCH("bir",$B792))+ISNUMBER(SEARCH("ltfrb",$B792))+ISNUMBER(SEARCH("misc",$B792))+ISNUMBER(SEARCH("fee",$B792))&gt;0,"Overhead","Overhead")))))))</f>
        <v/>
      </c>
      <c r="J792">
        <f>IF($A792="","",DATE(YEAR($A792),MONTH($A792),1))</f>
        <v/>
      </c>
      <c r="K792">
        <f>IF($B792="","",IF(COUNTIF(Setup!$A$99:$A$128,$B792)&gt;0,0,1))</f>
        <v/>
      </c>
      <c r="L792">
        <f>IF($B792="","",IF(ISNUMBER(SEARCH("advance",$B792)),"ADV",IF(OR(ISNUMBER(SEARCH("payout",$B792)),ISNUMBER(SEARCH("pay out",$B792)),ISNUMBER(SEARCH("release",$B792))),"PAY","")))</f>
        <v/>
      </c>
      <c r="M792">
        <f>IF($B792="","",IF(ISNUMBER(SEARCH("bulk",$B792)),0,IF(ISNUMBER(SEARCH("fuel",$B792))+ISNUMBER(SEARCH("diesel",$B792))+ISNUMBER(SEARCH("krudo",$B792))+ISNUMBER(SEARCH("gasolina",$B792))&gt;0,1,0)))</f>
        <v/>
      </c>
      <c r="N792">
        <f>IF($B792="","",IF(ISNUMBER(SEARCH("fuel",$B792))+ISNUMBER(SEARCH("diesel",$B792))+ISNUMBER(SEARCH("krudo",$B792))+ISNUMBER(SEARCH("gasolina",$B792))&gt;0,1,0))</f>
        <v/>
      </c>
    </row>
    <row r="793">
      <c r="A793" s="86" t="n"/>
      <c r="B793" s="88" t="n"/>
      <c r="C793" s="88" t="n"/>
      <c r="D793" s="87" t="n"/>
      <c r="E793" s="88" t="n"/>
      <c r="F793" s="92" t="n"/>
      <c r="G793" s="87" t="n"/>
      <c r="H793" s="87" t="n"/>
      <c r="I793" s="101">
        <f>IF($B793="","",IF(COUNTIF(Setup!$A$99:$A$128,$B793)&gt;0,IF(INDEX(Setup!$B$99:$B$128,MATCH($B793,Setup!$A$99:$A$128,0))="","Overhead",INDEX(Setup!$B$99:$B$128,MATCH($B793,Setup!$A$99:$A$128,0))),IF(ISNUMBER(SEARCH("advance",$B793))+ISNUMBER(SEARCH("payout",$B793))+ISNUMBER(SEARCH("pay out",$B793))+ISNUMBER(SEARCH("reimburs",$B793))&gt;0,"Transfer",IF(ISNUMBER(SEARCH("loan",$B793))+ISNUMBER(SEARCH("amort",$B793))+ISNUMBER(SEARCH("installment",$B793))+ISNUMBER(SEARCH("instalment",$B793))&gt;0,"Financing",IF(ISNUMBER(SEARCH("draw",$B793))+ISNUMBER(SEARCH("owner",$B793))+ISNUMBER(SEARCH("asset",$B793))+ISNUMBER(SEARCH("capital",$B793))&gt;0,"Other",IF(ISNUMBER(SEARCH("fuel",$B793))+ISNUMBER(SEARCH("diesel",$B793))+ISNUMBER(SEARCH("krudo",$B793))+ISNUMBER(SEARCH("gasolina",$B793))+ISNUMBER(SEARCH("toll",$B793))+ISNUMBER(SEARCH("parking",$B793))+ISNUMBER(SEARCH("repair",$B793))+ISNUMBER(SEARCH("maintenance",$B793))+ISNUMBER(SEARCH("tire",$B793))+ISNUMBER(SEARCH("tyre",$B793))+ISNUMBER(SEARCH("battery",$B793))+ISNUMBER(SEARCH("oil",$B793))+ISNUMBER(SEARCH("filter",$B793))+ISNUMBER(SEARCH("spare",$B793))+ISNUMBER(SEARCH("insurance",$B793))+ISNUMBER(SEARCH("lto",$B793))+ISNUMBER(SEARCH("registration",$B793))+ISNUMBER(SEARCH("emission",$B793))+ISNUMBER(SEARCH("wash",$B793))+ISNUMBER(SEARCH("weigh",$B793))+ISNUMBER(SEARCH("tarp",$B793))&gt;0,"Vehicle",IF(ISNUMBER(SEARCH("rent",$B793))+ISNUMBER(SEARCH("upa",$B793))+ISNUMBER(SEARCH("salary",$B793))+ISNUMBER(SEARCH("sweldo",$B793))+ISNUMBER(SEARCH("wage",$B793))+ISNUMBER(SEARCH("electric",$B793))+ISNUMBER(SEARCH("kuryente",$B793))+ISNUMBER(SEARCH("water",$B793))+ISNUMBER(SEARCH("tubig",$B793))+ISNUMBER(SEARCH("internet",$B793))+ISNUMBER(SEARCH("pldt",$B793))+ISNUMBER(SEARCH("meralco",$B793))+ISNUMBER(SEARCH("supplies",$B793))+ISNUMBER(SEARCH("office",$B793))+ISNUMBER(SEARCH("professional",$B793))+ISNUMBER(SEARCH("accountant",$B793))+ISNUMBER(SEARCH("lawyer",$B793))+ISNUMBER(SEARCH("broker",$B793))+ISNUMBER(SEARCH("bank",$B793))+ISNUMBER(SEARCH("charge",$B793))+ISNUMBER(SEARCH("permit",$B793))+ISNUMBER(SEARCH("bir",$B793))+ISNUMBER(SEARCH("ltfrb",$B793))+ISNUMBER(SEARCH("misc",$B793))+ISNUMBER(SEARCH("fee",$B793))&gt;0,"Overhead","Overhead")))))))</f>
        <v/>
      </c>
      <c r="J793">
        <f>IF($A793="","",DATE(YEAR($A793),MONTH($A793),1))</f>
        <v/>
      </c>
      <c r="K793">
        <f>IF($B793="","",IF(COUNTIF(Setup!$A$99:$A$128,$B793)&gt;0,0,1))</f>
        <v/>
      </c>
      <c r="L793">
        <f>IF($B793="","",IF(ISNUMBER(SEARCH("advance",$B793)),"ADV",IF(OR(ISNUMBER(SEARCH("payout",$B793)),ISNUMBER(SEARCH("pay out",$B793)),ISNUMBER(SEARCH("release",$B793))),"PAY","")))</f>
        <v/>
      </c>
      <c r="M793">
        <f>IF($B793="","",IF(ISNUMBER(SEARCH("bulk",$B793)),0,IF(ISNUMBER(SEARCH("fuel",$B793))+ISNUMBER(SEARCH("diesel",$B793))+ISNUMBER(SEARCH("krudo",$B793))+ISNUMBER(SEARCH("gasolina",$B793))&gt;0,1,0)))</f>
        <v/>
      </c>
      <c r="N793">
        <f>IF($B793="","",IF(ISNUMBER(SEARCH("fuel",$B793))+ISNUMBER(SEARCH("diesel",$B793))+ISNUMBER(SEARCH("krudo",$B793))+ISNUMBER(SEARCH("gasolina",$B793))&gt;0,1,0))</f>
        <v/>
      </c>
    </row>
    <row r="794">
      <c r="A794" s="94" t="n"/>
      <c r="B794" s="96" t="n"/>
      <c r="C794" s="96" t="n"/>
      <c r="D794" s="95" t="n"/>
      <c r="E794" s="96" t="n"/>
      <c r="F794" s="99" t="n"/>
      <c r="G794" s="95" t="n"/>
      <c r="H794" s="95" t="n"/>
      <c r="I794" s="101">
        <f>IF($B794="","",IF(COUNTIF(Setup!$A$99:$A$128,$B794)&gt;0,IF(INDEX(Setup!$B$99:$B$128,MATCH($B794,Setup!$A$99:$A$128,0))="","Overhead",INDEX(Setup!$B$99:$B$128,MATCH($B794,Setup!$A$99:$A$128,0))),IF(ISNUMBER(SEARCH("advance",$B794))+ISNUMBER(SEARCH("payout",$B794))+ISNUMBER(SEARCH("pay out",$B794))+ISNUMBER(SEARCH("reimburs",$B794))&gt;0,"Transfer",IF(ISNUMBER(SEARCH("loan",$B794))+ISNUMBER(SEARCH("amort",$B794))+ISNUMBER(SEARCH("installment",$B794))+ISNUMBER(SEARCH("instalment",$B794))&gt;0,"Financing",IF(ISNUMBER(SEARCH("draw",$B794))+ISNUMBER(SEARCH("owner",$B794))+ISNUMBER(SEARCH("asset",$B794))+ISNUMBER(SEARCH("capital",$B794))&gt;0,"Other",IF(ISNUMBER(SEARCH("fuel",$B794))+ISNUMBER(SEARCH("diesel",$B794))+ISNUMBER(SEARCH("krudo",$B794))+ISNUMBER(SEARCH("gasolina",$B794))+ISNUMBER(SEARCH("toll",$B794))+ISNUMBER(SEARCH("parking",$B794))+ISNUMBER(SEARCH("repair",$B794))+ISNUMBER(SEARCH("maintenance",$B794))+ISNUMBER(SEARCH("tire",$B794))+ISNUMBER(SEARCH("tyre",$B794))+ISNUMBER(SEARCH("battery",$B794))+ISNUMBER(SEARCH("oil",$B794))+ISNUMBER(SEARCH("filter",$B794))+ISNUMBER(SEARCH("spare",$B794))+ISNUMBER(SEARCH("insurance",$B794))+ISNUMBER(SEARCH("lto",$B794))+ISNUMBER(SEARCH("registration",$B794))+ISNUMBER(SEARCH("emission",$B794))+ISNUMBER(SEARCH("wash",$B794))+ISNUMBER(SEARCH("weigh",$B794))+ISNUMBER(SEARCH("tarp",$B794))&gt;0,"Vehicle",IF(ISNUMBER(SEARCH("rent",$B794))+ISNUMBER(SEARCH("upa",$B794))+ISNUMBER(SEARCH("salary",$B794))+ISNUMBER(SEARCH("sweldo",$B794))+ISNUMBER(SEARCH("wage",$B794))+ISNUMBER(SEARCH("electric",$B794))+ISNUMBER(SEARCH("kuryente",$B794))+ISNUMBER(SEARCH("water",$B794))+ISNUMBER(SEARCH("tubig",$B794))+ISNUMBER(SEARCH("internet",$B794))+ISNUMBER(SEARCH("pldt",$B794))+ISNUMBER(SEARCH("meralco",$B794))+ISNUMBER(SEARCH("supplies",$B794))+ISNUMBER(SEARCH("office",$B794))+ISNUMBER(SEARCH("professional",$B794))+ISNUMBER(SEARCH("accountant",$B794))+ISNUMBER(SEARCH("lawyer",$B794))+ISNUMBER(SEARCH("broker",$B794))+ISNUMBER(SEARCH("bank",$B794))+ISNUMBER(SEARCH("charge",$B794))+ISNUMBER(SEARCH("permit",$B794))+ISNUMBER(SEARCH("bir",$B794))+ISNUMBER(SEARCH("ltfrb",$B794))+ISNUMBER(SEARCH("misc",$B794))+ISNUMBER(SEARCH("fee",$B794))&gt;0,"Overhead","Overhead")))))))</f>
        <v/>
      </c>
      <c r="J794">
        <f>IF($A794="","",DATE(YEAR($A794),MONTH($A794),1))</f>
        <v/>
      </c>
      <c r="K794">
        <f>IF($B794="","",IF(COUNTIF(Setup!$A$99:$A$128,$B794)&gt;0,0,1))</f>
        <v/>
      </c>
      <c r="L794">
        <f>IF($B794="","",IF(ISNUMBER(SEARCH("advance",$B794)),"ADV",IF(OR(ISNUMBER(SEARCH("payout",$B794)),ISNUMBER(SEARCH("pay out",$B794)),ISNUMBER(SEARCH("release",$B794))),"PAY","")))</f>
        <v/>
      </c>
      <c r="M794">
        <f>IF($B794="","",IF(ISNUMBER(SEARCH("bulk",$B794)),0,IF(ISNUMBER(SEARCH("fuel",$B794))+ISNUMBER(SEARCH("diesel",$B794))+ISNUMBER(SEARCH("krudo",$B794))+ISNUMBER(SEARCH("gasolina",$B794))&gt;0,1,0)))</f>
        <v/>
      </c>
      <c r="N794">
        <f>IF($B794="","",IF(ISNUMBER(SEARCH("fuel",$B794))+ISNUMBER(SEARCH("diesel",$B794))+ISNUMBER(SEARCH("krudo",$B794))+ISNUMBER(SEARCH("gasolina",$B794))&gt;0,1,0))</f>
        <v/>
      </c>
    </row>
    <row r="795">
      <c r="A795" s="86" t="n"/>
      <c r="B795" s="88" t="n"/>
      <c r="C795" s="88" t="n"/>
      <c r="D795" s="87" t="n"/>
      <c r="E795" s="88" t="n"/>
      <c r="F795" s="92" t="n"/>
      <c r="G795" s="87" t="n"/>
      <c r="H795" s="87" t="n"/>
      <c r="I795" s="101">
        <f>IF($B795="","",IF(COUNTIF(Setup!$A$99:$A$128,$B795)&gt;0,IF(INDEX(Setup!$B$99:$B$128,MATCH($B795,Setup!$A$99:$A$128,0))="","Overhead",INDEX(Setup!$B$99:$B$128,MATCH($B795,Setup!$A$99:$A$128,0))),IF(ISNUMBER(SEARCH("advance",$B795))+ISNUMBER(SEARCH("payout",$B795))+ISNUMBER(SEARCH("pay out",$B795))+ISNUMBER(SEARCH("reimburs",$B795))&gt;0,"Transfer",IF(ISNUMBER(SEARCH("loan",$B795))+ISNUMBER(SEARCH("amort",$B795))+ISNUMBER(SEARCH("installment",$B795))+ISNUMBER(SEARCH("instalment",$B795))&gt;0,"Financing",IF(ISNUMBER(SEARCH("draw",$B795))+ISNUMBER(SEARCH("owner",$B795))+ISNUMBER(SEARCH("asset",$B795))+ISNUMBER(SEARCH("capital",$B795))&gt;0,"Other",IF(ISNUMBER(SEARCH("fuel",$B795))+ISNUMBER(SEARCH("diesel",$B795))+ISNUMBER(SEARCH("krudo",$B795))+ISNUMBER(SEARCH("gasolina",$B795))+ISNUMBER(SEARCH("toll",$B795))+ISNUMBER(SEARCH("parking",$B795))+ISNUMBER(SEARCH("repair",$B795))+ISNUMBER(SEARCH("maintenance",$B795))+ISNUMBER(SEARCH("tire",$B795))+ISNUMBER(SEARCH("tyre",$B795))+ISNUMBER(SEARCH("battery",$B795))+ISNUMBER(SEARCH("oil",$B795))+ISNUMBER(SEARCH("filter",$B795))+ISNUMBER(SEARCH("spare",$B795))+ISNUMBER(SEARCH("insurance",$B795))+ISNUMBER(SEARCH("lto",$B795))+ISNUMBER(SEARCH("registration",$B795))+ISNUMBER(SEARCH("emission",$B795))+ISNUMBER(SEARCH("wash",$B795))+ISNUMBER(SEARCH("weigh",$B795))+ISNUMBER(SEARCH("tarp",$B795))&gt;0,"Vehicle",IF(ISNUMBER(SEARCH("rent",$B795))+ISNUMBER(SEARCH("upa",$B795))+ISNUMBER(SEARCH("salary",$B795))+ISNUMBER(SEARCH("sweldo",$B795))+ISNUMBER(SEARCH("wage",$B795))+ISNUMBER(SEARCH("electric",$B795))+ISNUMBER(SEARCH("kuryente",$B795))+ISNUMBER(SEARCH("water",$B795))+ISNUMBER(SEARCH("tubig",$B795))+ISNUMBER(SEARCH("internet",$B795))+ISNUMBER(SEARCH("pldt",$B795))+ISNUMBER(SEARCH("meralco",$B795))+ISNUMBER(SEARCH("supplies",$B795))+ISNUMBER(SEARCH("office",$B795))+ISNUMBER(SEARCH("professional",$B795))+ISNUMBER(SEARCH("accountant",$B795))+ISNUMBER(SEARCH("lawyer",$B795))+ISNUMBER(SEARCH("broker",$B795))+ISNUMBER(SEARCH("bank",$B795))+ISNUMBER(SEARCH("charge",$B795))+ISNUMBER(SEARCH("permit",$B795))+ISNUMBER(SEARCH("bir",$B795))+ISNUMBER(SEARCH("ltfrb",$B795))+ISNUMBER(SEARCH("misc",$B795))+ISNUMBER(SEARCH("fee",$B795))&gt;0,"Overhead","Overhead")))))))</f>
        <v/>
      </c>
      <c r="J795">
        <f>IF($A795="","",DATE(YEAR($A795),MONTH($A795),1))</f>
        <v/>
      </c>
      <c r="K795">
        <f>IF($B795="","",IF(COUNTIF(Setup!$A$99:$A$128,$B795)&gt;0,0,1))</f>
        <v/>
      </c>
      <c r="L795">
        <f>IF($B795="","",IF(ISNUMBER(SEARCH("advance",$B795)),"ADV",IF(OR(ISNUMBER(SEARCH("payout",$B795)),ISNUMBER(SEARCH("pay out",$B795)),ISNUMBER(SEARCH("release",$B795))),"PAY","")))</f>
        <v/>
      </c>
      <c r="M795">
        <f>IF($B795="","",IF(ISNUMBER(SEARCH("bulk",$B795)),0,IF(ISNUMBER(SEARCH("fuel",$B795))+ISNUMBER(SEARCH("diesel",$B795))+ISNUMBER(SEARCH("krudo",$B795))+ISNUMBER(SEARCH("gasolina",$B795))&gt;0,1,0)))</f>
        <v/>
      </c>
      <c r="N795">
        <f>IF($B795="","",IF(ISNUMBER(SEARCH("fuel",$B795))+ISNUMBER(SEARCH("diesel",$B795))+ISNUMBER(SEARCH("krudo",$B795))+ISNUMBER(SEARCH("gasolina",$B795))&gt;0,1,0))</f>
        <v/>
      </c>
    </row>
    <row r="796">
      <c r="A796" s="94" t="n"/>
      <c r="B796" s="96" t="n"/>
      <c r="C796" s="96" t="n"/>
      <c r="D796" s="95" t="n"/>
      <c r="E796" s="96" t="n"/>
      <c r="F796" s="99" t="n"/>
      <c r="G796" s="95" t="n"/>
      <c r="H796" s="95" t="n"/>
      <c r="I796" s="101">
        <f>IF($B796="","",IF(COUNTIF(Setup!$A$99:$A$128,$B796)&gt;0,IF(INDEX(Setup!$B$99:$B$128,MATCH($B796,Setup!$A$99:$A$128,0))="","Overhead",INDEX(Setup!$B$99:$B$128,MATCH($B796,Setup!$A$99:$A$128,0))),IF(ISNUMBER(SEARCH("advance",$B796))+ISNUMBER(SEARCH("payout",$B796))+ISNUMBER(SEARCH("pay out",$B796))+ISNUMBER(SEARCH("reimburs",$B796))&gt;0,"Transfer",IF(ISNUMBER(SEARCH("loan",$B796))+ISNUMBER(SEARCH("amort",$B796))+ISNUMBER(SEARCH("installment",$B796))+ISNUMBER(SEARCH("instalment",$B796))&gt;0,"Financing",IF(ISNUMBER(SEARCH("draw",$B796))+ISNUMBER(SEARCH("owner",$B796))+ISNUMBER(SEARCH("asset",$B796))+ISNUMBER(SEARCH("capital",$B796))&gt;0,"Other",IF(ISNUMBER(SEARCH("fuel",$B796))+ISNUMBER(SEARCH("diesel",$B796))+ISNUMBER(SEARCH("krudo",$B796))+ISNUMBER(SEARCH("gasolina",$B796))+ISNUMBER(SEARCH("toll",$B796))+ISNUMBER(SEARCH("parking",$B796))+ISNUMBER(SEARCH("repair",$B796))+ISNUMBER(SEARCH("maintenance",$B796))+ISNUMBER(SEARCH("tire",$B796))+ISNUMBER(SEARCH("tyre",$B796))+ISNUMBER(SEARCH("battery",$B796))+ISNUMBER(SEARCH("oil",$B796))+ISNUMBER(SEARCH("filter",$B796))+ISNUMBER(SEARCH("spare",$B796))+ISNUMBER(SEARCH("insurance",$B796))+ISNUMBER(SEARCH("lto",$B796))+ISNUMBER(SEARCH("registration",$B796))+ISNUMBER(SEARCH("emission",$B796))+ISNUMBER(SEARCH("wash",$B796))+ISNUMBER(SEARCH("weigh",$B796))+ISNUMBER(SEARCH("tarp",$B796))&gt;0,"Vehicle",IF(ISNUMBER(SEARCH("rent",$B796))+ISNUMBER(SEARCH("upa",$B796))+ISNUMBER(SEARCH("salary",$B796))+ISNUMBER(SEARCH("sweldo",$B796))+ISNUMBER(SEARCH("wage",$B796))+ISNUMBER(SEARCH("electric",$B796))+ISNUMBER(SEARCH("kuryente",$B796))+ISNUMBER(SEARCH("water",$B796))+ISNUMBER(SEARCH("tubig",$B796))+ISNUMBER(SEARCH("internet",$B796))+ISNUMBER(SEARCH("pldt",$B796))+ISNUMBER(SEARCH("meralco",$B796))+ISNUMBER(SEARCH("supplies",$B796))+ISNUMBER(SEARCH("office",$B796))+ISNUMBER(SEARCH("professional",$B796))+ISNUMBER(SEARCH("accountant",$B796))+ISNUMBER(SEARCH("lawyer",$B796))+ISNUMBER(SEARCH("broker",$B796))+ISNUMBER(SEARCH("bank",$B796))+ISNUMBER(SEARCH("charge",$B796))+ISNUMBER(SEARCH("permit",$B796))+ISNUMBER(SEARCH("bir",$B796))+ISNUMBER(SEARCH("ltfrb",$B796))+ISNUMBER(SEARCH("misc",$B796))+ISNUMBER(SEARCH("fee",$B796))&gt;0,"Overhead","Overhead")))))))</f>
        <v/>
      </c>
      <c r="J796">
        <f>IF($A796="","",DATE(YEAR($A796),MONTH($A796),1))</f>
        <v/>
      </c>
      <c r="K796">
        <f>IF($B796="","",IF(COUNTIF(Setup!$A$99:$A$128,$B796)&gt;0,0,1))</f>
        <v/>
      </c>
      <c r="L796">
        <f>IF($B796="","",IF(ISNUMBER(SEARCH("advance",$B796)),"ADV",IF(OR(ISNUMBER(SEARCH("payout",$B796)),ISNUMBER(SEARCH("pay out",$B796)),ISNUMBER(SEARCH("release",$B796))),"PAY","")))</f>
        <v/>
      </c>
      <c r="M796">
        <f>IF($B796="","",IF(ISNUMBER(SEARCH("bulk",$B796)),0,IF(ISNUMBER(SEARCH("fuel",$B796))+ISNUMBER(SEARCH("diesel",$B796))+ISNUMBER(SEARCH("krudo",$B796))+ISNUMBER(SEARCH("gasolina",$B796))&gt;0,1,0)))</f>
        <v/>
      </c>
      <c r="N796">
        <f>IF($B796="","",IF(ISNUMBER(SEARCH("fuel",$B796))+ISNUMBER(SEARCH("diesel",$B796))+ISNUMBER(SEARCH("krudo",$B796))+ISNUMBER(SEARCH("gasolina",$B796))&gt;0,1,0))</f>
        <v/>
      </c>
    </row>
    <row r="797">
      <c r="A797" s="86" t="n"/>
      <c r="B797" s="88" t="n"/>
      <c r="C797" s="88" t="n"/>
      <c r="D797" s="87" t="n"/>
      <c r="E797" s="88" t="n"/>
      <c r="F797" s="92" t="n"/>
      <c r="G797" s="87" t="n"/>
      <c r="H797" s="87" t="n"/>
      <c r="I797" s="101">
        <f>IF($B797="","",IF(COUNTIF(Setup!$A$99:$A$128,$B797)&gt;0,IF(INDEX(Setup!$B$99:$B$128,MATCH($B797,Setup!$A$99:$A$128,0))="","Overhead",INDEX(Setup!$B$99:$B$128,MATCH($B797,Setup!$A$99:$A$128,0))),IF(ISNUMBER(SEARCH("advance",$B797))+ISNUMBER(SEARCH("payout",$B797))+ISNUMBER(SEARCH("pay out",$B797))+ISNUMBER(SEARCH("reimburs",$B797))&gt;0,"Transfer",IF(ISNUMBER(SEARCH("loan",$B797))+ISNUMBER(SEARCH("amort",$B797))+ISNUMBER(SEARCH("installment",$B797))+ISNUMBER(SEARCH("instalment",$B797))&gt;0,"Financing",IF(ISNUMBER(SEARCH("draw",$B797))+ISNUMBER(SEARCH("owner",$B797))+ISNUMBER(SEARCH("asset",$B797))+ISNUMBER(SEARCH("capital",$B797))&gt;0,"Other",IF(ISNUMBER(SEARCH("fuel",$B797))+ISNUMBER(SEARCH("diesel",$B797))+ISNUMBER(SEARCH("krudo",$B797))+ISNUMBER(SEARCH("gasolina",$B797))+ISNUMBER(SEARCH("toll",$B797))+ISNUMBER(SEARCH("parking",$B797))+ISNUMBER(SEARCH("repair",$B797))+ISNUMBER(SEARCH("maintenance",$B797))+ISNUMBER(SEARCH("tire",$B797))+ISNUMBER(SEARCH("tyre",$B797))+ISNUMBER(SEARCH("battery",$B797))+ISNUMBER(SEARCH("oil",$B797))+ISNUMBER(SEARCH("filter",$B797))+ISNUMBER(SEARCH("spare",$B797))+ISNUMBER(SEARCH("insurance",$B797))+ISNUMBER(SEARCH("lto",$B797))+ISNUMBER(SEARCH("registration",$B797))+ISNUMBER(SEARCH("emission",$B797))+ISNUMBER(SEARCH("wash",$B797))+ISNUMBER(SEARCH("weigh",$B797))+ISNUMBER(SEARCH("tarp",$B797))&gt;0,"Vehicle",IF(ISNUMBER(SEARCH("rent",$B797))+ISNUMBER(SEARCH("upa",$B797))+ISNUMBER(SEARCH("salary",$B797))+ISNUMBER(SEARCH("sweldo",$B797))+ISNUMBER(SEARCH("wage",$B797))+ISNUMBER(SEARCH("electric",$B797))+ISNUMBER(SEARCH("kuryente",$B797))+ISNUMBER(SEARCH("water",$B797))+ISNUMBER(SEARCH("tubig",$B797))+ISNUMBER(SEARCH("internet",$B797))+ISNUMBER(SEARCH("pldt",$B797))+ISNUMBER(SEARCH("meralco",$B797))+ISNUMBER(SEARCH("supplies",$B797))+ISNUMBER(SEARCH("office",$B797))+ISNUMBER(SEARCH("professional",$B797))+ISNUMBER(SEARCH("accountant",$B797))+ISNUMBER(SEARCH("lawyer",$B797))+ISNUMBER(SEARCH("broker",$B797))+ISNUMBER(SEARCH("bank",$B797))+ISNUMBER(SEARCH("charge",$B797))+ISNUMBER(SEARCH("permit",$B797))+ISNUMBER(SEARCH("bir",$B797))+ISNUMBER(SEARCH("ltfrb",$B797))+ISNUMBER(SEARCH("misc",$B797))+ISNUMBER(SEARCH("fee",$B797))&gt;0,"Overhead","Overhead")))))))</f>
        <v/>
      </c>
      <c r="J797">
        <f>IF($A797="","",DATE(YEAR($A797),MONTH($A797),1))</f>
        <v/>
      </c>
      <c r="K797">
        <f>IF($B797="","",IF(COUNTIF(Setup!$A$99:$A$128,$B797)&gt;0,0,1))</f>
        <v/>
      </c>
      <c r="L797">
        <f>IF($B797="","",IF(ISNUMBER(SEARCH("advance",$B797)),"ADV",IF(OR(ISNUMBER(SEARCH("payout",$B797)),ISNUMBER(SEARCH("pay out",$B797)),ISNUMBER(SEARCH("release",$B797))),"PAY","")))</f>
        <v/>
      </c>
      <c r="M797">
        <f>IF($B797="","",IF(ISNUMBER(SEARCH("bulk",$B797)),0,IF(ISNUMBER(SEARCH("fuel",$B797))+ISNUMBER(SEARCH("diesel",$B797))+ISNUMBER(SEARCH("krudo",$B797))+ISNUMBER(SEARCH("gasolina",$B797))&gt;0,1,0)))</f>
        <v/>
      </c>
      <c r="N797">
        <f>IF($B797="","",IF(ISNUMBER(SEARCH("fuel",$B797))+ISNUMBER(SEARCH("diesel",$B797))+ISNUMBER(SEARCH("krudo",$B797))+ISNUMBER(SEARCH("gasolina",$B797))&gt;0,1,0))</f>
        <v/>
      </c>
    </row>
    <row r="798">
      <c r="A798" s="94" t="n"/>
      <c r="B798" s="96" t="n"/>
      <c r="C798" s="96" t="n"/>
      <c r="D798" s="95" t="n"/>
      <c r="E798" s="96" t="n"/>
      <c r="F798" s="99" t="n"/>
      <c r="G798" s="95" t="n"/>
      <c r="H798" s="95" t="n"/>
      <c r="I798" s="101">
        <f>IF($B798="","",IF(COUNTIF(Setup!$A$99:$A$128,$B798)&gt;0,IF(INDEX(Setup!$B$99:$B$128,MATCH($B798,Setup!$A$99:$A$128,0))="","Overhead",INDEX(Setup!$B$99:$B$128,MATCH($B798,Setup!$A$99:$A$128,0))),IF(ISNUMBER(SEARCH("advance",$B798))+ISNUMBER(SEARCH("payout",$B798))+ISNUMBER(SEARCH("pay out",$B798))+ISNUMBER(SEARCH("reimburs",$B798))&gt;0,"Transfer",IF(ISNUMBER(SEARCH("loan",$B798))+ISNUMBER(SEARCH("amort",$B798))+ISNUMBER(SEARCH("installment",$B798))+ISNUMBER(SEARCH("instalment",$B798))&gt;0,"Financing",IF(ISNUMBER(SEARCH("draw",$B798))+ISNUMBER(SEARCH("owner",$B798))+ISNUMBER(SEARCH("asset",$B798))+ISNUMBER(SEARCH("capital",$B798))&gt;0,"Other",IF(ISNUMBER(SEARCH("fuel",$B798))+ISNUMBER(SEARCH("diesel",$B798))+ISNUMBER(SEARCH("krudo",$B798))+ISNUMBER(SEARCH("gasolina",$B798))+ISNUMBER(SEARCH("toll",$B798))+ISNUMBER(SEARCH("parking",$B798))+ISNUMBER(SEARCH("repair",$B798))+ISNUMBER(SEARCH("maintenance",$B798))+ISNUMBER(SEARCH("tire",$B798))+ISNUMBER(SEARCH("tyre",$B798))+ISNUMBER(SEARCH("battery",$B798))+ISNUMBER(SEARCH("oil",$B798))+ISNUMBER(SEARCH("filter",$B798))+ISNUMBER(SEARCH("spare",$B798))+ISNUMBER(SEARCH("insurance",$B798))+ISNUMBER(SEARCH("lto",$B798))+ISNUMBER(SEARCH("registration",$B798))+ISNUMBER(SEARCH("emission",$B798))+ISNUMBER(SEARCH("wash",$B798))+ISNUMBER(SEARCH("weigh",$B798))+ISNUMBER(SEARCH("tarp",$B798))&gt;0,"Vehicle",IF(ISNUMBER(SEARCH("rent",$B798))+ISNUMBER(SEARCH("upa",$B798))+ISNUMBER(SEARCH("salary",$B798))+ISNUMBER(SEARCH("sweldo",$B798))+ISNUMBER(SEARCH("wage",$B798))+ISNUMBER(SEARCH("electric",$B798))+ISNUMBER(SEARCH("kuryente",$B798))+ISNUMBER(SEARCH("water",$B798))+ISNUMBER(SEARCH("tubig",$B798))+ISNUMBER(SEARCH("internet",$B798))+ISNUMBER(SEARCH("pldt",$B798))+ISNUMBER(SEARCH("meralco",$B798))+ISNUMBER(SEARCH("supplies",$B798))+ISNUMBER(SEARCH("office",$B798))+ISNUMBER(SEARCH("professional",$B798))+ISNUMBER(SEARCH("accountant",$B798))+ISNUMBER(SEARCH("lawyer",$B798))+ISNUMBER(SEARCH("broker",$B798))+ISNUMBER(SEARCH("bank",$B798))+ISNUMBER(SEARCH("charge",$B798))+ISNUMBER(SEARCH("permit",$B798))+ISNUMBER(SEARCH("bir",$B798))+ISNUMBER(SEARCH("ltfrb",$B798))+ISNUMBER(SEARCH("misc",$B798))+ISNUMBER(SEARCH("fee",$B798))&gt;0,"Overhead","Overhead")))))))</f>
        <v/>
      </c>
      <c r="J798">
        <f>IF($A798="","",DATE(YEAR($A798),MONTH($A798),1))</f>
        <v/>
      </c>
      <c r="K798">
        <f>IF($B798="","",IF(COUNTIF(Setup!$A$99:$A$128,$B798)&gt;0,0,1))</f>
        <v/>
      </c>
      <c r="L798">
        <f>IF($B798="","",IF(ISNUMBER(SEARCH("advance",$B798)),"ADV",IF(OR(ISNUMBER(SEARCH("payout",$B798)),ISNUMBER(SEARCH("pay out",$B798)),ISNUMBER(SEARCH("release",$B798))),"PAY","")))</f>
        <v/>
      </c>
      <c r="M798">
        <f>IF($B798="","",IF(ISNUMBER(SEARCH("bulk",$B798)),0,IF(ISNUMBER(SEARCH("fuel",$B798))+ISNUMBER(SEARCH("diesel",$B798))+ISNUMBER(SEARCH("krudo",$B798))+ISNUMBER(SEARCH("gasolina",$B798))&gt;0,1,0)))</f>
        <v/>
      </c>
      <c r="N798">
        <f>IF($B798="","",IF(ISNUMBER(SEARCH("fuel",$B798))+ISNUMBER(SEARCH("diesel",$B798))+ISNUMBER(SEARCH("krudo",$B798))+ISNUMBER(SEARCH("gasolina",$B798))&gt;0,1,0))</f>
        <v/>
      </c>
    </row>
    <row r="799">
      <c r="A799" s="86" t="n"/>
      <c r="B799" s="88" t="n"/>
      <c r="C799" s="88" t="n"/>
      <c r="D799" s="87" t="n"/>
      <c r="E799" s="88" t="n"/>
      <c r="F799" s="92" t="n"/>
      <c r="G799" s="87" t="n"/>
      <c r="H799" s="87" t="n"/>
      <c r="I799" s="101">
        <f>IF($B799="","",IF(COUNTIF(Setup!$A$99:$A$128,$B799)&gt;0,IF(INDEX(Setup!$B$99:$B$128,MATCH($B799,Setup!$A$99:$A$128,0))="","Overhead",INDEX(Setup!$B$99:$B$128,MATCH($B799,Setup!$A$99:$A$128,0))),IF(ISNUMBER(SEARCH("advance",$B799))+ISNUMBER(SEARCH("payout",$B799))+ISNUMBER(SEARCH("pay out",$B799))+ISNUMBER(SEARCH("reimburs",$B799))&gt;0,"Transfer",IF(ISNUMBER(SEARCH("loan",$B799))+ISNUMBER(SEARCH("amort",$B799))+ISNUMBER(SEARCH("installment",$B799))+ISNUMBER(SEARCH("instalment",$B799))&gt;0,"Financing",IF(ISNUMBER(SEARCH("draw",$B799))+ISNUMBER(SEARCH("owner",$B799))+ISNUMBER(SEARCH("asset",$B799))+ISNUMBER(SEARCH("capital",$B799))&gt;0,"Other",IF(ISNUMBER(SEARCH("fuel",$B799))+ISNUMBER(SEARCH("diesel",$B799))+ISNUMBER(SEARCH("krudo",$B799))+ISNUMBER(SEARCH("gasolina",$B799))+ISNUMBER(SEARCH("toll",$B799))+ISNUMBER(SEARCH("parking",$B799))+ISNUMBER(SEARCH("repair",$B799))+ISNUMBER(SEARCH("maintenance",$B799))+ISNUMBER(SEARCH("tire",$B799))+ISNUMBER(SEARCH("tyre",$B799))+ISNUMBER(SEARCH("battery",$B799))+ISNUMBER(SEARCH("oil",$B799))+ISNUMBER(SEARCH("filter",$B799))+ISNUMBER(SEARCH("spare",$B799))+ISNUMBER(SEARCH("insurance",$B799))+ISNUMBER(SEARCH("lto",$B799))+ISNUMBER(SEARCH("registration",$B799))+ISNUMBER(SEARCH("emission",$B799))+ISNUMBER(SEARCH("wash",$B799))+ISNUMBER(SEARCH("weigh",$B799))+ISNUMBER(SEARCH("tarp",$B799))&gt;0,"Vehicle",IF(ISNUMBER(SEARCH("rent",$B799))+ISNUMBER(SEARCH("upa",$B799))+ISNUMBER(SEARCH("salary",$B799))+ISNUMBER(SEARCH("sweldo",$B799))+ISNUMBER(SEARCH("wage",$B799))+ISNUMBER(SEARCH("electric",$B799))+ISNUMBER(SEARCH("kuryente",$B799))+ISNUMBER(SEARCH("water",$B799))+ISNUMBER(SEARCH("tubig",$B799))+ISNUMBER(SEARCH("internet",$B799))+ISNUMBER(SEARCH("pldt",$B799))+ISNUMBER(SEARCH("meralco",$B799))+ISNUMBER(SEARCH("supplies",$B799))+ISNUMBER(SEARCH("office",$B799))+ISNUMBER(SEARCH("professional",$B799))+ISNUMBER(SEARCH("accountant",$B799))+ISNUMBER(SEARCH("lawyer",$B799))+ISNUMBER(SEARCH("broker",$B799))+ISNUMBER(SEARCH("bank",$B799))+ISNUMBER(SEARCH("charge",$B799))+ISNUMBER(SEARCH("permit",$B799))+ISNUMBER(SEARCH("bir",$B799))+ISNUMBER(SEARCH("ltfrb",$B799))+ISNUMBER(SEARCH("misc",$B799))+ISNUMBER(SEARCH("fee",$B799))&gt;0,"Overhead","Overhead")))))))</f>
        <v/>
      </c>
      <c r="J799">
        <f>IF($A799="","",DATE(YEAR($A799),MONTH($A799),1))</f>
        <v/>
      </c>
      <c r="K799">
        <f>IF($B799="","",IF(COUNTIF(Setup!$A$99:$A$128,$B799)&gt;0,0,1))</f>
        <v/>
      </c>
      <c r="L799">
        <f>IF($B799="","",IF(ISNUMBER(SEARCH("advance",$B799)),"ADV",IF(OR(ISNUMBER(SEARCH("payout",$B799)),ISNUMBER(SEARCH("pay out",$B799)),ISNUMBER(SEARCH("release",$B799))),"PAY","")))</f>
        <v/>
      </c>
      <c r="M799">
        <f>IF($B799="","",IF(ISNUMBER(SEARCH("bulk",$B799)),0,IF(ISNUMBER(SEARCH("fuel",$B799))+ISNUMBER(SEARCH("diesel",$B799))+ISNUMBER(SEARCH("krudo",$B799))+ISNUMBER(SEARCH("gasolina",$B799))&gt;0,1,0)))</f>
        <v/>
      </c>
      <c r="N799">
        <f>IF($B799="","",IF(ISNUMBER(SEARCH("fuel",$B799))+ISNUMBER(SEARCH("diesel",$B799))+ISNUMBER(SEARCH("krudo",$B799))+ISNUMBER(SEARCH("gasolina",$B799))&gt;0,1,0))</f>
        <v/>
      </c>
    </row>
    <row r="800">
      <c r="A800" s="94" t="n"/>
      <c r="B800" s="96" t="n"/>
      <c r="C800" s="96" t="n"/>
      <c r="D800" s="95" t="n"/>
      <c r="E800" s="96" t="n"/>
      <c r="F800" s="99" t="n"/>
      <c r="G800" s="95" t="n"/>
      <c r="H800" s="95" t="n"/>
      <c r="I800" s="101">
        <f>IF($B800="","",IF(COUNTIF(Setup!$A$99:$A$128,$B800)&gt;0,IF(INDEX(Setup!$B$99:$B$128,MATCH($B800,Setup!$A$99:$A$128,0))="","Overhead",INDEX(Setup!$B$99:$B$128,MATCH($B800,Setup!$A$99:$A$128,0))),IF(ISNUMBER(SEARCH("advance",$B800))+ISNUMBER(SEARCH("payout",$B800))+ISNUMBER(SEARCH("pay out",$B800))+ISNUMBER(SEARCH("reimburs",$B800))&gt;0,"Transfer",IF(ISNUMBER(SEARCH("loan",$B800))+ISNUMBER(SEARCH("amort",$B800))+ISNUMBER(SEARCH("installment",$B800))+ISNUMBER(SEARCH("instalment",$B800))&gt;0,"Financing",IF(ISNUMBER(SEARCH("draw",$B800))+ISNUMBER(SEARCH("owner",$B800))+ISNUMBER(SEARCH("asset",$B800))+ISNUMBER(SEARCH("capital",$B800))&gt;0,"Other",IF(ISNUMBER(SEARCH("fuel",$B800))+ISNUMBER(SEARCH("diesel",$B800))+ISNUMBER(SEARCH("krudo",$B800))+ISNUMBER(SEARCH("gasolina",$B800))+ISNUMBER(SEARCH("toll",$B800))+ISNUMBER(SEARCH("parking",$B800))+ISNUMBER(SEARCH("repair",$B800))+ISNUMBER(SEARCH("maintenance",$B800))+ISNUMBER(SEARCH("tire",$B800))+ISNUMBER(SEARCH("tyre",$B800))+ISNUMBER(SEARCH("battery",$B800))+ISNUMBER(SEARCH("oil",$B800))+ISNUMBER(SEARCH("filter",$B800))+ISNUMBER(SEARCH("spare",$B800))+ISNUMBER(SEARCH("insurance",$B800))+ISNUMBER(SEARCH("lto",$B800))+ISNUMBER(SEARCH("registration",$B800))+ISNUMBER(SEARCH("emission",$B800))+ISNUMBER(SEARCH("wash",$B800))+ISNUMBER(SEARCH("weigh",$B800))+ISNUMBER(SEARCH("tarp",$B800))&gt;0,"Vehicle",IF(ISNUMBER(SEARCH("rent",$B800))+ISNUMBER(SEARCH("upa",$B800))+ISNUMBER(SEARCH("salary",$B800))+ISNUMBER(SEARCH("sweldo",$B800))+ISNUMBER(SEARCH("wage",$B800))+ISNUMBER(SEARCH("electric",$B800))+ISNUMBER(SEARCH("kuryente",$B800))+ISNUMBER(SEARCH("water",$B800))+ISNUMBER(SEARCH("tubig",$B800))+ISNUMBER(SEARCH("internet",$B800))+ISNUMBER(SEARCH("pldt",$B800))+ISNUMBER(SEARCH("meralco",$B800))+ISNUMBER(SEARCH("supplies",$B800))+ISNUMBER(SEARCH("office",$B800))+ISNUMBER(SEARCH("professional",$B800))+ISNUMBER(SEARCH("accountant",$B800))+ISNUMBER(SEARCH("lawyer",$B800))+ISNUMBER(SEARCH("broker",$B800))+ISNUMBER(SEARCH("bank",$B800))+ISNUMBER(SEARCH("charge",$B800))+ISNUMBER(SEARCH("permit",$B800))+ISNUMBER(SEARCH("bir",$B800))+ISNUMBER(SEARCH("ltfrb",$B800))+ISNUMBER(SEARCH("misc",$B800))+ISNUMBER(SEARCH("fee",$B800))&gt;0,"Overhead","Overhead")))))))</f>
        <v/>
      </c>
      <c r="J800">
        <f>IF($A800="","",DATE(YEAR($A800),MONTH($A800),1))</f>
        <v/>
      </c>
      <c r="K800">
        <f>IF($B800="","",IF(COUNTIF(Setup!$A$99:$A$128,$B800)&gt;0,0,1))</f>
        <v/>
      </c>
      <c r="L800">
        <f>IF($B800="","",IF(ISNUMBER(SEARCH("advance",$B800)),"ADV",IF(OR(ISNUMBER(SEARCH("payout",$B800)),ISNUMBER(SEARCH("pay out",$B800)),ISNUMBER(SEARCH("release",$B800))),"PAY","")))</f>
        <v/>
      </c>
      <c r="M800">
        <f>IF($B800="","",IF(ISNUMBER(SEARCH("bulk",$B800)),0,IF(ISNUMBER(SEARCH("fuel",$B800))+ISNUMBER(SEARCH("diesel",$B800))+ISNUMBER(SEARCH("krudo",$B800))+ISNUMBER(SEARCH("gasolina",$B800))&gt;0,1,0)))</f>
        <v/>
      </c>
      <c r="N800">
        <f>IF($B800="","",IF(ISNUMBER(SEARCH("fuel",$B800))+ISNUMBER(SEARCH("diesel",$B800))+ISNUMBER(SEARCH("krudo",$B800))+ISNUMBER(SEARCH("gasolina",$B800))&gt;0,1,0))</f>
        <v/>
      </c>
    </row>
    <row r="801">
      <c r="A801" s="86" t="n"/>
      <c r="B801" s="88" t="n"/>
      <c r="C801" s="88" t="n"/>
      <c r="D801" s="87" t="n"/>
      <c r="E801" s="88" t="n"/>
      <c r="F801" s="92" t="n"/>
      <c r="G801" s="87" t="n"/>
      <c r="H801" s="87" t="n"/>
      <c r="I801" s="101">
        <f>IF($B801="","",IF(COUNTIF(Setup!$A$99:$A$128,$B801)&gt;0,IF(INDEX(Setup!$B$99:$B$128,MATCH($B801,Setup!$A$99:$A$128,0))="","Overhead",INDEX(Setup!$B$99:$B$128,MATCH($B801,Setup!$A$99:$A$128,0))),IF(ISNUMBER(SEARCH("advance",$B801))+ISNUMBER(SEARCH("payout",$B801))+ISNUMBER(SEARCH("pay out",$B801))+ISNUMBER(SEARCH("reimburs",$B801))&gt;0,"Transfer",IF(ISNUMBER(SEARCH("loan",$B801))+ISNUMBER(SEARCH("amort",$B801))+ISNUMBER(SEARCH("installment",$B801))+ISNUMBER(SEARCH("instalment",$B801))&gt;0,"Financing",IF(ISNUMBER(SEARCH("draw",$B801))+ISNUMBER(SEARCH("owner",$B801))+ISNUMBER(SEARCH("asset",$B801))+ISNUMBER(SEARCH("capital",$B801))&gt;0,"Other",IF(ISNUMBER(SEARCH("fuel",$B801))+ISNUMBER(SEARCH("diesel",$B801))+ISNUMBER(SEARCH("krudo",$B801))+ISNUMBER(SEARCH("gasolina",$B801))+ISNUMBER(SEARCH("toll",$B801))+ISNUMBER(SEARCH("parking",$B801))+ISNUMBER(SEARCH("repair",$B801))+ISNUMBER(SEARCH("maintenance",$B801))+ISNUMBER(SEARCH("tire",$B801))+ISNUMBER(SEARCH("tyre",$B801))+ISNUMBER(SEARCH("battery",$B801))+ISNUMBER(SEARCH("oil",$B801))+ISNUMBER(SEARCH("filter",$B801))+ISNUMBER(SEARCH("spare",$B801))+ISNUMBER(SEARCH("insurance",$B801))+ISNUMBER(SEARCH("lto",$B801))+ISNUMBER(SEARCH("registration",$B801))+ISNUMBER(SEARCH("emission",$B801))+ISNUMBER(SEARCH("wash",$B801))+ISNUMBER(SEARCH("weigh",$B801))+ISNUMBER(SEARCH("tarp",$B801))&gt;0,"Vehicle",IF(ISNUMBER(SEARCH("rent",$B801))+ISNUMBER(SEARCH("upa",$B801))+ISNUMBER(SEARCH("salary",$B801))+ISNUMBER(SEARCH("sweldo",$B801))+ISNUMBER(SEARCH("wage",$B801))+ISNUMBER(SEARCH("electric",$B801))+ISNUMBER(SEARCH("kuryente",$B801))+ISNUMBER(SEARCH("water",$B801))+ISNUMBER(SEARCH("tubig",$B801))+ISNUMBER(SEARCH("internet",$B801))+ISNUMBER(SEARCH("pldt",$B801))+ISNUMBER(SEARCH("meralco",$B801))+ISNUMBER(SEARCH("supplies",$B801))+ISNUMBER(SEARCH("office",$B801))+ISNUMBER(SEARCH("professional",$B801))+ISNUMBER(SEARCH("accountant",$B801))+ISNUMBER(SEARCH("lawyer",$B801))+ISNUMBER(SEARCH("broker",$B801))+ISNUMBER(SEARCH("bank",$B801))+ISNUMBER(SEARCH("charge",$B801))+ISNUMBER(SEARCH("permit",$B801))+ISNUMBER(SEARCH("bir",$B801))+ISNUMBER(SEARCH("ltfrb",$B801))+ISNUMBER(SEARCH("misc",$B801))+ISNUMBER(SEARCH("fee",$B801))&gt;0,"Overhead","Overhead")))))))</f>
        <v/>
      </c>
      <c r="J801">
        <f>IF($A801="","",DATE(YEAR($A801),MONTH($A801),1))</f>
        <v/>
      </c>
      <c r="K801">
        <f>IF($B801="","",IF(COUNTIF(Setup!$A$99:$A$128,$B801)&gt;0,0,1))</f>
        <v/>
      </c>
      <c r="L801">
        <f>IF($B801="","",IF(ISNUMBER(SEARCH("advance",$B801)),"ADV",IF(OR(ISNUMBER(SEARCH("payout",$B801)),ISNUMBER(SEARCH("pay out",$B801)),ISNUMBER(SEARCH("release",$B801))),"PAY","")))</f>
        <v/>
      </c>
      <c r="M801">
        <f>IF($B801="","",IF(ISNUMBER(SEARCH("bulk",$B801)),0,IF(ISNUMBER(SEARCH("fuel",$B801))+ISNUMBER(SEARCH("diesel",$B801))+ISNUMBER(SEARCH("krudo",$B801))+ISNUMBER(SEARCH("gasolina",$B801))&gt;0,1,0)))</f>
        <v/>
      </c>
      <c r="N801">
        <f>IF($B801="","",IF(ISNUMBER(SEARCH("fuel",$B801))+ISNUMBER(SEARCH("diesel",$B801))+ISNUMBER(SEARCH("krudo",$B801))+ISNUMBER(SEARCH("gasolina",$B801))&gt;0,1,0))</f>
        <v/>
      </c>
    </row>
    <row r="802">
      <c r="A802" s="94" t="n"/>
      <c r="B802" s="96" t="n"/>
      <c r="C802" s="96" t="n"/>
      <c r="D802" s="95" t="n"/>
      <c r="E802" s="96" t="n"/>
      <c r="F802" s="99" t="n"/>
      <c r="G802" s="95" t="n"/>
      <c r="H802" s="95" t="n"/>
      <c r="I802" s="101">
        <f>IF($B802="","",IF(COUNTIF(Setup!$A$99:$A$128,$B802)&gt;0,IF(INDEX(Setup!$B$99:$B$128,MATCH($B802,Setup!$A$99:$A$128,0))="","Overhead",INDEX(Setup!$B$99:$B$128,MATCH($B802,Setup!$A$99:$A$128,0))),IF(ISNUMBER(SEARCH("advance",$B802))+ISNUMBER(SEARCH("payout",$B802))+ISNUMBER(SEARCH("pay out",$B802))+ISNUMBER(SEARCH("reimburs",$B802))&gt;0,"Transfer",IF(ISNUMBER(SEARCH("loan",$B802))+ISNUMBER(SEARCH("amort",$B802))+ISNUMBER(SEARCH("installment",$B802))+ISNUMBER(SEARCH("instalment",$B802))&gt;0,"Financing",IF(ISNUMBER(SEARCH("draw",$B802))+ISNUMBER(SEARCH("owner",$B802))+ISNUMBER(SEARCH("asset",$B802))+ISNUMBER(SEARCH("capital",$B802))&gt;0,"Other",IF(ISNUMBER(SEARCH("fuel",$B802))+ISNUMBER(SEARCH("diesel",$B802))+ISNUMBER(SEARCH("krudo",$B802))+ISNUMBER(SEARCH("gasolina",$B802))+ISNUMBER(SEARCH("toll",$B802))+ISNUMBER(SEARCH("parking",$B802))+ISNUMBER(SEARCH("repair",$B802))+ISNUMBER(SEARCH("maintenance",$B802))+ISNUMBER(SEARCH("tire",$B802))+ISNUMBER(SEARCH("tyre",$B802))+ISNUMBER(SEARCH("battery",$B802))+ISNUMBER(SEARCH("oil",$B802))+ISNUMBER(SEARCH("filter",$B802))+ISNUMBER(SEARCH("spare",$B802))+ISNUMBER(SEARCH("insurance",$B802))+ISNUMBER(SEARCH("lto",$B802))+ISNUMBER(SEARCH("registration",$B802))+ISNUMBER(SEARCH("emission",$B802))+ISNUMBER(SEARCH("wash",$B802))+ISNUMBER(SEARCH("weigh",$B802))+ISNUMBER(SEARCH("tarp",$B802))&gt;0,"Vehicle",IF(ISNUMBER(SEARCH("rent",$B802))+ISNUMBER(SEARCH("upa",$B802))+ISNUMBER(SEARCH("salary",$B802))+ISNUMBER(SEARCH("sweldo",$B802))+ISNUMBER(SEARCH("wage",$B802))+ISNUMBER(SEARCH("electric",$B802))+ISNUMBER(SEARCH("kuryente",$B802))+ISNUMBER(SEARCH("water",$B802))+ISNUMBER(SEARCH("tubig",$B802))+ISNUMBER(SEARCH("internet",$B802))+ISNUMBER(SEARCH("pldt",$B802))+ISNUMBER(SEARCH("meralco",$B802))+ISNUMBER(SEARCH("supplies",$B802))+ISNUMBER(SEARCH("office",$B802))+ISNUMBER(SEARCH("professional",$B802))+ISNUMBER(SEARCH("accountant",$B802))+ISNUMBER(SEARCH("lawyer",$B802))+ISNUMBER(SEARCH("broker",$B802))+ISNUMBER(SEARCH("bank",$B802))+ISNUMBER(SEARCH("charge",$B802))+ISNUMBER(SEARCH("permit",$B802))+ISNUMBER(SEARCH("bir",$B802))+ISNUMBER(SEARCH("ltfrb",$B802))+ISNUMBER(SEARCH("misc",$B802))+ISNUMBER(SEARCH("fee",$B802))&gt;0,"Overhead","Overhead")))))))</f>
        <v/>
      </c>
      <c r="J802">
        <f>IF($A802="","",DATE(YEAR($A802),MONTH($A802),1))</f>
        <v/>
      </c>
      <c r="K802">
        <f>IF($B802="","",IF(COUNTIF(Setup!$A$99:$A$128,$B802)&gt;0,0,1))</f>
        <v/>
      </c>
      <c r="L802">
        <f>IF($B802="","",IF(ISNUMBER(SEARCH("advance",$B802)),"ADV",IF(OR(ISNUMBER(SEARCH("payout",$B802)),ISNUMBER(SEARCH("pay out",$B802)),ISNUMBER(SEARCH("release",$B802))),"PAY","")))</f>
        <v/>
      </c>
      <c r="M802">
        <f>IF($B802="","",IF(ISNUMBER(SEARCH("bulk",$B802)),0,IF(ISNUMBER(SEARCH("fuel",$B802))+ISNUMBER(SEARCH("diesel",$B802))+ISNUMBER(SEARCH("krudo",$B802))+ISNUMBER(SEARCH("gasolina",$B802))&gt;0,1,0)))</f>
        <v/>
      </c>
      <c r="N802">
        <f>IF($B802="","",IF(ISNUMBER(SEARCH("fuel",$B802))+ISNUMBER(SEARCH("diesel",$B802))+ISNUMBER(SEARCH("krudo",$B802))+ISNUMBER(SEARCH("gasolina",$B802))&gt;0,1,0))</f>
        <v/>
      </c>
    </row>
    <row r="803">
      <c r="A803" s="86" t="n"/>
      <c r="B803" s="88" t="n"/>
      <c r="C803" s="88" t="n"/>
      <c r="D803" s="87" t="n"/>
      <c r="E803" s="88" t="n"/>
      <c r="F803" s="92" t="n"/>
      <c r="G803" s="87" t="n"/>
      <c r="H803" s="87" t="n"/>
      <c r="I803" s="101">
        <f>IF($B803="","",IF(COUNTIF(Setup!$A$99:$A$128,$B803)&gt;0,IF(INDEX(Setup!$B$99:$B$128,MATCH($B803,Setup!$A$99:$A$128,0))="","Overhead",INDEX(Setup!$B$99:$B$128,MATCH($B803,Setup!$A$99:$A$128,0))),IF(ISNUMBER(SEARCH("advance",$B803))+ISNUMBER(SEARCH("payout",$B803))+ISNUMBER(SEARCH("pay out",$B803))+ISNUMBER(SEARCH("reimburs",$B803))&gt;0,"Transfer",IF(ISNUMBER(SEARCH("loan",$B803))+ISNUMBER(SEARCH("amort",$B803))+ISNUMBER(SEARCH("installment",$B803))+ISNUMBER(SEARCH("instalment",$B803))&gt;0,"Financing",IF(ISNUMBER(SEARCH("draw",$B803))+ISNUMBER(SEARCH("owner",$B803))+ISNUMBER(SEARCH("asset",$B803))+ISNUMBER(SEARCH("capital",$B803))&gt;0,"Other",IF(ISNUMBER(SEARCH("fuel",$B803))+ISNUMBER(SEARCH("diesel",$B803))+ISNUMBER(SEARCH("krudo",$B803))+ISNUMBER(SEARCH("gasolina",$B803))+ISNUMBER(SEARCH("toll",$B803))+ISNUMBER(SEARCH("parking",$B803))+ISNUMBER(SEARCH("repair",$B803))+ISNUMBER(SEARCH("maintenance",$B803))+ISNUMBER(SEARCH("tire",$B803))+ISNUMBER(SEARCH("tyre",$B803))+ISNUMBER(SEARCH("battery",$B803))+ISNUMBER(SEARCH("oil",$B803))+ISNUMBER(SEARCH("filter",$B803))+ISNUMBER(SEARCH("spare",$B803))+ISNUMBER(SEARCH("insurance",$B803))+ISNUMBER(SEARCH("lto",$B803))+ISNUMBER(SEARCH("registration",$B803))+ISNUMBER(SEARCH("emission",$B803))+ISNUMBER(SEARCH("wash",$B803))+ISNUMBER(SEARCH("weigh",$B803))+ISNUMBER(SEARCH("tarp",$B803))&gt;0,"Vehicle",IF(ISNUMBER(SEARCH("rent",$B803))+ISNUMBER(SEARCH("upa",$B803))+ISNUMBER(SEARCH("salary",$B803))+ISNUMBER(SEARCH("sweldo",$B803))+ISNUMBER(SEARCH("wage",$B803))+ISNUMBER(SEARCH("electric",$B803))+ISNUMBER(SEARCH("kuryente",$B803))+ISNUMBER(SEARCH("water",$B803))+ISNUMBER(SEARCH("tubig",$B803))+ISNUMBER(SEARCH("internet",$B803))+ISNUMBER(SEARCH("pldt",$B803))+ISNUMBER(SEARCH("meralco",$B803))+ISNUMBER(SEARCH("supplies",$B803))+ISNUMBER(SEARCH("office",$B803))+ISNUMBER(SEARCH("professional",$B803))+ISNUMBER(SEARCH("accountant",$B803))+ISNUMBER(SEARCH("lawyer",$B803))+ISNUMBER(SEARCH("broker",$B803))+ISNUMBER(SEARCH("bank",$B803))+ISNUMBER(SEARCH("charge",$B803))+ISNUMBER(SEARCH("permit",$B803))+ISNUMBER(SEARCH("bir",$B803))+ISNUMBER(SEARCH("ltfrb",$B803))+ISNUMBER(SEARCH("misc",$B803))+ISNUMBER(SEARCH("fee",$B803))&gt;0,"Overhead","Overhead")))))))</f>
        <v/>
      </c>
      <c r="J803">
        <f>IF($A803="","",DATE(YEAR($A803),MONTH($A803),1))</f>
        <v/>
      </c>
      <c r="K803">
        <f>IF($B803="","",IF(COUNTIF(Setup!$A$99:$A$128,$B803)&gt;0,0,1))</f>
        <v/>
      </c>
      <c r="L803">
        <f>IF($B803="","",IF(ISNUMBER(SEARCH("advance",$B803)),"ADV",IF(OR(ISNUMBER(SEARCH("payout",$B803)),ISNUMBER(SEARCH("pay out",$B803)),ISNUMBER(SEARCH("release",$B803))),"PAY","")))</f>
        <v/>
      </c>
      <c r="M803">
        <f>IF($B803="","",IF(ISNUMBER(SEARCH("bulk",$B803)),0,IF(ISNUMBER(SEARCH("fuel",$B803))+ISNUMBER(SEARCH("diesel",$B803))+ISNUMBER(SEARCH("krudo",$B803))+ISNUMBER(SEARCH("gasolina",$B803))&gt;0,1,0)))</f>
        <v/>
      </c>
      <c r="N803">
        <f>IF($B803="","",IF(ISNUMBER(SEARCH("fuel",$B803))+ISNUMBER(SEARCH("diesel",$B803))+ISNUMBER(SEARCH("krudo",$B803))+ISNUMBER(SEARCH("gasolina",$B803))&gt;0,1,0))</f>
        <v/>
      </c>
    </row>
    <row r="804">
      <c r="A804" s="94" t="n"/>
      <c r="B804" s="96" t="n"/>
      <c r="C804" s="96" t="n"/>
      <c r="D804" s="95" t="n"/>
      <c r="E804" s="96" t="n"/>
      <c r="F804" s="99" t="n"/>
      <c r="G804" s="95" t="n"/>
      <c r="H804" s="95" t="n"/>
      <c r="I804" s="101">
        <f>IF($B804="","",IF(COUNTIF(Setup!$A$99:$A$128,$B804)&gt;0,IF(INDEX(Setup!$B$99:$B$128,MATCH($B804,Setup!$A$99:$A$128,0))="","Overhead",INDEX(Setup!$B$99:$B$128,MATCH($B804,Setup!$A$99:$A$128,0))),IF(ISNUMBER(SEARCH("advance",$B804))+ISNUMBER(SEARCH("payout",$B804))+ISNUMBER(SEARCH("pay out",$B804))+ISNUMBER(SEARCH("reimburs",$B804))&gt;0,"Transfer",IF(ISNUMBER(SEARCH("loan",$B804))+ISNUMBER(SEARCH("amort",$B804))+ISNUMBER(SEARCH("installment",$B804))+ISNUMBER(SEARCH("instalment",$B804))&gt;0,"Financing",IF(ISNUMBER(SEARCH("draw",$B804))+ISNUMBER(SEARCH("owner",$B804))+ISNUMBER(SEARCH("asset",$B804))+ISNUMBER(SEARCH("capital",$B804))&gt;0,"Other",IF(ISNUMBER(SEARCH("fuel",$B804))+ISNUMBER(SEARCH("diesel",$B804))+ISNUMBER(SEARCH("krudo",$B804))+ISNUMBER(SEARCH("gasolina",$B804))+ISNUMBER(SEARCH("toll",$B804))+ISNUMBER(SEARCH("parking",$B804))+ISNUMBER(SEARCH("repair",$B804))+ISNUMBER(SEARCH("maintenance",$B804))+ISNUMBER(SEARCH("tire",$B804))+ISNUMBER(SEARCH("tyre",$B804))+ISNUMBER(SEARCH("battery",$B804))+ISNUMBER(SEARCH("oil",$B804))+ISNUMBER(SEARCH("filter",$B804))+ISNUMBER(SEARCH("spare",$B804))+ISNUMBER(SEARCH("insurance",$B804))+ISNUMBER(SEARCH("lto",$B804))+ISNUMBER(SEARCH("registration",$B804))+ISNUMBER(SEARCH("emission",$B804))+ISNUMBER(SEARCH("wash",$B804))+ISNUMBER(SEARCH("weigh",$B804))+ISNUMBER(SEARCH("tarp",$B804))&gt;0,"Vehicle",IF(ISNUMBER(SEARCH("rent",$B804))+ISNUMBER(SEARCH("upa",$B804))+ISNUMBER(SEARCH("salary",$B804))+ISNUMBER(SEARCH("sweldo",$B804))+ISNUMBER(SEARCH("wage",$B804))+ISNUMBER(SEARCH("electric",$B804))+ISNUMBER(SEARCH("kuryente",$B804))+ISNUMBER(SEARCH("water",$B804))+ISNUMBER(SEARCH("tubig",$B804))+ISNUMBER(SEARCH("internet",$B804))+ISNUMBER(SEARCH("pldt",$B804))+ISNUMBER(SEARCH("meralco",$B804))+ISNUMBER(SEARCH("supplies",$B804))+ISNUMBER(SEARCH("office",$B804))+ISNUMBER(SEARCH("professional",$B804))+ISNUMBER(SEARCH("accountant",$B804))+ISNUMBER(SEARCH("lawyer",$B804))+ISNUMBER(SEARCH("broker",$B804))+ISNUMBER(SEARCH("bank",$B804))+ISNUMBER(SEARCH("charge",$B804))+ISNUMBER(SEARCH("permit",$B804))+ISNUMBER(SEARCH("bir",$B804))+ISNUMBER(SEARCH("ltfrb",$B804))+ISNUMBER(SEARCH("misc",$B804))+ISNUMBER(SEARCH("fee",$B804))&gt;0,"Overhead","Overhead")))))))</f>
        <v/>
      </c>
      <c r="J804">
        <f>IF($A804="","",DATE(YEAR($A804),MONTH($A804),1))</f>
        <v/>
      </c>
      <c r="K804">
        <f>IF($B804="","",IF(COUNTIF(Setup!$A$99:$A$128,$B804)&gt;0,0,1))</f>
        <v/>
      </c>
      <c r="L804">
        <f>IF($B804="","",IF(ISNUMBER(SEARCH("advance",$B804)),"ADV",IF(OR(ISNUMBER(SEARCH("payout",$B804)),ISNUMBER(SEARCH("pay out",$B804)),ISNUMBER(SEARCH("release",$B804))),"PAY","")))</f>
        <v/>
      </c>
      <c r="M804">
        <f>IF($B804="","",IF(ISNUMBER(SEARCH("bulk",$B804)),0,IF(ISNUMBER(SEARCH("fuel",$B804))+ISNUMBER(SEARCH("diesel",$B804))+ISNUMBER(SEARCH("krudo",$B804))+ISNUMBER(SEARCH("gasolina",$B804))&gt;0,1,0)))</f>
        <v/>
      </c>
      <c r="N804">
        <f>IF($B804="","",IF(ISNUMBER(SEARCH("fuel",$B804))+ISNUMBER(SEARCH("diesel",$B804))+ISNUMBER(SEARCH("krudo",$B804))+ISNUMBER(SEARCH("gasolina",$B804))&gt;0,1,0))</f>
        <v/>
      </c>
    </row>
    <row r="805">
      <c r="A805" s="86" t="n"/>
      <c r="B805" s="88" t="n"/>
      <c r="C805" s="88" t="n"/>
      <c r="D805" s="87" t="n"/>
      <c r="E805" s="88" t="n"/>
      <c r="F805" s="92" t="n"/>
      <c r="G805" s="87" t="n"/>
      <c r="H805" s="87" t="n"/>
      <c r="I805" s="101">
        <f>IF($B805="","",IF(COUNTIF(Setup!$A$99:$A$128,$B805)&gt;0,IF(INDEX(Setup!$B$99:$B$128,MATCH($B805,Setup!$A$99:$A$128,0))="","Overhead",INDEX(Setup!$B$99:$B$128,MATCH($B805,Setup!$A$99:$A$128,0))),IF(ISNUMBER(SEARCH("advance",$B805))+ISNUMBER(SEARCH("payout",$B805))+ISNUMBER(SEARCH("pay out",$B805))+ISNUMBER(SEARCH("reimburs",$B805))&gt;0,"Transfer",IF(ISNUMBER(SEARCH("loan",$B805))+ISNUMBER(SEARCH("amort",$B805))+ISNUMBER(SEARCH("installment",$B805))+ISNUMBER(SEARCH("instalment",$B805))&gt;0,"Financing",IF(ISNUMBER(SEARCH("draw",$B805))+ISNUMBER(SEARCH("owner",$B805))+ISNUMBER(SEARCH("asset",$B805))+ISNUMBER(SEARCH("capital",$B805))&gt;0,"Other",IF(ISNUMBER(SEARCH("fuel",$B805))+ISNUMBER(SEARCH("diesel",$B805))+ISNUMBER(SEARCH("krudo",$B805))+ISNUMBER(SEARCH("gasolina",$B805))+ISNUMBER(SEARCH("toll",$B805))+ISNUMBER(SEARCH("parking",$B805))+ISNUMBER(SEARCH("repair",$B805))+ISNUMBER(SEARCH("maintenance",$B805))+ISNUMBER(SEARCH("tire",$B805))+ISNUMBER(SEARCH("tyre",$B805))+ISNUMBER(SEARCH("battery",$B805))+ISNUMBER(SEARCH("oil",$B805))+ISNUMBER(SEARCH("filter",$B805))+ISNUMBER(SEARCH("spare",$B805))+ISNUMBER(SEARCH("insurance",$B805))+ISNUMBER(SEARCH("lto",$B805))+ISNUMBER(SEARCH("registration",$B805))+ISNUMBER(SEARCH("emission",$B805))+ISNUMBER(SEARCH("wash",$B805))+ISNUMBER(SEARCH("weigh",$B805))+ISNUMBER(SEARCH("tarp",$B805))&gt;0,"Vehicle",IF(ISNUMBER(SEARCH("rent",$B805))+ISNUMBER(SEARCH("upa",$B805))+ISNUMBER(SEARCH("salary",$B805))+ISNUMBER(SEARCH("sweldo",$B805))+ISNUMBER(SEARCH("wage",$B805))+ISNUMBER(SEARCH("electric",$B805))+ISNUMBER(SEARCH("kuryente",$B805))+ISNUMBER(SEARCH("water",$B805))+ISNUMBER(SEARCH("tubig",$B805))+ISNUMBER(SEARCH("internet",$B805))+ISNUMBER(SEARCH("pldt",$B805))+ISNUMBER(SEARCH("meralco",$B805))+ISNUMBER(SEARCH("supplies",$B805))+ISNUMBER(SEARCH("office",$B805))+ISNUMBER(SEARCH("professional",$B805))+ISNUMBER(SEARCH("accountant",$B805))+ISNUMBER(SEARCH("lawyer",$B805))+ISNUMBER(SEARCH("broker",$B805))+ISNUMBER(SEARCH("bank",$B805))+ISNUMBER(SEARCH("charge",$B805))+ISNUMBER(SEARCH("permit",$B805))+ISNUMBER(SEARCH("bir",$B805))+ISNUMBER(SEARCH("ltfrb",$B805))+ISNUMBER(SEARCH("misc",$B805))+ISNUMBER(SEARCH("fee",$B805))&gt;0,"Overhead","Overhead")))))))</f>
        <v/>
      </c>
      <c r="J805">
        <f>IF($A805="","",DATE(YEAR($A805),MONTH($A805),1))</f>
        <v/>
      </c>
      <c r="K805">
        <f>IF($B805="","",IF(COUNTIF(Setup!$A$99:$A$128,$B805)&gt;0,0,1))</f>
        <v/>
      </c>
      <c r="L805">
        <f>IF($B805="","",IF(ISNUMBER(SEARCH("advance",$B805)),"ADV",IF(OR(ISNUMBER(SEARCH("payout",$B805)),ISNUMBER(SEARCH("pay out",$B805)),ISNUMBER(SEARCH("release",$B805))),"PAY","")))</f>
        <v/>
      </c>
      <c r="M805">
        <f>IF($B805="","",IF(ISNUMBER(SEARCH("bulk",$B805)),0,IF(ISNUMBER(SEARCH("fuel",$B805))+ISNUMBER(SEARCH("diesel",$B805))+ISNUMBER(SEARCH("krudo",$B805))+ISNUMBER(SEARCH("gasolina",$B805))&gt;0,1,0)))</f>
        <v/>
      </c>
      <c r="N805">
        <f>IF($B805="","",IF(ISNUMBER(SEARCH("fuel",$B805))+ISNUMBER(SEARCH("diesel",$B805))+ISNUMBER(SEARCH("krudo",$B805))+ISNUMBER(SEARCH("gasolina",$B805))&gt;0,1,0))</f>
        <v/>
      </c>
    </row>
    <row r="806">
      <c r="A806" s="94" t="n"/>
      <c r="B806" s="96" t="n"/>
      <c r="C806" s="96" t="n"/>
      <c r="D806" s="95" t="n"/>
      <c r="E806" s="96" t="n"/>
      <c r="F806" s="99" t="n"/>
      <c r="G806" s="95" t="n"/>
      <c r="H806" s="95" t="n"/>
      <c r="I806" s="101">
        <f>IF($B806="","",IF(COUNTIF(Setup!$A$99:$A$128,$B806)&gt;0,IF(INDEX(Setup!$B$99:$B$128,MATCH($B806,Setup!$A$99:$A$128,0))="","Overhead",INDEX(Setup!$B$99:$B$128,MATCH($B806,Setup!$A$99:$A$128,0))),IF(ISNUMBER(SEARCH("advance",$B806))+ISNUMBER(SEARCH("payout",$B806))+ISNUMBER(SEARCH("pay out",$B806))+ISNUMBER(SEARCH("reimburs",$B806))&gt;0,"Transfer",IF(ISNUMBER(SEARCH("loan",$B806))+ISNUMBER(SEARCH("amort",$B806))+ISNUMBER(SEARCH("installment",$B806))+ISNUMBER(SEARCH("instalment",$B806))&gt;0,"Financing",IF(ISNUMBER(SEARCH("draw",$B806))+ISNUMBER(SEARCH("owner",$B806))+ISNUMBER(SEARCH("asset",$B806))+ISNUMBER(SEARCH("capital",$B806))&gt;0,"Other",IF(ISNUMBER(SEARCH("fuel",$B806))+ISNUMBER(SEARCH("diesel",$B806))+ISNUMBER(SEARCH("krudo",$B806))+ISNUMBER(SEARCH("gasolina",$B806))+ISNUMBER(SEARCH("toll",$B806))+ISNUMBER(SEARCH("parking",$B806))+ISNUMBER(SEARCH("repair",$B806))+ISNUMBER(SEARCH("maintenance",$B806))+ISNUMBER(SEARCH("tire",$B806))+ISNUMBER(SEARCH("tyre",$B806))+ISNUMBER(SEARCH("battery",$B806))+ISNUMBER(SEARCH("oil",$B806))+ISNUMBER(SEARCH("filter",$B806))+ISNUMBER(SEARCH("spare",$B806))+ISNUMBER(SEARCH("insurance",$B806))+ISNUMBER(SEARCH("lto",$B806))+ISNUMBER(SEARCH("registration",$B806))+ISNUMBER(SEARCH("emission",$B806))+ISNUMBER(SEARCH("wash",$B806))+ISNUMBER(SEARCH("weigh",$B806))+ISNUMBER(SEARCH("tarp",$B806))&gt;0,"Vehicle",IF(ISNUMBER(SEARCH("rent",$B806))+ISNUMBER(SEARCH("upa",$B806))+ISNUMBER(SEARCH("salary",$B806))+ISNUMBER(SEARCH("sweldo",$B806))+ISNUMBER(SEARCH("wage",$B806))+ISNUMBER(SEARCH("electric",$B806))+ISNUMBER(SEARCH("kuryente",$B806))+ISNUMBER(SEARCH("water",$B806))+ISNUMBER(SEARCH("tubig",$B806))+ISNUMBER(SEARCH("internet",$B806))+ISNUMBER(SEARCH("pldt",$B806))+ISNUMBER(SEARCH("meralco",$B806))+ISNUMBER(SEARCH("supplies",$B806))+ISNUMBER(SEARCH("office",$B806))+ISNUMBER(SEARCH("professional",$B806))+ISNUMBER(SEARCH("accountant",$B806))+ISNUMBER(SEARCH("lawyer",$B806))+ISNUMBER(SEARCH("broker",$B806))+ISNUMBER(SEARCH("bank",$B806))+ISNUMBER(SEARCH("charge",$B806))+ISNUMBER(SEARCH("permit",$B806))+ISNUMBER(SEARCH("bir",$B806))+ISNUMBER(SEARCH("ltfrb",$B806))+ISNUMBER(SEARCH("misc",$B806))+ISNUMBER(SEARCH("fee",$B806))&gt;0,"Overhead","Overhead")))))))</f>
        <v/>
      </c>
      <c r="J806">
        <f>IF($A806="","",DATE(YEAR($A806),MONTH($A806),1))</f>
        <v/>
      </c>
      <c r="K806">
        <f>IF($B806="","",IF(COUNTIF(Setup!$A$99:$A$128,$B806)&gt;0,0,1))</f>
        <v/>
      </c>
      <c r="L806">
        <f>IF($B806="","",IF(ISNUMBER(SEARCH("advance",$B806)),"ADV",IF(OR(ISNUMBER(SEARCH("payout",$B806)),ISNUMBER(SEARCH("pay out",$B806)),ISNUMBER(SEARCH("release",$B806))),"PAY","")))</f>
        <v/>
      </c>
      <c r="M806">
        <f>IF($B806="","",IF(ISNUMBER(SEARCH("bulk",$B806)),0,IF(ISNUMBER(SEARCH("fuel",$B806))+ISNUMBER(SEARCH("diesel",$B806))+ISNUMBER(SEARCH("krudo",$B806))+ISNUMBER(SEARCH("gasolina",$B806))&gt;0,1,0)))</f>
        <v/>
      </c>
      <c r="N806">
        <f>IF($B806="","",IF(ISNUMBER(SEARCH("fuel",$B806))+ISNUMBER(SEARCH("diesel",$B806))+ISNUMBER(SEARCH("krudo",$B806))+ISNUMBER(SEARCH("gasolina",$B806))&gt;0,1,0))</f>
        <v/>
      </c>
    </row>
    <row r="807">
      <c r="A807" s="86" t="n"/>
      <c r="B807" s="88" t="n"/>
      <c r="C807" s="88" t="n"/>
      <c r="D807" s="87" t="n"/>
      <c r="E807" s="88" t="n"/>
      <c r="F807" s="92" t="n"/>
      <c r="G807" s="87" t="n"/>
      <c r="H807" s="87" t="n"/>
      <c r="I807" s="101">
        <f>IF($B807="","",IF(COUNTIF(Setup!$A$99:$A$128,$B807)&gt;0,IF(INDEX(Setup!$B$99:$B$128,MATCH($B807,Setup!$A$99:$A$128,0))="","Overhead",INDEX(Setup!$B$99:$B$128,MATCH($B807,Setup!$A$99:$A$128,0))),IF(ISNUMBER(SEARCH("advance",$B807))+ISNUMBER(SEARCH("payout",$B807))+ISNUMBER(SEARCH("pay out",$B807))+ISNUMBER(SEARCH("reimburs",$B807))&gt;0,"Transfer",IF(ISNUMBER(SEARCH("loan",$B807))+ISNUMBER(SEARCH("amort",$B807))+ISNUMBER(SEARCH("installment",$B807))+ISNUMBER(SEARCH("instalment",$B807))&gt;0,"Financing",IF(ISNUMBER(SEARCH("draw",$B807))+ISNUMBER(SEARCH("owner",$B807))+ISNUMBER(SEARCH("asset",$B807))+ISNUMBER(SEARCH("capital",$B807))&gt;0,"Other",IF(ISNUMBER(SEARCH("fuel",$B807))+ISNUMBER(SEARCH("diesel",$B807))+ISNUMBER(SEARCH("krudo",$B807))+ISNUMBER(SEARCH("gasolina",$B807))+ISNUMBER(SEARCH("toll",$B807))+ISNUMBER(SEARCH("parking",$B807))+ISNUMBER(SEARCH("repair",$B807))+ISNUMBER(SEARCH("maintenance",$B807))+ISNUMBER(SEARCH("tire",$B807))+ISNUMBER(SEARCH("tyre",$B807))+ISNUMBER(SEARCH("battery",$B807))+ISNUMBER(SEARCH("oil",$B807))+ISNUMBER(SEARCH("filter",$B807))+ISNUMBER(SEARCH("spare",$B807))+ISNUMBER(SEARCH("insurance",$B807))+ISNUMBER(SEARCH("lto",$B807))+ISNUMBER(SEARCH("registration",$B807))+ISNUMBER(SEARCH("emission",$B807))+ISNUMBER(SEARCH("wash",$B807))+ISNUMBER(SEARCH("weigh",$B807))+ISNUMBER(SEARCH("tarp",$B807))&gt;0,"Vehicle",IF(ISNUMBER(SEARCH("rent",$B807))+ISNUMBER(SEARCH("upa",$B807))+ISNUMBER(SEARCH("salary",$B807))+ISNUMBER(SEARCH("sweldo",$B807))+ISNUMBER(SEARCH("wage",$B807))+ISNUMBER(SEARCH("electric",$B807))+ISNUMBER(SEARCH("kuryente",$B807))+ISNUMBER(SEARCH("water",$B807))+ISNUMBER(SEARCH("tubig",$B807))+ISNUMBER(SEARCH("internet",$B807))+ISNUMBER(SEARCH("pldt",$B807))+ISNUMBER(SEARCH("meralco",$B807))+ISNUMBER(SEARCH("supplies",$B807))+ISNUMBER(SEARCH("office",$B807))+ISNUMBER(SEARCH("professional",$B807))+ISNUMBER(SEARCH("accountant",$B807))+ISNUMBER(SEARCH("lawyer",$B807))+ISNUMBER(SEARCH("broker",$B807))+ISNUMBER(SEARCH("bank",$B807))+ISNUMBER(SEARCH("charge",$B807))+ISNUMBER(SEARCH("permit",$B807))+ISNUMBER(SEARCH("bir",$B807))+ISNUMBER(SEARCH("ltfrb",$B807))+ISNUMBER(SEARCH("misc",$B807))+ISNUMBER(SEARCH("fee",$B807))&gt;0,"Overhead","Overhead")))))))</f>
        <v/>
      </c>
      <c r="J807">
        <f>IF($A807="","",DATE(YEAR($A807),MONTH($A807),1))</f>
        <v/>
      </c>
      <c r="K807">
        <f>IF($B807="","",IF(COUNTIF(Setup!$A$99:$A$128,$B807)&gt;0,0,1))</f>
        <v/>
      </c>
      <c r="L807">
        <f>IF($B807="","",IF(ISNUMBER(SEARCH("advance",$B807)),"ADV",IF(OR(ISNUMBER(SEARCH("payout",$B807)),ISNUMBER(SEARCH("pay out",$B807)),ISNUMBER(SEARCH("release",$B807))),"PAY","")))</f>
        <v/>
      </c>
      <c r="M807">
        <f>IF($B807="","",IF(ISNUMBER(SEARCH("bulk",$B807)),0,IF(ISNUMBER(SEARCH("fuel",$B807))+ISNUMBER(SEARCH("diesel",$B807))+ISNUMBER(SEARCH("krudo",$B807))+ISNUMBER(SEARCH("gasolina",$B807))&gt;0,1,0)))</f>
        <v/>
      </c>
      <c r="N807">
        <f>IF($B807="","",IF(ISNUMBER(SEARCH("fuel",$B807))+ISNUMBER(SEARCH("diesel",$B807))+ISNUMBER(SEARCH("krudo",$B807))+ISNUMBER(SEARCH("gasolina",$B807))&gt;0,1,0))</f>
        <v/>
      </c>
    </row>
    <row r="808">
      <c r="A808" s="94" t="n"/>
      <c r="B808" s="96" t="n"/>
      <c r="C808" s="96" t="n"/>
      <c r="D808" s="95" t="n"/>
      <c r="E808" s="96" t="n"/>
      <c r="F808" s="99" t="n"/>
      <c r="G808" s="95" t="n"/>
      <c r="H808" s="95" t="n"/>
      <c r="I808" s="101">
        <f>IF($B808="","",IF(COUNTIF(Setup!$A$99:$A$128,$B808)&gt;0,IF(INDEX(Setup!$B$99:$B$128,MATCH($B808,Setup!$A$99:$A$128,0))="","Overhead",INDEX(Setup!$B$99:$B$128,MATCH($B808,Setup!$A$99:$A$128,0))),IF(ISNUMBER(SEARCH("advance",$B808))+ISNUMBER(SEARCH("payout",$B808))+ISNUMBER(SEARCH("pay out",$B808))+ISNUMBER(SEARCH("reimburs",$B808))&gt;0,"Transfer",IF(ISNUMBER(SEARCH("loan",$B808))+ISNUMBER(SEARCH("amort",$B808))+ISNUMBER(SEARCH("installment",$B808))+ISNUMBER(SEARCH("instalment",$B808))&gt;0,"Financing",IF(ISNUMBER(SEARCH("draw",$B808))+ISNUMBER(SEARCH("owner",$B808))+ISNUMBER(SEARCH("asset",$B808))+ISNUMBER(SEARCH("capital",$B808))&gt;0,"Other",IF(ISNUMBER(SEARCH("fuel",$B808))+ISNUMBER(SEARCH("diesel",$B808))+ISNUMBER(SEARCH("krudo",$B808))+ISNUMBER(SEARCH("gasolina",$B808))+ISNUMBER(SEARCH("toll",$B808))+ISNUMBER(SEARCH("parking",$B808))+ISNUMBER(SEARCH("repair",$B808))+ISNUMBER(SEARCH("maintenance",$B808))+ISNUMBER(SEARCH("tire",$B808))+ISNUMBER(SEARCH("tyre",$B808))+ISNUMBER(SEARCH("battery",$B808))+ISNUMBER(SEARCH("oil",$B808))+ISNUMBER(SEARCH("filter",$B808))+ISNUMBER(SEARCH("spare",$B808))+ISNUMBER(SEARCH("insurance",$B808))+ISNUMBER(SEARCH("lto",$B808))+ISNUMBER(SEARCH("registration",$B808))+ISNUMBER(SEARCH("emission",$B808))+ISNUMBER(SEARCH("wash",$B808))+ISNUMBER(SEARCH("weigh",$B808))+ISNUMBER(SEARCH("tarp",$B808))&gt;0,"Vehicle",IF(ISNUMBER(SEARCH("rent",$B808))+ISNUMBER(SEARCH("upa",$B808))+ISNUMBER(SEARCH("salary",$B808))+ISNUMBER(SEARCH("sweldo",$B808))+ISNUMBER(SEARCH("wage",$B808))+ISNUMBER(SEARCH("electric",$B808))+ISNUMBER(SEARCH("kuryente",$B808))+ISNUMBER(SEARCH("water",$B808))+ISNUMBER(SEARCH("tubig",$B808))+ISNUMBER(SEARCH("internet",$B808))+ISNUMBER(SEARCH("pldt",$B808))+ISNUMBER(SEARCH("meralco",$B808))+ISNUMBER(SEARCH("supplies",$B808))+ISNUMBER(SEARCH("office",$B808))+ISNUMBER(SEARCH("professional",$B808))+ISNUMBER(SEARCH("accountant",$B808))+ISNUMBER(SEARCH("lawyer",$B808))+ISNUMBER(SEARCH("broker",$B808))+ISNUMBER(SEARCH("bank",$B808))+ISNUMBER(SEARCH("charge",$B808))+ISNUMBER(SEARCH("permit",$B808))+ISNUMBER(SEARCH("bir",$B808))+ISNUMBER(SEARCH("ltfrb",$B808))+ISNUMBER(SEARCH("misc",$B808))+ISNUMBER(SEARCH("fee",$B808))&gt;0,"Overhead","Overhead")))))))</f>
        <v/>
      </c>
      <c r="J808">
        <f>IF($A808="","",DATE(YEAR($A808),MONTH($A808),1))</f>
        <v/>
      </c>
      <c r="K808">
        <f>IF($B808="","",IF(COUNTIF(Setup!$A$99:$A$128,$B808)&gt;0,0,1))</f>
        <v/>
      </c>
      <c r="L808">
        <f>IF($B808="","",IF(ISNUMBER(SEARCH("advance",$B808)),"ADV",IF(OR(ISNUMBER(SEARCH("payout",$B808)),ISNUMBER(SEARCH("pay out",$B808)),ISNUMBER(SEARCH("release",$B808))),"PAY","")))</f>
        <v/>
      </c>
      <c r="M808">
        <f>IF($B808="","",IF(ISNUMBER(SEARCH("bulk",$B808)),0,IF(ISNUMBER(SEARCH("fuel",$B808))+ISNUMBER(SEARCH("diesel",$B808))+ISNUMBER(SEARCH("krudo",$B808))+ISNUMBER(SEARCH("gasolina",$B808))&gt;0,1,0)))</f>
        <v/>
      </c>
      <c r="N808">
        <f>IF($B808="","",IF(ISNUMBER(SEARCH("fuel",$B808))+ISNUMBER(SEARCH("diesel",$B808))+ISNUMBER(SEARCH("krudo",$B808))+ISNUMBER(SEARCH("gasolina",$B808))&gt;0,1,0))</f>
        <v/>
      </c>
    </row>
    <row r="809">
      <c r="A809" s="86" t="n"/>
      <c r="B809" s="88" t="n"/>
      <c r="C809" s="88" t="n"/>
      <c r="D809" s="87" t="n"/>
      <c r="E809" s="88" t="n"/>
      <c r="F809" s="92" t="n"/>
      <c r="G809" s="87" t="n"/>
      <c r="H809" s="87" t="n"/>
      <c r="I809" s="101">
        <f>IF($B809="","",IF(COUNTIF(Setup!$A$99:$A$128,$B809)&gt;0,IF(INDEX(Setup!$B$99:$B$128,MATCH($B809,Setup!$A$99:$A$128,0))="","Overhead",INDEX(Setup!$B$99:$B$128,MATCH($B809,Setup!$A$99:$A$128,0))),IF(ISNUMBER(SEARCH("advance",$B809))+ISNUMBER(SEARCH("payout",$B809))+ISNUMBER(SEARCH("pay out",$B809))+ISNUMBER(SEARCH("reimburs",$B809))&gt;0,"Transfer",IF(ISNUMBER(SEARCH("loan",$B809))+ISNUMBER(SEARCH("amort",$B809))+ISNUMBER(SEARCH("installment",$B809))+ISNUMBER(SEARCH("instalment",$B809))&gt;0,"Financing",IF(ISNUMBER(SEARCH("draw",$B809))+ISNUMBER(SEARCH("owner",$B809))+ISNUMBER(SEARCH("asset",$B809))+ISNUMBER(SEARCH("capital",$B809))&gt;0,"Other",IF(ISNUMBER(SEARCH("fuel",$B809))+ISNUMBER(SEARCH("diesel",$B809))+ISNUMBER(SEARCH("krudo",$B809))+ISNUMBER(SEARCH("gasolina",$B809))+ISNUMBER(SEARCH("toll",$B809))+ISNUMBER(SEARCH("parking",$B809))+ISNUMBER(SEARCH("repair",$B809))+ISNUMBER(SEARCH("maintenance",$B809))+ISNUMBER(SEARCH("tire",$B809))+ISNUMBER(SEARCH("tyre",$B809))+ISNUMBER(SEARCH("battery",$B809))+ISNUMBER(SEARCH("oil",$B809))+ISNUMBER(SEARCH("filter",$B809))+ISNUMBER(SEARCH("spare",$B809))+ISNUMBER(SEARCH("insurance",$B809))+ISNUMBER(SEARCH("lto",$B809))+ISNUMBER(SEARCH("registration",$B809))+ISNUMBER(SEARCH("emission",$B809))+ISNUMBER(SEARCH("wash",$B809))+ISNUMBER(SEARCH("weigh",$B809))+ISNUMBER(SEARCH("tarp",$B809))&gt;0,"Vehicle",IF(ISNUMBER(SEARCH("rent",$B809))+ISNUMBER(SEARCH("upa",$B809))+ISNUMBER(SEARCH("salary",$B809))+ISNUMBER(SEARCH("sweldo",$B809))+ISNUMBER(SEARCH("wage",$B809))+ISNUMBER(SEARCH("electric",$B809))+ISNUMBER(SEARCH("kuryente",$B809))+ISNUMBER(SEARCH("water",$B809))+ISNUMBER(SEARCH("tubig",$B809))+ISNUMBER(SEARCH("internet",$B809))+ISNUMBER(SEARCH("pldt",$B809))+ISNUMBER(SEARCH("meralco",$B809))+ISNUMBER(SEARCH("supplies",$B809))+ISNUMBER(SEARCH("office",$B809))+ISNUMBER(SEARCH("professional",$B809))+ISNUMBER(SEARCH("accountant",$B809))+ISNUMBER(SEARCH("lawyer",$B809))+ISNUMBER(SEARCH("broker",$B809))+ISNUMBER(SEARCH("bank",$B809))+ISNUMBER(SEARCH("charge",$B809))+ISNUMBER(SEARCH("permit",$B809))+ISNUMBER(SEARCH("bir",$B809))+ISNUMBER(SEARCH("ltfrb",$B809))+ISNUMBER(SEARCH("misc",$B809))+ISNUMBER(SEARCH("fee",$B809))&gt;0,"Overhead","Overhead")))))))</f>
        <v/>
      </c>
      <c r="J809">
        <f>IF($A809="","",DATE(YEAR($A809),MONTH($A809),1))</f>
        <v/>
      </c>
      <c r="K809">
        <f>IF($B809="","",IF(COUNTIF(Setup!$A$99:$A$128,$B809)&gt;0,0,1))</f>
        <v/>
      </c>
      <c r="L809">
        <f>IF($B809="","",IF(ISNUMBER(SEARCH("advance",$B809)),"ADV",IF(OR(ISNUMBER(SEARCH("payout",$B809)),ISNUMBER(SEARCH("pay out",$B809)),ISNUMBER(SEARCH("release",$B809))),"PAY","")))</f>
        <v/>
      </c>
      <c r="M809">
        <f>IF($B809="","",IF(ISNUMBER(SEARCH("bulk",$B809)),0,IF(ISNUMBER(SEARCH("fuel",$B809))+ISNUMBER(SEARCH("diesel",$B809))+ISNUMBER(SEARCH("krudo",$B809))+ISNUMBER(SEARCH("gasolina",$B809))&gt;0,1,0)))</f>
        <v/>
      </c>
      <c r="N809">
        <f>IF($B809="","",IF(ISNUMBER(SEARCH("fuel",$B809))+ISNUMBER(SEARCH("diesel",$B809))+ISNUMBER(SEARCH("krudo",$B809))+ISNUMBER(SEARCH("gasolina",$B809))&gt;0,1,0))</f>
        <v/>
      </c>
    </row>
    <row r="810">
      <c r="A810" s="94" t="n"/>
      <c r="B810" s="96" t="n"/>
      <c r="C810" s="96" t="n"/>
      <c r="D810" s="95" t="n"/>
      <c r="E810" s="96" t="n"/>
      <c r="F810" s="99" t="n"/>
      <c r="G810" s="95" t="n"/>
      <c r="H810" s="95" t="n"/>
      <c r="I810" s="101">
        <f>IF($B810="","",IF(COUNTIF(Setup!$A$99:$A$128,$B810)&gt;0,IF(INDEX(Setup!$B$99:$B$128,MATCH($B810,Setup!$A$99:$A$128,0))="","Overhead",INDEX(Setup!$B$99:$B$128,MATCH($B810,Setup!$A$99:$A$128,0))),IF(ISNUMBER(SEARCH("advance",$B810))+ISNUMBER(SEARCH("payout",$B810))+ISNUMBER(SEARCH("pay out",$B810))+ISNUMBER(SEARCH("reimburs",$B810))&gt;0,"Transfer",IF(ISNUMBER(SEARCH("loan",$B810))+ISNUMBER(SEARCH("amort",$B810))+ISNUMBER(SEARCH("installment",$B810))+ISNUMBER(SEARCH("instalment",$B810))&gt;0,"Financing",IF(ISNUMBER(SEARCH("draw",$B810))+ISNUMBER(SEARCH("owner",$B810))+ISNUMBER(SEARCH("asset",$B810))+ISNUMBER(SEARCH("capital",$B810))&gt;0,"Other",IF(ISNUMBER(SEARCH("fuel",$B810))+ISNUMBER(SEARCH("diesel",$B810))+ISNUMBER(SEARCH("krudo",$B810))+ISNUMBER(SEARCH("gasolina",$B810))+ISNUMBER(SEARCH("toll",$B810))+ISNUMBER(SEARCH("parking",$B810))+ISNUMBER(SEARCH("repair",$B810))+ISNUMBER(SEARCH("maintenance",$B810))+ISNUMBER(SEARCH("tire",$B810))+ISNUMBER(SEARCH("tyre",$B810))+ISNUMBER(SEARCH("battery",$B810))+ISNUMBER(SEARCH("oil",$B810))+ISNUMBER(SEARCH("filter",$B810))+ISNUMBER(SEARCH("spare",$B810))+ISNUMBER(SEARCH("insurance",$B810))+ISNUMBER(SEARCH("lto",$B810))+ISNUMBER(SEARCH("registration",$B810))+ISNUMBER(SEARCH("emission",$B810))+ISNUMBER(SEARCH("wash",$B810))+ISNUMBER(SEARCH("weigh",$B810))+ISNUMBER(SEARCH("tarp",$B810))&gt;0,"Vehicle",IF(ISNUMBER(SEARCH("rent",$B810))+ISNUMBER(SEARCH("upa",$B810))+ISNUMBER(SEARCH("salary",$B810))+ISNUMBER(SEARCH("sweldo",$B810))+ISNUMBER(SEARCH("wage",$B810))+ISNUMBER(SEARCH("electric",$B810))+ISNUMBER(SEARCH("kuryente",$B810))+ISNUMBER(SEARCH("water",$B810))+ISNUMBER(SEARCH("tubig",$B810))+ISNUMBER(SEARCH("internet",$B810))+ISNUMBER(SEARCH("pldt",$B810))+ISNUMBER(SEARCH("meralco",$B810))+ISNUMBER(SEARCH("supplies",$B810))+ISNUMBER(SEARCH("office",$B810))+ISNUMBER(SEARCH("professional",$B810))+ISNUMBER(SEARCH("accountant",$B810))+ISNUMBER(SEARCH("lawyer",$B810))+ISNUMBER(SEARCH("broker",$B810))+ISNUMBER(SEARCH("bank",$B810))+ISNUMBER(SEARCH("charge",$B810))+ISNUMBER(SEARCH("permit",$B810))+ISNUMBER(SEARCH("bir",$B810))+ISNUMBER(SEARCH("ltfrb",$B810))+ISNUMBER(SEARCH("misc",$B810))+ISNUMBER(SEARCH("fee",$B810))&gt;0,"Overhead","Overhead")))))))</f>
        <v/>
      </c>
      <c r="J810">
        <f>IF($A810="","",DATE(YEAR($A810),MONTH($A810),1))</f>
        <v/>
      </c>
      <c r="K810">
        <f>IF($B810="","",IF(COUNTIF(Setup!$A$99:$A$128,$B810)&gt;0,0,1))</f>
        <v/>
      </c>
      <c r="L810">
        <f>IF($B810="","",IF(ISNUMBER(SEARCH("advance",$B810)),"ADV",IF(OR(ISNUMBER(SEARCH("payout",$B810)),ISNUMBER(SEARCH("pay out",$B810)),ISNUMBER(SEARCH("release",$B810))),"PAY","")))</f>
        <v/>
      </c>
      <c r="M810">
        <f>IF($B810="","",IF(ISNUMBER(SEARCH("bulk",$B810)),0,IF(ISNUMBER(SEARCH("fuel",$B810))+ISNUMBER(SEARCH("diesel",$B810))+ISNUMBER(SEARCH("krudo",$B810))+ISNUMBER(SEARCH("gasolina",$B810))&gt;0,1,0)))</f>
        <v/>
      </c>
      <c r="N810">
        <f>IF($B810="","",IF(ISNUMBER(SEARCH("fuel",$B810))+ISNUMBER(SEARCH("diesel",$B810))+ISNUMBER(SEARCH("krudo",$B810))+ISNUMBER(SEARCH("gasolina",$B810))&gt;0,1,0))</f>
        <v/>
      </c>
    </row>
    <row r="811">
      <c r="A811" s="86" t="n"/>
      <c r="B811" s="88" t="n"/>
      <c r="C811" s="88" t="n"/>
      <c r="D811" s="87" t="n"/>
      <c r="E811" s="88" t="n"/>
      <c r="F811" s="92" t="n"/>
      <c r="G811" s="87" t="n"/>
      <c r="H811" s="87" t="n"/>
      <c r="I811" s="101">
        <f>IF($B811="","",IF(COUNTIF(Setup!$A$99:$A$128,$B811)&gt;0,IF(INDEX(Setup!$B$99:$B$128,MATCH($B811,Setup!$A$99:$A$128,0))="","Overhead",INDEX(Setup!$B$99:$B$128,MATCH($B811,Setup!$A$99:$A$128,0))),IF(ISNUMBER(SEARCH("advance",$B811))+ISNUMBER(SEARCH("payout",$B811))+ISNUMBER(SEARCH("pay out",$B811))+ISNUMBER(SEARCH("reimburs",$B811))&gt;0,"Transfer",IF(ISNUMBER(SEARCH("loan",$B811))+ISNUMBER(SEARCH("amort",$B811))+ISNUMBER(SEARCH("installment",$B811))+ISNUMBER(SEARCH("instalment",$B811))&gt;0,"Financing",IF(ISNUMBER(SEARCH("draw",$B811))+ISNUMBER(SEARCH("owner",$B811))+ISNUMBER(SEARCH("asset",$B811))+ISNUMBER(SEARCH("capital",$B811))&gt;0,"Other",IF(ISNUMBER(SEARCH("fuel",$B811))+ISNUMBER(SEARCH("diesel",$B811))+ISNUMBER(SEARCH("krudo",$B811))+ISNUMBER(SEARCH("gasolina",$B811))+ISNUMBER(SEARCH("toll",$B811))+ISNUMBER(SEARCH("parking",$B811))+ISNUMBER(SEARCH("repair",$B811))+ISNUMBER(SEARCH("maintenance",$B811))+ISNUMBER(SEARCH("tire",$B811))+ISNUMBER(SEARCH("tyre",$B811))+ISNUMBER(SEARCH("battery",$B811))+ISNUMBER(SEARCH("oil",$B811))+ISNUMBER(SEARCH("filter",$B811))+ISNUMBER(SEARCH("spare",$B811))+ISNUMBER(SEARCH("insurance",$B811))+ISNUMBER(SEARCH("lto",$B811))+ISNUMBER(SEARCH("registration",$B811))+ISNUMBER(SEARCH("emission",$B811))+ISNUMBER(SEARCH("wash",$B811))+ISNUMBER(SEARCH("weigh",$B811))+ISNUMBER(SEARCH("tarp",$B811))&gt;0,"Vehicle",IF(ISNUMBER(SEARCH("rent",$B811))+ISNUMBER(SEARCH("upa",$B811))+ISNUMBER(SEARCH("salary",$B811))+ISNUMBER(SEARCH("sweldo",$B811))+ISNUMBER(SEARCH("wage",$B811))+ISNUMBER(SEARCH("electric",$B811))+ISNUMBER(SEARCH("kuryente",$B811))+ISNUMBER(SEARCH("water",$B811))+ISNUMBER(SEARCH("tubig",$B811))+ISNUMBER(SEARCH("internet",$B811))+ISNUMBER(SEARCH("pldt",$B811))+ISNUMBER(SEARCH("meralco",$B811))+ISNUMBER(SEARCH("supplies",$B811))+ISNUMBER(SEARCH("office",$B811))+ISNUMBER(SEARCH("professional",$B811))+ISNUMBER(SEARCH("accountant",$B811))+ISNUMBER(SEARCH("lawyer",$B811))+ISNUMBER(SEARCH("broker",$B811))+ISNUMBER(SEARCH("bank",$B811))+ISNUMBER(SEARCH("charge",$B811))+ISNUMBER(SEARCH("permit",$B811))+ISNUMBER(SEARCH("bir",$B811))+ISNUMBER(SEARCH("ltfrb",$B811))+ISNUMBER(SEARCH("misc",$B811))+ISNUMBER(SEARCH("fee",$B811))&gt;0,"Overhead","Overhead")))))))</f>
        <v/>
      </c>
      <c r="J811">
        <f>IF($A811="","",DATE(YEAR($A811),MONTH($A811),1))</f>
        <v/>
      </c>
      <c r="K811">
        <f>IF($B811="","",IF(COUNTIF(Setup!$A$99:$A$128,$B811)&gt;0,0,1))</f>
        <v/>
      </c>
      <c r="L811">
        <f>IF($B811="","",IF(ISNUMBER(SEARCH("advance",$B811)),"ADV",IF(OR(ISNUMBER(SEARCH("payout",$B811)),ISNUMBER(SEARCH("pay out",$B811)),ISNUMBER(SEARCH("release",$B811))),"PAY","")))</f>
        <v/>
      </c>
      <c r="M811">
        <f>IF($B811="","",IF(ISNUMBER(SEARCH("bulk",$B811)),0,IF(ISNUMBER(SEARCH("fuel",$B811))+ISNUMBER(SEARCH("diesel",$B811))+ISNUMBER(SEARCH("krudo",$B811))+ISNUMBER(SEARCH("gasolina",$B811))&gt;0,1,0)))</f>
        <v/>
      </c>
      <c r="N811">
        <f>IF($B811="","",IF(ISNUMBER(SEARCH("fuel",$B811))+ISNUMBER(SEARCH("diesel",$B811))+ISNUMBER(SEARCH("krudo",$B811))+ISNUMBER(SEARCH("gasolina",$B811))&gt;0,1,0))</f>
        <v/>
      </c>
    </row>
    <row r="812">
      <c r="A812" s="94" t="n"/>
      <c r="B812" s="96" t="n"/>
      <c r="C812" s="96" t="n"/>
      <c r="D812" s="95" t="n"/>
      <c r="E812" s="96" t="n"/>
      <c r="F812" s="99" t="n"/>
      <c r="G812" s="95" t="n"/>
      <c r="H812" s="95" t="n"/>
      <c r="I812" s="101">
        <f>IF($B812="","",IF(COUNTIF(Setup!$A$99:$A$128,$B812)&gt;0,IF(INDEX(Setup!$B$99:$B$128,MATCH($B812,Setup!$A$99:$A$128,0))="","Overhead",INDEX(Setup!$B$99:$B$128,MATCH($B812,Setup!$A$99:$A$128,0))),IF(ISNUMBER(SEARCH("advance",$B812))+ISNUMBER(SEARCH("payout",$B812))+ISNUMBER(SEARCH("pay out",$B812))+ISNUMBER(SEARCH("reimburs",$B812))&gt;0,"Transfer",IF(ISNUMBER(SEARCH("loan",$B812))+ISNUMBER(SEARCH("amort",$B812))+ISNUMBER(SEARCH("installment",$B812))+ISNUMBER(SEARCH("instalment",$B812))&gt;0,"Financing",IF(ISNUMBER(SEARCH("draw",$B812))+ISNUMBER(SEARCH("owner",$B812))+ISNUMBER(SEARCH("asset",$B812))+ISNUMBER(SEARCH("capital",$B812))&gt;0,"Other",IF(ISNUMBER(SEARCH("fuel",$B812))+ISNUMBER(SEARCH("diesel",$B812))+ISNUMBER(SEARCH("krudo",$B812))+ISNUMBER(SEARCH("gasolina",$B812))+ISNUMBER(SEARCH("toll",$B812))+ISNUMBER(SEARCH("parking",$B812))+ISNUMBER(SEARCH("repair",$B812))+ISNUMBER(SEARCH("maintenance",$B812))+ISNUMBER(SEARCH("tire",$B812))+ISNUMBER(SEARCH("tyre",$B812))+ISNUMBER(SEARCH("battery",$B812))+ISNUMBER(SEARCH("oil",$B812))+ISNUMBER(SEARCH("filter",$B812))+ISNUMBER(SEARCH("spare",$B812))+ISNUMBER(SEARCH("insurance",$B812))+ISNUMBER(SEARCH("lto",$B812))+ISNUMBER(SEARCH("registration",$B812))+ISNUMBER(SEARCH("emission",$B812))+ISNUMBER(SEARCH("wash",$B812))+ISNUMBER(SEARCH("weigh",$B812))+ISNUMBER(SEARCH("tarp",$B812))&gt;0,"Vehicle",IF(ISNUMBER(SEARCH("rent",$B812))+ISNUMBER(SEARCH("upa",$B812))+ISNUMBER(SEARCH("salary",$B812))+ISNUMBER(SEARCH("sweldo",$B812))+ISNUMBER(SEARCH("wage",$B812))+ISNUMBER(SEARCH("electric",$B812))+ISNUMBER(SEARCH("kuryente",$B812))+ISNUMBER(SEARCH("water",$B812))+ISNUMBER(SEARCH("tubig",$B812))+ISNUMBER(SEARCH("internet",$B812))+ISNUMBER(SEARCH("pldt",$B812))+ISNUMBER(SEARCH("meralco",$B812))+ISNUMBER(SEARCH("supplies",$B812))+ISNUMBER(SEARCH("office",$B812))+ISNUMBER(SEARCH("professional",$B812))+ISNUMBER(SEARCH("accountant",$B812))+ISNUMBER(SEARCH("lawyer",$B812))+ISNUMBER(SEARCH("broker",$B812))+ISNUMBER(SEARCH("bank",$B812))+ISNUMBER(SEARCH("charge",$B812))+ISNUMBER(SEARCH("permit",$B812))+ISNUMBER(SEARCH("bir",$B812))+ISNUMBER(SEARCH("ltfrb",$B812))+ISNUMBER(SEARCH("misc",$B812))+ISNUMBER(SEARCH("fee",$B812))&gt;0,"Overhead","Overhead")))))))</f>
        <v/>
      </c>
      <c r="J812">
        <f>IF($A812="","",DATE(YEAR($A812),MONTH($A812),1))</f>
        <v/>
      </c>
      <c r="K812">
        <f>IF($B812="","",IF(COUNTIF(Setup!$A$99:$A$128,$B812)&gt;0,0,1))</f>
        <v/>
      </c>
      <c r="L812">
        <f>IF($B812="","",IF(ISNUMBER(SEARCH("advance",$B812)),"ADV",IF(OR(ISNUMBER(SEARCH("payout",$B812)),ISNUMBER(SEARCH("pay out",$B812)),ISNUMBER(SEARCH("release",$B812))),"PAY","")))</f>
        <v/>
      </c>
      <c r="M812">
        <f>IF($B812="","",IF(ISNUMBER(SEARCH("bulk",$B812)),0,IF(ISNUMBER(SEARCH("fuel",$B812))+ISNUMBER(SEARCH("diesel",$B812))+ISNUMBER(SEARCH("krudo",$B812))+ISNUMBER(SEARCH("gasolina",$B812))&gt;0,1,0)))</f>
        <v/>
      </c>
      <c r="N812">
        <f>IF($B812="","",IF(ISNUMBER(SEARCH("fuel",$B812))+ISNUMBER(SEARCH("diesel",$B812))+ISNUMBER(SEARCH("krudo",$B812))+ISNUMBER(SEARCH("gasolina",$B812))&gt;0,1,0))</f>
        <v/>
      </c>
    </row>
    <row r="813">
      <c r="A813" s="86" t="n"/>
      <c r="B813" s="88" t="n"/>
      <c r="C813" s="88" t="n"/>
      <c r="D813" s="87" t="n"/>
      <c r="E813" s="88" t="n"/>
      <c r="F813" s="92" t="n"/>
      <c r="G813" s="87" t="n"/>
      <c r="H813" s="87" t="n"/>
      <c r="I813" s="101">
        <f>IF($B813="","",IF(COUNTIF(Setup!$A$99:$A$128,$B813)&gt;0,IF(INDEX(Setup!$B$99:$B$128,MATCH($B813,Setup!$A$99:$A$128,0))="","Overhead",INDEX(Setup!$B$99:$B$128,MATCH($B813,Setup!$A$99:$A$128,0))),IF(ISNUMBER(SEARCH("advance",$B813))+ISNUMBER(SEARCH("payout",$B813))+ISNUMBER(SEARCH("pay out",$B813))+ISNUMBER(SEARCH("reimburs",$B813))&gt;0,"Transfer",IF(ISNUMBER(SEARCH("loan",$B813))+ISNUMBER(SEARCH("amort",$B813))+ISNUMBER(SEARCH("installment",$B813))+ISNUMBER(SEARCH("instalment",$B813))&gt;0,"Financing",IF(ISNUMBER(SEARCH("draw",$B813))+ISNUMBER(SEARCH("owner",$B813))+ISNUMBER(SEARCH("asset",$B813))+ISNUMBER(SEARCH("capital",$B813))&gt;0,"Other",IF(ISNUMBER(SEARCH("fuel",$B813))+ISNUMBER(SEARCH("diesel",$B813))+ISNUMBER(SEARCH("krudo",$B813))+ISNUMBER(SEARCH("gasolina",$B813))+ISNUMBER(SEARCH("toll",$B813))+ISNUMBER(SEARCH("parking",$B813))+ISNUMBER(SEARCH("repair",$B813))+ISNUMBER(SEARCH("maintenance",$B813))+ISNUMBER(SEARCH("tire",$B813))+ISNUMBER(SEARCH("tyre",$B813))+ISNUMBER(SEARCH("battery",$B813))+ISNUMBER(SEARCH("oil",$B813))+ISNUMBER(SEARCH("filter",$B813))+ISNUMBER(SEARCH("spare",$B813))+ISNUMBER(SEARCH("insurance",$B813))+ISNUMBER(SEARCH("lto",$B813))+ISNUMBER(SEARCH("registration",$B813))+ISNUMBER(SEARCH("emission",$B813))+ISNUMBER(SEARCH("wash",$B813))+ISNUMBER(SEARCH("weigh",$B813))+ISNUMBER(SEARCH("tarp",$B813))&gt;0,"Vehicle",IF(ISNUMBER(SEARCH("rent",$B813))+ISNUMBER(SEARCH("upa",$B813))+ISNUMBER(SEARCH("salary",$B813))+ISNUMBER(SEARCH("sweldo",$B813))+ISNUMBER(SEARCH("wage",$B813))+ISNUMBER(SEARCH("electric",$B813))+ISNUMBER(SEARCH("kuryente",$B813))+ISNUMBER(SEARCH("water",$B813))+ISNUMBER(SEARCH("tubig",$B813))+ISNUMBER(SEARCH("internet",$B813))+ISNUMBER(SEARCH("pldt",$B813))+ISNUMBER(SEARCH("meralco",$B813))+ISNUMBER(SEARCH("supplies",$B813))+ISNUMBER(SEARCH("office",$B813))+ISNUMBER(SEARCH("professional",$B813))+ISNUMBER(SEARCH("accountant",$B813))+ISNUMBER(SEARCH("lawyer",$B813))+ISNUMBER(SEARCH("broker",$B813))+ISNUMBER(SEARCH("bank",$B813))+ISNUMBER(SEARCH("charge",$B813))+ISNUMBER(SEARCH("permit",$B813))+ISNUMBER(SEARCH("bir",$B813))+ISNUMBER(SEARCH("ltfrb",$B813))+ISNUMBER(SEARCH("misc",$B813))+ISNUMBER(SEARCH("fee",$B813))&gt;0,"Overhead","Overhead")))))))</f>
        <v/>
      </c>
      <c r="J813">
        <f>IF($A813="","",DATE(YEAR($A813),MONTH($A813),1))</f>
        <v/>
      </c>
      <c r="K813">
        <f>IF($B813="","",IF(COUNTIF(Setup!$A$99:$A$128,$B813)&gt;0,0,1))</f>
        <v/>
      </c>
      <c r="L813">
        <f>IF($B813="","",IF(ISNUMBER(SEARCH("advance",$B813)),"ADV",IF(OR(ISNUMBER(SEARCH("payout",$B813)),ISNUMBER(SEARCH("pay out",$B813)),ISNUMBER(SEARCH("release",$B813))),"PAY","")))</f>
        <v/>
      </c>
      <c r="M813">
        <f>IF($B813="","",IF(ISNUMBER(SEARCH("bulk",$B813)),0,IF(ISNUMBER(SEARCH("fuel",$B813))+ISNUMBER(SEARCH("diesel",$B813))+ISNUMBER(SEARCH("krudo",$B813))+ISNUMBER(SEARCH("gasolina",$B813))&gt;0,1,0)))</f>
        <v/>
      </c>
      <c r="N813">
        <f>IF($B813="","",IF(ISNUMBER(SEARCH("fuel",$B813))+ISNUMBER(SEARCH("diesel",$B813))+ISNUMBER(SEARCH("krudo",$B813))+ISNUMBER(SEARCH("gasolina",$B813))&gt;0,1,0))</f>
        <v/>
      </c>
    </row>
    <row r="814">
      <c r="A814" s="94" t="n"/>
      <c r="B814" s="96" t="n"/>
      <c r="C814" s="96" t="n"/>
      <c r="D814" s="95" t="n"/>
      <c r="E814" s="96" t="n"/>
      <c r="F814" s="99" t="n"/>
      <c r="G814" s="95" t="n"/>
      <c r="H814" s="95" t="n"/>
      <c r="I814" s="101">
        <f>IF($B814="","",IF(COUNTIF(Setup!$A$99:$A$128,$B814)&gt;0,IF(INDEX(Setup!$B$99:$B$128,MATCH($B814,Setup!$A$99:$A$128,0))="","Overhead",INDEX(Setup!$B$99:$B$128,MATCH($B814,Setup!$A$99:$A$128,0))),IF(ISNUMBER(SEARCH("advance",$B814))+ISNUMBER(SEARCH("payout",$B814))+ISNUMBER(SEARCH("pay out",$B814))+ISNUMBER(SEARCH("reimburs",$B814))&gt;0,"Transfer",IF(ISNUMBER(SEARCH("loan",$B814))+ISNUMBER(SEARCH("amort",$B814))+ISNUMBER(SEARCH("installment",$B814))+ISNUMBER(SEARCH("instalment",$B814))&gt;0,"Financing",IF(ISNUMBER(SEARCH("draw",$B814))+ISNUMBER(SEARCH("owner",$B814))+ISNUMBER(SEARCH("asset",$B814))+ISNUMBER(SEARCH("capital",$B814))&gt;0,"Other",IF(ISNUMBER(SEARCH("fuel",$B814))+ISNUMBER(SEARCH("diesel",$B814))+ISNUMBER(SEARCH("krudo",$B814))+ISNUMBER(SEARCH("gasolina",$B814))+ISNUMBER(SEARCH("toll",$B814))+ISNUMBER(SEARCH("parking",$B814))+ISNUMBER(SEARCH("repair",$B814))+ISNUMBER(SEARCH("maintenance",$B814))+ISNUMBER(SEARCH("tire",$B814))+ISNUMBER(SEARCH("tyre",$B814))+ISNUMBER(SEARCH("battery",$B814))+ISNUMBER(SEARCH("oil",$B814))+ISNUMBER(SEARCH("filter",$B814))+ISNUMBER(SEARCH("spare",$B814))+ISNUMBER(SEARCH("insurance",$B814))+ISNUMBER(SEARCH("lto",$B814))+ISNUMBER(SEARCH("registration",$B814))+ISNUMBER(SEARCH("emission",$B814))+ISNUMBER(SEARCH("wash",$B814))+ISNUMBER(SEARCH("weigh",$B814))+ISNUMBER(SEARCH("tarp",$B814))&gt;0,"Vehicle",IF(ISNUMBER(SEARCH("rent",$B814))+ISNUMBER(SEARCH("upa",$B814))+ISNUMBER(SEARCH("salary",$B814))+ISNUMBER(SEARCH("sweldo",$B814))+ISNUMBER(SEARCH("wage",$B814))+ISNUMBER(SEARCH("electric",$B814))+ISNUMBER(SEARCH("kuryente",$B814))+ISNUMBER(SEARCH("water",$B814))+ISNUMBER(SEARCH("tubig",$B814))+ISNUMBER(SEARCH("internet",$B814))+ISNUMBER(SEARCH("pldt",$B814))+ISNUMBER(SEARCH("meralco",$B814))+ISNUMBER(SEARCH("supplies",$B814))+ISNUMBER(SEARCH("office",$B814))+ISNUMBER(SEARCH("professional",$B814))+ISNUMBER(SEARCH("accountant",$B814))+ISNUMBER(SEARCH("lawyer",$B814))+ISNUMBER(SEARCH("broker",$B814))+ISNUMBER(SEARCH("bank",$B814))+ISNUMBER(SEARCH("charge",$B814))+ISNUMBER(SEARCH("permit",$B814))+ISNUMBER(SEARCH("bir",$B814))+ISNUMBER(SEARCH("ltfrb",$B814))+ISNUMBER(SEARCH("misc",$B814))+ISNUMBER(SEARCH("fee",$B814))&gt;0,"Overhead","Overhead")))))))</f>
        <v/>
      </c>
      <c r="J814">
        <f>IF($A814="","",DATE(YEAR($A814),MONTH($A814),1))</f>
        <v/>
      </c>
      <c r="K814">
        <f>IF($B814="","",IF(COUNTIF(Setup!$A$99:$A$128,$B814)&gt;0,0,1))</f>
        <v/>
      </c>
      <c r="L814">
        <f>IF($B814="","",IF(ISNUMBER(SEARCH("advance",$B814)),"ADV",IF(OR(ISNUMBER(SEARCH("payout",$B814)),ISNUMBER(SEARCH("pay out",$B814)),ISNUMBER(SEARCH("release",$B814))),"PAY","")))</f>
        <v/>
      </c>
      <c r="M814">
        <f>IF($B814="","",IF(ISNUMBER(SEARCH("bulk",$B814)),0,IF(ISNUMBER(SEARCH("fuel",$B814))+ISNUMBER(SEARCH("diesel",$B814))+ISNUMBER(SEARCH("krudo",$B814))+ISNUMBER(SEARCH("gasolina",$B814))&gt;0,1,0)))</f>
        <v/>
      </c>
      <c r="N814">
        <f>IF($B814="","",IF(ISNUMBER(SEARCH("fuel",$B814))+ISNUMBER(SEARCH("diesel",$B814))+ISNUMBER(SEARCH("krudo",$B814))+ISNUMBER(SEARCH("gasolina",$B814))&gt;0,1,0))</f>
        <v/>
      </c>
    </row>
    <row r="815">
      <c r="A815" s="86" t="n"/>
      <c r="B815" s="88" t="n"/>
      <c r="C815" s="88" t="n"/>
      <c r="D815" s="87" t="n"/>
      <c r="E815" s="88" t="n"/>
      <c r="F815" s="92" t="n"/>
      <c r="G815" s="87" t="n"/>
      <c r="H815" s="87" t="n"/>
      <c r="I815" s="101">
        <f>IF($B815="","",IF(COUNTIF(Setup!$A$99:$A$128,$B815)&gt;0,IF(INDEX(Setup!$B$99:$B$128,MATCH($B815,Setup!$A$99:$A$128,0))="","Overhead",INDEX(Setup!$B$99:$B$128,MATCH($B815,Setup!$A$99:$A$128,0))),IF(ISNUMBER(SEARCH("advance",$B815))+ISNUMBER(SEARCH("payout",$B815))+ISNUMBER(SEARCH("pay out",$B815))+ISNUMBER(SEARCH("reimburs",$B815))&gt;0,"Transfer",IF(ISNUMBER(SEARCH("loan",$B815))+ISNUMBER(SEARCH("amort",$B815))+ISNUMBER(SEARCH("installment",$B815))+ISNUMBER(SEARCH("instalment",$B815))&gt;0,"Financing",IF(ISNUMBER(SEARCH("draw",$B815))+ISNUMBER(SEARCH("owner",$B815))+ISNUMBER(SEARCH("asset",$B815))+ISNUMBER(SEARCH("capital",$B815))&gt;0,"Other",IF(ISNUMBER(SEARCH("fuel",$B815))+ISNUMBER(SEARCH("diesel",$B815))+ISNUMBER(SEARCH("krudo",$B815))+ISNUMBER(SEARCH("gasolina",$B815))+ISNUMBER(SEARCH("toll",$B815))+ISNUMBER(SEARCH("parking",$B815))+ISNUMBER(SEARCH("repair",$B815))+ISNUMBER(SEARCH("maintenance",$B815))+ISNUMBER(SEARCH("tire",$B815))+ISNUMBER(SEARCH("tyre",$B815))+ISNUMBER(SEARCH("battery",$B815))+ISNUMBER(SEARCH("oil",$B815))+ISNUMBER(SEARCH("filter",$B815))+ISNUMBER(SEARCH("spare",$B815))+ISNUMBER(SEARCH("insurance",$B815))+ISNUMBER(SEARCH("lto",$B815))+ISNUMBER(SEARCH("registration",$B815))+ISNUMBER(SEARCH("emission",$B815))+ISNUMBER(SEARCH("wash",$B815))+ISNUMBER(SEARCH("weigh",$B815))+ISNUMBER(SEARCH("tarp",$B815))&gt;0,"Vehicle",IF(ISNUMBER(SEARCH("rent",$B815))+ISNUMBER(SEARCH("upa",$B815))+ISNUMBER(SEARCH("salary",$B815))+ISNUMBER(SEARCH("sweldo",$B815))+ISNUMBER(SEARCH("wage",$B815))+ISNUMBER(SEARCH("electric",$B815))+ISNUMBER(SEARCH("kuryente",$B815))+ISNUMBER(SEARCH("water",$B815))+ISNUMBER(SEARCH("tubig",$B815))+ISNUMBER(SEARCH("internet",$B815))+ISNUMBER(SEARCH("pldt",$B815))+ISNUMBER(SEARCH("meralco",$B815))+ISNUMBER(SEARCH("supplies",$B815))+ISNUMBER(SEARCH("office",$B815))+ISNUMBER(SEARCH("professional",$B815))+ISNUMBER(SEARCH("accountant",$B815))+ISNUMBER(SEARCH("lawyer",$B815))+ISNUMBER(SEARCH("broker",$B815))+ISNUMBER(SEARCH("bank",$B815))+ISNUMBER(SEARCH("charge",$B815))+ISNUMBER(SEARCH("permit",$B815))+ISNUMBER(SEARCH("bir",$B815))+ISNUMBER(SEARCH("ltfrb",$B815))+ISNUMBER(SEARCH("misc",$B815))+ISNUMBER(SEARCH("fee",$B815))&gt;0,"Overhead","Overhead")))))))</f>
        <v/>
      </c>
      <c r="J815">
        <f>IF($A815="","",DATE(YEAR($A815),MONTH($A815),1))</f>
        <v/>
      </c>
      <c r="K815">
        <f>IF($B815="","",IF(COUNTIF(Setup!$A$99:$A$128,$B815)&gt;0,0,1))</f>
        <v/>
      </c>
      <c r="L815">
        <f>IF($B815="","",IF(ISNUMBER(SEARCH("advance",$B815)),"ADV",IF(OR(ISNUMBER(SEARCH("payout",$B815)),ISNUMBER(SEARCH("pay out",$B815)),ISNUMBER(SEARCH("release",$B815))),"PAY","")))</f>
        <v/>
      </c>
      <c r="M815">
        <f>IF($B815="","",IF(ISNUMBER(SEARCH("bulk",$B815)),0,IF(ISNUMBER(SEARCH("fuel",$B815))+ISNUMBER(SEARCH("diesel",$B815))+ISNUMBER(SEARCH("krudo",$B815))+ISNUMBER(SEARCH("gasolina",$B815))&gt;0,1,0)))</f>
        <v/>
      </c>
      <c r="N815">
        <f>IF($B815="","",IF(ISNUMBER(SEARCH("fuel",$B815))+ISNUMBER(SEARCH("diesel",$B815))+ISNUMBER(SEARCH("krudo",$B815))+ISNUMBER(SEARCH("gasolina",$B815))&gt;0,1,0))</f>
        <v/>
      </c>
    </row>
    <row r="816">
      <c r="A816" s="94" t="n"/>
      <c r="B816" s="96" t="n"/>
      <c r="C816" s="96" t="n"/>
      <c r="D816" s="95" t="n"/>
      <c r="E816" s="96" t="n"/>
      <c r="F816" s="99" t="n"/>
      <c r="G816" s="95" t="n"/>
      <c r="H816" s="95" t="n"/>
      <c r="I816" s="101">
        <f>IF($B816="","",IF(COUNTIF(Setup!$A$99:$A$128,$B816)&gt;0,IF(INDEX(Setup!$B$99:$B$128,MATCH($B816,Setup!$A$99:$A$128,0))="","Overhead",INDEX(Setup!$B$99:$B$128,MATCH($B816,Setup!$A$99:$A$128,0))),IF(ISNUMBER(SEARCH("advance",$B816))+ISNUMBER(SEARCH("payout",$B816))+ISNUMBER(SEARCH("pay out",$B816))+ISNUMBER(SEARCH("reimburs",$B816))&gt;0,"Transfer",IF(ISNUMBER(SEARCH("loan",$B816))+ISNUMBER(SEARCH("amort",$B816))+ISNUMBER(SEARCH("installment",$B816))+ISNUMBER(SEARCH("instalment",$B816))&gt;0,"Financing",IF(ISNUMBER(SEARCH("draw",$B816))+ISNUMBER(SEARCH("owner",$B816))+ISNUMBER(SEARCH("asset",$B816))+ISNUMBER(SEARCH("capital",$B816))&gt;0,"Other",IF(ISNUMBER(SEARCH("fuel",$B816))+ISNUMBER(SEARCH("diesel",$B816))+ISNUMBER(SEARCH("krudo",$B816))+ISNUMBER(SEARCH("gasolina",$B816))+ISNUMBER(SEARCH("toll",$B816))+ISNUMBER(SEARCH("parking",$B816))+ISNUMBER(SEARCH("repair",$B816))+ISNUMBER(SEARCH("maintenance",$B816))+ISNUMBER(SEARCH("tire",$B816))+ISNUMBER(SEARCH("tyre",$B816))+ISNUMBER(SEARCH("battery",$B816))+ISNUMBER(SEARCH("oil",$B816))+ISNUMBER(SEARCH("filter",$B816))+ISNUMBER(SEARCH("spare",$B816))+ISNUMBER(SEARCH("insurance",$B816))+ISNUMBER(SEARCH("lto",$B816))+ISNUMBER(SEARCH("registration",$B816))+ISNUMBER(SEARCH("emission",$B816))+ISNUMBER(SEARCH("wash",$B816))+ISNUMBER(SEARCH("weigh",$B816))+ISNUMBER(SEARCH("tarp",$B816))&gt;0,"Vehicle",IF(ISNUMBER(SEARCH("rent",$B816))+ISNUMBER(SEARCH("upa",$B816))+ISNUMBER(SEARCH("salary",$B816))+ISNUMBER(SEARCH("sweldo",$B816))+ISNUMBER(SEARCH("wage",$B816))+ISNUMBER(SEARCH("electric",$B816))+ISNUMBER(SEARCH("kuryente",$B816))+ISNUMBER(SEARCH("water",$B816))+ISNUMBER(SEARCH("tubig",$B816))+ISNUMBER(SEARCH("internet",$B816))+ISNUMBER(SEARCH("pldt",$B816))+ISNUMBER(SEARCH("meralco",$B816))+ISNUMBER(SEARCH("supplies",$B816))+ISNUMBER(SEARCH("office",$B816))+ISNUMBER(SEARCH("professional",$B816))+ISNUMBER(SEARCH("accountant",$B816))+ISNUMBER(SEARCH("lawyer",$B816))+ISNUMBER(SEARCH("broker",$B816))+ISNUMBER(SEARCH("bank",$B816))+ISNUMBER(SEARCH("charge",$B816))+ISNUMBER(SEARCH("permit",$B816))+ISNUMBER(SEARCH("bir",$B816))+ISNUMBER(SEARCH("ltfrb",$B816))+ISNUMBER(SEARCH("misc",$B816))+ISNUMBER(SEARCH("fee",$B816))&gt;0,"Overhead","Overhead")))))))</f>
        <v/>
      </c>
      <c r="J816">
        <f>IF($A816="","",DATE(YEAR($A816),MONTH($A816),1))</f>
        <v/>
      </c>
      <c r="K816">
        <f>IF($B816="","",IF(COUNTIF(Setup!$A$99:$A$128,$B816)&gt;0,0,1))</f>
        <v/>
      </c>
      <c r="L816">
        <f>IF($B816="","",IF(ISNUMBER(SEARCH("advance",$B816)),"ADV",IF(OR(ISNUMBER(SEARCH("payout",$B816)),ISNUMBER(SEARCH("pay out",$B816)),ISNUMBER(SEARCH("release",$B816))),"PAY","")))</f>
        <v/>
      </c>
      <c r="M816">
        <f>IF($B816="","",IF(ISNUMBER(SEARCH("bulk",$B816)),0,IF(ISNUMBER(SEARCH("fuel",$B816))+ISNUMBER(SEARCH("diesel",$B816))+ISNUMBER(SEARCH("krudo",$B816))+ISNUMBER(SEARCH("gasolina",$B816))&gt;0,1,0)))</f>
        <v/>
      </c>
      <c r="N816">
        <f>IF($B816="","",IF(ISNUMBER(SEARCH("fuel",$B816))+ISNUMBER(SEARCH("diesel",$B816))+ISNUMBER(SEARCH("krudo",$B816))+ISNUMBER(SEARCH("gasolina",$B816))&gt;0,1,0))</f>
        <v/>
      </c>
    </row>
    <row r="817">
      <c r="A817" s="86" t="n"/>
      <c r="B817" s="88" t="n"/>
      <c r="C817" s="88" t="n"/>
      <c r="D817" s="87" t="n"/>
      <c r="E817" s="88" t="n"/>
      <c r="F817" s="92" t="n"/>
      <c r="G817" s="87" t="n"/>
      <c r="H817" s="87" t="n"/>
      <c r="I817" s="101">
        <f>IF($B817="","",IF(COUNTIF(Setup!$A$99:$A$128,$B817)&gt;0,IF(INDEX(Setup!$B$99:$B$128,MATCH($B817,Setup!$A$99:$A$128,0))="","Overhead",INDEX(Setup!$B$99:$B$128,MATCH($B817,Setup!$A$99:$A$128,0))),IF(ISNUMBER(SEARCH("advance",$B817))+ISNUMBER(SEARCH("payout",$B817))+ISNUMBER(SEARCH("pay out",$B817))+ISNUMBER(SEARCH("reimburs",$B817))&gt;0,"Transfer",IF(ISNUMBER(SEARCH("loan",$B817))+ISNUMBER(SEARCH("amort",$B817))+ISNUMBER(SEARCH("installment",$B817))+ISNUMBER(SEARCH("instalment",$B817))&gt;0,"Financing",IF(ISNUMBER(SEARCH("draw",$B817))+ISNUMBER(SEARCH("owner",$B817))+ISNUMBER(SEARCH("asset",$B817))+ISNUMBER(SEARCH("capital",$B817))&gt;0,"Other",IF(ISNUMBER(SEARCH("fuel",$B817))+ISNUMBER(SEARCH("diesel",$B817))+ISNUMBER(SEARCH("krudo",$B817))+ISNUMBER(SEARCH("gasolina",$B817))+ISNUMBER(SEARCH("toll",$B817))+ISNUMBER(SEARCH("parking",$B817))+ISNUMBER(SEARCH("repair",$B817))+ISNUMBER(SEARCH("maintenance",$B817))+ISNUMBER(SEARCH("tire",$B817))+ISNUMBER(SEARCH("tyre",$B817))+ISNUMBER(SEARCH("battery",$B817))+ISNUMBER(SEARCH("oil",$B817))+ISNUMBER(SEARCH("filter",$B817))+ISNUMBER(SEARCH("spare",$B817))+ISNUMBER(SEARCH("insurance",$B817))+ISNUMBER(SEARCH("lto",$B817))+ISNUMBER(SEARCH("registration",$B817))+ISNUMBER(SEARCH("emission",$B817))+ISNUMBER(SEARCH("wash",$B817))+ISNUMBER(SEARCH("weigh",$B817))+ISNUMBER(SEARCH("tarp",$B817))&gt;0,"Vehicle",IF(ISNUMBER(SEARCH("rent",$B817))+ISNUMBER(SEARCH("upa",$B817))+ISNUMBER(SEARCH("salary",$B817))+ISNUMBER(SEARCH("sweldo",$B817))+ISNUMBER(SEARCH("wage",$B817))+ISNUMBER(SEARCH("electric",$B817))+ISNUMBER(SEARCH("kuryente",$B817))+ISNUMBER(SEARCH("water",$B817))+ISNUMBER(SEARCH("tubig",$B817))+ISNUMBER(SEARCH("internet",$B817))+ISNUMBER(SEARCH("pldt",$B817))+ISNUMBER(SEARCH("meralco",$B817))+ISNUMBER(SEARCH("supplies",$B817))+ISNUMBER(SEARCH("office",$B817))+ISNUMBER(SEARCH("professional",$B817))+ISNUMBER(SEARCH("accountant",$B817))+ISNUMBER(SEARCH("lawyer",$B817))+ISNUMBER(SEARCH("broker",$B817))+ISNUMBER(SEARCH("bank",$B817))+ISNUMBER(SEARCH("charge",$B817))+ISNUMBER(SEARCH("permit",$B817))+ISNUMBER(SEARCH("bir",$B817))+ISNUMBER(SEARCH("ltfrb",$B817))+ISNUMBER(SEARCH("misc",$B817))+ISNUMBER(SEARCH("fee",$B817))&gt;0,"Overhead","Overhead")))))))</f>
        <v/>
      </c>
      <c r="J817">
        <f>IF($A817="","",DATE(YEAR($A817),MONTH($A817),1))</f>
        <v/>
      </c>
      <c r="K817">
        <f>IF($B817="","",IF(COUNTIF(Setup!$A$99:$A$128,$B817)&gt;0,0,1))</f>
        <v/>
      </c>
      <c r="L817">
        <f>IF($B817="","",IF(ISNUMBER(SEARCH("advance",$B817)),"ADV",IF(OR(ISNUMBER(SEARCH("payout",$B817)),ISNUMBER(SEARCH("pay out",$B817)),ISNUMBER(SEARCH("release",$B817))),"PAY","")))</f>
        <v/>
      </c>
      <c r="M817">
        <f>IF($B817="","",IF(ISNUMBER(SEARCH("bulk",$B817)),0,IF(ISNUMBER(SEARCH("fuel",$B817))+ISNUMBER(SEARCH("diesel",$B817))+ISNUMBER(SEARCH("krudo",$B817))+ISNUMBER(SEARCH("gasolina",$B817))&gt;0,1,0)))</f>
        <v/>
      </c>
      <c r="N817">
        <f>IF($B817="","",IF(ISNUMBER(SEARCH("fuel",$B817))+ISNUMBER(SEARCH("diesel",$B817))+ISNUMBER(SEARCH("krudo",$B817))+ISNUMBER(SEARCH("gasolina",$B817))&gt;0,1,0))</f>
        <v/>
      </c>
    </row>
    <row r="818">
      <c r="A818" s="94" t="n"/>
      <c r="B818" s="96" t="n"/>
      <c r="C818" s="96" t="n"/>
      <c r="D818" s="95" t="n"/>
      <c r="E818" s="96" t="n"/>
      <c r="F818" s="99" t="n"/>
      <c r="G818" s="95" t="n"/>
      <c r="H818" s="95" t="n"/>
      <c r="I818" s="101">
        <f>IF($B818="","",IF(COUNTIF(Setup!$A$99:$A$128,$B818)&gt;0,IF(INDEX(Setup!$B$99:$B$128,MATCH($B818,Setup!$A$99:$A$128,0))="","Overhead",INDEX(Setup!$B$99:$B$128,MATCH($B818,Setup!$A$99:$A$128,0))),IF(ISNUMBER(SEARCH("advance",$B818))+ISNUMBER(SEARCH("payout",$B818))+ISNUMBER(SEARCH("pay out",$B818))+ISNUMBER(SEARCH("reimburs",$B818))&gt;0,"Transfer",IF(ISNUMBER(SEARCH("loan",$B818))+ISNUMBER(SEARCH("amort",$B818))+ISNUMBER(SEARCH("installment",$B818))+ISNUMBER(SEARCH("instalment",$B818))&gt;0,"Financing",IF(ISNUMBER(SEARCH("draw",$B818))+ISNUMBER(SEARCH("owner",$B818))+ISNUMBER(SEARCH("asset",$B818))+ISNUMBER(SEARCH("capital",$B818))&gt;0,"Other",IF(ISNUMBER(SEARCH("fuel",$B818))+ISNUMBER(SEARCH("diesel",$B818))+ISNUMBER(SEARCH("krudo",$B818))+ISNUMBER(SEARCH("gasolina",$B818))+ISNUMBER(SEARCH("toll",$B818))+ISNUMBER(SEARCH("parking",$B818))+ISNUMBER(SEARCH("repair",$B818))+ISNUMBER(SEARCH("maintenance",$B818))+ISNUMBER(SEARCH("tire",$B818))+ISNUMBER(SEARCH("tyre",$B818))+ISNUMBER(SEARCH("battery",$B818))+ISNUMBER(SEARCH("oil",$B818))+ISNUMBER(SEARCH("filter",$B818))+ISNUMBER(SEARCH("spare",$B818))+ISNUMBER(SEARCH("insurance",$B818))+ISNUMBER(SEARCH("lto",$B818))+ISNUMBER(SEARCH("registration",$B818))+ISNUMBER(SEARCH("emission",$B818))+ISNUMBER(SEARCH("wash",$B818))+ISNUMBER(SEARCH("weigh",$B818))+ISNUMBER(SEARCH("tarp",$B818))&gt;0,"Vehicle",IF(ISNUMBER(SEARCH("rent",$B818))+ISNUMBER(SEARCH("upa",$B818))+ISNUMBER(SEARCH("salary",$B818))+ISNUMBER(SEARCH("sweldo",$B818))+ISNUMBER(SEARCH("wage",$B818))+ISNUMBER(SEARCH("electric",$B818))+ISNUMBER(SEARCH("kuryente",$B818))+ISNUMBER(SEARCH("water",$B818))+ISNUMBER(SEARCH("tubig",$B818))+ISNUMBER(SEARCH("internet",$B818))+ISNUMBER(SEARCH("pldt",$B818))+ISNUMBER(SEARCH("meralco",$B818))+ISNUMBER(SEARCH("supplies",$B818))+ISNUMBER(SEARCH("office",$B818))+ISNUMBER(SEARCH("professional",$B818))+ISNUMBER(SEARCH("accountant",$B818))+ISNUMBER(SEARCH("lawyer",$B818))+ISNUMBER(SEARCH("broker",$B818))+ISNUMBER(SEARCH("bank",$B818))+ISNUMBER(SEARCH("charge",$B818))+ISNUMBER(SEARCH("permit",$B818))+ISNUMBER(SEARCH("bir",$B818))+ISNUMBER(SEARCH("ltfrb",$B818))+ISNUMBER(SEARCH("misc",$B818))+ISNUMBER(SEARCH("fee",$B818))&gt;0,"Overhead","Overhead")))))))</f>
        <v/>
      </c>
      <c r="J818">
        <f>IF($A818="","",DATE(YEAR($A818),MONTH($A818),1))</f>
        <v/>
      </c>
      <c r="K818">
        <f>IF($B818="","",IF(COUNTIF(Setup!$A$99:$A$128,$B818)&gt;0,0,1))</f>
        <v/>
      </c>
      <c r="L818">
        <f>IF($B818="","",IF(ISNUMBER(SEARCH("advance",$B818)),"ADV",IF(OR(ISNUMBER(SEARCH("payout",$B818)),ISNUMBER(SEARCH("pay out",$B818)),ISNUMBER(SEARCH("release",$B818))),"PAY","")))</f>
        <v/>
      </c>
      <c r="M818">
        <f>IF($B818="","",IF(ISNUMBER(SEARCH("bulk",$B818)),0,IF(ISNUMBER(SEARCH("fuel",$B818))+ISNUMBER(SEARCH("diesel",$B818))+ISNUMBER(SEARCH("krudo",$B818))+ISNUMBER(SEARCH("gasolina",$B818))&gt;0,1,0)))</f>
        <v/>
      </c>
      <c r="N818">
        <f>IF($B818="","",IF(ISNUMBER(SEARCH("fuel",$B818))+ISNUMBER(SEARCH("diesel",$B818))+ISNUMBER(SEARCH("krudo",$B818))+ISNUMBER(SEARCH("gasolina",$B818))&gt;0,1,0))</f>
        <v/>
      </c>
    </row>
    <row r="819">
      <c r="A819" s="86" t="n"/>
      <c r="B819" s="88" t="n"/>
      <c r="C819" s="88" t="n"/>
      <c r="D819" s="87" t="n"/>
      <c r="E819" s="88" t="n"/>
      <c r="F819" s="92" t="n"/>
      <c r="G819" s="87" t="n"/>
      <c r="H819" s="87" t="n"/>
      <c r="I819" s="101">
        <f>IF($B819="","",IF(COUNTIF(Setup!$A$99:$A$128,$B819)&gt;0,IF(INDEX(Setup!$B$99:$B$128,MATCH($B819,Setup!$A$99:$A$128,0))="","Overhead",INDEX(Setup!$B$99:$B$128,MATCH($B819,Setup!$A$99:$A$128,0))),IF(ISNUMBER(SEARCH("advance",$B819))+ISNUMBER(SEARCH("payout",$B819))+ISNUMBER(SEARCH("pay out",$B819))+ISNUMBER(SEARCH("reimburs",$B819))&gt;0,"Transfer",IF(ISNUMBER(SEARCH("loan",$B819))+ISNUMBER(SEARCH("amort",$B819))+ISNUMBER(SEARCH("installment",$B819))+ISNUMBER(SEARCH("instalment",$B819))&gt;0,"Financing",IF(ISNUMBER(SEARCH("draw",$B819))+ISNUMBER(SEARCH("owner",$B819))+ISNUMBER(SEARCH("asset",$B819))+ISNUMBER(SEARCH("capital",$B819))&gt;0,"Other",IF(ISNUMBER(SEARCH("fuel",$B819))+ISNUMBER(SEARCH("diesel",$B819))+ISNUMBER(SEARCH("krudo",$B819))+ISNUMBER(SEARCH("gasolina",$B819))+ISNUMBER(SEARCH("toll",$B819))+ISNUMBER(SEARCH("parking",$B819))+ISNUMBER(SEARCH("repair",$B819))+ISNUMBER(SEARCH("maintenance",$B819))+ISNUMBER(SEARCH("tire",$B819))+ISNUMBER(SEARCH("tyre",$B819))+ISNUMBER(SEARCH("battery",$B819))+ISNUMBER(SEARCH("oil",$B819))+ISNUMBER(SEARCH("filter",$B819))+ISNUMBER(SEARCH("spare",$B819))+ISNUMBER(SEARCH("insurance",$B819))+ISNUMBER(SEARCH("lto",$B819))+ISNUMBER(SEARCH("registration",$B819))+ISNUMBER(SEARCH("emission",$B819))+ISNUMBER(SEARCH("wash",$B819))+ISNUMBER(SEARCH("weigh",$B819))+ISNUMBER(SEARCH("tarp",$B819))&gt;0,"Vehicle",IF(ISNUMBER(SEARCH("rent",$B819))+ISNUMBER(SEARCH("upa",$B819))+ISNUMBER(SEARCH("salary",$B819))+ISNUMBER(SEARCH("sweldo",$B819))+ISNUMBER(SEARCH("wage",$B819))+ISNUMBER(SEARCH("electric",$B819))+ISNUMBER(SEARCH("kuryente",$B819))+ISNUMBER(SEARCH("water",$B819))+ISNUMBER(SEARCH("tubig",$B819))+ISNUMBER(SEARCH("internet",$B819))+ISNUMBER(SEARCH("pldt",$B819))+ISNUMBER(SEARCH("meralco",$B819))+ISNUMBER(SEARCH("supplies",$B819))+ISNUMBER(SEARCH("office",$B819))+ISNUMBER(SEARCH("professional",$B819))+ISNUMBER(SEARCH("accountant",$B819))+ISNUMBER(SEARCH("lawyer",$B819))+ISNUMBER(SEARCH("broker",$B819))+ISNUMBER(SEARCH("bank",$B819))+ISNUMBER(SEARCH("charge",$B819))+ISNUMBER(SEARCH("permit",$B819))+ISNUMBER(SEARCH("bir",$B819))+ISNUMBER(SEARCH("ltfrb",$B819))+ISNUMBER(SEARCH("misc",$B819))+ISNUMBER(SEARCH("fee",$B819))&gt;0,"Overhead","Overhead")))))))</f>
        <v/>
      </c>
      <c r="J819">
        <f>IF($A819="","",DATE(YEAR($A819),MONTH($A819),1))</f>
        <v/>
      </c>
      <c r="K819">
        <f>IF($B819="","",IF(COUNTIF(Setup!$A$99:$A$128,$B819)&gt;0,0,1))</f>
        <v/>
      </c>
      <c r="L819">
        <f>IF($B819="","",IF(ISNUMBER(SEARCH("advance",$B819)),"ADV",IF(OR(ISNUMBER(SEARCH("payout",$B819)),ISNUMBER(SEARCH("pay out",$B819)),ISNUMBER(SEARCH("release",$B819))),"PAY","")))</f>
        <v/>
      </c>
      <c r="M819">
        <f>IF($B819="","",IF(ISNUMBER(SEARCH("bulk",$B819)),0,IF(ISNUMBER(SEARCH("fuel",$B819))+ISNUMBER(SEARCH("diesel",$B819))+ISNUMBER(SEARCH("krudo",$B819))+ISNUMBER(SEARCH("gasolina",$B819))&gt;0,1,0)))</f>
        <v/>
      </c>
      <c r="N819">
        <f>IF($B819="","",IF(ISNUMBER(SEARCH("fuel",$B819))+ISNUMBER(SEARCH("diesel",$B819))+ISNUMBER(SEARCH("krudo",$B819))+ISNUMBER(SEARCH("gasolina",$B819))&gt;0,1,0))</f>
        <v/>
      </c>
    </row>
    <row r="820">
      <c r="A820" s="94" t="n"/>
      <c r="B820" s="96" t="n"/>
      <c r="C820" s="96" t="n"/>
      <c r="D820" s="95" t="n"/>
      <c r="E820" s="96" t="n"/>
      <c r="F820" s="99" t="n"/>
      <c r="G820" s="95" t="n"/>
      <c r="H820" s="95" t="n"/>
      <c r="I820" s="101">
        <f>IF($B820="","",IF(COUNTIF(Setup!$A$99:$A$128,$B820)&gt;0,IF(INDEX(Setup!$B$99:$B$128,MATCH($B820,Setup!$A$99:$A$128,0))="","Overhead",INDEX(Setup!$B$99:$B$128,MATCH($B820,Setup!$A$99:$A$128,0))),IF(ISNUMBER(SEARCH("advance",$B820))+ISNUMBER(SEARCH("payout",$B820))+ISNUMBER(SEARCH("pay out",$B820))+ISNUMBER(SEARCH("reimburs",$B820))&gt;0,"Transfer",IF(ISNUMBER(SEARCH("loan",$B820))+ISNUMBER(SEARCH("amort",$B820))+ISNUMBER(SEARCH("installment",$B820))+ISNUMBER(SEARCH("instalment",$B820))&gt;0,"Financing",IF(ISNUMBER(SEARCH("draw",$B820))+ISNUMBER(SEARCH("owner",$B820))+ISNUMBER(SEARCH("asset",$B820))+ISNUMBER(SEARCH("capital",$B820))&gt;0,"Other",IF(ISNUMBER(SEARCH("fuel",$B820))+ISNUMBER(SEARCH("diesel",$B820))+ISNUMBER(SEARCH("krudo",$B820))+ISNUMBER(SEARCH("gasolina",$B820))+ISNUMBER(SEARCH("toll",$B820))+ISNUMBER(SEARCH("parking",$B820))+ISNUMBER(SEARCH("repair",$B820))+ISNUMBER(SEARCH("maintenance",$B820))+ISNUMBER(SEARCH("tire",$B820))+ISNUMBER(SEARCH("tyre",$B820))+ISNUMBER(SEARCH("battery",$B820))+ISNUMBER(SEARCH("oil",$B820))+ISNUMBER(SEARCH("filter",$B820))+ISNUMBER(SEARCH("spare",$B820))+ISNUMBER(SEARCH("insurance",$B820))+ISNUMBER(SEARCH("lto",$B820))+ISNUMBER(SEARCH("registration",$B820))+ISNUMBER(SEARCH("emission",$B820))+ISNUMBER(SEARCH("wash",$B820))+ISNUMBER(SEARCH("weigh",$B820))+ISNUMBER(SEARCH("tarp",$B820))&gt;0,"Vehicle",IF(ISNUMBER(SEARCH("rent",$B820))+ISNUMBER(SEARCH("upa",$B820))+ISNUMBER(SEARCH("salary",$B820))+ISNUMBER(SEARCH("sweldo",$B820))+ISNUMBER(SEARCH("wage",$B820))+ISNUMBER(SEARCH("electric",$B820))+ISNUMBER(SEARCH("kuryente",$B820))+ISNUMBER(SEARCH("water",$B820))+ISNUMBER(SEARCH("tubig",$B820))+ISNUMBER(SEARCH("internet",$B820))+ISNUMBER(SEARCH("pldt",$B820))+ISNUMBER(SEARCH("meralco",$B820))+ISNUMBER(SEARCH("supplies",$B820))+ISNUMBER(SEARCH("office",$B820))+ISNUMBER(SEARCH("professional",$B820))+ISNUMBER(SEARCH("accountant",$B820))+ISNUMBER(SEARCH("lawyer",$B820))+ISNUMBER(SEARCH("broker",$B820))+ISNUMBER(SEARCH("bank",$B820))+ISNUMBER(SEARCH("charge",$B820))+ISNUMBER(SEARCH("permit",$B820))+ISNUMBER(SEARCH("bir",$B820))+ISNUMBER(SEARCH("ltfrb",$B820))+ISNUMBER(SEARCH("misc",$B820))+ISNUMBER(SEARCH("fee",$B820))&gt;0,"Overhead","Overhead")))))))</f>
        <v/>
      </c>
      <c r="J820">
        <f>IF($A820="","",DATE(YEAR($A820),MONTH($A820),1))</f>
        <v/>
      </c>
      <c r="K820">
        <f>IF($B820="","",IF(COUNTIF(Setup!$A$99:$A$128,$B820)&gt;0,0,1))</f>
        <v/>
      </c>
      <c r="L820">
        <f>IF($B820="","",IF(ISNUMBER(SEARCH("advance",$B820)),"ADV",IF(OR(ISNUMBER(SEARCH("payout",$B820)),ISNUMBER(SEARCH("pay out",$B820)),ISNUMBER(SEARCH("release",$B820))),"PAY","")))</f>
        <v/>
      </c>
      <c r="M820">
        <f>IF($B820="","",IF(ISNUMBER(SEARCH("bulk",$B820)),0,IF(ISNUMBER(SEARCH("fuel",$B820))+ISNUMBER(SEARCH("diesel",$B820))+ISNUMBER(SEARCH("krudo",$B820))+ISNUMBER(SEARCH("gasolina",$B820))&gt;0,1,0)))</f>
        <v/>
      </c>
      <c r="N820">
        <f>IF($B820="","",IF(ISNUMBER(SEARCH("fuel",$B820))+ISNUMBER(SEARCH("diesel",$B820))+ISNUMBER(SEARCH("krudo",$B820))+ISNUMBER(SEARCH("gasolina",$B820))&gt;0,1,0))</f>
        <v/>
      </c>
    </row>
    <row r="821">
      <c r="A821" s="86" t="n"/>
      <c r="B821" s="88" t="n"/>
      <c r="C821" s="88" t="n"/>
      <c r="D821" s="87" t="n"/>
      <c r="E821" s="88" t="n"/>
      <c r="F821" s="92" t="n"/>
      <c r="G821" s="87" t="n"/>
      <c r="H821" s="87" t="n"/>
      <c r="I821" s="101">
        <f>IF($B821="","",IF(COUNTIF(Setup!$A$99:$A$128,$B821)&gt;0,IF(INDEX(Setup!$B$99:$B$128,MATCH($B821,Setup!$A$99:$A$128,0))="","Overhead",INDEX(Setup!$B$99:$B$128,MATCH($B821,Setup!$A$99:$A$128,0))),IF(ISNUMBER(SEARCH("advance",$B821))+ISNUMBER(SEARCH("payout",$B821))+ISNUMBER(SEARCH("pay out",$B821))+ISNUMBER(SEARCH("reimburs",$B821))&gt;0,"Transfer",IF(ISNUMBER(SEARCH("loan",$B821))+ISNUMBER(SEARCH("amort",$B821))+ISNUMBER(SEARCH("installment",$B821))+ISNUMBER(SEARCH("instalment",$B821))&gt;0,"Financing",IF(ISNUMBER(SEARCH("draw",$B821))+ISNUMBER(SEARCH("owner",$B821))+ISNUMBER(SEARCH("asset",$B821))+ISNUMBER(SEARCH("capital",$B821))&gt;0,"Other",IF(ISNUMBER(SEARCH("fuel",$B821))+ISNUMBER(SEARCH("diesel",$B821))+ISNUMBER(SEARCH("krudo",$B821))+ISNUMBER(SEARCH("gasolina",$B821))+ISNUMBER(SEARCH("toll",$B821))+ISNUMBER(SEARCH("parking",$B821))+ISNUMBER(SEARCH("repair",$B821))+ISNUMBER(SEARCH("maintenance",$B821))+ISNUMBER(SEARCH("tire",$B821))+ISNUMBER(SEARCH("tyre",$B821))+ISNUMBER(SEARCH("battery",$B821))+ISNUMBER(SEARCH("oil",$B821))+ISNUMBER(SEARCH("filter",$B821))+ISNUMBER(SEARCH("spare",$B821))+ISNUMBER(SEARCH("insurance",$B821))+ISNUMBER(SEARCH("lto",$B821))+ISNUMBER(SEARCH("registration",$B821))+ISNUMBER(SEARCH("emission",$B821))+ISNUMBER(SEARCH("wash",$B821))+ISNUMBER(SEARCH("weigh",$B821))+ISNUMBER(SEARCH("tarp",$B821))&gt;0,"Vehicle",IF(ISNUMBER(SEARCH("rent",$B821))+ISNUMBER(SEARCH("upa",$B821))+ISNUMBER(SEARCH("salary",$B821))+ISNUMBER(SEARCH("sweldo",$B821))+ISNUMBER(SEARCH("wage",$B821))+ISNUMBER(SEARCH("electric",$B821))+ISNUMBER(SEARCH("kuryente",$B821))+ISNUMBER(SEARCH("water",$B821))+ISNUMBER(SEARCH("tubig",$B821))+ISNUMBER(SEARCH("internet",$B821))+ISNUMBER(SEARCH("pldt",$B821))+ISNUMBER(SEARCH("meralco",$B821))+ISNUMBER(SEARCH("supplies",$B821))+ISNUMBER(SEARCH("office",$B821))+ISNUMBER(SEARCH("professional",$B821))+ISNUMBER(SEARCH("accountant",$B821))+ISNUMBER(SEARCH("lawyer",$B821))+ISNUMBER(SEARCH("broker",$B821))+ISNUMBER(SEARCH("bank",$B821))+ISNUMBER(SEARCH("charge",$B821))+ISNUMBER(SEARCH("permit",$B821))+ISNUMBER(SEARCH("bir",$B821))+ISNUMBER(SEARCH("ltfrb",$B821))+ISNUMBER(SEARCH("misc",$B821))+ISNUMBER(SEARCH("fee",$B821))&gt;0,"Overhead","Overhead")))))))</f>
        <v/>
      </c>
      <c r="J821">
        <f>IF($A821="","",DATE(YEAR($A821),MONTH($A821),1))</f>
        <v/>
      </c>
      <c r="K821">
        <f>IF($B821="","",IF(COUNTIF(Setup!$A$99:$A$128,$B821)&gt;0,0,1))</f>
        <v/>
      </c>
      <c r="L821">
        <f>IF($B821="","",IF(ISNUMBER(SEARCH("advance",$B821)),"ADV",IF(OR(ISNUMBER(SEARCH("payout",$B821)),ISNUMBER(SEARCH("pay out",$B821)),ISNUMBER(SEARCH("release",$B821))),"PAY","")))</f>
        <v/>
      </c>
      <c r="M821">
        <f>IF($B821="","",IF(ISNUMBER(SEARCH("bulk",$B821)),0,IF(ISNUMBER(SEARCH("fuel",$B821))+ISNUMBER(SEARCH("diesel",$B821))+ISNUMBER(SEARCH("krudo",$B821))+ISNUMBER(SEARCH("gasolina",$B821))&gt;0,1,0)))</f>
        <v/>
      </c>
      <c r="N821">
        <f>IF($B821="","",IF(ISNUMBER(SEARCH("fuel",$B821))+ISNUMBER(SEARCH("diesel",$B821))+ISNUMBER(SEARCH("krudo",$B821))+ISNUMBER(SEARCH("gasolina",$B821))&gt;0,1,0))</f>
        <v/>
      </c>
    </row>
    <row r="822">
      <c r="A822" s="94" t="n"/>
      <c r="B822" s="96" t="n"/>
      <c r="C822" s="96" t="n"/>
      <c r="D822" s="95" t="n"/>
      <c r="E822" s="96" t="n"/>
      <c r="F822" s="99" t="n"/>
      <c r="G822" s="95" t="n"/>
      <c r="H822" s="95" t="n"/>
      <c r="I822" s="101">
        <f>IF($B822="","",IF(COUNTIF(Setup!$A$99:$A$128,$B822)&gt;0,IF(INDEX(Setup!$B$99:$B$128,MATCH($B822,Setup!$A$99:$A$128,0))="","Overhead",INDEX(Setup!$B$99:$B$128,MATCH($B822,Setup!$A$99:$A$128,0))),IF(ISNUMBER(SEARCH("advance",$B822))+ISNUMBER(SEARCH("payout",$B822))+ISNUMBER(SEARCH("pay out",$B822))+ISNUMBER(SEARCH("reimburs",$B822))&gt;0,"Transfer",IF(ISNUMBER(SEARCH("loan",$B822))+ISNUMBER(SEARCH("amort",$B822))+ISNUMBER(SEARCH("installment",$B822))+ISNUMBER(SEARCH("instalment",$B822))&gt;0,"Financing",IF(ISNUMBER(SEARCH("draw",$B822))+ISNUMBER(SEARCH("owner",$B822))+ISNUMBER(SEARCH("asset",$B822))+ISNUMBER(SEARCH("capital",$B822))&gt;0,"Other",IF(ISNUMBER(SEARCH("fuel",$B822))+ISNUMBER(SEARCH("diesel",$B822))+ISNUMBER(SEARCH("krudo",$B822))+ISNUMBER(SEARCH("gasolina",$B822))+ISNUMBER(SEARCH("toll",$B822))+ISNUMBER(SEARCH("parking",$B822))+ISNUMBER(SEARCH("repair",$B822))+ISNUMBER(SEARCH("maintenance",$B822))+ISNUMBER(SEARCH("tire",$B822))+ISNUMBER(SEARCH("tyre",$B822))+ISNUMBER(SEARCH("battery",$B822))+ISNUMBER(SEARCH("oil",$B822))+ISNUMBER(SEARCH("filter",$B822))+ISNUMBER(SEARCH("spare",$B822))+ISNUMBER(SEARCH("insurance",$B822))+ISNUMBER(SEARCH("lto",$B822))+ISNUMBER(SEARCH("registration",$B822))+ISNUMBER(SEARCH("emission",$B822))+ISNUMBER(SEARCH("wash",$B822))+ISNUMBER(SEARCH("weigh",$B822))+ISNUMBER(SEARCH("tarp",$B822))&gt;0,"Vehicle",IF(ISNUMBER(SEARCH("rent",$B822))+ISNUMBER(SEARCH("upa",$B822))+ISNUMBER(SEARCH("salary",$B822))+ISNUMBER(SEARCH("sweldo",$B822))+ISNUMBER(SEARCH("wage",$B822))+ISNUMBER(SEARCH("electric",$B822))+ISNUMBER(SEARCH("kuryente",$B822))+ISNUMBER(SEARCH("water",$B822))+ISNUMBER(SEARCH("tubig",$B822))+ISNUMBER(SEARCH("internet",$B822))+ISNUMBER(SEARCH("pldt",$B822))+ISNUMBER(SEARCH("meralco",$B822))+ISNUMBER(SEARCH("supplies",$B822))+ISNUMBER(SEARCH("office",$B822))+ISNUMBER(SEARCH("professional",$B822))+ISNUMBER(SEARCH("accountant",$B822))+ISNUMBER(SEARCH("lawyer",$B822))+ISNUMBER(SEARCH("broker",$B822))+ISNUMBER(SEARCH("bank",$B822))+ISNUMBER(SEARCH("charge",$B822))+ISNUMBER(SEARCH("permit",$B822))+ISNUMBER(SEARCH("bir",$B822))+ISNUMBER(SEARCH("ltfrb",$B822))+ISNUMBER(SEARCH("misc",$B822))+ISNUMBER(SEARCH("fee",$B822))&gt;0,"Overhead","Overhead")))))))</f>
        <v/>
      </c>
      <c r="J822">
        <f>IF($A822="","",DATE(YEAR($A822),MONTH($A822),1))</f>
        <v/>
      </c>
      <c r="K822">
        <f>IF($B822="","",IF(COUNTIF(Setup!$A$99:$A$128,$B822)&gt;0,0,1))</f>
        <v/>
      </c>
      <c r="L822">
        <f>IF($B822="","",IF(ISNUMBER(SEARCH("advance",$B822)),"ADV",IF(OR(ISNUMBER(SEARCH("payout",$B822)),ISNUMBER(SEARCH("pay out",$B822)),ISNUMBER(SEARCH("release",$B822))),"PAY","")))</f>
        <v/>
      </c>
      <c r="M822">
        <f>IF($B822="","",IF(ISNUMBER(SEARCH("bulk",$B822)),0,IF(ISNUMBER(SEARCH("fuel",$B822))+ISNUMBER(SEARCH("diesel",$B822))+ISNUMBER(SEARCH("krudo",$B822))+ISNUMBER(SEARCH("gasolina",$B822))&gt;0,1,0)))</f>
        <v/>
      </c>
      <c r="N822">
        <f>IF($B822="","",IF(ISNUMBER(SEARCH("fuel",$B822))+ISNUMBER(SEARCH("diesel",$B822))+ISNUMBER(SEARCH("krudo",$B822))+ISNUMBER(SEARCH("gasolina",$B822))&gt;0,1,0))</f>
        <v/>
      </c>
    </row>
    <row r="823">
      <c r="A823" s="86" t="n"/>
      <c r="B823" s="88" t="n"/>
      <c r="C823" s="88" t="n"/>
      <c r="D823" s="87" t="n"/>
      <c r="E823" s="88" t="n"/>
      <c r="F823" s="92" t="n"/>
      <c r="G823" s="87" t="n"/>
      <c r="H823" s="87" t="n"/>
      <c r="I823" s="101">
        <f>IF($B823="","",IF(COUNTIF(Setup!$A$99:$A$128,$B823)&gt;0,IF(INDEX(Setup!$B$99:$B$128,MATCH($B823,Setup!$A$99:$A$128,0))="","Overhead",INDEX(Setup!$B$99:$B$128,MATCH($B823,Setup!$A$99:$A$128,0))),IF(ISNUMBER(SEARCH("advance",$B823))+ISNUMBER(SEARCH("payout",$B823))+ISNUMBER(SEARCH("pay out",$B823))+ISNUMBER(SEARCH("reimburs",$B823))&gt;0,"Transfer",IF(ISNUMBER(SEARCH("loan",$B823))+ISNUMBER(SEARCH("amort",$B823))+ISNUMBER(SEARCH("installment",$B823))+ISNUMBER(SEARCH("instalment",$B823))&gt;0,"Financing",IF(ISNUMBER(SEARCH("draw",$B823))+ISNUMBER(SEARCH("owner",$B823))+ISNUMBER(SEARCH("asset",$B823))+ISNUMBER(SEARCH("capital",$B823))&gt;0,"Other",IF(ISNUMBER(SEARCH("fuel",$B823))+ISNUMBER(SEARCH("diesel",$B823))+ISNUMBER(SEARCH("krudo",$B823))+ISNUMBER(SEARCH("gasolina",$B823))+ISNUMBER(SEARCH("toll",$B823))+ISNUMBER(SEARCH("parking",$B823))+ISNUMBER(SEARCH("repair",$B823))+ISNUMBER(SEARCH("maintenance",$B823))+ISNUMBER(SEARCH("tire",$B823))+ISNUMBER(SEARCH("tyre",$B823))+ISNUMBER(SEARCH("battery",$B823))+ISNUMBER(SEARCH("oil",$B823))+ISNUMBER(SEARCH("filter",$B823))+ISNUMBER(SEARCH("spare",$B823))+ISNUMBER(SEARCH("insurance",$B823))+ISNUMBER(SEARCH("lto",$B823))+ISNUMBER(SEARCH("registration",$B823))+ISNUMBER(SEARCH("emission",$B823))+ISNUMBER(SEARCH("wash",$B823))+ISNUMBER(SEARCH("weigh",$B823))+ISNUMBER(SEARCH("tarp",$B823))&gt;0,"Vehicle",IF(ISNUMBER(SEARCH("rent",$B823))+ISNUMBER(SEARCH("upa",$B823))+ISNUMBER(SEARCH("salary",$B823))+ISNUMBER(SEARCH("sweldo",$B823))+ISNUMBER(SEARCH("wage",$B823))+ISNUMBER(SEARCH("electric",$B823))+ISNUMBER(SEARCH("kuryente",$B823))+ISNUMBER(SEARCH("water",$B823))+ISNUMBER(SEARCH("tubig",$B823))+ISNUMBER(SEARCH("internet",$B823))+ISNUMBER(SEARCH("pldt",$B823))+ISNUMBER(SEARCH("meralco",$B823))+ISNUMBER(SEARCH("supplies",$B823))+ISNUMBER(SEARCH("office",$B823))+ISNUMBER(SEARCH("professional",$B823))+ISNUMBER(SEARCH("accountant",$B823))+ISNUMBER(SEARCH("lawyer",$B823))+ISNUMBER(SEARCH("broker",$B823))+ISNUMBER(SEARCH("bank",$B823))+ISNUMBER(SEARCH("charge",$B823))+ISNUMBER(SEARCH("permit",$B823))+ISNUMBER(SEARCH("bir",$B823))+ISNUMBER(SEARCH("ltfrb",$B823))+ISNUMBER(SEARCH("misc",$B823))+ISNUMBER(SEARCH("fee",$B823))&gt;0,"Overhead","Overhead")))))))</f>
        <v/>
      </c>
      <c r="J823">
        <f>IF($A823="","",DATE(YEAR($A823),MONTH($A823),1))</f>
        <v/>
      </c>
      <c r="K823">
        <f>IF($B823="","",IF(COUNTIF(Setup!$A$99:$A$128,$B823)&gt;0,0,1))</f>
        <v/>
      </c>
      <c r="L823">
        <f>IF($B823="","",IF(ISNUMBER(SEARCH("advance",$B823)),"ADV",IF(OR(ISNUMBER(SEARCH("payout",$B823)),ISNUMBER(SEARCH("pay out",$B823)),ISNUMBER(SEARCH("release",$B823))),"PAY","")))</f>
        <v/>
      </c>
      <c r="M823">
        <f>IF($B823="","",IF(ISNUMBER(SEARCH("bulk",$B823)),0,IF(ISNUMBER(SEARCH("fuel",$B823))+ISNUMBER(SEARCH("diesel",$B823))+ISNUMBER(SEARCH("krudo",$B823))+ISNUMBER(SEARCH("gasolina",$B823))&gt;0,1,0)))</f>
        <v/>
      </c>
      <c r="N823">
        <f>IF($B823="","",IF(ISNUMBER(SEARCH("fuel",$B823))+ISNUMBER(SEARCH("diesel",$B823))+ISNUMBER(SEARCH("krudo",$B823))+ISNUMBER(SEARCH("gasolina",$B823))&gt;0,1,0))</f>
        <v/>
      </c>
    </row>
    <row r="824">
      <c r="A824" s="94" t="n"/>
      <c r="B824" s="96" t="n"/>
      <c r="C824" s="96" t="n"/>
      <c r="D824" s="95" t="n"/>
      <c r="E824" s="96" t="n"/>
      <c r="F824" s="99" t="n"/>
      <c r="G824" s="95" t="n"/>
      <c r="H824" s="95" t="n"/>
      <c r="I824" s="101">
        <f>IF($B824="","",IF(COUNTIF(Setup!$A$99:$A$128,$B824)&gt;0,IF(INDEX(Setup!$B$99:$B$128,MATCH($B824,Setup!$A$99:$A$128,0))="","Overhead",INDEX(Setup!$B$99:$B$128,MATCH($B824,Setup!$A$99:$A$128,0))),IF(ISNUMBER(SEARCH("advance",$B824))+ISNUMBER(SEARCH("payout",$B824))+ISNUMBER(SEARCH("pay out",$B824))+ISNUMBER(SEARCH("reimburs",$B824))&gt;0,"Transfer",IF(ISNUMBER(SEARCH("loan",$B824))+ISNUMBER(SEARCH("amort",$B824))+ISNUMBER(SEARCH("installment",$B824))+ISNUMBER(SEARCH("instalment",$B824))&gt;0,"Financing",IF(ISNUMBER(SEARCH("draw",$B824))+ISNUMBER(SEARCH("owner",$B824))+ISNUMBER(SEARCH("asset",$B824))+ISNUMBER(SEARCH("capital",$B824))&gt;0,"Other",IF(ISNUMBER(SEARCH("fuel",$B824))+ISNUMBER(SEARCH("diesel",$B824))+ISNUMBER(SEARCH("krudo",$B824))+ISNUMBER(SEARCH("gasolina",$B824))+ISNUMBER(SEARCH("toll",$B824))+ISNUMBER(SEARCH("parking",$B824))+ISNUMBER(SEARCH("repair",$B824))+ISNUMBER(SEARCH("maintenance",$B824))+ISNUMBER(SEARCH("tire",$B824))+ISNUMBER(SEARCH("tyre",$B824))+ISNUMBER(SEARCH("battery",$B824))+ISNUMBER(SEARCH("oil",$B824))+ISNUMBER(SEARCH("filter",$B824))+ISNUMBER(SEARCH("spare",$B824))+ISNUMBER(SEARCH("insurance",$B824))+ISNUMBER(SEARCH("lto",$B824))+ISNUMBER(SEARCH("registration",$B824))+ISNUMBER(SEARCH("emission",$B824))+ISNUMBER(SEARCH("wash",$B824))+ISNUMBER(SEARCH("weigh",$B824))+ISNUMBER(SEARCH("tarp",$B824))&gt;0,"Vehicle",IF(ISNUMBER(SEARCH("rent",$B824))+ISNUMBER(SEARCH("upa",$B824))+ISNUMBER(SEARCH("salary",$B824))+ISNUMBER(SEARCH("sweldo",$B824))+ISNUMBER(SEARCH("wage",$B824))+ISNUMBER(SEARCH("electric",$B824))+ISNUMBER(SEARCH("kuryente",$B824))+ISNUMBER(SEARCH("water",$B824))+ISNUMBER(SEARCH("tubig",$B824))+ISNUMBER(SEARCH("internet",$B824))+ISNUMBER(SEARCH("pldt",$B824))+ISNUMBER(SEARCH("meralco",$B824))+ISNUMBER(SEARCH("supplies",$B824))+ISNUMBER(SEARCH("office",$B824))+ISNUMBER(SEARCH("professional",$B824))+ISNUMBER(SEARCH("accountant",$B824))+ISNUMBER(SEARCH("lawyer",$B824))+ISNUMBER(SEARCH("broker",$B824))+ISNUMBER(SEARCH("bank",$B824))+ISNUMBER(SEARCH("charge",$B824))+ISNUMBER(SEARCH("permit",$B824))+ISNUMBER(SEARCH("bir",$B824))+ISNUMBER(SEARCH("ltfrb",$B824))+ISNUMBER(SEARCH("misc",$B824))+ISNUMBER(SEARCH("fee",$B824))&gt;0,"Overhead","Overhead")))))))</f>
        <v/>
      </c>
      <c r="J824">
        <f>IF($A824="","",DATE(YEAR($A824),MONTH($A824),1))</f>
        <v/>
      </c>
      <c r="K824">
        <f>IF($B824="","",IF(COUNTIF(Setup!$A$99:$A$128,$B824)&gt;0,0,1))</f>
        <v/>
      </c>
      <c r="L824">
        <f>IF($B824="","",IF(ISNUMBER(SEARCH("advance",$B824)),"ADV",IF(OR(ISNUMBER(SEARCH("payout",$B824)),ISNUMBER(SEARCH("pay out",$B824)),ISNUMBER(SEARCH("release",$B824))),"PAY","")))</f>
        <v/>
      </c>
      <c r="M824">
        <f>IF($B824="","",IF(ISNUMBER(SEARCH("bulk",$B824)),0,IF(ISNUMBER(SEARCH("fuel",$B824))+ISNUMBER(SEARCH("diesel",$B824))+ISNUMBER(SEARCH("krudo",$B824))+ISNUMBER(SEARCH("gasolina",$B824))&gt;0,1,0)))</f>
        <v/>
      </c>
      <c r="N824">
        <f>IF($B824="","",IF(ISNUMBER(SEARCH("fuel",$B824))+ISNUMBER(SEARCH("diesel",$B824))+ISNUMBER(SEARCH("krudo",$B824))+ISNUMBER(SEARCH("gasolina",$B824))&gt;0,1,0))</f>
        <v/>
      </c>
    </row>
    <row r="825">
      <c r="A825" s="86" t="n"/>
      <c r="B825" s="88" t="n"/>
      <c r="C825" s="88" t="n"/>
      <c r="D825" s="87" t="n"/>
      <c r="E825" s="88" t="n"/>
      <c r="F825" s="92" t="n"/>
      <c r="G825" s="87" t="n"/>
      <c r="H825" s="87" t="n"/>
      <c r="I825" s="101">
        <f>IF($B825="","",IF(COUNTIF(Setup!$A$99:$A$128,$B825)&gt;0,IF(INDEX(Setup!$B$99:$B$128,MATCH($B825,Setup!$A$99:$A$128,0))="","Overhead",INDEX(Setup!$B$99:$B$128,MATCH($B825,Setup!$A$99:$A$128,0))),IF(ISNUMBER(SEARCH("advance",$B825))+ISNUMBER(SEARCH("payout",$B825))+ISNUMBER(SEARCH("pay out",$B825))+ISNUMBER(SEARCH("reimburs",$B825))&gt;0,"Transfer",IF(ISNUMBER(SEARCH("loan",$B825))+ISNUMBER(SEARCH("amort",$B825))+ISNUMBER(SEARCH("installment",$B825))+ISNUMBER(SEARCH("instalment",$B825))&gt;0,"Financing",IF(ISNUMBER(SEARCH("draw",$B825))+ISNUMBER(SEARCH("owner",$B825))+ISNUMBER(SEARCH("asset",$B825))+ISNUMBER(SEARCH("capital",$B825))&gt;0,"Other",IF(ISNUMBER(SEARCH("fuel",$B825))+ISNUMBER(SEARCH("diesel",$B825))+ISNUMBER(SEARCH("krudo",$B825))+ISNUMBER(SEARCH("gasolina",$B825))+ISNUMBER(SEARCH("toll",$B825))+ISNUMBER(SEARCH("parking",$B825))+ISNUMBER(SEARCH("repair",$B825))+ISNUMBER(SEARCH("maintenance",$B825))+ISNUMBER(SEARCH("tire",$B825))+ISNUMBER(SEARCH("tyre",$B825))+ISNUMBER(SEARCH("battery",$B825))+ISNUMBER(SEARCH("oil",$B825))+ISNUMBER(SEARCH("filter",$B825))+ISNUMBER(SEARCH("spare",$B825))+ISNUMBER(SEARCH("insurance",$B825))+ISNUMBER(SEARCH("lto",$B825))+ISNUMBER(SEARCH("registration",$B825))+ISNUMBER(SEARCH("emission",$B825))+ISNUMBER(SEARCH("wash",$B825))+ISNUMBER(SEARCH("weigh",$B825))+ISNUMBER(SEARCH("tarp",$B825))&gt;0,"Vehicle",IF(ISNUMBER(SEARCH("rent",$B825))+ISNUMBER(SEARCH("upa",$B825))+ISNUMBER(SEARCH("salary",$B825))+ISNUMBER(SEARCH("sweldo",$B825))+ISNUMBER(SEARCH("wage",$B825))+ISNUMBER(SEARCH("electric",$B825))+ISNUMBER(SEARCH("kuryente",$B825))+ISNUMBER(SEARCH("water",$B825))+ISNUMBER(SEARCH("tubig",$B825))+ISNUMBER(SEARCH("internet",$B825))+ISNUMBER(SEARCH("pldt",$B825))+ISNUMBER(SEARCH("meralco",$B825))+ISNUMBER(SEARCH("supplies",$B825))+ISNUMBER(SEARCH("office",$B825))+ISNUMBER(SEARCH("professional",$B825))+ISNUMBER(SEARCH("accountant",$B825))+ISNUMBER(SEARCH("lawyer",$B825))+ISNUMBER(SEARCH("broker",$B825))+ISNUMBER(SEARCH("bank",$B825))+ISNUMBER(SEARCH("charge",$B825))+ISNUMBER(SEARCH("permit",$B825))+ISNUMBER(SEARCH("bir",$B825))+ISNUMBER(SEARCH("ltfrb",$B825))+ISNUMBER(SEARCH("misc",$B825))+ISNUMBER(SEARCH("fee",$B825))&gt;0,"Overhead","Overhead")))))))</f>
        <v/>
      </c>
      <c r="J825">
        <f>IF($A825="","",DATE(YEAR($A825),MONTH($A825),1))</f>
        <v/>
      </c>
      <c r="K825">
        <f>IF($B825="","",IF(COUNTIF(Setup!$A$99:$A$128,$B825)&gt;0,0,1))</f>
        <v/>
      </c>
      <c r="L825">
        <f>IF($B825="","",IF(ISNUMBER(SEARCH("advance",$B825)),"ADV",IF(OR(ISNUMBER(SEARCH("payout",$B825)),ISNUMBER(SEARCH("pay out",$B825)),ISNUMBER(SEARCH("release",$B825))),"PAY","")))</f>
        <v/>
      </c>
      <c r="M825">
        <f>IF($B825="","",IF(ISNUMBER(SEARCH("bulk",$B825)),0,IF(ISNUMBER(SEARCH("fuel",$B825))+ISNUMBER(SEARCH("diesel",$B825))+ISNUMBER(SEARCH("krudo",$B825))+ISNUMBER(SEARCH("gasolina",$B825))&gt;0,1,0)))</f>
        <v/>
      </c>
      <c r="N825">
        <f>IF($B825="","",IF(ISNUMBER(SEARCH("fuel",$B825))+ISNUMBER(SEARCH("diesel",$B825))+ISNUMBER(SEARCH("krudo",$B825))+ISNUMBER(SEARCH("gasolina",$B825))&gt;0,1,0))</f>
        <v/>
      </c>
    </row>
    <row r="826">
      <c r="A826" s="94" t="n"/>
      <c r="B826" s="96" t="n"/>
      <c r="C826" s="96" t="n"/>
      <c r="D826" s="95" t="n"/>
      <c r="E826" s="96" t="n"/>
      <c r="F826" s="99" t="n"/>
      <c r="G826" s="95" t="n"/>
      <c r="H826" s="95" t="n"/>
      <c r="I826" s="101">
        <f>IF($B826="","",IF(COUNTIF(Setup!$A$99:$A$128,$B826)&gt;0,IF(INDEX(Setup!$B$99:$B$128,MATCH($B826,Setup!$A$99:$A$128,0))="","Overhead",INDEX(Setup!$B$99:$B$128,MATCH($B826,Setup!$A$99:$A$128,0))),IF(ISNUMBER(SEARCH("advance",$B826))+ISNUMBER(SEARCH("payout",$B826))+ISNUMBER(SEARCH("pay out",$B826))+ISNUMBER(SEARCH("reimburs",$B826))&gt;0,"Transfer",IF(ISNUMBER(SEARCH("loan",$B826))+ISNUMBER(SEARCH("amort",$B826))+ISNUMBER(SEARCH("installment",$B826))+ISNUMBER(SEARCH("instalment",$B826))&gt;0,"Financing",IF(ISNUMBER(SEARCH("draw",$B826))+ISNUMBER(SEARCH("owner",$B826))+ISNUMBER(SEARCH("asset",$B826))+ISNUMBER(SEARCH("capital",$B826))&gt;0,"Other",IF(ISNUMBER(SEARCH("fuel",$B826))+ISNUMBER(SEARCH("diesel",$B826))+ISNUMBER(SEARCH("krudo",$B826))+ISNUMBER(SEARCH("gasolina",$B826))+ISNUMBER(SEARCH("toll",$B826))+ISNUMBER(SEARCH("parking",$B826))+ISNUMBER(SEARCH("repair",$B826))+ISNUMBER(SEARCH("maintenance",$B826))+ISNUMBER(SEARCH("tire",$B826))+ISNUMBER(SEARCH("tyre",$B826))+ISNUMBER(SEARCH("battery",$B826))+ISNUMBER(SEARCH("oil",$B826))+ISNUMBER(SEARCH("filter",$B826))+ISNUMBER(SEARCH("spare",$B826))+ISNUMBER(SEARCH("insurance",$B826))+ISNUMBER(SEARCH("lto",$B826))+ISNUMBER(SEARCH("registration",$B826))+ISNUMBER(SEARCH("emission",$B826))+ISNUMBER(SEARCH("wash",$B826))+ISNUMBER(SEARCH("weigh",$B826))+ISNUMBER(SEARCH("tarp",$B826))&gt;0,"Vehicle",IF(ISNUMBER(SEARCH("rent",$B826))+ISNUMBER(SEARCH("upa",$B826))+ISNUMBER(SEARCH("salary",$B826))+ISNUMBER(SEARCH("sweldo",$B826))+ISNUMBER(SEARCH("wage",$B826))+ISNUMBER(SEARCH("electric",$B826))+ISNUMBER(SEARCH("kuryente",$B826))+ISNUMBER(SEARCH("water",$B826))+ISNUMBER(SEARCH("tubig",$B826))+ISNUMBER(SEARCH("internet",$B826))+ISNUMBER(SEARCH("pldt",$B826))+ISNUMBER(SEARCH("meralco",$B826))+ISNUMBER(SEARCH("supplies",$B826))+ISNUMBER(SEARCH("office",$B826))+ISNUMBER(SEARCH("professional",$B826))+ISNUMBER(SEARCH("accountant",$B826))+ISNUMBER(SEARCH("lawyer",$B826))+ISNUMBER(SEARCH("broker",$B826))+ISNUMBER(SEARCH("bank",$B826))+ISNUMBER(SEARCH("charge",$B826))+ISNUMBER(SEARCH("permit",$B826))+ISNUMBER(SEARCH("bir",$B826))+ISNUMBER(SEARCH("ltfrb",$B826))+ISNUMBER(SEARCH("misc",$B826))+ISNUMBER(SEARCH("fee",$B826))&gt;0,"Overhead","Overhead")))))))</f>
        <v/>
      </c>
      <c r="J826">
        <f>IF($A826="","",DATE(YEAR($A826),MONTH($A826),1))</f>
        <v/>
      </c>
      <c r="K826">
        <f>IF($B826="","",IF(COUNTIF(Setup!$A$99:$A$128,$B826)&gt;0,0,1))</f>
        <v/>
      </c>
      <c r="L826">
        <f>IF($B826="","",IF(ISNUMBER(SEARCH("advance",$B826)),"ADV",IF(OR(ISNUMBER(SEARCH("payout",$B826)),ISNUMBER(SEARCH("pay out",$B826)),ISNUMBER(SEARCH("release",$B826))),"PAY","")))</f>
        <v/>
      </c>
      <c r="M826">
        <f>IF($B826="","",IF(ISNUMBER(SEARCH("bulk",$B826)),0,IF(ISNUMBER(SEARCH("fuel",$B826))+ISNUMBER(SEARCH("diesel",$B826))+ISNUMBER(SEARCH("krudo",$B826))+ISNUMBER(SEARCH("gasolina",$B826))&gt;0,1,0)))</f>
        <v/>
      </c>
      <c r="N826">
        <f>IF($B826="","",IF(ISNUMBER(SEARCH("fuel",$B826))+ISNUMBER(SEARCH("diesel",$B826))+ISNUMBER(SEARCH("krudo",$B826))+ISNUMBER(SEARCH("gasolina",$B826))&gt;0,1,0))</f>
        <v/>
      </c>
    </row>
    <row r="827">
      <c r="A827" s="86" t="n"/>
      <c r="B827" s="88" t="n"/>
      <c r="C827" s="88" t="n"/>
      <c r="D827" s="87" t="n"/>
      <c r="E827" s="88" t="n"/>
      <c r="F827" s="92" t="n"/>
      <c r="G827" s="87" t="n"/>
      <c r="H827" s="87" t="n"/>
      <c r="I827" s="101">
        <f>IF($B827="","",IF(COUNTIF(Setup!$A$99:$A$128,$B827)&gt;0,IF(INDEX(Setup!$B$99:$B$128,MATCH($B827,Setup!$A$99:$A$128,0))="","Overhead",INDEX(Setup!$B$99:$B$128,MATCH($B827,Setup!$A$99:$A$128,0))),IF(ISNUMBER(SEARCH("advance",$B827))+ISNUMBER(SEARCH("payout",$B827))+ISNUMBER(SEARCH("pay out",$B827))+ISNUMBER(SEARCH("reimburs",$B827))&gt;0,"Transfer",IF(ISNUMBER(SEARCH("loan",$B827))+ISNUMBER(SEARCH("amort",$B827))+ISNUMBER(SEARCH("installment",$B827))+ISNUMBER(SEARCH("instalment",$B827))&gt;0,"Financing",IF(ISNUMBER(SEARCH("draw",$B827))+ISNUMBER(SEARCH("owner",$B827))+ISNUMBER(SEARCH("asset",$B827))+ISNUMBER(SEARCH("capital",$B827))&gt;0,"Other",IF(ISNUMBER(SEARCH("fuel",$B827))+ISNUMBER(SEARCH("diesel",$B827))+ISNUMBER(SEARCH("krudo",$B827))+ISNUMBER(SEARCH("gasolina",$B827))+ISNUMBER(SEARCH("toll",$B827))+ISNUMBER(SEARCH("parking",$B827))+ISNUMBER(SEARCH("repair",$B827))+ISNUMBER(SEARCH("maintenance",$B827))+ISNUMBER(SEARCH("tire",$B827))+ISNUMBER(SEARCH("tyre",$B827))+ISNUMBER(SEARCH("battery",$B827))+ISNUMBER(SEARCH("oil",$B827))+ISNUMBER(SEARCH("filter",$B827))+ISNUMBER(SEARCH("spare",$B827))+ISNUMBER(SEARCH("insurance",$B827))+ISNUMBER(SEARCH("lto",$B827))+ISNUMBER(SEARCH("registration",$B827))+ISNUMBER(SEARCH("emission",$B827))+ISNUMBER(SEARCH("wash",$B827))+ISNUMBER(SEARCH("weigh",$B827))+ISNUMBER(SEARCH("tarp",$B827))&gt;0,"Vehicle",IF(ISNUMBER(SEARCH("rent",$B827))+ISNUMBER(SEARCH("upa",$B827))+ISNUMBER(SEARCH("salary",$B827))+ISNUMBER(SEARCH("sweldo",$B827))+ISNUMBER(SEARCH("wage",$B827))+ISNUMBER(SEARCH("electric",$B827))+ISNUMBER(SEARCH("kuryente",$B827))+ISNUMBER(SEARCH("water",$B827))+ISNUMBER(SEARCH("tubig",$B827))+ISNUMBER(SEARCH("internet",$B827))+ISNUMBER(SEARCH("pldt",$B827))+ISNUMBER(SEARCH("meralco",$B827))+ISNUMBER(SEARCH("supplies",$B827))+ISNUMBER(SEARCH("office",$B827))+ISNUMBER(SEARCH("professional",$B827))+ISNUMBER(SEARCH("accountant",$B827))+ISNUMBER(SEARCH("lawyer",$B827))+ISNUMBER(SEARCH("broker",$B827))+ISNUMBER(SEARCH("bank",$B827))+ISNUMBER(SEARCH("charge",$B827))+ISNUMBER(SEARCH("permit",$B827))+ISNUMBER(SEARCH("bir",$B827))+ISNUMBER(SEARCH("ltfrb",$B827))+ISNUMBER(SEARCH("misc",$B827))+ISNUMBER(SEARCH("fee",$B827))&gt;0,"Overhead","Overhead")))))))</f>
        <v/>
      </c>
      <c r="J827">
        <f>IF($A827="","",DATE(YEAR($A827),MONTH($A827),1))</f>
        <v/>
      </c>
      <c r="K827">
        <f>IF($B827="","",IF(COUNTIF(Setup!$A$99:$A$128,$B827)&gt;0,0,1))</f>
        <v/>
      </c>
      <c r="L827">
        <f>IF($B827="","",IF(ISNUMBER(SEARCH("advance",$B827)),"ADV",IF(OR(ISNUMBER(SEARCH("payout",$B827)),ISNUMBER(SEARCH("pay out",$B827)),ISNUMBER(SEARCH("release",$B827))),"PAY","")))</f>
        <v/>
      </c>
      <c r="M827">
        <f>IF($B827="","",IF(ISNUMBER(SEARCH("bulk",$B827)),0,IF(ISNUMBER(SEARCH("fuel",$B827))+ISNUMBER(SEARCH("diesel",$B827))+ISNUMBER(SEARCH("krudo",$B827))+ISNUMBER(SEARCH("gasolina",$B827))&gt;0,1,0)))</f>
        <v/>
      </c>
      <c r="N827">
        <f>IF($B827="","",IF(ISNUMBER(SEARCH("fuel",$B827))+ISNUMBER(SEARCH("diesel",$B827))+ISNUMBER(SEARCH("krudo",$B827))+ISNUMBER(SEARCH("gasolina",$B827))&gt;0,1,0))</f>
        <v/>
      </c>
    </row>
    <row r="828">
      <c r="A828" s="94" t="n"/>
      <c r="B828" s="96" t="n"/>
      <c r="C828" s="96" t="n"/>
      <c r="D828" s="95" t="n"/>
      <c r="E828" s="96" t="n"/>
      <c r="F828" s="99" t="n"/>
      <c r="G828" s="95" t="n"/>
      <c r="H828" s="95" t="n"/>
      <c r="I828" s="101">
        <f>IF($B828="","",IF(COUNTIF(Setup!$A$99:$A$128,$B828)&gt;0,IF(INDEX(Setup!$B$99:$B$128,MATCH($B828,Setup!$A$99:$A$128,0))="","Overhead",INDEX(Setup!$B$99:$B$128,MATCH($B828,Setup!$A$99:$A$128,0))),IF(ISNUMBER(SEARCH("advance",$B828))+ISNUMBER(SEARCH("payout",$B828))+ISNUMBER(SEARCH("pay out",$B828))+ISNUMBER(SEARCH("reimburs",$B828))&gt;0,"Transfer",IF(ISNUMBER(SEARCH("loan",$B828))+ISNUMBER(SEARCH("amort",$B828))+ISNUMBER(SEARCH("installment",$B828))+ISNUMBER(SEARCH("instalment",$B828))&gt;0,"Financing",IF(ISNUMBER(SEARCH("draw",$B828))+ISNUMBER(SEARCH("owner",$B828))+ISNUMBER(SEARCH("asset",$B828))+ISNUMBER(SEARCH("capital",$B828))&gt;0,"Other",IF(ISNUMBER(SEARCH("fuel",$B828))+ISNUMBER(SEARCH("diesel",$B828))+ISNUMBER(SEARCH("krudo",$B828))+ISNUMBER(SEARCH("gasolina",$B828))+ISNUMBER(SEARCH("toll",$B828))+ISNUMBER(SEARCH("parking",$B828))+ISNUMBER(SEARCH("repair",$B828))+ISNUMBER(SEARCH("maintenance",$B828))+ISNUMBER(SEARCH("tire",$B828))+ISNUMBER(SEARCH("tyre",$B828))+ISNUMBER(SEARCH("battery",$B828))+ISNUMBER(SEARCH("oil",$B828))+ISNUMBER(SEARCH("filter",$B828))+ISNUMBER(SEARCH("spare",$B828))+ISNUMBER(SEARCH("insurance",$B828))+ISNUMBER(SEARCH("lto",$B828))+ISNUMBER(SEARCH("registration",$B828))+ISNUMBER(SEARCH("emission",$B828))+ISNUMBER(SEARCH("wash",$B828))+ISNUMBER(SEARCH("weigh",$B828))+ISNUMBER(SEARCH("tarp",$B828))&gt;0,"Vehicle",IF(ISNUMBER(SEARCH("rent",$B828))+ISNUMBER(SEARCH("upa",$B828))+ISNUMBER(SEARCH("salary",$B828))+ISNUMBER(SEARCH("sweldo",$B828))+ISNUMBER(SEARCH("wage",$B828))+ISNUMBER(SEARCH("electric",$B828))+ISNUMBER(SEARCH("kuryente",$B828))+ISNUMBER(SEARCH("water",$B828))+ISNUMBER(SEARCH("tubig",$B828))+ISNUMBER(SEARCH("internet",$B828))+ISNUMBER(SEARCH("pldt",$B828))+ISNUMBER(SEARCH("meralco",$B828))+ISNUMBER(SEARCH("supplies",$B828))+ISNUMBER(SEARCH("office",$B828))+ISNUMBER(SEARCH("professional",$B828))+ISNUMBER(SEARCH("accountant",$B828))+ISNUMBER(SEARCH("lawyer",$B828))+ISNUMBER(SEARCH("broker",$B828))+ISNUMBER(SEARCH("bank",$B828))+ISNUMBER(SEARCH("charge",$B828))+ISNUMBER(SEARCH("permit",$B828))+ISNUMBER(SEARCH("bir",$B828))+ISNUMBER(SEARCH("ltfrb",$B828))+ISNUMBER(SEARCH("misc",$B828))+ISNUMBER(SEARCH("fee",$B828))&gt;0,"Overhead","Overhead")))))))</f>
        <v/>
      </c>
      <c r="J828">
        <f>IF($A828="","",DATE(YEAR($A828),MONTH($A828),1))</f>
        <v/>
      </c>
      <c r="K828">
        <f>IF($B828="","",IF(COUNTIF(Setup!$A$99:$A$128,$B828)&gt;0,0,1))</f>
        <v/>
      </c>
      <c r="L828">
        <f>IF($B828="","",IF(ISNUMBER(SEARCH("advance",$B828)),"ADV",IF(OR(ISNUMBER(SEARCH("payout",$B828)),ISNUMBER(SEARCH("pay out",$B828)),ISNUMBER(SEARCH("release",$B828))),"PAY","")))</f>
        <v/>
      </c>
      <c r="M828">
        <f>IF($B828="","",IF(ISNUMBER(SEARCH("bulk",$B828)),0,IF(ISNUMBER(SEARCH("fuel",$B828))+ISNUMBER(SEARCH("diesel",$B828))+ISNUMBER(SEARCH("krudo",$B828))+ISNUMBER(SEARCH("gasolina",$B828))&gt;0,1,0)))</f>
        <v/>
      </c>
      <c r="N828">
        <f>IF($B828="","",IF(ISNUMBER(SEARCH("fuel",$B828))+ISNUMBER(SEARCH("diesel",$B828))+ISNUMBER(SEARCH("krudo",$B828))+ISNUMBER(SEARCH("gasolina",$B828))&gt;0,1,0))</f>
        <v/>
      </c>
    </row>
    <row r="829">
      <c r="A829" s="86" t="n"/>
      <c r="B829" s="88" t="n"/>
      <c r="C829" s="88" t="n"/>
      <c r="D829" s="87" t="n"/>
      <c r="E829" s="88" t="n"/>
      <c r="F829" s="92" t="n"/>
      <c r="G829" s="87" t="n"/>
      <c r="H829" s="87" t="n"/>
      <c r="I829" s="101">
        <f>IF($B829="","",IF(COUNTIF(Setup!$A$99:$A$128,$B829)&gt;0,IF(INDEX(Setup!$B$99:$B$128,MATCH($B829,Setup!$A$99:$A$128,0))="","Overhead",INDEX(Setup!$B$99:$B$128,MATCH($B829,Setup!$A$99:$A$128,0))),IF(ISNUMBER(SEARCH("advance",$B829))+ISNUMBER(SEARCH("payout",$B829))+ISNUMBER(SEARCH("pay out",$B829))+ISNUMBER(SEARCH("reimburs",$B829))&gt;0,"Transfer",IF(ISNUMBER(SEARCH("loan",$B829))+ISNUMBER(SEARCH("amort",$B829))+ISNUMBER(SEARCH("installment",$B829))+ISNUMBER(SEARCH("instalment",$B829))&gt;0,"Financing",IF(ISNUMBER(SEARCH("draw",$B829))+ISNUMBER(SEARCH("owner",$B829))+ISNUMBER(SEARCH("asset",$B829))+ISNUMBER(SEARCH("capital",$B829))&gt;0,"Other",IF(ISNUMBER(SEARCH("fuel",$B829))+ISNUMBER(SEARCH("diesel",$B829))+ISNUMBER(SEARCH("krudo",$B829))+ISNUMBER(SEARCH("gasolina",$B829))+ISNUMBER(SEARCH("toll",$B829))+ISNUMBER(SEARCH("parking",$B829))+ISNUMBER(SEARCH("repair",$B829))+ISNUMBER(SEARCH("maintenance",$B829))+ISNUMBER(SEARCH("tire",$B829))+ISNUMBER(SEARCH("tyre",$B829))+ISNUMBER(SEARCH("battery",$B829))+ISNUMBER(SEARCH("oil",$B829))+ISNUMBER(SEARCH("filter",$B829))+ISNUMBER(SEARCH("spare",$B829))+ISNUMBER(SEARCH("insurance",$B829))+ISNUMBER(SEARCH("lto",$B829))+ISNUMBER(SEARCH("registration",$B829))+ISNUMBER(SEARCH("emission",$B829))+ISNUMBER(SEARCH("wash",$B829))+ISNUMBER(SEARCH("weigh",$B829))+ISNUMBER(SEARCH("tarp",$B829))&gt;0,"Vehicle",IF(ISNUMBER(SEARCH("rent",$B829))+ISNUMBER(SEARCH("upa",$B829))+ISNUMBER(SEARCH("salary",$B829))+ISNUMBER(SEARCH("sweldo",$B829))+ISNUMBER(SEARCH("wage",$B829))+ISNUMBER(SEARCH("electric",$B829))+ISNUMBER(SEARCH("kuryente",$B829))+ISNUMBER(SEARCH("water",$B829))+ISNUMBER(SEARCH("tubig",$B829))+ISNUMBER(SEARCH("internet",$B829))+ISNUMBER(SEARCH("pldt",$B829))+ISNUMBER(SEARCH("meralco",$B829))+ISNUMBER(SEARCH("supplies",$B829))+ISNUMBER(SEARCH("office",$B829))+ISNUMBER(SEARCH("professional",$B829))+ISNUMBER(SEARCH("accountant",$B829))+ISNUMBER(SEARCH("lawyer",$B829))+ISNUMBER(SEARCH("broker",$B829))+ISNUMBER(SEARCH("bank",$B829))+ISNUMBER(SEARCH("charge",$B829))+ISNUMBER(SEARCH("permit",$B829))+ISNUMBER(SEARCH("bir",$B829))+ISNUMBER(SEARCH("ltfrb",$B829))+ISNUMBER(SEARCH("misc",$B829))+ISNUMBER(SEARCH("fee",$B829))&gt;0,"Overhead","Overhead")))))))</f>
        <v/>
      </c>
      <c r="J829">
        <f>IF($A829="","",DATE(YEAR($A829),MONTH($A829),1))</f>
        <v/>
      </c>
      <c r="K829">
        <f>IF($B829="","",IF(COUNTIF(Setup!$A$99:$A$128,$B829)&gt;0,0,1))</f>
        <v/>
      </c>
      <c r="L829">
        <f>IF($B829="","",IF(ISNUMBER(SEARCH("advance",$B829)),"ADV",IF(OR(ISNUMBER(SEARCH("payout",$B829)),ISNUMBER(SEARCH("pay out",$B829)),ISNUMBER(SEARCH("release",$B829))),"PAY","")))</f>
        <v/>
      </c>
      <c r="M829">
        <f>IF($B829="","",IF(ISNUMBER(SEARCH("bulk",$B829)),0,IF(ISNUMBER(SEARCH("fuel",$B829))+ISNUMBER(SEARCH("diesel",$B829))+ISNUMBER(SEARCH("krudo",$B829))+ISNUMBER(SEARCH("gasolina",$B829))&gt;0,1,0)))</f>
        <v/>
      </c>
      <c r="N829">
        <f>IF($B829="","",IF(ISNUMBER(SEARCH("fuel",$B829))+ISNUMBER(SEARCH("diesel",$B829))+ISNUMBER(SEARCH("krudo",$B829))+ISNUMBER(SEARCH("gasolina",$B829))&gt;0,1,0))</f>
        <v/>
      </c>
    </row>
    <row r="830">
      <c r="A830" s="94" t="n"/>
      <c r="B830" s="96" t="n"/>
      <c r="C830" s="96" t="n"/>
      <c r="D830" s="95" t="n"/>
      <c r="E830" s="96" t="n"/>
      <c r="F830" s="99" t="n"/>
      <c r="G830" s="95" t="n"/>
      <c r="H830" s="95" t="n"/>
      <c r="I830" s="101">
        <f>IF($B830="","",IF(COUNTIF(Setup!$A$99:$A$128,$B830)&gt;0,IF(INDEX(Setup!$B$99:$B$128,MATCH($B830,Setup!$A$99:$A$128,0))="","Overhead",INDEX(Setup!$B$99:$B$128,MATCH($B830,Setup!$A$99:$A$128,0))),IF(ISNUMBER(SEARCH("advance",$B830))+ISNUMBER(SEARCH("payout",$B830))+ISNUMBER(SEARCH("pay out",$B830))+ISNUMBER(SEARCH("reimburs",$B830))&gt;0,"Transfer",IF(ISNUMBER(SEARCH("loan",$B830))+ISNUMBER(SEARCH("amort",$B830))+ISNUMBER(SEARCH("installment",$B830))+ISNUMBER(SEARCH("instalment",$B830))&gt;0,"Financing",IF(ISNUMBER(SEARCH("draw",$B830))+ISNUMBER(SEARCH("owner",$B830))+ISNUMBER(SEARCH("asset",$B830))+ISNUMBER(SEARCH("capital",$B830))&gt;0,"Other",IF(ISNUMBER(SEARCH("fuel",$B830))+ISNUMBER(SEARCH("diesel",$B830))+ISNUMBER(SEARCH("krudo",$B830))+ISNUMBER(SEARCH("gasolina",$B830))+ISNUMBER(SEARCH("toll",$B830))+ISNUMBER(SEARCH("parking",$B830))+ISNUMBER(SEARCH("repair",$B830))+ISNUMBER(SEARCH("maintenance",$B830))+ISNUMBER(SEARCH("tire",$B830))+ISNUMBER(SEARCH("tyre",$B830))+ISNUMBER(SEARCH("battery",$B830))+ISNUMBER(SEARCH("oil",$B830))+ISNUMBER(SEARCH("filter",$B830))+ISNUMBER(SEARCH("spare",$B830))+ISNUMBER(SEARCH("insurance",$B830))+ISNUMBER(SEARCH("lto",$B830))+ISNUMBER(SEARCH("registration",$B830))+ISNUMBER(SEARCH("emission",$B830))+ISNUMBER(SEARCH("wash",$B830))+ISNUMBER(SEARCH("weigh",$B830))+ISNUMBER(SEARCH("tarp",$B830))&gt;0,"Vehicle",IF(ISNUMBER(SEARCH("rent",$B830))+ISNUMBER(SEARCH("upa",$B830))+ISNUMBER(SEARCH("salary",$B830))+ISNUMBER(SEARCH("sweldo",$B830))+ISNUMBER(SEARCH("wage",$B830))+ISNUMBER(SEARCH("electric",$B830))+ISNUMBER(SEARCH("kuryente",$B830))+ISNUMBER(SEARCH("water",$B830))+ISNUMBER(SEARCH("tubig",$B830))+ISNUMBER(SEARCH("internet",$B830))+ISNUMBER(SEARCH("pldt",$B830))+ISNUMBER(SEARCH("meralco",$B830))+ISNUMBER(SEARCH("supplies",$B830))+ISNUMBER(SEARCH("office",$B830))+ISNUMBER(SEARCH("professional",$B830))+ISNUMBER(SEARCH("accountant",$B830))+ISNUMBER(SEARCH("lawyer",$B830))+ISNUMBER(SEARCH("broker",$B830))+ISNUMBER(SEARCH("bank",$B830))+ISNUMBER(SEARCH("charge",$B830))+ISNUMBER(SEARCH("permit",$B830))+ISNUMBER(SEARCH("bir",$B830))+ISNUMBER(SEARCH("ltfrb",$B830))+ISNUMBER(SEARCH("misc",$B830))+ISNUMBER(SEARCH("fee",$B830))&gt;0,"Overhead","Overhead")))))))</f>
        <v/>
      </c>
      <c r="J830">
        <f>IF($A830="","",DATE(YEAR($A830),MONTH($A830),1))</f>
        <v/>
      </c>
      <c r="K830">
        <f>IF($B830="","",IF(COUNTIF(Setup!$A$99:$A$128,$B830)&gt;0,0,1))</f>
        <v/>
      </c>
      <c r="L830">
        <f>IF($B830="","",IF(ISNUMBER(SEARCH("advance",$B830)),"ADV",IF(OR(ISNUMBER(SEARCH("payout",$B830)),ISNUMBER(SEARCH("pay out",$B830)),ISNUMBER(SEARCH("release",$B830))),"PAY","")))</f>
        <v/>
      </c>
      <c r="M830">
        <f>IF($B830="","",IF(ISNUMBER(SEARCH("bulk",$B830)),0,IF(ISNUMBER(SEARCH("fuel",$B830))+ISNUMBER(SEARCH("diesel",$B830))+ISNUMBER(SEARCH("krudo",$B830))+ISNUMBER(SEARCH("gasolina",$B830))&gt;0,1,0)))</f>
        <v/>
      </c>
      <c r="N830">
        <f>IF($B830="","",IF(ISNUMBER(SEARCH("fuel",$B830))+ISNUMBER(SEARCH("diesel",$B830))+ISNUMBER(SEARCH("krudo",$B830))+ISNUMBER(SEARCH("gasolina",$B830))&gt;0,1,0))</f>
        <v/>
      </c>
    </row>
    <row r="831">
      <c r="A831" s="86" t="n"/>
      <c r="B831" s="88" t="n"/>
      <c r="C831" s="88" t="n"/>
      <c r="D831" s="87" t="n"/>
      <c r="E831" s="88" t="n"/>
      <c r="F831" s="92" t="n"/>
      <c r="G831" s="87" t="n"/>
      <c r="H831" s="87" t="n"/>
      <c r="I831" s="101">
        <f>IF($B831="","",IF(COUNTIF(Setup!$A$99:$A$128,$B831)&gt;0,IF(INDEX(Setup!$B$99:$B$128,MATCH($B831,Setup!$A$99:$A$128,0))="","Overhead",INDEX(Setup!$B$99:$B$128,MATCH($B831,Setup!$A$99:$A$128,0))),IF(ISNUMBER(SEARCH("advance",$B831))+ISNUMBER(SEARCH("payout",$B831))+ISNUMBER(SEARCH("pay out",$B831))+ISNUMBER(SEARCH("reimburs",$B831))&gt;0,"Transfer",IF(ISNUMBER(SEARCH("loan",$B831))+ISNUMBER(SEARCH("amort",$B831))+ISNUMBER(SEARCH("installment",$B831))+ISNUMBER(SEARCH("instalment",$B831))&gt;0,"Financing",IF(ISNUMBER(SEARCH("draw",$B831))+ISNUMBER(SEARCH("owner",$B831))+ISNUMBER(SEARCH("asset",$B831))+ISNUMBER(SEARCH("capital",$B831))&gt;0,"Other",IF(ISNUMBER(SEARCH("fuel",$B831))+ISNUMBER(SEARCH("diesel",$B831))+ISNUMBER(SEARCH("krudo",$B831))+ISNUMBER(SEARCH("gasolina",$B831))+ISNUMBER(SEARCH("toll",$B831))+ISNUMBER(SEARCH("parking",$B831))+ISNUMBER(SEARCH("repair",$B831))+ISNUMBER(SEARCH("maintenance",$B831))+ISNUMBER(SEARCH("tire",$B831))+ISNUMBER(SEARCH("tyre",$B831))+ISNUMBER(SEARCH("battery",$B831))+ISNUMBER(SEARCH("oil",$B831))+ISNUMBER(SEARCH("filter",$B831))+ISNUMBER(SEARCH("spare",$B831))+ISNUMBER(SEARCH("insurance",$B831))+ISNUMBER(SEARCH("lto",$B831))+ISNUMBER(SEARCH("registration",$B831))+ISNUMBER(SEARCH("emission",$B831))+ISNUMBER(SEARCH("wash",$B831))+ISNUMBER(SEARCH("weigh",$B831))+ISNUMBER(SEARCH("tarp",$B831))&gt;0,"Vehicle",IF(ISNUMBER(SEARCH("rent",$B831))+ISNUMBER(SEARCH("upa",$B831))+ISNUMBER(SEARCH("salary",$B831))+ISNUMBER(SEARCH("sweldo",$B831))+ISNUMBER(SEARCH("wage",$B831))+ISNUMBER(SEARCH("electric",$B831))+ISNUMBER(SEARCH("kuryente",$B831))+ISNUMBER(SEARCH("water",$B831))+ISNUMBER(SEARCH("tubig",$B831))+ISNUMBER(SEARCH("internet",$B831))+ISNUMBER(SEARCH("pldt",$B831))+ISNUMBER(SEARCH("meralco",$B831))+ISNUMBER(SEARCH("supplies",$B831))+ISNUMBER(SEARCH("office",$B831))+ISNUMBER(SEARCH("professional",$B831))+ISNUMBER(SEARCH("accountant",$B831))+ISNUMBER(SEARCH("lawyer",$B831))+ISNUMBER(SEARCH("broker",$B831))+ISNUMBER(SEARCH("bank",$B831))+ISNUMBER(SEARCH("charge",$B831))+ISNUMBER(SEARCH("permit",$B831))+ISNUMBER(SEARCH("bir",$B831))+ISNUMBER(SEARCH("ltfrb",$B831))+ISNUMBER(SEARCH("misc",$B831))+ISNUMBER(SEARCH("fee",$B831))&gt;0,"Overhead","Overhead")))))))</f>
        <v/>
      </c>
      <c r="J831">
        <f>IF($A831="","",DATE(YEAR($A831),MONTH($A831),1))</f>
        <v/>
      </c>
      <c r="K831">
        <f>IF($B831="","",IF(COUNTIF(Setup!$A$99:$A$128,$B831)&gt;0,0,1))</f>
        <v/>
      </c>
      <c r="L831">
        <f>IF($B831="","",IF(ISNUMBER(SEARCH("advance",$B831)),"ADV",IF(OR(ISNUMBER(SEARCH("payout",$B831)),ISNUMBER(SEARCH("pay out",$B831)),ISNUMBER(SEARCH("release",$B831))),"PAY","")))</f>
        <v/>
      </c>
      <c r="M831">
        <f>IF($B831="","",IF(ISNUMBER(SEARCH("bulk",$B831)),0,IF(ISNUMBER(SEARCH("fuel",$B831))+ISNUMBER(SEARCH("diesel",$B831))+ISNUMBER(SEARCH("krudo",$B831))+ISNUMBER(SEARCH("gasolina",$B831))&gt;0,1,0)))</f>
        <v/>
      </c>
      <c r="N831">
        <f>IF($B831="","",IF(ISNUMBER(SEARCH("fuel",$B831))+ISNUMBER(SEARCH("diesel",$B831))+ISNUMBER(SEARCH("krudo",$B831))+ISNUMBER(SEARCH("gasolina",$B831))&gt;0,1,0))</f>
        <v/>
      </c>
    </row>
    <row r="832">
      <c r="A832" s="94" t="n"/>
      <c r="B832" s="96" t="n"/>
      <c r="C832" s="96" t="n"/>
      <c r="D832" s="95" t="n"/>
      <c r="E832" s="96" t="n"/>
      <c r="F832" s="99" t="n"/>
      <c r="G832" s="95" t="n"/>
      <c r="H832" s="95" t="n"/>
      <c r="I832" s="101">
        <f>IF($B832="","",IF(COUNTIF(Setup!$A$99:$A$128,$B832)&gt;0,IF(INDEX(Setup!$B$99:$B$128,MATCH($B832,Setup!$A$99:$A$128,0))="","Overhead",INDEX(Setup!$B$99:$B$128,MATCH($B832,Setup!$A$99:$A$128,0))),IF(ISNUMBER(SEARCH("advance",$B832))+ISNUMBER(SEARCH("payout",$B832))+ISNUMBER(SEARCH("pay out",$B832))+ISNUMBER(SEARCH("reimburs",$B832))&gt;0,"Transfer",IF(ISNUMBER(SEARCH("loan",$B832))+ISNUMBER(SEARCH("amort",$B832))+ISNUMBER(SEARCH("installment",$B832))+ISNUMBER(SEARCH("instalment",$B832))&gt;0,"Financing",IF(ISNUMBER(SEARCH("draw",$B832))+ISNUMBER(SEARCH("owner",$B832))+ISNUMBER(SEARCH("asset",$B832))+ISNUMBER(SEARCH("capital",$B832))&gt;0,"Other",IF(ISNUMBER(SEARCH("fuel",$B832))+ISNUMBER(SEARCH("diesel",$B832))+ISNUMBER(SEARCH("krudo",$B832))+ISNUMBER(SEARCH("gasolina",$B832))+ISNUMBER(SEARCH("toll",$B832))+ISNUMBER(SEARCH("parking",$B832))+ISNUMBER(SEARCH("repair",$B832))+ISNUMBER(SEARCH("maintenance",$B832))+ISNUMBER(SEARCH("tire",$B832))+ISNUMBER(SEARCH("tyre",$B832))+ISNUMBER(SEARCH("battery",$B832))+ISNUMBER(SEARCH("oil",$B832))+ISNUMBER(SEARCH("filter",$B832))+ISNUMBER(SEARCH("spare",$B832))+ISNUMBER(SEARCH("insurance",$B832))+ISNUMBER(SEARCH("lto",$B832))+ISNUMBER(SEARCH("registration",$B832))+ISNUMBER(SEARCH("emission",$B832))+ISNUMBER(SEARCH("wash",$B832))+ISNUMBER(SEARCH("weigh",$B832))+ISNUMBER(SEARCH("tarp",$B832))&gt;0,"Vehicle",IF(ISNUMBER(SEARCH("rent",$B832))+ISNUMBER(SEARCH("upa",$B832))+ISNUMBER(SEARCH("salary",$B832))+ISNUMBER(SEARCH("sweldo",$B832))+ISNUMBER(SEARCH("wage",$B832))+ISNUMBER(SEARCH("electric",$B832))+ISNUMBER(SEARCH("kuryente",$B832))+ISNUMBER(SEARCH("water",$B832))+ISNUMBER(SEARCH("tubig",$B832))+ISNUMBER(SEARCH("internet",$B832))+ISNUMBER(SEARCH("pldt",$B832))+ISNUMBER(SEARCH("meralco",$B832))+ISNUMBER(SEARCH("supplies",$B832))+ISNUMBER(SEARCH("office",$B832))+ISNUMBER(SEARCH("professional",$B832))+ISNUMBER(SEARCH("accountant",$B832))+ISNUMBER(SEARCH("lawyer",$B832))+ISNUMBER(SEARCH("broker",$B832))+ISNUMBER(SEARCH("bank",$B832))+ISNUMBER(SEARCH("charge",$B832))+ISNUMBER(SEARCH("permit",$B832))+ISNUMBER(SEARCH("bir",$B832))+ISNUMBER(SEARCH("ltfrb",$B832))+ISNUMBER(SEARCH("misc",$B832))+ISNUMBER(SEARCH("fee",$B832))&gt;0,"Overhead","Overhead")))))))</f>
        <v/>
      </c>
      <c r="J832">
        <f>IF($A832="","",DATE(YEAR($A832),MONTH($A832),1))</f>
        <v/>
      </c>
      <c r="K832">
        <f>IF($B832="","",IF(COUNTIF(Setup!$A$99:$A$128,$B832)&gt;0,0,1))</f>
        <v/>
      </c>
      <c r="L832">
        <f>IF($B832="","",IF(ISNUMBER(SEARCH("advance",$B832)),"ADV",IF(OR(ISNUMBER(SEARCH("payout",$B832)),ISNUMBER(SEARCH("pay out",$B832)),ISNUMBER(SEARCH("release",$B832))),"PAY","")))</f>
        <v/>
      </c>
      <c r="M832">
        <f>IF($B832="","",IF(ISNUMBER(SEARCH("bulk",$B832)),0,IF(ISNUMBER(SEARCH("fuel",$B832))+ISNUMBER(SEARCH("diesel",$B832))+ISNUMBER(SEARCH("krudo",$B832))+ISNUMBER(SEARCH("gasolina",$B832))&gt;0,1,0)))</f>
        <v/>
      </c>
      <c r="N832">
        <f>IF($B832="","",IF(ISNUMBER(SEARCH("fuel",$B832))+ISNUMBER(SEARCH("diesel",$B832))+ISNUMBER(SEARCH("krudo",$B832))+ISNUMBER(SEARCH("gasolina",$B832))&gt;0,1,0))</f>
        <v/>
      </c>
    </row>
    <row r="833">
      <c r="A833" s="86" t="n"/>
      <c r="B833" s="88" t="n"/>
      <c r="C833" s="88" t="n"/>
      <c r="D833" s="87" t="n"/>
      <c r="E833" s="88" t="n"/>
      <c r="F833" s="92" t="n"/>
      <c r="G833" s="87" t="n"/>
      <c r="H833" s="87" t="n"/>
      <c r="I833" s="101">
        <f>IF($B833="","",IF(COUNTIF(Setup!$A$99:$A$128,$B833)&gt;0,IF(INDEX(Setup!$B$99:$B$128,MATCH($B833,Setup!$A$99:$A$128,0))="","Overhead",INDEX(Setup!$B$99:$B$128,MATCH($B833,Setup!$A$99:$A$128,0))),IF(ISNUMBER(SEARCH("advance",$B833))+ISNUMBER(SEARCH("payout",$B833))+ISNUMBER(SEARCH("pay out",$B833))+ISNUMBER(SEARCH("reimburs",$B833))&gt;0,"Transfer",IF(ISNUMBER(SEARCH("loan",$B833))+ISNUMBER(SEARCH("amort",$B833))+ISNUMBER(SEARCH("installment",$B833))+ISNUMBER(SEARCH("instalment",$B833))&gt;0,"Financing",IF(ISNUMBER(SEARCH("draw",$B833))+ISNUMBER(SEARCH("owner",$B833))+ISNUMBER(SEARCH("asset",$B833))+ISNUMBER(SEARCH("capital",$B833))&gt;0,"Other",IF(ISNUMBER(SEARCH("fuel",$B833))+ISNUMBER(SEARCH("diesel",$B833))+ISNUMBER(SEARCH("krudo",$B833))+ISNUMBER(SEARCH("gasolina",$B833))+ISNUMBER(SEARCH("toll",$B833))+ISNUMBER(SEARCH("parking",$B833))+ISNUMBER(SEARCH("repair",$B833))+ISNUMBER(SEARCH("maintenance",$B833))+ISNUMBER(SEARCH("tire",$B833))+ISNUMBER(SEARCH("tyre",$B833))+ISNUMBER(SEARCH("battery",$B833))+ISNUMBER(SEARCH("oil",$B833))+ISNUMBER(SEARCH("filter",$B833))+ISNUMBER(SEARCH("spare",$B833))+ISNUMBER(SEARCH("insurance",$B833))+ISNUMBER(SEARCH("lto",$B833))+ISNUMBER(SEARCH("registration",$B833))+ISNUMBER(SEARCH("emission",$B833))+ISNUMBER(SEARCH("wash",$B833))+ISNUMBER(SEARCH("weigh",$B833))+ISNUMBER(SEARCH("tarp",$B833))&gt;0,"Vehicle",IF(ISNUMBER(SEARCH("rent",$B833))+ISNUMBER(SEARCH("upa",$B833))+ISNUMBER(SEARCH("salary",$B833))+ISNUMBER(SEARCH("sweldo",$B833))+ISNUMBER(SEARCH("wage",$B833))+ISNUMBER(SEARCH("electric",$B833))+ISNUMBER(SEARCH("kuryente",$B833))+ISNUMBER(SEARCH("water",$B833))+ISNUMBER(SEARCH("tubig",$B833))+ISNUMBER(SEARCH("internet",$B833))+ISNUMBER(SEARCH("pldt",$B833))+ISNUMBER(SEARCH("meralco",$B833))+ISNUMBER(SEARCH("supplies",$B833))+ISNUMBER(SEARCH("office",$B833))+ISNUMBER(SEARCH("professional",$B833))+ISNUMBER(SEARCH("accountant",$B833))+ISNUMBER(SEARCH("lawyer",$B833))+ISNUMBER(SEARCH("broker",$B833))+ISNUMBER(SEARCH("bank",$B833))+ISNUMBER(SEARCH("charge",$B833))+ISNUMBER(SEARCH("permit",$B833))+ISNUMBER(SEARCH("bir",$B833))+ISNUMBER(SEARCH("ltfrb",$B833))+ISNUMBER(SEARCH("misc",$B833))+ISNUMBER(SEARCH("fee",$B833))&gt;0,"Overhead","Overhead")))))))</f>
        <v/>
      </c>
      <c r="J833">
        <f>IF($A833="","",DATE(YEAR($A833),MONTH($A833),1))</f>
        <v/>
      </c>
      <c r="K833">
        <f>IF($B833="","",IF(COUNTIF(Setup!$A$99:$A$128,$B833)&gt;0,0,1))</f>
        <v/>
      </c>
      <c r="L833">
        <f>IF($B833="","",IF(ISNUMBER(SEARCH("advance",$B833)),"ADV",IF(OR(ISNUMBER(SEARCH("payout",$B833)),ISNUMBER(SEARCH("pay out",$B833)),ISNUMBER(SEARCH("release",$B833))),"PAY","")))</f>
        <v/>
      </c>
      <c r="M833">
        <f>IF($B833="","",IF(ISNUMBER(SEARCH("bulk",$B833)),0,IF(ISNUMBER(SEARCH("fuel",$B833))+ISNUMBER(SEARCH("diesel",$B833))+ISNUMBER(SEARCH("krudo",$B833))+ISNUMBER(SEARCH("gasolina",$B833))&gt;0,1,0)))</f>
        <v/>
      </c>
      <c r="N833">
        <f>IF($B833="","",IF(ISNUMBER(SEARCH("fuel",$B833))+ISNUMBER(SEARCH("diesel",$B833))+ISNUMBER(SEARCH("krudo",$B833))+ISNUMBER(SEARCH("gasolina",$B833))&gt;0,1,0))</f>
        <v/>
      </c>
    </row>
    <row r="834">
      <c r="A834" s="94" t="n"/>
      <c r="B834" s="96" t="n"/>
      <c r="C834" s="96" t="n"/>
      <c r="D834" s="95" t="n"/>
      <c r="E834" s="96" t="n"/>
      <c r="F834" s="99" t="n"/>
      <c r="G834" s="95" t="n"/>
      <c r="H834" s="95" t="n"/>
      <c r="I834" s="101">
        <f>IF($B834="","",IF(COUNTIF(Setup!$A$99:$A$128,$B834)&gt;0,IF(INDEX(Setup!$B$99:$B$128,MATCH($B834,Setup!$A$99:$A$128,0))="","Overhead",INDEX(Setup!$B$99:$B$128,MATCH($B834,Setup!$A$99:$A$128,0))),IF(ISNUMBER(SEARCH("advance",$B834))+ISNUMBER(SEARCH("payout",$B834))+ISNUMBER(SEARCH("pay out",$B834))+ISNUMBER(SEARCH("reimburs",$B834))&gt;0,"Transfer",IF(ISNUMBER(SEARCH("loan",$B834))+ISNUMBER(SEARCH("amort",$B834))+ISNUMBER(SEARCH("installment",$B834))+ISNUMBER(SEARCH("instalment",$B834))&gt;0,"Financing",IF(ISNUMBER(SEARCH("draw",$B834))+ISNUMBER(SEARCH("owner",$B834))+ISNUMBER(SEARCH("asset",$B834))+ISNUMBER(SEARCH("capital",$B834))&gt;0,"Other",IF(ISNUMBER(SEARCH("fuel",$B834))+ISNUMBER(SEARCH("diesel",$B834))+ISNUMBER(SEARCH("krudo",$B834))+ISNUMBER(SEARCH("gasolina",$B834))+ISNUMBER(SEARCH("toll",$B834))+ISNUMBER(SEARCH("parking",$B834))+ISNUMBER(SEARCH("repair",$B834))+ISNUMBER(SEARCH("maintenance",$B834))+ISNUMBER(SEARCH("tire",$B834))+ISNUMBER(SEARCH("tyre",$B834))+ISNUMBER(SEARCH("battery",$B834))+ISNUMBER(SEARCH("oil",$B834))+ISNUMBER(SEARCH("filter",$B834))+ISNUMBER(SEARCH("spare",$B834))+ISNUMBER(SEARCH("insurance",$B834))+ISNUMBER(SEARCH("lto",$B834))+ISNUMBER(SEARCH("registration",$B834))+ISNUMBER(SEARCH("emission",$B834))+ISNUMBER(SEARCH("wash",$B834))+ISNUMBER(SEARCH("weigh",$B834))+ISNUMBER(SEARCH("tarp",$B834))&gt;0,"Vehicle",IF(ISNUMBER(SEARCH("rent",$B834))+ISNUMBER(SEARCH("upa",$B834))+ISNUMBER(SEARCH("salary",$B834))+ISNUMBER(SEARCH("sweldo",$B834))+ISNUMBER(SEARCH("wage",$B834))+ISNUMBER(SEARCH("electric",$B834))+ISNUMBER(SEARCH("kuryente",$B834))+ISNUMBER(SEARCH("water",$B834))+ISNUMBER(SEARCH("tubig",$B834))+ISNUMBER(SEARCH("internet",$B834))+ISNUMBER(SEARCH("pldt",$B834))+ISNUMBER(SEARCH("meralco",$B834))+ISNUMBER(SEARCH("supplies",$B834))+ISNUMBER(SEARCH("office",$B834))+ISNUMBER(SEARCH("professional",$B834))+ISNUMBER(SEARCH("accountant",$B834))+ISNUMBER(SEARCH("lawyer",$B834))+ISNUMBER(SEARCH("broker",$B834))+ISNUMBER(SEARCH("bank",$B834))+ISNUMBER(SEARCH("charge",$B834))+ISNUMBER(SEARCH("permit",$B834))+ISNUMBER(SEARCH("bir",$B834))+ISNUMBER(SEARCH("ltfrb",$B834))+ISNUMBER(SEARCH("misc",$B834))+ISNUMBER(SEARCH("fee",$B834))&gt;0,"Overhead","Overhead")))))))</f>
        <v/>
      </c>
      <c r="J834">
        <f>IF($A834="","",DATE(YEAR($A834),MONTH($A834),1))</f>
        <v/>
      </c>
      <c r="K834">
        <f>IF($B834="","",IF(COUNTIF(Setup!$A$99:$A$128,$B834)&gt;0,0,1))</f>
        <v/>
      </c>
      <c r="L834">
        <f>IF($B834="","",IF(ISNUMBER(SEARCH("advance",$B834)),"ADV",IF(OR(ISNUMBER(SEARCH("payout",$B834)),ISNUMBER(SEARCH("pay out",$B834)),ISNUMBER(SEARCH("release",$B834))),"PAY","")))</f>
        <v/>
      </c>
      <c r="M834">
        <f>IF($B834="","",IF(ISNUMBER(SEARCH("bulk",$B834)),0,IF(ISNUMBER(SEARCH("fuel",$B834))+ISNUMBER(SEARCH("diesel",$B834))+ISNUMBER(SEARCH("krudo",$B834))+ISNUMBER(SEARCH("gasolina",$B834))&gt;0,1,0)))</f>
        <v/>
      </c>
      <c r="N834">
        <f>IF($B834="","",IF(ISNUMBER(SEARCH("fuel",$B834))+ISNUMBER(SEARCH("diesel",$B834))+ISNUMBER(SEARCH("krudo",$B834))+ISNUMBER(SEARCH("gasolina",$B834))&gt;0,1,0))</f>
        <v/>
      </c>
    </row>
    <row r="835">
      <c r="A835" s="86" t="n"/>
      <c r="B835" s="88" t="n"/>
      <c r="C835" s="88" t="n"/>
      <c r="D835" s="87" t="n"/>
      <c r="E835" s="88" t="n"/>
      <c r="F835" s="92" t="n"/>
      <c r="G835" s="87" t="n"/>
      <c r="H835" s="87" t="n"/>
      <c r="I835" s="101">
        <f>IF($B835="","",IF(COUNTIF(Setup!$A$99:$A$128,$B835)&gt;0,IF(INDEX(Setup!$B$99:$B$128,MATCH($B835,Setup!$A$99:$A$128,0))="","Overhead",INDEX(Setup!$B$99:$B$128,MATCH($B835,Setup!$A$99:$A$128,0))),IF(ISNUMBER(SEARCH("advance",$B835))+ISNUMBER(SEARCH("payout",$B835))+ISNUMBER(SEARCH("pay out",$B835))+ISNUMBER(SEARCH("reimburs",$B835))&gt;0,"Transfer",IF(ISNUMBER(SEARCH("loan",$B835))+ISNUMBER(SEARCH("amort",$B835))+ISNUMBER(SEARCH("installment",$B835))+ISNUMBER(SEARCH("instalment",$B835))&gt;0,"Financing",IF(ISNUMBER(SEARCH("draw",$B835))+ISNUMBER(SEARCH("owner",$B835))+ISNUMBER(SEARCH("asset",$B835))+ISNUMBER(SEARCH("capital",$B835))&gt;0,"Other",IF(ISNUMBER(SEARCH("fuel",$B835))+ISNUMBER(SEARCH("diesel",$B835))+ISNUMBER(SEARCH("krudo",$B835))+ISNUMBER(SEARCH("gasolina",$B835))+ISNUMBER(SEARCH("toll",$B835))+ISNUMBER(SEARCH("parking",$B835))+ISNUMBER(SEARCH("repair",$B835))+ISNUMBER(SEARCH("maintenance",$B835))+ISNUMBER(SEARCH("tire",$B835))+ISNUMBER(SEARCH("tyre",$B835))+ISNUMBER(SEARCH("battery",$B835))+ISNUMBER(SEARCH("oil",$B835))+ISNUMBER(SEARCH("filter",$B835))+ISNUMBER(SEARCH("spare",$B835))+ISNUMBER(SEARCH("insurance",$B835))+ISNUMBER(SEARCH("lto",$B835))+ISNUMBER(SEARCH("registration",$B835))+ISNUMBER(SEARCH("emission",$B835))+ISNUMBER(SEARCH("wash",$B835))+ISNUMBER(SEARCH("weigh",$B835))+ISNUMBER(SEARCH("tarp",$B835))&gt;0,"Vehicle",IF(ISNUMBER(SEARCH("rent",$B835))+ISNUMBER(SEARCH("upa",$B835))+ISNUMBER(SEARCH("salary",$B835))+ISNUMBER(SEARCH("sweldo",$B835))+ISNUMBER(SEARCH("wage",$B835))+ISNUMBER(SEARCH("electric",$B835))+ISNUMBER(SEARCH("kuryente",$B835))+ISNUMBER(SEARCH("water",$B835))+ISNUMBER(SEARCH("tubig",$B835))+ISNUMBER(SEARCH("internet",$B835))+ISNUMBER(SEARCH("pldt",$B835))+ISNUMBER(SEARCH("meralco",$B835))+ISNUMBER(SEARCH("supplies",$B835))+ISNUMBER(SEARCH("office",$B835))+ISNUMBER(SEARCH("professional",$B835))+ISNUMBER(SEARCH("accountant",$B835))+ISNUMBER(SEARCH("lawyer",$B835))+ISNUMBER(SEARCH("broker",$B835))+ISNUMBER(SEARCH("bank",$B835))+ISNUMBER(SEARCH("charge",$B835))+ISNUMBER(SEARCH("permit",$B835))+ISNUMBER(SEARCH("bir",$B835))+ISNUMBER(SEARCH("ltfrb",$B835))+ISNUMBER(SEARCH("misc",$B835))+ISNUMBER(SEARCH("fee",$B835))&gt;0,"Overhead","Overhead")))))))</f>
        <v/>
      </c>
      <c r="J835">
        <f>IF($A835="","",DATE(YEAR($A835),MONTH($A835),1))</f>
        <v/>
      </c>
      <c r="K835">
        <f>IF($B835="","",IF(COUNTIF(Setup!$A$99:$A$128,$B835)&gt;0,0,1))</f>
        <v/>
      </c>
      <c r="L835">
        <f>IF($B835="","",IF(ISNUMBER(SEARCH("advance",$B835)),"ADV",IF(OR(ISNUMBER(SEARCH("payout",$B835)),ISNUMBER(SEARCH("pay out",$B835)),ISNUMBER(SEARCH("release",$B835))),"PAY","")))</f>
        <v/>
      </c>
      <c r="M835">
        <f>IF($B835="","",IF(ISNUMBER(SEARCH("bulk",$B835)),0,IF(ISNUMBER(SEARCH("fuel",$B835))+ISNUMBER(SEARCH("diesel",$B835))+ISNUMBER(SEARCH("krudo",$B835))+ISNUMBER(SEARCH("gasolina",$B835))&gt;0,1,0)))</f>
        <v/>
      </c>
      <c r="N835">
        <f>IF($B835="","",IF(ISNUMBER(SEARCH("fuel",$B835))+ISNUMBER(SEARCH("diesel",$B835))+ISNUMBER(SEARCH("krudo",$B835))+ISNUMBER(SEARCH("gasolina",$B835))&gt;0,1,0))</f>
        <v/>
      </c>
    </row>
    <row r="836">
      <c r="A836" s="94" t="n"/>
      <c r="B836" s="96" t="n"/>
      <c r="C836" s="96" t="n"/>
      <c r="D836" s="95" t="n"/>
      <c r="E836" s="96" t="n"/>
      <c r="F836" s="99" t="n"/>
      <c r="G836" s="95" t="n"/>
      <c r="H836" s="95" t="n"/>
      <c r="I836" s="101">
        <f>IF($B836="","",IF(COUNTIF(Setup!$A$99:$A$128,$B836)&gt;0,IF(INDEX(Setup!$B$99:$B$128,MATCH($B836,Setup!$A$99:$A$128,0))="","Overhead",INDEX(Setup!$B$99:$B$128,MATCH($B836,Setup!$A$99:$A$128,0))),IF(ISNUMBER(SEARCH("advance",$B836))+ISNUMBER(SEARCH("payout",$B836))+ISNUMBER(SEARCH("pay out",$B836))+ISNUMBER(SEARCH("reimburs",$B836))&gt;0,"Transfer",IF(ISNUMBER(SEARCH("loan",$B836))+ISNUMBER(SEARCH("amort",$B836))+ISNUMBER(SEARCH("installment",$B836))+ISNUMBER(SEARCH("instalment",$B836))&gt;0,"Financing",IF(ISNUMBER(SEARCH("draw",$B836))+ISNUMBER(SEARCH("owner",$B836))+ISNUMBER(SEARCH("asset",$B836))+ISNUMBER(SEARCH("capital",$B836))&gt;0,"Other",IF(ISNUMBER(SEARCH("fuel",$B836))+ISNUMBER(SEARCH("diesel",$B836))+ISNUMBER(SEARCH("krudo",$B836))+ISNUMBER(SEARCH("gasolina",$B836))+ISNUMBER(SEARCH("toll",$B836))+ISNUMBER(SEARCH("parking",$B836))+ISNUMBER(SEARCH("repair",$B836))+ISNUMBER(SEARCH("maintenance",$B836))+ISNUMBER(SEARCH("tire",$B836))+ISNUMBER(SEARCH("tyre",$B836))+ISNUMBER(SEARCH("battery",$B836))+ISNUMBER(SEARCH("oil",$B836))+ISNUMBER(SEARCH("filter",$B836))+ISNUMBER(SEARCH("spare",$B836))+ISNUMBER(SEARCH("insurance",$B836))+ISNUMBER(SEARCH("lto",$B836))+ISNUMBER(SEARCH("registration",$B836))+ISNUMBER(SEARCH("emission",$B836))+ISNUMBER(SEARCH("wash",$B836))+ISNUMBER(SEARCH("weigh",$B836))+ISNUMBER(SEARCH("tarp",$B836))&gt;0,"Vehicle",IF(ISNUMBER(SEARCH("rent",$B836))+ISNUMBER(SEARCH("upa",$B836))+ISNUMBER(SEARCH("salary",$B836))+ISNUMBER(SEARCH("sweldo",$B836))+ISNUMBER(SEARCH("wage",$B836))+ISNUMBER(SEARCH("electric",$B836))+ISNUMBER(SEARCH("kuryente",$B836))+ISNUMBER(SEARCH("water",$B836))+ISNUMBER(SEARCH("tubig",$B836))+ISNUMBER(SEARCH("internet",$B836))+ISNUMBER(SEARCH("pldt",$B836))+ISNUMBER(SEARCH("meralco",$B836))+ISNUMBER(SEARCH("supplies",$B836))+ISNUMBER(SEARCH("office",$B836))+ISNUMBER(SEARCH("professional",$B836))+ISNUMBER(SEARCH("accountant",$B836))+ISNUMBER(SEARCH("lawyer",$B836))+ISNUMBER(SEARCH("broker",$B836))+ISNUMBER(SEARCH("bank",$B836))+ISNUMBER(SEARCH("charge",$B836))+ISNUMBER(SEARCH("permit",$B836))+ISNUMBER(SEARCH("bir",$B836))+ISNUMBER(SEARCH("ltfrb",$B836))+ISNUMBER(SEARCH("misc",$B836))+ISNUMBER(SEARCH("fee",$B836))&gt;0,"Overhead","Overhead")))))))</f>
        <v/>
      </c>
      <c r="J836">
        <f>IF($A836="","",DATE(YEAR($A836),MONTH($A836),1))</f>
        <v/>
      </c>
      <c r="K836">
        <f>IF($B836="","",IF(COUNTIF(Setup!$A$99:$A$128,$B836)&gt;0,0,1))</f>
        <v/>
      </c>
      <c r="L836">
        <f>IF($B836="","",IF(ISNUMBER(SEARCH("advance",$B836)),"ADV",IF(OR(ISNUMBER(SEARCH("payout",$B836)),ISNUMBER(SEARCH("pay out",$B836)),ISNUMBER(SEARCH("release",$B836))),"PAY","")))</f>
        <v/>
      </c>
      <c r="M836">
        <f>IF($B836="","",IF(ISNUMBER(SEARCH("bulk",$B836)),0,IF(ISNUMBER(SEARCH("fuel",$B836))+ISNUMBER(SEARCH("diesel",$B836))+ISNUMBER(SEARCH("krudo",$B836))+ISNUMBER(SEARCH("gasolina",$B836))&gt;0,1,0)))</f>
        <v/>
      </c>
      <c r="N836">
        <f>IF($B836="","",IF(ISNUMBER(SEARCH("fuel",$B836))+ISNUMBER(SEARCH("diesel",$B836))+ISNUMBER(SEARCH("krudo",$B836))+ISNUMBER(SEARCH("gasolina",$B836))&gt;0,1,0))</f>
        <v/>
      </c>
    </row>
    <row r="837">
      <c r="A837" s="86" t="n"/>
      <c r="B837" s="88" t="n"/>
      <c r="C837" s="88" t="n"/>
      <c r="D837" s="87" t="n"/>
      <c r="E837" s="88" t="n"/>
      <c r="F837" s="92" t="n"/>
      <c r="G837" s="87" t="n"/>
      <c r="H837" s="87" t="n"/>
      <c r="I837" s="101">
        <f>IF($B837="","",IF(COUNTIF(Setup!$A$99:$A$128,$B837)&gt;0,IF(INDEX(Setup!$B$99:$B$128,MATCH($B837,Setup!$A$99:$A$128,0))="","Overhead",INDEX(Setup!$B$99:$B$128,MATCH($B837,Setup!$A$99:$A$128,0))),IF(ISNUMBER(SEARCH("advance",$B837))+ISNUMBER(SEARCH("payout",$B837))+ISNUMBER(SEARCH("pay out",$B837))+ISNUMBER(SEARCH("reimburs",$B837))&gt;0,"Transfer",IF(ISNUMBER(SEARCH("loan",$B837))+ISNUMBER(SEARCH("amort",$B837))+ISNUMBER(SEARCH("installment",$B837))+ISNUMBER(SEARCH("instalment",$B837))&gt;0,"Financing",IF(ISNUMBER(SEARCH("draw",$B837))+ISNUMBER(SEARCH("owner",$B837))+ISNUMBER(SEARCH("asset",$B837))+ISNUMBER(SEARCH("capital",$B837))&gt;0,"Other",IF(ISNUMBER(SEARCH("fuel",$B837))+ISNUMBER(SEARCH("diesel",$B837))+ISNUMBER(SEARCH("krudo",$B837))+ISNUMBER(SEARCH("gasolina",$B837))+ISNUMBER(SEARCH("toll",$B837))+ISNUMBER(SEARCH("parking",$B837))+ISNUMBER(SEARCH("repair",$B837))+ISNUMBER(SEARCH("maintenance",$B837))+ISNUMBER(SEARCH("tire",$B837))+ISNUMBER(SEARCH("tyre",$B837))+ISNUMBER(SEARCH("battery",$B837))+ISNUMBER(SEARCH("oil",$B837))+ISNUMBER(SEARCH("filter",$B837))+ISNUMBER(SEARCH("spare",$B837))+ISNUMBER(SEARCH("insurance",$B837))+ISNUMBER(SEARCH("lto",$B837))+ISNUMBER(SEARCH("registration",$B837))+ISNUMBER(SEARCH("emission",$B837))+ISNUMBER(SEARCH("wash",$B837))+ISNUMBER(SEARCH("weigh",$B837))+ISNUMBER(SEARCH("tarp",$B837))&gt;0,"Vehicle",IF(ISNUMBER(SEARCH("rent",$B837))+ISNUMBER(SEARCH("upa",$B837))+ISNUMBER(SEARCH("salary",$B837))+ISNUMBER(SEARCH("sweldo",$B837))+ISNUMBER(SEARCH("wage",$B837))+ISNUMBER(SEARCH("electric",$B837))+ISNUMBER(SEARCH("kuryente",$B837))+ISNUMBER(SEARCH("water",$B837))+ISNUMBER(SEARCH("tubig",$B837))+ISNUMBER(SEARCH("internet",$B837))+ISNUMBER(SEARCH("pldt",$B837))+ISNUMBER(SEARCH("meralco",$B837))+ISNUMBER(SEARCH("supplies",$B837))+ISNUMBER(SEARCH("office",$B837))+ISNUMBER(SEARCH("professional",$B837))+ISNUMBER(SEARCH("accountant",$B837))+ISNUMBER(SEARCH("lawyer",$B837))+ISNUMBER(SEARCH("broker",$B837))+ISNUMBER(SEARCH("bank",$B837))+ISNUMBER(SEARCH("charge",$B837))+ISNUMBER(SEARCH("permit",$B837))+ISNUMBER(SEARCH("bir",$B837))+ISNUMBER(SEARCH("ltfrb",$B837))+ISNUMBER(SEARCH("misc",$B837))+ISNUMBER(SEARCH("fee",$B837))&gt;0,"Overhead","Overhead")))))))</f>
        <v/>
      </c>
      <c r="J837">
        <f>IF($A837="","",DATE(YEAR($A837),MONTH($A837),1))</f>
        <v/>
      </c>
      <c r="K837">
        <f>IF($B837="","",IF(COUNTIF(Setup!$A$99:$A$128,$B837)&gt;0,0,1))</f>
        <v/>
      </c>
      <c r="L837">
        <f>IF($B837="","",IF(ISNUMBER(SEARCH("advance",$B837)),"ADV",IF(OR(ISNUMBER(SEARCH("payout",$B837)),ISNUMBER(SEARCH("pay out",$B837)),ISNUMBER(SEARCH("release",$B837))),"PAY","")))</f>
        <v/>
      </c>
      <c r="M837">
        <f>IF($B837="","",IF(ISNUMBER(SEARCH("bulk",$B837)),0,IF(ISNUMBER(SEARCH("fuel",$B837))+ISNUMBER(SEARCH("diesel",$B837))+ISNUMBER(SEARCH("krudo",$B837))+ISNUMBER(SEARCH("gasolina",$B837))&gt;0,1,0)))</f>
        <v/>
      </c>
      <c r="N837">
        <f>IF($B837="","",IF(ISNUMBER(SEARCH("fuel",$B837))+ISNUMBER(SEARCH("diesel",$B837))+ISNUMBER(SEARCH("krudo",$B837))+ISNUMBER(SEARCH("gasolina",$B837))&gt;0,1,0))</f>
        <v/>
      </c>
    </row>
    <row r="838">
      <c r="A838" s="94" t="n"/>
      <c r="B838" s="96" t="n"/>
      <c r="C838" s="96" t="n"/>
      <c r="D838" s="95" t="n"/>
      <c r="E838" s="96" t="n"/>
      <c r="F838" s="99" t="n"/>
      <c r="G838" s="95" t="n"/>
      <c r="H838" s="95" t="n"/>
      <c r="I838" s="101">
        <f>IF($B838="","",IF(COUNTIF(Setup!$A$99:$A$128,$B838)&gt;0,IF(INDEX(Setup!$B$99:$B$128,MATCH($B838,Setup!$A$99:$A$128,0))="","Overhead",INDEX(Setup!$B$99:$B$128,MATCH($B838,Setup!$A$99:$A$128,0))),IF(ISNUMBER(SEARCH("advance",$B838))+ISNUMBER(SEARCH("payout",$B838))+ISNUMBER(SEARCH("pay out",$B838))+ISNUMBER(SEARCH("reimburs",$B838))&gt;0,"Transfer",IF(ISNUMBER(SEARCH("loan",$B838))+ISNUMBER(SEARCH("amort",$B838))+ISNUMBER(SEARCH("installment",$B838))+ISNUMBER(SEARCH("instalment",$B838))&gt;0,"Financing",IF(ISNUMBER(SEARCH("draw",$B838))+ISNUMBER(SEARCH("owner",$B838))+ISNUMBER(SEARCH("asset",$B838))+ISNUMBER(SEARCH("capital",$B838))&gt;0,"Other",IF(ISNUMBER(SEARCH("fuel",$B838))+ISNUMBER(SEARCH("diesel",$B838))+ISNUMBER(SEARCH("krudo",$B838))+ISNUMBER(SEARCH("gasolina",$B838))+ISNUMBER(SEARCH("toll",$B838))+ISNUMBER(SEARCH("parking",$B838))+ISNUMBER(SEARCH("repair",$B838))+ISNUMBER(SEARCH("maintenance",$B838))+ISNUMBER(SEARCH("tire",$B838))+ISNUMBER(SEARCH("tyre",$B838))+ISNUMBER(SEARCH("battery",$B838))+ISNUMBER(SEARCH("oil",$B838))+ISNUMBER(SEARCH("filter",$B838))+ISNUMBER(SEARCH("spare",$B838))+ISNUMBER(SEARCH("insurance",$B838))+ISNUMBER(SEARCH("lto",$B838))+ISNUMBER(SEARCH("registration",$B838))+ISNUMBER(SEARCH("emission",$B838))+ISNUMBER(SEARCH("wash",$B838))+ISNUMBER(SEARCH("weigh",$B838))+ISNUMBER(SEARCH("tarp",$B838))&gt;0,"Vehicle",IF(ISNUMBER(SEARCH("rent",$B838))+ISNUMBER(SEARCH("upa",$B838))+ISNUMBER(SEARCH("salary",$B838))+ISNUMBER(SEARCH("sweldo",$B838))+ISNUMBER(SEARCH("wage",$B838))+ISNUMBER(SEARCH("electric",$B838))+ISNUMBER(SEARCH("kuryente",$B838))+ISNUMBER(SEARCH("water",$B838))+ISNUMBER(SEARCH("tubig",$B838))+ISNUMBER(SEARCH("internet",$B838))+ISNUMBER(SEARCH("pldt",$B838))+ISNUMBER(SEARCH("meralco",$B838))+ISNUMBER(SEARCH("supplies",$B838))+ISNUMBER(SEARCH("office",$B838))+ISNUMBER(SEARCH("professional",$B838))+ISNUMBER(SEARCH("accountant",$B838))+ISNUMBER(SEARCH("lawyer",$B838))+ISNUMBER(SEARCH("broker",$B838))+ISNUMBER(SEARCH("bank",$B838))+ISNUMBER(SEARCH("charge",$B838))+ISNUMBER(SEARCH("permit",$B838))+ISNUMBER(SEARCH("bir",$B838))+ISNUMBER(SEARCH("ltfrb",$B838))+ISNUMBER(SEARCH("misc",$B838))+ISNUMBER(SEARCH("fee",$B838))&gt;0,"Overhead","Overhead")))))))</f>
        <v/>
      </c>
      <c r="J838">
        <f>IF($A838="","",DATE(YEAR($A838),MONTH($A838),1))</f>
        <v/>
      </c>
      <c r="K838">
        <f>IF($B838="","",IF(COUNTIF(Setup!$A$99:$A$128,$B838)&gt;0,0,1))</f>
        <v/>
      </c>
      <c r="L838">
        <f>IF($B838="","",IF(ISNUMBER(SEARCH("advance",$B838)),"ADV",IF(OR(ISNUMBER(SEARCH("payout",$B838)),ISNUMBER(SEARCH("pay out",$B838)),ISNUMBER(SEARCH("release",$B838))),"PAY","")))</f>
        <v/>
      </c>
      <c r="M838">
        <f>IF($B838="","",IF(ISNUMBER(SEARCH("bulk",$B838)),0,IF(ISNUMBER(SEARCH("fuel",$B838))+ISNUMBER(SEARCH("diesel",$B838))+ISNUMBER(SEARCH("krudo",$B838))+ISNUMBER(SEARCH("gasolina",$B838))&gt;0,1,0)))</f>
        <v/>
      </c>
      <c r="N838">
        <f>IF($B838="","",IF(ISNUMBER(SEARCH("fuel",$B838))+ISNUMBER(SEARCH("diesel",$B838))+ISNUMBER(SEARCH("krudo",$B838))+ISNUMBER(SEARCH("gasolina",$B838))&gt;0,1,0))</f>
        <v/>
      </c>
    </row>
    <row r="839">
      <c r="A839" s="86" t="n"/>
      <c r="B839" s="88" t="n"/>
      <c r="C839" s="88" t="n"/>
      <c r="D839" s="87" t="n"/>
      <c r="E839" s="88" t="n"/>
      <c r="F839" s="92" t="n"/>
      <c r="G839" s="87" t="n"/>
      <c r="H839" s="87" t="n"/>
      <c r="I839" s="101">
        <f>IF($B839="","",IF(COUNTIF(Setup!$A$99:$A$128,$B839)&gt;0,IF(INDEX(Setup!$B$99:$B$128,MATCH($B839,Setup!$A$99:$A$128,0))="","Overhead",INDEX(Setup!$B$99:$B$128,MATCH($B839,Setup!$A$99:$A$128,0))),IF(ISNUMBER(SEARCH("advance",$B839))+ISNUMBER(SEARCH("payout",$B839))+ISNUMBER(SEARCH("pay out",$B839))+ISNUMBER(SEARCH("reimburs",$B839))&gt;0,"Transfer",IF(ISNUMBER(SEARCH("loan",$B839))+ISNUMBER(SEARCH("amort",$B839))+ISNUMBER(SEARCH("installment",$B839))+ISNUMBER(SEARCH("instalment",$B839))&gt;0,"Financing",IF(ISNUMBER(SEARCH("draw",$B839))+ISNUMBER(SEARCH("owner",$B839))+ISNUMBER(SEARCH("asset",$B839))+ISNUMBER(SEARCH("capital",$B839))&gt;0,"Other",IF(ISNUMBER(SEARCH("fuel",$B839))+ISNUMBER(SEARCH("diesel",$B839))+ISNUMBER(SEARCH("krudo",$B839))+ISNUMBER(SEARCH("gasolina",$B839))+ISNUMBER(SEARCH("toll",$B839))+ISNUMBER(SEARCH("parking",$B839))+ISNUMBER(SEARCH("repair",$B839))+ISNUMBER(SEARCH("maintenance",$B839))+ISNUMBER(SEARCH("tire",$B839))+ISNUMBER(SEARCH("tyre",$B839))+ISNUMBER(SEARCH("battery",$B839))+ISNUMBER(SEARCH("oil",$B839))+ISNUMBER(SEARCH("filter",$B839))+ISNUMBER(SEARCH("spare",$B839))+ISNUMBER(SEARCH("insurance",$B839))+ISNUMBER(SEARCH("lto",$B839))+ISNUMBER(SEARCH("registration",$B839))+ISNUMBER(SEARCH("emission",$B839))+ISNUMBER(SEARCH("wash",$B839))+ISNUMBER(SEARCH("weigh",$B839))+ISNUMBER(SEARCH("tarp",$B839))&gt;0,"Vehicle",IF(ISNUMBER(SEARCH("rent",$B839))+ISNUMBER(SEARCH("upa",$B839))+ISNUMBER(SEARCH("salary",$B839))+ISNUMBER(SEARCH("sweldo",$B839))+ISNUMBER(SEARCH("wage",$B839))+ISNUMBER(SEARCH("electric",$B839))+ISNUMBER(SEARCH("kuryente",$B839))+ISNUMBER(SEARCH("water",$B839))+ISNUMBER(SEARCH("tubig",$B839))+ISNUMBER(SEARCH("internet",$B839))+ISNUMBER(SEARCH("pldt",$B839))+ISNUMBER(SEARCH("meralco",$B839))+ISNUMBER(SEARCH("supplies",$B839))+ISNUMBER(SEARCH("office",$B839))+ISNUMBER(SEARCH("professional",$B839))+ISNUMBER(SEARCH("accountant",$B839))+ISNUMBER(SEARCH("lawyer",$B839))+ISNUMBER(SEARCH("broker",$B839))+ISNUMBER(SEARCH("bank",$B839))+ISNUMBER(SEARCH("charge",$B839))+ISNUMBER(SEARCH("permit",$B839))+ISNUMBER(SEARCH("bir",$B839))+ISNUMBER(SEARCH("ltfrb",$B839))+ISNUMBER(SEARCH("misc",$B839))+ISNUMBER(SEARCH("fee",$B839))&gt;0,"Overhead","Overhead")))))))</f>
        <v/>
      </c>
      <c r="J839">
        <f>IF($A839="","",DATE(YEAR($A839),MONTH($A839),1))</f>
        <v/>
      </c>
      <c r="K839">
        <f>IF($B839="","",IF(COUNTIF(Setup!$A$99:$A$128,$B839)&gt;0,0,1))</f>
        <v/>
      </c>
      <c r="L839">
        <f>IF($B839="","",IF(ISNUMBER(SEARCH("advance",$B839)),"ADV",IF(OR(ISNUMBER(SEARCH("payout",$B839)),ISNUMBER(SEARCH("pay out",$B839)),ISNUMBER(SEARCH("release",$B839))),"PAY","")))</f>
        <v/>
      </c>
      <c r="M839">
        <f>IF($B839="","",IF(ISNUMBER(SEARCH("bulk",$B839)),0,IF(ISNUMBER(SEARCH("fuel",$B839))+ISNUMBER(SEARCH("diesel",$B839))+ISNUMBER(SEARCH("krudo",$B839))+ISNUMBER(SEARCH("gasolina",$B839))&gt;0,1,0)))</f>
        <v/>
      </c>
      <c r="N839">
        <f>IF($B839="","",IF(ISNUMBER(SEARCH("fuel",$B839))+ISNUMBER(SEARCH("diesel",$B839))+ISNUMBER(SEARCH("krudo",$B839))+ISNUMBER(SEARCH("gasolina",$B839))&gt;0,1,0))</f>
        <v/>
      </c>
    </row>
    <row r="840">
      <c r="A840" s="94" t="n"/>
      <c r="B840" s="96" t="n"/>
      <c r="C840" s="96" t="n"/>
      <c r="D840" s="95" t="n"/>
      <c r="E840" s="96" t="n"/>
      <c r="F840" s="99" t="n"/>
      <c r="G840" s="95" t="n"/>
      <c r="H840" s="95" t="n"/>
      <c r="I840" s="101">
        <f>IF($B840="","",IF(COUNTIF(Setup!$A$99:$A$128,$B840)&gt;0,IF(INDEX(Setup!$B$99:$B$128,MATCH($B840,Setup!$A$99:$A$128,0))="","Overhead",INDEX(Setup!$B$99:$B$128,MATCH($B840,Setup!$A$99:$A$128,0))),IF(ISNUMBER(SEARCH("advance",$B840))+ISNUMBER(SEARCH("payout",$B840))+ISNUMBER(SEARCH("pay out",$B840))+ISNUMBER(SEARCH("reimburs",$B840))&gt;0,"Transfer",IF(ISNUMBER(SEARCH("loan",$B840))+ISNUMBER(SEARCH("amort",$B840))+ISNUMBER(SEARCH("installment",$B840))+ISNUMBER(SEARCH("instalment",$B840))&gt;0,"Financing",IF(ISNUMBER(SEARCH("draw",$B840))+ISNUMBER(SEARCH("owner",$B840))+ISNUMBER(SEARCH("asset",$B840))+ISNUMBER(SEARCH("capital",$B840))&gt;0,"Other",IF(ISNUMBER(SEARCH("fuel",$B840))+ISNUMBER(SEARCH("diesel",$B840))+ISNUMBER(SEARCH("krudo",$B840))+ISNUMBER(SEARCH("gasolina",$B840))+ISNUMBER(SEARCH("toll",$B840))+ISNUMBER(SEARCH("parking",$B840))+ISNUMBER(SEARCH("repair",$B840))+ISNUMBER(SEARCH("maintenance",$B840))+ISNUMBER(SEARCH("tire",$B840))+ISNUMBER(SEARCH("tyre",$B840))+ISNUMBER(SEARCH("battery",$B840))+ISNUMBER(SEARCH("oil",$B840))+ISNUMBER(SEARCH("filter",$B840))+ISNUMBER(SEARCH("spare",$B840))+ISNUMBER(SEARCH("insurance",$B840))+ISNUMBER(SEARCH("lto",$B840))+ISNUMBER(SEARCH("registration",$B840))+ISNUMBER(SEARCH("emission",$B840))+ISNUMBER(SEARCH("wash",$B840))+ISNUMBER(SEARCH("weigh",$B840))+ISNUMBER(SEARCH("tarp",$B840))&gt;0,"Vehicle",IF(ISNUMBER(SEARCH("rent",$B840))+ISNUMBER(SEARCH("upa",$B840))+ISNUMBER(SEARCH("salary",$B840))+ISNUMBER(SEARCH("sweldo",$B840))+ISNUMBER(SEARCH("wage",$B840))+ISNUMBER(SEARCH("electric",$B840))+ISNUMBER(SEARCH("kuryente",$B840))+ISNUMBER(SEARCH("water",$B840))+ISNUMBER(SEARCH("tubig",$B840))+ISNUMBER(SEARCH("internet",$B840))+ISNUMBER(SEARCH("pldt",$B840))+ISNUMBER(SEARCH("meralco",$B840))+ISNUMBER(SEARCH("supplies",$B840))+ISNUMBER(SEARCH("office",$B840))+ISNUMBER(SEARCH("professional",$B840))+ISNUMBER(SEARCH("accountant",$B840))+ISNUMBER(SEARCH("lawyer",$B840))+ISNUMBER(SEARCH("broker",$B840))+ISNUMBER(SEARCH("bank",$B840))+ISNUMBER(SEARCH("charge",$B840))+ISNUMBER(SEARCH("permit",$B840))+ISNUMBER(SEARCH("bir",$B840))+ISNUMBER(SEARCH("ltfrb",$B840))+ISNUMBER(SEARCH("misc",$B840))+ISNUMBER(SEARCH("fee",$B840))&gt;0,"Overhead","Overhead")))))))</f>
        <v/>
      </c>
      <c r="J840">
        <f>IF($A840="","",DATE(YEAR($A840),MONTH($A840),1))</f>
        <v/>
      </c>
      <c r="K840">
        <f>IF($B840="","",IF(COUNTIF(Setup!$A$99:$A$128,$B840)&gt;0,0,1))</f>
        <v/>
      </c>
      <c r="L840">
        <f>IF($B840="","",IF(ISNUMBER(SEARCH("advance",$B840)),"ADV",IF(OR(ISNUMBER(SEARCH("payout",$B840)),ISNUMBER(SEARCH("pay out",$B840)),ISNUMBER(SEARCH("release",$B840))),"PAY","")))</f>
        <v/>
      </c>
      <c r="M840">
        <f>IF($B840="","",IF(ISNUMBER(SEARCH("bulk",$B840)),0,IF(ISNUMBER(SEARCH("fuel",$B840))+ISNUMBER(SEARCH("diesel",$B840))+ISNUMBER(SEARCH("krudo",$B840))+ISNUMBER(SEARCH("gasolina",$B840))&gt;0,1,0)))</f>
        <v/>
      </c>
      <c r="N840">
        <f>IF($B840="","",IF(ISNUMBER(SEARCH("fuel",$B840))+ISNUMBER(SEARCH("diesel",$B840))+ISNUMBER(SEARCH("krudo",$B840))+ISNUMBER(SEARCH("gasolina",$B840))&gt;0,1,0))</f>
        <v/>
      </c>
    </row>
    <row r="841">
      <c r="A841" s="86" t="n"/>
      <c r="B841" s="88" t="n"/>
      <c r="C841" s="88" t="n"/>
      <c r="D841" s="87" t="n"/>
      <c r="E841" s="88" t="n"/>
      <c r="F841" s="92" t="n"/>
      <c r="G841" s="87" t="n"/>
      <c r="H841" s="87" t="n"/>
      <c r="I841" s="101">
        <f>IF($B841="","",IF(COUNTIF(Setup!$A$99:$A$128,$B841)&gt;0,IF(INDEX(Setup!$B$99:$B$128,MATCH($B841,Setup!$A$99:$A$128,0))="","Overhead",INDEX(Setup!$B$99:$B$128,MATCH($B841,Setup!$A$99:$A$128,0))),IF(ISNUMBER(SEARCH("advance",$B841))+ISNUMBER(SEARCH("payout",$B841))+ISNUMBER(SEARCH("pay out",$B841))+ISNUMBER(SEARCH("reimburs",$B841))&gt;0,"Transfer",IF(ISNUMBER(SEARCH("loan",$B841))+ISNUMBER(SEARCH("amort",$B841))+ISNUMBER(SEARCH("installment",$B841))+ISNUMBER(SEARCH("instalment",$B841))&gt;0,"Financing",IF(ISNUMBER(SEARCH("draw",$B841))+ISNUMBER(SEARCH("owner",$B841))+ISNUMBER(SEARCH("asset",$B841))+ISNUMBER(SEARCH("capital",$B841))&gt;0,"Other",IF(ISNUMBER(SEARCH("fuel",$B841))+ISNUMBER(SEARCH("diesel",$B841))+ISNUMBER(SEARCH("krudo",$B841))+ISNUMBER(SEARCH("gasolina",$B841))+ISNUMBER(SEARCH("toll",$B841))+ISNUMBER(SEARCH("parking",$B841))+ISNUMBER(SEARCH("repair",$B841))+ISNUMBER(SEARCH("maintenance",$B841))+ISNUMBER(SEARCH("tire",$B841))+ISNUMBER(SEARCH("tyre",$B841))+ISNUMBER(SEARCH("battery",$B841))+ISNUMBER(SEARCH("oil",$B841))+ISNUMBER(SEARCH("filter",$B841))+ISNUMBER(SEARCH("spare",$B841))+ISNUMBER(SEARCH("insurance",$B841))+ISNUMBER(SEARCH("lto",$B841))+ISNUMBER(SEARCH("registration",$B841))+ISNUMBER(SEARCH("emission",$B841))+ISNUMBER(SEARCH("wash",$B841))+ISNUMBER(SEARCH("weigh",$B841))+ISNUMBER(SEARCH("tarp",$B841))&gt;0,"Vehicle",IF(ISNUMBER(SEARCH("rent",$B841))+ISNUMBER(SEARCH("upa",$B841))+ISNUMBER(SEARCH("salary",$B841))+ISNUMBER(SEARCH("sweldo",$B841))+ISNUMBER(SEARCH("wage",$B841))+ISNUMBER(SEARCH("electric",$B841))+ISNUMBER(SEARCH("kuryente",$B841))+ISNUMBER(SEARCH("water",$B841))+ISNUMBER(SEARCH("tubig",$B841))+ISNUMBER(SEARCH("internet",$B841))+ISNUMBER(SEARCH("pldt",$B841))+ISNUMBER(SEARCH("meralco",$B841))+ISNUMBER(SEARCH("supplies",$B841))+ISNUMBER(SEARCH("office",$B841))+ISNUMBER(SEARCH("professional",$B841))+ISNUMBER(SEARCH("accountant",$B841))+ISNUMBER(SEARCH("lawyer",$B841))+ISNUMBER(SEARCH("broker",$B841))+ISNUMBER(SEARCH("bank",$B841))+ISNUMBER(SEARCH("charge",$B841))+ISNUMBER(SEARCH("permit",$B841))+ISNUMBER(SEARCH("bir",$B841))+ISNUMBER(SEARCH("ltfrb",$B841))+ISNUMBER(SEARCH("misc",$B841))+ISNUMBER(SEARCH("fee",$B841))&gt;0,"Overhead","Overhead")))))))</f>
        <v/>
      </c>
      <c r="J841">
        <f>IF($A841="","",DATE(YEAR($A841),MONTH($A841),1))</f>
        <v/>
      </c>
      <c r="K841">
        <f>IF($B841="","",IF(COUNTIF(Setup!$A$99:$A$128,$B841)&gt;0,0,1))</f>
        <v/>
      </c>
      <c r="L841">
        <f>IF($B841="","",IF(ISNUMBER(SEARCH("advance",$B841)),"ADV",IF(OR(ISNUMBER(SEARCH("payout",$B841)),ISNUMBER(SEARCH("pay out",$B841)),ISNUMBER(SEARCH("release",$B841))),"PAY","")))</f>
        <v/>
      </c>
      <c r="M841">
        <f>IF($B841="","",IF(ISNUMBER(SEARCH("bulk",$B841)),0,IF(ISNUMBER(SEARCH("fuel",$B841))+ISNUMBER(SEARCH("diesel",$B841))+ISNUMBER(SEARCH("krudo",$B841))+ISNUMBER(SEARCH("gasolina",$B841))&gt;0,1,0)))</f>
        <v/>
      </c>
      <c r="N841">
        <f>IF($B841="","",IF(ISNUMBER(SEARCH("fuel",$B841))+ISNUMBER(SEARCH("diesel",$B841))+ISNUMBER(SEARCH("krudo",$B841))+ISNUMBER(SEARCH("gasolina",$B841))&gt;0,1,0))</f>
        <v/>
      </c>
    </row>
    <row r="842">
      <c r="A842" s="94" t="n"/>
      <c r="B842" s="96" t="n"/>
      <c r="C842" s="96" t="n"/>
      <c r="D842" s="95" t="n"/>
      <c r="E842" s="96" t="n"/>
      <c r="F842" s="99" t="n"/>
      <c r="G842" s="95" t="n"/>
      <c r="H842" s="95" t="n"/>
      <c r="I842" s="101">
        <f>IF($B842="","",IF(COUNTIF(Setup!$A$99:$A$128,$B842)&gt;0,IF(INDEX(Setup!$B$99:$B$128,MATCH($B842,Setup!$A$99:$A$128,0))="","Overhead",INDEX(Setup!$B$99:$B$128,MATCH($B842,Setup!$A$99:$A$128,0))),IF(ISNUMBER(SEARCH("advance",$B842))+ISNUMBER(SEARCH("payout",$B842))+ISNUMBER(SEARCH("pay out",$B842))+ISNUMBER(SEARCH("reimburs",$B842))&gt;0,"Transfer",IF(ISNUMBER(SEARCH("loan",$B842))+ISNUMBER(SEARCH("amort",$B842))+ISNUMBER(SEARCH("installment",$B842))+ISNUMBER(SEARCH("instalment",$B842))&gt;0,"Financing",IF(ISNUMBER(SEARCH("draw",$B842))+ISNUMBER(SEARCH("owner",$B842))+ISNUMBER(SEARCH("asset",$B842))+ISNUMBER(SEARCH("capital",$B842))&gt;0,"Other",IF(ISNUMBER(SEARCH("fuel",$B842))+ISNUMBER(SEARCH("diesel",$B842))+ISNUMBER(SEARCH("krudo",$B842))+ISNUMBER(SEARCH("gasolina",$B842))+ISNUMBER(SEARCH("toll",$B842))+ISNUMBER(SEARCH("parking",$B842))+ISNUMBER(SEARCH("repair",$B842))+ISNUMBER(SEARCH("maintenance",$B842))+ISNUMBER(SEARCH("tire",$B842))+ISNUMBER(SEARCH("tyre",$B842))+ISNUMBER(SEARCH("battery",$B842))+ISNUMBER(SEARCH("oil",$B842))+ISNUMBER(SEARCH("filter",$B842))+ISNUMBER(SEARCH("spare",$B842))+ISNUMBER(SEARCH("insurance",$B842))+ISNUMBER(SEARCH("lto",$B842))+ISNUMBER(SEARCH("registration",$B842))+ISNUMBER(SEARCH("emission",$B842))+ISNUMBER(SEARCH("wash",$B842))+ISNUMBER(SEARCH("weigh",$B842))+ISNUMBER(SEARCH("tarp",$B842))&gt;0,"Vehicle",IF(ISNUMBER(SEARCH("rent",$B842))+ISNUMBER(SEARCH("upa",$B842))+ISNUMBER(SEARCH("salary",$B842))+ISNUMBER(SEARCH("sweldo",$B842))+ISNUMBER(SEARCH("wage",$B842))+ISNUMBER(SEARCH("electric",$B842))+ISNUMBER(SEARCH("kuryente",$B842))+ISNUMBER(SEARCH("water",$B842))+ISNUMBER(SEARCH("tubig",$B842))+ISNUMBER(SEARCH("internet",$B842))+ISNUMBER(SEARCH("pldt",$B842))+ISNUMBER(SEARCH("meralco",$B842))+ISNUMBER(SEARCH("supplies",$B842))+ISNUMBER(SEARCH("office",$B842))+ISNUMBER(SEARCH("professional",$B842))+ISNUMBER(SEARCH("accountant",$B842))+ISNUMBER(SEARCH("lawyer",$B842))+ISNUMBER(SEARCH("broker",$B842))+ISNUMBER(SEARCH("bank",$B842))+ISNUMBER(SEARCH("charge",$B842))+ISNUMBER(SEARCH("permit",$B842))+ISNUMBER(SEARCH("bir",$B842))+ISNUMBER(SEARCH("ltfrb",$B842))+ISNUMBER(SEARCH("misc",$B842))+ISNUMBER(SEARCH("fee",$B842))&gt;0,"Overhead","Overhead")))))))</f>
        <v/>
      </c>
      <c r="J842">
        <f>IF($A842="","",DATE(YEAR($A842),MONTH($A842),1))</f>
        <v/>
      </c>
      <c r="K842">
        <f>IF($B842="","",IF(COUNTIF(Setup!$A$99:$A$128,$B842)&gt;0,0,1))</f>
        <v/>
      </c>
      <c r="L842">
        <f>IF($B842="","",IF(ISNUMBER(SEARCH("advance",$B842)),"ADV",IF(OR(ISNUMBER(SEARCH("payout",$B842)),ISNUMBER(SEARCH("pay out",$B842)),ISNUMBER(SEARCH("release",$B842))),"PAY","")))</f>
        <v/>
      </c>
      <c r="M842">
        <f>IF($B842="","",IF(ISNUMBER(SEARCH("bulk",$B842)),0,IF(ISNUMBER(SEARCH("fuel",$B842))+ISNUMBER(SEARCH("diesel",$B842))+ISNUMBER(SEARCH("krudo",$B842))+ISNUMBER(SEARCH("gasolina",$B842))&gt;0,1,0)))</f>
        <v/>
      </c>
      <c r="N842">
        <f>IF($B842="","",IF(ISNUMBER(SEARCH("fuel",$B842))+ISNUMBER(SEARCH("diesel",$B842))+ISNUMBER(SEARCH("krudo",$B842))+ISNUMBER(SEARCH("gasolina",$B842))&gt;0,1,0))</f>
        <v/>
      </c>
    </row>
    <row r="843">
      <c r="A843" s="86" t="n"/>
      <c r="B843" s="88" t="n"/>
      <c r="C843" s="88" t="n"/>
      <c r="D843" s="87" t="n"/>
      <c r="E843" s="88" t="n"/>
      <c r="F843" s="92" t="n"/>
      <c r="G843" s="87" t="n"/>
      <c r="H843" s="87" t="n"/>
      <c r="I843" s="101">
        <f>IF($B843="","",IF(COUNTIF(Setup!$A$99:$A$128,$B843)&gt;0,IF(INDEX(Setup!$B$99:$B$128,MATCH($B843,Setup!$A$99:$A$128,0))="","Overhead",INDEX(Setup!$B$99:$B$128,MATCH($B843,Setup!$A$99:$A$128,0))),IF(ISNUMBER(SEARCH("advance",$B843))+ISNUMBER(SEARCH("payout",$B843))+ISNUMBER(SEARCH("pay out",$B843))+ISNUMBER(SEARCH("reimburs",$B843))&gt;0,"Transfer",IF(ISNUMBER(SEARCH("loan",$B843))+ISNUMBER(SEARCH("amort",$B843))+ISNUMBER(SEARCH("installment",$B843))+ISNUMBER(SEARCH("instalment",$B843))&gt;0,"Financing",IF(ISNUMBER(SEARCH("draw",$B843))+ISNUMBER(SEARCH("owner",$B843))+ISNUMBER(SEARCH("asset",$B843))+ISNUMBER(SEARCH("capital",$B843))&gt;0,"Other",IF(ISNUMBER(SEARCH("fuel",$B843))+ISNUMBER(SEARCH("diesel",$B843))+ISNUMBER(SEARCH("krudo",$B843))+ISNUMBER(SEARCH("gasolina",$B843))+ISNUMBER(SEARCH("toll",$B843))+ISNUMBER(SEARCH("parking",$B843))+ISNUMBER(SEARCH("repair",$B843))+ISNUMBER(SEARCH("maintenance",$B843))+ISNUMBER(SEARCH("tire",$B843))+ISNUMBER(SEARCH("tyre",$B843))+ISNUMBER(SEARCH("battery",$B843))+ISNUMBER(SEARCH("oil",$B843))+ISNUMBER(SEARCH("filter",$B843))+ISNUMBER(SEARCH("spare",$B843))+ISNUMBER(SEARCH("insurance",$B843))+ISNUMBER(SEARCH("lto",$B843))+ISNUMBER(SEARCH("registration",$B843))+ISNUMBER(SEARCH("emission",$B843))+ISNUMBER(SEARCH("wash",$B843))+ISNUMBER(SEARCH("weigh",$B843))+ISNUMBER(SEARCH("tarp",$B843))&gt;0,"Vehicle",IF(ISNUMBER(SEARCH("rent",$B843))+ISNUMBER(SEARCH("upa",$B843))+ISNUMBER(SEARCH("salary",$B843))+ISNUMBER(SEARCH("sweldo",$B843))+ISNUMBER(SEARCH("wage",$B843))+ISNUMBER(SEARCH("electric",$B843))+ISNUMBER(SEARCH("kuryente",$B843))+ISNUMBER(SEARCH("water",$B843))+ISNUMBER(SEARCH("tubig",$B843))+ISNUMBER(SEARCH("internet",$B843))+ISNUMBER(SEARCH("pldt",$B843))+ISNUMBER(SEARCH("meralco",$B843))+ISNUMBER(SEARCH("supplies",$B843))+ISNUMBER(SEARCH("office",$B843))+ISNUMBER(SEARCH("professional",$B843))+ISNUMBER(SEARCH("accountant",$B843))+ISNUMBER(SEARCH("lawyer",$B843))+ISNUMBER(SEARCH("broker",$B843))+ISNUMBER(SEARCH("bank",$B843))+ISNUMBER(SEARCH("charge",$B843))+ISNUMBER(SEARCH("permit",$B843))+ISNUMBER(SEARCH("bir",$B843))+ISNUMBER(SEARCH("ltfrb",$B843))+ISNUMBER(SEARCH("misc",$B843))+ISNUMBER(SEARCH("fee",$B843))&gt;0,"Overhead","Overhead")))))))</f>
        <v/>
      </c>
      <c r="J843">
        <f>IF($A843="","",DATE(YEAR($A843),MONTH($A843),1))</f>
        <v/>
      </c>
      <c r="K843">
        <f>IF($B843="","",IF(COUNTIF(Setup!$A$99:$A$128,$B843)&gt;0,0,1))</f>
        <v/>
      </c>
      <c r="L843">
        <f>IF($B843="","",IF(ISNUMBER(SEARCH("advance",$B843)),"ADV",IF(OR(ISNUMBER(SEARCH("payout",$B843)),ISNUMBER(SEARCH("pay out",$B843)),ISNUMBER(SEARCH("release",$B843))),"PAY","")))</f>
        <v/>
      </c>
      <c r="M843">
        <f>IF($B843="","",IF(ISNUMBER(SEARCH("bulk",$B843)),0,IF(ISNUMBER(SEARCH("fuel",$B843))+ISNUMBER(SEARCH("diesel",$B843))+ISNUMBER(SEARCH("krudo",$B843))+ISNUMBER(SEARCH("gasolina",$B843))&gt;0,1,0)))</f>
        <v/>
      </c>
      <c r="N843">
        <f>IF($B843="","",IF(ISNUMBER(SEARCH("fuel",$B843))+ISNUMBER(SEARCH("diesel",$B843))+ISNUMBER(SEARCH("krudo",$B843))+ISNUMBER(SEARCH("gasolina",$B843))&gt;0,1,0))</f>
        <v/>
      </c>
    </row>
    <row r="844">
      <c r="A844" s="94" t="n"/>
      <c r="B844" s="96" t="n"/>
      <c r="C844" s="96" t="n"/>
      <c r="D844" s="95" t="n"/>
      <c r="E844" s="96" t="n"/>
      <c r="F844" s="99" t="n"/>
      <c r="G844" s="95" t="n"/>
      <c r="H844" s="95" t="n"/>
      <c r="I844" s="101">
        <f>IF($B844="","",IF(COUNTIF(Setup!$A$99:$A$128,$B844)&gt;0,IF(INDEX(Setup!$B$99:$B$128,MATCH($B844,Setup!$A$99:$A$128,0))="","Overhead",INDEX(Setup!$B$99:$B$128,MATCH($B844,Setup!$A$99:$A$128,0))),IF(ISNUMBER(SEARCH("advance",$B844))+ISNUMBER(SEARCH("payout",$B844))+ISNUMBER(SEARCH("pay out",$B844))+ISNUMBER(SEARCH("reimburs",$B844))&gt;0,"Transfer",IF(ISNUMBER(SEARCH("loan",$B844))+ISNUMBER(SEARCH("amort",$B844))+ISNUMBER(SEARCH("installment",$B844))+ISNUMBER(SEARCH("instalment",$B844))&gt;0,"Financing",IF(ISNUMBER(SEARCH("draw",$B844))+ISNUMBER(SEARCH("owner",$B844))+ISNUMBER(SEARCH("asset",$B844))+ISNUMBER(SEARCH("capital",$B844))&gt;0,"Other",IF(ISNUMBER(SEARCH("fuel",$B844))+ISNUMBER(SEARCH("diesel",$B844))+ISNUMBER(SEARCH("krudo",$B844))+ISNUMBER(SEARCH("gasolina",$B844))+ISNUMBER(SEARCH("toll",$B844))+ISNUMBER(SEARCH("parking",$B844))+ISNUMBER(SEARCH("repair",$B844))+ISNUMBER(SEARCH("maintenance",$B844))+ISNUMBER(SEARCH("tire",$B844))+ISNUMBER(SEARCH("tyre",$B844))+ISNUMBER(SEARCH("battery",$B844))+ISNUMBER(SEARCH("oil",$B844))+ISNUMBER(SEARCH("filter",$B844))+ISNUMBER(SEARCH("spare",$B844))+ISNUMBER(SEARCH("insurance",$B844))+ISNUMBER(SEARCH("lto",$B844))+ISNUMBER(SEARCH("registration",$B844))+ISNUMBER(SEARCH("emission",$B844))+ISNUMBER(SEARCH("wash",$B844))+ISNUMBER(SEARCH("weigh",$B844))+ISNUMBER(SEARCH("tarp",$B844))&gt;0,"Vehicle",IF(ISNUMBER(SEARCH("rent",$B844))+ISNUMBER(SEARCH("upa",$B844))+ISNUMBER(SEARCH("salary",$B844))+ISNUMBER(SEARCH("sweldo",$B844))+ISNUMBER(SEARCH("wage",$B844))+ISNUMBER(SEARCH("electric",$B844))+ISNUMBER(SEARCH("kuryente",$B844))+ISNUMBER(SEARCH("water",$B844))+ISNUMBER(SEARCH("tubig",$B844))+ISNUMBER(SEARCH("internet",$B844))+ISNUMBER(SEARCH("pldt",$B844))+ISNUMBER(SEARCH("meralco",$B844))+ISNUMBER(SEARCH("supplies",$B844))+ISNUMBER(SEARCH("office",$B844))+ISNUMBER(SEARCH("professional",$B844))+ISNUMBER(SEARCH("accountant",$B844))+ISNUMBER(SEARCH("lawyer",$B844))+ISNUMBER(SEARCH("broker",$B844))+ISNUMBER(SEARCH("bank",$B844))+ISNUMBER(SEARCH("charge",$B844))+ISNUMBER(SEARCH("permit",$B844))+ISNUMBER(SEARCH("bir",$B844))+ISNUMBER(SEARCH("ltfrb",$B844))+ISNUMBER(SEARCH("misc",$B844))+ISNUMBER(SEARCH("fee",$B844))&gt;0,"Overhead","Overhead")))))))</f>
        <v/>
      </c>
      <c r="J844">
        <f>IF($A844="","",DATE(YEAR($A844),MONTH($A844),1))</f>
        <v/>
      </c>
      <c r="K844">
        <f>IF($B844="","",IF(COUNTIF(Setup!$A$99:$A$128,$B844)&gt;0,0,1))</f>
        <v/>
      </c>
      <c r="L844">
        <f>IF($B844="","",IF(ISNUMBER(SEARCH("advance",$B844)),"ADV",IF(OR(ISNUMBER(SEARCH("payout",$B844)),ISNUMBER(SEARCH("pay out",$B844)),ISNUMBER(SEARCH("release",$B844))),"PAY","")))</f>
        <v/>
      </c>
      <c r="M844">
        <f>IF($B844="","",IF(ISNUMBER(SEARCH("bulk",$B844)),0,IF(ISNUMBER(SEARCH("fuel",$B844))+ISNUMBER(SEARCH("diesel",$B844))+ISNUMBER(SEARCH("krudo",$B844))+ISNUMBER(SEARCH("gasolina",$B844))&gt;0,1,0)))</f>
        <v/>
      </c>
      <c r="N844">
        <f>IF($B844="","",IF(ISNUMBER(SEARCH("fuel",$B844))+ISNUMBER(SEARCH("diesel",$B844))+ISNUMBER(SEARCH("krudo",$B844))+ISNUMBER(SEARCH("gasolina",$B844))&gt;0,1,0))</f>
        <v/>
      </c>
    </row>
    <row r="845">
      <c r="A845" s="86" t="n"/>
      <c r="B845" s="88" t="n"/>
      <c r="C845" s="88" t="n"/>
      <c r="D845" s="87" t="n"/>
      <c r="E845" s="88" t="n"/>
      <c r="F845" s="92" t="n"/>
      <c r="G845" s="87" t="n"/>
      <c r="H845" s="87" t="n"/>
      <c r="I845" s="101">
        <f>IF($B845="","",IF(COUNTIF(Setup!$A$99:$A$128,$B845)&gt;0,IF(INDEX(Setup!$B$99:$B$128,MATCH($B845,Setup!$A$99:$A$128,0))="","Overhead",INDEX(Setup!$B$99:$B$128,MATCH($B845,Setup!$A$99:$A$128,0))),IF(ISNUMBER(SEARCH("advance",$B845))+ISNUMBER(SEARCH("payout",$B845))+ISNUMBER(SEARCH("pay out",$B845))+ISNUMBER(SEARCH("reimburs",$B845))&gt;0,"Transfer",IF(ISNUMBER(SEARCH("loan",$B845))+ISNUMBER(SEARCH("amort",$B845))+ISNUMBER(SEARCH("installment",$B845))+ISNUMBER(SEARCH("instalment",$B845))&gt;0,"Financing",IF(ISNUMBER(SEARCH("draw",$B845))+ISNUMBER(SEARCH("owner",$B845))+ISNUMBER(SEARCH("asset",$B845))+ISNUMBER(SEARCH("capital",$B845))&gt;0,"Other",IF(ISNUMBER(SEARCH("fuel",$B845))+ISNUMBER(SEARCH("diesel",$B845))+ISNUMBER(SEARCH("krudo",$B845))+ISNUMBER(SEARCH("gasolina",$B845))+ISNUMBER(SEARCH("toll",$B845))+ISNUMBER(SEARCH("parking",$B845))+ISNUMBER(SEARCH("repair",$B845))+ISNUMBER(SEARCH("maintenance",$B845))+ISNUMBER(SEARCH("tire",$B845))+ISNUMBER(SEARCH("tyre",$B845))+ISNUMBER(SEARCH("battery",$B845))+ISNUMBER(SEARCH("oil",$B845))+ISNUMBER(SEARCH("filter",$B845))+ISNUMBER(SEARCH("spare",$B845))+ISNUMBER(SEARCH("insurance",$B845))+ISNUMBER(SEARCH("lto",$B845))+ISNUMBER(SEARCH("registration",$B845))+ISNUMBER(SEARCH("emission",$B845))+ISNUMBER(SEARCH("wash",$B845))+ISNUMBER(SEARCH("weigh",$B845))+ISNUMBER(SEARCH("tarp",$B845))&gt;0,"Vehicle",IF(ISNUMBER(SEARCH("rent",$B845))+ISNUMBER(SEARCH("upa",$B845))+ISNUMBER(SEARCH("salary",$B845))+ISNUMBER(SEARCH("sweldo",$B845))+ISNUMBER(SEARCH("wage",$B845))+ISNUMBER(SEARCH("electric",$B845))+ISNUMBER(SEARCH("kuryente",$B845))+ISNUMBER(SEARCH("water",$B845))+ISNUMBER(SEARCH("tubig",$B845))+ISNUMBER(SEARCH("internet",$B845))+ISNUMBER(SEARCH("pldt",$B845))+ISNUMBER(SEARCH("meralco",$B845))+ISNUMBER(SEARCH("supplies",$B845))+ISNUMBER(SEARCH("office",$B845))+ISNUMBER(SEARCH("professional",$B845))+ISNUMBER(SEARCH("accountant",$B845))+ISNUMBER(SEARCH("lawyer",$B845))+ISNUMBER(SEARCH("broker",$B845))+ISNUMBER(SEARCH("bank",$B845))+ISNUMBER(SEARCH("charge",$B845))+ISNUMBER(SEARCH("permit",$B845))+ISNUMBER(SEARCH("bir",$B845))+ISNUMBER(SEARCH("ltfrb",$B845))+ISNUMBER(SEARCH("misc",$B845))+ISNUMBER(SEARCH("fee",$B845))&gt;0,"Overhead","Overhead")))))))</f>
        <v/>
      </c>
      <c r="J845">
        <f>IF($A845="","",DATE(YEAR($A845),MONTH($A845),1))</f>
        <v/>
      </c>
      <c r="K845">
        <f>IF($B845="","",IF(COUNTIF(Setup!$A$99:$A$128,$B845)&gt;0,0,1))</f>
        <v/>
      </c>
      <c r="L845">
        <f>IF($B845="","",IF(ISNUMBER(SEARCH("advance",$B845)),"ADV",IF(OR(ISNUMBER(SEARCH("payout",$B845)),ISNUMBER(SEARCH("pay out",$B845)),ISNUMBER(SEARCH("release",$B845))),"PAY","")))</f>
        <v/>
      </c>
      <c r="M845">
        <f>IF($B845="","",IF(ISNUMBER(SEARCH("bulk",$B845)),0,IF(ISNUMBER(SEARCH("fuel",$B845))+ISNUMBER(SEARCH("diesel",$B845))+ISNUMBER(SEARCH("krudo",$B845))+ISNUMBER(SEARCH("gasolina",$B845))&gt;0,1,0)))</f>
        <v/>
      </c>
      <c r="N845">
        <f>IF($B845="","",IF(ISNUMBER(SEARCH("fuel",$B845))+ISNUMBER(SEARCH("diesel",$B845))+ISNUMBER(SEARCH("krudo",$B845))+ISNUMBER(SEARCH("gasolina",$B845))&gt;0,1,0))</f>
        <v/>
      </c>
    </row>
    <row r="846">
      <c r="A846" s="94" t="n"/>
      <c r="B846" s="96" t="n"/>
      <c r="C846" s="96" t="n"/>
      <c r="D846" s="95" t="n"/>
      <c r="E846" s="96" t="n"/>
      <c r="F846" s="99" t="n"/>
      <c r="G846" s="95" t="n"/>
      <c r="H846" s="95" t="n"/>
      <c r="I846" s="101">
        <f>IF($B846="","",IF(COUNTIF(Setup!$A$99:$A$128,$B846)&gt;0,IF(INDEX(Setup!$B$99:$B$128,MATCH($B846,Setup!$A$99:$A$128,0))="","Overhead",INDEX(Setup!$B$99:$B$128,MATCH($B846,Setup!$A$99:$A$128,0))),IF(ISNUMBER(SEARCH("advance",$B846))+ISNUMBER(SEARCH("payout",$B846))+ISNUMBER(SEARCH("pay out",$B846))+ISNUMBER(SEARCH("reimburs",$B846))&gt;0,"Transfer",IF(ISNUMBER(SEARCH("loan",$B846))+ISNUMBER(SEARCH("amort",$B846))+ISNUMBER(SEARCH("installment",$B846))+ISNUMBER(SEARCH("instalment",$B846))&gt;0,"Financing",IF(ISNUMBER(SEARCH("draw",$B846))+ISNUMBER(SEARCH("owner",$B846))+ISNUMBER(SEARCH("asset",$B846))+ISNUMBER(SEARCH("capital",$B846))&gt;0,"Other",IF(ISNUMBER(SEARCH("fuel",$B846))+ISNUMBER(SEARCH("diesel",$B846))+ISNUMBER(SEARCH("krudo",$B846))+ISNUMBER(SEARCH("gasolina",$B846))+ISNUMBER(SEARCH("toll",$B846))+ISNUMBER(SEARCH("parking",$B846))+ISNUMBER(SEARCH("repair",$B846))+ISNUMBER(SEARCH("maintenance",$B846))+ISNUMBER(SEARCH("tire",$B846))+ISNUMBER(SEARCH("tyre",$B846))+ISNUMBER(SEARCH("battery",$B846))+ISNUMBER(SEARCH("oil",$B846))+ISNUMBER(SEARCH("filter",$B846))+ISNUMBER(SEARCH("spare",$B846))+ISNUMBER(SEARCH("insurance",$B846))+ISNUMBER(SEARCH("lto",$B846))+ISNUMBER(SEARCH("registration",$B846))+ISNUMBER(SEARCH("emission",$B846))+ISNUMBER(SEARCH("wash",$B846))+ISNUMBER(SEARCH("weigh",$B846))+ISNUMBER(SEARCH("tarp",$B846))&gt;0,"Vehicle",IF(ISNUMBER(SEARCH("rent",$B846))+ISNUMBER(SEARCH("upa",$B846))+ISNUMBER(SEARCH("salary",$B846))+ISNUMBER(SEARCH("sweldo",$B846))+ISNUMBER(SEARCH("wage",$B846))+ISNUMBER(SEARCH("electric",$B846))+ISNUMBER(SEARCH("kuryente",$B846))+ISNUMBER(SEARCH("water",$B846))+ISNUMBER(SEARCH("tubig",$B846))+ISNUMBER(SEARCH("internet",$B846))+ISNUMBER(SEARCH("pldt",$B846))+ISNUMBER(SEARCH("meralco",$B846))+ISNUMBER(SEARCH("supplies",$B846))+ISNUMBER(SEARCH("office",$B846))+ISNUMBER(SEARCH("professional",$B846))+ISNUMBER(SEARCH("accountant",$B846))+ISNUMBER(SEARCH("lawyer",$B846))+ISNUMBER(SEARCH("broker",$B846))+ISNUMBER(SEARCH("bank",$B846))+ISNUMBER(SEARCH("charge",$B846))+ISNUMBER(SEARCH("permit",$B846))+ISNUMBER(SEARCH("bir",$B846))+ISNUMBER(SEARCH("ltfrb",$B846))+ISNUMBER(SEARCH("misc",$B846))+ISNUMBER(SEARCH("fee",$B846))&gt;0,"Overhead","Overhead")))))))</f>
        <v/>
      </c>
      <c r="J846">
        <f>IF($A846="","",DATE(YEAR($A846),MONTH($A846),1))</f>
        <v/>
      </c>
      <c r="K846">
        <f>IF($B846="","",IF(COUNTIF(Setup!$A$99:$A$128,$B846)&gt;0,0,1))</f>
        <v/>
      </c>
      <c r="L846">
        <f>IF($B846="","",IF(ISNUMBER(SEARCH("advance",$B846)),"ADV",IF(OR(ISNUMBER(SEARCH("payout",$B846)),ISNUMBER(SEARCH("pay out",$B846)),ISNUMBER(SEARCH("release",$B846))),"PAY","")))</f>
        <v/>
      </c>
      <c r="M846">
        <f>IF($B846="","",IF(ISNUMBER(SEARCH("bulk",$B846)),0,IF(ISNUMBER(SEARCH("fuel",$B846))+ISNUMBER(SEARCH("diesel",$B846))+ISNUMBER(SEARCH("krudo",$B846))+ISNUMBER(SEARCH("gasolina",$B846))&gt;0,1,0)))</f>
        <v/>
      </c>
      <c r="N846">
        <f>IF($B846="","",IF(ISNUMBER(SEARCH("fuel",$B846))+ISNUMBER(SEARCH("diesel",$B846))+ISNUMBER(SEARCH("krudo",$B846))+ISNUMBER(SEARCH("gasolina",$B846))&gt;0,1,0))</f>
        <v/>
      </c>
    </row>
    <row r="847">
      <c r="A847" s="86" t="n"/>
      <c r="B847" s="88" t="n"/>
      <c r="C847" s="88" t="n"/>
      <c r="D847" s="87" t="n"/>
      <c r="E847" s="88" t="n"/>
      <c r="F847" s="92" t="n"/>
      <c r="G847" s="87" t="n"/>
      <c r="H847" s="87" t="n"/>
      <c r="I847" s="101">
        <f>IF($B847="","",IF(COUNTIF(Setup!$A$99:$A$128,$B847)&gt;0,IF(INDEX(Setup!$B$99:$B$128,MATCH($B847,Setup!$A$99:$A$128,0))="","Overhead",INDEX(Setup!$B$99:$B$128,MATCH($B847,Setup!$A$99:$A$128,0))),IF(ISNUMBER(SEARCH("advance",$B847))+ISNUMBER(SEARCH("payout",$B847))+ISNUMBER(SEARCH("pay out",$B847))+ISNUMBER(SEARCH("reimburs",$B847))&gt;0,"Transfer",IF(ISNUMBER(SEARCH("loan",$B847))+ISNUMBER(SEARCH("amort",$B847))+ISNUMBER(SEARCH("installment",$B847))+ISNUMBER(SEARCH("instalment",$B847))&gt;0,"Financing",IF(ISNUMBER(SEARCH("draw",$B847))+ISNUMBER(SEARCH("owner",$B847))+ISNUMBER(SEARCH("asset",$B847))+ISNUMBER(SEARCH("capital",$B847))&gt;0,"Other",IF(ISNUMBER(SEARCH("fuel",$B847))+ISNUMBER(SEARCH("diesel",$B847))+ISNUMBER(SEARCH("krudo",$B847))+ISNUMBER(SEARCH("gasolina",$B847))+ISNUMBER(SEARCH("toll",$B847))+ISNUMBER(SEARCH("parking",$B847))+ISNUMBER(SEARCH("repair",$B847))+ISNUMBER(SEARCH("maintenance",$B847))+ISNUMBER(SEARCH("tire",$B847))+ISNUMBER(SEARCH("tyre",$B847))+ISNUMBER(SEARCH("battery",$B847))+ISNUMBER(SEARCH("oil",$B847))+ISNUMBER(SEARCH("filter",$B847))+ISNUMBER(SEARCH("spare",$B847))+ISNUMBER(SEARCH("insurance",$B847))+ISNUMBER(SEARCH("lto",$B847))+ISNUMBER(SEARCH("registration",$B847))+ISNUMBER(SEARCH("emission",$B847))+ISNUMBER(SEARCH("wash",$B847))+ISNUMBER(SEARCH("weigh",$B847))+ISNUMBER(SEARCH("tarp",$B847))&gt;0,"Vehicle",IF(ISNUMBER(SEARCH("rent",$B847))+ISNUMBER(SEARCH("upa",$B847))+ISNUMBER(SEARCH("salary",$B847))+ISNUMBER(SEARCH("sweldo",$B847))+ISNUMBER(SEARCH("wage",$B847))+ISNUMBER(SEARCH("electric",$B847))+ISNUMBER(SEARCH("kuryente",$B847))+ISNUMBER(SEARCH("water",$B847))+ISNUMBER(SEARCH("tubig",$B847))+ISNUMBER(SEARCH("internet",$B847))+ISNUMBER(SEARCH("pldt",$B847))+ISNUMBER(SEARCH("meralco",$B847))+ISNUMBER(SEARCH("supplies",$B847))+ISNUMBER(SEARCH("office",$B847))+ISNUMBER(SEARCH("professional",$B847))+ISNUMBER(SEARCH("accountant",$B847))+ISNUMBER(SEARCH("lawyer",$B847))+ISNUMBER(SEARCH("broker",$B847))+ISNUMBER(SEARCH("bank",$B847))+ISNUMBER(SEARCH("charge",$B847))+ISNUMBER(SEARCH("permit",$B847))+ISNUMBER(SEARCH("bir",$B847))+ISNUMBER(SEARCH("ltfrb",$B847))+ISNUMBER(SEARCH("misc",$B847))+ISNUMBER(SEARCH("fee",$B847))&gt;0,"Overhead","Overhead")))))))</f>
        <v/>
      </c>
      <c r="J847">
        <f>IF($A847="","",DATE(YEAR($A847),MONTH($A847),1))</f>
        <v/>
      </c>
      <c r="K847">
        <f>IF($B847="","",IF(COUNTIF(Setup!$A$99:$A$128,$B847)&gt;0,0,1))</f>
        <v/>
      </c>
      <c r="L847">
        <f>IF($B847="","",IF(ISNUMBER(SEARCH("advance",$B847)),"ADV",IF(OR(ISNUMBER(SEARCH("payout",$B847)),ISNUMBER(SEARCH("pay out",$B847)),ISNUMBER(SEARCH("release",$B847))),"PAY","")))</f>
        <v/>
      </c>
      <c r="M847">
        <f>IF($B847="","",IF(ISNUMBER(SEARCH("bulk",$B847)),0,IF(ISNUMBER(SEARCH("fuel",$B847))+ISNUMBER(SEARCH("diesel",$B847))+ISNUMBER(SEARCH("krudo",$B847))+ISNUMBER(SEARCH("gasolina",$B847))&gt;0,1,0)))</f>
        <v/>
      </c>
      <c r="N847">
        <f>IF($B847="","",IF(ISNUMBER(SEARCH("fuel",$B847))+ISNUMBER(SEARCH("diesel",$B847))+ISNUMBER(SEARCH("krudo",$B847))+ISNUMBER(SEARCH("gasolina",$B847))&gt;0,1,0))</f>
        <v/>
      </c>
    </row>
    <row r="848">
      <c r="A848" s="94" t="n"/>
      <c r="B848" s="96" t="n"/>
      <c r="C848" s="96" t="n"/>
      <c r="D848" s="95" t="n"/>
      <c r="E848" s="96" t="n"/>
      <c r="F848" s="99" t="n"/>
      <c r="G848" s="95" t="n"/>
      <c r="H848" s="95" t="n"/>
      <c r="I848" s="101">
        <f>IF($B848="","",IF(COUNTIF(Setup!$A$99:$A$128,$B848)&gt;0,IF(INDEX(Setup!$B$99:$B$128,MATCH($B848,Setup!$A$99:$A$128,0))="","Overhead",INDEX(Setup!$B$99:$B$128,MATCH($B848,Setup!$A$99:$A$128,0))),IF(ISNUMBER(SEARCH("advance",$B848))+ISNUMBER(SEARCH("payout",$B848))+ISNUMBER(SEARCH("pay out",$B848))+ISNUMBER(SEARCH("reimburs",$B848))&gt;0,"Transfer",IF(ISNUMBER(SEARCH("loan",$B848))+ISNUMBER(SEARCH("amort",$B848))+ISNUMBER(SEARCH("installment",$B848))+ISNUMBER(SEARCH("instalment",$B848))&gt;0,"Financing",IF(ISNUMBER(SEARCH("draw",$B848))+ISNUMBER(SEARCH("owner",$B848))+ISNUMBER(SEARCH("asset",$B848))+ISNUMBER(SEARCH("capital",$B848))&gt;0,"Other",IF(ISNUMBER(SEARCH("fuel",$B848))+ISNUMBER(SEARCH("diesel",$B848))+ISNUMBER(SEARCH("krudo",$B848))+ISNUMBER(SEARCH("gasolina",$B848))+ISNUMBER(SEARCH("toll",$B848))+ISNUMBER(SEARCH("parking",$B848))+ISNUMBER(SEARCH("repair",$B848))+ISNUMBER(SEARCH("maintenance",$B848))+ISNUMBER(SEARCH("tire",$B848))+ISNUMBER(SEARCH("tyre",$B848))+ISNUMBER(SEARCH("battery",$B848))+ISNUMBER(SEARCH("oil",$B848))+ISNUMBER(SEARCH("filter",$B848))+ISNUMBER(SEARCH("spare",$B848))+ISNUMBER(SEARCH("insurance",$B848))+ISNUMBER(SEARCH("lto",$B848))+ISNUMBER(SEARCH("registration",$B848))+ISNUMBER(SEARCH("emission",$B848))+ISNUMBER(SEARCH("wash",$B848))+ISNUMBER(SEARCH("weigh",$B848))+ISNUMBER(SEARCH("tarp",$B848))&gt;0,"Vehicle",IF(ISNUMBER(SEARCH("rent",$B848))+ISNUMBER(SEARCH("upa",$B848))+ISNUMBER(SEARCH("salary",$B848))+ISNUMBER(SEARCH("sweldo",$B848))+ISNUMBER(SEARCH("wage",$B848))+ISNUMBER(SEARCH("electric",$B848))+ISNUMBER(SEARCH("kuryente",$B848))+ISNUMBER(SEARCH("water",$B848))+ISNUMBER(SEARCH("tubig",$B848))+ISNUMBER(SEARCH("internet",$B848))+ISNUMBER(SEARCH("pldt",$B848))+ISNUMBER(SEARCH("meralco",$B848))+ISNUMBER(SEARCH("supplies",$B848))+ISNUMBER(SEARCH("office",$B848))+ISNUMBER(SEARCH("professional",$B848))+ISNUMBER(SEARCH("accountant",$B848))+ISNUMBER(SEARCH("lawyer",$B848))+ISNUMBER(SEARCH("broker",$B848))+ISNUMBER(SEARCH("bank",$B848))+ISNUMBER(SEARCH("charge",$B848))+ISNUMBER(SEARCH("permit",$B848))+ISNUMBER(SEARCH("bir",$B848))+ISNUMBER(SEARCH("ltfrb",$B848))+ISNUMBER(SEARCH("misc",$B848))+ISNUMBER(SEARCH("fee",$B848))&gt;0,"Overhead","Overhead")))))))</f>
        <v/>
      </c>
      <c r="J848">
        <f>IF($A848="","",DATE(YEAR($A848),MONTH($A848),1))</f>
        <v/>
      </c>
      <c r="K848">
        <f>IF($B848="","",IF(COUNTIF(Setup!$A$99:$A$128,$B848)&gt;0,0,1))</f>
        <v/>
      </c>
      <c r="L848">
        <f>IF($B848="","",IF(ISNUMBER(SEARCH("advance",$B848)),"ADV",IF(OR(ISNUMBER(SEARCH("payout",$B848)),ISNUMBER(SEARCH("pay out",$B848)),ISNUMBER(SEARCH("release",$B848))),"PAY","")))</f>
        <v/>
      </c>
      <c r="M848">
        <f>IF($B848="","",IF(ISNUMBER(SEARCH("bulk",$B848)),0,IF(ISNUMBER(SEARCH("fuel",$B848))+ISNUMBER(SEARCH("diesel",$B848))+ISNUMBER(SEARCH("krudo",$B848))+ISNUMBER(SEARCH("gasolina",$B848))&gt;0,1,0)))</f>
        <v/>
      </c>
      <c r="N848">
        <f>IF($B848="","",IF(ISNUMBER(SEARCH("fuel",$B848))+ISNUMBER(SEARCH("diesel",$B848))+ISNUMBER(SEARCH("krudo",$B848))+ISNUMBER(SEARCH("gasolina",$B848))&gt;0,1,0))</f>
        <v/>
      </c>
    </row>
    <row r="849">
      <c r="A849" s="86" t="n"/>
      <c r="B849" s="88" t="n"/>
      <c r="C849" s="88" t="n"/>
      <c r="D849" s="87" t="n"/>
      <c r="E849" s="88" t="n"/>
      <c r="F849" s="92" t="n"/>
      <c r="G849" s="87" t="n"/>
      <c r="H849" s="87" t="n"/>
      <c r="I849" s="101">
        <f>IF($B849="","",IF(COUNTIF(Setup!$A$99:$A$128,$B849)&gt;0,IF(INDEX(Setup!$B$99:$B$128,MATCH($B849,Setup!$A$99:$A$128,0))="","Overhead",INDEX(Setup!$B$99:$B$128,MATCH($B849,Setup!$A$99:$A$128,0))),IF(ISNUMBER(SEARCH("advance",$B849))+ISNUMBER(SEARCH("payout",$B849))+ISNUMBER(SEARCH("pay out",$B849))+ISNUMBER(SEARCH("reimburs",$B849))&gt;0,"Transfer",IF(ISNUMBER(SEARCH("loan",$B849))+ISNUMBER(SEARCH("amort",$B849))+ISNUMBER(SEARCH("installment",$B849))+ISNUMBER(SEARCH("instalment",$B849))&gt;0,"Financing",IF(ISNUMBER(SEARCH("draw",$B849))+ISNUMBER(SEARCH("owner",$B849))+ISNUMBER(SEARCH("asset",$B849))+ISNUMBER(SEARCH("capital",$B849))&gt;0,"Other",IF(ISNUMBER(SEARCH("fuel",$B849))+ISNUMBER(SEARCH("diesel",$B849))+ISNUMBER(SEARCH("krudo",$B849))+ISNUMBER(SEARCH("gasolina",$B849))+ISNUMBER(SEARCH("toll",$B849))+ISNUMBER(SEARCH("parking",$B849))+ISNUMBER(SEARCH("repair",$B849))+ISNUMBER(SEARCH("maintenance",$B849))+ISNUMBER(SEARCH("tire",$B849))+ISNUMBER(SEARCH("tyre",$B849))+ISNUMBER(SEARCH("battery",$B849))+ISNUMBER(SEARCH("oil",$B849))+ISNUMBER(SEARCH("filter",$B849))+ISNUMBER(SEARCH("spare",$B849))+ISNUMBER(SEARCH("insurance",$B849))+ISNUMBER(SEARCH("lto",$B849))+ISNUMBER(SEARCH("registration",$B849))+ISNUMBER(SEARCH("emission",$B849))+ISNUMBER(SEARCH("wash",$B849))+ISNUMBER(SEARCH("weigh",$B849))+ISNUMBER(SEARCH("tarp",$B849))&gt;0,"Vehicle",IF(ISNUMBER(SEARCH("rent",$B849))+ISNUMBER(SEARCH("upa",$B849))+ISNUMBER(SEARCH("salary",$B849))+ISNUMBER(SEARCH("sweldo",$B849))+ISNUMBER(SEARCH("wage",$B849))+ISNUMBER(SEARCH("electric",$B849))+ISNUMBER(SEARCH("kuryente",$B849))+ISNUMBER(SEARCH("water",$B849))+ISNUMBER(SEARCH("tubig",$B849))+ISNUMBER(SEARCH("internet",$B849))+ISNUMBER(SEARCH("pldt",$B849))+ISNUMBER(SEARCH("meralco",$B849))+ISNUMBER(SEARCH("supplies",$B849))+ISNUMBER(SEARCH("office",$B849))+ISNUMBER(SEARCH("professional",$B849))+ISNUMBER(SEARCH("accountant",$B849))+ISNUMBER(SEARCH("lawyer",$B849))+ISNUMBER(SEARCH("broker",$B849))+ISNUMBER(SEARCH("bank",$B849))+ISNUMBER(SEARCH("charge",$B849))+ISNUMBER(SEARCH("permit",$B849))+ISNUMBER(SEARCH("bir",$B849))+ISNUMBER(SEARCH("ltfrb",$B849))+ISNUMBER(SEARCH("misc",$B849))+ISNUMBER(SEARCH("fee",$B849))&gt;0,"Overhead","Overhead")))))))</f>
        <v/>
      </c>
      <c r="J849">
        <f>IF($A849="","",DATE(YEAR($A849),MONTH($A849),1))</f>
        <v/>
      </c>
      <c r="K849">
        <f>IF($B849="","",IF(COUNTIF(Setup!$A$99:$A$128,$B849)&gt;0,0,1))</f>
        <v/>
      </c>
      <c r="L849">
        <f>IF($B849="","",IF(ISNUMBER(SEARCH("advance",$B849)),"ADV",IF(OR(ISNUMBER(SEARCH("payout",$B849)),ISNUMBER(SEARCH("pay out",$B849)),ISNUMBER(SEARCH("release",$B849))),"PAY","")))</f>
        <v/>
      </c>
      <c r="M849">
        <f>IF($B849="","",IF(ISNUMBER(SEARCH("bulk",$B849)),0,IF(ISNUMBER(SEARCH("fuel",$B849))+ISNUMBER(SEARCH("diesel",$B849))+ISNUMBER(SEARCH("krudo",$B849))+ISNUMBER(SEARCH("gasolina",$B849))&gt;0,1,0)))</f>
        <v/>
      </c>
      <c r="N849">
        <f>IF($B849="","",IF(ISNUMBER(SEARCH("fuel",$B849))+ISNUMBER(SEARCH("diesel",$B849))+ISNUMBER(SEARCH("krudo",$B849))+ISNUMBER(SEARCH("gasolina",$B849))&gt;0,1,0))</f>
        <v/>
      </c>
    </row>
    <row r="850">
      <c r="A850" s="94" t="n"/>
      <c r="B850" s="96" t="n"/>
      <c r="C850" s="96" t="n"/>
      <c r="D850" s="95" t="n"/>
      <c r="E850" s="96" t="n"/>
      <c r="F850" s="99" t="n"/>
      <c r="G850" s="95" t="n"/>
      <c r="H850" s="95" t="n"/>
      <c r="I850" s="101">
        <f>IF($B850="","",IF(COUNTIF(Setup!$A$99:$A$128,$B850)&gt;0,IF(INDEX(Setup!$B$99:$B$128,MATCH($B850,Setup!$A$99:$A$128,0))="","Overhead",INDEX(Setup!$B$99:$B$128,MATCH($B850,Setup!$A$99:$A$128,0))),IF(ISNUMBER(SEARCH("advance",$B850))+ISNUMBER(SEARCH("payout",$B850))+ISNUMBER(SEARCH("pay out",$B850))+ISNUMBER(SEARCH("reimburs",$B850))&gt;0,"Transfer",IF(ISNUMBER(SEARCH("loan",$B850))+ISNUMBER(SEARCH("amort",$B850))+ISNUMBER(SEARCH("installment",$B850))+ISNUMBER(SEARCH("instalment",$B850))&gt;0,"Financing",IF(ISNUMBER(SEARCH("draw",$B850))+ISNUMBER(SEARCH("owner",$B850))+ISNUMBER(SEARCH("asset",$B850))+ISNUMBER(SEARCH("capital",$B850))&gt;0,"Other",IF(ISNUMBER(SEARCH("fuel",$B850))+ISNUMBER(SEARCH("diesel",$B850))+ISNUMBER(SEARCH("krudo",$B850))+ISNUMBER(SEARCH("gasolina",$B850))+ISNUMBER(SEARCH("toll",$B850))+ISNUMBER(SEARCH("parking",$B850))+ISNUMBER(SEARCH("repair",$B850))+ISNUMBER(SEARCH("maintenance",$B850))+ISNUMBER(SEARCH("tire",$B850))+ISNUMBER(SEARCH("tyre",$B850))+ISNUMBER(SEARCH("battery",$B850))+ISNUMBER(SEARCH("oil",$B850))+ISNUMBER(SEARCH("filter",$B850))+ISNUMBER(SEARCH("spare",$B850))+ISNUMBER(SEARCH("insurance",$B850))+ISNUMBER(SEARCH("lto",$B850))+ISNUMBER(SEARCH("registration",$B850))+ISNUMBER(SEARCH("emission",$B850))+ISNUMBER(SEARCH("wash",$B850))+ISNUMBER(SEARCH("weigh",$B850))+ISNUMBER(SEARCH("tarp",$B850))&gt;0,"Vehicle",IF(ISNUMBER(SEARCH("rent",$B850))+ISNUMBER(SEARCH("upa",$B850))+ISNUMBER(SEARCH("salary",$B850))+ISNUMBER(SEARCH("sweldo",$B850))+ISNUMBER(SEARCH("wage",$B850))+ISNUMBER(SEARCH("electric",$B850))+ISNUMBER(SEARCH("kuryente",$B850))+ISNUMBER(SEARCH("water",$B850))+ISNUMBER(SEARCH("tubig",$B850))+ISNUMBER(SEARCH("internet",$B850))+ISNUMBER(SEARCH("pldt",$B850))+ISNUMBER(SEARCH("meralco",$B850))+ISNUMBER(SEARCH("supplies",$B850))+ISNUMBER(SEARCH("office",$B850))+ISNUMBER(SEARCH("professional",$B850))+ISNUMBER(SEARCH("accountant",$B850))+ISNUMBER(SEARCH("lawyer",$B850))+ISNUMBER(SEARCH("broker",$B850))+ISNUMBER(SEARCH("bank",$B850))+ISNUMBER(SEARCH("charge",$B850))+ISNUMBER(SEARCH("permit",$B850))+ISNUMBER(SEARCH("bir",$B850))+ISNUMBER(SEARCH("ltfrb",$B850))+ISNUMBER(SEARCH("misc",$B850))+ISNUMBER(SEARCH("fee",$B850))&gt;0,"Overhead","Overhead")))))))</f>
        <v/>
      </c>
      <c r="J850">
        <f>IF($A850="","",DATE(YEAR($A850),MONTH($A850),1))</f>
        <v/>
      </c>
      <c r="K850">
        <f>IF($B850="","",IF(COUNTIF(Setup!$A$99:$A$128,$B850)&gt;0,0,1))</f>
        <v/>
      </c>
      <c r="L850">
        <f>IF($B850="","",IF(ISNUMBER(SEARCH("advance",$B850)),"ADV",IF(OR(ISNUMBER(SEARCH("payout",$B850)),ISNUMBER(SEARCH("pay out",$B850)),ISNUMBER(SEARCH("release",$B850))),"PAY","")))</f>
        <v/>
      </c>
      <c r="M850">
        <f>IF($B850="","",IF(ISNUMBER(SEARCH("bulk",$B850)),0,IF(ISNUMBER(SEARCH("fuel",$B850))+ISNUMBER(SEARCH("diesel",$B850))+ISNUMBER(SEARCH("krudo",$B850))+ISNUMBER(SEARCH("gasolina",$B850))&gt;0,1,0)))</f>
        <v/>
      </c>
      <c r="N850">
        <f>IF($B850="","",IF(ISNUMBER(SEARCH("fuel",$B850))+ISNUMBER(SEARCH("diesel",$B850))+ISNUMBER(SEARCH("krudo",$B850))+ISNUMBER(SEARCH("gasolina",$B850))&gt;0,1,0))</f>
        <v/>
      </c>
    </row>
    <row r="851">
      <c r="A851" s="86" t="n"/>
      <c r="B851" s="88" t="n"/>
      <c r="C851" s="88" t="n"/>
      <c r="D851" s="87" t="n"/>
      <c r="E851" s="88" t="n"/>
      <c r="F851" s="92" t="n"/>
      <c r="G851" s="87" t="n"/>
      <c r="H851" s="87" t="n"/>
      <c r="I851" s="101">
        <f>IF($B851="","",IF(COUNTIF(Setup!$A$99:$A$128,$B851)&gt;0,IF(INDEX(Setup!$B$99:$B$128,MATCH($B851,Setup!$A$99:$A$128,0))="","Overhead",INDEX(Setup!$B$99:$B$128,MATCH($B851,Setup!$A$99:$A$128,0))),IF(ISNUMBER(SEARCH("advance",$B851))+ISNUMBER(SEARCH("payout",$B851))+ISNUMBER(SEARCH("pay out",$B851))+ISNUMBER(SEARCH("reimburs",$B851))&gt;0,"Transfer",IF(ISNUMBER(SEARCH("loan",$B851))+ISNUMBER(SEARCH("amort",$B851))+ISNUMBER(SEARCH("installment",$B851))+ISNUMBER(SEARCH("instalment",$B851))&gt;0,"Financing",IF(ISNUMBER(SEARCH("draw",$B851))+ISNUMBER(SEARCH("owner",$B851))+ISNUMBER(SEARCH("asset",$B851))+ISNUMBER(SEARCH("capital",$B851))&gt;0,"Other",IF(ISNUMBER(SEARCH("fuel",$B851))+ISNUMBER(SEARCH("diesel",$B851))+ISNUMBER(SEARCH("krudo",$B851))+ISNUMBER(SEARCH("gasolina",$B851))+ISNUMBER(SEARCH("toll",$B851))+ISNUMBER(SEARCH("parking",$B851))+ISNUMBER(SEARCH("repair",$B851))+ISNUMBER(SEARCH("maintenance",$B851))+ISNUMBER(SEARCH("tire",$B851))+ISNUMBER(SEARCH("tyre",$B851))+ISNUMBER(SEARCH("battery",$B851))+ISNUMBER(SEARCH("oil",$B851))+ISNUMBER(SEARCH("filter",$B851))+ISNUMBER(SEARCH("spare",$B851))+ISNUMBER(SEARCH("insurance",$B851))+ISNUMBER(SEARCH("lto",$B851))+ISNUMBER(SEARCH("registration",$B851))+ISNUMBER(SEARCH("emission",$B851))+ISNUMBER(SEARCH("wash",$B851))+ISNUMBER(SEARCH("weigh",$B851))+ISNUMBER(SEARCH("tarp",$B851))&gt;0,"Vehicle",IF(ISNUMBER(SEARCH("rent",$B851))+ISNUMBER(SEARCH("upa",$B851))+ISNUMBER(SEARCH("salary",$B851))+ISNUMBER(SEARCH("sweldo",$B851))+ISNUMBER(SEARCH("wage",$B851))+ISNUMBER(SEARCH("electric",$B851))+ISNUMBER(SEARCH("kuryente",$B851))+ISNUMBER(SEARCH("water",$B851))+ISNUMBER(SEARCH("tubig",$B851))+ISNUMBER(SEARCH("internet",$B851))+ISNUMBER(SEARCH("pldt",$B851))+ISNUMBER(SEARCH("meralco",$B851))+ISNUMBER(SEARCH("supplies",$B851))+ISNUMBER(SEARCH("office",$B851))+ISNUMBER(SEARCH("professional",$B851))+ISNUMBER(SEARCH("accountant",$B851))+ISNUMBER(SEARCH("lawyer",$B851))+ISNUMBER(SEARCH("broker",$B851))+ISNUMBER(SEARCH("bank",$B851))+ISNUMBER(SEARCH("charge",$B851))+ISNUMBER(SEARCH("permit",$B851))+ISNUMBER(SEARCH("bir",$B851))+ISNUMBER(SEARCH("ltfrb",$B851))+ISNUMBER(SEARCH("misc",$B851))+ISNUMBER(SEARCH("fee",$B851))&gt;0,"Overhead","Overhead")))))))</f>
        <v/>
      </c>
      <c r="J851">
        <f>IF($A851="","",DATE(YEAR($A851),MONTH($A851),1))</f>
        <v/>
      </c>
      <c r="K851">
        <f>IF($B851="","",IF(COUNTIF(Setup!$A$99:$A$128,$B851)&gt;0,0,1))</f>
        <v/>
      </c>
      <c r="L851">
        <f>IF($B851="","",IF(ISNUMBER(SEARCH("advance",$B851)),"ADV",IF(OR(ISNUMBER(SEARCH("payout",$B851)),ISNUMBER(SEARCH("pay out",$B851)),ISNUMBER(SEARCH("release",$B851))),"PAY","")))</f>
        <v/>
      </c>
      <c r="M851">
        <f>IF($B851="","",IF(ISNUMBER(SEARCH("bulk",$B851)),0,IF(ISNUMBER(SEARCH("fuel",$B851))+ISNUMBER(SEARCH("diesel",$B851))+ISNUMBER(SEARCH("krudo",$B851))+ISNUMBER(SEARCH("gasolina",$B851))&gt;0,1,0)))</f>
        <v/>
      </c>
      <c r="N851">
        <f>IF($B851="","",IF(ISNUMBER(SEARCH("fuel",$B851))+ISNUMBER(SEARCH("diesel",$B851))+ISNUMBER(SEARCH("krudo",$B851))+ISNUMBER(SEARCH("gasolina",$B851))&gt;0,1,0))</f>
        <v/>
      </c>
    </row>
    <row r="852">
      <c r="A852" s="94" t="n"/>
      <c r="B852" s="96" t="n"/>
      <c r="C852" s="96" t="n"/>
      <c r="D852" s="95" t="n"/>
      <c r="E852" s="96" t="n"/>
      <c r="F852" s="99" t="n"/>
      <c r="G852" s="95" t="n"/>
      <c r="H852" s="95" t="n"/>
      <c r="I852" s="101">
        <f>IF($B852="","",IF(COUNTIF(Setup!$A$99:$A$128,$B852)&gt;0,IF(INDEX(Setup!$B$99:$B$128,MATCH($B852,Setup!$A$99:$A$128,0))="","Overhead",INDEX(Setup!$B$99:$B$128,MATCH($B852,Setup!$A$99:$A$128,0))),IF(ISNUMBER(SEARCH("advance",$B852))+ISNUMBER(SEARCH("payout",$B852))+ISNUMBER(SEARCH("pay out",$B852))+ISNUMBER(SEARCH("reimburs",$B852))&gt;0,"Transfer",IF(ISNUMBER(SEARCH("loan",$B852))+ISNUMBER(SEARCH("amort",$B852))+ISNUMBER(SEARCH("installment",$B852))+ISNUMBER(SEARCH("instalment",$B852))&gt;0,"Financing",IF(ISNUMBER(SEARCH("draw",$B852))+ISNUMBER(SEARCH("owner",$B852))+ISNUMBER(SEARCH("asset",$B852))+ISNUMBER(SEARCH("capital",$B852))&gt;0,"Other",IF(ISNUMBER(SEARCH("fuel",$B852))+ISNUMBER(SEARCH("diesel",$B852))+ISNUMBER(SEARCH("krudo",$B852))+ISNUMBER(SEARCH("gasolina",$B852))+ISNUMBER(SEARCH("toll",$B852))+ISNUMBER(SEARCH("parking",$B852))+ISNUMBER(SEARCH("repair",$B852))+ISNUMBER(SEARCH("maintenance",$B852))+ISNUMBER(SEARCH("tire",$B852))+ISNUMBER(SEARCH("tyre",$B852))+ISNUMBER(SEARCH("battery",$B852))+ISNUMBER(SEARCH("oil",$B852))+ISNUMBER(SEARCH("filter",$B852))+ISNUMBER(SEARCH("spare",$B852))+ISNUMBER(SEARCH("insurance",$B852))+ISNUMBER(SEARCH("lto",$B852))+ISNUMBER(SEARCH("registration",$B852))+ISNUMBER(SEARCH("emission",$B852))+ISNUMBER(SEARCH("wash",$B852))+ISNUMBER(SEARCH("weigh",$B852))+ISNUMBER(SEARCH("tarp",$B852))&gt;0,"Vehicle",IF(ISNUMBER(SEARCH("rent",$B852))+ISNUMBER(SEARCH("upa",$B852))+ISNUMBER(SEARCH("salary",$B852))+ISNUMBER(SEARCH("sweldo",$B852))+ISNUMBER(SEARCH("wage",$B852))+ISNUMBER(SEARCH("electric",$B852))+ISNUMBER(SEARCH("kuryente",$B852))+ISNUMBER(SEARCH("water",$B852))+ISNUMBER(SEARCH("tubig",$B852))+ISNUMBER(SEARCH("internet",$B852))+ISNUMBER(SEARCH("pldt",$B852))+ISNUMBER(SEARCH("meralco",$B852))+ISNUMBER(SEARCH("supplies",$B852))+ISNUMBER(SEARCH("office",$B852))+ISNUMBER(SEARCH("professional",$B852))+ISNUMBER(SEARCH("accountant",$B852))+ISNUMBER(SEARCH("lawyer",$B852))+ISNUMBER(SEARCH("broker",$B852))+ISNUMBER(SEARCH("bank",$B852))+ISNUMBER(SEARCH("charge",$B852))+ISNUMBER(SEARCH("permit",$B852))+ISNUMBER(SEARCH("bir",$B852))+ISNUMBER(SEARCH("ltfrb",$B852))+ISNUMBER(SEARCH("misc",$B852))+ISNUMBER(SEARCH("fee",$B852))&gt;0,"Overhead","Overhead")))))))</f>
        <v/>
      </c>
      <c r="J852">
        <f>IF($A852="","",DATE(YEAR($A852),MONTH($A852),1))</f>
        <v/>
      </c>
      <c r="K852">
        <f>IF($B852="","",IF(COUNTIF(Setup!$A$99:$A$128,$B852)&gt;0,0,1))</f>
        <v/>
      </c>
      <c r="L852">
        <f>IF($B852="","",IF(ISNUMBER(SEARCH("advance",$B852)),"ADV",IF(OR(ISNUMBER(SEARCH("payout",$B852)),ISNUMBER(SEARCH("pay out",$B852)),ISNUMBER(SEARCH("release",$B852))),"PAY","")))</f>
        <v/>
      </c>
      <c r="M852">
        <f>IF($B852="","",IF(ISNUMBER(SEARCH("bulk",$B852)),0,IF(ISNUMBER(SEARCH("fuel",$B852))+ISNUMBER(SEARCH("diesel",$B852))+ISNUMBER(SEARCH("krudo",$B852))+ISNUMBER(SEARCH("gasolina",$B852))&gt;0,1,0)))</f>
        <v/>
      </c>
      <c r="N852">
        <f>IF($B852="","",IF(ISNUMBER(SEARCH("fuel",$B852))+ISNUMBER(SEARCH("diesel",$B852))+ISNUMBER(SEARCH("krudo",$B852))+ISNUMBER(SEARCH("gasolina",$B852))&gt;0,1,0))</f>
        <v/>
      </c>
    </row>
    <row r="853">
      <c r="A853" s="86" t="n"/>
      <c r="B853" s="88" t="n"/>
      <c r="C853" s="88" t="n"/>
      <c r="D853" s="87" t="n"/>
      <c r="E853" s="88" t="n"/>
      <c r="F853" s="92" t="n"/>
      <c r="G853" s="87" t="n"/>
      <c r="H853" s="87" t="n"/>
      <c r="I853" s="101">
        <f>IF($B853="","",IF(COUNTIF(Setup!$A$99:$A$128,$B853)&gt;0,IF(INDEX(Setup!$B$99:$B$128,MATCH($B853,Setup!$A$99:$A$128,0))="","Overhead",INDEX(Setup!$B$99:$B$128,MATCH($B853,Setup!$A$99:$A$128,0))),IF(ISNUMBER(SEARCH("advance",$B853))+ISNUMBER(SEARCH("payout",$B853))+ISNUMBER(SEARCH("pay out",$B853))+ISNUMBER(SEARCH("reimburs",$B853))&gt;0,"Transfer",IF(ISNUMBER(SEARCH("loan",$B853))+ISNUMBER(SEARCH("amort",$B853))+ISNUMBER(SEARCH("installment",$B853))+ISNUMBER(SEARCH("instalment",$B853))&gt;0,"Financing",IF(ISNUMBER(SEARCH("draw",$B853))+ISNUMBER(SEARCH("owner",$B853))+ISNUMBER(SEARCH("asset",$B853))+ISNUMBER(SEARCH("capital",$B853))&gt;0,"Other",IF(ISNUMBER(SEARCH("fuel",$B853))+ISNUMBER(SEARCH("diesel",$B853))+ISNUMBER(SEARCH("krudo",$B853))+ISNUMBER(SEARCH("gasolina",$B853))+ISNUMBER(SEARCH("toll",$B853))+ISNUMBER(SEARCH("parking",$B853))+ISNUMBER(SEARCH("repair",$B853))+ISNUMBER(SEARCH("maintenance",$B853))+ISNUMBER(SEARCH("tire",$B853))+ISNUMBER(SEARCH("tyre",$B853))+ISNUMBER(SEARCH("battery",$B853))+ISNUMBER(SEARCH("oil",$B853))+ISNUMBER(SEARCH("filter",$B853))+ISNUMBER(SEARCH("spare",$B853))+ISNUMBER(SEARCH("insurance",$B853))+ISNUMBER(SEARCH("lto",$B853))+ISNUMBER(SEARCH("registration",$B853))+ISNUMBER(SEARCH("emission",$B853))+ISNUMBER(SEARCH("wash",$B853))+ISNUMBER(SEARCH("weigh",$B853))+ISNUMBER(SEARCH("tarp",$B853))&gt;0,"Vehicle",IF(ISNUMBER(SEARCH("rent",$B853))+ISNUMBER(SEARCH("upa",$B853))+ISNUMBER(SEARCH("salary",$B853))+ISNUMBER(SEARCH("sweldo",$B853))+ISNUMBER(SEARCH("wage",$B853))+ISNUMBER(SEARCH("electric",$B853))+ISNUMBER(SEARCH("kuryente",$B853))+ISNUMBER(SEARCH("water",$B853))+ISNUMBER(SEARCH("tubig",$B853))+ISNUMBER(SEARCH("internet",$B853))+ISNUMBER(SEARCH("pldt",$B853))+ISNUMBER(SEARCH("meralco",$B853))+ISNUMBER(SEARCH("supplies",$B853))+ISNUMBER(SEARCH("office",$B853))+ISNUMBER(SEARCH("professional",$B853))+ISNUMBER(SEARCH("accountant",$B853))+ISNUMBER(SEARCH("lawyer",$B853))+ISNUMBER(SEARCH("broker",$B853))+ISNUMBER(SEARCH("bank",$B853))+ISNUMBER(SEARCH("charge",$B853))+ISNUMBER(SEARCH("permit",$B853))+ISNUMBER(SEARCH("bir",$B853))+ISNUMBER(SEARCH("ltfrb",$B853))+ISNUMBER(SEARCH("misc",$B853))+ISNUMBER(SEARCH("fee",$B853))&gt;0,"Overhead","Overhead")))))))</f>
        <v/>
      </c>
      <c r="J853">
        <f>IF($A853="","",DATE(YEAR($A853),MONTH($A853),1))</f>
        <v/>
      </c>
      <c r="K853">
        <f>IF($B853="","",IF(COUNTIF(Setup!$A$99:$A$128,$B853)&gt;0,0,1))</f>
        <v/>
      </c>
      <c r="L853">
        <f>IF($B853="","",IF(ISNUMBER(SEARCH("advance",$B853)),"ADV",IF(OR(ISNUMBER(SEARCH("payout",$B853)),ISNUMBER(SEARCH("pay out",$B853)),ISNUMBER(SEARCH("release",$B853))),"PAY","")))</f>
        <v/>
      </c>
      <c r="M853">
        <f>IF($B853="","",IF(ISNUMBER(SEARCH("bulk",$B853)),0,IF(ISNUMBER(SEARCH("fuel",$B853))+ISNUMBER(SEARCH("diesel",$B853))+ISNUMBER(SEARCH("krudo",$B853))+ISNUMBER(SEARCH("gasolina",$B853))&gt;0,1,0)))</f>
        <v/>
      </c>
      <c r="N853">
        <f>IF($B853="","",IF(ISNUMBER(SEARCH("fuel",$B853))+ISNUMBER(SEARCH("diesel",$B853))+ISNUMBER(SEARCH("krudo",$B853))+ISNUMBER(SEARCH("gasolina",$B853))&gt;0,1,0))</f>
        <v/>
      </c>
    </row>
    <row r="854">
      <c r="A854" s="94" t="n"/>
      <c r="B854" s="96" t="n"/>
      <c r="C854" s="96" t="n"/>
      <c r="D854" s="95" t="n"/>
      <c r="E854" s="96" t="n"/>
      <c r="F854" s="99" t="n"/>
      <c r="G854" s="95" t="n"/>
      <c r="H854" s="95" t="n"/>
      <c r="I854" s="101">
        <f>IF($B854="","",IF(COUNTIF(Setup!$A$99:$A$128,$B854)&gt;0,IF(INDEX(Setup!$B$99:$B$128,MATCH($B854,Setup!$A$99:$A$128,0))="","Overhead",INDEX(Setup!$B$99:$B$128,MATCH($B854,Setup!$A$99:$A$128,0))),IF(ISNUMBER(SEARCH("advance",$B854))+ISNUMBER(SEARCH("payout",$B854))+ISNUMBER(SEARCH("pay out",$B854))+ISNUMBER(SEARCH("reimburs",$B854))&gt;0,"Transfer",IF(ISNUMBER(SEARCH("loan",$B854))+ISNUMBER(SEARCH("amort",$B854))+ISNUMBER(SEARCH("installment",$B854))+ISNUMBER(SEARCH("instalment",$B854))&gt;0,"Financing",IF(ISNUMBER(SEARCH("draw",$B854))+ISNUMBER(SEARCH("owner",$B854))+ISNUMBER(SEARCH("asset",$B854))+ISNUMBER(SEARCH("capital",$B854))&gt;0,"Other",IF(ISNUMBER(SEARCH("fuel",$B854))+ISNUMBER(SEARCH("diesel",$B854))+ISNUMBER(SEARCH("krudo",$B854))+ISNUMBER(SEARCH("gasolina",$B854))+ISNUMBER(SEARCH("toll",$B854))+ISNUMBER(SEARCH("parking",$B854))+ISNUMBER(SEARCH("repair",$B854))+ISNUMBER(SEARCH("maintenance",$B854))+ISNUMBER(SEARCH("tire",$B854))+ISNUMBER(SEARCH("tyre",$B854))+ISNUMBER(SEARCH("battery",$B854))+ISNUMBER(SEARCH("oil",$B854))+ISNUMBER(SEARCH("filter",$B854))+ISNUMBER(SEARCH("spare",$B854))+ISNUMBER(SEARCH("insurance",$B854))+ISNUMBER(SEARCH("lto",$B854))+ISNUMBER(SEARCH("registration",$B854))+ISNUMBER(SEARCH("emission",$B854))+ISNUMBER(SEARCH("wash",$B854))+ISNUMBER(SEARCH("weigh",$B854))+ISNUMBER(SEARCH("tarp",$B854))&gt;0,"Vehicle",IF(ISNUMBER(SEARCH("rent",$B854))+ISNUMBER(SEARCH("upa",$B854))+ISNUMBER(SEARCH("salary",$B854))+ISNUMBER(SEARCH("sweldo",$B854))+ISNUMBER(SEARCH("wage",$B854))+ISNUMBER(SEARCH("electric",$B854))+ISNUMBER(SEARCH("kuryente",$B854))+ISNUMBER(SEARCH("water",$B854))+ISNUMBER(SEARCH("tubig",$B854))+ISNUMBER(SEARCH("internet",$B854))+ISNUMBER(SEARCH("pldt",$B854))+ISNUMBER(SEARCH("meralco",$B854))+ISNUMBER(SEARCH("supplies",$B854))+ISNUMBER(SEARCH("office",$B854))+ISNUMBER(SEARCH("professional",$B854))+ISNUMBER(SEARCH("accountant",$B854))+ISNUMBER(SEARCH("lawyer",$B854))+ISNUMBER(SEARCH("broker",$B854))+ISNUMBER(SEARCH("bank",$B854))+ISNUMBER(SEARCH("charge",$B854))+ISNUMBER(SEARCH("permit",$B854))+ISNUMBER(SEARCH("bir",$B854))+ISNUMBER(SEARCH("ltfrb",$B854))+ISNUMBER(SEARCH("misc",$B854))+ISNUMBER(SEARCH("fee",$B854))&gt;0,"Overhead","Overhead")))))))</f>
        <v/>
      </c>
      <c r="J854">
        <f>IF($A854="","",DATE(YEAR($A854),MONTH($A854),1))</f>
        <v/>
      </c>
      <c r="K854">
        <f>IF($B854="","",IF(COUNTIF(Setup!$A$99:$A$128,$B854)&gt;0,0,1))</f>
        <v/>
      </c>
      <c r="L854">
        <f>IF($B854="","",IF(ISNUMBER(SEARCH("advance",$B854)),"ADV",IF(OR(ISNUMBER(SEARCH("payout",$B854)),ISNUMBER(SEARCH("pay out",$B854)),ISNUMBER(SEARCH("release",$B854))),"PAY","")))</f>
        <v/>
      </c>
      <c r="M854">
        <f>IF($B854="","",IF(ISNUMBER(SEARCH("bulk",$B854)),0,IF(ISNUMBER(SEARCH("fuel",$B854))+ISNUMBER(SEARCH("diesel",$B854))+ISNUMBER(SEARCH("krudo",$B854))+ISNUMBER(SEARCH("gasolina",$B854))&gt;0,1,0)))</f>
        <v/>
      </c>
      <c r="N854">
        <f>IF($B854="","",IF(ISNUMBER(SEARCH("fuel",$B854))+ISNUMBER(SEARCH("diesel",$B854))+ISNUMBER(SEARCH("krudo",$B854))+ISNUMBER(SEARCH("gasolina",$B854))&gt;0,1,0))</f>
        <v/>
      </c>
    </row>
    <row r="855">
      <c r="A855" s="86" t="n"/>
      <c r="B855" s="88" t="n"/>
      <c r="C855" s="88" t="n"/>
      <c r="D855" s="87" t="n"/>
      <c r="E855" s="88" t="n"/>
      <c r="F855" s="92" t="n"/>
      <c r="G855" s="87" t="n"/>
      <c r="H855" s="87" t="n"/>
      <c r="I855" s="101">
        <f>IF($B855="","",IF(COUNTIF(Setup!$A$99:$A$128,$B855)&gt;0,IF(INDEX(Setup!$B$99:$B$128,MATCH($B855,Setup!$A$99:$A$128,0))="","Overhead",INDEX(Setup!$B$99:$B$128,MATCH($B855,Setup!$A$99:$A$128,0))),IF(ISNUMBER(SEARCH("advance",$B855))+ISNUMBER(SEARCH("payout",$B855))+ISNUMBER(SEARCH("pay out",$B855))+ISNUMBER(SEARCH("reimburs",$B855))&gt;0,"Transfer",IF(ISNUMBER(SEARCH("loan",$B855))+ISNUMBER(SEARCH("amort",$B855))+ISNUMBER(SEARCH("installment",$B855))+ISNUMBER(SEARCH("instalment",$B855))&gt;0,"Financing",IF(ISNUMBER(SEARCH("draw",$B855))+ISNUMBER(SEARCH("owner",$B855))+ISNUMBER(SEARCH("asset",$B855))+ISNUMBER(SEARCH("capital",$B855))&gt;0,"Other",IF(ISNUMBER(SEARCH("fuel",$B855))+ISNUMBER(SEARCH("diesel",$B855))+ISNUMBER(SEARCH("krudo",$B855))+ISNUMBER(SEARCH("gasolina",$B855))+ISNUMBER(SEARCH("toll",$B855))+ISNUMBER(SEARCH("parking",$B855))+ISNUMBER(SEARCH("repair",$B855))+ISNUMBER(SEARCH("maintenance",$B855))+ISNUMBER(SEARCH("tire",$B855))+ISNUMBER(SEARCH("tyre",$B855))+ISNUMBER(SEARCH("battery",$B855))+ISNUMBER(SEARCH("oil",$B855))+ISNUMBER(SEARCH("filter",$B855))+ISNUMBER(SEARCH("spare",$B855))+ISNUMBER(SEARCH("insurance",$B855))+ISNUMBER(SEARCH("lto",$B855))+ISNUMBER(SEARCH("registration",$B855))+ISNUMBER(SEARCH("emission",$B855))+ISNUMBER(SEARCH("wash",$B855))+ISNUMBER(SEARCH("weigh",$B855))+ISNUMBER(SEARCH("tarp",$B855))&gt;0,"Vehicle",IF(ISNUMBER(SEARCH("rent",$B855))+ISNUMBER(SEARCH("upa",$B855))+ISNUMBER(SEARCH("salary",$B855))+ISNUMBER(SEARCH("sweldo",$B855))+ISNUMBER(SEARCH("wage",$B855))+ISNUMBER(SEARCH("electric",$B855))+ISNUMBER(SEARCH("kuryente",$B855))+ISNUMBER(SEARCH("water",$B855))+ISNUMBER(SEARCH("tubig",$B855))+ISNUMBER(SEARCH("internet",$B855))+ISNUMBER(SEARCH("pldt",$B855))+ISNUMBER(SEARCH("meralco",$B855))+ISNUMBER(SEARCH("supplies",$B855))+ISNUMBER(SEARCH("office",$B855))+ISNUMBER(SEARCH("professional",$B855))+ISNUMBER(SEARCH("accountant",$B855))+ISNUMBER(SEARCH("lawyer",$B855))+ISNUMBER(SEARCH("broker",$B855))+ISNUMBER(SEARCH("bank",$B855))+ISNUMBER(SEARCH("charge",$B855))+ISNUMBER(SEARCH("permit",$B855))+ISNUMBER(SEARCH("bir",$B855))+ISNUMBER(SEARCH("ltfrb",$B855))+ISNUMBER(SEARCH("misc",$B855))+ISNUMBER(SEARCH("fee",$B855))&gt;0,"Overhead","Overhead")))))))</f>
        <v/>
      </c>
      <c r="J855">
        <f>IF($A855="","",DATE(YEAR($A855),MONTH($A855),1))</f>
        <v/>
      </c>
      <c r="K855">
        <f>IF($B855="","",IF(COUNTIF(Setup!$A$99:$A$128,$B855)&gt;0,0,1))</f>
        <v/>
      </c>
      <c r="L855">
        <f>IF($B855="","",IF(ISNUMBER(SEARCH("advance",$B855)),"ADV",IF(OR(ISNUMBER(SEARCH("payout",$B855)),ISNUMBER(SEARCH("pay out",$B855)),ISNUMBER(SEARCH("release",$B855))),"PAY","")))</f>
        <v/>
      </c>
      <c r="M855">
        <f>IF($B855="","",IF(ISNUMBER(SEARCH("bulk",$B855)),0,IF(ISNUMBER(SEARCH("fuel",$B855))+ISNUMBER(SEARCH("diesel",$B855))+ISNUMBER(SEARCH("krudo",$B855))+ISNUMBER(SEARCH("gasolina",$B855))&gt;0,1,0)))</f>
        <v/>
      </c>
      <c r="N855">
        <f>IF($B855="","",IF(ISNUMBER(SEARCH("fuel",$B855))+ISNUMBER(SEARCH("diesel",$B855))+ISNUMBER(SEARCH("krudo",$B855))+ISNUMBER(SEARCH("gasolina",$B855))&gt;0,1,0))</f>
        <v/>
      </c>
    </row>
    <row r="856">
      <c r="A856" s="94" t="n"/>
      <c r="B856" s="96" t="n"/>
      <c r="C856" s="96" t="n"/>
      <c r="D856" s="95" t="n"/>
      <c r="E856" s="96" t="n"/>
      <c r="F856" s="99" t="n"/>
      <c r="G856" s="95" t="n"/>
      <c r="H856" s="95" t="n"/>
      <c r="I856" s="101">
        <f>IF($B856="","",IF(COUNTIF(Setup!$A$99:$A$128,$B856)&gt;0,IF(INDEX(Setup!$B$99:$B$128,MATCH($B856,Setup!$A$99:$A$128,0))="","Overhead",INDEX(Setup!$B$99:$B$128,MATCH($B856,Setup!$A$99:$A$128,0))),IF(ISNUMBER(SEARCH("advance",$B856))+ISNUMBER(SEARCH("payout",$B856))+ISNUMBER(SEARCH("pay out",$B856))+ISNUMBER(SEARCH("reimburs",$B856))&gt;0,"Transfer",IF(ISNUMBER(SEARCH("loan",$B856))+ISNUMBER(SEARCH("amort",$B856))+ISNUMBER(SEARCH("installment",$B856))+ISNUMBER(SEARCH("instalment",$B856))&gt;0,"Financing",IF(ISNUMBER(SEARCH("draw",$B856))+ISNUMBER(SEARCH("owner",$B856))+ISNUMBER(SEARCH("asset",$B856))+ISNUMBER(SEARCH("capital",$B856))&gt;0,"Other",IF(ISNUMBER(SEARCH("fuel",$B856))+ISNUMBER(SEARCH("diesel",$B856))+ISNUMBER(SEARCH("krudo",$B856))+ISNUMBER(SEARCH("gasolina",$B856))+ISNUMBER(SEARCH("toll",$B856))+ISNUMBER(SEARCH("parking",$B856))+ISNUMBER(SEARCH("repair",$B856))+ISNUMBER(SEARCH("maintenance",$B856))+ISNUMBER(SEARCH("tire",$B856))+ISNUMBER(SEARCH("tyre",$B856))+ISNUMBER(SEARCH("battery",$B856))+ISNUMBER(SEARCH("oil",$B856))+ISNUMBER(SEARCH("filter",$B856))+ISNUMBER(SEARCH("spare",$B856))+ISNUMBER(SEARCH("insurance",$B856))+ISNUMBER(SEARCH("lto",$B856))+ISNUMBER(SEARCH("registration",$B856))+ISNUMBER(SEARCH("emission",$B856))+ISNUMBER(SEARCH("wash",$B856))+ISNUMBER(SEARCH("weigh",$B856))+ISNUMBER(SEARCH("tarp",$B856))&gt;0,"Vehicle",IF(ISNUMBER(SEARCH("rent",$B856))+ISNUMBER(SEARCH("upa",$B856))+ISNUMBER(SEARCH("salary",$B856))+ISNUMBER(SEARCH("sweldo",$B856))+ISNUMBER(SEARCH("wage",$B856))+ISNUMBER(SEARCH("electric",$B856))+ISNUMBER(SEARCH("kuryente",$B856))+ISNUMBER(SEARCH("water",$B856))+ISNUMBER(SEARCH("tubig",$B856))+ISNUMBER(SEARCH("internet",$B856))+ISNUMBER(SEARCH("pldt",$B856))+ISNUMBER(SEARCH("meralco",$B856))+ISNUMBER(SEARCH("supplies",$B856))+ISNUMBER(SEARCH("office",$B856))+ISNUMBER(SEARCH("professional",$B856))+ISNUMBER(SEARCH("accountant",$B856))+ISNUMBER(SEARCH("lawyer",$B856))+ISNUMBER(SEARCH("broker",$B856))+ISNUMBER(SEARCH("bank",$B856))+ISNUMBER(SEARCH("charge",$B856))+ISNUMBER(SEARCH("permit",$B856))+ISNUMBER(SEARCH("bir",$B856))+ISNUMBER(SEARCH("ltfrb",$B856))+ISNUMBER(SEARCH("misc",$B856))+ISNUMBER(SEARCH("fee",$B856))&gt;0,"Overhead","Overhead")))))))</f>
        <v/>
      </c>
      <c r="J856">
        <f>IF($A856="","",DATE(YEAR($A856),MONTH($A856),1))</f>
        <v/>
      </c>
      <c r="K856">
        <f>IF($B856="","",IF(COUNTIF(Setup!$A$99:$A$128,$B856)&gt;0,0,1))</f>
        <v/>
      </c>
      <c r="L856">
        <f>IF($B856="","",IF(ISNUMBER(SEARCH("advance",$B856)),"ADV",IF(OR(ISNUMBER(SEARCH("payout",$B856)),ISNUMBER(SEARCH("pay out",$B856)),ISNUMBER(SEARCH("release",$B856))),"PAY","")))</f>
        <v/>
      </c>
      <c r="M856">
        <f>IF($B856="","",IF(ISNUMBER(SEARCH("bulk",$B856)),0,IF(ISNUMBER(SEARCH("fuel",$B856))+ISNUMBER(SEARCH("diesel",$B856))+ISNUMBER(SEARCH("krudo",$B856))+ISNUMBER(SEARCH("gasolina",$B856))&gt;0,1,0)))</f>
        <v/>
      </c>
      <c r="N856">
        <f>IF($B856="","",IF(ISNUMBER(SEARCH("fuel",$B856))+ISNUMBER(SEARCH("diesel",$B856))+ISNUMBER(SEARCH("krudo",$B856))+ISNUMBER(SEARCH("gasolina",$B856))&gt;0,1,0))</f>
        <v/>
      </c>
    </row>
    <row r="857">
      <c r="A857" s="86" t="n"/>
      <c r="B857" s="88" t="n"/>
      <c r="C857" s="88" t="n"/>
      <c r="D857" s="87" t="n"/>
      <c r="E857" s="88" t="n"/>
      <c r="F857" s="92" t="n"/>
      <c r="G857" s="87" t="n"/>
      <c r="H857" s="87" t="n"/>
      <c r="I857" s="101">
        <f>IF($B857="","",IF(COUNTIF(Setup!$A$99:$A$128,$B857)&gt;0,IF(INDEX(Setup!$B$99:$B$128,MATCH($B857,Setup!$A$99:$A$128,0))="","Overhead",INDEX(Setup!$B$99:$B$128,MATCH($B857,Setup!$A$99:$A$128,0))),IF(ISNUMBER(SEARCH("advance",$B857))+ISNUMBER(SEARCH("payout",$B857))+ISNUMBER(SEARCH("pay out",$B857))+ISNUMBER(SEARCH("reimburs",$B857))&gt;0,"Transfer",IF(ISNUMBER(SEARCH("loan",$B857))+ISNUMBER(SEARCH("amort",$B857))+ISNUMBER(SEARCH("installment",$B857))+ISNUMBER(SEARCH("instalment",$B857))&gt;0,"Financing",IF(ISNUMBER(SEARCH("draw",$B857))+ISNUMBER(SEARCH("owner",$B857))+ISNUMBER(SEARCH("asset",$B857))+ISNUMBER(SEARCH("capital",$B857))&gt;0,"Other",IF(ISNUMBER(SEARCH("fuel",$B857))+ISNUMBER(SEARCH("diesel",$B857))+ISNUMBER(SEARCH("krudo",$B857))+ISNUMBER(SEARCH("gasolina",$B857))+ISNUMBER(SEARCH("toll",$B857))+ISNUMBER(SEARCH("parking",$B857))+ISNUMBER(SEARCH("repair",$B857))+ISNUMBER(SEARCH("maintenance",$B857))+ISNUMBER(SEARCH("tire",$B857))+ISNUMBER(SEARCH("tyre",$B857))+ISNUMBER(SEARCH("battery",$B857))+ISNUMBER(SEARCH("oil",$B857))+ISNUMBER(SEARCH("filter",$B857))+ISNUMBER(SEARCH("spare",$B857))+ISNUMBER(SEARCH("insurance",$B857))+ISNUMBER(SEARCH("lto",$B857))+ISNUMBER(SEARCH("registration",$B857))+ISNUMBER(SEARCH("emission",$B857))+ISNUMBER(SEARCH("wash",$B857))+ISNUMBER(SEARCH("weigh",$B857))+ISNUMBER(SEARCH("tarp",$B857))&gt;0,"Vehicle",IF(ISNUMBER(SEARCH("rent",$B857))+ISNUMBER(SEARCH("upa",$B857))+ISNUMBER(SEARCH("salary",$B857))+ISNUMBER(SEARCH("sweldo",$B857))+ISNUMBER(SEARCH("wage",$B857))+ISNUMBER(SEARCH("electric",$B857))+ISNUMBER(SEARCH("kuryente",$B857))+ISNUMBER(SEARCH("water",$B857))+ISNUMBER(SEARCH("tubig",$B857))+ISNUMBER(SEARCH("internet",$B857))+ISNUMBER(SEARCH("pldt",$B857))+ISNUMBER(SEARCH("meralco",$B857))+ISNUMBER(SEARCH("supplies",$B857))+ISNUMBER(SEARCH("office",$B857))+ISNUMBER(SEARCH("professional",$B857))+ISNUMBER(SEARCH("accountant",$B857))+ISNUMBER(SEARCH("lawyer",$B857))+ISNUMBER(SEARCH("broker",$B857))+ISNUMBER(SEARCH("bank",$B857))+ISNUMBER(SEARCH("charge",$B857))+ISNUMBER(SEARCH("permit",$B857))+ISNUMBER(SEARCH("bir",$B857))+ISNUMBER(SEARCH("ltfrb",$B857))+ISNUMBER(SEARCH("misc",$B857))+ISNUMBER(SEARCH("fee",$B857))&gt;0,"Overhead","Overhead")))))))</f>
        <v/>
      </c>
      <c r="J857">
        <f>IF($A857="","",DATE(YEAR($A857),MONTH($A857),1))</f>
        <v/>
      </c>
      <c r="K857">
        <f>IF($B857="","",IF(COUNTIF(Setup!$A$99:$A$128,$B857)&gt;0,0,1))</f>
        <v/>
      </c>
      <c r="L857">
        <f>IF($B857="","",IF(ISNUMBER(SEARCH("advance",$B857)),"ADV",IF(OR(ISNUMBER(SEARCH("payout",$B857)),ISNUMBER(SEARCH("pay out",$B857)),ISNUMBER(SEARCH("release",$B857))),"PAY","")))</f>
        <v/>
      </c>
      <c r="M857">
        <f>IF($B857="","",IF(ISNUMBER(SEARCH("bulk",$B857)),0,IF(ISNUMBER(SEARCH("fuel",$B857))+ISNUMBER(SEARCH("diesel",$B857))+ISNUMBER(SEARCH("krudo",$B857))+ISNUMBER(SEARCH("gasolina",$B857))&gt;0,1,0)))</f>
        <v/>
      </c>
      <c r="N857">
        <f>IF($B857="","",IF(ISNUMBER(SEARCH("fuel",$B857))+ISNUMBER(SEARCH("diesel",$B857))+ISNUMBER(SEARCH("krudo",$B857))+ISNUMBER(SEARCH("gasolina",$B857))&gt;0,1,0))</f>
        <v/>
      </c>
    </row>
    <row r="858">
      <c r="A858" s="94" t="n"/>
      <c r="B858" s="96" t="n"/>
      <c r="C858" s="96" t="n"/>
      <c r="D858" s="95" t="n"/>
      <c r="E858" s="96" t="n"/>
      <c r="F858" s="99" t="n"/>
      <c r="G858" s="95" t="n"/>
      <c r="H858" s="95" t="n"/>
      <c r="I858" s="101">
        <f>IF($B858="","",IF(COUNTIF(Setup!$A$99:$A$128,$B858)&gt;0,IF(INDEX(Setup!$B$99:$B$128,MATCH($B858,Setup!$A$99:$A$128,0))="","Overhead",INDEX(Setup!$B$99:$B$128,MATCH($B858,Setup!$A$99:$A$128,0))),IF(ISNUMBER(SEARCH("advance",$B858))+ISNUMBER(SEARCH("payout",$B858))+ISNUMBER(SEARCH("pay out",$B858))+ISNUMBER(SEARCH("reimburs",$B858))&gt;0,"Transfer",IF(ISNUMBER(SEARCH("loan",$B858))+ISNUMBER(SEARCH("amort",$B858))+ISNUMBER(SEARCH("installment",$B858))+ISNUMBER(SEARCH("instalment",$B858))&gt;0,"Financing",IF(ISNUMBER(SEARCH("draw",$B858))+ISNUMBER(SEARCH("owner",$B858))+ISNUMBER(SEARCH("asset",$B858))+ISNUMBER(SEARCH("capital",$B858))&gt;0,"Other",IF(ISNUMBER(SEARCH("fuel",$B858))+ISNUMBER(SEARCH("diesel",$B858))+ISNUMBER(SEARCH("krudo",$B858))+ISNUMBER(SEARCH("gasolina",$B858))+ISNUMBER(SEARCH("toll",$B858))+ISNUMBER(SEARCH("parking",$B858))+ISNUMBER(SEARCH("repair",$B858))+ISNUMBER(SEARCH("maintenance",$B858))+ISNUMBER(SEARCH("tire",$B858))+ISNUMBER(SEARCH("tyre",$B858))+ISNUMBER(SEARCH("battery",$B858))+ISNUMBER(SEARCH("oil",$B858))+ISNUMBER(SEARCH("filter",$B858))+ISNUMBER(SEARCH("spare",$B858))+ISNUMBER(SEARCH("insurance",$B858))+ISNUMBER(SEARCH("lto",$B858))+ISNUMBER(SEARCH("registration",$B858))+ISNUMBER(SEARCH("emission",$B858))+ISNUMBER(SEARCH("wash",$B858))+ISNUMBER(SEARCH("weigh",$B858))+ISNUMBER(SEARCH("tarp",$B858))&gt;0,"Vehicle",IF(ISNUMBER(SEARCH("rent",$B858))+ISNUMBER(SEARCH("upa",$B858))+ISNUMBER(SEARCH("salary",$B858))+ISNUMBER(SEARCH("sweldo",$B858))+ISNUMBER(SEARCH("wage",$B858))+ISNUMBER(SEARCH("electric",$B858))+ISNUMBER(SEARCH("kuryente",$B858))+ISNUMBER(SEARCH("water",$B858))+ISNUMBER(SEARCH("tubig",$B858))+ISNUMBER(SEARCH("internet",$B858))+ISNUMBER(SEARCH("pldt",$B858))+ISNUMBER(SEARCH("meralco",$B858))+ISNUMBER(SEARCH("supplies",$B858))+ISNUMBER(SEARCH("office",$B858))+ISNUMBER(SEARCH("professional",$B858))+ISNUMBER(SEARCH("accountant",$B858))+ISNUMBER(SEARCH("lawyer",$B858))+ISNUMBER(SEARCH("broker",$B858))+ISNUMBER(SEARCH("bank",$B858))+ISNUMBER(SEARCH("charge",$B858))+ISNUMBER(SEARCH("permit",$B858))+ISNUMBER(SEARCH("bir",$B858))+ISNUMBER(SEARCH("ltfrb",$B858))+ISNUMBER(SEARCH("misc",$B858))+ISNUMBER(SEARCH("fee",$B858))&gt;0,"Overhead","Overhead")))))))</f>
        <v/>
      </c>
      <c r="J858">
        <f>IF($A858="","",DATE(YEAR($A858),MONTH($A858),1))</f>
        <v/>
      </c>
      <c r="K858">
        <f>IF($B858="","",IF(COUNTIF(Setup!$A$99:$A$128,$B858)&gt;0,0,1))</f>
        <v/>
      </c>
      <c r="L858">
        <f>IF($B858="","",IF(ISNUMBER(SEARCH("advance",$B858)),"ADV",IF(OR(ISNUMBER(SEARCH("payout",$B858)),ISNUMBER(SEARCH("pay out",$B858)),ISNUMBER(SEARCH("release",$B858))),"PAY","")))</f>
        <v/>
      </c>
      <c r="M858">
        <f>IF($B858="","",IF(ISNUMBER(SEARCH("bulk",$B858)),0,IF(ISNUMBER(SEARCH("fuel",$B858))+ISNUMBER(SEARCH("diesel",$B858))+ISNUMBER(SEARCH("krudo",$B858))+ISNUMBER(SEARCH("gasolina",$B858))&gt;0,1,0)))</f>
        <v/>
      </c>
      <c r="N858">
        <f>IF($B858="","",IF(ISNUMBER(SEARCH("fuel",$B858))+ISNUMBER(SEARCH("diesel",$B858))+ISNUMBER(SEARCH("krudo",$B858))+ISNUMBER(SEARCH("gasolina",$B858))&gt;0,1,0))</f>
        <v/>
      </c>
    </row>
    <row r="859">
      <c r="A859" s="86" t="n"/>
      <c r="B859" s="88" t="n"/>
      <c r="C859" s="88" t="n"/>
      <c r="D859" s="87" t="n"/>
      <c r="E859" s="88" t="n"/>
      <c r="F859" s="92" t="n"/>
      <c r="G859" s="87" t="n"/>
      <c r="H859" s="87" t="n"/>
      <c r="I859" s="101">
        <f>IF($B859="","",IF(COUNTIF(Setup!$A$99:$A$128,$B859)&gt;0,IF(INDEX(Setup!$B$99:$B$128,MATCH($B859,Setup!$A$99:$A$128,0))="","Overhead",INDEX(Setup!$B$99:$B$128,MATCH($B859,Setup!$A$99:$A$128,0))),IF(ISNUMBER(SEARCH("advance",$B859))+ISNUMBER(SEARCH("payout",$B859))+ISNUMBER(SEARCH("pay out",$B859))+ISNUMBER(SEARCH("reimburs",$B859))&gt;0,"Transfer",IF(ISNUMBER(SEARCH("loan",$B859))+ISNUMBER(SEARCH("amort",$B859))+ISNUMBER(SEARCH("installment",$B859))+ISNUMBER(SEARCH("instalment",$B859))&gt;0,"Financing",IF(ISNUMBER(SEARCH("draw",$B859))+ISNUMBER(SEARCH("owner",$B859))+ISNUMBER(SEARCH("asset",$B859))+ISNUMBER(SEARCH("capital",$B859))&gt;0,"Other",IF(ISNUMBER(SEARCH("fuel",$B859))+ISNUMBER(SEARCH("diesel",$B859))+ISNUMBER(SEARCH("krudo",$B859))+ISNUMBER(SEARCH("gasolina",$B859))+ISNUMBER(SEARCH("toll",$B859))+ISNUMBER(SEARCH("parking",$B859))+ISNUMBER(SEARCH("repair",$B859))+ISNUMBER(SEARCH("maintenance",$B859))+ISNUMBER(SEARCH("tire",$B859))+ISNUMBER(SEARCH("tyre",$B859))+ISNUMBER(SEARCH("battery",$B859))+ISNUMBER(SEARCH("oil",$B859))+ISNUMBER(SEARCH("filter",$B859))+ISNUMBER(SEARCH("spare",$B859))+ISNUMBER(SEARCH("insurance",$B859))+ISNUMBER(SEARCH("lto",$B859))+ISNUMBER(SEARCH("registration",$B859))+ISNUMBER(SEARCH("emission",$B859))+ISNUMBER(SEARCH("wash",$B859))+ISNUMBER(SEARCH("weigh",$B859))+ISNUMBER(SEARCH("tarp",$B859))&gt;0,"Vehicle",IF(ISNUMBER(SEARCH("rent",$B859))+ISNUMBER(SEARCH("upa",$B859))+ISNUMBER(SEARCH("salary",$B859))+ISNUMBER(SEARCH("sweldo",$B859))+ISNUMBER(SEARCH("wage",$B859))+ISNUMBER(SEARCH("electric",$B859))+ISNUMBER(SEARCH("kuryente",$B859))+ISNUMBER(SEARCH("water",$B859))+ISNUMBER(SEARCH("tubig",$B859))+ISNUMBER(SEARCH("internet",$B859))+ISNUMBER(SEARCH("pldt",$B859))+ISNUMBER(SEARCH("meralco",$B859))+ISNUMBER(SEARCH("supplies",$B859))+ISNUMBER(SEARCH("office",$B859))+ISNUMBER(SEARCH("professional",$B859))+ISNUMBER(SEARCH("accountant",$B859))+ISNUMBER(SEARCH("lawyer",$B859))+ISNUMBER(SEARCH("broker",$B859))+ISNUMBER(SEARCH("bank",$B859))+ISNUMBER(SEARCH("charge",$B859))+ISNUMBER(SEARCH("permit",$B859))+ISNUMBER(SEARCH("bir",$B859))+ISNUMBER(SEARCH("ltfrb",$B859))+ISNUMBER(SEARCH("misc",$B859))+ISNUMBER(SEARCH("fee",$B859))&gt;0,"Overhead","Overhead")))))))</f>
        <v/>
      </c>
      <c r="J859">
        <f>IF($A859="","",DATE(YEAR($A859),MONTH($A859),1))</f>
        <v/>
      </c>
      <c r="K859">
        <f>IF($B859="","",IF(COUNTIF(Setup!$A$99:$A$128,$B859)&gt;0,0,1))</f>
        <v/>
      </c>
      <c r="L859">
        <f>IF($B859="","",IF(ISNUMBER(SEARCH("advance",$B859)),"ADV",IF(OR(ISNUMBER(SEARCH("payout",$B859)),ISNUMBER(SEARCH("pay out",$B859)),ISNUMBER(SEARCH("release",$B859))),"PAY","")))</f>
        <v/>
      </c>
      <c r="M859">
        <f>IF($B859="","",IF(ISNUMBER(SEARCH("bulk",$B859)),0,IF(ISNUMBER(SEARCH("fuel",$B859))+ISNUMBER(SEARCH("diesel",$B859))+ISNUMBER(SEARCH("krudo",$B859))+ISNUMBER(SEARCH("gasolina",$B859))&gt;0,1,0)))</f>
        <v/>
      </c>
      <c r="N859">
        <f>IF($B859="","",IF(ISNUMBER(SEARCH("fuel",$B859))+ISNUMBER(SEARCH("diesel",$B859))+ISNUMBER(SEARCH("krudo",$B859))+ISNUMBER(SEARCH("gasolina",$B859))&gt;0,1,0))</f>
        <v/>
      </c>
    </row>
    <row r="860">
      <c r="A860" s="94" t="n"/>
      <c r="B860" s="96" t="n"/>
      <c r="C860" s="96" t="n"/>
      <c r="D860" s="95" t="n"/>
      <c r="E860" s="96" t="n"/>
      <c r="F860" s="99" t="n"/>
      <c r="G860" s="95" t="n"/>
      <c r="H860" s="95" t="n"/>
      <c r="I860" s="101">
        <f>IF($B860="","",IF(COUNTIF(Setup!$A$99:$A$128,$B860)&gt;0,IF(INDEX(Setup!$B$99:$B$128,MATCH($B860,Setup!$A$99:$A$128,0))="","Overhead",INDEX(Setup!$B$99:$B$128,MATCH($B860,Setup!$A$99:$A$128,0))),IF(ISNUMBER(SEARCH("advance",$B860))+ISNUMBER(SEARCH("payout",$B860))+ISNUMBER(SEARCH("pay out",$B860))+ISNUMBER(SEARCH("reimburs",$B860))&gt;0,"Transfer",IF(ISNUMBER(SEARCH("loan",$B860))+ISNUMBER(SEARCH("amort",$B860))+ISNUMBER(SEARCH("installment",$B860))+ISNUMBER(SEARCH("instalment",$B860))&gt;0,"Financing",IF(ISNUMBER(SEARCH("draw",$B860))+ISNUMBER(SEARCH("owner",$B860))+ISNUMBER(SEARCH("asset",$B860))+ISNUMBER(SEARCH("capital",$B860))&gt;0,"Other",IF(ISNUMBER(SEARCH("fuel",$B860))+ISNUMBER(SEARCH("diesel",$B860))+ISNUMBER(SEARCH("krudo",$B860))+ISNUMBER(SEARCH("gasolina",$B860))+ISNUMBER(SEARCH("toll",$B860))+ISNUMBER(SEARCH("parking",$B860))+ISNUMBER(SEARCH("repair",$B860))+ISNUMBER(SEARCH("maintenance",$B860))+ISNUMBER(SEARCH("tire",$B860))+ISNUMBER(SEARCH("tyre",$B860))+ISNUMBER(SEARCH("battery",$B860))+ISNUMBER(SEARCH("oil",$B860))+ISNUMBER(SEARCH("filter",$B860))+ISNUMBER(SEARCH("spare",$B860))+ISNUMBER(SEARCH("insurance",$B860))+ISNUMBER(SEARCH("lto",$B860))+ISNUMBER(SEARCH("registration",$B860))+ISNUMBER(SEARCH("emission",$B860))+ISNUMBER(SEARCH("wash",$B860))+ISNUMBER(SEARCH("weigh",$B860))+ISNUMBER(SEARCH("tarp",$B860))&gt;0,"Vehicle",IF(ISNUMBER(SEARCH("rent",$B860))+ISNUMBER(SEARCH("upa",$B860))+ISNUMBER(SEARCH("salary",$B860))+ISNUMBER(SEARCH("sweldo",$B860))+ISNUMBER(SEARCH("wage",$B860))+ISNUMBER(SEARCH("electric",$B860))+ISNUMBER(SEARCH("kuryente",$B860))+ISNUMBER(SEARCH("water",$B860))+ISNUMBER(SEARCH("tubig",$B860))+ISNUMBER(SEARCH("internet",$B860))+ISNUMBER(SEARCH("pldt",$B860))+ISNUMBER(SEARCH("meralco",$B860))+ISNUMBER(SEARCH("supplies",$B860))+ISNUMBER(SEARCH("office",$B860))+ISNUMBER(SEARCH("professional",$B860))+ISNUMBER(SEARCH("accountant",$B860))+ISNUMBER(SEARCH("lawyer",$B860))+ISNUMBER(SEARCH("broker",$B860))+ISNUMBER(SEARCH("bank",$B860))+ISNUMBER(SEARCH("charge",$B860))+ISNUMBER(SEARCH("permit",$B860))+ISNUMBER(SEARCH("bir",$B860))+ISNUMBER(SEARCH("ltfrb",$B860))+ISNUMBER(SEARCH("misc",$B860))+ISNUMBER(SEARCH("fee",$B860))&gt;0,"Overhead","Overhead")))))))</f>
        <v/>
      </c>
      <c r="J860">
        <f>IF($A860="","",DATE(YEAR($A860),MONTH($A860),1))</f>
        <v/>
      </c>
      <c r="K860">
        <f>IF($B860="","",IF(COUNTIF(Setup!$A$99:$A$128,$B860)&gt;0,0,1))</f>
        <v/>
      </c>
      <c r="L860">
        <f>IF($B860="","",IF(ISNUMBER(SEARCH("advance",$B860)),"ADV",IF(OR(ISNUMBER(SEARCH("payout",$B860)),ISNUMBER(SEARCH("pay out",$B860)),ISNUMBER(SEARCH("release",$B860))),"PAY","")))</f>
        <v/>
      </c>
      <c r="M860">
        <f>IF($B860="","",IF(ISNUMBER(SEARCH("bulk",$B860)),0,IF(ISNUMBER(SEARCH("fuel",$B860))+ISNUMBER(SEARCH("diesel",$B860))+ISNUMBER(SEARCH("krudo",$B860))+ISNUMBER(SEARCH("gasolina",$B860))&gt;0,1,0)))</f>
        <v/>
      </c>
      <c r="N860">
        <f>IF($B860="","",IF(ISNUMBER(SEARCH("fuel",$B860))+ISNUMBER(SEARCH("diesel",$B860))+ISNUMBER(SEARCH("krudo",$B860))+ISNUMBER(SEARCH("gasolina",$B860))&gt;0,1,0))</f>
        <v/>
      </c>
    </row>
    <row r="861">
      <c r="A861" s="86" t="n"/>
      <c r="B861" s="88" t="n"/>
      <c r="C861" s="88" t="n"/>
      <c r="D861" s="87" t="n"/>
      <c r="E861" s="88" t="n"/>
      <c r="F861" s="92" t="n"/>
      <c r="G861" s="87" t="n"/>
      <c r="H861" s="87" t="n"/>
      <c r="I861" s="101">
        <f>IF($B861="","",IF(COUNTIF(Setup!$A$99:$A$128,$B861)&gt;0,IF(INDEX(Setup!$B$99:$B$128,MATCH($B861,Setup!$A$99:$A$128,0))="","Overhead",INDEX(Setup!$B$99:$B$128,MATCH($B861,Setup!$A$99:$A$128,0))),IF(ISNUMBER(SEARCH("advance",$B861))+ISNUMBER(SEARCH("payout",$B861))+ISNUMBER(SEARCH("pay out",$B861))+ISNUMBER(SEARCH("reimburs",$B861))&gt;0,"Transfer",IF(ISNUMBER(SEARCH("loan",$B861))+ISNUMBER(SEARCH("amort",$B861))+ISNUMBER(SEARCH("installment",$B861))+ISNUMBER(SEARCH("instalment",$B861))&gt;0,"Financing",IF(ISNUMBER(SEARCH("draw",$B861))+ISNUMBER(SEARCH("owner",$B861))+ISNUMBER(SEARCH("asset",$B861))+ISNUMBER(SEARCH("capital",$B861))&gt;0,"Other",IF(ISNUMBER(SEARCH("fuel",$B861))+ISNUMBER(SEARCH("diesel",$B861))+ISNUMBER(SEARCH("krudo",$B861))+ISNUMBER(SEARCH("gasolina",$B861))+ISNUMBER(SEARCH("toll",$B861))+ISNUMBER(SEARCH("parking",$B861))+ISNUMBER(SEARCH("repair",$B861))+ISNUMBER(SEARCH("maintenance",$B861))+ISNUMBER(SEARCH("tire",$B861))+ISNUMBER(SEARCH("tyre",$B861))+ISNUMBER(SEARCH("battery",$B861))+ISNUMBER(SEARCH("oil",$B861))+ISNUMBER(SEARCH("filter",$B861))+ISNUMBER(SEARCH("spare",$B861))+ISNUMBER(SEARCH("insurance",$B861))+ISNUMBER(SEARCH("lto",$B861))+ISNUMBER(SEARCH("registration",$B861))+ISNUMBER(SEARCH("emission",$B861))+ISNUMBER(SEARCH("wash",$B861))+ISNUMBER(SEARCH("weigh",$B861))+ISNUMBER(SEARCH("tarp",$B861))&gt;0,"Vehicle",IF(ISNUMBER(SEARCH("rent",$B861))+ISNUMBER(SEARCH("upa",$B861))+ISNUMBER(SEARCH("salary",$B861))+ISNUMBER(SEARCH("sweldo",$B861))+ISNUMBER(SEARCH("wage",$B861))+ISNUMBER(SEARCH("electric",$B861))+ISNUMBER(SEARCH("kuryente",$B861))+ISNUMBER(SEARCH("water",$B861))+ISNUMBER(SEARCH("tubig",$B861))+ISNUMBER(SEARCH("internet",$B861))+ISNUMBER(SEARCH("pldt",$B861))+ISNUMBER(SEARCH("meralco",$B861))+ISNUMBER(SEARCH("supplies",$B861))+ISNUMBER(SEARCH("office",$B861))+ISNUMBER(SEARCH("professional",$B861))+ISNUMBER(SEARCH("accountant",$B861))+ISNUMBER(SEARCH("lawyer",$B861))+ISNUMBER(SEARCH("broker",$B861))+ISNUMBER(SEARCH("bank",$B861))+ISNUMBER(SEARCH("charge",$B861))+ISNUMBER(SEARCH("permit",$B861))+ISNUMBER(SEARCH("bir",$B861))+ISNUMBER(SEARCH("ltfrb",$B861))+ISNUMBER(SEARCH("misc",$B861))+ISNUMBER(SEARCH("fee",$B861))&gt;0,"Overhead","Overhead")))))))</f>
        <v/>
      </c>
      <c r="J861">
        <f>IF($A861="","",DATE(YEAR($A861),MONTH($A861),1))</f>
        <v/>
      </c>
      <c r="K861">
        <f>IF($B861="","",IF(COUNTIF(Setup!$A$99:$A$128,$B861)&gt;0,0,1))</f>
        <v/>
      </c>
      <c r="L861">
        <f>IF($B861="","",IF(ISNUMBER(SEARCH("advance",$B861)),"ADV",IF(OR(ISNUMBER(SEARCH("payout",$B861)),ISNUMBER(SEARCH("pay out",$B861)),ISNUMBER(SEARCH("release",$B861))),"PAY","")))</f>
        <v/>
      </c>
      <c r="M861">
        <f>IF($B861="","",IF(ISNUMBER(SEARCH("bulk",$B861)),0,IF(ISNUMBER(SEARCH("fuel",$B861))+ISNUMBER(SEARCH("diesel",$B861))+ISNUMBER(SEARCH("krudo",$B861))+ISNUMBER(SEARCH("gasolina",$B861))&gt;0,1,0)))</f>
        <v/>
      </c>
      <c r="N861">
        <f>IF($B861="","",IF(ISNUMBER(SEARCH("fuel",$B861))+ISNUMBER(SEARCH("diesel",$B861))+ISNUMBER(SEARCH("krudo",$B861))+ISNUMBER(SEARCH("gasolina",$B861))&gt;0,1,0))</f>
        <v/>
      </c>
    </row>
    <row r="862">
      <c r="A862" s="94" t="n"/>
      <c r="B862" s="96" t="n"/>
      <c r="C862" s="96" t="n"/>
      <c r="D862" s="95" t="n"/>
      <c r="E862" s="96" t="n"/>
      <c r="F862" s="99" t="n"/>
      <c r="G862" s="95" t="n"/>
      <c r="H862" s="95" t="n"/>
      <c r="I862" s="101">
        <f>IF($B862="","",IF(COUNTIF(Setup!$A$99:$A$128,$B862)&gt;0,IF(INDEX(Setup!$B$99:$B$128,MATCH($B862,Setup!$A$99:$A$128,0))="","Overhead",INDEX(Setup!$B$99:$B$128,MATCH($B862,Setup!$A$99:$A$128,0))),IF(ISNUMBER(SEARCH("advance",$B862))+ISNUMBER(SEARCH("payout",$B862))+ISNUMBER(SEARCH("pay out",$B862))+ISNUMBER(SEARCH("reimburs",$B862))&gt;0,"Transfer",IF(ISNUMBER(SEARCH("loan",$B862))+ISNUMBER(SEARCH("amort",$B862))+ISNUMBER(SEARCH("installment",$B862))+ISNUMBER(SEARCH("instalment",$B862))&gt;0,"Financing",IF(ISNUMBER(SEARCH("draw",$B862))+ISNUMBER(SEARCH("owner",$B862))+ISNUMBER(SEARCH("asset",$B862))+ISNUMBER(SEARCH("capital",$B862))&gt;0,"Other",IF(ISNUMBER(SEARCH("fuel",$B862))+ISNUMBER(SEARCH("diesel",$B862))+ISNUMBER(SEARCH("krudo",$B862))+ISNUMBER(SEARCH("gasolina",$B862))+ISNUMBER(SEARCH("toll",$B862))+ISNUMBER(SEARCH("parking",$B862))+ISNUMBER(SEARCH("repair",$B862))+ISNUMBER(SEARCH("maintenance",$B862))+ISNUMBER(SEARCH("tire",$B862))+ISNUMBER(SEARCH("tyre",$B862))+ISNUMBER(SEARCH("battery",$B862))+ISNUMBER(SEARCH("oil",$B862))+ISNUMBER(SEARCH("filter",$B862))+ISNUMBER(SEARCH("spare",$B862))+ISNUMBER(SEARCH("insurance",$B862))+ISNUMBER(SEARCH("lto",$B862))+ISNUMBER(SEARCH("registration",$B862))+ISNUMBER(SEARCH("emission",$B862))+ISNUMBER(SEARCH("wash",$B862))+ISNUMBER(SEARCH("weigh",$B862))+ISNUMBER(SEARCH("tarp",$B862))&gt;0,"Vehicle",IF(ISNUMBER(SEARCH("rent",$B862))+ISNUMBER(SEARCH("upa",$B862))+ISNUMBER(SEARCH("salary",$B862))+ISNUMBER(SEARCH("sweldo",$B862))+ISNUMBER(SEARCH("wage",$B862))+ISNUMBER(SEARCH("electric",$B862))+ISNUMBER(SEARCH("kuryente",$B862))+ISNUMBER(SEARCH("water",$B862))+ISNUMBER(SEARCH("tubig",$B862))+ISNUMBER(SEARCH("internet",$B862))+ISNUMBER(SEARCH("pldt",$B862))+ISNUMBER(SEARCH("meralco",$B862))+ISNUMBER(SEARCH("supplies",$B862))+ISNUMBER(SEARCH("office",$B862))+ISNUMBER(SEARCH("professional",$B862))+ISNUMBER(SEARCH("accountant",$B862))+ISNUMBER(SEARCH("lawyer",$B862))+ISNUMBER(SEARCH("broker",$B862))+ISNUMBER(SEARCH("bank",$B862))+ISNUMBER(SEARCH("charge",$B862))+ISNUMBER(SEARCH("permit",$B862))+ISNUMBER(SEARCH("bir",$B862))+ISNUMBER(SEARCH("ltfrb",$B862))+ISNUMBER(SEARCH("misc",$B862))+ISNUMBER(SEARCH("fee",$B862))&gt;0,"Overhead","Overhead")))))))</f>
        <v/>
      </c>
      <c r="J862">
        <f>IF($A862="","",DATE(YEAR($A862),MONTH($A862),1))</f>
        <v/>
      </c>
      <c r="K862">
        <f>IF($B862="","",IF(COUNTIF(Setup!$A$99:$A$128,$B862)&gt;0,0,1))</f>
        <v/>
      </c>
      <c r="L862">
        <f>IF($B862="","",IF(ISNUMBER(SEARCH("advance",$B862)),"ADV",IF(OR(ISNUMBER(SEARCH("payout",$B862)),ISNUMBER(SEARCH("pay out",$B862)),ISNUMBER(SEARCH("release",$B862))),"PAY","")))</f>
        <v/>
      </c>
      <c r="M862">
        <f>IF($B862="","",IF(ISNUMBER(SEARCH("bulk",$B862)),0,IF(ISNUMBER(SEARCH("fuel",$B862))+ISNUMBER(SEARCH("diesel",$B862))+ISNUMBER(SEARCH("krudo",$B862))+ISNUMBER(SEARCH("gasolina",$B862))&gt;0,1,0)))</f>
        <v/>
      </c>
      <c r="N862">
        <f>IF($B862="","",IF(ISNUMBER(SEARCH("fuel",$B862))+ISNUMBER(SEARCH("diesel",$B862))+ISNUMBER(SEARCH("krudo",$B862))+ISNUMBER(SEARCH("gasolina",$B862))&gt;0,1,0))</f>
        <v/>
      </c>
    </row>
    <row r="863">
      <c r="A863" s="86" t="n"/>
      <c r="B863" s="88" t="n"/>
      <c r="C863" s="88" t="n"/>
      <c r="D863" s="87" t="n"/>
      <c r="E863" s="88" t="n"/>
      <c r="F863" s="92" t="n"/>
      <c r="G863" s="87" t="n"/>
      <c r="H863" s="87" t="n"/>
      <c r="I863" s="101">
        <f>IF($B863="","",IF(COUNTIF(Setup!$A$99:$A$128,$B863)&gt;0,IF(INDEX(Setup!$B$99:$B$128,MATCH($B863,Setup!$A$99:$A$128,0))="","Overhead",INDEX(Setup!$B$99:$B$128,MATCH($B863,Setup!$A$99:$A$128,0))),IF(ISNUMBER(SEARCH("advance",$B863))+ISNUMBER(SEARCH("payout",$B863))+ISNUMBER(SEARCH("pay out",$B863))+ISNUMBER(SEARCH("reimburs",$B863))&gt;0,"Transfer",IF(ISNUMBER(SEARCH("loan",$B863))+ISNUMBER(SEARCH("amort",$B863))+ISNUMBER(SEARCH("installment",$B863))+ISNUMBER(SEARCH("instalment",$B863))&gt;0,"Financing",IF(ISNUMBER(SEARCH("draw",$B863))+ISNUMBER(SEARCH("owner",$B863))+ISNUMBER(SEARCH("asset",$B863))+ISNUMBER(SEARCH("capital",$B863))&gt;0,"Other",IF(ISNUMBER(SEARCH("fuel",$B863))+ISNUMBER(SEARCH("diesel",$B863))+ISNUMBER(SEARCH("krudo",$B863))+ISNUMBER(SEARCH("gasolina",$B863))+ISNUMBER(SEARCH("toll",$B863))+ISNUMBER(SEARCH("parking",$B863))+ISNUMBER(SEARCH("repair",$B863))+ISNUMBER(SEARCH("maintenance",$B863))+ISNUMBER(SEARCH("tire",$B863))+ISNUMBER(SEARCH("tyre",$B863))+ISNUMBER(SEARCH("battery",$B863))+ISNUMBER(SEARCH("oil",$B863))+ISNUMBER(SEARCH("filter",$B863))+ISNUMBER(SEARCH("spare",$B863))+ISNUMBER(SEARCH("insurance",$B863))+ISNUMBER(SEARCH("lto",$B863))+ISNUMBER(SEARCH("registration",$B863))+ISNUMBER(SEARCH("emission",$B863))+ISNUMBER(SEARCH("wash",$B863))+ISNUMBER(SEARCH("weigh",$B863))+ISNUMBER(SEARCH("tarp",$B863))&gt;0,"Vehicle",IF(ISNUMBER(SEARCH("rent",$B863))+ISNUMBER(SEARCH("upa",$B863))+ISNUMBER(SEARCH("salary",$B863))+ISNUMBER(SEARCH("sweldo",$B863))+ISNUMBER(SEARCH("wage",$B863))+ISNUMBER(SEARCH("electric",$B863))+ISNUMBER(SEARCH("kuryente",$B863))+ISNUMBER(SEARCH("water",$B863))+ISNUMBER(SEARCH("tubig",$B863))+ISNUMBER(SEARCH("internet",$B863))+ISNUMBER(SEARCH("pldt",$B863))+ISNUMBER(SEARCH("meralco",$B863))+ISNUMBER(SEARCH("supplies",$B863))+ISNUMBER(SEARCH("office",$B863))+ISNUMBER(SEARCH("professional",$B863))+ISNUMBER(SEARCH("accountant",$B863))+ISNUMBER(SEARCH("lawyer",$B863))+ISNUMBER(SEARCH("broker",$B863))+ISNUMBER(SEARCH("bank",$B863))+ISNUMBER(SEARCH("charge",$B863))+ISNUMBER(SEARCH("permit",$B863))+ISNUMBER(SEARCH("bir",$B863))+ISNUMBER(SEARCH("ltfrb",$B863))+ISNUMBER(SEARCH("misc",$B863))+ISNUMBER(SEARCH("fee",$B863))&gt;0,"Overhead","Overhead")))))))</f>
        <v/>
      </c>
      <c r="J863">
        <f>IF($A863="","",DATE(YEAR($A863),MONTH($A863),1))</f>
        <v/>
      </c>
      <c r="K863">
        <f>IF($B863="","",IF(COUNTIF(Setup!$A$99:$A$128,$B863)&gt;0,0,1))</f>
        <v/>
      </c>
      <c r="L863">
        <f>IF($B863="","",IF(ISNUMBER(SEARCH("advance",$B863)),"ADV",IF(OR(ISNUMBER(SEARCH("payout",$B863)),ISNUMBER(SEARCH("pay out",$B863)),ISNUMBER(SEARCH("release",$B863))),"PAY","")))</f>
        <v/>
      </c>
      <c r="M863">
        <f>IF($B863="","",IF(ISNUMBER(SEARCH("bulk",$B863)),0,IF(ISNUMBER(SEARCH("fuel",$B863))+ISNUMBER(SEARCH("diesel",$B863))+ISNUMBER(SEARCH("krudo",$B863))+ISNUMBER(SEARCH("gasolina",$B863))&gt;0,1,0)))</f>
        <v/>
      </c>
      <c r="N863">
        <f>IF($B863="","",IF(ISNUMBER(SEARCH("fuel",$B863))+ISNUMBER(SEARCH("diesel",$B863))+ISNUMBER(SEARCH("krudo",$B863))+ISNUMBER(SEARCH("gasolina",$B863))&gt;0,1,0))</f>
        <v/>
      </c>
    </row>
    <row r="864">
      <c r="A864" s="94" t="n"/>
      <c r="B864" s="96" t="n"/>
      <c r="C864" s="96" t="n"/>
      <c r="D864" s="95" t="n"/>
      <c r="E864" s="96" t="n"/>
      <c r="F864" s="99" t="n"/>
      <c r="G864" s="95" t="n"/>
      <c r="H864" s="95" t="n"/>
      <c r="I864" s="101">
        <f>IF($B864="","",IF(COUNTIF(Setup!$A$99:$A$128,$B864)&gt;0,IF(INDEX(Setup!$B$99:$B$128,MATCH($B864,Setup!$A$99:$A$128,0))="","Overhead",INDEX(Setup!$B$99:$B$128,MATCH($B864,Setup!$A$99:$A$128,0))),IF(ISNUMBER(SEARCH("advance",$B864))+ISNUMBER(SEARCH("payout",$B864))+ISNUMBER(SEARCH("pay out",$B864))+ISNUMBER(SEARCH("reimburs",$B864))&gt;0,"Transfer",IF(ISNUMBER(SEARCH("loan",$B864))+ISNUMBER(SEARCH("amort",$B864))+ISNUMBER(SEARCH("installment",$B864))+ISNUMBER(SEARCH("instalment",$B864))&gt;0,"Financing",IF(ISNUMBER(SEARCH("draw",$B864))+ISNUMBER(SEARCH("owner",$B864))+ISNUMBER(SEARCH("asset",$B864))+ISNUMBER(SEARCH("capital",$B864))&gt;0,"Other",IF(ISNUMBER(SEARCH("fuel",$B864))+ISNUMBER(SEARCH("diesel",$B864))+ISNUMBER(SEARCH("krudo",$B864))+ISNUMBER(SEARCH("gasolina",$B864))+ISNUMBER(SEARCH("toll",$B864))+ISNUMBER(SEARCH("parking",$B864))+ISNUMBER(SEARCH("repair",$B864))+ISNUMBER(SEARCH("maintenance",$B864))+ISNUMBER(SEARCH("tire",$B864))+ISNUMBER(SEARCH("tyre",$B864))+ISNUMBER(SEARCH("battery",$B864))+ISNUMBER(SEARCH("oil",$B864))+ISNUMBER(SEARCH("filter",$B864))+ISNUMBER(SEARCH("spare",$B864))+ISNUMBER(SEARCH("insurance",$B864))+ISNUMBER(SEARCH("lto",$B864))+ISNUMBER(SEARCH("registration",$B864))+ISNUMBER(SEARCH("emission",$B864))+ISNUMBER(SEARCH("wash",$B864))+ISNUMBER(SEARCH("weigh",$B864))+ISNUMBER(SEARCH("tarp",$B864))&gt;0,"Vehicle",IF(ISNUMBER(SEARCH("rent",$B864))+ISNUMBER(SEARCH("upa",$B864))+ISNUMBER(SEARCH("salary",$B864))+ISNUMBER(SEARCH("sweldo",$B864))+ISNUMBER(SEARCH("wage",$B864))+ISNUMBER(SEARCH("electric",$B864))+ISNUMBER(SEARCH("kuryente",$B864))+ISNUMBER(SEARCH("water",$B864))+ISNUMBER(SEARCH("tubig",$B864))+ISNUMBER(SEARCH("internet",$B864))+ISNUMBER(SEARCH("pldt",$B864))+ISNUMBER(SEARCH("meralco",$B864))+ISNUMBER(SEARCH("supplies",$B864))+ISNUMBER(SEARCH("office",$B864))+ISNUMBER(SEARCH("professional",$B864))+ISNUMBER(SEARCH("accountant",$B864))+ISNUMBER(SEARCH("lawyer",$B864))+ISNUMBER(SEARCH("broker",$B864))+ISNUMBER(SEARCH("bank",$B864))+ISNUMBER(SEARCH("charge",$B864))+ISNUMBER(SEARCH("permit",$B864))+ISNUMBER(SEARCH("bir",$B864))+ISNUMBER(SEARCH("ltfrb",$B864))+ISNUMBER(SEARCH("misc",$B864))+ISNUMBER(SEARCH("fee",$B864))&gt;0,"Overhead","Overhead")))))))</f>
        <v/>
      </c>
      <c r="J864">
        <f>IF($A864="","",DATE(YEAR($A864),MONTH($A864),1))</f>
        <v/>
      </c>
      <c r="K864">
        <f>IF($B864="","",IF(COUNTIF(Setup!$A$99:$A$128,$B864)&gt;0,0,1))</f>
        <v/>
      </c>
      <c r="L864">
        <f>IF($B864="","",IF(ISNUMBER(SEARCH("advance",$B864)),"ADV",IF(OR(ISNUMBER(SEARCH("payout",$B864)),ISNUMBER(SEARCH("pay out",$B864)),ISNUMBER(SEARCH("release",$B864))),"PAY","")))</f>
        <v/>
      </c>
      <c r="M864">
        <f>IF($B864="","",IF(ISNUMBER(SEARCH("bulk",$B864)),0,IF(ISNUMBER(SEARCH("fuel",$B864))+ISNUMBER(SEARCH("diesel",$B864))+ISNUMBER(SEARCH("krudo",$B864))+ISNUMBER(SEARCH("gasolina",$B864))&gt;0,1,0)))</f>
        <v/>
      </c>
      <c r="N864">
        <f>IF($B864="","",IF(ISNUMBER(SEARCH("fuel",$B864))+ISNUMBER(SEARCH("diesel",$B864))+ISNUMBER(SEARCH("krudo",$B864))+ISNUMBER(SEARCH("gasolina",$B864))&gt;0,1,0))</f>
        <v/>
      </c>
    </row>
    <row r="865">
      <c r="A865" s="86" t="n"/>
      <c r="B865" s="88" t="n"/>
      <c r="C865" s="88" t="n"/>
      <c r="D865" s="87" t="n"/>
      <c r="E865" s="88" t="n"/>
      <c r="F865" s="92" t="n"/>
      <c r="G865" s="87" t="n"/>
      <c r="H865" s="87" t="n"/>
      <c r="I865" s="101">
        <f>IF($B865="","",IF(COUNTIF(Setup!$A$99:$A$128,$B865)&gt;0,IF(INDEX(Setup!$B$99:$B$128,MATCH($B865,Setup!$A$99:$A$128,0))="","Overhead",INDEX(Setup!$B$99:$B$128,MATCH($B865,Setup!$A$99:$A$128,0))),IF(ISNUMBER(SEARCH("advance",$B865))+ISNUMBER(SEARCH("payout",$B865))+ISNUMBER(SEARCH("pay out",$B865))+ISNUMBER(SEARCH("reimburs",$B865))&gt;0,"Transfer",IF(ISNUMBER(SEARCH("loan",$B865))+ISNUMBER(SEARCH("amort",$B865))+ISNUMBER(SEARCH("installment",$B865))+ISNUMBER(SEARCH("instalment",$B865))&gt;0,"Financing",IF(ISNUMBER(SEARCH("draw",$B865))+ISNUMBER(SEARCH("owner",$B865))+ISNUMBER(SEARCH("asset",$B865))+ISNUMBER(SEARCH("capital",$B865))&gt;0,"Other",IF(ISNUMBER(SEARCH("fuel",$B865))+ISNUMBER(SEARCH("diesel",$B865))+ISNUMBER(SEARCH("krudo",$B865))+ISNUMBER(SEARCH("gasolina",$B865))+ISNUMBER(SEARCH("toll",$B865))+ISNUMBER(SEARCH("parking",$B865))+ISNUMBER(SEARCH("repair",$B865))+ISNUMBER(SEARCH("maintenance",$B865))+ISNUMBER(SEARCH("tire",$B865))+ISNUMBER(SEARCH("tyre",$B865))+ISNUMBER(SEARCH("battery",$B865))+ISNUMBER(SEARCH("oil",$B865))+ISNUMBER(SEARCH("filter",$B865))+ISNUMBER(SEARCH("spare",$B865))+ISNUMBER(SEARCH("insurance",$B865))+ISNUMBER(SEARCH("lto",$B865))+ISNUMBER(SEARCH("registration",$B865))+ISNUMBER(SEARCH("emission",$B865))+ISNUMBER(SEARCH("wash",$B865))+ISNUMBER(SEARCH("weigh",$B865))+ISNUMBER(SEARCH("tarp",$B865))&gt;0,"Vehicle",IF(ISNUMBER(SEARCH("rent",$B865))+ISNUMBER(SEARCH("upa",$B865))+ISNUMBER(SEARCH("salary",$B865))+ISNUMBER(SEARCH("sweldo",$B865))+ISNUMBER(SEARCH("wage",$B865))+ISNUMBER(SEARCH("electric",$B865))+ISNUMBER(SEARCH("kuryente",$B865))+ISNUMBER(SEARCH("water",$B865))+ISNUMBER(SEARCH("tubig",$B865))+ISNUMBER(SEARCH("internet",$B865))+ISNUMBER(SEARCH("pldt",$B865))+ISNUMBER(SEARCH("meralco",$B865))+ISNUMBER(SEARCH("supplies",$B865))+ISNUMBER(SEARCH("office",$B865))+ISNUMBER(SEARCH("professional",$B865))+ISNUMBER(SEARCH("accountant",$B865))+ISNUMBER(SEARCH("lawyer",$B865))+ISNUMBER(SEARCH("broker",$B865))+ISNUMBER(SEARCH("bank",$B865))+ISNUMBER(SEARCH("charge",$B865))+ISNUMBER(SEARCH("permit",$B865))+ISNUMBER(SEARCH("bir",$B865))+ISNUMBER(SEARCH("ltfrb",$B865))+ISNUMBER(SEARCH("misc",$B865))+ISNUMBER(SEARCH("fee",$B865))&gt;0,"Overhead","Overhead")))))))</f>
        <v/>
      </c>
      <c r="J865">
        <f>IF($A865="","",DATE(YEAR($A865),MONTH($A865),1))</f>
        <v/>
      </c>
      <c r="K865">
        <f>IF($B865="","",IF(COUNTIF(Setup!$A$99:$A$128,$B865)&gt;0,0,1))</f>
        <v/>
      </c>
      <c r="L865">
        <f>IF($B865="","",IF(ISNUMBER(SEARCH("advance",$B865)),"ADV",IF(OR(ISNUMBER(SEARCH("payout",$B865)),ISNUMBER(SEARCH("pay out",$B865)),ISNUMBER(SEARCH("release",$B865))),"PAY","")))</f>
        <v/>
      </c>
      <c r="M865">
        <f>IF($B865="","",IF(ISNUMBER(SEARCH("bulk",$B865)),0,IF(ISNUMBER(SEARCH("fuel",$B865))+ISNUMBER(SEARCH("diesel",$B865))+ISNUMBER(SEARCH("krudo",$B865))+ISNUMBER(SEARCH("gasolina",$B865))&gt;0,1,0)))</f>
        <v/>
      </c>
      <c r="N865">
        <f>IF($B865="","",IF(ISNUMBER(SEARCH("fuel",$B865))+ISNUMBER(SEARCH("diesel",$B865))+ISNUMBER(SEARCH("krudo",$B865))+ISNUMBER(SEARCH("gasolina",$B865))&gt;0,1,0))</f>
        <v/>
      </c>
    </row>
    <row r="866">
      <c r="A866" s="94" t="n"/>
      <c r="B866" s="96" t="n"/>
      <c r="C866" s="96" t="n"/>
      <c r="D866" s="95" t="n"/>
      <c r="E866" s="96" t="n"/>
      <c r="F866" s="99" t="n"/>
      <c r="G866" s="95" t="n"/>
      <c r="H866" s="95" t="n"/>
      <c r="I866" s="101">
        <f>IF($B866="","",IF(COUNTIF(Setup!$A$99:$A$128,$B866)&gt;0,IF(INDEX(Setup!$B$99:$B$128,MATCH($B866,Setup!$A$99:$A$128,0))="","Overhead",INDEX(Setup!$B$99:$B$128,MATCH($B866,Setup!$A$99:$A$128,0))),IF(ISNUMBER(SEARCH("advance",$B866))+ISNUMBER(SEARCH("payout",$B866))+ISNUMBER(SEARCH("pay out",$B866))+ISNUMBER(SEARCH("reimburs",$B866))&gt;0,"Transfer",IF(ISNUMBER(SEARCH("loan",$B866))+ISNUMBER(SEARCH("amort",$B866))+ISNUMBER(SEARCH("installment",$B866))+ISNUMBER(SEARCH("instalment",$B866))&gt;0,"Financing",IF(ISNUMBER(SEARCH("draw",$B866))+ISNUMBER(SEARCH("owner",$B866))+ISNUMBER(SEARCH("asset",$B866))+ISNUMBER(SEARCH("capital",$B866))&gt;0,"Other",IF(ISNUMBER(SEARCH("fuel",$B866))+ISNUMBER(SEARCH("diesel",$B866))+ISNUMBER(SEARCH("krudo",$B866))+ISNUMBER(SEARCH("gasolina",$B866))+ISNUMBER(SEARCH("toll",$B866))+ISNUMBER(SEARCH("parking",$B866))+ISNUMBER(SEARCH("repair",$B866))+ISNUMBER(SEARCH("maintenance",$B866))+ISNUMBER(SEARCH("tire",$B866))+ISNUMBER(SEARCH("tyre",$B866))+ISNUMBER(SEARCH("battery",$B866))+ISNUMBER(SEARCH("oil",$B866))+ISNUMBER(SEARCH("filter",$B866))+ISNUMBER(SEARCH("spare",$B866))+ISNUMBER(SEARCH("insurance",$B866))+ISNUMBER(SEARCH("lto",$B866))+ISNUMBER(SEARCH("registration",$B866))+ISNUMBER(SEARCH("emission",$B866))+ISNUMBER(SEARCH("wash",$B866))+ISNUMBER(SEARCH("weigh",$B866))+ISNUMBER(SEARCH("tarp",$B866))&gt;0,"Vehicle",IF(ISNUMBER(SEARCH("rent",$B866))+ISNUMBER(SEARCH("upa",$B866))+ISNUMBER(SEARCH("salary",$B866))+ISNUMBER(SEARCH("sweldo",$B866))+ISNUMBER(SEARCH("wage",$B866))+ISNUMBER(SEARCH("electric",$B866))+ISNUMBER(SEARCH("kuryente",$B866))+ISNUMBER(SEARCH("water",$B866))+ISNUMBER(SEARCH("tubig",$B866))+ISNUMBER(SEARCH("internet",$B866))+ISNUMBER(SEARCH("pldt",$B866))+ISNUMBER(SEARCH("meralco",$B866))+ISNUMBER(SEARCH("supplies",$B866))+ISNUMBER(SEARCH("office",$B866))+ISNUMBER(SEARCH("professional",$B866))+ISNUMBER(SEARCH("accountant",$B866))+ISNUMBER(SEARCH("lawyer",$B866))+ISNUMBER(SEARCH("broker",$B866))+ISNUMBER(SEARCH("bank",$B866))+ISNUMBER(SEARCH("charge",$B866))+ISNUMBER(SEARCH("permit",$B866))+ISNUMBER(SEARCH("bir",$B866))+ISNUMBER(SEARCH("ltfrb",$B866))+ISNUMBER(SEARCH("misc",$B866))+ISNUMBER(SEARCH("fee",$B866))&gt;0,"Overhead","Overhead")))))))</f>
        <v/>
      </c>
      <c r="J866">
        <f>IF($A866="","",DATE(YEAR($A866),MONTH($A866),1))</f>
        <v/>
      </c>
      <c r="K866">
        <f>IF($B866="","",IF(COUNTIF(Setup!$A$99:$A$128,$B866)&gt;0,0,1))</f>
        <v/>
      </c>
      <c r="L866">
        <f>IF($B866="","",IF(ISNUMBER(SEARCH("advance",$B866)),"ADV",IF(OR(ISNUMBER(SEARCH("payout",$B866)),ISNUMBER(SEARCH("pay out",$B866)),ISNUMBER(SEARCH("release",$B866))),"PAY","")))</f>
        <v/>
      </c>
      <c r="M866">
        <f>IF($B866="","",IF(ISNUMBER(SEARCH("bulk",$B866)),0,IF(ISNUMBER(SEARCH("fuel",$B866))+ISNUMBER(SEARCH("diesel",$B866))+ISNUMBER(SEARCH("krudo",$B866))+ISNUMBER(SEARCH("gasolina",$B866))&gt;0,1,0)))</f>
        <v/>
      </c>
      <c r="N866">
        <f>IF($B866="","",IF(ISNUMBER(SEARCH("fuel",$B866))+ISNUMBER(SEARCH("diesel",$B866))+ISNUMBER(SEARCH("krudo",$B866))+ISNUMBER(SEARCH("gasolina",$B866))&gt;0,1,0))</f>
        <v/>
      </c>
    </row>
    <row r="867">
      <c r="A867" s="86" t="n"/>
      <c r="B867" s="88" t="n"/>
      <c r="C867" s="88" t="n"/>
      <c r="D867" s="87" t="n"/>
      <c r="E867" s="88" t="n"/>
      <c r="F867" s="92" t="n"/>
      <c r="G867" s="87" t="n"/>
      <c r="H867" s="87" t="n"/>
      <c r="I867" s="101">
        <f>IF($B867="","",IF(COUNTIF(Setup!$A$99:$A$128,$B867)&gt;0,IF(INDEX(Setup!$B$99:$B$128,MATCH($B867,Setup!$A$99:$A$128,0))="","Overhead",INDEX(Setup!$B$99:$B$128,MATCH($B867,Setup!$A$99:$A$128,0))),IF(ISNUMBER(SEARCH("advance",$B867))+ISNUMBER(SEARCH("payout",$B867))+ISNUMBER(SEARCH("pay out",$B867))+ISNUMBER(SEARCH("reimburs",$B867))&gt;0,"Transfer",IF(ISNUMBER(SEARCH("loan",$B867))+ISNUMBER(SEARCH("amort",$B867))+ISNUMBER(SEARCH("installment",$B867))+ISNUMBER(SEARCH("instalment",$B867))&gt;0,"Financing",IF(ISNUMBER(SEARCH("draw",$B867))+ISNUMBER(SEARCH("owner",$B867))+ISNUMBER(SEARCH("asset",$B867))+ISNUMBER(SEARCH("capital",$B867))&gt;0,"Other",IF(ISNUMBER(SEARCH("fuel",$B867))+ISNUMBER(SEARCH("diesel",$B867))+ISNUMBER(SEARCH("krudo",$B867))+ISNUMBER(SEARCH("gasolina",$B867))+ISNUMBER(SEARCH("toll",$B867))+ISNUMBER(SEARCH("parking",$B867))+ISNUMBER(SEARCH("repair",$B867))+ISNUMBER(SEARCH("maintenance",$B867))+ISNUMBER(SEARCH("tire",$B867))+ISNUMBER(SEARCH("tyre",$B867))+ISNUMBER(SEARCH("battery",$B867))+ISNUMBER(SEARCH("oil",$B867))+ISNUMBER(SEARCH("filter",$B867))+ISNUMBER(SEARCH("spare",$B867))+ISNUMBER(SEARCH("insurance",$B867))+ISNUMBER(SEARCH("lto",$B867))+ISNUMBER(SEARCH("registration",$B867))+ISNUMBER(SEARCH("emission",$B867))+ISNUMBER(SEARCH("wash",$B867))+ISNUMBER(SEARCH("weigh",$B867))+ISNUMBER(SEARCH("tarp",$B867))&gt;0,"Vehicle",IF(ISNUMBER(SEARCH("rent",$B867))+ISNUMBER(SEARCH("upa",$B867))+ISNUMBER(SEARCH("salary",$B867))+ISNUMBER(SEARCH("sweldo",$B867))+ISNUMBER(SEARCH("wage",$B867))+ISNUMBER(SEARCH("electric",$B867))+ISNUMBER(SEARCH("kuryente",$B867))+ISNUMBER(SEARCH("water",$B867))+ISNUMBER(SEARCH("tubig",$B867))+ISNUMBER(SEARCH("internet",$B867))+ISNUMBER(SEARCH("pldt",$B867))+ISNUMBER(SEARCH("meralco",$B867))+ISNUMBER(SEARCH("supplies",$B867))+ISNUMBER(SEARCH("office",$B867))+ISNUMBER(SEARCH("professional",$B867))+ISNUMBER(SEARCH("accountant",$B867))+ISNUMBER(SEARCH("lawyer",$B867))+ISNUMBER(SEARCH("broker",$B867))+ISNUMBER(SEARCH("bank",$B867))+ISNUMBER(SEARCH("charge",$B867))+ISNUMBER(SEARCH("permit",$B867))+ISNUMBER(SEARCH("bir",$B867))+ISNUMBER(SEARCH("ltfrb",$B867))+ISNUMBER(SEARCH("misc",$B867))+ISNUMBER(SEARCH("fee",$B867))&gt;0,"Overhead","Overhead")))))))</f>
        <v/>
      </c>
      <c r="J867">
        <f>IF($A867="","",DATE(YEAR($A867),MONTH($A867),1))</f>
        <v/>
      </c>
      <c r="K867">
        <f>IF($B867="","",IF(COUNTIF(Setup!$A$99:$A$128,$B867)&gt;0,0,1))</f>
        <v/>
      </c>
      <c r="L867">
        <f>IF($B867="","",IF(ISNUMBER(SEARCH("advance",$B867)),"ADV",IF(OR(ISNUMBER(SEARCH("payout",$B867)),ISNUMBER(SEARCH("pay out",$B867)),ISNUMBER(SEARCH("release",$B867))),"PAY","")))</f>
        <v/>
      </c>
      <c r="M867">
        <f>IF($B867="","",IF(ISNUMBER(SEARCH("bulk",$B867)),0,IF(ISNUMBER(SEARCH("fuel",$B867))+ISNUMBER(SEARCH("diesel",$B867))+ISNUMBER(SEARCH("krudo",$B867))+ISNUMBER(SEARCH("gasolina",$B867))&gt;0,1,0)))</f>
        <v/>
      </c>
      <c r="N867">
        <f>IF($B867="","",IF(ISNUMBER(SEARCH("fuel",$B867))+ISNUMBER(SEARCH("diesel",$B867))+ISNUMBER(SEARCH("krudo",$B867))+ISNUMBER(SEARCH("gasolina",$B867))&gt;0,1,0))</f>
        <v/>
      </c>
    </row>
    <row r="868">
      <c r="A868" s="94" t="n"/>
      <c r="B868" s="96" t="n"/>
      <c r="C868" s="96" t="n"/>
      <c r="D868" s="95" t="n"/>
      <c r="E868" s="96" t="n"/>
      <c r="F868" s="99" t="n"/>
      <c r="G868" s="95" t="n"/>
      <c r="H868" s="95" t="n"/>
      <c r="I868" s="101">
        <f>IF($B868="","",IF(COUNTIF(Setup!$A$99:$A$128,$B868)&gt;0,IF(INDEX(Setup!$B$99:$B$128,MATCH($B868,Setup!$A$99:$A$128,0))="","Overhead",INDEX(Setup!$B$99:$B$128,MATCH($B868,Setup!$A$99:$A$128,0))),IF(ISNUMBER(SEARCH("advance",$B868))+ISNUMBER(SEARCH("payout",$B868))+ISNUMBER(SEARCH("pay out",$B868))+ISNUMBER(SEARCH("reimburs",$B868))&gt;0,"Transfer",IF(ISNUMBER(SEARCH("loan",$B868))+ISNUMBER(SEARCH("amort",$B868))+ISNUMBER(SEARCH("installment",$B868))+ISNUMBER(SEARCH("instalment",$B868))&gt;0,"Financing",IF(ISNUMBER(SEARCH("draw",$B868))+ISNUMBER(SEARCH("owner",$B868))+ISNUMBER(SEARCH("asset",$B868))+ISNUMBER(SEARCH("capital",$B868))&gt;0,"Other",IF(ISNUMBER(SEARCH("fuel",$B868))+ISNUMBER(SEARCH("diesel",$B868))+ISNUMBER(SEARCH("krudo",$B868))+ISNUMBER(SEARCH("gasolina",$B868))+ISNUMBER(SEARCH("toll",$B868))+ISNUMBER(SEARCH("parking",$B868))+ISNUMBER(SEARCH("repair",$B868))+ISNUMBER(SEARCH("maintenance",$B868))+ISNUMBER(SEARCH("tire",$B868))+ISNUMBER(SEARCH("tyre",$B868))+ISNUMBER(SEARCH("battery",$B868))+ISNUMBER(SEARCH("oil",$B868))+ISNUMBER(SEARCH("filter",$B868))+ISNUMBER(SEARCH("spare",$B868))+ISNUMBER(SEARCH("insurance",$B868))+ISNUMBER(SEARCH("lto",$B868))+ISNUMBER(SEARCH("registration",$B868))+ISNUMBER(SEARCH("emission",$B868))+ISNUMBER(SEARCH("wash",$B868))+ISNUMBER(SEARCH("weigh",$B868))+ISNUMBER(SEARCH("tarp",$B868))&gt;0,"Vehicle",IF(ISNUMBER(SEARCH("rent",$B868))+ISNUMBER(SEARCH("upa",$B868))+ISNUMBER(SEARCH("salary",$B868))+ISNUMBER(SEARCH("sweldo",$B868))+ISNUMBER(SEARCH("wage",$B868))+ISNUMBER(SEARCH("electric",$B868))+ISNUMBER(SEARCH("kuryente",$B868))+ISNUMBER(SEARCH("water",$B868))+ISNUMBER(SEARCH("tubig",$B868))+ISNUMBER(SEARCH("internet",$B868))+ISNUMBER(SEARCH("pldt",$B868))+ISNUMBER(SEARCH("meralco",$B868))+ISNUMBER(SEARCH("supplies",$B868))+ISNUMBER(SEARCH("office",$B868))+ISNUMBER(SEARCH("professional",$B868))+ISNUMBER(SEARCH("accountant",$B868))+ISNUMBER(SEARCH("lawyer",$B868))+ISNUMBER(SEARCH("broker",$B868))+ISNUMBER(SEARCH("bank",$B868))+ISNUMBER(SEARCH("charge",$B868))+ISNUMBER(SEARCH("permit",$B868))+ISNUMBER(SEARCH("bir",$B868))+ISNUMBER(SEARCH("ltfrb",$B868))+ISNUMBER(SEARCH("misc",$B868))+ISNUMBER(SEARCH("fee",$B868))&gt;0,"Overhead","Overhead")))))))</f>
        <v/>
      </c>
      <c r="J868">
        <f>IF($A868="","",DATE(YEAR($A868),MONTH($A868),1))</f>
        <v/>
      </c>
      <c r="K868">
        <f>IF($B868="","",IF(COUNTIF(Setup!$A$99:$A$128,$B868)&gt;0,0,1))</f>
        <v/>
      </c>
      <c r="L868">
        <f>IF($B868="","",IF(ISNUMBER(SEARCH("advance",$B868)),"ADV",IF(OR(ISNUMBER(SEARCH("payout",$B868)),ISNUMBER(SEARCH("pay out",$B868)),ISNUMBER(SEARCH("release",$B868))),"PAY","")))</f>
        <v/>
      </c>
      <c r="M868">
        <f>IF($B868="","",IF(ISNUMBER(SEARCH("bulk",$B868)),0,IF(ISNUMBER(SEARCH("fuel",$B868))+ISNUMBER(SEARCH("diesel",$B868))+ISNUMBER(SEARCH("krudo",$B868))+ISNUMBER(SEARCH("gasolina",$B868))&gt;0,1,0)))</f>
        <v/>
      </c>
      <c r="N868">
        <f>IF($B868="","",IF(ISNUMBER(SEARCH("fuel",$B868))+ISNUMBER(SEARCH("diesel",$B868))+ISNUMBER(SEARCH("krudo",$B868))+ISNUMBER(SEARCH("gasolina",$B868))&gt;0,1,0))</f>
        <v/>
      </c>
    </row>
    <row r="869">
      <c r="A869" s="86" t="n"/>
      <c r="B869" s="88" t="n"/>
      <c r="C869" s="88" t="n"/>
      <c r="D869" s="87" t="n"/>
      <c r="E869" s="88" t="n"/>
      <c r="F869" s="92" t="n"/>
      <c r="G869" s="87" t="n"/>
      <c r="H869" s="87" t="n"/>
      <c r="I869" s="101">
        <f>IF($B869="","",IF(COUNTIF(Setup!$A$99:$A$128,$B869)&gt;0,IF(INDEX(Setup!$B$99:$B$128,MATCH($B869,Setup!$A$99:$A$128,0))="","Overhead",INDEX(Setup!$B$99:$B$128,MATCH($B869,Setup!$A$99:$A$128,0))),IF(ISNUMBER(SEARCH("advance",$B869))+ISNUMBER(SEARCH("payout",$B869))+ISNUMBER(SEARCH("pay out",$B869))+ISNUMBER(SEARCH("reimburs",$B869))&gt;0,"Transfer",IF(ISNUMBER(SEARCH("loan",$B869))+ISNUMBER(SEARCH("amort",$B869))+ISNUMBER(SEARCH("installment",$B869))+ISNUMBER(SEARCH("instalment",$B869))&gt;0,"Financing",IF(ISNUMBER(SEARCH("draw",$B869))+ISNUMBER(SEARCH("owner",$B869))+ISNUMBER(SEARCH("asset",$B869))+ISNUMBER(SEARCH("capital",$B869))&gt;0,"Other",IF(ISNUMBER(SEARCH("fuel",$B869))+ISNUMBER(SEARCH("diesel",$B869))+ISNUMBER(SEARCH("krudo",$B869))+ISNUMBER(SEARCH("gasolina",$B869))+ISNUMBER(SEARCH("toll",$B869))+ISNUMBER(SEARCH("parking",$B869))+ISNUMBER(SEARCH("repair",$B869))+ISNUMBER(SEARCH("maintenance",$B869))+ISNUMBER(SEARCH("tire",$B869))+ISNUMBER(SEARCH("tyre",$B869))+ISNUMBER(SEARCH("battery",$B869))+ISNUMBER(SEARCH("oil",$B869))+ISNUMBER(SEARCH("filter",$B869))+ISNUMBER(SEARCH("spare",$B869))+ISNUMBER(SEARCH("insurance",$B869))+ISNUMBER(SEARCH("lto",$B869))+ISNUMBER(SEARCH("registration",$B869))+ISNUMBER(SEARCH("emission",$B869))+ISNUMBER(SEARCH("wash",$B869))+ISNUMBER(SEARCH("weigh",$B869))+ISNUMBER(SEARCH("tarp",$B869))&gt;0,"Vehicle",IF(ISNUMBER(SEARCH("rent",$B869))+ISNUMBER(SEARCH("upa",$B869))+ISNUMBER(SEARCH("salary",$B869))+ISNUMBER(SEARCH("sweldo",$B869))+ISNUMBER(SEARCH("wage",$B869))+ISNUMBER(SEARCH("electric",$B869))+ISNUMBER(SEARCH("kuryente",$B869))+ISNUMBER(SEARCH("water",$B869))+ISNUMBER(SEARCH("tubig",$B869))+ISNUMBER(SEARCH("internet",$B869))+ISNUMBER(SEARCH("pldt",$B869))+ISNUMBER(SEARCH("meralco",$B869))+ISNUMBER(SEARCH("supplies",$B869))+ISNUMBER(SEARCH("office",$B869))+ISNUMBER(SEARCH("professional",$B869))+ISNUMBER(SEARCH("accountant",$B869))+ISNUMBER(SEARCH("lawyer",$B869))+ISNUMBER(SEARCH("broker",$B869))+ISNUMBER(SEARCH("bank",$B869))+ISNUMBER(SEARCH("charge",$B869))+ISNUMBER(SEARCH("permit",$B869))+ISNUMBER(SEARCH("bir",$B869))+ISNUMBER(SEARCH("ltfrb",$B869))+ISNUMBER(SEARCH("misc",$B869))+ISNUMBER(SEARCH("fee",$B869))&gt;0,"Overhead","Overhead")))))))</f>
        <v/>
      </c>
      <c r="J869">
        <f>IF($A869="","",DATE(YEAR($A869),MONTH($A869),1))</f>
        <v/>
      </c>
      <c r="K869">
        <f>IF($B869="","",IF(COUNTIF(Setup!$A$99:$A$128,$B869)&gt;0,0,1))</f>
        <v/>
      </c>
      <c r="L869">
        <f>IF($B869="","",IF(ISNUMBER(SEARCH("advance",$B869)),"ADV",IF(OR(ISNUMBER(SEARCH("payout",$B869)),ISNUMBER(SEARCH("pay out",$B869)),ISNUMBER(SEARCH("release",$B869))),"PAY","")))</f>
        <v/>
      </c>
      <c r="M869">
        <f>IF($B869="","",IF(ISNUMBER(SEARCH("bulk",$B869)),0,IF(ISNUMBER(SEARCH("fuel",$B869))+ISNUMBER(SEARCH("diesel",$B869))+ISNUMBER(SEARCH("krudo",$B869))+ISNUMBER(SEARCH("gasolina",$B869))&gt;0,1,0)))</f>
        <v/>
      </c>
      <c r="N869">
        <f>IF($B869="","",IF(ISNUMBER(SEARCH("fuel",$B869))+ISNUMBER(SEARCH("diesel",$B869))+ISNUMBER(SEARCH("krudo",$B869))+ISNUMBER(SEARCH("gasolina",$B869))&gt;0,1,0))</f>
        <v/>
      </c>
    </row>
    <row r="870">
      <c r="A870" s="94" t="n"/>
      <c r="B870" s="96" t="n"/>
      <c r="C870" s="96" t="n"/>
      <c r="D870" s="95" t="n"/>
      <c r="E870" s="96" t="n"/>
      <c r="F870" s="99" t="n"/>
      <c r="G870" s="95" t="n"/>
      <c r="H870" s="95" t="n"/>
      <c r="I870" s="101">
        <f>IF($B870="","",IF(COUNTIF(Setup!$A$99:$A$128,$B870)&gt;0,IF(INDEX(Setup!$B$99:$B$128,MATCH($B870,Setup!$A$99:$A$128,0))="","Overhead",INDEX(Setup!$B$99:$B$128,MATCH($B870,Setup!$A$99:$A$128,0))),IF(ISNUMBER(SEARCH("advance",$B870))+ISNUMBER(SEARCH("payout",$B870))+ISNUMBER(SEARCH("pay out",$B870))+ISNUMBER(SEARCH("reimburs",$B870))&gt;0,"Transfer",IF(ISNUMBER(SEARCH("loan",$B870))+ISNUMBER(SEARCH("amort",$B870))+ISNUMBER(SEARCH("installment",$B870))+ISNUMBER(SEARCH("instalment",$B870))&gt;0,"Financing",IF(ISNUMBER(SEARCH("draw",$B870))+ISNUMBER(SEARCH("owner",$B870))+ISNUMBER(SEARCH("asset",$B870))+ISNUMBER(SEARCH("capital",$B870))&gt;0,"Other",IF(ISNUMBER(SEARCH("fuel",$B870))+ISNUMBER(SEARCH("diesel",$B870))+ISNUMBER(SEARCH("krudo",$B870))+ISNUMBER(SEARCH("gasolina",$B870))+ISNUMBER(SEARCH("toll",$B870))+ISNUMBER(SEARCH("parking",$B870))+ISNUMBER(SEARCH("repair",$B870))+ISNUMBER(SEARCH("maintenance",$B870))+ISNUMBER(SEARCH("tire",$B870))+ISNUMBER(SEARCH("tyre",$B870))+ISNUMBER(SEARCH("battery",$B870))+ISNUMBER(SEARCH("oil",$B870))+ISNUMBER(SEARCH("filter",$B870))+ISNUMBER(SEARCH("spare",$B870))+ISNUMBER(SEARCH("insurance",$B870))+ISNUMBER(SEARCH("lto",$B870))+ISNUMBER(SEARCH("registration",$B870))+ISNUMBER(SEARCH("emission",$B870))+ISNUMBER(SEARCH("wash",$B870))+ISNUMBER(SEARCH("weigh",$B870))+ISNUMBER(SEARCH("tarp",$B870))&gt;0,"Vehicle",IF(ISNUMBER(SEARCH("rent",$B870))+ISNUMBER(SEARCH("upa",$B870))+ISNUMBER(SEARCH("salary",$B870))+ISNUMBER(SEARCH("sweldo",$B870))+ISNUMBER(SEARCH("wage",$B870))+ISNUMBER(SEARCH("electric",$B870))+ISNUMBER(SEARCH("kuryente",$B870))+ISNUMBER(SEARCH("water",$B870))+ISNUMBER(SEARCH("tubig",$B870))+ISNUMBER(SEARCH("internet",$B870))+ISNUMBER(SEARCH("pldt",$B870))+ISNUMBER(SEARCH("meralco",$B870))+ISNUMBER(SEARCH("supplies",$B870))+ISNUMBER(SEARCH("office",$B870))+ISNUMBER(SEARCH("professional",$B870))+ISNUMBER(SEARCH("accountant",$B870))+ISNUMBER(SEARCH("lawyer",$B870))+ISNUMBER(SEARCH("broker",$B870))+ISNUMBER(SEARCH("bank",$B870))+ISNUMBER(SEARCH("charge",$B870))+ISNUMBER(SEARCH("permit",$B870))+ISNUMBER(SEARCH("bir",$B870))+ISNUMBER(SEARCH("ltfrb",$B870))+ISNUMBER(SEARCH("misc",$B870))+ISNUMBER(SEARCH("fee",$B870))&gt;0,"Overhead","Overhead")))))))</f>
        <v/>
      </c>
      <c r="J870">
        <f>IF($A870="","",DATE(YEAR($A870),MONTH($A870),1))</f>
        <v/>
      </c>
      <c r="K870">
        <f>IF($B870="","",IF(COUNTIF(Setup!$A$99:$A$128,$B870)&gt;0,0,1))</f>
        <v/>
      </c>
      <c r="L870">
        <f>IF($B870="","",IF(ISNUMBER(SEARCH("advance",$B870)),"ADV",IF(OR(ISNUMBER(SEARCH("payout",$B870)),ISNUMBER(SEARCH("pay out",$B870)),ISNUMBER(SEARCH("release",$B870))),"PAY","")))</f>
        <v/>
      </c>
      <c r="M870">
        <f>IF($B870="","",IF(ISNUMBER(SEARCH("bulk",$B870)),0,IF(ISNUMBER(SEARCH("fuel",$B870))+ISNUMBER(SEARCH("diesel",$B870))+ISNUMBER(SEARCH("krudo",$B870))+ISNUMBER(SEARCH("gasolina",$B870))&gt;0,1,0)))</f>
        <v/>
      </c>
      <c r="N870">
        <f>IF($B870="","",IF(ISNUMBER(SEARCH("fuel",$B870))+ISNUMBER(SEARCH("diesel",$B870))+ISNUMBER(SEARCH("krudo",$B870))+ISNUMBER(SEARCH("gasolina",$B870))&gt;0,1,0))</f>
        <v/>
      </c>
    </row>
    <row r="871">
      <c r="A871" s="86" t="n"/>
      <c r="B871" s="88" t="n"/>
      <c r="C871" s="88" t="n"/>
      <c r="D871" s="87" t="n"/>
      <c r="E871" s="88" t="n"/>
      <c r="F871" s="92" t="n"/>
      <c r="G871" s="87" t="n"/>
      <c r="H871" s="87" t="n"/>
      <c r="I871" s="101">
        <f>IF($B871="","",IF(COUNTIF(Setup!$A$99:$A$128,$B871)&gt;0,IF(INDEX(Setup!$B$99:$B$128,MATCH($B871,Setup!$A$99:$A$128,0))="","Overhead",INDEX(Setup!$B$99:$B$128,MATCH($B871,Setup!$A$99:$A$128,0))),IF(ISNUMBER(SEARCH("advance",$B871))+ISNUMBER(SEARCH("payout",$B871))+ISNUMBER(SEARCH("pay out",$B871))+ISNUMBER(SEARCH("reimburs",$B871))&gt;0,"Transfer",IF(ISNUMBER(SEARCH("loan",$B871))+ISNUMBER(SEARCH("amort",$B871))+ISNUMBER(SEARCH("installment",$B871))+ISNUMBER(SEARCH("instalment",$B871))&gt;0,"Financing",IF(ISNUMBER(SEARCH("draw",$B871))+ISNUMBER(SEARCH("owner",$B871))+ISNUMBER(SEARCH("asset",$B871))+ISNUMBER(SEARCH("capital",$B871))&gt;0,"Other",IF(ISNUMBER(SEARCH("fuel",$B871))+ISNUMBER(SEARCH("diesel",$B871))+ISNUMBER(SEARCH("krudo",$B871))+ISNUMBER(SEARCH("gasolina",$B871))+ISNUMBER(SEARCH("toll",$B871))+ISNUMBER(SEARCH("parking",$B871))+ISNUMBER(SEARCH("repair",$B871))+ISNUMBER(SEARCH("maintenance",$B871))+ISNUMBER(SEARCH("tire",$B871))+ISNUMBER(SEARCH("tyre",$B871))+ISNUMBER(SEARCH("battery",$B871))+ISNUMBER(SEARCH("oil",$B871))+ISNUMBER(SEARCH("filter",$B871))+ISNUMBER(SEARCH("spare",$B871))+ISNUMBER(SEARCH("insurance",$B871))+ISNUMBER(SEARCH("lto",$B871))+ISNUMBER(SEARCH("registration",$B871))+ISNUMBER(SEARCH("emission",$B871))+ISNUMBER(SEARCH("wash",$B871))+ISNUMBER(SEARCH("weigh",$B871))+ISNUMBER(SEARCH("tarp",$B871))&gt;0,"Vehicle",IF(ISNUMBER(SEARCH("rent",$B871))+ISNUMBER(SEARCH("upa",$B871))+ISNUMBER(SEARCH("salary",$B871))+ISNUMBER(SEARCH("sweldo",$B871))+ISNUMBER(SEARCH("wage",$B871))+ISNUMBER(SEARCH("electric",$B871))+ISNUMBER(SEARCH("kuryente",$B871))+ISNUMBER(SEARCH("water",$B871))+ISNUMBER(SEARCH("tubig",$B871))+ISNUMBER(SEARCH("internet",$B871))+ISNUMBER(SEARCH("pldt",$B871))+ISNUMBER(SEARCH("meralco",$B871))+ISNUMBER(SEARCH("supplies",$B871))+ISNUMBER(SEARCH("office",$B871))+ISNUMBER(SEARCH("professional",$B871))+ISNUMBER(SEARCH("accountant",$B871))+ISNUMBER(SEARCH("lawyer",$B871))+ISNUMBER(SEARCH("broker",$B871))+ISNUMBER(SEARCH("bank",$B871))+ISNUMBER(SEARCH("charge",$B871))+ISNUMBER(SEARCH("permit",$B871))+ISNUMBER(SEARCH("bir",$B871))+ISNUMBER(SEARCH("ltfrb",$B871))+ISNUMBER(SEARCH("misc",$B871))+ISNUMBER(SEARCH("fee",$B871))&gt;0,"Overhead","Overhead")))))))</f>
        <v/>
      </c>
      <c r="J871">
        <f>IF($A871="","",DATE(YEAR($A871),MONTH($A871),1))</f>
        <v/>
      </c>
      <c r="K871">
        <f>IF($B871="","",IF(COUNTIF(Setup!$A$99:$A$128,$B871)&gt;0,0,1))</f>
        <v/>
      </c>
      <c r="L871">
        <f>IF($B871="","",IF(ISNUMBER(SEARCH("advance",$B871)),"ADV",IF(OR(ISNUMBER(SEARCH("payout",$B871)),ISNUMBER(SEARCH("pay out",$B871)),ISNUMBER(SEARCH("release",$B871))),"PAY","")))</f>
        <v/>
      </c>
      <c r="M871">
        <f>IF($B871="","",IF(ISNUMBER(SEARCH("bulk",$B871)),0,IF(ISNUMBER(SEARCH("fuel",$B871))+ISNUMBER(SEARCH("diesel",$B871))+ISNUMBER(SEARCH("krudo",$B871))+ISNUMBER(SEARCH("gasolina",$B871))&gt;0,1,0)))</f>
        <v/>
      </c>
      <c r="N871">
        <f>IF($B871="","",IF(ISNUMBER(SEARCH("fuel",$B871))+ISNUMBER(SEARCH("diesel",$B871))+ISNUMBER(SEARCH("krudo",$B871))+ISNUMBER(SEARCH("gasolina",$B871))&gt;0,1,0))</f>
        <v/>
      </c>
    </row>
    <row r="872">
      <c r="A872" s="94" t="n"/>
      <c r="B872" s="96" t="n"/>
      <c r="C872" s="96" t="n"/>
      <c r="D872" s="95" t="n"/>
      <c r="E872" s="96" t="n"/>
      <c r="F872" s="99" t="n"/>
      <c r="G872" s="95" t="n"/>
      <c r="H872" s="95" t="n"/>
      <c r="I872" s="101">
        <f>IF($B872="","",IF(COUNTIF(Setup!$A$99:$A$128,$B872)&gt;0,IF(INDEX(Setup!$B$99:$B$128,MATCH($B872,Setup!$A$99:$A$128,0))="","Overhead",INDEX(Setup!$B$99:$B$128,MATCH($B872,Setup!$A$99:$A$128,0))),IF(ISNUMBER(SEARCH("advance",$B872))+ISNUMBER(SEARCH("payout",$B872))+ISNUMBER(SEARCH("pay out",$B872))+ISNUMBER(SEARCH("reimburs",$B872))&gt;0,"Transfer",IF(ISNUMBER(SEARCH("loan",$B872))+ISNUMBER(SEARCH("amort",$B872))+ISNUMBER(SEARCH("installment",$B872))+ISNUMBER(SEARCH("instalment",$B872))&gt;0,"Financing",IF(ISNUMBER(SEARCH("draw",$B872))+ISNUMBER(SEARCH("owner",$B872))+ISNUMBER(SEARCH("asset",$B872))+ISNUMBER(SEARCH("capital",$B872))&gt;0,"Other",IF(ISNUMBER(SEARCH("fuel",$B872))+ISNUMBER(SEARCH("diesel",$B872))+ISNUMBER(SEARCH("krudo",$B872))+ISNUMBER(SEARCH("gasolina",$B872))+ISNUMBER(SEARCH("toll",$B872))+ISNUMBER(SEARCH("parking",$B872))+ISNUMBER(SEARCH("repair",$B872))+ISNUMBER(SEARCH("maintenance",$B872))+ISNUMBER(SEARCH("tire",$B872))+ISNUMBER(SEARCH("tyre",$B872))+ISNUMBER(SEARCH("battery",$B872))+ISNUMBER(SEARCH("oil",$B872))+ISNUMBER(SEARCH("filter",$B872))+ISNUMBER(SEARCH("spare",$B872))+ISNUMBER(SEARCH("insurance",$B872))+ISNUMBER(SEARCH("lto",$B872))+ISNUMBER(SEARCH("registration",$B872))+ISNUMBER(SEARCH("emission",$B872))+ISNUMBER(SEARCH("wash",$B872))+ISNUMBER(SEARCH("weigh",$B872))+ISNUMBER(SEARCH("tarp",$B872))&gt;0,"Vehicle",IF(ISNUMBER(SEARCH("rent",$B872))+ISNUMBER(SEARCH("upa",$B872))+ISNUMBER(SEARCH("salary",$B872))+ISNUMBER(SEARCH("sweldo",$B872))+ISNUMBER(SEARCH("wage",$B872))+ISNUMBER(SEARCH("electric",$B872))+ISNUMBER(SEARCH("kuryente",$B872))+ISNUMBER(SEARCH("water",$B872))+ISNUMBER(SEARCH("tubig",$B872))+ISNUMBER(SEARCH("internet",$B872))+ISNUMBER(SEARCH("pldt",$B872))+ISNUMBER(SEARCH("meralco",$B872))+ISNUMBER(SEARCH("supplies",$B872))+ISNUMBER(SEARCH("office",$B872))+ISNUMBER(SEARCH("professional",$B872))+ISNUMBER(SEARCH("accountant",$B872))+ISNUMBER(SEARCH("lawyer",$B872))+ISNUMBER(SEARCH("broker",$B872))+ISNUMBER(SEARCH("bank",$B872))+ISNUMBER(SEARCH("charge",$B872))+ISNUMBER(SEARCH("permit",$B872))+ISNUMBER(SEARCH("bir",$B872))+ISNUMBER(SEARCH("ltfrb",$B872))+ISNUMBER(SEARCH("misc",$B872))+ISNUMBER(SEARCH("fee",$B872))&gt;0,"Overhead","Overhead")))))))</f>
        <v/>
      </c>
      <c r="J872">
        <f>IF($A872="","",DATE(YEAR($A872),MONTH($A872),1))</f>
        <v/>
      </c>
      <c r="K872">
        <f>IF($B872="","",IF(COUNTIF(Setup!$A$99:$A$128,$B872)&gt;0,0,1))</f>
        <v/>
      </c>
      <c r="L872">
        <f>IF($B872="","",IF(ISNUMBER(SEARCH("advance",$B872)),"ADV",IF(OR(ISNUMBER(SEARCH("payout",$B872)),ISNUMBER(SEARCH("pay out",$B872)),ISNUMBER(SEARCH("release",$B872))),"PAY","")))</f>
        <v/>
      </c>
      <c r="M872">
        <f>IF($B872="","",IF(ISNUMBER(SEARCH("bulk",$B872)),0,IF(ISNUMBER(SEARCH("fuel",$B872))+ISNUMBER(SEARCH("diesel",$B872))+ISNUMBER(SEARCH("krudo",$B872))+ISNUMBER(SEARCH("gasolina",$B872))&gt;0,1,0)))</f>
        <v/>
      </c>
      <c r="N872">
        <f>IF($B872="","",IF(ISNUMBER(SEARCH("fuel",$B872))+ISNUMBER(SEARCH("diesel",$B872))+ISNUMBER(SEARCH("krudo",$B872))+ISNUMBER(SEARCH("gasolina",$B872))&gt;0,1,0))</f>
        <v/>
      </c>
    </row>
    <row r="873">
      <c r="A873" s="86" t="n"/>
      <c r="B873" s="88" t="n"/>
      <c r="C873" s="88" t="n"/>
      <c r="D873" s="87" t="n"/>
      <c r="E873" s="88" t="n"/>
      <c r="F873" s="92" t="n"/>
      <c r="G873" s="87" t="n"/>
      <c r="H873" s="87" t="n"/>
      <c r="I873" s="101">
        <f>IF($B873="","",IF(COUNTIF(Setup!$A$99:$A$128,$B873)&gt;0,IF(INDEX(Setup!$B$99:$B$128,MATCH($B873,Setup!$A$99:$A$128,0))="","Overhead",INDEX(Setup!$B$99:$B$128,MATCH($B873,Setup!$A$99:$A$128,0))),IF(ISNUMBER(SEARCH("advance",$B873))+ISNUMBER(SEARCH("payout",$B873))+ISNUMBER(SEARCH("pay out",$B873))+ISNUMBER(SEARCH("reimburs",$B873))&gt;0,"Transfer",IF(ISNUMBER(SEARCH("loan",$B873))+ISNUMBER(SEARCH("amort",$B873))+ISNUMBER(SEARCH("installment",$B873))+ISNUMBER(SEARCH("instalment",$B873))&gt;0,"Financing",IF(ISNUMBER(SEARCH("draw",$B873))+ISNUMBER(SEARCH("owner",$B873))+ISNUMBER(SEARCH("asset",$B873))+ISNUMBER(SEARCH("capital",$B873))&gt;0,"Other",IF(ISNUMBER(SEARCH("fuel",$B873))+ISNUMBER(SEARCH("diesel",$B873))+ISNUMBER(SEARCH("krudo",$B873))+ISNUMBER(SEARCH("gasolina",$B873))+ISNUMBER(SEARCH("toll",$B873))+ISNUMBER(SEARCH("parking",$B873))+ISNUMBER(SEARCH("repair",$B873))+ISNUMBER(SEARCH("maintenance",$B873))+ISNUMBER(SEARCH("tire",$B873))+ISNUMBER(SEARCH("tyre",$B873))+ISNUMBER(SEARCH("battery",$B873))+ISNUMBER(SEARCH("oil",$B873))+ISNUMBER(SEARCH("filter",$B873))+ISNUMBER(SEARCH("spare",$B873))+ISNUMBER(SEARCH("insurance",$B873))+ISNUMBER(SEARCH("lto",$B873))+ISNUMBER(SEARCH("registration",$B873))+ISNUMBER(SEARCH("emission",$B873))+ISNUMBER(SEARCH("wash",$B873))+ISNUMBER(SEARCH("weigh",$B873))+ISNUMBER(SEARCH("tarp",$B873))&gt;0,"Vehicle",IF(ISNUMBER(SEARCH("rent",$B873))+ISNUMBER(SEARCH("upa",$B873))+ISNUMBER(SEARCH("salary",$B873))+ISNUMBER(SEARCH("sweldo",$B873))+ISNUMBER(SEARCH("wage",$B873))+ISNUMBER(SEARCH("electric",$B873))+ISNUMBER(SEARCH("kuryente",$B873))+ISNUMBER(SEARCH("water",$B873))+ISNUMBER(SEARCH("tubig",$B873))+ISNUMBER(SEARCH("internet",$B873))+ISNUMBER(SEARCH("pldt",$B873))+ISNUMBER(SEARCH("meralco",$B873))+ISNUMBER(SEARCH("supplies",$B873))+ISNUMBER(SEARCH("office",$B873))+ISNUMBER(SEARCH("professional",$B873))+ISNUMBER(SEARCH("accountant",$B873))+ISNUMBER(SEARCH("lawyer",$B873))+ISNUMBER(SEARCH("broker",$B873))+ISNUMBER(SEARCH("bank",$B873))+ISNUMBER(SEARCH("charge",$B873))+ISNUMBER(SEARCH("permit",$B873))+ISNUMBER(SEARCH("bir",$B873))+ISNUMBER(SEARCH("ltfrb",$B873))+ISNUMBER(SEARCH("misc",$B873))+ISNUMBER(SEARCH("fee",$B873))&gt;0,"Overhead","Overhead")))))))</f>
        <v/>
      </c>
      <c r="J873">
        <f>IF($A873="","",DATE(YEAR($A873),MONTH($A873),1))</f>
        <v/>
      </c>
      <c r="K873">
        <f>IF($B873="","",IF(COUNTIF(Setup!$A$99:$A$128,$B873)&gt;0,0,1))</f>
        <v/>
      </c>
      <c r="L873">
        <f>IF($B873="","",IF(ISNUMBER(SEARCH("advance",$B873)),"ADV",IF(OR(ISNUMBER(SEARCH("payout",$B873)),ISNUMBER(SEARCH("pay out",$B873)),ISNUMBER(SEARCH("release",$B873))),"PAY","")))</f>
        <v/>
      </c>
      <c r="M873">
        <f>IF($B873="","",IF(ISNUMBER(SEARCH("bulk",$B873)),0,IF(ISNUMBER(SEARCH("fuel",$B873))+ISNUMBER(SEARCH("diesel",$B873))+ISNUMBER(SEARCH("krudo",$B873))+ISNUMBER(SEARCH("gasolina",$B873))&gt;0,1,0)))</f>
        <v/>
      </c>
      <c r="N873">
        <f>IF($B873="","",IF(ISNUMBER(SEARCH("fuel",$B873))+ISNUMBER(SEARCH("diesel",$B873))+ISNUMBER(SEARCH("krudo",$B873))+ISNUMBER(SEARCH("gasolina",$B873))&gt;0,1,0))</f>
        <v/>
      </c>
    </row>
    <row r="874">
      <c r="A874" s="94" t="n"/>
      <c r="B874" s="96" t="n"/>
      <c r="C874" s="96" t="n"/>
      <c r="D874" s="95" t="n"/>
      <c r="E874" s="96" t="n"/>
      <c r="F874" s="99" t="n"/>
      <c r="G874" s="95" t="n"/>
      <c r="H874" s="95" t="n"/>
      <c r="I874" s="101">
        <f>IF($B874="","",IF(COUNTIF(Setup!$A$99:$A$128,$B874)&gt;0,IF(INDEX(Setup!$B$99:$B$128,MATCH($B874,Setup!$A$99:$A$128,0))="","Overhead",INDEX(Setup!$B$99:$B$128,MATCH($B874,Setup!$A$99:$A$128,0))),IF(ISNUMBER(SEARCH("advance",$B874))+ISNUMBER(SEARCH("payout",$B874))+ISNUMBER(SEARCH("pay out",$B874))+ISNUMBER(SEARCH("reimburs",$B874))&gt;0,"Transfer",IF(ISNUMBER(SEARCH("loan",$B874))+ISNUMBER(SEARCH("amort",$B874))+ISNUMBER(SEARCH("installment",$B874))+ISNUMBER(SEARCH("instalment",$B874))&gt;0,"Financing",IF(ISNUMBER(SEARCH("draw",$B874))+ISNUMBER(SEARCH("owner",$B874))+ISNUMBER(SEARCH("asset",$B874))+ISNUMBER(SEARCH("capital",$B874))&gt;0,"Other",IF(ISNUMBER(SEARCH("fuel",$B874))+ISNUMBER(SEARCH("diesel",$B874))+ISNUMBER(SEARCH("krudo",$B874))+ISNUMBER(SEARCH("gasolina",$B874))+ISNUMBER(SEARCH("toll",$B874))+ISNUMBER(SEARCH("parking",$B874))+ISNUMBER(SEARCH("repair",$B874))+ISNUMBER(SEARCH("maintenance",$B874))+ISNUMBER(SEARCH("tire",$B874))+ISNUMBER(SEARCH("tyre",$B874))+ISNUMBER(SEARCH("battery",$B874))+ISNUMBER(SEARCH("oil",$B874))+ISNUMBER(SEARCH("filter",$B874))+ISNUMBER(SEARCH("spare",$B874))+ISNUMBER(SEARCH("insurance",$B874))+ISNUMBER(SEARCH("lto",$B874))+ISNUMBER(SEARCH("registration",$B874))+ISNUMBER(SEARCH("emission",$B874))+ISNUMBER(SEARCH("wash",$B874))+ISNUMBER(SEARCH("weigh",$B874))+ISNUMBER(SEARCH("tarp",$B874))&gt;0,"Vehicle",IF(ISNUMBER(SEARCH("rent",$B874))+ISNUMBER(SEARCH("upa",$B874))+ISNUMBER(SEARCH("salary",$B874))+ISNUMBER(SEARCH("sweldo",$B874))+ISNUMBER(SEARCH("wage",$B874))+ISNUMBER(SEARCH("electric",$B874))+ISNUMBER(SEARCH("kuryente",$B874))+ISNUMBER(SEARCH("water",$B874))+ISNUMBER(SEARCH("tubig",$B874))+ISNUMBER(SEARCH("internet",$B874))+ISNUMBER(SEARCH("pldt",$B874))+ISNUMBER(SEARCH("meralco",$B874))+ISNUMBER(SEARCH("supplies",$B874))+ISNUMBER(SEARCH("office",$B874))+ISNUMBER(SEARCH("professional",$B874))+ISNUMBER(SEARCH("accountant",$B874))+ISNUMBER(SEARCH("lawyer",$B874))+ISNUMBER(SEARCH("broker",$B874))+ISNUMBER(SEARCH("bank",$B874))+ISNUMBER(SEARCH("charge",$B874))+ISNUMBER(SEARCH("permit",$B874))+ISNUMBER(SEARCH("bir",$B874))+ISNUMBER(SEARCH("ltfrb",$B874))+ISNUMBER(SEARCH("misc",$B874))+ISNUMBER(SEARCH("fee",$B874))&gt;0,"Overhead","Overhead")))))))</f>
        <v/>
      </c>
      <c r="J874">
        <f>IF($A874="","",DATE(YEAR($A874),MONTH($A874),1))</f>
        <v/>
      </c>
      <c r="K874">
        <f>IF($B874="","",IF(COUNTIF(Setup!$A$99:$A$128,$B874)&gt;0,0,1))</f>
        <v/>
      </c>
      <c r="L874">
        <f>IF($B874="","",IF(ISNUMBER(SEARCH("advance",$B874)),"ADV",IF(OR(ISNUMBER(SEARCH("payout",$B874)),ISNUMBER(SEARCH("pay out",$B874)),ISNUMBER(SEARCH("release",$B874))),"PAY","")))</f>
        <v/>
      </c>
      <c r="M874">
        <f>IF($B874="","",IF(ISNUMBER(SEARCH("bulk",$B874)),0,IF(ISNUMBER(SEARCH("fuel",$B874))+ISNUMBER(SEARCH("diesel",$B874))+ISNUMBER(SEARCH("krudo",$B874))+ISNUMBER(SEARCH("gasolina",$B874))&gt;0,1,0)))</f>
        <v/>
      </c>
      <c r="N874">
        <f>IF($B874="","",IF(ISNUMBER(SEARCH("fuel",$B874))+ISNUMBER(SEARCH("diesel",$B874))+ISNUMBER(SEARCH("krudo",$B874))+ISNUMBER(SEARCH("gasolina",$B874))&gt;0,1,0))</f>
        <v/>
      </c>
    </row>
    <row r="875">
      <c r="A875" s="86" t="n"/>
      <c r="B875" s="88" t="n"/>
      <c r="C875" s="88" t="n"/>
      <c r="D875" s="87" t="n"/>
      <c r="E875" s="88" t="n"/>
      <c r="F875" s="92" t="n"/>
      <c r="G875" s="87" t="n"/>
      <c r="H875" s="87" t="n"/>
      <c r="I875" s="101">
        <f>IF($B875="","",IF(COUNTIF(Setup!$A$99:$A$128,$B875)&gt;0,IF(INDEX(Setup!$B$99:$B$128,MATCH($B875,Setup!$A$99:$A$128,0))="","Overhead",INDEX(Setup!$B$99:$B$128,MATCH($B875,Setup!$A$99:$A$128,0))),IF(ISNUMBER(SEARCH("advance",$B875))+ISNUMBER(SEARCH("payout",$B875))+ISNUMBER(SEARCH("pay out",$B875))+ISNUMBER(SEARCH("reimburs",$B875))&gt;0,"Transfer",IF(ISNUMBER(SEARCH("loan",$B875))+ISNUMBER(SEARCH("amort",$B875))+ISNUMBER(SEARCH("installment",$B875))+ISNUMBER(SEARCH("instalment",$B875))&gt;0,"Financing",IF(ISNUMBER(SEARCH("draw",$B875))+ISNUMBER(SEARCH("owner",$B875))+ISNUMBER(SEARCH("asset",$B875))+ISNUMBER(SEARCH("capital",$B875))&gt;0,"Other",IF(ISNUMBER(SEARCH("fuel",$B875))+ISNUMBER(SEARCH("diesel",$B875))+ISNUMBER(SEARCH("krudo",$B875))+ISNUMBER(SEARCH("gasolina",$B875))+ISNUMBER(SEARCH("toll",$B875))+ISNUMBER(SEARCH("parking",$B875))+ISNUMBER(SEARCH("repair",$B875))+ISNUMBER(SEARCH("maintenance",$B875))+ISNUMBER(SEARCH("tire",$B875))+ISNUMBER(SEARCH("tyre",$B875))+ISNUMBER(SEARCH("battery",$B875))+ISNUMBER(SEARCH("oil",$B875))+ISNUMBER(SEARCH("filter",$B875))+ISNUMBER(SEARCH("spare",$B875))+ISNUMBER(SEARCH("insurance",$B875))+ISNUMBER(SEARCH("lto",$B875))+ISNUMBER(SEARCH("registration",$B875))+ISNUMBER(SEARCH("emission",$B875))+ISNUMBER(SEARCH("wash",$B875))+ISNUMBER(SEARCH("weigh",$B875))+ISNUMBER(SEARCH("tarp",$B875))&gt;0,"Vehicle",IF(ISNUMBER(SEARCH("rent",$B875))+ISNUMBER(SEARCH("upa",$B875))+ISNUMBER(SEARCH("salary",$B875))+ISNUMBER(SEARCH("sweldo",$B875))+ISNUMBER(SEARCH("wage",$B875))+ISNUMBER(SEARCH("electric",$B875))+ISNUMBER(SEARCH("kuryente",$B875))+ISNUMBER(SEARCH("water",$B875))+ISNUMBER(SEARCH("tubig",$B875))+ISNUMBER(SEARCH("internet",$B875))+ISNUMBER(SEARCH("pldt",$B875))+ISNUMBER(SEARCH("meralco",$B875))+ISNUMBER(SEARCH("supplies",$B875))+ISNUMBER(SEARCH("office",$B875))+ISNUMBER(SEARCH("professional",$B875))+ISNUMBER(SEARCH("accountant",$B875))+ISNUMBER(SEARCH("lawyer",$B875))+ISNUMBER(SEARCH("broker",$B875))+ISNUMBER(SEARCH("bank",$B875))+ISNUMBER(SEARCH("charge",$B875))+ISNUMBER(SEARCH("permit",$B875))+ISNUMBER(SEARCH("bir",$B875))+ISNUMBER(SEARCH("ltfrb",$B875))+ISNUMBER(SEARCH("misc",$B875))+ISNUMBER(SEARCH("fee",$B875))&gt;0,"Overhead","Overhead")))))))</f>
        <v/>
      </c>
      <c r="J875">
        <f>IF($A875="","",DATE(YEAR($A875),MONTH($A875),1))</f>
        <v/>
      </c>
      <c r="K875">
        <f>IF($B875="","",IF(COUNTIF(Setup!$A$99:$A$128,$B875)&gt;0,0,1))</f>
        <v/>
      </c>
      <c r="L875">
        <f>IF($B875="","",IF(ISNUMBER(SEARCH("advance",$B875)),"ADV",IF(OR(ISNUMBER(SEARCH("payout",$B875)),ISNUMBER(SEARCH("pay out",$B875)),ISNUMBER(SEARCH("release",$B875))),"PAY","")))</f>
        <v/>
      </c>
      <c r="M875">
        <f>IF($B875="","",IF(ISNUMBER(SEARCH("bulk",$B875)),0,IF(ISNUMBER(SEARCH("fuel",$B875))+ISNUMBER(SEARCH("diesel",$B875))+ISNUMBER(SEARCH("krudo",$B875))+ISNUMBER(SEARCH("gasolina",$B875))&gt;0,1,0)))</f>
        <v/>
      </c>
      <c r="N875">
        <f>IF($B875="","",IF(ISNUMBER(SEARCH("fuel",$B875))+ISNUMBER(SEARCH("diesel",$B875))+ISNUMBER(SEARCH("krudo",$B875))+ISNUMBER(SEARCH("gasolina",$B875))&gt;0,1,0))</f>
        <v/>
      </c>
    </row>
    <row r="876">
      <c r="A876" s="94" t="n"/>
      <c r="B876" s="96" t="n"/>
      <c r="C876" s="96" t="n"/>
      <c r="D876" s="95" t="n"/>
      <c r="E876" s="96" t="n"/>
      <c r="F876" s="99" t="n"/>
      <c r="G876" s="95" t="n"/>
      <c r="H876" s="95" t="n"/>
      <c r="I876" s="101">
        <f>IF($B876="","",IF(COUNTIF(Setup!$A$99:$A$128,$B876)&gt;0,IF(INDEX(Setup!$B$99:$B$128,MATCH($B876,Setup!$A$99:$A$128,0))="","Overhead",INDEX(Setup!$B$99:$B$128,MATCH($B876,Setup!$A$99:$A$128,0))),IF(ISNUMBER(SEARCH("advance",$B876))+ISNUMBER(SEARCH("payout",$B876))+ISNUMBER(SEARCH("pay out",$B876))+ISNUMBER(SEARCH("reimburs",$B876))&gt;0,"Transfer",IF(ISNUMBER(SEARCH("loan",$B876))+ISNUMBER(SEARCH("amort",$B876))+ISNUMBER(SEARCH("installment",$B876))+ISNUMBER(SEARCH("instalment",$B876))&gt;0,"Financing",IF(ISNUMBER(SEARCH("draw",$B876))+ISNUMBER(SEARCH("owner",$B876))+ISNUMBER(SEARCH("asset",$B876))+ISNUMBER(SEARCH("capital",$B876))&gt;0,"Other",IF(ISNUMBER(SEARCH("fuel",$B876))+ISNUMBER(SEARCH("diesel",$B876))+ISNUMBER(SEARCH("krudo",$B876))+ISNUMBER(SEARCH("gasolina",$B876))+ISNUMBER(SEARCH("toll",$B876))+ISNUMBER(SEARCH("parking",$B876))+ISNUMBER(SEARCH("repair",$B876))+ISNUMBER(SEARCH("maintenance",$B876))+ISNUMBER(SEARCH("tire",$B876))+ISNUMBER(SEARCH("tyre",$B876))+ISNUMBER(SEARCH("battery",$B876))+ISNUMBER(SEARCH("oil",$B876))+ISNUMBER(SEARCH("filter",$B876))+ISNUMBER(SEARCH("spare",$B876))+ISNUMBER(SEARCH("insurance",$B876))+ISNUMBER(SEARCH("lto",$B876))+ISNUMBER(SEARCH("registration",$B876))+ISNUMBER(SEARCH("emission",$B876))+ISNUMBER(SEARCH("wash",$B876))+ISNUMBER(SEARCH("weigh",$B876))+ISNUMBER(SEARCH("tarp",$B876))&gt;0,"Vehicle",IF(ISNUMBER(SEARCH("rent",$B876))+ISNUMBER(SEARCH("upa",$B876))+ISNUMBER(SEARCH("salary",$B876))+ISNUMBER(SEARCH("sweldo",$B876))+ISNUMBER(SEARCH("wage",$B876))+ISNUMBER(SEARCH("electric",$B876))+ISNUMBER(SEARCH("kuryente",$B876))+ISNUMBER(SEARCH("water",$B876))+ISNUMBER(SEARCH("tubig",$B876))+ISNUMBER(SEARCH("internet",$B876))+ISNUMBER(SEARCH("pldt",$B876))+ISNUMBER(SEARCH("meralco",$B876))+ISNUMBER(SEARCH("supplies",$B876))+ISNUMBER(SEARCH("office",$B876))+ISNUMBER(SEARCH("professional",$B876))+ISNUMBER(SEARCH("accountant",$B876))+ISNUMBER(SEARCH("lawyer",$B876))+ISNUMBER(SEARCH("broker",$B876))+ISNUMBER(SEARCH("bank",$B876))+ISNUMBER(SEARCH("charge",$B876))+ISNUMBER(SEARCH("permit",$B876))+ISNUMBER(SEARCH("bir",$B876))+ISNUMBER(SEARCH("ltfrb",$B876))+ISNUMBER(SEARCH("misc",$B876))+ISNUMBER(SEARCH("fee",$B876))&gt;0,"Overhead","Overhead")))))))</f>
        <v/>
      </c>
      <c r="J876">
        <f>IF($A876="","",DATE(YEAR($A876),MONTH($A876),1))</f>
        <v/>
      </c>
      <c r="K876">
        <f>IF($B876="","",IF(COUNTIF(Setup!$A$99:$A$128,$B876)&gt;0,0,1))</f>
        <v/>
      </c>
      <c r="L876">
        <f>IF($B876="","",IF(ISNUMBER(SEARCH("advance",$B876)),"ADV",IF(OR(ISNUMBER(SEARCH("payout",$B876)),ISNUMBER(SEARCH("pay out",$B876)),ISNUMBER(SEARCH("release",$B876))),"PAY","")))</f>
        <v/>
      </c>
      <c r="M876">
        <f>IF($B876="","",IF(ISNUMBER(SEARCH("bulk",$B876)),0,IF(ISNUMBER(SEARCH("fuel",$B876))+ISNUMBER(SEARCH("diesel",$B876))+ISNUMBER(SEARCH("krudo",$B876))+ISNUMBER(SEARCH("gasolina",$B876))&gt;0,1,0)))</f>
        <v/>
      </c>
      <c r="N876">
        <f>IF($B876="","",IF(ISNUMBER(SEARCH("fuel",$B876))+ISNUMBER(SEARCH("diesel",$B876))+ISNUMBER(SEARCH("krudo",$B876))+ISNUMBER(SEARCH("gasolina",$B876))&gt;0,1,0))</f>
        <v/>
      </c>
    </row>
    <row r="877">
      <c r="A877" s="86" t="n"/>
      <c r="B877" s="88" t="n"/>
      <c r="C877" s="88" t="n"/>
      <c r="D877" s="87" t="n"/>
      <c r="E877" s="88" t="n"/>
      <c r="F877" s="92" t="n"/>
      <c r="G877" s="87" t="n"/>
      <c r="H877" s="87" t="n"/>
      <c r="I877" s="101">
        <f>IF($B877="","",IF(COUNTIF(Setup!$A$99:$A$128,$B877)&gt;0,IF(INDEX(Setup!$B$99:$B$128,MATCH($B877,Setup!$A$99:$A$128,0))="","Overhead",INDEX(Setup!$B$99:$B$128,MATCH($B877,Setup!$A$99:$A$128,0))),IF(ISNUMBER(SEARCH("advance",$B877))+ISNUMBER(SEARCH("payout",$B877))+ISNUMBER(SEARCH("pay out",$B877))+ISNUMBER(SEARCH("reimburs",$B877))&gt;0,"Transfer",IF(ISNUMBER(SEARCH("loan",$B877))+ISNUMBER(SEARCH("amort",$B877))+ISNUMBER(SEARCH("installment",$B877))+ISNUMBER(SEARCH("instalment",$B877))&gt;0,"Financing",IF(ISNUMBER(SEARCH("draw",$B877))+ISNUMBER(SEARCH("owner",$B877))+ISNUMBER(SEARCH("asset",$B877))+ISNUMBER(SEARCH("capital",$B877))&gt;0,"Other",IF(ISNUMBER(SEARCH("fuel",$B877))+ISNUMBER(SEARCH("diesel",$B877))+ISNUMBER(SEARCH("krudo",$B877))+ISNUMBER(SEARCH("gasolina",$B877))+ISNUMBER(SEARCH("toll",$B877))+ISNUMBER(SEARCH("parking",$B877))+ISNUMBER(SEARCH("repair",$B877))+ISNUMBER(SEARCH("maintenance",$B877))+ISNUMBER(SEARCH("tire",$B877))+ISNUMBER(SEARCH("tyre",$B877))+ISNUMBER(SEARCH("battery",$B877))+ISNUMBER(SEARCH("oil",$B877))+ISNUMBER(SEARCH("filter",$B877))+ISNUMBER(SEARCH("spare",$B877))+ISNUMBER(SEARCH("insurance",$B877))+ISNUMBER(SEARCH("lto",$B877))+ISNUMBER(SEARCH("registration",$B877))+ISNUMBER(SEARCH("emission",$B877))+ISNUMBER(SEARCH("wash",$B877))+ISNUMBER(SEARCH("weigh",$B877))+ISNUMBER(SEARCH("tarp",$B877))&gt;0,"Vehicle",IF(ISNUMBER(SEARCH("rent",$B877))+ISNUMBER(SEARCH("upa",$B877))+ISNUMBER(SEARCH("salary",$B877))+ISNUMBER(SEARCH("sweldo",$B877))+ISNUMBER(SEARCH("wage",$B877))+ISNUMBER(SEARCH("electric",$B877))+ISNUMBER(SEARCH("kuryente",$B877))+ISNUMBER(SEARCH("water",$B877))+ISNUMBER(SEARCH("tubig",$B877))+ISNUMBER(SEARCH("internet",$B877))+ISNUMBER(SEARCH("pldt",$B877))+ISNUMBER(SEARCH("meralco",$B877))+ISNUMBER(SEARCH("supplies",$B877))+ISNUMBER(SEARCH("office",$B877))+ISNUMBER(SEARCH("professional",$B877))+ISNUMBER(SEARCH("accountant",$B877))+ISNUMBER(SEARCH("lawyer",$B877))+ISNUMBER(SEARCH("broker",$B877))+ISNUMBER(SEARCH("bank",$B877))+ISNUMBER(SEARCH("charge",$B877))+ISNUMBER(SEARCH("permit",$B877))+ISNUMBER(SEARCH("bir",$B877))+ISNUMBER(SEARCH("ltfrb",$B877))+ISNUMBER(SEARCH("misc",$B877))+ISNUMBER(SEARCH("fee",$B877))&gt;0,"Overhead","Overhead")))))))</f>
        <v/>
      </c>
      <c r="J877">
        <f>IF($A877="","",DATE(YEAR($A877),MONTH($A877),1))</f>
        <v/>
      </c>
      <c r="K877">
        <f>IF($B877="","",IF(COUNTIF(Setup!$A$99:$A$128,$B877)&gt;0,0,1))</f>
        <v/>
      </c>
      <c r="L877">
        <f>IF($B877="","",IF(ISNUMBER(SEARCH("advance",$B877)),"ADV",IF(OR(ISNUMBER(SEARCH("payout",$B877)),ISNUMBER(SEARCH("pay out",$B877)),ISNUMBER(SEARCH("release",$B877))),"PAY","")))</f>
        <v/>
      </c>
      <c r="M877">
        <f>IF($B877="","",IF(ISNUMBER(SEARCH("bulk",$B877)),0,IF(ISNUMBER(SEARCH("fuel",$B877))+ISNUMBER(SEARCH("diesel",$B877))+ISNUMBER(SEARCH("krudo",$B877))+ISNUMBER(SEARCH("gasolina",$B877))&gt;0,1,0)))</f>
        <v/>
      </c>
      <c r="N877">
        <f>IF($B877="","",IF(ISNUMBER(SEARCH("fuel",$B877))+ISNUMBER(SEARCH("diesel",$B877))+ISNUMBER(SEARCH("krudo",$B877))+ISNUMBER(SEARCH("gasolina",$B877))&gt;0,1,0))</f>
        <v/>
      </c>
    </row>
    <row r="878">
      <c r="A878" s="94" t="n"/>
      <c r="B878" s="96" t="n"/>
      <c r="C878" s="96" t="n"/>
      <c r="D878" s="95" t="n"/>
      <c r="E878" s="96" t="n"/>
      <c r="F878" s="99" t="n"/>
      <c r="G878" s="95" t="n"/>
      <c r="H878" s="95" t="n"/>
      <c r="I878" s="101">
        <f>IF($B878="","",IF(COUNTIF(Setup!$A$99:$A$128,$B878)&gt;0,IF(INDEX(Setup!$B$99:$B$128,MATCH($B878,Setup!$A$99:$A$128,0))="","Overhead",INDEX(Setup!$B$99:$B$128,MATCH($B878,Setup!$A$99:$A$128,0))),IF(ISNUMBER(SEARCH("advance",$B878))+ISNUMBER(SEARCH("payout",$B878))+ISNUMBER(SEARCH("pay out",$B878))+ISNUMBER(SEARCH("reimburs",$B878))&gt;0,"Transfer",IF(ISNUMBER(SEARCH("loan",$B878))+ISNUMBER(SEARCH("amort",$B878))+ISNUMBER(SEARCH("installment",$B878))+ISNUMBER(SEARCH("instalment",$B878))&gt;0,"Financing",IF(ISNUMBER(SEARCH("draw",$B878))+ISNUMBER(SEARCH("owner",$B878))+ISNUMBER(SEARCH("asset",$B878))+ISNUMBER(SEARCH("capital",$B878))&gt;0,"Other",IF(ISNUMBER(SEARCH("fuel",$B878))+ISNUMBER(SEARCH("diesel",$B878))+ISNUMBER(SEARCH("krudo",$B878))+ISNUMBER(SEARCH("gasolina",$B878))+ISNUMBER(SEARCH("toll",$B878))+ISNUMBER(SEARCH("parking",$B878))+ISNUMBER(SEARCH("repair",$B878))+ISNUMBER(SEARCH("maintenance",$B878))+ISNUMBER(SEARCH("tire",$B878))+ISNUMBER(SEARCH("tyre",$B878))+ISNUMBER(SEARCH("battery",$B878))+ISNUMBER(SEARCH("oil",$B878))+ISNUMBER(SEARCH("filter",$B878))+ISNUMBER(SEARCH("spare",$B878))+ISNUMBER(SEARCH("insurance",$B878))+ISNUMBER(SEARCH("lto",$B878))+ISNUMBER(SEARCH("registration",$B878))+ISNUMBER(SEARCH("emission",$B878))+ISNUMBER(SEARCH("wash",$B878))+ISNUMBER(SEARCH("weigh",$B878))+ISNUMBER(SEARCH("tarp",$B878))&gt;0,"Vehicle",IF(ISNUMBER(SEARCH("rent",$B878))+ISNUMBER(SEARCH("upa",$B878))+ISNUMBER(SEARCH("salary",$B878))+ISNUMBER(SEARCH("sweldo",$B878))+ISNUMBER(SEARCH("wage",$B878))+ISNUMBER(SEARCH("electric",$B878))+ISNUMBER(SEARCH("kuryente",$B878))+ISNUMBER(SEARCH("water",$B878))+ISNUMBER(SEARCH("tubig",$B878))+ISNUMBER(SEARCH("internet",$B878))+ISNUMBER(SEARCH("pldt",$B878))+ISNUMBER(SEARCH("meralco",$B878))+ISNUMBER(SEARCH("supplies",$B878))+ISNUMBER(SEARCH("office",$B878))+ISNUMBER(SEARCH("professional",$B878))+ISNUMBER(SEARCH("accountant",$B878))+ISNUMBER(SEARCH("lawyer",$B878))+ISNUMBER(SEARCH("broker",$B878))+ISNUMBER(SEARCH("bank",$B878))+ISNUMBER(SEARCH("charge",$B878))+ISNUMBER(SEARCH("permit",$B878))+ISNUMBER(SEARCH("bir",$B878))+ISNUMBER(SEARCH("ltfrb",$B878))+ISNUMBER(SEARCH("misc",$B878))+ISNUMBER(SEARCH("fee",$B878))&gt;0,"Overhead","Overhead")))))))</f>
        <v/>
      </c>
      <c r="J878">
        <f>IF($A878="","",DATE(YEAR($A878),MONTH($A878),1))</f>
        <v/>
      </c>
      <c r="K878">
        <f>IF($B878="","",IF(COUNTIF(Setup!$A$99:$A$128,$B878)&gt;0,0,1))</f>
        <v/>
      </c>
      <c r="L878">
        <f>IF($B878="","",IF(ISNUMBER(SEARCH("advance",$B878)),"ADV",IF(OR(ISNUMBER(SEARCH("payout",$B878)),ISNUMBER(SEARCH("pay out",$B878)),ISNUMBER(SEARCH("release",$B878))),"PAY","")))</f>
        <v/>
      </c>
      <c r="M878">
        <f>IF($B878="","",IF(ISNUMBER(SEARCH("bulk",$B878)),0,IF(ISNUMBER(SEARCH("fuel",$B878))+ISNUMBER(SEARCH("diesel",$B878))+ISNUMBER(SEARCH("krudo",$B878))+ISNUMBER(SEARCH("gasolina",$B878))&gt;0,1,0)))</f>
        <v/>
      </c>
      <c r="N878">
        <f>IF($B878="","",IF(ISNUMBER(SEARCH("fuel",$B878))+ISNUMBER(SEARCH("diesel",$B878))+ISNUMBER(SEARCH("krudo",$B878))+ISNUMBER(SEARCH("gasolina",$B878))&gt;0,1,0))</f>
        <v/>
      </c>
    </row>
    <row r="879">
      <c r="A879" s="86" t="n"/>
      <c r="B879" s="88" t="n"/>
      <c r="C879" s="88" t="n"/>
      <c r="D879" s="87" t="n"/>
      <c r="E879" s="88" t="n"/>
      <c r="F879" s="92" t="n"/>
      <c r="G879" s="87" t="n"/>
      <c r="H879" s="87" t="n"/>
      <c r="I879" s="101">
        <f>IF($B879="","",IF(COUNTIF(Setup!$A$99:$A$128,$B879)&gt;0,IF(INDEX(Setup!$B$99:$B$128,MATCH($B879,Setup!$A$99:$A$128,0))="","Overhead",INDEX(Setup!$B$99:$B$128,MATCH($B879,Setup!$A$99:$A$128,0))),IF(ISNUMBER(SEARCH("advance",$B879))+ISNUMBER(SEARCH("payout",$B879))+ISNUMBER(SEARCH("pay out",$B879))+ISNUMBER(SEARCH("reimburs",$B879))&gt;0,"Transfer",IF(ISNUMBER(SEARCH("loan",$B879))+ISNUMBER(SEARCH("amort",$B879))+ISNUMBER(SEARCH("installment",$B879))+ISNUMBER(SEARCH("instalment",$B879))&gt;0,"Financing",IF(ISNUMBER(SEARCH("draw",$B879))+ISNUMBER(SEARCH("owner",$B879))+ISNUMBER(SEARCH("asset",$B879))+ISNUMBER(SEARCH("capital",$B879))&gt;0,"Other",IF(ISNUMBER(SEARCH("fuel",$B879))+ISNUMBER(SEARCH("diesel",$B879))+ISNUMBER(SEARCH("krudo",$B879))+ISNUMBER(SEARCH("gasolina",$B879))+ISNUMBER(SEARCH("toll",$B879))+ISNUMBER(SEARCH("parking",$B879))+ISNUMBER(SEARCH("repair",$B879))+ISNUMBER(SEARCH("maintenance",$B879))+ISNUMBER(SEARCH("tire",$B879))+ISNUMBER(SEARCH("tyre",$B879))+ISNUMBER(SEARCH("battery",$B879))+ISNUMBER(SEARCH("oil",$B879))+ISNUMBER(SEARCH("filter",$B879))+ISNUMBER(SEARCH("spare",$B879))+ISNUMBER(SEARCH("insurance",$B879))+ISNUMBER(SEARCH("lto",$B879))+ISNUMBER(SEARCH("registration",$B879))+ISNUMBER(SEARCH("emission",$B879))+ISNUMBER(SEARCH("wash",$B879))+ISNUMBER(SEARCH("weigh",$B879))+ISNUMBER(SEARCH("tarp",$B879))&gt;0,"Vehicle",IF(ISNUMBER(SEARCH("rent",$B879))+ISNUMBER(SEARCH("upa",$B879))+ISNUMBER(SEARCH("salary",$B879))+ISNUMBER(SEARCH("sweldo",$B879))+ISNUMBER(SEARCH("wage",$B879))+ISNUMBER(SEARCH("electric",$B879))+ISNUMBER(SEARCH("kuryente",$B879))+ISNUMBER(SEARCH("water",$B879))+ISNUMBER(SEARCH("tubig",$B879))+ISNUMBER(SEARCH("internet",$B879))+ISNUMBER(SEARCH("pldt",$B879))+ISNUMBER(SEARCH("meralco",$B879))+ISNUMBER(SEARCH("supplies",$B879))+ISNUMBER(SEARCH("office",$B879))+ISNUMBER(SEARCH("professional",$B879))+ISNUMBER(SEARCH("accountant",$B879))+ISNUMBER(SEARCH("lawyer",$B879))+ISNUMBER(SEARCH("broker",$B879))+ISNUMBER(SEARCH("bank",$B879))+ISNUMBER(SEARCH("charge",$B879))+ISNUMBER(SEARCH("permit",$B879))+ISNUMBER(SEARCH("bir",$B879))+ISNUMBER(SEARCH("ltfrb",$B879))+ISNUMBER(SEARCH("misc",$B879))+ISNUMBER(SEARCH("fee",$B879))&gt;0,"Overhead","Overhead")))))))</f>
        <v/>
      </c>
      <c r="J879">
        <f>IF($A879="","",DATE(YEAR($A879),MONTH($A879),1))</f>
        <v/>
      </c>
      <c r="K879">
        <f>IF($B879="","",IF(COUNTIF(Setup!$A$99:$A$128,$B879)&gt;0,0,1))</f>
        <v/>
      </c>
      <c r="L879">
        <f>IF($B879="","",IF(ISNUMBER(SEARCH("advance",$B879)),"ADV",IF(OR(ISNUMBER(SEARCH("payout",$B879)),ISNUMBER(SEARCH("pay out",$B879)),ISNUMBER(SEARCH("release",$B879))),"PAY","")))</f>
        <v/>
      </c>
      <c r="M879">
        <f>IF($B879="","",IF(ISNUMBER(SEARCH("bulk",$B879)),0,IF(ISNUMBER(SEARCH("fuel",$B879))+ISNUMBER(SEARCH("diesel",$B879))+ISNUMBER(SEARCH("krudo",$B879))+ISNUMBER(SEARCH("gasolina",$B879))&gt;0,1,0)))</f>
        <v/>
      </c>
      <c r="N879">
        <f>IF($B879="","",IF(ISNUMBER(SEARCH("fuel",$B879))+ISNUMBER(SEARCH("diesel",$B879))+ISNUMBER(SEARCH("krudo",$B879))+ISNUMBER(SEARCH("gasolina",$B879))&gt;0,1,0))</f>
        <v/>
      </c>
    </row>
    <row r="880">
      <c r="A880" s="94" t="n"/>
      <c r="B880" s="96" t="n"/>
      <c r="C880" s="96" t="n"/>
      <c r="D880" s="95" t="n"/>
      <c r="E880" s="96" t="n"/>
      <c r="F880" s="99" t="n"/>
      <c r="G880" s="95" t="n"/>
      <c r="H880" s="95" t="n"/>
      <c r="I880" s="101">
        <f>IF($B880="","",IF(COUNTIF(Setup!$A$99:$A$128,$B880)&gt;0,IF(INDEX(Setup!$B$99:$B$128,MATCH($B880,Setup!$A$99:$A$128,0))="","Overhead",INDEX(Setup!$B$99:$B$128,MATCH($B880,Setup!$A$99:$A$128,0))),IF(ISNUMBER(SEARCH("advance",$B880))+ISNUMBER(SEARCH("payout",$B880))+ISNUMBER(SEARCH("pay out",$B880))+ISNUMBER(SEARCH("reimburs",$B880))&gt;0,"Transfer",IF(ISNUMBER(SEARCH("loan",$B880))+ISNUMBER(SEARCH("amort",$B880))+ISNUMBER(SEARCH("installment",$B880))+ISNUMBER(SEARCH("instalment",$B880))&gt;0,"Financing",IF(ISNUMBER(SEARCH("draw",$B880))+ISNUMBER(SEARCH("owner",$B880))+ISNUMBER(SEARCH("asset",$B880))+ISNUMBER(SEARCH("capital",$B880))&gt;0,"Other",IF(ISNUMBER(SEARCH("fuel",$B880))+ISNUMBER(SEARCH("diesel",$B880))+ISNUMBER(SEARCH("krudo",$B880))+ISNUMBER(SEARCH("gasolina",$B880))+ISNUMBER(SEARCH("toll",$B880))+ISNUMBER(SEARCH("parking",$B880))+ISNUMBER(SEARCH("repair",$B880))+ISNUMBER(SEARCH("maintenance",$B880))+ISNUMBER(SEARCH("tire",$B880))+ISNUMBER(SEARCH("tyre",$B880))+ISNUMBER(SEARCH("battery",$B880))+ISNUMBER(SEARCH("oil",$B880))+ISNUMBER(SEARCH("filter",$B880))+ISNUMBER(SEARCH("spare",$B880))+ISNUMBER(SEARCH("insurance",$B880))+ISNUMBER(SEARCH("lto",$B880))+ISNUMBER(SEARCH("registration",$B880))+ISNUMBER(SEARCH("emission",$B880))+ISNUMBER(SEARCH("wash",$B880))+ISNUMBER(SEARCH("weigh",$B880))+ISNUMBER(SEARCH("tarp",$B880))&gt;0,"Vehicle",IF(ISNUMBER(SEARCH("rent",$B880))+ISNUMBER(SEARCH("upa",$B880))+ISNUMBER(SEARCH("salary",$B880))+ISNUMBER(SEARCH("sweldo",$B880))+ISNUMBER(SEARCH("wage",$B880))+ISNUMBER(SEARCH("electric",$B880))+ISNUMBER(SEARCH("kuryente",$B880))+ISNUMBER(SEARCH("water",$B880))+ISNUMBER(SEARCH("tubig",$B880))+ISNUMBER(SEARCH("internet",$B880))+ISNUMBER(SEARCH("pldt",$B880))+ISNUMBER(SEARCH("meralco",$B880))+ISNUMBER(SEARCH("supplies",$B880))+ISNUMBER(SEARCH("office",$B880))+ISNUMBER(SEARCH("professional",$B880))+ISNUMBER(SEARCH("accountant",$B880))+ISNUMBER(SEARCH("lawyer",$B880))+ISNUMBER(SEARCH("broker",$B880))+ISNUMBER(SEARCH("bank",$B880))+ISNUMBER(SEARCH("charge",$B880))+ISNUMBER(SEARCH("permit",$B880))+ISNUMBER(SEARCH("bir",$B880))+ISNUMBER(SEARCH("ltfrb",$B880))+ISNUMBER(SEARCH("misc",$B880))+ISNUMBER(SEARCH("fee",$B880))&gt;0,"Overhead","Overhead")))))))</f>
        <v/>
      </c>
      <c r="J880">
        <f>IF($A880="","",DATE(YEAR($A880),MONTH($A880),1))</f>
        <v/>
      </c>
      <c r="K880">
        <f>IF($B880="","",IF(COUNTIF(Setup!$A$99:$A$128,$B880)&gt;0,0,1))</f>
        <v/>
      </c>
      <c r="L880">
        <f>IF($B880="","",IF(ISNUMBER(SEARCH("advance",$B880)),"ADV",IF(OR(ISNUMBER(SEARCH("payout",$B880)),ISNUMBER(SEARCH("pay out",$B880)),ISNUMBER(SEARCH("release",$B880))),"PAY","")))</f>
        <v/>
      </c>
      <c r="M880">
        <f>IF($B880="","",IF(ISNUMBER(SEARCH("bulk",$B880)),0,IF(ISNUMBER(SEARCH("fuel",$B880))+ISNUMBER(SEARCH("diesel",$B880))+ISNUMBER(SEARCH("krudo",$B880))+ISNUMBER(SEARCH("gasolina",$B880))&gt;0,1,0)))</f>
        <v/>
      </c>
      <c r="N880">
        <f>IF($B880="","",IF(ISNUMBER(SEARCH("fuel",$B880))+ISNUMBER(SEARCH("diesel",$B880))+ISNUMBER(SEARCH("krudo",$B880))+ISNUMBER(SEARCH("gasolina",$B880))&gt;0,1,0))</f>
        <v/>
      </c>
    </row>
    <row r="881">
      <c r="A881" s="86" t="n"/>
      <c r="B881" s="88" t="n"/>
      <c r="C881" s="88" t="n"/>
      <c r="D881" s="87" t="n"/>
      <c r="E881" s="88" t="n"/>
      <c r="F881" s="92" t="n"/>
      <c r="G881" s="87" t="n"/>
      <c r="H881" s="87" t="n"/>
      <c r="I881" s="101">
        <f>IF($B881="","",IF(COUNTIF(Setup!$A$99:$A$128,$B881)&gt;0,IF(INDEX(Setup!$B$99:$B$128,MATCH($B881,Setup!$A$99:$A$128,0))="","Overhead",INDEX(Setup!$B$99:$B$128,MATCH($B881,Setup!$A$99:$A$128,0))),IF(ISNUMBER(SEARCH("advance",$B881))+ISNUMBER(SEARCH("payout",$B881))+ISNUMBER(SEARCH("pay out",$B881))+ISNUMBER(SEARCH("reimburs",$B881))&gt;0,"Transfer",IF(ISNUMBER(SEARCH("loan",$B881))+ISNUMBER(SEARCH("amort",$B881))+ISNUMBER(SEARCH("installment",$B881))+ISNUMBER(SEARCH("instalment",$B881))&gt;0,"Financing",IF(ISNUMBER(SEARCH("draw",$B881))+ISNUMBER(SEARCH("owner",$B881))+ISNUMBER(SEARCH("asset",$B881))+ISNUMBER(SEARCH("capital",$B881))&gt;0,"Other",IF(ISNUMBER(SEARCH("fuel",$B881))+ISNUMBER(SEARCH("diesel",$B881))+ISNUMBER(SEARCH("krudo",$B881))+ISNUMBER(SEARCH("gasolina",$B881))+ISNUMBER(SEARCH("toll",$B881))+ISNUMBER(SEARCH("parking",$B881))+ISNUMBER(SEARCH("repair",$B881))+ISNUMBER(SEARCH("maintenance",$B881))+ISNUMBER(SEARCH("tire",$B881))+ISNUMBER(SEARCH("tyre",$B881))+ISNUMBER(SEARCH("battery",$B881))+ISNUMBER(SEARCH("oil",$B881))+ISNUMBER(SEARCH("filter",$B881))+ISNUMBER(SEARCH("spare",$B881))+ISNUMBER(SEARCH("insurance",$B881))+ISNUMBER(SEARCH("lto",$B881))+ISNUMBER(SEARCH("registration",$B881))+ISNUMBER(SEARCH("emission",$B881))+ISNUMBER(SEARCH("wash",$B881))+ISNUMBER(SEARCH("weigh",$B881))+ISNUMBER(SEARCH("tarp",$B881))&gt;0,"Vehicle",IF(ISNUMBER(SEARCH("rent",$B881))+ISNUMBER(SEARCH("upa",$B881))+ISNUMBER(SEARCH("salary",$B881))+ISNUMBER(SEARCH("sweldo",$B881))+ISNUMBER(SEARCH("wage",$B881))+ISNUMBER(SEARCH("electric",$B881))+ISNUMBER(SEARCH("kuryente",$B881))+ISNUMBER(SEARCH("water",$B881))+ISNUMBER(SEARCH("tubig",$B881))+ISNUMBER(SEARCH("internet",$B881))+ISNUMBER(SEARCH("pldt",$B881))+ISNUMBER(SEARCH("meralco",$B881))+ISNUMBER(SEARCH("supplies",$B881))+ISNUMBER(SEARCH("office",$B881))+ISNUMBER(SEARCH("professional",$B881))+ISNUMBER(SEARCH("accountant",$B881))+ISNUMBER(SEARCH("lawyer",$B881))+ISNUMBER(SEARCH("broker",$B881))+ISNUMBER(SEARCH("bank",$B881))+ISNUMBER(SEARCH("charge",$B881))+ISNUMBER(SEARCH("permit",$B881))+ISNUMBER(SEARCH("bir",$B881))+ISNUMBER(SEARCH("ltfrb",$B881))+ISNUMBER(SEARCH("misc",$B881))+ISNUMBER(SEARCH("fee",$B881))&gt;0,"Overhead","Overhead")))))))</f>
        <v/>
      </c>
      <c r="J881">
        <f>IF($A881="","",DATE(YEAR($A881),MONTH($A881),1))</f>
        <v/>
      </c>
      <c r="K881">
        <f>IF($B881="","",IF(COUNTIF(Setup!$A$99:$A$128,$B881)&gt;0,0,1))</f>
        <v/>
      </c>
      <c r="L881">
        <f>IF($B881="","",IF(ISNUMBER(SEARCH("advance",$B881)),"ADV",IF(OR(ISNUMBER(SEARCH("payout",$B881)),ISNUMBER(SEARCH("pay out",$B881)),ISNUMBER(SEARCH("release",$B881))),"PAY","")))</f>
        <v/>
      </c>
      <c r="M881">
        <f>IF($B881="","",IF(ISNUMBER(SEARCH("bulk",$B881)),0,IF(ISNUMBER(SEARCH("fuel",$B881))+ISNUMBER(SEARCH("diesel",$B881))+ISNUMBER(SEARCH("krudo",$B881))+ISNUMBER(SEARCH("gasolina",$B881))&gt;0,1,0)))</f>
        <v/>
      </c>
      <c r="N881">
        <f>IF($B881="","",IF(ISNUMBER(SEARCH("fuel",$B881))+ISNUMBER(SEARCH("diesel",$B881))+ISNUMBER(SEARCH("krudo",$B881))+ISNUMBER(SEARCH("gasolina",$B881))&gt;0,1,0))</f>
        <v/>
      </c>
    </row>
    <row r="882">
      <c r="A882" s="94" t="n"/>
      <c r="B882" s="96" t="n"/>
      <c r="C882" s="96" t="n"/>
      <c r="D882" s="95" t="n"/>
      <c r="E882" s="96" t="n"/>
      <c r="F882" s="99" t="n"/>
      <c r="G882" s="95" t="n"/>
      <c r="H882" s="95" t="n"/>
      <c r="I882" s="101">
        <f>IF($B882="","",IF(COUNTIF(Setup!$A$99:$A$128,$B882)&gt;0,IF(INDEX(Setup!$B$99:$B$128,MATCH($B882,Setup!$A$99:$A$128,0))="","Overhead",INDEX(Setup!$B$99:$B$128,MATCH($B882,Setup!$A$99:$A$128,0))),IF(ISNUMBER(SEARCH("advance",$B882))+ISNUMBER(SEARCH("payout",$B882))+ISNUMBER(SEARCH("pay out",$B882))+ISNUMBER(SEARCH("reimburs",$B882))&gt;0,"Transfer",IF(ISNUMBER(SEARCH("loan",$B882))+ISNUMBER(SEARCH("amort",$B882))+ISNUMBER(SEARCH("installment",$B882))+ISNUMBER(SEARCH("instalment",$B882))&gt;0,"Financing",IF(ISNUMBER(SEARCH("draw",$B882))+ISNUMBER(SEARCH("owner",$B882))+ISNUMBER(SEARCH("asset",$B882))+ISNUMBER(SEARCH("capital",$B882))&gt;0,"Other",IF(ISNUMBER(SEARCH("fuel",$B882))+ISNUMBER(SEARCH("diesel",$B882))+ISNUMBER(SEARCH("krudo",$B882))+ISNUMBER(SEARCH("gasolina",$B882))+ISNUMBER(SEARCH("toll",$B882))+ISNUMBER(SEARCH("parking",$B882))+ISNUMBER(SEARCH("repair",$B882))+ISNUMBER(SEARCH("maintenance",$B882))+ISNUMBER(SEARCH("tire",$B882))+ISNUMBER(SEARCH("tyre",$B882))+ISNUMBER(SEARCH("battery",$B882))+ISNUMBER(SEARCH("oil",$B882))+ISNUMBER(SEARCH("filter",$B882))+ISNUMBER(SEARCH("spare",$B882))+ISNUMBER(SEARCH("insurance",$B882))+ISNUMBER(SEARCH("lto",$B882))+ISNUMBER(SEARCH("registration",$B882))+ISNUMBER(SEARCH("emission",$B882))+ISNUMBER(SEARCH("wash",$B882))+ISNUMBER(SEARCH("weigh",$B882))+ISNUMBER(SEARCH("tarp",$B882))&gt;0,"Vehicle",IF(ISNUMBER(SEARCH("rent",$B882))+ISNUMBER(SEARCH("upa",$B882))+ISNUMBER(SEARCH("salary",$B882))+ISNUMBER(SEARCH("sweldo",$B882))+ISNUMBER(SEARCH("wage",$B882))+ISNUMBER(SEARCH("electric",$B882))+ISNUMBER(SEARCH("kuryente",$B882))+ISNUMBER(SEARCH("water",$B882))+ISNUMBER(SEARCH("tubig",$B882))+ISNUMBER(SEARCH("internet",$B882))+ISNUMBER(SEARCH("pldt",$B882))+ISNUMBER(SEARCH("meralco",$B882))+ISNUMBER(SEARCH("supplies",$B882))+ISNUMBER(SEARCH("office",$B882))+ISNUMBER(SEARCH("professional",$B882))+ISNUMBER(SEARCH("accountant",$B882))+ISNUMBER(SEARCH("lawyer",$B882))+ISNUMBER(SEARCH("broker",$B882))+ISNUMBER(SEARCH("bank",$B882))+ISNUMBER(SEARCH("charge",$B882))+ISNUMBER(SEARCH("permit",$B882))+ISNUMBER(SEARCH("bir",$B882))+ISNUMBER(SEARCH("ltfrb",$B882))+ISNUMBER(SEARCH("misc",$B882))+ISNUMBER(SEARCH("fee",$B882))&gt;0,"Overhead","Overhead")))))))</f>
        <v/>
      </c>
      <c r="J882">
        <f>IF($A882="","",DATE(YEAR($A882),MONTH($A882),1))</f>
        <v/>
      </c>
      <c r="K882">
        <f>IF($B882="","",IF(COUNTIF(Setup!$A$99:$A$128,$B882)&gt;0,0,1))</f>
        <v/>
      </c>
      <c r="L882">
        <f>IF($B882="","",IF(ISNUMBER(SEARCH("advance",$B882)),"ADV",IF(OR(ISNUMBER(SEARCH("payout",$B882)),ISNUMBER(SEARCH("pay out",$B882)),ISNUMBER(SEARCH("release",$B882))),"PAY","")))</f>
        <v/>
      </c>
      <c r="M882">
        <f>IF($B882="","",IF(ISNUMBER(SEARCH("bulk",$B882)),0,IF(ISNUMBER(SEARCH("fuel",$B882))+ISNUMBER(SEARCH("diesel",$B882))+ISNUMBER(SEARCH("krudo",$B882))+ISNUMBER(SEARCH("gasolina",$B882))&gt;0,1,0)))</f>
        <v/>
      </c>
      <c r="N882">
        <f>IF($B882="","",IF(ISNUMBER(SEARCH("fuel",$B882))+ISNUMBER(SEARCH("diesel",$B882))+ISNUMBER(SEARCH("krudo",$B882))+ISNUMBER(SEARCH("gasolina",$B882))&gt;0,1,0))</f>
        <v/>
      </c>
    </row>
    <row r="883">
      <c r="A883" s="86" t="n"/>
      <c r="B883" s="88" t="n"/>
      <c r="C883" s="88" t="n"/>
      <c r="D883" s="87" t="n"/>
      <c r="E883" s="88" t="n"/>
      <c r="F883" s="92" t="n"/>
      <c r="G883" s="87" t="n"/>
      <c r="H883" s="87" t="n"/>
      <c r="I883" s="101">
        <f>IF($B883="","",IF(COUNTIF(Setup!$A$99:$A$128,$B883)&gt;0,IF(INDEX(Setup!$B$99:$B$128,MATCH($B883,Setup!$A$99:$A$128,0))="","Overhead",INDEX(Setup!$B$99:$B$128,MATCH($B883,Setup!$A$99:$A$128,0))),IF(ISNUMBER(SEARCH("advance",$B883))+ISNUMBER(SEARCH("payout",$B883))+ISNUMBER(SEARCH("pay out",$B883))+ISNUMBER(SEARCH("reimburs",$B883))&gt;0,"Transfer",IF(ISNUMBER(SEARCH("loan",$B883))+ISNUMBER(SEARCH("amort",$B883))+ISNUMBER(SEARCH("installment",$B883))+ISNUMBER(SEARCH("instalment",$B883))&gt;0,"Financing",IF(ISNUMBER(SEARCH("draw",$B883))+ISNUMBER(SEARCH("owner",$B883))+ISNUMBER(SEARCH("asset",$B883))+ISNUMBER(SEARCH("capital",$B883))&gt;0,"Other",IF(ISNUMBER(SEARCH("fuel",$B883))+ISNUMBER(SEARCH("diesel",$B883))+ISNUMBER(SEARCH("krudo",$B883))+ISNUMBER(SEARCH("gasolina",$B883))+ISNUMBER(SEARCH("toll",$B883))+ISNUMBER(SEARCH("parking",$B883))+ISNUMBER(SEARCH("repair",$B883))+ISNUMBER(SEARCH("maintenance",$B883))+ISNUMBER(SEARCH("tire",$B883))+ISNUMBER(SEARCH("tyre",$B883))+ISNUMBER(SEARCH("battery",$B883))+ISNUMBER(SEARCH("oil",$B883))+ISNUMBER(SEARCH("filter",$B883))+ISNUMBER(SEARCH("spare",$B883))+ISNUMBER(SEARCH("insurance",$B883))+ISNUMBER(SEARCH("lto",$B883))+ISNUMBER(SEARCH("registration",$B883))+ISNUMBER(SEARCH("emission",$B883))+ISNUMBER(SEARCH("wash",$B883))+ISNUMBER(SEARCH("weigh",$B883))+ISNUMBER(SEARCH("tarp",$B883))&gt;0,"Vehicle",IF(ISNUMBER(SEARCH("rent",$B883))+ISNUMBER(SEARCH("upa",$B883))+ISNUMBER(SEARCH("salary",$B883))+ISNUMBER(SEARCH("sweldo",$B883))+ISNUMBER(SEARCH("wage",$B883))+ISNUMBER(SEARCH("electric",$B883))+ISNUMBER(SEARCH("kuryente",$B883))+ISNUMBER(SEARCH("water",$B883))+ISNUMBER(SEARCH("tubig",$B883))+ISNUMBER(SEARCH("internet",$B883))+ISNUMBER(SEARCH("pldt",$B883))+ISNUMBER(SEARCH("meralco",$B883))+ISNUMBER(SEARCH("supplies",$B883))+ISNUMBER(SEARCH("office",$B883))+ISNUMBER(SEARCH("professional",$B883))+ISNUMBER(SEARCH("accountant",$B883))+ISNUMBER(SEARCH("lawyer",$B883))+ISNUMBER(SEARCH("broker",$B883))+ISNUMBER(SEARCH("bank",$B883))+ISNUMBER(SEARCH("charge",$B883))+ISNUMBER(SEARCH("permit",$B883))+ISNUMBER(SEARCH("bir",$B883))+ISNUMBER(SEARCH("ltfrb",$B883))+ISNUMBER(SEARCH("misc",$B883))+ISNUMBER(SEARCH("fee",$B883))&gt;0,"Overhead","Overhead")))))))</f>
        <v/>
      </c>
      <c r="J883">
        <f>IF($A883="","",DATE(YEAR($A883),MONTH($A883),1))</f>
        <v/>
      </c>
      <c r="K883">
        <f>IF($B883="","",IF(COUNTIF(Setup!$A$99:$A$128,$B883)&gt;0,0,1))</f>
        <v/>
      </c>
      <c r="L883">
        <f>IF($B883="","",IF(ISNUMBER(SEARCH("advance",$B883)),"ADV",IF(OR(ISNUMBER(SEARCH("payout",$B883)),ISNUMBER(SEARCH("pay out",$B883)),ISNUMBER(SEARCH("release",$B883))),"PAY","")))</f>
        <v/>
      </c>
      <c r="M883">
        <f>IF($B883="","",IF(ISNUMBER(SEARCH("bulk",$B883)),0,IF(ISNUMBER(SEARCH("fuel",$B883))+ISNUMBER(SEARCH("diesel",$B883))+ISNUMBER(SEARCH("krudo",$B883))+ISNUMBER(SEARCH("gasolina",$B883))&gt;0,1,0)))</f>
        <v/>
      </c>
      <c r="N883">
        <f>IF($B883="","",IF(ISNUMBER(SEARCH("fuel",$B883))+ISNUMBER(SEARCH("diesel",$B883))+ISNUMBER(SEARCH("krudo",$B883))+ISNUMBER(SEARCH("gasolina",$B883))&gt;0,1,0))</f>
        <v/>
      </c>
    </row>
    <row r="884">
      <c r="A884" s="94" t="n"/>
      <c r="B884" s="96" t="n"/>
      <c r="C884" s="96" t="n"/>
      <c r="D884" s="95" t="n"/>
      <c r="E884" s="96" t="n"/>
      <c r="F884" s="99" t="n"/>
      <c r="G884" s="95" t="n"/>
      <c r="H884" s="95" t="n"/>
      <c r="I884" s="101">
        <f>IF($B884="","",IF(COUNTIF(Setup!$A$99:$A$128,$B884)&gt;0,IF(INDEX(Setup!$B$99:$B$128,MATCH($B884,Setup!$A$99:$A$128,0))="","Overhead",INDEX(Setup!$B$99:$B$128,MATCH($B884,Setup!$A$99:$A$128,0))),IF(ISNUMBER(SEARCH("advance",$B884))+ISNUMBER(SEARCH("payout",$B884))+ISNUMBER(SEARCH("pay out",$B884))+ISNUMBER(SEARCH("reimburs",$B884))&gt;0,"Transfer",IF(ISNUMBER(SEARCH("loan",$B884))+ISNUMBER(SEARCH("amort",$B884))+ISNUMBER(SEARCH("installment",$B884))+ISNUMBER(SEARCH("instalment",$B884))&gt;0,"Financing",IF(ISNUMBER(SEARCH("draw",$B884))+ISNUMBER(SEARCH("owner",$B884))+ISNUMBER(SEARCH("asset",$B884))+ISNUMBER(SEARCH("capital",$B884))&gt;0,"Other",IF(ISNUMBER(SEARCH("fuel",$B884))+ISNUMBER(SEARCH("diesel",$B884))+ISNUMBER(SEARCH("krudo",$B884))+ISNUMBER(SEARCH("gasolina",$B884))+ISNUMBER(SEARCH("toll",$B884))+ISNUMBER(SEARCH("parking",$B884))+ISNUMBER(SEARCH("repair",$B884))+ISNUMBER(SEARCH("maintenance",$B884))+ISNUMBER(SEARCH("tire",$B884))+ISNUMBER(SEARCH("tyre",$B884))+ISNUMBER(SEARCH("battery",$B884))+ISNUMBER(SEARCH("oil",$B884))+ISNUMBER(SEARCH("filter",$B884))+ISNUMBER(SEARCH("spare",$B884))+ISNUMBER(SEARCH("insurance",$B884))+ISNUMBER(SEARCH("lto",$B884))+ISNUMBER(SEARCH("registration",$B884))+ISNUMBER(SEARCH("emission",$B884))+ISNUMBER(SEARCH("wash",$B884))+ISNUMBER(SEARCH("weigh",$B884))+ISNUMBER(SEARCH("tarp",$B884))&gt;0,"Vehicle",IF(ISNUMBER(SEARCH("rent",$B884))+ISNUMBER(SEARCH("upa",$B884))+ISNUMBER(SEARCH("salary",$B884))+ISNUMBER(SEARCH("sweldo",$B884))+ISNUMBER(SEARCH("wage",$B884))+ISNUMBER(SEARCH("electric",$B884))+ISNUMBER(SEARCH("kuryente",$B884))+ISNUMBER(SEARCH("water",$B884))+ISNUMBER(SEARCH("tubig",$B884))+ISNUMBER(SEARCH("internet",$B884))+ISNUMBER(SEARCH("pldt",$B884))+ISNUMBER(SEARCH("meralco",$B884))+ISNUMBER(SEARCH("supplies",$B884))+ISNUMBER(SEARCH("office",$B884))+ISNUMBER(SEARCH("professional",$B884))+ISNUMBER(SEARCH("accountant",$B884))+ISNUMBER(SEARCH("lawyer",$B884))+ISNUMBER(SEARCH("broker",$B884))+ISNUMBER(SEARCH("bank",$B884))+ISNUMBER(SEARCH("charge",$B884))+ISNUMBER(SEARCH("permit",$B884))+ISNUMBER(SEARCH("bir",$B884))+ISNUMBER(SEARCH("ltfrb",$B884))+ISNUMBER(SEARCH("misc",$B884))+ISNUMBER(SEARCH("fee",$B884))&gt;0,"Overhead","Overhead")))))))</f>
        <v/>
      </c>
      <c r="J884">
        <f>IF($A884="","",DATE(YEAR($A884),MONTH($A884),1))</f>
        <v/>
      </c>
      <c r="K884">
        <f>IF($B884="","",IF(COUNTIF(Setup!$A$99:$A$128,$B884)&gt;0,0,1))</f>
        <v/>
      </c>
      <c r="L884">
        <f>IF($B884="","",IF(ISNUMBER(SEARCH("advance",$B884)),"ADV",IF(OR(ISNUMBER(SEARCH("payout",$B884)),ISNUMBER(SEARCH("pay out",$B884)),ISNUMBER(SEARCH("release",$B884))),"PAY","")))</f>
        <v/>
      </c>
      <c r="M884">
        <f>IF($B884="","",IF(ISNUMBER(SEARCH("bulk",$B884)),0,IF(ISNUMBER(SEARCH("fuel",$B884))+ISNUMBER(SEARCH("diesel",$B884))+ISNUMBER(SEARCH("krudo",$B884))+ISNUMBER(SEARCH("gasolina",$B884))&gt;0,1,0)))</f>
        <v/>
      </c>
      <c r="N884">
        <f>IF($B884="","",IF(ISNUMBER(SEARCH("fuel",$B884))+ISNUMBER(SEARCH("diesel",$B884))+ISNUMBER(SEARCH("krudo",$B884))+ISNUMBER(SEARCH("gasolina",$B884))&gt;0,1,0))</f>
        <v/>
      </c>
    </row>
    <row r="885">
      <c r="A885" s="86" t="n"/>
      <c r="B885" s="88" t="n"/>
      <c r="C885" s="88" t="n"/>
      <c r="D885" s="87" t="n"/>
      <c r="E885" s="88" t="n"/>
      <c r="F885" s="92" t="n"/>
      <c r="G885" s="87" t="n"/>
      <c r="H885" s="87" t="n"/>
      <c r="I885" s="101">
        <f>IF($B885="","",IF(COUNTIF(Setup!$A$99:$A$128,$B885)&gt;0,IF(INDEX(Setup!$B$99:$B$128,MATCH($B885,Setup!$A$99:$A$128,0))="","Overhead",INDEX(Setup!$B$99:$B$128,MATCH($B885,Setup!$A$99:$A$128,0))),IF(ISNUMBER(SEARCH("advance",$B885))+ISNUMBER(SEARCH("payout",$B885))+ISNUMBER(SEARCH("pay out",$B885))+ISNUMBER(SEARCH("reimburs",$B885))&gt;0,"Transfer",IF(ISNUMBER(SEARCH("loan",$B885))+ISNUMBER(SEARCH("amort",$B885))+ISNUMBER(SEARCH("installment",$B885))+ISNUMBER(SEARCH("instalment",$B885))&gt;0,"Financing",IF(ISNUMBER(SEARCH("draw",$B885))+ISNUMBER(SEARCH("owner",$B885))+ISNUMBER(SEARCH("asset",$B885))+ISNUMBER(SEARCH("capital",$B885))&gt;0,"Other",IF(ISNUMBER(SEARCH("fuel",$B885))+ISNUMBER(SEARCH("diesel",$B885))+ISNUMBER(SEARCH("krudo",$B885))+ISNUMBER(SEARCH("gasolina",$B885))+ISNUMBER(SEARCH("toll",$B885))+ISNUMBER(SEARCH("parking",$B885))+ISNUMBER(SEARCH("repair",$B885))+ISNUMBER(SEARCH("maintenance",$B885))+ISNUMBER(SEARCH("tire",$B885))+ISNUMBER(SEARCH("tyre",$B885))+ISNUMBER(SEARCH("battery",$B885))+ISNUMBER(SEARCH("oil",$B885))+ISNUMBER(SEARCH("filter",$B885))+ISNUMBER(SEARCH("spare",$B885))+ISNUMBER(SEARCH("insurance",$B885))+ISNUMBER(SEARCH("lto",$B885))+ISNUMBER(SEARCH("registration",$B885))+ISNUMBER(SEARCH("emission",$B885))+ISNUMBER(SEARCH("wash",$B885))+ISNUMBER(SEARCH("weigh",$B885))+ISNUMBER(SEARCH("tarp",$B885))&gt;0,"Vehicle",IF(ISNUMBER(SEARCH("rent",$B885))+ISNUMBER(SEARCH("upa",$B885))+ISNUMBER(SEARCH("salary",$B885))+ISNUMBER(SEARCH("sweldo",$B885))+ISNUMBER(SEARCH("wage",$B885))+ISNUMBER(SEARCH("electric",$B885))+ISNUMBER(SEARCH("kuryente",$B885))+ISNUMBER(SEARCH("water",$B885))+ISNUMBER(SEARCH("tubig",$B885))+ISNUMBER(SEARCH("internet",$B885))+ISNUMBER(SEARCH("pldt",$B885))+ISNUMBER(SEARCH("meralco",$B885))+ISNUMBER(SEARCH("supplies",$B885))+ISNUMBER(SEARCH("office",$B885))+ISNUMBER(SEARCH("professional",$B885))+ISNUMBER(SEARCH("accountant",$B885))+ISNUMBER(SEARCH("lawyer",$B885))+ISNUMBER(SEARCH("broker",$B885))+ISNUMBER(SEARCH("bank",$B885))+ISNUMBER(SEARCH("charge",$B885))+ISNUMBER(SEARCH("permit",$B885))+ISNUMBER(SEARCH("bir",$B885))+ISNUMBER(SEARCH("ltfrb",$B885))+ISNUMBER(SEARCH("misc",$B885))+ISNUMBER(SEARCH("fee",$B885))&gt;0,"Overhead","Overhead")))))))</f>
        <v/>
      </c>
      <c r="J885">
        <f>IF($A885="","",DATE(YEAR($A885),MONTH($A885),1))</f>
        <v/>
      </c>
      <c r="K885">
        <f>IF($B885="","",IF(COUNTIF(Setup!$A$99:$A$128,$B885)&gt;0,0,1))</f>
        <v/>
      </c>
      <c r="L885">
        <f>IF($B885="","",IF(ISNUMBER(SEARCH("advance",$B885)),"ADV",IF(OR(ISNUMBER(SEARCH("payout",$B885)),ISNUMBER(SEARCH("pay out",$B885)),ISNUMBER(SEARCH("release",$B885))),"PAY","")))</f>
        <v/>
      </c>
      <c r="M885">
        <f>IF($B885="","",IF(ISNUMBER(SEARCH("bulk",$B885)),0,IF(ISNUMBER(SEARCH("fuel",$B885))+ISNUMBER(SEARCH("diesel",$B885))+ISNUMBER(SEARCH("krudo",$B885))+ISNUMBER(SEARCH("gasolina",$B885))&gt;0,1,0)))</f>
        <v/>
      </c>
      <c r="N885">
        <f>IF($B885="","",IF(ISNUMBER(SEARCH("fuel",$B885))+ISNUMBER(SEARCH("diesel",$B885))+ISNUMBER(SEARCH("krudo",$B885))+ISNUMBER(SEARCH("gasolina",$B885))&gt;0,1,0))</f>
        <v/>
      </c>
    </row>
    <row r="886">
      <c r="A886" s="94" t="n"/>
      <c r="B886" s="96" t="n"/>
      <c r="C886" s="96" t="n"/>
      <c r="D886" s="95" t="n"/>
      <c r="E886" s="96" t="n"/>
      <c r="F886" s="99" t="n"/>
      <c r="G886" s="95" t="n"/>
      <c r="H886" s="95" t="n"/>
      <c r="I886" s="101">
        <f>IF($B886="","",IF(COUNTIF(Setup!$A$99:$A$128,$B886)&gt;0,IF(INDEX(Setup!$B$99:$B$128,MATCH($B886,Setup!$A$99:$A$128,0))="","Overhead",INDEX(Setup!$B$99:$B$128,MATCH($B886,Setup!$A$99:$A$128,0))),IF(ISNUMBER(SEARCH("advance",$B886))+ISNUMBER(SEARCH("payout",$B886))+ISNUMBER(SEARCH("pay out",$B886))+ISNUMBER(SEARCH("reimburs",$B886))&gt;0,"Transfer",IF(ISNUMBER(SEARCH("loan",$B886))+ISNUMBER(SEARCH("amort",$B886))+ISNUMBER(SEARCH("installment",$B886))+ISNUMBER(SEARCH("instalment",$B886))&gt;0,"Financing",IF(ISNUMBER(SEARCH("draw",$B886))+ISNUMBER(SEARCH("owner",$B886))+ISNUMBER(SEARCH("asset",$B886))+ISNUMBER(SEARCH("capital",$B886))&gt;0,"Other",IF(ISNUMBER(SEARCH("fuel",$B886))+ISNUMBER(SEARCH("diesel",$B886))+ISNUMBER(SEARCH("krudo",$B886))+ISNUMBER(SEARCH("gasolina",$B886))+ISNUMBER(SEARCH("toll",$B886))+ISNUMBER(SEARCH("parking",$B886))+ISNUMBER(SEARCH("repair",$B886))+ISNUMBER(SEARCH("maintenance",$B886))+ISNUMBER(SEARCH("tire",$B886))+ISNUMBER(SEARCH("tyre",$B886))+ISNUMBER(SEARCH("battery",$B886))+ISNUMBER(SEARCH("oil",$B886))+ISNUMBER(SEARCH("filter",$B886))+ISNUMBER(SEARCH("spare",$B886))+ISNUMBER(SEARCH("insurance",$B886))+ISNUMBER(SEARCH("lto",$B886))+ISNUMBER(SEARCH("registration",$B886))+ISNUMBER(SEARCH("emission",$B886))+ISNUMBER(SEARCH("wash",$B886))+ISNUMBER(SEARCH("weigh",$B886))+ISNUMBER(SEARCH("tarp",$B886))&gt;0,"Vehicle",IF(ISNUMBER(SEARCH("rent",$B886))+ISNUMBER(SEARCH("upa",$B886))+ISNUMBER(SEARCH("salary",$B886))+ISNUMBER(SEARCH("sweldo",$B886))+ISNUMBER(SEARCH("wage",$B886))+ISNUMBER(SEARCH("electric",$B886))+ISNUMBER(SEARCH("kuryente",$B886))+ISNUMBER(SEARCH("water",$B886))+ISNUMBER(SEARCH("tubig",$B886))+ISNUMBER(SEARCH("internet",$B886))+ISNUMBER(SEARCH("pldt",$B886))+ISNUMBER(SEARCH("meralco",$B886))+ISNUMBER(SEARCH("supplies",$B886))+ISNUMBER(SEARCH("office",$B886))+ISNUMBER(SEARCH("professional",$B886))+ISNUMBER(SEARCH("accountant",$B886))+ISNUMBER(SEARCH("lawyer",$B886))+ISNUMBER(SEARCH("broker",$B886))+ISNUMBER(SEARCH("bank",$B886))+ISNUMBER(SEARCH("charge",$B886))+ISNUMBER(SEARCH("permit",$B886))+ISNUMBER(SEARCH("bir",$B886))+ISNUMBER(SEARCH("ltfrb",$B886))+ISNUMBER(SEARCH("misc",$B886))+ISNUMBER(SEARCH("fee",$B886))&gt;0,"Overhead","Overhead")))))))</f>
        <v/>
      </c>
      <c r="J886">
        <f>IF($A886="","",DATE(YEAR($A886),MONTH($A886),1))</f>
        <v/>
      </c>
      <c r="K886">
        <f>IF($B886="","",IF(COUNTIF(Setup!$A$99:$A$128,$B886)&gt;0,0,1))</f>
        <v/>
      </c>
      <c r="L886">
        <f>IF($B886="","",IF(ISNUMBER(SEARCH("advance",$B886)),"ADV",IF(OR(ISNUMBER(SEARCH("payout",$B886)),ISNUMBER(SEARCH("pay out",$B886)),ISNUMBER(SEARCH("release",$B886))),"PAY","")))</f>
        <v/>
      </c>
      <c r="M886">
        <f>IF($B886="","",IF(ISNUMBER(SEARCH("bulk",$B886)),0,IF(ISNUMBER(SEARCH("fuel",$B886))+ISNUMBER(SEARCH("diesel",$B886))+ISNUMBER(SEARCH("krudo",$B886))+ISNUMBER(SEARCH("gasolina",$B886))&gt;0,1,0)))</f>
        <v/>
      </c>
      <c r="N886">
        <f>IF($B886="","",IF(ISNUMBER(SEARCH("fuel",$B886))+ISNUMBER(SEARCH("diesel",$B886))+ISNUMBER(SEARCH("krudo",$B886))+ISNUMBER(SEARCH("gasolina",$B886))&gt;0,1,0))</f>
        <v/>
      </c>
    </row>
    <row r="887">
      <c r="A887" s="86" t="n"/>
      <c r="B887" s="88" t="n"/>
      <c r="C887" s="88" t="n"/>
      <c r="D887" s="87" t="n"/>
      <c r="E887" s="88" t="n"/>
      <c r="F887" s="92" t="n"/>
      <c r="G887" s="87" t="n"/>
      <c r="H887" s="87" t="n"/>
      <c r="I887" s="101">
        <f>IF($B887="","",IF(COUNTIF(Setup!$A$99:$A$128,$B887)&gt;0,IF(INDEX(Setup!$B$99:$B$128,MATCH($B887,Setup!$A$99:$A$128,0))="","Overhead",INDEX(Setup!$B$99:$B$128,MATCH($B887,Setup!$A$99:$A$128,0))),IF(ISNUMBER(SEARCH("advance",$B887))+ISNUMBER(SEARCH("payout",$B887))+ISNUMBER(SEARCH("pay out",$B887))+ISNUMBER(SEARCH("reimburs",$B887))&gt;0,"Transfer",IF(ISNUMBER(SEARCH("loan",$B887))+ISNUMBER(SEARCH("amort",$B887))+ISNUMBER(SEARCH("installment",$B887))+ISNUMBER(SEARCH("instalment",$B887))&gt;0,"Financing",IF(ISNUMBER(SEARCH("draw",$B887))+ISNUMBER(SEARCH("owner",$B887))+ISNUMBER(SEARCH("asset",$B887))+ISNUMBER(SEARCH("capital",$B887))&gt;0,"Other",IF(ISNUMBER(SEARCH("fuel",$B887))+ISNUMBER(SEARCH("diesel",$B887))+ISNUMBER(SEARCH("krudo",$B887))+ISNUMBER(SEARCH("gasolina",$B887))+ISNUMBER(SEARCH("toll",$B887))+ISNUMBER(SEARCH("parking",$B887))+ISNUMBER(SEARCH("repair",$B887))+ISNUMBER(SEARCH("maintenance",$B887))+ISNUMBER(SEARCH("tire",$B887))+ISNUMBER(SEARCH("tyre",$B887))+ISNUMBER(SEARCH("battery",$B887))+ISNUMBER(SEARCH("oil",$B887))+ISNUMBER(SEARCH("filter",$B887))+ISNUMBER(SEARCH("spare",$B887))+ISNUMBER(SEARCH("insurance",$B887))+ISNUMBER(SEARCH("lto",$B887))+ISNUMBER(SEARCH("registration",$B887))+ISNUMBER(SEARCH("emission",$B887))+ISNUMBER(SEARCH("wash",$B887))+ISNUMBER(SEARCH("weigh",$B887))+ISNUMBER(SEARCH("tarp",$B887))&gt;0,"Vehicle",IF(ISNUMBER(SEARCH("rent",$B887))+ISNUMBER(SEARCH("upa",$B887))+ISNUMBER(SEARCH("salary",$B887))+ISNUMBER(SEARCH("sweldo",$B887))+ISNUMBER(SEARCH("wage",$B887))+ISNUMBER(SEARCH("electric",$B887))+ISNUMBER(SEARCH("kuryente",$B887))+ISNUMBER(SEARCH("water",$B887))+ISNUMBER(SEARCH("tubig",$B887))+ISNUMBER(SEARCH("internet",$B887))+ISNUMBER(SEARCH("pldt",$B887))+ISNUMBER(SEARCH("meralco",$B887))+ISNUMBER(SEARCH("supplies",$B887))+ISNUMBER(SEARCH("office",$B887))+ISNUMBER(SEARCH("professional",$B887))+ISNUMBER(SEARCH("accountant",$B887))+ISNUMBER(SEARCH("lawyer",$B887))+ISNUMBER(SEARCH("broker",$B887))+ISNUMBER(SEARCH("bank",$B887))+ISNUMBER(SEARCH("charge",$B887))+ISNUMBER(SEARCH("permit",$B887))+ISNUMBER(SEARCH("bir",$B887))+ISNUMBER(SEARCH("ltfrb",$B887))+ISNUMBER(SEARCH("misc",$B887))+ISNUMBER(SEARCH("fee",$B887))&gt;0,"Overhead","Overhead")))))))</f>
        <v/>
      </c>
      <c r="J887">
        <f>IF($A887="","",DATE(YEAR($A887),MONTH($A887),1))</f>
        <v/>
      </c>
      <c r="K887">
        <f>IF($B887="","",IF(COUNTIF(Setup!$A$99:$A$128,$B887)&gt;0,0,1))</f>
        <v/>
      </c>
      <c r="L887">
        <f>IF($B887="","",IF(ISNUMBER(SEARCH("advance",$B887)),"ADV",IF(OR(ISNUMBER(SEARCH("payout",$B887)),ISNUMBER(SEARCH("pay out",$B887)),ISNUMBER(SEARCH("release",$B887))),"PAY","")))</f>
        <v/>
      </c>
      <c r="M887">
        <f>IF($B887="","",IF(ISNUMBER(SEARCH("bulk",$B887)),0,IF(ISNUMBER(SEARCH("fuel",$B887))+ISNUMBER(SEARCH("diesel",$B887))+ISNUMBER(SEARCH("krudo",$B887))+ISNUMBER(SEARCH("gasolina",$B887))&gt;0,1,0)))</f>
        <v/>
      </c>
      <c r="N887">
        <f>IF($B887="","",IF(ISNUMBER(SEARCH("fuel",$B887))+ISNUMBER(SEARCH("diesel",$B887))+ISNUMBER(SEARCH("krudo",$B887))+ISNUMBER(SEARCH("gasolina",$B887))&gt;0,1,0))</f>
        <v/>
      </c>
    </row>
    <row r="888">
      <c r="A888" s="94" t="n"/>
      <c r="B888" s="96" t="n"/>
      <c r="C888" s="96" t="n"/>
      <c r="D888" s="95" t="n"/>
      <c r="E888" s="96" t="n"/>
      <c r="F888" s="99" t="n"/>
      <c r="G888" s="95" t="n"/>
      <c r="H888" s="95" t="n"/>
      <c r="I888" s="101">
        <f>IF($B888="","",IF(COUNTIF(Setup!$A$99:$A$128,$B888)&gt;0,IF(INDEX(Setup!$B$99:$B$128,MATCH($B888,Setup!$A$99:$A$128,0))="","Overhead",INDEX(Setup!$B$99:$B$128,MATCH($B888,Setup!$A$99:$A$128,0))),IF(ISNUMBER(SEARCH("advance",$B888))+ISNUMBER(SEARCH("payout",$B888))+ISNUMBER(SEARCH("pay out",$B888))+ISNUMBER(SEARCH("reimburs",$B888))&gt;0,"Transfer",IF(ISNUMBER(SEARCH("loan",$B888))+ISNUMBER(SEARCH("amort",$B888))+ISNUMBER(SEARCH("installment",$B888))+ISNUMBER(SEARCH("instalment",$B888))&gt;0,"Financing",IF(ISNUMBER(SEARCH("draw",$B888))+ISNUMBER(SEARCH("owner",$B888))+ISNUMBER(SEARCH("asset",$B888))+ISNUMBER(SEARCH("capital",$B888))&gt;0,"Other",IF(ISNUMBER(SEARCH("fuel",$B888))+ISNUMBER(SEARCH("diesel",$B888))+ISNUMBER(SEARCH("krudo",$B888))+ISNUMBER(SEARCH("gasolina",$B888))+ISNUMBER(SEARCH("toll",$B888))+ISNUMBER(SEARCH("parking",$B888))+ISNUMBER(SEARCH("repair",$B888))+ISNUMBER(SEARCH("maintenance",$B888))+ISNUMBER(SEARCH("tire",$B888))+ISNUMBER(SEARCH("tyre",$B888))+ISNUMBER(SEARCH("battery",$B888))+ISNUMBER(SEARCH("oil",$B888))+ISNUMBER(SEARCH("filter",$B888))+ISNUMBER(SEARCH("spare",$B888))+ISNUMBER(SEARCH("insurance",$B888))+ISNUMBER(SEARCH("lto",$B888))+ISNUMBER(SEARCH("registration",$B888))+ISNUMBER(SEARCH("emission",$B888))+ISNUMBER(SEARCH("wash",$B888))+ISNUMBER(SEARCH("weigh",$B888))+ISNUMBER(SEARCH("tarp",$B888))&gt;0,"Vehicle",IF(ISNUMBER(SEARCH("rent",$B888))+ISNUMBER(SEARCH("upa",$B888))+ISNUMBER(SEARCH("salary",$B888))+ISNUMBER(SEARCH("sweldo",$B888))+ISNUMBER(SEARCH("wage",$B888))+ISNUMBER(SEARCH("electric",$B888))+ISNUMBER(SEARCH("kuryente",$B888))+ISNUMBER(SEARCH("water",$B888))+ISNUMBER(SEARCH("tubig",$B888))+ISNUMBER(SEARCH("internet",$B888))+ISNUMBER(SEARCH("pldt",$B888))+ISNUMBER(SEARCH("meralco",$B888))+ISNUMBER(SEARCH("supplies",$B888))+ISNUMBER(SEARCH("office",$B888))+ISNUMBER(SEARCH("professional",$B888))+ISNUMBER(SEARCH("accountant",$B888))+ISNUMBER(SEARCH("lawyer",$B888))+ISNUMBER(SEARCH("broker",$B888))+ISNUMBER(SEARCH("bank",$B888))+ISNUMBER(SEARCH("charge",$B888))+ISNUMBER(SEARCH("permit",$B888))+ISNUMBER(SEARCH("bir",$B888))+ISNUMBER(SEARCH("ltfrb",$B888))+ISNUMBER(SEARCH("misc",$B888))+ISNUMBER(SEARCH("fee",$B888))&gt;0,"Overhead","Overhead")))))))</f>
        <v/>
      </c>
      <c r="J888">
        <f>IF($A888="","",DATE(YEAR($A888),MONTH($A888),1))</f>
        <v/>
      </c>
      <c r="K888">
        <f>IF($B888="","",IF(COUNTIF(Setup!$A$99:$A$128,$B888)&gt;0,0,1))</f>
        <v/>
      </c>
      <c r="L888">
        <f>IF($B888="","",IF(ISNUMBER(SEARCH("advance",$B888)),"ADV",IF(OR(ISNUMBER(SEARCH("payout",$B888)),ISNUMBER(SEARCH("pay out",$B888)),ISNUMBER(SEARCH("release",$B888))),"PAY","")))</f>
        <v/>
      </c>
      <c r="M888">
        <f>IF($B888="","",IF(ISNUMBER(SEARCH("bulk",$B888)),0,IF(ISNUMBER(SEARCH("fuel",$B888))+ISNUMBER(SEARCH("diesel",$B888))+ISNUMBER(SEARCH("krudo",$B888))+ISNUMBER(SEARCH("gasolina",$B888))&gt;0,1,0)))</f>
        <v/>
      </c>
      <c r="N888">
        <f>IF($B888="","",IF(ISNUMBER(SEARCH("fuel",$B888))+ISNUMBER(SEARCH("diesel",$B888))+ISNUMBER(SEARCH("krudo",$B888))+ISNUMBER(SEARCH("gasolina",$B888))&gt;0,1,0))</f>
        <v/>
      </c>
    </row>
    <row r="889">
      <c r="A889" s="86" t="n"/>
      <c r="B889" s="88" t="n"/>
      <c r="C889" s="88" t="n"/>
      <c r="D889" s="87" t="n"/>
      <c r="E889" s="88" t="n"/>
      <c r="F889" s="92" t="n"/>
      <c r="G889" s="87" t="n"/>
      <c r="H889" s="87" t="n"/>
      <c r="I889" s="101">
        <f>IF($B889="","",IF(COUNTIF(Setup!$A$99:$A$128,$B889)&gt;0,IF(INDEX(Setup!$B$99:$B$128,MATCH($B889,Setup!$A$99:$A$128,0))="","Overhead",INDEX(Setup!$B$99:$B$128,MATCH($B889,Setup!$A$99:$A$128,0))),IF(ISNUMBER(SEARCH("advance",$B889))+ISNUMBER(SEARCH("payout",$B889))+ISNUMBER(SEARCH("pay out",$B889))+ISNUMBER(SEARCH("reimburs",$B889))&gt;0,"Transfer",IF(ISNUMBER(SEARCH("loan",$B889))+ISNUMBER(SEARCH("amort",$B889))+ISNUMBER(SEARCH("installment",$B889))+ISNUMBER(SEARCH("instalment",$B889))&gt;0,"Financing",IF(ISNUMBER(SEARCH("draw",$B889))+ISNUMBER(SEARCH("owner",$B889))+ISNUMBER(SEARCH("asset",$B889))+ISNUMBER(SEARCH("capital",$B889))&gt;0,"Other",IF(ISNUMBER(SEARCH("fuel",$B889))+ISNUMBER(SEARCH("diesel",$B889))+ISNUMBER(SEARCH("krudo",$B889))+ISNUMBER(SEARCH("gasolina",$B889))+ISNUMBER(SEARCH("toll",$B889))+ISNUMBER(SEARCH("parking",$B889))+ISNUMBER(SEARCH("repair",$B889))+ISNUMBER(SEARCH("maintenance",$B889))+ISNUMBER(SEARCH("tire",$B889))+ISNUMBER(SEARCH("tyre",$B889))+ISNUMBER(SEARCH("battery",$B889))+ISNUMBER(SEARCH("oil",$B889))+ISNUMBER(SEARCH("filter",$B889))+ISNUMBER(SEARCH("spare",$B889))+ISNUMBER(SEARCH("insurance",$B889))+ISNUMBER(SEARCH("lto",$B889))+ISNUMBER(SEARCH("registration",$B889))+ISNUMBER(SEARCH("emission",$B889))+ISNUMBER(SEARCH("wash",$B889))+ISNUMBER(SEARCH("weigh",$B889))+ISNUMBER(SEARCH("tarp",$B889))&gt;0,"Vehicle",IF(ISNUMBER(SEARCH("rent",$B889))+ISNUMBER(SEARCH("upa",$B889))+ISNUMBER(SEARCH("salary",$B889))+ISNUMBER(SEARCH("sweldo",$B889))+ISNUMBER(SEARCH("wage",$B889))+ISNUMBER(SEARCH("electric",$B889))+ISNUMBER(SEARCH("kuryente",$B889))+ISNUMBER(SEARCH("water",$B889))+ISNUMBER(SEARCH("tubig",$B889))+ISNUMBER(SEARCH("internet",$B889))+ISNUMBER(SEARCH("pldt",$B889))+ISNUMBER(SEARCH("meralco",$B889))+ISNUMBER(SEARCH("supplies",$B889))+ISNUMBER(SEARCH("office",$B889))+ISNUMBER(SEARCH("professional",$B889))+ISNUMBER(SEARCH("accountant",$B889))+ISNUMBER(SEARCH("lawyer",$B889))+ISNUMBER(SEARCH("broker",$B889))+ISNUMBER(SEARCH("bank",$B889))+ISNUMBER(SEARCH("charge",$B889))+ISNUMBER(SEARCH("permit",$B889))+ISNUMBER(SEARCH("bir",$B889))+ISNUMBER(SEARCH("ltfrb",$B889))+ISNUMBER(SEARCH("misc",$B889))+ISNUMBER(SEARCH("fee",$B889))&gt;0,"Overhead","Overhead")))))))</f>
        <v/>
      </c>
      <c r="J889">
        <f>IF($A889="","",DATE(YEAR($A889),MONTH($A889),1))</f>
        <v/>
      </c>
      <c r="K889">
        <f>IF($B889="","",IF(COUNTIF(Setup!$A$99:$A$128,$B889)&gt;0,0,1))</f>
        <v/>
      </c>
      <c r="L889">
        <f>IF($B889="","",IF(ISNUMBER(SEARCH("advance",$B889)),"ADV",IF(OR(ISNUMBER(SEARCH("payout",$B889)),ISNUMBER(SEARCH("pay out",$B889)),ISNUMBER(SEARCH("release",$B889))),"PAY","")))</f>
        <v/>
      </c>
      <c r="M889">
        <f>IF($B889="","",IF(ISNUMBER(SEARCH("bulk",$B889)),0,IF(ISNUMBER(SEARCH("fuel",$B889))+ISNUMBER(SEARCH("diesel",$B889))+ISNUMBER(SEARCH("krudo",$B889))+ISNUMBER(SEARCH("gasolina",$B889))&gt;0,1,0)))</f>
        <v/>
      </c>
      <c r="N889">
        <f>IF($B889="","",IF(ISNUMBER(SEARCH("fuel",$B889))+ISNUMBER(SEARCH("diesel",$B889))+ISNUMBER(SEARCH("krudo",$B889))+ISNUMBER(SEARCH("gasolina",$B889))&gt;0,1,0))</f>
        <v/>
      </c>
    </row>
    <row r="890">
      <c r="A890" s="94" t="n"/>
      <c r="B890" s="96" t="n"/>
      <c r="C890" s="96" t="n"/>
      <c r="D890" s="95" t="n"/>
      <c r="E890" s="96" t="n"/>
      <c r="F890" s="99" t="n"/>
      <c r="G890" s="95" t="n"/>
      <c r="H890" s="95" t="n"/>
      <c r="I890" s="101">
        <f>IF($B890="","",IF(COUNTIF(Setup!$A$99:$A$128,$B890)&gt;0,IF(INDEX(Setup!$B$99:$B$128,MATCH($B890,Setup!$A$99:$A$128,0))="","Overhead",INDEX(Setup!$B$99:$B$128,MATCH($B890,Setup!$A$99:$A$128,0))),IF(ISNUMBER(SEARCH("advance",$B890))+ISNUMBER(SEARCH("payout",$B890))+ISNUMBER(SEARCH("pay out",$B890))+ISNUMBER(SEARCH("reimburs",$B890))&gt;0,"Transfer",IF(ISNUMBER(SEARCH("loan",$B890))+ISNUMBER(SEARCH("amort",$B890))+ISNUMBER(SEARCH("installment",$B890))+ISNUMBER(SEARCH("instalment",$B890))&gt;0,"Financing",IF(ISNUMBER(SEARCH("draw",$B890))+ISNUMBER(SEARCH("owner",$B890))+ISNUMBER(SEARCH("asset",$B890))+ISNUMBER(SEARCH("capital",$B890))&gt;0,"Other",IF(ISNUMBER(SEARCH("fuel",$B890))+ISNUMBER(SEARCH("diesel",$B890))+ISNUMBER(SEARCH("krudo",$B890))+ISNUMBER(SEARCH("gasolina",$B890))+ISNUMBER(SEARCH("toll",$B890))+ISNUMBER(SEARCH("parking",$B890))+ISNUMBER(SEARCH("repair",$B890))+ISNUMBER(SEARCH("maintenance",$B890))+ISNUMBER(SEARCH("tire",$B890))+ISNUMBER(SEARCH("tyre",$B890))+ISNUMBER(SEARCH("battery",$B890))+ISNUMBER(SEARCH("oil",$B890))+ISNUMBER(SEARCH("filter",$B890))+ISNUMBER(SEARCH("spare",$B890))+ISNUMBER(SEARCH("insurance",$B890))+ISNUMBER(SEARCH("lto",$B890))+ISNUMBER(SEARCH("registration",$B890))+ISNUMBER(SEARCH("emission",$B890))+ISNUMBER(SEARCH("wash",$B890))+ISNUMBER(SEARCH("weigh",$B890))+ISNUMBER(SEARCH("tarp",$B890))&gt;0,"Vehicle",IF(ISNUMBER(SEARCH("rent",$B890))+ISNUMBER(SEARCH("upa",$B890))+ISNUMBER(SEARCH("salary",$B890))+ISNUMBER(SEARCH("sweldo",$B890))+ISNUMBER(SEARCH("wage",$B890))+ISNUMBER(SEARCH("electric",$B890))+ISNUMBER(SEARCH("kuryente",$B890))+ISNUMBER(SEARCH("water",$B890))+ISNUMBER(SEARCH("tubig",$B890))+ISNUMBER(SEARCH("internet",$B890))+ISNUMBER(SEARCH("pldt",$B890))+ISNUMBER(SEARCH("meralco",$B890))+ISNUMBER(SEARCH("supplies",$B890))+ISNUMBER(SEARCH("office",$B890))+ISNUMBER(SEARCH("professional",$B890))+ISNUMBER(SEARCH("accountant",$B890))+ISNUMBER(SEARCH("lawyer",$B890))+ISNUMBER(SEARCH("broker",$B890))+ISNUMBER(SEARCH("bank",$B890))+ISNUMBER(SEARCH("charge",$B890))+ISNUMBER(SEARCH("permit",$B890))+ISNUMBER(SEARCH("bir",$B890))+ISNUMBER(SEARCH("ltfrb",$B890))+ISNUMBER(SEARCH("misc",$B890))+ISNUMBER(SEARCH("fee",$B890))&gt;0,"Overhead","Overhead")))))))</f>
        <v/>
      </c>
      <c r="J890">
        <f>IF($A890="","",DATE(YEAR($A890),MONTH($A890),1))</f>
        <v/>
      </c>
      <c r="K890">
        <f>IF($B890="","",IF(COUNTIF(Setup!$A$99:$A$128,$B890)&gt;0,0,1))</f>
        <v/>
      </c>
      <c r="L890">
        <f>IF($B890="","",IF(ISNUMBER(SEARCH("advance",$B890)),"ADV",IF(OR(ISNUMBER(SEARCH("payout",$B890)),ISNUMBER(SEARCH("pay out",$B890)),ISNUMBER(SEARCH("release",$B890))),"PAY","")))</f>
        <v/>
      </c>
      <c r="M890">
        <f>IF($B890="","",IF(ISNUMBER(SEARCH("bulk",$B890)),0,IF(ISNUMBER(SEARCH("fuel",$B890))+ISNUMBER(SEARCH("diesel",$B890))+ISNUMBER(SEARCH("krudo",$B890))+ISNUMBER(SEARCH("gasolina",$B890))&gt;0,1,0)))</f>
        <v/>
      </c>
      <c r="N890">
        <f>IF($B890="","",IF(ISNUMBER(SEARCH("fuel",$B890))+ISNUMBER(SEARCH("diesel",$B890))+ISNUMBER(SEARCH("krudo",$B890))+ISNUMBER(SEARCH("gasolina",$B890))&gt;0,1,0))</f>
        <v/>
      </c>
    </row>
    <row r="891">
      <c r="A891" s="86" t="n"/>
      <c r="B891" s="88" t="n"/>
      <c r="C891" s="88" t="n"/>
      <c r="D891" s="87" t="n"/>
      <c r="E891" s="88" t="n"/>
      <c r="F891" s="92" t="n"/>
      <c r="G891" s="87" t="n"/>
      <c r="H891" s="87" t="n"/>
      <c r="I891" s="101">
        <f>IF($B891="","",IF(COUNTIF(Setup!$A$99:$A$128,$B891)&gt;0,IF(INDEX(Setup!$B$99:$B$128,MATCH($B891,Setup!$A$99:$A$128,0))="","Overhead",INDEX(Setup!$B$99:$B$128,MATCH($B891,Setup!$A$99:$A$128,0))),IF(ISNUMBER(SEARCH("advance",$B891))+ISNUMBER(SEARCH("payout",$B891))+ISNUMBER(SEARCH("pay out",$B891))+ISNUMBER(SEARCH("reimburs",$B891))&gt;0,"Transfer",IF(ISNUMBER(SEARCH("loan",$B891))+ISNUMBER(SEARCH("amort",$B891))+ISNUMBER(SEARCH("installment",$B891))+ISNUMBER(SEARCH("instalment",$B891))&gt;0,"Financing",IF(ISNUMBER(SEARCH("draw",$B891))+ISNUMBER(SEARCH("owner",$B891))+ISNUMBER(SEARCH("asset",$B891))+ISNUMBER(SEARCH("capital",$B891))&gt;0,"Other",IF(ISNUMBER(SEARCH("fuel",$B891))+ISNUMBER(SEARCH("diesel",$B891))+ISNUMBER(SEARCH("krudo",$B891))+ISNUMBER(SEARCH("gasolina",$B891))+ISNUMBER(SEARCH("toll",$B891))+ISNUMBER(SEARCH("parking",$B891))+ISNUMBER(SEARCH("repair",$B891))+ISNUMBER(SEARCH("maintenance",$B891))+ISNUMBER(SEARCH("tire",$B891))+ISNUMBER(SEARCH("tyre",$B891))+ISNUMBER(SEARCH("battery",$B891))+ISNUMBER(SEARCH("oil",$B891))+ISNUMBER(SEARCH("filter",$B891))+ISNUMBER(SEARCH("spare",$B891))+ISNUMBER(SEARCH("insurance",$B891))+ISNUMBER(SEARCH("lto",$B891))+ISNUMBER(SEARCH("registration",$B891))+ISNUMBER(SEARCH("emission",$B891))+ISNUMBER(SEARCH("wash",$B891))+ISNUMBER(SEARCH("weigh",$B891))+ISNUMBER(SEARCH("tarp",$B891))&gt;0,"Vehicle",IF(ISNUMBER(SEARCH("rent",$B891))+ISNUMBER(SEARCH("upa",$B891))+ISNUMBER(SEARCH("salary",$B891))+ISNUMBER(SEARCH("sweldo",$B891))+ISNUMBER(SEARCH("wage",$B891))+ISNUMBER(SEARCH("electric",$B891))+ISNUMBER(SEARCH("kuryente",$B891))+ISNUMBER(SEARCH("water",$B891))+ISNUMBER(SEARCH("tubig",$B891))+ISNUMBER(SEARCH("internet",$B891))+ISNUMBER(SEARCH("pldt",$B891))+ISNUMBER(SEARCH("meralco",$B891))+ISNUMBER(SEARCH("supplies",$B891))+ISNUMBER(SEARCH("office",$B891))+ISNUMBER(SEARCH("professional",$B891))+ISNUMBER(SEARCH("accountant",$B891))+ISNUMBER(SEARCH("lawyer",$B891))+ISNUMBER(SEARCH("broker",$B891))+ISNUMBER(SEARCH("bank",$B891))+ISNUMBER(SEARCH("charge",$B891))+ISNUMBER(SEARCH("permit",$B891))+ISNUMBER(SEARCH("bir",$B891))+ISNUMBER(SEARCH("ltfrb",$B891))+ISNUMBER(SEARCH("misc",$B891))+ISNUMBER(SEARCH("fee",$B891))&gt;0,"Overhead","Overhead")))))))</f>
        <v/>
      </c>
      <c r="J891">
        <f>IF($A891="","",DATE(YEAR($A891),MONTH($A891),1))</f>
        <v/>
      </c>
      <c r="K891">
        <f>IF($B891="","",IF(COUNTIF(Setup!$A$99:$A$128,$B891)&gt;0,0,1))</f>
        <v/>
      </c>
      <c r="L891">
        <f>IF($B891="","",IF(ISNUMBER(SEARCH("advance",$B891)),"ADV",IF(OR(ISNUMBER(SEARCH("payout",$B891)),ISNUMBER(SEARCH("pay out",$B891)),ISNUMBER(SEARCH("release",$B891))),"PAY","")))</f>
        <v/>
      </c>
      <c r="M891">
        <f>IF($B891="","",IF(ISNUMBER(SEARCH("bulk",$B891)),0,IF(ISNUMBER(SEARCH("fuel",$B891))+ISNUMBER(SEARCH("diesel",$B891))+ISNUMBER(SEARCH("krudo",$B891))+ISNUMBER(SEARCH("gasolina",$B891))&gt;0,1,0)))</f>
        <v/>
      </c>
      <c r="N891">
        <f>IF($B891="","",IF(ISNUMBER(SEARCH("fuel",$B891))+ISNUMBER(SEARCH("diesel",$B891))+ISNUMBER(SEARCH("krudo",$B891))+ISNUMBER(SEARCH("gasolina",$B891))&gt;0,1,0))</f>
        <v/>
      </c>
    </row>
    <row r="892">
      <c r="A892" s="94" t="n"/>
      <c r="B892" s="96" t="n"/>
      <c r="C892" s="96" t="n"/>
      <c r="D892" s="95" t="n"/>
      <c r="E892" s="96" t="n"/>
      <c r="F892" s="99" t="n"/>
      <c r="G892" s="95" t="n"/>
      <c r="H892" s="95" t="n"/>
      <c r="I892" s="101">
        <f>IF($B892="","",IF(COUNTIF(Setup!$A$99:$A$128,$B892)&gt;0,IF(INDEX(Setup!$B$99:$B$128,MATCH($B892,Setup!$A$99:$A$128,0))="","Overhead",INDEX(Setup!$B$99:$B$128,MATCH($B892,Setup!$A$99:$A$128,0))),IF(ISNUMBER(SEARCH("advance",$B892))+ISNUMBER(SEARCH("payout",$B892))+ISNUMBER(SEARCH("pay out",$B892))+ISNUMBER(SEARCH("reimburs",$B892))&gt;0,"Transfer",IF(ISNUMBER(SEARCH("loan",$B892))+ISNUMBER(SEARCH("amort",$B892))+ISNUMBER(SEARCH("installment",$B892))+ISNUMBER(SEARCH("instalment",$B892))&gt;0,"Financing",IF(ISNUMBER(SEARCH("draw",$B892))+ISNUMBER(SEARCH("owner",$B892))+ISNUMBER(SEARCH("asset",$B892))+ISNUMBER(SEARCH("capital",$B892))&gt;0,"Other",IF(ISNUMBER(SEARCH("fuel",$B892))+ISNUMBER(SEARCH("diesel",$B892))+ISNUMBER(SEARCH("krudo",$B892))+ISNUMBER(SEARCH("gasolina",$B892))+ISNUMBER(SEARCH("toll",$B892))+ISNUMBER(SEARCH("parking",$B892))+ISNUMBER(SEARCH("repair",$B892))+ISNUMBER(SEARCH("maintenance",$B892))+ISNUMBER(SEARCH("tire",$B892))+ISNUMBER(SEARCH("tyre",$B892))+ISNUMBER(SEARCH("battery",$B892))+ISNUMBER(SEARCH("oil",$B892))+ISNUMBER(SEARCH("filter",$B892))+ISNUMBER(SEARCH("spare",$B892))+ISNUMBER(SEARCH("insurance",$B892))+ISNUMBER(SEARCH("lto",$B892))+ISNUMBER(SEARCH("registration",$B892))+ISNUMBER(SEARCH("emission",$B892))+ISNUMBER(SEARCH("wash",$B892))+ISNUMBER(SEARCH("weigh",$B892))+ISNUMBER(SEARCH("tarp",$B892))&gt;0,"Vehicle",IF(ISNUMBER(SEARCH("rent",$B892))+ISNUMBER(SEARCH("upa",$B892))+ISNUMBER(SEARCH("salary",$B892))+ISNUMBER(SEARCH("sweldo",$B892))+ISNUMBER(SEARCH("wage",$B892))+ISNUMBER(SEARCH("electric",$B892))+ISNUMBER(SEARCH("kuryente",$B892))+ISNUMBER(SEARCH("water",$B892))+ISNUMBER(SEARCH("tubig",$B892))+ISNUMBER(SEARCH("internet",$B892))+ISNUMBER(SEARCH("pldt",$B892))+ISNUMBER(SEARCH("meralco",$B892))+ISNUMBER(SEARCH("supplies",$B892))+ISNUMBER(SEARCH("office",$B892))+ISNUMBER(SEARCH("professional",$B892))+ISNUMBER(SEARCH("accountant",$B892))+ISNUMBER(SEARCH("lawyer",$B892))+ISNUMBER(SEARCH("broker",$B892))+ISNUMBER(SEARCH("bank",$B892))+ISNUMBER(SEARCH("charge",$B892))+ISNUMBER(SEARCH("permit",$B892))+ISNUMBER(SEARCH("bir",$B892))+ISNUMBER(SEARCH("ltfrb",$B892))+ISNUMBER(SEARCH("misc",$B892))+ISNUMBER(SEARCH("fee",$B892))&gt;0,"Overhead","Overhead")))))))</f>
        <v/>
      </c>
      <c r="J892">
        <f>IF($A892="","",DATE(YEAR($A892),MONTH($A892),1))</f>
        <v/>
      </c>
      <c r="K892">
        <f>IF($B892="","",IF(COUNTIF(Setup!$A$99:$A$128,$B892)&gt;0,0,1))</f>
        <v/>
      </c>
      <c r="L892">
        <f>IF($B892="","",IF(ISNUMBER(SEARCH("advance",$B892)),"ADV",IF(OR(ISNUMBER(SEARCH("payout",$B892)),ISNUMBER(SEARCH("pay out",$B892)),ISNUMBER(SEARCH("release",$B892))),"PAY","")))</f>
        <v/>
      </c>
      <c r="M892">
        <f>IF($B892="","",IF(ISNUMBER(SEARCH("bulk",$B892)),0,IF(ISNUMBER(SEARCH("fuel",$B892))+ISNUMBER(SEARCH("diesel",$B892))+ISNUMBER(SEARCH("krudo",$B892))+ISNUMBER(SEARCH("gasolina",$B892))&gt;0,1,0)))</f>
        <v/>
      </c>
      <c r="N892">
        <f>IF($B892="","",IF(ISNUMBER(SEARCH("fuel",$B892))+ISNUMBER(SEARCH("diesel",$B892))+ISNUMBER(SEARCH("krudo",$B892))+ISNUMBER(SEARCH("gasolina",$B892))&gt;0,1,0))</f>
        <v/>
      </c>
    </row>
    <row r="893">
      <c r="A893" s="86" t="n"/>
      <c r="B893" s="88" t="n"/>
      <c r="C893" s="88" t="n"/>
      <c r="D893" s="87" t="n"/>
      <c r="E893" s="88" t="n"/>
      <c r="F893" s="92" t="n"/>
      <c r="G893" s="87" t="n"/>
      <c r="H893" s="87" t="n"/>
      <c r="I893" s="101">
        <f>IF($B893="","",IF(COUNTIF(Setup!$A$99:$A$128,$B893)&gt;0,IF(INDEX(Setup!$B$99:$B$128,MATCH($B893,Setup!$A$99:$A$128,0))="","Overhead",INDEX(Setup!$B$99:$B$128,MATCH($B893,Setup!$A$99:$A$128,0))),IF(ISNUMBER(SEARCH("advance",$B893))+ISNUMBER(SEARCH("payout",$B893))+ISNUMBER(SEARCH("pay out",$B893))+ISNUMBER(SEARCH("reimburs",$B893))&gt;0,"Transfer",IF(ISNUMBER(SEARCH("loan",$B893))+ISNUMBER(SEARCH("amort",$B893))+ISNUMBER(SEARCH("installment",$B893))+ISNUMBER(SEARCH("instalment",$B893))&gt;0,"Financing",IF(ISNUMBER(SEARCH("draw",$B893))+ISNUMBER(SEARCH("owner",$B893))+ISNUMBER(SEARCH("asset",$B893))+ISNUMBER(SEARCH("capital",$B893))&gt;0,"Other",IF(ISNUMBER(SEARCH("fuel",$B893))+ISNUMBER(SEARCH("diesel",$B893))+ISNUMBER(SEARCH("krudo",$B893))+ISNUMBER(SEARCH("gasolina",$B893))+ISNUMBER(SEARCH("toll",$B893))+ISNUMBER(SEARCH("parking",$B893))+ISNUMBER(SEARCH("repair",$B893))+ISNUMBER(SEARCH("maintenance",$B893))+ISNUMBER(SEARCH("tire",$B893))+ISNUMBER(SEARCH("tyre",$B893))+ISNUMBER(SEARCH("battery",$B893))+ISNUMBER(SEARCH("oil",$B893))+ISNUMBER(SEARCH("filter",$B893))+ISNUMBER(SEARCH("spare",$B893))+ISNUMBER(SEARCH("insurance",$B893))+ISNUMBER(SEARCH("lto",$B893))+ISNUMBER(SEARCH("registration",$B893))+ISNUMBER(SEARCH("emission",$B893))+ISNUMBER(SEARCH("wash",$B893))+ISNUMBER(SEARCH("weigh",$B893))+ISNUMBER(SEARCH("tarp",$B893))&gt;0,"Vehicle",IF(ISNUMBER(SEARCH("rent",$B893))+ISNUMBER(SEARCH("upa",$B893))+ISNUMBER(SEARCH("salary",$B893))+ISNUMBER(SEARCH("sweldo",$B893))+ISNUMBER(SEARCH("wage",$B893))+ISNUMBER(SEARCH("electric",$B893))+ISNUMBER(SEARCH("kuryente",$B893))+ISNUMBER(SEARCH("water",$B893))+ISNUMBER(SEARCH("tubig",$B893))+ISNUMBER(SEARCH("internet",$B893))+ISNUMBER(SEARCH("pldt",$B893))+ISNUMBER(SEARCH("meralco",$B893))+ISNUMBER(SEARCH("supplies",$B893))+ISNUMBER(SEARCH("office",$B893))+ISNUMBER(SEARCH("professional",$B893))+ISNUMBER(SEARCH("accountant",$B893))+ISNUMBER(SEARCH("lawyer",$B893))+ISNUMBER(SEARCH("broker",$B893))+ISNUMBER(SEARCH("bank",$B893))+ISNUMBER(SEARCH("charge",$B893))+ISNUMBER(SEARCH("permit",$B893))+ISNUMBER(SEARCH("bir",$B893))+ISNUMBER(SEARCH("ltfrb",$B893))+ISNUMBER(SEARCH("misc",$B893))+ISNUMBER(SEARCH("fee",$B893))&gt;0,"Overhead","Overhead")))))))</f>
        <v/>
      </c>
      <c r="J893">
        <f>IF($A893="","",DATE(YEAR($A893),MONTH($A893),1))</f>
        <v/>
      </c>
      <c r="K893">
        <f>IF($B893="","",IF(COUNTIF(Setup!$A$99:$A$128,$B893)&gt;0,0,1))</f>
        <v/>
      </c>
      <c r="L893">
        <f>IF($B893="","",IF(ISNUMBER(SEARCH("advance",$B893)),"ADV",IF(OR(ISNUMBER(SEARCH("payout",$B893)),ISNUMBER(SEARCH("pay out",$B893)),ISNUMBER(SEARCH("release",$B893))),"PAY","")))</f>
        <v/>
      </c>
      <c r="M893">
        <f>IF($B893="","",IF(ISNUMBER(SEARCH("bulk",$B893)),0,IF(ISNUMBER(SEARCH("fuel",$B893))+ISNUMBER(SEARCH("diesel",$B893))+ISNUMBER(SEARCH("krudo",$B893))+ISNUMBER(SEARCH("gasolina",$B893))&gt;0,1,0)))</f>
        <v/>
      </c>
      <c r="N893">
        <f>IF($B893="","",IF(ISNUMBER(SEARCH("fuel",$B893))+ISNUMBER(SEARCH("diesel",$B893))+ISNUMBER(SEARCH("krudo",$B893))+ISNUMBER(SEARCH("gasolina",$B893))&gt;0,1,0))</f>
        <v/>
      </c>
    </row>
    <row r="894">
      <c r="A894" s="94" t="n"/>
      <c r="B894" s="96" t="n"/>
      <c r="C894" s="96" t="n"/>
      <c r="D894" s="95" t="n"/>
      <c r="E894" s="96" t="n"/>
      <c r="F894" s="99" t="n"/>
      <c r="G894" s="95" t="n"/>
      <c r="H894" s="95" t="n"/>
      <c r="I894" s="101">
        <f>IF($B894="","",IF(COUNTIF(Setup!$A$99:$A$128,$B894)&gt;0,IF(INDEX(Setup!$B$99:$B$128,MATCH($B894,Setup!$A$99:$A$128,0))="","Overhead",INDEX(Setup!$B$99:$B$128,MATCH($B894,Setup!$A$99:$A$128,0))),IF(ISNUMBER(SEARCH("advance",$B894))+ISNUMBER(SEARCH("payout",$B894))+ISNUMBER(SEARCH("pay out",$B894))+ISNUMBER(SEARCH("reimburs",$B894))&gt;0,"Transfer",IF(ISNUMBER(SEARCH("loan",$B894))+ISNUMBER(SEARCH("amort",$B894))+ISNUMBER(SEARCH("installment",$B894))+ISNUMBER(SEARCH("instalment",$B894))&gt;0,"Financing",IF(ISNUMBER(SEARCH("draw",$B894))+ISNUMBER(SEARCH("owner",$B894))+ISNUMBER(SEARCH("asset",$B894))+ISNUMBER(SEARCH("capital",$B894))&gt;0,"Other",IF(ISNUMBER(SEARCH("fuel",$B894))+ISNUMBER(SEARCH("diesel",$B894))+ISNUMBER(SEARCH("krudo",$B894))+ISNUMBER(SEARCH("gasolina",$B894))+ISNUMBER(SEARCH("toll",$B894))+ISNUMBER(SEARCH("parking",$B894))+ISNUMBER(SEARCH("repair",$B894))+ISNUMBER(SEARCH("maintenance",$B894))+ISNUMBER(SEARCH("tire",$B894))+ISNUMBER(SEARCH("tyre",$B894))+ISNUMBER(SEARCH("battery",$B894))+ISNUMBER(SEARCH("oil",$B894))+ISNUMBER(SEARCH("filter",$B894))+ISNUMBER(SEARCH("spare",$B894))+ISNUMBER(SEARCH("insurance",$B894))+ISNUMBER(SEARCH("lto",$B894))+ISNUMBER(SEARCH("registration",$B894))+ISNUMBER(SEARCH("emission",$B894))+ISNUMBER(SEARCH("wash",$B894))+ISNUMBER(SEARCH("weigh",$B894))+ISNUMBER(SEARCH("tarp",$B894))&gt;0,"Vehicle",IF(ISNUMBER(SEARCH("rent",$B894))+ISNUMBER(SEARCH("upa",$B894))+ISNUMBER(SEARCH("salary",$B894))+ISNUMBER(SEARCH("sweldo",$B894))+ISNUMBER(SEARCH("wage",$B894))+ISNUMBER(SEARCH("electric",$B894))+ISNUMBER(SEARCH("kuryente",$B894))+ISNUMBER(SEARCH("water",$B894))+ISNUMBER(SEARCH("tubig",$B894))+ISNUMBER(SEARCH("internet",$B894))+ISNUMBER(SEARCH("pldt",$B894))+ISNUMBER(SEARCH("meralco",$B894))+ISNUMBER(SEARCH("supplies",$B894))+ISNUMBER(SEARCH("office",$B894))+ISNUMBER(SEARCH("professional",$B894))+ISNUMBER(SEARCH("accountant",$B894))+ISNUMBER(SEARCH("lawyer",$B894))+ISNUMBER(SEARCH("broker",$B894))+ISNUMBER(SEARCH("bank",$B894))+ISNUMBER(SEARCH("charge",$B894))+ISNUMBER(SEARCH("permit",$B894))+ISNUMBER(SEARCH("bir",$B894))+ISNUMBER(SEARCH("ltfrb",$B894))+ISNUMBER(SEARCH("misc",$B894))+ISNUMBER(SEARCH("fee",$B894))&gt;0,"Overhead","Overhead")))))))</f>
        <v/>
      </c>
      <c r="J894">
        <f>IF($A894="","",DATE(YEAR($A894),MONTH($A894),1))</f>
        <v/>
      </c>
      <c r="K894">
        <f>IF($B894="","",IF(COUNTIF(Setup!$A$99:$A$128,$B894)&gt;0,0,1))</f>
        <v/>
      </c>
      <c r="L894">
        <f>IF($B894="","",IF(ISNUMBER(SEARCH("advance",$B894)),"ADV",IF(OR(ISNUMBER(SEARCH("payout",$B894)),ISNUMBER(SEARCH("pay out",$B894)),ISNUMBER(SEARCH("release",$B894))),"PAY","")))</f>
        <v/>
      </c>
      <c r="M894">
        <f>IF($B894="","",IF(ISNUMBER(SEARCH("bulk",$B894)),0,IF(ISNUMBER(SEARCH("fuel",$B894))+ISNUMBER(SEARCH("diesel",$B894))+ISNUMBER(SEARCH("krudo",$B894))+ISNUMBER(SEARCH("gasolina",$B894))&gt;0,1,0)))</f>
        <v/>
      </c>
      <c r="N894">
        <f>IF($B894="","",IF(ISNUMBER(SEARCH("fuel",$B894))+ISNUMBER(SEARCH("diesel",$B894))+ISNUMBER(SEARCH("krudo",$B894))+ISNUMBER(SEARCH("gasolina",$B894))&gt;0,1,0))</f>
        <v/>
      </c>
    </row>
    <row r="895">
      <c r="A895" s="86" t="n"/>
      <c r="B895" s="88" t="n"/>
      <c r="C895" s="88" t="n"/>
      <c r="D895" s="87" t="n"/>
      <c r="E895" s="88" t="n"/>
      <c r="F895" s="92" t="n"/>
      <c r="G895" s="87" t="n"/>
      <c r="H895" s="87" t="n"/>
      <c r="I895" s="101">
        <f>IF($B895="","",IF(COUNTIF(Setup!$A$99:$A$128,$B895)&gt;0,IF(INDEX(Setup!$B$99:$B$128,MATCH($B895,Setup!$A$99:$A$128,0))="","Overhead",INDEX(Setup!$B$99:$B$128,MATCH($B895,Setup!$A$99:$A$128,0))),IF(ISNUMBER(SEARCH("advance",$B895))+ISNUMBER(SEARCH("payout",$B895))+ISNUMBER(SEARCH("pay out",$B895))+ISNUMBER(SEARCH("reimburs",$B895))&gt;0,"Transfer",IF(ISNUMBER(SEARCH("loan",$B895))+ISNUMBER(SEARCH("amort",$B895))+ISNUMBER(SEARCH("installment",$B895))+ISNUMBER(SEARCH("instalment",$B895))&gt;0,"Financing",IF(ISNUMBER(SEARCH("draw",$B895))+ISNUMBER(SEARCH("owner",$B895))+ISNUMBER(SEARCH("asset",$B895))+ISNUMBER(SEARCH("capital",$B895))&gt;0,"Other",IF(ISNUMBER(SEARCH("fuel",$B895))+ISNUMBER(SEARCH("diesel",$B895))+ISNUMBER(SEARCH("krudo",$B895))+ISNUMBER(SEARCH("gasolina",$B895))+ISNUMBER(SEARCH("toll",$B895))+ISNUMBER(SEARCH("parking",$B895))+ISNUMBER(SEARCH("repair",$B895))+ISNUMBER(SEARCH("maintenance",$B895))+ISNUMBER(SEARCH("tire",$B895))+ISNUMBER(SEARCH("tyre",$B895))+ISNUMBER(SEARCH("battery",$B895))+ISNUMBER(SEARCH("oil",$B895))+ISNUMBER(SEARCH("filter",$B895))+ISNUMBER(SEARCH("spare",$B895))+ISNUMBER(SEARCH("insurance",$B895))+ISNUMBER(SEARCH("lto",$B895))+ISNUMBER(SEARCH("registration",$B895))+ISNUMBER(SEARCH("emission",$B895))+ISNUMBER(SEARCH("wash",$B895))+ISNUMBER(SEARCH("weigh",$B895))+ISNUMBER(SEARCH("tarp",$B895))&gt;0,"Vehicle",IF(ISNUMBER(SEARCH("rent",$B895))+ISNUMBER(SEARCH("upa",$B895))+ISNUMBER(SEARCH("salary",$B895))+ISNUMBER(SEARCH("sweldo",$B895))+ISNUMBER(SEARCH("wage",$B895))+ISNUMBER(SEARCH("electric",$B895))+ISNUMBER(SEARCH("kuryente",$B895))+ISNUMBER(SEARCH("water",$B895))+ISNUMBER(SEARCH("tubig",$B895))+ISNUMBER(SEARCH("internet",$B895))+ISNUMBER(SEARCH("pldt",$B895))+ISNUMBER(SEARCH("meralco",$B895))+ISNUMBER(SEARCH("supplies",$B895))+ISNUMBER(SEARCH("office",$B895))+ISNUMBER(SEARCH("professional",$B895))+ISNUMBER(SEARCH("accountant",$B895))+ISNUMBER(SEARCH("lawyer",$B895))+ISNUMBER(SEARCH("broker",$B895))+ISNUMBER(SEARCH("bank",$B895))+ISNUMBER(SEARCH("charge",$B895))+ISNUMBER(SEARCH("permit",$B895))+ISNUMBER(SEARCH("bir",$B895))+ISNUMBER(SEARCH("ltfrb",$B895))+ISNUMBER(SEARCH("misc",$B895))+ISNUMBER(SEARCH("fee",$B895))&gt;0,"Overhead","Overhead")))))))</f>
        <v/>
      </c>
      <c r="J895">
        <f>IF($A895="","",DATE(YEAR($A895),MONTH($A895),1))</f>
        <v/>
      </c>
      <c r="K895">
        <f>IF($B895="","",IF(COUNTIF(Setup!$A$99:$A$128,$B895)&gt;0,0,1))</f>
        <v/>
      </c>
      <c r="L895">
        <f>IF($B895="","",IF(ISNUMBER(SEARCH("advance",$B895)),"ADV",IF(OR(ISNUMBER(SEARCH("payout",$B895)),ISNUMBER(SEARCH("pay out",$B895)),ISNUMBER(SEARCH("release",$B895))),"PAY","")))</f>
        <v/>
      </c>
      <c r="M895">
        <f>IF($B895="","",IF(ISNUMBER(SEARCH("bulk",$B895)),0,IF(ISNUMBER(SEARCH("fuel",$B895))+ISNUMBER(SEARCH("diesel",$B895))+ISNUMBER(SEARCH("krudo",$B895))+ISNUMBER(SEARCH("gasolina",$B895))&gt;0,1,0)))</f>
        <v/>
      </c>
      <c r="N895">
        <f>IF($B895="","",IF(ISNUMBER(SEARCH("fuel",$B895))+ISNUMBER(SEARCH("diesel",$B895))+ISNUMBER(SEARCH("krudo",$B895))+ISNUMBER(SEARCH("gasolina",$B895))&gt;0,1,0))</f>
        <v/>
      </c>
    </row>
    <row r="896">
      <c r="A896" s="94" t="n"/>
      <c r="B896" s="96" t="n"/>
      <c r="C896" s="96" t="n"/>
      <c r="D896" s="95" t="n"/>
      <c r="E896" s="96" t="n"/>
      <c r="F896" s="99" t="n"/>
      <c r="G896" s="95" t="n"/>
      <c r="H896" s="95" t="n"/>
      <c r="I896" s="101">
        <f>IF($B896="","",IF(COUNTIF(Setup!$A$99:$A$128,$B896)&gt;0,IF(INDEX(Setup!$B$99:$B$128,MATCH($B896,Setup!$A$99:$A$128,0))="","Overhead",INDEX(Setup!$B$99:$B$128,MATCH($B896,Setup!$A$99:$A$128,0))),IF(ISNUMBER(SEARCH("advance",$B896))+ISNUMBER(SEARCH("payout",$B896))+ISNUMBER(SEARCH("pay out",$B896))+ISNUMBER(SEARCH("reimburs",$B896))&gt;0,"Transfer",IF(ISNUMBER(SEARCH("loan",$B896))+ISNUMBER(SEARCH("amort",$B896))+ISNUMBER(SEARCH("installment",$B896))+ISNUMBER(SEARCH("instalment",$B896))&gt;0,"Financing",IF(ISNUMBER(SEARCH("draw",$B896))+ISNUMBER(SEARCH("owner",$B896))+ISNUMBER(SEARCH("asset",$B896))+ISNUMBER(SEARCH("capital",$B896))&gt;0,"Other",IF(ISNUMBER(SEARCH("fuel",$B896))+ISNUMBER(SEARCH("diesel",$B896))+ISNUMBER(SEARCH("krudo",$B896))+ISNUMBER(SEARCH("gasolina",$B896))+ISNUMBER(SEARCH("toll",$B896))+ISNUMBER(SEARCH("parking",$B896))+ISNUMBER(SEARCH("repair",$B896))+ISNUMBER(SEARCH("maintenance",$B896))+ISNUMBER(SEARCH("tire",$B896))+ISNUMBER(SEARCH("tyre",$B896))+ISNUMBER(SEARCH("battery",$B896))+ISNUMBER(SEARCH("oil",$B896))+ISNUMBER(SEARCH("filter",$B896))+ISNUMBER(SEARCH("spare",$B896))+ISNUMBER(SEARCH("insurance",$B896))+ISNUMBER(SEARCH("lto",$B896))+ISNUMBER(SEARCH("registration",$B896))+ISNUMBER(SEARCH("emission",$B896))+ISNUMBER(SEARCH("wash",$B896))+ISNUMBER(SEARCH("weigh",$B896))+ISNUMBER(SEARCH("tarp",$B896))&gt;0,"Vehicle",IF(ISNUMBER(SEARCH("rent",$B896))+ISNUMBER(SEARCH("upa",$B896))+ISNUMBER(SEARCH("salary",$B896))+ISNUMBER(SEARCH("sweldo",$B896))+ISNUMBER(SEARCH("wage",$B896))+ISNUMBER(SEARCH("electric",$B896))+ISNUMBER(SEARCH("kuryente",$B896))+ISNUMBER(SEARCH("water",$B896))+ISNUMBER(SEARCH("tubig",$B896))+ISNUMBER(SEARCH("internet",$B896))+ISNUMBER(SEARCH("pldt",$B896))+ISNUMBER(SEARCH("meralco",$B896))+ISNUMBER(SEARCH("supplies",$B896))+ISNUMBER(SEARCH("office",$B896))+ISNUMBER(SEARCH("professional",$B896))+ISNUMBER(SEARCH("accountant",$B896))+ISNUMBER(SEARCH("lawyer",$B896))+ISNUMBER(SEARCH("broker",$B896))+ISNUMBER(SEARCH("bank",$B896))+ISNUMBER(SEARCH("charge",$B896))+ISNUMBER(SEARCH("permit",$B896))+ISNUMBER(SEARCH("bir",$B896))+ISNUMBER(SEARCH("ltfrb",$B896))+ISNUMBER(SEARCH("misc",$B896))+ISNUMBER(SEARCH("fee",$B896))&gt;0,"Overhead","Overhead")))))))</f>
        <v/>
      </c>
      <c r="J896">
        <f>IF($A896="","",DATE(YEAR($A896),MONTH($A896),1))</f>
        <v/>
      </c>
      <c r="K896">
        <f>IF($B896="","",IF(COUNTIF(Setup!$A$99:$A$128,$B896)&gt;0,0,1))</f>
        <v/>
      </c>
      <c r="L896">
        <f>IF($B896="","",IF(ISNUMBER(SEARCH("advance",$B896)),"ADV",IF(OR(ISNUMBER(SEARCH("payout",$B896)),ISNUMBER(SEARCH("pay out",$B896)),ISNUMBER(SEARCH("release",$B896))),"PAY","")))</f>
        <v/>
      </c>
      <c r="M896">
        <f>IF($B896="","",IF(ISNUMBER(SEARCH("bulk",$B896)),0,IF(ISNUMBER(SEARCH("fuel",$B896))+ISNUMBER(SEARCH("diesel",$B896))+ISNUMBER(SEARCH("krudo",$B896))+ISNUMBER(SEARCH("gasolina",$B896))&gt;0,1,0)))</f>
        <v/>
      </c>
      <c r="N896">
        <f>IF($B896="","",IF(ISNUMBER(SEARCH("fuel",$B896))+ISNUMBER(SEARCH("diesel",$B896))+ISNUMBER(SEARCH("krudo",$B896))+ISNUMBER(SEARCH("gasolina",$B896))&gt;0,1,0))</f>
        <v/>
      </c>
    </row>
    <row r="897">
      <c r="A897" s="86" t="n"/>
      <c r="B897" s="88" t="n"/>
      <c r="C897" s="88" t="n"/>
      <c r="D897" s="87" t="n"/>
      <c r="E897" s="88" t="n"/>
      <c r="F897" s="92" t="n"/>
      <c r="G897" s="87" t="n"/>
      <c r="H897" s="87" t="n"/>
      <c r="I897" s="101">
        <f>IF($B897="","",IF(COUNTIF(Setup!$A$99:$A$128,$B897)&gt;0,IF(INDEX(Setup!$B$99:$B$128,MATCH($B897,Setup!$A$99:$A$128,0))="","Overhead",INDEX(Setup!$B$99:$B$128,MATCH($B897,Setup!$A$99:$A$128,0))),IF(ISNUMBER(SEARCH("advance",$B897))+ISNUMBER(SEARCH("payout",$B897))+ISNUMBER(SEARCH("pay out",$B897))+ISNUMBER(SEARCH("reimburs",$B897))&gt;0,"Transfer",IF(ISNUMBER(SEARCH("loan",$B897))+ISNUMBER(SEARCH("amort",$B897))+ISNUMBER(SEARCH("installment",$B897))+ISNUMBER(SEARCH("instalment",$B897))&gt;0,"Financing",IF(ISNUMBER(SEARCH("draw",$B897))+ISNUMBER(SEARCH("owner",$B897))+ISNUMBER(SEARCH("asset",$B897))+ISNUMBER(SEARCH("capital",$B897))&gt;0,"Other",IF(ISNUMBER(SEARCH("fuel",$B897))+ISNUMBER(SEARCH("diesel",$B897))+ISNUMBER(SEARCH("krudo",$B897))+ISNUMBER(SEARCH("gasolina",$B897))+ISNUMBER(SEARCH("toll",$B897))+ISNUMBER(SEARCH("parking",$B897))+ISNUMBER(SEARCH("repair",$B897))+ISNUMBER(SEARCH("maintenance",$B897))+ISNUMBER(SEARCH("tire",$B897))+ISNUMBER(SEARCH("tyre",$B897))+ISNUMBER(SEARCH("battery",$B897))+ISNUMBER(SEARCH("oil",$B897))+ISNUMBER(SEARCH("filter",$B897))+ISNUMBER(SEARCH("spare",$B897))+ISNUMBER(SEARCH("insurance",$B897))+ISNUMBER(SEARCH("lto",$B897))+ISNUMBER(SEARCH("registration",$B897))+ISNUMBER(SEARCH("emission",$B897))+ISNUMBER(SEARCH("wash",$B897))+ISNUMBER(SEARCH("weigh",$B897))+ISNUMBER(SEARCH("tarp",$B897))&gt;0,"Vehicle",IF(ISNUMBER(SEARCH("rent",$B897))+ISNUMBER(SEARCH("upa",$B897))+ISNUMBER(SEARCH("salary",$B897))+ISNUMBER(SEARCH("sweldo",$B897))+ISNUMBER(SEARCH("wage",$B897))+ISNUMBER(SEARCH("electric",$B897))+ISNUMBER(SEARCH("kuryente",$B897))+ISNUMBER(SEARCH("water",$B897))+ISNUMBER(SEARCH("tubig",$B897))+ISNUMBER(SEARCH("internet",$B897))+ISNUMBER(SEARCH("pldt",$B897))+ISNUMBER(SEARCH("meralco",$B897))+ISNUMBER(SEARCH("supplies",$B897))+ISNUMBER(SEARCH("office",$B897))+ISNUMBER(SEARCH("professional",$B897))+ISNUMBER(SEARCH("accountant",$B897))+ISNUMBER(SEARCH("lawyer",$B897))+ISNUMBER(SEARCH("broker",$B897))+ISNUMBER(SEARCH("bank",$B897))+ISNUMBER(SEARCH("charge",$B897))+ISNUMBER(SEARCH("permit",$B897))+ISNUMBER(SEARCH("bir",$B897))+ISNUMBER(SEARCH("ltfrb",$B897))+ISNUMBER(SEARCH("misc",$B897))+ISNUMBER(SEARCH("fee",$B897))&gt;0,"Overhead","Overhead")))))))</f>
        <v/>
      </c>
      <c r="J897">
        <f>IF($A897="","",DATE(YEAR($A897),MONTH($A897),1))</f>
        <v/>
      </c>
      <c r="K897">
        <f>IF($B897="","",IF(COUNTIF(Setup!$A$99:$A$128,$B897)&gt;0,0,1))</f>
        <v/>
      </c>
      <c r="L897">
        <f>IF($B897="","",IF(ISNUMBER(SEARCH("advance",$B897)),"ADV",IF(OR(ISNUMBER(SEARCH("payout",$B897)),ISNUMBER(SEARCH("pay out",$B897)),ISNUMBER(SEARCH("release",$B897))),"PAY","")))</f>
        <v/>
      </c>
      <c r="M897">
        <f>IF($B897="","",IF(ISNUMBER(SEARCH("bulk",$B897)),0,IF(ISNUMBER(SEARCH("fuel",$B897))+ISNUMBER(SEARCH("diesel",$B897))+ISNUMBER(SEARCH("krudo",$B897))+ISNUMBER(SEARCH("gasolina",$B897))&gt;0,1,0)))</f>
        <v/>
      </c>
      <c r="N897">
        <f>IF($B897="","",IF(ISNUMBER(SEARCH("fuel",$B897))+ISNUMBER(SEARCH("diesel",$B897))+ISNUMBER(SEARCH("krudo",$B897))+ISNUMBER(SEARCH("gasolina",$B897))&gt;0,1,0))</f>
        <v/>
      </c>
    </row>
    <row r="898">
      <c r="A898" s="94" t="n"/>
      <c r="B898" s="96" t="n"/>
      <c r="C898" s="96" t="n"/>
      <c r="D898" s="95" t="n"/>
      <c r="E898" s="96" t="n"/>
      <c r="F898" s="99" t="n"/>
      <c r="G898" s="95" t="n"/>
      <c r="H898" s="95" t="n"/>
      <c r="I898" s="101">
        <f>IF($B898="","",IF(COUNTIF(Setup!$A$99:$A$128,$B898)&gt;0,IF(INDEX(Setup!$B$99:$B$128,MATCH($B898,Setup!$A$99:$A$128,0))="","Overhead",INDEX(Setup!$B$99:$B$128,MATCH($B898,Setup!$A$99:$A$128,0))),IF(ISNUMBER(SEARCH("advance",$B898))+ISNUMBER(SEARCH("payout",$B898))+ISNUMBER(SEARCH("pay out",$B898))+ISNUMBER(SEARCH("reimburs",$B898))&gt;0,"Transfer",IF(ISNUMBER(SEARCH("loan",$B898))+ISNUMBER(SEARCH("amort",$B898))+ISNUMBER(SEARCH("installment",$B898))+ISNUMBER(SEARCH("instalment",$B898))&gt;0,"Financing",IF(ISNUMBER(SEARCH("draw",$B898))+ISNUMBER(SEARCH("owner",$B898))+ISNUMBER(SEARCH("asset",$B898))+ISNUMBER(SEARCH("capital",$B898))&gt;0,"Other",IF(ISNUMBER(SEARCH("fuel",$B898))+ISNUMBER(SEARCH("diesel",$B898))+ISNUMBER(SEARCH("krudo",$B898))+ISNUMBER(SEARCH("gasolina",$B898))+ISNUMBER(SEARCH("toll",$B898))+ISNUMBER(SEARCH("parking",$B898))+ISNUMBER(SEARCH("repair",$B898))+ISNUMBER(SEARCH("maintenance",$B898))+ISNUMBER(SEARCH("tire",$B898))+ISNUMBER(SEARCH("tyre",$B898))+ISNUMBER(SEARCH("battery",$B898))+ISNUMBER(SEARCH("oil",$B898))+ISNUMBER(SEARCH("filter",$B898))+ISNUMBER(SEARCH("spare",$B898))+ISNUMBER(SEARCH("insurance",$B898))+ISNUMBER(SEARCH("lto",$B898))+ISNUMBER(SEARCH("registration",$B898))+ISNUMBER(SEARCH("emission",$B898))+ISNUMBER(SEARCH("wash",$B898))+ISNUMBER(SEARCH("weigh",$B898))+ISNUMBER(SEARCH("tarp",$B898))&gt;0,"Vehicle",IF(ISNUMBER(SEARCH("rent",$B898))+ISNUMBER(SEARCH("upa",$B898))+ISNUMBER(SEARCH("salary",$B898))+ISNUMBER(SEARCH("sweldo",$B898))+ISNUMBER(SEARCH("wage",$B898))+ISNUMBER(SEARCH("electric",$B898))+ISNUMBER(SEARCH("kuryente",$B898))+ISNUMBER(SEARCH("water",$B898))+ISNUMBER(SEARCH("tubig",$B898))+ISNUMBER(SEARCH("internet",$B898))+ISNUMBER(SEARCH("pldt",$B898))+ISNUMBER(SEARCH("meralco",$B898))+ISNUMBER(SEARCH("supplies",$B898))+ISNUMBER(SEARCH("office",$B898))+ISNUMBER(SEARCH("professional",$B898))+ISNUMBER(SEARCH("accountant",$B898))+ISNUMBER(SEARCH("lawyer",$B898))+ISNUMBER(SEARCH("broker",$B898))+ISNUMBER(SEARCH("bank",$B898))+ISNUMBER(SEARCH("charge",$B898))+ISNUMBER(SEARCH("permit",$B898))+ISNUMBER(SEARCH("bir",$B898))+ISNUMBER(SEARCH("ltfrb",$B898))+ISNUMBER(SEARCH("misc",$B898))+ISNUMBER(SEARCH("fee",$B898))&gt;0,"Overhead","Overhead")))))))</f>
        <v/>
      </c>
      <c r="J898">
        <f>IF($A898="","",DATE(YEAR($A898),MONTH($A898),1))</f>
        <v/>
      </c>
      <c r="K898">
        <f>IF($B898="","",IF(COUNTIF(Setup!$A$99:$A$128,$B898)&gt;0,0,1))</f>
        <v/>
      </c>
      <c r="L898">
        <f>IF($B898="","",IF(ISNUMBER(SEARCH("advance",$B898)),"ADV",IF(OR(ISNUMBER(SEARCH("payout",$B898)),ISNUMBER(SEARCH("pay out",$B898)),ISNUMBER(SEARCH("release",$B898))),"PAY","")))</f>
        <v/>
      </c>
      <c r="M898">
        <f>IF($B898="","",IF(ISNUMBER(SEARCH("bulk",$B898)),0,IF(ISNUMBER(SEARCH("fuel",$B898))+ISNUMBER(SEARCH("diesel",$B898))+ISNUMBER(SEARCH("krudo",$B898))+ISNUMBER(SEARCH("gasolina",$B898))&gt;0,1,0)))</f>
        <v/>
      </c>
      <c r="N898">
        <f>IF($B898="","",IF(ISNUMBER(SEARCH("fuel",$B898))+ISNUMBER(SEARCH("diesel",$B898))+ISNUMBER(SEARCH("krudo",$B898))+ISNUMBER(SEARCH("gasolina",$B898))&gt;0,1,0))</f>
        <v/>
      </c>
    </row>
    <row r="899">
      <c r="A899" s="86" t="n"/>
      <c r="B899" s="88" t="n"/>
      <c r="C899" s="88" t="n"/>
      <c r="D899" s="87" t="n"/>
      <c r="E899" s="88" t="n"/>
      <c r="F899" s="92" t="n"/>
      <c r="G899" s="87" t="n"/>
      <c r="H899" s="87" t="n"/>
      <c r="I899" s="101">
        <f>IF($B899="","",IF(COUNTIF(Setup!$A$99:$A$128,$B899)&gt;0,IF(INDEX(Setup!$B$99:$B$128,MATCH($B899,Setup!$A$99:$A$128,0))="","Overhead",INDEX(Setup!$B$99:$B$128,MATCH($B899,Setup!$A$99:$A$128,0))),IF(ISNUMBER(SEARCH("advance",$B899))+ISNUMBER(SEARCH("payout",$B899))+ISNUMBER(SEARCH("pay out",$B899))+ISNUMBER(SEARCH("reimburs",$B899))&gt;0,"Transfer",IF(ISNUMBER(SEARCH("loan",$B899))+ISNUMBER(SEARCH("amort",$B899))+ISNUMBER(SEARCH("installment",$B899))+ISNUMBER(SEARCH("instalment",$B899))&gt;0,"Financing",IF(ISNUMBER(SEARCH("draw",$B899))+ISNUMBER(SEARCH("owner",$B899))+ISNUMBER(SEARCH("asset",$B899))+ISNUMBER(SEARCH("capital",$B899))&gt;0,"Other",IF(ISNUMBER(SEARCH("fuel",$B899))+ISNUMBER(SEARCH("diesel",$B899))+ISNUMBER(SEARCH("krudo",$B899))+ISNUMBER(SEARCH("gasolina",$B899))+ISNUMBER(SEARCH("toll",$B899))+ISNUMBER(SEARCH("parking",$B899))+ISNUMBER(SEARCH("repair",$B899))+ISNUMBER(SEARCH("maintenance",$B899))+ISNUMBER(SEARCH("tire",$B899))+ISNUMBER(SEARCH("tyre",$B899))+ISNUMBER(SEARCH("battery",$B899))+ISNUMBER(SEARCH("oil",$B899))+ISNUMBER(SEARCH("filter",$B899))+ISNUMBER(SEARCH("spare",$B899))+ISNUMBER(SEARCH("insurance",$B899))+ISNUMBER(SEARCH("lto",$B899))+ISNUMBER(SEARCH("registration",$B899))+ISNUMBER(SEARCH("emission",$B899))+ISNUMBER(SEARCH("wash",$B899))+ISNUMBER(SEARCH("weigh",$B899))+ISNUMBER(SEARCH("tarp",$B899))&gt;0,"Vehicle",IF(ISNUMBER(SEARCH("rent",$B899))+ISNUMBER(SEARCH("upa",$B899))+ISNUMBER(SEARCH("salary",$B899))+ISNUMBER(SEARCH("sweldo",$B899))+ISNUMBER(SEARCH("wage",$B899))+ISNUMBER(SEARCH("electric",$B899))+ISNUMBER(SEARCH("kuryente",$B899))+ISNUMBER(SEARCH("water",$B899))+ISNUMBER(SEARCH("tubig",$B899))+ISNUMBER(SEARCH("internet",$B899))+ISNUMBER(SEARCH("pldt",$B899))+ISNUMBER(SEARCH("meralco",$B899))+ISNUMBER(SEARCH("supplies",$B899))+ISNUMBER(SEARCH("office",$B899))+ISNUMBER(SEARCH("professional",$B899))+ISNUMBER(SEARCH("accountant",$B899))+ISNUMBER(SEARCH("lawyer",$B899))+ISNUMBER(SEARCH("broker",$B899))+ISNUMBER(SEARCH("bank",$B899))+ISNUMBER(SEARCH("charge",$B899))+ISNUMBER(SEARCH("permit",$B899))+ISNUMBER(SEARCH("bir",$B899))+ISNUMBER(SEARCH("ltfrb",$B899))+ISNUMBER(SEARCH("misc",$B899))+ISNUMBER(SEARCH("fee",$B899))&gt;0,"Overhead","Overhead")))))))</f>
        <v/>
      </c>
      <c r="J899">
        <f>IF($A899="","",DATE(YEAR($A899),MONTH($A899),1))</f>
        <v/>
      </c>
      <c r="K899">
        <f>IF($B899="","",IF(COUNTIF(Setup!$A$99:$A$128,$B899)&gt;0,0,1))</f>
        <v/>
      </c>
      <c r="L899">
        <f>IF($B899="","",IF(ISNUMBER(SEARCH("advance",$B899)),"ADV",IF(OR(ISNUMBER(SEARCH("payout",$B899)),ISNUMBER(SEARCH("pay out",$B899)),ISNUMBER(SEARCH("release",$B899))),"PAY","")))</f>
        <v/>
      </c>
      <c r="M899">
        <f>IF($B899="","",IF(ISNUMBER(SEARCH("bulk",$B899)),0,IF(ISNUMBER(SEARCH("fuel",$B899))+ISNUMBER(SEARCH("diesel",$B899))+ISNUMBER(SEARCH("krudo",$B899))+ISNUMBER(SEARCH("gasolina",$B899))&gt;0,1,0)))</f>
        <v/>
      </c>
      <c r="N899">
        <f>IF($B899="","",IF(ISNUMBER(SEARCH("fuel",$B899))+ISNUMBER(SEARCH("diesel",$B899))+ISNUMBER(SEARCH("krudo",$B899))+ISNUMBER(SEARCH("gasolina",$B899))&gt;0,1,0))</f>
        <v/>
      </c>
    </row>
    <row r="900">
      <c r="A900" s="94" t="n"/>
      <c r="B900" s="96" t="n"/>
      <c r="C900" s="96" t="n"/>
      <c r="D900" s="95" t="n"/>
      <c r="E900" s="96" t="n"/>
      <c r="F900" s="99" t="n"/>
      <c r="G900" s="95" t="n"/>
      <c r="H900" s="95" t="n"/>
      <c r="I900" s="101">
        <f>IF($B900="","",IF(COUNTIF(Setup!$A$99:$A$128,$B900)&gt;0,IF(INDEX(Setup!$B$99:$B$128,MATCH($B900,Setup!$A$99:$A$128,0))="","Overhead",INDEX(Setup!$B$99:$B$128,MATCH($B900,Setup!$A$99:$A$128,0))),IF(ISNUMBER(SEARCH("advance",$B900))+ISNUMBER(SEARCH("payout",$B900))+ISNUMBER(SEARCH("pay out",$B900))+ISNUMBER(SEARCH("reimburs",$B900))&gt;0,"Transfer",IF(ISNUMBER(SEARCH("loan",$B900))+ISNUMBER(SEARCH("amort",$B900))+ISNUMBER(SEARCH("installment",$B900))+ISNUMBER(SEARCH("instalment",$B900))&gt;0,"Financing",IF(ISNUMBER(SEARCH("draw",$B900))+ISNUMBER(SEARCH("owner",$B900))+ISNUMBER(SEARCH("asset",$B900))+ISNUMBER(SEARCH("capital",$B900))&gt;0,"Other",IF(ISNUMBER(SEARCH("fuel",$B900))+ISNUMBER(SEARCH("diesel",$B900))+ISNUMBER(SEARCH("krudo",$B900))+ISNUMBER(SEARCH("gasolina",$B900))+ISNUMBER(SEARCH("toll",$B900))+ISNUMBER(SEARCH("parking",$B900))+ISNUMBER(SEARCH("repair",$B900))+ISNUMBER(SEARCH("maintenance",$B900))+ISNUMBER(SEARCH("tire",$B900))+ISNUMBER(SEARCH("tyre",$B900))+ISNUMBER(SEARCH("battery",$B900))+ISNUMBER(SEARCH("oil",$B900))+ISNUMBER(SEARCH("filter",$B900))+ISNUMBER(SEARCH("spare",$B900))+ISNUMBER(SEARCH("insurance",$B900))+ISNUMBER(SEARCH("lto",$B900))+ISNUMBER(SEARCH("registration",$B900))+ISNUMBER(SEARCH("emission",$B900))+ISNUMBER(SEARCH("wash",$B900))+ISNUMBER(SEARCH("weigh",$B900))+ISNUMBER(SEARCH("tarp",$B900))&gt;0,"Vehicle",IF(ISNUMBER(SEARCH("rent",$B900))+ISNUMBER(SEARCH("upa",$B900))+ISNUMBER(SEARCH("salary",$B900))+ISNUMBER(SEARCH("sweldo",$B900))+ISNUMBER(SEARCH("wage",$B900))+ISNUMBER(SEARCH("electric",$B900))+ISNUMBER(SEARCH("kuryente",$B900))+ISNUMBER(SEARCH("water",$B900))+ISNUMBER(SEARCH("tubig",$B900))+ISNUMBER(SEARCH("internet",$B900))+ISNUMBER(SEARCH("pldt",$B900))+ISNUMBER(SEARCH("meralco",$B900))+ISNUMBER(SEARCH("supplies",$B900))+ISNUMBER(SEARCH("office",$B900))+ISNUMBER(SEARCH("professional",$B900))+ISNUMBER(SEARCH("accountant",$B900))+ISNUMBER(SEARCH("lawyer",$B900))+ISNUMBER(SEARCH("broker",$B900))+ISNUMBER(SEARCH("bank",$B900))+ISNUMBER(SEARCH("charge",$B900))+ISNUMBER(SEARCH("permit",$B900))+ISNUMBER(SEARCH("bir",$B900))+ISNUMBER(SEARCH("ltfrb",$B900))+ISNUMBER(SEARCH("misc",$B900))+ISNUMBER(SEARCH("fee",$B900))&gt;0,"Overhead","Overhead")))))))</f>
        <v/>
      </c>
      <c r="J900">
        <f>IF($A900="","",DATE(YEAR($A900),MONTH($A900),1))</f>
        <v/>
      </c>
      <c r="K900">
        <f>IF($B900="","",IF(COUNTIF(Setup!$A$99:$A$128,$B900)&gt;0,0,1))</f>
        <v/>
      </c>
      <c r="L900">
        <f>IF($B900="","",IF(ISNUMBER(SEARCH("advance",$B900)),"ADV",IF(OR(ISNUMBER(SEARCH("payout",$B900)),ISNUMBER(SEARCH("pay out",$B900)),ISNUMBER(SEARCH("release",$B900))),"PAY","")))</f>
        <v/>
      </c>
      <c r="M900">
        <f>IF($B900="","",IF(ISNUMBER(SEARCH("bulk",$B900)),0,IF(ISNUMBER(SEARCH("fuel",$B900))+ISNUMBER(SEARCH("diesel",$B900))+ISNUMBER(SEARCH("krudo",$B900))+ISNUMBER(SEARCH("gasolina",$B900))&gt;0,1,0)))</f>
        <v/>
      </c>
      <c r="N900">
        <f>IF($B900="","",IF(ISNUMBER(SEARCH("fuel",$B900))+ISNUMBER(SEARCH("diesel",$B900))+ISNUMBER(SEARCH("krudo",$B900))+ISNUMBER(SEARCH("gasolina",$B900))&gt;0,1,0))</f>
        <v/>
      </c>
    </row>
    <row r="901">
      <c r="A901" s="86" t="n"/>
      <c r="B901" s="88" t="n"/>
      <c r="C901" s="88" t="n"/>
      <c r="D901" s="87" t="n"/>
      <c r="E901" s="88" t="n"/>
      <c r="F901" s="92" t="n"/>
      <c r="G901" s="87" t="n"/>
      <c r="H901" s="87" t="n"/>
      <c r="I901" s="101">
        <f>IF($B901="","",IF(COUNTIF(Setup!$A$99:$A$128,$B901)&gt;0,IF(INDEX(Setup!$B$99:$B$128,MATCH($B901,Setup!$A$99:$A$128,0))="","Overhead",INDEX(Setup!$B$99:$B$128,MATCH($B901,Setup!$A$99:$A$128,0))),IF(ISNUMBER(SEARCH("advance",$B901))+ISNUMBER(SEARCH("payout",$B901))+ISNUMBER(SEARCH("pay out",$B901))+ISNUMBER(SEARCH("reimburs",$B901))&gt;0,"Transfer",IF(ISNUMBER(SEARCH("loan",$B901))+ISNUMBER(SEARCH("amort",$B901))+ISNUMBER(SEARCH("installment",$B901))+ISNUMBER(SEARCH("instalment",$B901))&gt;0,"Financing",IF(ISNUMBER(SEARCH("draw",$B901))+ISNUMBER(SEARCH("owner",$B901))+ISNUMBER(SEARCH("asset",$B901))+ISNUMBER(SEARCH("capital",$B901))&gt;0,"Other",IF(ISNUMBER(SEARCH("fuel",$B901))+ISNUMBER(SEARCH("diesel",$B901))+ISNUMBER(SEARCH("krudo",$B901))+ISNUMBER(SEARCH("gasolina",$B901))+ISNUMBER(SEARCH("toll",$B901))+ISNUMBER(SEARCH("parking",$B901))+ISNUMBER(SEARCH("repair",$B901))+ISNUMBER(SEARCH("maintenance",$B901))+ISNUMBER(SEARCH("tire",$B901))+ISNUMBER(SEARCH("tyre",$B901))+ISNUMBER(SEARCH("battery",$B901))+ISNUMBER(SEARCH("oil",$B901))+ISNUMBER(SEARCH("filter",$B901))+ISNUMBER(SEARCH("spare",$B901))+ISNUMBER(SEARCH("insurance",$B901))+ISNUMBER(SEARCH("lto",$B901))+ISNUMBER(SEARCH("registration",$B901))+ISNUMBER(SEARCH("emission",$B901))+ISNUMBER(SEARCH("wash",$B901))+ISNUMBER(SEARCH("weigh",$B901))+ISNUMBER(SEARCH("tarp",$B901))&gt;0,"Vehicle",IF(ISNUMBER(SEARCH("rent",$B901))+ISNUMBER(SEARCH("upa",$B901))+ISNUMBER(SEARCH("salary",$B901))+ISNUMBER(SEARCH("sweldo",$B901))+ISNUMBER(SEARCH("wage",$B901))+ISNUMBER(SEARCH("electric",$B901))+ISNUMBER(SEARCH("kuryente",$B901))+ISNUMBER(SEARCH("water",$B901))+ISNUMBER(SEARCH("tubig",$B901))+ISNUMBER(SEARCH("internet",$B901))+ISNUMBER(SEARCH("pldt",$B901))+ISNUMBER(SEARCH("meralco",$B901))+ISNUMBER(SEARCH("supplies",$B901))+ISNUMBER(SEARCH("office",$B901))+ISNUMBER(SEARCH("professional",$B901))+ISNUMBER(SEARCH("accountant",$B901))+ISNUMBER(SEARCH("lawyer",$B901))+ISNUMBER(SEARCH("broker",$B901))+ISNUMBER(SEARCH("bank",$B901))+ISNUMBER(SEARCH("charge",$B901))+ISNUMBER(SEARCH("permit",$B901))+ISNUMBER(SEARCH("bir",$B901))+ISNUMBER(SEARCH("ltfrb",$B901))+ISNUMBER(SEARCH("misc",$B901))+ISNUMBER(SEARCH("fee",$B901))&gt;0,"Overhead","Overhead")))))))</f>
        <v/>
      </c>
      <c r="J901">
        <f>IF($A901="","",DATE(YEAR($A901),MONTH($A901),1))</f>
        <v/>
      </c>
      <c r="K901">
        <f>IF($B901="","",IF(COUNTIF(Setup!$A$99:$A$128,$B901)&gt;0,0,1))</f>
        <v/>
      </c>
      <c r="L901">
        <f>IF($B901="","",IF(ISNUMBER(SEARCH("advance",$B901)),"ADV",IF(OR(ISNUMBER(SEARCH("payout",$B901)),ISNUMBER(SEARCH("pay out",$B901)),ISNUMBER(SEARCH("release",$B901))),"PAY","")))</f>
        <v/>
      </c>
      <c r="M901">
        <f>IF($B901="","",IF(ISNUMBER(SEARCH("bulk",$B901)),0,IF(ISNUMBER(SEARCH("fuel",$B901))+ISNUMBER(SEARCH("diesel",$B901))+ISNUMBER(SEARCH("krudo",$B901))+ISNUMBER(SEARCH("gasolina",$B901))&gt;0,1,0)))</f>
        <v/>
      </c>
      <c r="N901">
        <f>IF($B901="","",IF(ISNUMBER(SEARCH("fuel",$B901))+ISNUMBER(SEARCH("diesel",$B901))+ISNUMBER(SEARCH("krudo",$B901))+ISNUMBER(SEARCH("gasolina",$B901))&gt;0,1,0))</f>
        <v/>
      </c>
    </row>
    <row r="902">
      <c r="A902" s="94" t="n"/>
      <c r="B902" s="96" t="n"/>
      <c r="C902" s="96" t="n"/>
      <c r="D902" s="95" t="n"/>
      <c r="E902" s="96" t="n"/>
      <c r="F902" s="99" t="n"/>
      <c r="G902" s="95" t="n"/>
      <c r="H902" s="95" t="n"/>
      <c r="I902" s="101">
        <f>IF($B902="","",IF(COUNTIF(Setup!$A$99:$A$128,$B902)&gt;0,IF(INDEX(Setup!$B$99:$B$128,MATCH($B902,Setup!$A$99:$A$128,0))="","Overhead",INDEX(Setup!$B$99:$B$128,MATCH($B902,Setup!$A$99:$A$128,0))),IF(ISNUMBER(SEARCH("advance",$B902))+ISNUMBER(SEARCH("payout",$B902))+ISNUMBER(SEARCH("pay out",$B902))+ISNUMBER(SEARCH("reimburs",$B902))&gt;0,"Transfer",IF(ISNUMBER(SEARCH("loan",$B902))+ISNUMBER(SEARCH("amort",$B902))+ISNUMBER(SEARCH("installment",$B902))+ISNUMBER(SEARCH("instalment",$B902))&gt;0,"Financing",IF(ISNUMBER(SEARCH("draw",$B902))+ISNUMBER(SEARCH("owner",$B902))+ISNUMBER(SEARCH("asset",$B902))+ISNUMBER(SEARCH("capital",$B902))&gt;0,"Other",IF(ISNUMBER(SEARCH("fuel",$B902))+ISNUMBER(SEARCH("diesel",$B902))+ISNUMBER(SEARCH("krudo",$B902))+ISNUMBER(SEARCH("gasolina",$B902))+ISNUMBER(SEARCH("toll",$B902))+ISNUMBER(SEARCH("parking",$B902))+ISNUMBER(SEARCH("repair",$B902))+ISNUMBER(SEARCH("maintenance",$B902))+ISNUMBER(SEARCH("tire",$B902))+ISNUMBER(SEARCH("tyre",$B902))+ISNUMBER(SEARCH("battery",$B902))+ISNUMBER(SEARCH("oil",$B902))+ISNUMBER(SEARCH("filter",$B902))+ISNUMBER(SEARCH("spare",$B902))+ISNUMBER(SEARCH("insurance",$B902))+ISNUMBER(SEARCH("lto",$B902))+ISNUMBER(SEARCH("registration",$B902))+ISNUMBER(SEARCH("emission",$B902))+ISNUMBER(SEARCH("wash",$B902))+ISNUMBER(SEARCH("weigh",$B902))+ISNUMBER(SEARCH("tarp",$B902))&gt;0,"Vehicle",IF(ISNUMBER(SEARCH("rent",$B902))+ISNUMBER(SEARCH("upa",$B902))+ISNUMBER(SEARCH("salary",$B902))+ISNUMBER(SEARCH("sweldo",$B902))+ISNUMBER(SEARCH("wage",$B902))+ISNUMBER(SEARCH("electric",$B902))+ISNUMBER(SEARCH("kuryente",$B902))+ISNUMBER(SEARCH("water",$B902))+ISNUMBER(SEARCH("tubig",$B902))+ISNUMBER(SEARCH("internet",$B902))+ISNUMBER(SEARCH("pldt",$B902))+ISNUMBER(SEARCH("meralco",$B902))+ISNUMBER(SEARCH("supplies",$B902))+ISNUMBER(SEARCH("office",$B902))+ISNUMBER(SEARCH("professional",$B902))+ISNUMBER(SEARCH("accountant",$B902))+ISNUMBER(SEARCH("lawyer",$B902))+ISNUMBER(SEARCH("broker",$B902))+ISNUMBER(SEARCH("bank",$B902))+ISNUMBER(SEARCH("charge",$B902))+ISNUMBER(SEARCH("permit",$B902))+ISNUMBER(SEARCH("bir",$B902))+ISNUMBER(SEARCH("ltfrb",$B902))+ISNUMBER(SEARCH("misc",$B902))+ISNUMBER(SEARCH("fee",$B902))&gt;0,"Overhead","Overhead")))))))</f>
        <v/>
      </c>
      <c r="J902">
        <f>IF($A902="","",DATE(YEAR($A902),MONTH($A902),1))</f>
        <v/>
      </c>
      <c r="K902">
        <f>IF($B902="","",IF(COUNTIF(Setup!$A$99:$A$128,$B902)&gt;0,0,1))</f>
        <v/>
      </c>
      <c r="L902">
        <f>IF($B902="","",IF(ISNUMBER(SEARCH("advance",$B902)),"ADV",IF(OR(ISNUMBER(SEARCH("payout",$B902)),ISNUMBER(SEARCH("pay out",$B902)),ISNUMBER(SEARCH("release",$B902))),"PAY","")))</f>
        <v/>
      </c>
      <c r="M902">
        <f>IF($B902="","",IF(ISNUMBER(SEARCH("bulk",$B902)),0,IF(ISNUMBER(SEARCH("fuel",$B902))+ISNUMBER(SEARCH("diesel",$B902))+ISNUMBER(SEARCH("krudo",$B902))+ISNUMBER(SEARCH("gasolina",$B902))&gt;0,1,0)))</f>
        <v/>
      </c>
      <c r="N902">
        <f>IF($B902="","",IF(ISNUMBER(SEARCH("fuel",$B902))+ISNUMBER(SEARCH("diesel",$B902))+ISNUMBER(SEARCH("krudo",$B902))+ISNUMBER(SEARCH("gasolina",$B902))&gt;0,1,0))</f>
        <v/>
      </c>
    </row>
    <row r="903">
      <c r="A903" s="86" t="n"/>
      <c r="B903" s="88" t="n"/>
      <c r="C903" s="88" t="n"/>
      <c r="D903" s="87" t="n"/>
      <c r="E903" s="88" t="n"/>
      <c r="F903" s="92" t="n"/>
      <c r="G903" s="87" t="n"/>
      <c r="H903" s="87" t="n"/>
      <c r="I903" s="101">
        <f>IF($B903="","",IF(COUNTIF(Setup!$A$99:$A$128,$B903)&gt;0,IF(INDEX(Setup!$B$99:$B$128,MATCH($B903,Setup!$A$99:$A$128,0))="","Overhead",INDEX(Setup!$B$99:$B$128,MATCH($B903,Setup!$A$99:$A$128,0))),IF(ISNUMBER(SEARCH("advance",$B903))+ISNUMBER(SEARCH("payout",$B903))+ISNUMBER(SEARCH("pay out",$B903))+ISNUMBER(SEARCH("reimburs",$B903))&gt;0,"Transfer",IF(ISNUMBER(SEARCH("loan",$B903))+ISNUMBER(SEARCH("amort",$B903))+ISNUMBER(SEARCH("installment",$B903))+ISNUMBER(SEARCH("instalment",$B903))&gt;0,"Financing",IF(ISNUMBER(SEARCH("draw",$B903))+ISNUMBER(SEARCH("owner",$B903))+ISNUMBER(SEARCH("asset",$B903))+ISNUMBER(SEARCH("capital",$B903))&gt;0,"Other",IF(ISNUMBER(SEARCH("fuel",$B903))+ISNUMBER(SEARCH("diesel",$B903))+ISNUMBER(SEARCH("krudo",$B903))+ISNUMBER(SEARCH("gasolina",$B903))+ISNUMBER(SEARCH("toll",$B903))+ISNUMBER(SEARCH("parking",$B903))+ISNUMBER(SEARCH("repair",$B903))+ISNUMBER(SEARCH("maintenance",$B903))+ISNUMBER(SEARCH("tire",$B903))+ISNUMBER(SEARCH("tyre",$B903))+ISNUMBER(SEARCH("battery",$B903))+ISNUMBER(SEARCH("oil",$B903))+ISNUMBER(SEARCH("filter",$B903))+ISNUMBER(SEARCH("spare",$B903))+ISNUMBER(SEARCH("insurance",$B903))+ISNUMBER(SEARCH("lto",$B903))+ISNUMBER(SEARCH("registration",$B903))+ISNUMBER(SEARCH("emission",$B903))+ISNUMBER(SEARCH("wash",$B903))+ISNUMBER(SEARCH("weigh",$B903))+ISNUMBER(SEARCH("tarp",$B903))&gt;0,"Vehicle",IF(ISNUMBER(SEARCH("rent",$B903))+ISNUMBER(SEARCH("upa",$B903))+ISNUMBER(SEARCH("salary",$B903))+ISNUMBER(SEARCH("sweldo",$B903))+ISNUMBER(SEARCH("wage",$B903))+ISNUMBER(SEARCH("electric",$B903))+ISNUMBER(SEARCH("kuryente",$B903))+ISNUMBER(SEARCH("water",$B903))+ISNUMBER(SEARCH("tubig",$B903))+ISNUMBER(SEARCH("internet",$B903))+ISNUMBER(SEARCH("pldt",$B903))+ISNUMBER(SEARCH("meralco",$B903))+ISNUMBER(SEARCH("supplies",$B903))+ISNUMBER(SEARCH("office",$B903))+ISNUMBER(SEARCH("professional",$B903))+ISNUMBER(SEARCH("accountant",$B903))+ISNUMBER(SEARCH("lawyer",$B903))+ISNUMBER(SEARCH("broker",$B903))+ISNUMBER(SEARCH("bank",$B903))+ISNUMBER(SEARCH("charge",$B903))+ISNUMBER(SEARCH("permit",$B903))+ISNUMBER(SEARCH("bir",$B903))+ISNUMBER(SEARCH("ltfrb",$B903))+ISNUMBER(SEARCH("misc",$B903))+ISNUMBER(SEARCH("fee",$B903))&gt;0,"Overhead","Overhead")))))))</f>
        <v/>
      </c>
      <c r="J903">
        <f>IF($A903="","",DATE(YEAR($A903),MONTH($A903),1))</f>
        <v/>
      </c>
      <c r="K903">
        <f>IF($B903="","",IF(COUNTIF(Setup!$A$99:$A$128,$B903)&gt;0,0,1))</f>
        <v/>
      </c>
      <c r="L903">
        <f>IF($B903="","",IF(ISNUMBER(SEARCH("advance",$B903)),"ADV",IF(OR(ISNUMBER(SEARCH("payout",$B903)),ISNUMBER(SEARCH("pay out",$B903)),ISNUMBER(SEARCH("release",$B903))),"PAY","")))</f>
        <v/>
      </c>
      <c r="M903">
        <f>IF($B903="","",IF(ISNUMBER(SEARCH("bulk",$B903)),0,IF(ISNUMBER(SEARCH("fuel",$B903))+ISNUMBER(SEARCH("diesel",$B903))+ISNUMBER(SEARCH("krudo",$B903))+ISNUMBER(SEARCH("gasolina",$B903))&gt;0,1,0)))</f>
        <v/>
      </c>
      <c r="N903">
        <f>IF($B903="","",IF(ISNUMBER(SEARCH("fuel",$B903))+ISNUMBER(SEARCH("diesel",$B903))+ISNUMBER(SEARCH("krudo",$B903))+ISNUMBER(SEARCH("gasolina",$B903))&gt;0,1,0))</f>
        <v/>
      </c>
    </row>
    <row r="904">
      <c r="A904" s="94" t="n"/>
      <c r="B904" s="96" t="n"/>
      <c r="C904" s="96" t="n"/>
      <c r="D904" s="95" t="n"/>
      <c r="E904" s="96" t="n"/>
      <c r="F904" s="99" t="n"/>
      <c r="G904" s="95" t="n"/>
      <c r="H904" s="95" t="n"/>
      <c r="I904" s="101">
        <f>IF($B904="","",IF(COUNTIF(Setup!$A$99:$A$128,$B904)&gt;0,IF(INDEX(Setup!$B$99:$B$128,MATCH($B904,Setup!$A$99:$A$128,0))="","Overhead",INDEX(Setup!$B$99:$B$128,MATCH($B904,Setup!$A$99:$A$128,0))),IF(ISNUMBER(SEARCH("advance",$B904))+ISNUMBER(SEARCH("payout",$B904))+ISNUMBER(SEARCH("pay out",$B904))+ISNUMBER(SEARCH("reimburs",$B904))&gt;0,"Transfer",IF(ISNUMBER(SEARCH("loan",$B904))+ISNUMBER(SEARCH("amort",$B904))+ISNUMBER(SEARCH("installment",$B904))+ISNUMBER(SEARCH("instalment",$B904))&gt;0,"Financing",IF(ISNUMBER(SEARCH("draw",$B904))+ISNUMBER(SEARCH("owner",$B904))+ISNUMBER(SEARCH("asset",$B904))+ISNUMBER(SEARCH("capital",$B904))&gt;0,"Other",IF(ISNUMBER(SEARCH("fuel",$B904))+ISNUMBER(SEARCH("diesel",$B904))+ISNUMBER(SEARCH("krudo",$B904))+ISNUMBER(SEARCH("gasolina",$B904))+ISNUMBER(SEARCH("toll",$B904))+ISNUMBER(SEARCH("parking",$B904))+ISNUMBER(SEARCH("repair",$B904))+ISNUMBER(SEARCH("maintenance",$B904))+ISNUMBER(SEARCH("tire",$B904))+ISNUMBER(SEARCH("tyre",$B904))+ISNUMBER(SEARCH("battery",$B904))+ISNUMBER(SEARCH("oil",$B904))+ISNUMBER(SEARCH("filter",$B904))+ISNUMBER(SEARCH("spare",$B904))+ISNUMBER(SEARCH("insurance",$B904))+ISNUMBER(SEARCH("lto",$B904))+ISNUMBER(SEARCH("registration",$B904))+ISNUMBER(SEARCH("emission",$B904))+ISNUMBER(SEARCH("wash",$B904))+ISNUMBER(SEARCH("weigh",$B904))+ISNUMBER(SEARCH("tarp",$B904))&gt;0,"Vehicle",IF(ISNUMBER(SEARCH("rent",$B904))+ISNUMBER(SEARCH("upa",$B904))+ISNUMBER(SEARCH("salary",$B904))+ISNUMBER(SEARCH("sweldo",$B904))+ISNUMBER(SEARCH("wage",$B904))+ISNUMBER(SEARCH("electric",$B904))+ISNUMBER(SEARCH("kuryente",$B904))+ISNUMBER(SEARCH("water",$B904))+ISNUMBER(SEARCH("tubig",$B904))+ISNUMBER(SEARCH("internet",$B904))+ISNUMBER(SEARCH("pldt",$B904))+ISNUMBER(SEARCH("meralco",$B904))+ISNUMBER(SEARCH("supplies",$B904))+ISNUMBER(SEARCH("office",$B904))+ISNUMBER(SEARCH("professional",$B904))+ISNUMBER(SEARCH("accountant",$B904))+ISNUMBER(SEARCH("lawyer",$B904))+ISNUMBER(SEARCH("broker",$B904))+ISNUMBER(SEARCH("bank",$B904))+ISNUMBER(SEARCH("charge",$B904))+ISNUMBER(SEARCH("permit",$B904))+ISNUMBER(SEARCH("bir",$B904))+ISNUMBER(SEARCH("ltfrb",$B904))+ISNUMBER(SEARCH("misc",$B904))+ISNUMBER(SEARCH("fee",$B904))&gt;0,"Overhead","Overhead")))))))</f>
        <v/>
      </c>
      <c r="J904">
        <f>IF($A904="","",DATE(YEAR($A904),MONTH($A904),1))</f>
        <v/>
      </c>
      <c r="K904">
        <f>IF($B904="","",IF(COUNTIF(Setup!$A$99:$A$128,$B904)&gt;0,0,1))</f>
        <v/>
      </c>
      <c r="L904">
        <f>IF($B904="","",IF(ISNUMBER(SEARCH("advance",$B904)),"ADV",IF(OR(ISNUMBER(SEARCH("payout",$B904)),ISNUMBER(SEARCH("pay out",$B904)),ISNUMBER(SEARCH("release",$B904))),"PAY","")))</f>
        <v/>
      </c>
      <c r="M904">
        <f>IF($B904="","",IF(ISNUMBER(SEARCH("bulk",$B904)),0,IF(ISNUMBER(SEARCH("fuel",$B904))+ISNUMBER(SEARCH("diesel",$B904))+ISNUMBER(SEARCH("krudo",$B904))+ISNUMBER(SEARCH("gasolina",$B904))&gt;0,1,0)))</f>
        <v/>
      </c>
      <c r="N904">
        <f>IF($B904="","",IF(ISNUMBER(SEARCH("fuel",$B904))+ISNUMBER(SEARCH("diesel",$B904))+ISNUMBER(SEARCH("krudo",$B904))+ISNUMBER(SEARCH("gasolina",$B904))&gt;0,1,0))</f>
        <v/>
      </c>
    </row>
    <row r="905">
      <c r="A905" s="86" t="n"/>
      <c r="B905" s="88" t="n"/>
      <c r="C905" s="88" t="n"/>
      <c r="D905" s="87" t="n"/>
      <c r="E905" s="88" t="n"/>
      <c r="F905" s="92" t="n"/>
      <c r="G905" s="87" t="n"/>
      <c r="H905" s="87" t="n"/>
      <c r="I905" s="101">
        <f>IF($B905="","",IF(COUNTIF(Setup!$A$99:$A$128,$B905)&gt;0,IF(INDEX(Setup!$B$99:$B$128,MATCH($B905,Setup!$A$99:$A$128,0))="","Overhead",INDEX(Setup!$B$99:$B$128,MATCH($B905,Setup!$A$99:$A$128,0))),IF(ISNUMBER(SEARCH("advance",$B905))+ISNUMBER(SEARCH("payout",$B905))+ISNUMBER(SEARCH("pay out",$B905))+ISNUMBER(SEARCH("reimburs",$B905))&gt;0,"Transfer",IF(ISNUMBER(SEARCH("loan",$B905))+ISNUMBER(SEARCH("amort",$B905))+ISNUMBER(SEARCH("installment",$B905))+ISNUMBER(SEARCH("instalment",$B905))&gt;0,"Financing",IF(ISNUMBER(SEARCH("draw",$B905))+ISNUMBER(SEARCH("owner",$B905))+ISNUMBER(SEARCH("asset",$B905))+ISNUMBER(SEARCH("capital",$B905))&gt;0,"Other",IF(ISNUMBER(SEARCH("fuel",$B905))+ISNUMBER(SEARCH("diesel",$B905))+ISNUMBER(SEARCH("krudo",$B905))+ISNUMBER(SEARCH("gasolina",$B905))+ISNUMBER(SEARCH("toll",$B905))+ISNUMBER(SEARCH("parking",$B905))+ISNUMBER(SEARCH("repair",$B905))+ISNUMBER(SEARCH("maintenance",$B905))+ISNUMBER(SEARCH("tire",$B905))+ISNUMBER(SEARCH("tyre",$B905))+ISNUMBER(SEARCH("battery",$B905))+ISNUMBER(SEARCH("oil",$B905))+ISNUMBER(SEARCH("filter",$B905))+ISNUMBER(SEARCH("spare",$B905))+ISNUMBER(SEARCH("insurance",$B905))+ISNUMBER(SEARCH("lto",$B905))+ISNUMBER(SEARCH("registration",$B905))+ISNUMBER(SEARCH("emission",$B905))+ISNUMBER(SEARCH("wash",$B905))+ISNUMBER(SEARCH("weigh",$B905))+ISNUMBER(SEARCH("tarp",$B905))&gt;0,"Vehicle",IF(ISNUMBER(SEARCH("rent",$B905))+ISNUMBER(SEARCH("upa",$B905))+ISNUMBER(SEARCH("salary",$B905))+ISNUMBER(SEARCH("sweldo",$B905))+ISNUMBER(SEARCH("wage",$B905))+ISNUMBER(SEARCH("electric",$B905))+ISNUMBER(SEARCH("kuryente",$B905))+ISNUMBER(SEARCH("water",$B905))+ISNUMBER(SEARCH("tubig",$B905))+ISNUMBER(SEARCH("internet",$B905))+ISNUMBER(SEARCH("pldt",$B905))+ISNUMBER(SEARCH("meralco",$B905))+ISNUMBER(SEARCH("supplies",$B905))+ISNUMBER(SEARCH("office",$B905))+ISNUMBER(SEARCH("professional",$B905))+ISNUMBER(SEARCH("accountant",$B905))+ISNUMBER(SEARCH("lawyer",$B905))+ISNUMBER(SEARCH("broker",$B905))+ISNUMBER(SEARCH("bank",$B905))+ISNUMBER(SEARCH("charge",$B905))+ISNUMBER(SEARCH("permit",$B905))+ISNUMBER(SEARCH("bir",$B905))+ISNUMBER(SEARCH("ltfrb",$B905))+ISNUMBER(SEARCH("misc",$B905))+ISNUMBER(SEARCH("fee",$B905))&gt;0,"Overhead","Overhead")))))))</f>
        <v/>
      </c>
      <c r="J905">
        <f>IF($A905="","",DATE(YEAR($A905),MONTH($A905),1))</f>
        <v/>
      </c>
      <c r="K905">
        <f>IF($B905="","",IF(COUNTIF(Setup!$A$99:$A$128,$B905)&gt;0,0,1))</f>
        <v/>
      </c>
      <c r="L905">
        <f>IF($B905="","",IF(ISNUMBER(SEARCH("advance",$B905)),"ADV",IF(OR(ISNUMBER(SEARCH("payout",$B905)),ISNUMBER(SEARCH("pay out",$B905)),ISNUMBER(SEARCH("release",$B905))),"PAY","")))</f>
        <v/>
      </c>
      <c r="M905">
        <f>IF($B905="","",IF(ISNUMBER(SEARCH("bulk",$B905)),0,IF(ISNUMBER(SEARCH("fuel",$B905))+ISNUMBER(SEARCH("diesel",$B905))+ISNUMBER(SEARCH("krudo",$B905))+ISNUMBER(SEARCH("gasolina",$B905))&gt;0,1,0)))</f>
        <v/>
      </c>
      <c r="N905">
        <f>IF($B905="","",IF(ISNUMBER(SEARCH("fuel",$B905))+ISNUMBER(SEARCH("diesel",$B905))+ISNUMBER(SEARCH("krudo",$B905))+ISNUMBER(SEARCH("gasolina",$B905))&gt;0,1,0))</f>
        <v/>
      </c>
    </row>
    <row r="906">
      <c r="A906" s="94" t="n"/>
      <c r="B906" s="96" t="n"/>
      <c r="C906" s="96" t="n"/>
      <c r="D906" s="95" t="n"/>
      <c r="E906" s="96" t="n"/>
      <c r="F906" s="99" t="n"/>
      <c r="G906" s="95" t="n"/>
      <c r="H906" s="95" t="n"/>
      <c r="I906" s="101">
        <f>IF($B906="","",IF(COUNTIF(Setup!$A$99:$A$128,$B906)&gt;0,IF(INDEX(Setup!$B$99:$B$128,MATCH($B906,Setup!$A$99:$A$128,0))="","Overhead",INDEX(Setup!$B$99:$B$128,MATCH($B906,Setup!$A$99:$A$128,0))),IF(ISNUMBER(SEARCH("advance",$B906))+ISNUMBER(SEARCH("payout",$B906))+ISNUMBER(SEARCH("pay out",$B906))+ISNUMBER(SEARCH("reimburs",$B906))&gt;0,"Transfer",IF(ISNUMBER(SEARCH("loan",$B906))+ISNUMBER(SEARCH("amort",$B906))+ISNUMBER(SEARCH("installment",$B906))+ISNUMBER(SEARCH("instalment",$B906))&gt;0,"Financing",IF(ISNUMBER(SEARCH("draw",$B906))+ISNUMBER(SEARCH("owner",$B906))+ISNUMBER(SEARCH("asset",$B906))+ISNUMBER(SEARCH("capital",$B906))&gt;0,"Other",IF(ISNUMBER(SEARCH("fuel",$B906))+ISNUMBER(SEARCH("diesel",$B906))+ISNUMBER(SEARCH("krudo",$B906))+ISNUMBER(SEARCH("gasolina",$B906))+ISNUMBER(SEARCH("toll",$B906))+ISNUMBER(SEARCH("parking",$B906))+ISNUMBER(SEARCH("repair",$B906))+ISNUMBER(SEARCH("maintenance",$B906))+ISNUMBER(SEARCH("tire",$B906))+ISNUMBER(SEARCH("tyre",$B906))+ISNUMBER(SEARCH("battery",$B906))+ISNUMBER(SEARCH("oil",$B906))+ISNUMBER(SEARCH("filter",$B906))+ISNUMBER(SEARCH("spare",$B906))+ISNUMBER(SEARCH("insurance",$B906))+ISNUMBER(SEARCH("lto",$B906))+ISNUMBER(SEARCH("registration",$B906))+ISNUMBER(SEARCH("emission",$B906))+ISNUMBER(SEARCH("wash",$B906))+ISNUMBER(SEARCH("weigh",$B906))+ISNUMBER(SEARCH("tarp",$B906))&gt;0,"Vehicle",IF(ISNUMBER(SEARCH("rent",$B906))+ISNUMBER(SEARCH("upa",$B906))+ISNUMBER(SEARCH("salary",$B906))+ISNUMBER(SEARCH("sweldo",$B906))+ISNUMBER(SEARCH("wage",$B906))+ISNUMBER(SEARCH("electric",$B906))+ISNUMBER(SEARCH("kuryente",$B906))+ISNUMBER(SEARCH("water",$B906))+ISNUMBER(SEARCH("tubig",$B906))+ISNUMBER(SEARCH("internet",$B906))+ISNUMBER(SEARCH("pldt",$B906))+ISNUMBER(SEARCH("meralco",$B906))+ISNUMBER(SEARCH("supplies",$B906))+ISNUMBER(SEARCH("office",$B906))+ISNUMBER(SEARCH("professional",$B906))+ISNUMBER(SEARCH("accountant",$B906))+ISNUMBER(SEARCH("lawyer",$B906))+ISNUMBER(SEARCH("broker",$B906))+ISNUMBER(SEARCH("bank",$B906))+ISNUMBER(SEARCH("charge",$B906))+ISNUMBER(SEARCH("permit",$B906))+ISNUMBER(SEARCH("bir",$B906))+ISNUMBER(SEARCH("ltfrb",$B906))+ISNUMBER(SEARCH("misc",$B906))+ISNUMBER(SEARCH("fee",$B906))&gt;0,"Overhead","Overhead")))))))</f>
        <v/>
      </c>
      <c r="J906">
        <f>IF($A906="","",DATE(YEAR($A906),MONTH($A906),1))</f>
        <v/>
      </c>
      <c r="K906">
        <f>IF($B906="","",IF(COUNTIF(Setup!$A$99:$A$128,$B906)&gt;0,0,1))</f>
        <v/>
      </c>
      <c r="L906">
        <f>IF($B906="","",IF(ISNUMBER(SEARCH("advance",$B906)),"ADV",IF(OR(ISNUMBER(SEARCH("payout",$B906)),ISNUMBER(SEARCH("pay out",$B906)),ISNUMBER(SEARCH("release",$B906))),"PAY","")))</f>
        <v/>
      </c>
      <c r="M906">
        <f>IF($B906="","",IF(ISNUMBER(SEARCH("bulk",$B906)),0,IF(ISNUMBER(SEARCH("fuel",$B906))+ISNUMBER(SEARCH("diesel",$B906))+ISNUMBER(SEARCH("krudo",$B906))+ISNUMBER(SEARCH("gasolina",$B906))&gt;0,1,0)))</f>
        <v/>
      </c>
      <c r="N906">
        <f>IF($B906="","",IF(ISNUMBER(SEARCH("fuel",$B906))+ISNUMBER(SEARCH("diesel",$B906))+ISNUMBER(SEARCH("krudo",$B906))+ISNUMBER(SEARCH("gasolina",$B906))&gt;0,1,0))</f>
        <v/>
      </c>
    </row>
    <row r="907">
      <c r="A907" s="86" t="n"/>
      <c r="B907" s="88" t="n"/>
      <c r="C907" s="88" t="n"/>
      <c r="D907" s="87" t="n"/>
      <c r="E907" s="88" t="n"/>
      <c r="F907" s="92" t="n"/>
      <c r="G907" s="87" t="n"/>
      <c r="H907" s="87" t="n"/>
      <c r="I907" s="101">
        <f>IF($B907="","",IF(COUNTIF(Setup!$A$99:$A$128,$B907)&gt;0,IF(INDEX(Setup!$B$99:$B$128,MATCH($B907,Setup!$A$99:$A$128,0))="","Overhead",INDEX(Setup!$B$99:$B$128,MATCH($B907,Setup!$A$99:$A$128,0))),IF(ISNUMBER(SEARCH("advance",$B907))+ISNUMBER(SEARCH("payout",$B907))+ISNUMBER(SEARCH("pay out",$B907))+ISNUMBER(SEARCH("reimburs",$B907))&gt;0,"Transfer",IF(ISNUMBER(SEARCH("loan",$B907))+ISNUMBER(SEARCH("amort",$B907))+ISNUMBER(SEARCH("installment",$B907))+ISNUMBER(SEARCH("instalment",$B907))&gt;0,"Financing",IF(ISNUMBER(SEARCH("draw",$B907))+ISNUMBER(SEARCH("owner",$B907))+ISNUMBER(SEARCH("asset",$B907))+ISNUMBER(SEARCH("capital",$B907))&gt;0,"Other",IF(ISNUMBER(SEARCH("fuel",$B907))+ISNUMBER(SEARCH("diesel",$B907))+ISNUMBER(SEARCH("krudo",$B907))+ISNUMBER(SEARCH("gasolina",$B907))+ISNUMBER(SEARCH("toll",$B907))+ISNUMBER(SEARCH("parking",$B907))+ISNUMBER(SEARCH("repair",$B907))+ISNUMBER(SEARCH("maintenance",$B907))+ISNUMBER(SEARCH("tire",$B907))+ISNUMBER(SEARCH("tyre",$B907))+ISNUMBER(SEARCH("battery",$B907))+ISNUMBER(SEARCH("oil",$B907))+ISNUMBER(SEARCH("filter",$B907))+ISNUMBER(SEARCH("spare",$B907))+ISNUMBER(SEARCH("insurance",$B907))+ISNUMBER(SEARCH("lto",$B907))+ISNUMBER(SEARCH("registration",$B907))+ISNUMBER(SEARCH("emission",$B907))+ISNUMBER(SEARCH("wash",$B907))+ISNUMBER(SEARCH("weigh",$B907))+ISNUMBER(SEARCH("tarp",$B907))&gt;0,"Vehicle",IF(ISNUMBER(SEARCH("rent",$B907))+ISNUMBER(SEARCH("upa",$B907))+ISNUMBER(SEARCH("salary",$B907))+ISNUMBER(SEARCH("sweldo",$B907))+ISNUMBER(SEARCH("wage",$B907))+ISNUMBER(SEARCH("electric",$B907))+ISNUMBER(SEARCH("kuryente",$B907))+ISNUMBER(SEARCH("water",$B907))+ISNUMBER(SEARCH("tubig",$B907))+ISNUMBER(SEARCH("internet",$B907))+ISNUMBER(SEARCH("pldt",$B907))+ISNUMBER(SEARCH("meralco",$B907))+ISNUMBER(SEARCH("supplies",$B907))+ISNUMBER(SEARCH("office",$B907))+ISNUMBER(SEARCH("professional",$B907))+ISNUMBER(SEARCH("accountant",$B907))+ISNUMBER(SEARCH("lawyer",$B907))+ISNUMBER(SEARCH("broker",$B907))+ISNUMBER(SEARCH("bank",$B907))+ISNUMBER(SEARCH("charge",$B907))+ISNUMBER(SEARCH("permit",$B907))+ISNUMBER(SEARCH("bir",$B907))+ISNUMBER(SEARCH("ltfrb",$B907))+ISNUMBER(SEARCH("misc",$B907))+ISNUMBER(SEARCH("fee",$B907))&gt;0,"Overhead","Overhead")))))))</f>
        <v/>
      </c>
      <c r="J907">
        <f>IF($A907="","",DATE(YEAR($A907),MONTH($A907),1))</f>
        <v/>
      </c>
      <c r="K907">
        <f>IF($B907="","",IF(COUNTIF(Setup!$A$99:$A$128,$B907)&gt;0,0,1))</f>
        <v/>
      </c>
      <c r="L907">
        <f>IF($B907="","",IF(ISNUMBER(SEARCH("advance",$B907)),"ADV",IF(OR(ISNUMBER(SEARCH("payout",$B907)),ISNUMBER(SEARCH("pay out",$B907)),ISNUMBER(SEARCH("release",$B907))),"PAY","")))</f>
        <v/>
      </c>
      <c r="M907">
        <f>IF($B907="","",IF(ISNUMBER(SEARCH("bulk",$B907)),0,IF(ISNUMBER(SEARCH("fuel",$B907))+ISNUMBER(SEARCH("diesel",$B907))+ISNUMBER(SEARCH("krudo",$B907))+ISNUMBER(SEARCH("gasolina",$B907))&gt;0,1,0)))</f>
        <v/>
      </c>
      <c r="N907">
        <f>IF($B907="","",IF(ISNUMBER(SEARCH("fuel",$B907))+ISNUMBER(SEARCH("diesel",$B907))+ISNUMBER(SEARCH("krudo",$B907))+ISNUMBER(SEARCH("gasolina",$B907))&gt;0,1,0))</f>
        <v/>
      </c>
    </row>
    <row r="908">
      <c r="A908" s="94" t="n"/>
      <c r="B908" s="96" t="n"/>
      <c r="C908" s="96" t="n"/>
      <c r="D908" s="95" t="n"/>
      <c r="E908" s="96" t="n"/>
      <c r="F908" s="99" t="n"/>
      <c r="G908" s="95" t="n"/>
      <c r="H908" s="95" t="n"/>
      <c r="I908" s="101">
        <f>IF($B908="","",IF(COUNTIF(Setup!$A$99:$A$128,$B908)&gt;0,IF(INDEX(Setup!$B$99:$B$128,MATCH($B908,Setup!$A$99:$A$128,0))="","Overhead",INDEX(Setup!$B$99:$B$128,MATCH($B908,Setup!$A$99:$A$128,0))),IF(ISNUMBER(SEARCH("advance",$B908))+ISNUMBER(SEARCH("payout",$B908))+ISNUMBER(SEARCH("pay out",$B908))+ISNUMBER(SEARCH("reimburs",$B908))&gt;0,"Transfer",IF(ISNUMBER(SEARCH("loan",$B908))+ISNUMBER(SEARCH("amort",$B908))+ISNUMBER(SEARCH("installment",$B908))+ISNUMBER(SEARCH("instalment",$B908))&gt;0,"Financing",IF(ISNUMBER(SEARCH("draw",$B908))+ISNUMBER(SEARCH("owner",$B908))+ISNUMBER(SEARCH("asset",$B908))+ISNUMBER(SEARCH("capital",$B908))&gt;0,"Other",IF(ISNUMBER(SEARCH("fuel",$B908))+ISNUMBER(SEARCH("diesel",$B908))+ISNUMBER(SEARCH("krudo",$B908))+ISNUMBER(SEARCH("gasolina",$B908))+ISNUMBER(SEARCH("toll",$B908))+ISNUMBER(SEARCH("parking",$B908))+ISNUMBER(SEARCH("repair",$B908))+ISNUMBER(SEARCH("maintenance",$B908))+ISNUMBER(SEARCH("tire",$B908))+ISNUMBER(SEARCH("tyre",$B908))+ISNUMBER(SEARCH("battery",$B908))+ISNUMBER(SEARCH("oil",$B908))+ISNUMBER(SEARCH("filter",$B908))+ISNUMBER(SEARCH("spare",$B908))+ISNUMBER(SEARCH("insurance",$B908))+ISNUMBER(SEARCH("lto",$B908))+ISNUMBER(SEARCH("registration",$B908))+ISNUMBER(SEARCH("emission",$B908))+ISNUMBER(SEARCH("wash",$B908))+ISNUMBER(SEARCH("weigh",$B908))+ISNUMBER(SEARCH("tarp",$B908))&gt;0,"Vehicle",IF(ISNUMBER(SEARCH("rent",$B908))+ISNUMBER(SEARCH("upa",$B908))+ISNUMBER(SEARCH("salary",$B908))+ISNUMBER(SEARCH("sweldo",$B908))+ISNUMBER(SEARCH("wage",$B908))+ISNUMBER(SEARCH("electric",$B908))+ISNUMBER(SEARCH("kuryente",$B908))+ISNUMBER(SEARCH("water",$B908))+ISNUMBER(SEARCH("tubig",$B908))+ISNUMBER(SEARCH("internet",$B908))+ISNUMBER(SEARCH("pldt",$B908))+ISNUMBER(SEARCH("meralco",$B908))+ISNUMBER(SEARCH("supplies",$B908))+ISNUMBER(SEARCH("office",$B908))+ISNUMBER(SEARCH("professional",$B908))+ISNUMBER(SEARCH("accountant",$B908))+ISNUMBER(SEARCH("lawyer",$B908))+ISNUMBER(SEARCH("broker",$B908))+ISNUMBER(SEARCH("bank",$B908))+ISNUMBER(SEARCH("charge",$B908))+ISNUMBER(SEARCH("permit",$B908))+ISNUMBER(SEARCH("bir",$B908))+ISNUMBER(SEARCH("ltfrb",$B908))+ISNUMBER(SEARCH("misc",$B908))+ISNUMBER(SEARCH("fee",$B908))&gt;0,"Overhead","Overhead")))))))</f>
        <v/>
      </c>
      <c r="J908">
        <f>IF($A908="","",DATE(YEAR($A908),MONTH($A908),1))</f>
        <v/>
      </c>
      <c r="K908">
        <f>IF($B908="","",IF(COUNTIF(Setup!$A$99:$A$128,$B908)&gt;0,0,1))</f>
        <v/>
      </c>
      <c r="L908">
        <f>IF($B908="","",IF(ISNUMBER(SEARCH("advance",$B908)),"ADV",IF(OR(ISNUMBER(SEARCH("payout",$B908)),ISNUMBER(SEARCH("pay out",$B908)),ISNUMBER(SEARCH("release",$B908))),"PAY","")))</f>
        <v/>
      </c>
      <c r="M908">
        <f>IF($B908="","",IF(ISNUMBER(SEARCH("bulk",$B908)),0,IF(ISNUMBER(SEARCH("fuel",$B908))+ISNUMBER(SEARCH("diesel",$B908))+ISNUMBER(SEARCH("krudo",$B908))+ISNUMBER(SEARCH("gasolina",$B908))&gt;0,1,0)))</f>
        <v/>
      </c>
      <c r="N908">
        <f>IF($B908="","",IF(ISNUMBER(SEARCH("fuel",$B908))+ISNUMBER(SEARCH("diesel",$B908))+ISNUMBER(SEARCH("krudo",$B908))+ISNUMBER(SEARCH("gasolina",$B908))&gt;0,1,0))</f>
        <v/>
      </c>
    </row>
    <row r="909">
      <c r="A909" s="86" t="n"/>
      <c r="B909" s="88" t="n"/>
      <c r="C909" s="88" t="n"/>
      <c r="D909" s="87" t="n"/>
      <c r="E909" s="88" t="n"/>
      <c r="F909" s="92" t="n"/>
      <c r="G909" s="87" t="n"/>
      <c r="H909" s="87" t="n"/>
      <c r="I909" s="101">
        <f>IF($B909="","",IF(COUNTIF(Setup!$A$99:$A$128,$B909)&gt;0,IF(INDEX(Setup!$B$99:$B$128,MATCH($B909,Setup!$A$99:$A$128,0))="","Overhead",INDEX(Setup!$B$99:$B$128,MATCH($B909,Setup!$A$99:$A$128,0))),IF(ISNUMBER(SEARCH("advance",$B909))+ISNUMBER(SEARCH("payout",$B909))+ISNUMBER(SEARCH("pay out",$B909))+ISNUMBER(SEARCH("reimburs",$B909))&gt;0,"Transfer",IF(ISNUMBER(SEARCH("loan",$B909))+ISNUMBER(SEARCH("amort",$B909))+ISNUMBER(SEARCH("installment",$B909))+ISNUMBER(SEARCH("instalment",$B909))&gt;0,"Financing",IF(ISNUMBER(SEARCH("draw",$B909))+ISNUMBER(SEARCH("owner",$B909))+ISNUMBER(SEARCH("asset",$B909))+ISNUMBER(SEARCH("capital",$B909))&gt;0,"Other",IF(ISNUMBER(SEARCH("fuel",$B909))+ISNUMBER(SEARCH("diesel",$B909))+ISNUMBER(SEARCH("krudo",$B909))+ISNUMBER(SEARCH("gasolina",$B909))+ISNUMBER(SEARCH("toll",$B909))+ISNUMBER(SEARCH("parking",$B909))+ISNUMBER(SEARCH("repair",$B909))+ISNUMBER(SEARCH("maintenance",$B909))+ISNUMBER(SEARCH("tire",$B909))+ISNUMBER(SEARCH("tyre",$B909))+ISNUMBER(SEARCH("battery",$B909))+ISNUMBER(SEARCH("oil",$B909))+ISNUMBER(SEARCH("filter",$B909))+ISNUMBER(SEARCH("spare",$B909))+ISNUMBER(SEARCH("insurance",$B909))+ISNUMBER(SEARCH("lto",$B909))+ISNUMBER(SEARCH("registration",$B909))+ISNUMBER(SEARCH("emission",$B909))+ISNUMBER(SEARCH("wash",$B909))+ISNUMBER(SEARCH("weigh",$B909))+ISNUMBER(SEARCH("tarp",$B909))&gt;0,"Vehicle",IF(ISNUMBER(SEARCH("rent",$B909))+ISNUMBER(SEARCH("upa",$B909))+ISNUMBER(SEARCH("salary",$B909))+ISNUMBER(SEARCH("sweldo",$B909))+ISNUMBER(SEARCH("wage",$B909))+ISNUMBER(SEARCH("electric",$B909))+ISNUMBER(SEARCH("kuryente",$B909))+ISNUMBER(SEARCH("water",$B909))+ISNUMBER(SEARCH("tubig",$B909))+ISNUMBER(SEARCH("internet",$B909))+ISNUMBER(SEARCH("pldt",$B909))+ISNUMBER(SEARCH("meralco",$B909))+ISNUMBER(SEARCH("supplies",$B909))+ISNUMBER(SEARCH("office",$B909))+ISNUMBER(SEARCH("professional",$B909))+ISNUMBER(SEARCH("accountant",$B909))+ISNUMBER(SEARCH("lawyer",$B909))+ISNUMBER(SEARCH("broker",$B909))+ISNUMBER(SEARCH("bank",$B909))+ISNUMBER(SEARCH("charge",$B909))+ISNUMBER(SEARCH("permit",$B909))+ISNUMBER(SEARCH("bir",$B909))+ISNUMBER(SEARCH("ltfrb",$B909))+ISNUMBER(SEARCH("misc",$B909))+ISNUMBER(SEARCH("fee",$B909))&gt;0,"Overhead","Overhead")))))))</f>
        <v/>
      </c>
      <c r="J909">
        <f>IF($A909="","",DATE(YEAR($A909),MONTH($A909),1))</f>
        <v/>
      </c>
      <c r="K909">
        <f>IF($B909="","",IF(COUNTIF(Setup!$A$99:$A$128,$B909)&gt;0,0,1))</f>
        <v/>
      </c>
      <c r="L909">
        <f>IF($B909="","",IF(ISNUMBER(SEARCH("advance",$B909)),"ADV",IF(OR(ISNUMBER(SEARCH("payout",$B909)),ISNUMBER(SEARCH("pay out",$B909)),ISNUMBER(SEARCH("release",$B909))),"PAY","")))</f>
        <v/>
      </c>
      <c r="M909">
        <f>IF($B909="","",IF(ISNUMBER(SEARCH("bulk",$B909)),0,IF(ISNUMBER(SEARCH("fuel",$B909))+ISNUMBER(SEARCH("diesel",$B909))+ISNUMBER(SEARCH("krudo",$B909))+ISNUMBER(SEARCH("gasolina",$B909))&gt;0,1,0)))</f>
        <v/>
      </c>
      <c r="N909">
        <f>IF($B909="","",IF(ISNUMBER(SEARCH("fuel",$B909))+ISNUMBER(SEARCH("diesel",$B909))+ISNUMBER(SEARCH("krudo",$B909))+ISNUMBER(SEARCH("gasolina",$B909))&gt;0,1,0))</f>
        <v/>
      </c>
    </row>
    <row r="910">
      <c r="A910" s="94" t="n"/>
      <c r="B910" s="96" t="n"/>
      <c r="C910" s="96" t="n"/>
      <c r="D910" s="95" t="n"/>
      <c r="E910" s="96" t="n"/>
      <c r="F910" s="99" t="n"/>
      <c r="G910" s="95" t="n"/>
      <c r="H910" s="95" t="n"/>
      <c r="I910" s="101">
        <f>IF($B910="","",IF(COUNTIF(Setup!$A$99:$A$128,$B910)&gt;0,IF(INDEX(Setup!$B$99:$B$128,MATCH($B910,Setup!$A$99:$A$128,0))="","Overhead",INDEX(Setup!$B$99:$B$128,MATCH($B910,Setup!$A$99:$A$128,0))),IF(ISNUMBER(SEARCH("advance",$B910))+ISNUMBER(SEARCH("payout",$B910))+ISNUMBER(SEARCH("pay out",$B910))+ISNUMBER(SEARCH("reimburs",$B910))&gt;0,"Transfer",IF(ISNUMBER(SEARCH("loan",$B910))+ISNUMBER(SEARCH("amort",$B910))+ISNUMBER(SEARCH("installment",$B910))+ISNUMBER(SEARCH("instalment",$B910))&gt;0,"Financing",IF(ISNUMBER(SEARCH("draw",$B910))+ISNUMBER(SEARCH("owner",$B910))+ISNUMBER(SEARCH("asset",$B910))+ISNUMBER(SEARCH("capital",$B910))&gt;0,"Other",IF(ISNUMBER(SEARCH("fuel",$B910))+ISNUMBER(SEARCH("diesel",$B910))+ISNUMBER(SEARCH("krudo",$B910))+ISNUMBER(SEARCH("gasolina",$B910))+ISNUMBER(SEARCH("toll",$B910))+ISNUMBER(SEARCH("parking",$B910))+ISNUMBER(SEARCH("repair",$B910))+ISNUMBER(SEARCH("maintenance",$B910))+ISNUMBER(SEARCH("tire",$B910))+ISNUMBER(SEARCH("tyre",$B910))+ISNUMBER(SEARCH("battery",$B910))+ISNUMBER(SEARCH("oil",$B910))+ISNUMBER(SEARCH("filter",$B910))+ISNUMBER(SEARCH("spare",$B910))+ISNUMBER(SEARCH("insurance",$B910))+ISNUMBER(SEARCH("lto",$B910))+ISNUMBER(SEARCH("registration",$B910))+ISNUMBER(SEARCH("emission",$B910))+ISNUMBER(SEARCH("wash",$B910))+ISNUMBER(SEARCH("weigh",$B910))+ISNUMBER(SEARCH("tarp",$B910))&gt;0,"Vehicle",IF(ISNUMBER(SEARCH("rent",$B910))+ISNUMBER(SEARCH("upa",$B910))+ISNUMBER(SEARCH("salary",$B910))+ISNUMBER(SEARCH("sweldo",$B910))+ISNUMBER(SEARCH("wage",$B910))+ISNUMBER(SEARCH("electric",$B910))+ISNUMBER(SEARCH("kuryente",$B910))+ISNUMBER(SEARCH("water",$B910))+ISNUMBER(SEARCH("tubig",$B910))+ISNUMBER(SEARCH("internet",$B910))+ISNUMBER(SEARCH("pldt",$B910))+ISNUMBER(SEARCH("meralco",$B910))+ISNUMBER(SEARCH("supplies",$B910))+ISNUMBER(SEARCH("office",$B910))+ISNUMBER(SEARCH("professional",$B910))+ISNUMBER(SEARCH("accountant",$B910))+ISNUMBER(SEARCH("lawyer",$B910))+ISNUMBER(SEARCH("broker",$B910))+ISNUMBER(SEARCH("bank",$B910))+ISNUMBER(SEARCH("charge",$B910))+ISNUMBER(SEARCH("permit",$B910))+ISNUMBER(SEARCH("bir",$B910))+ISNUMBER(SEARCH("ltfrb",$B910))+ISNUMBER(SEARCH("misc",$B910))+ISNUMBER(SEARCH("fee",$B910))&gt;0,"Overhead","Overhead")))))))</f>
        <v/>
      </c>
      <c r="J910">
        <f>IF($A910="","",DATE(YEAR($A910),MONTH($A910),1))</f>
        <v/>
      </c>
      <c r="K910">
        <f>IF($B910="","",IF(COUNTIF(Setup!$A$99:$A$128,$B910)&gt;0,0,1))</f>
        <v/>
      </c>
      <c r="L910">
        <f>IF($B910="","",IF(ISNUMBER(SEARCH("advance",$B910)),"ADV",IF(OR(ISNUMBER(SEARCH("payout",$B910)),ISNUMBER(SEARCH("pay out",$B910)),ISNUMBER(SEARCH("release",$B910))),"PAY","")))</f>
        <v/>
      </c>
      <c r="M910">
        <f>IF($B910="","",IF(ISNUMBER(SEARCH("bulk",$B910)),0,IF(ISNUMBER(SEARCH("fuel",$B910))+ISNUMBER(SEARCH("diesel",$B910))+ISNUMBER(SEARCH("krudo",$B910))+ISNUMBER(SEARCH("gasolina",$B910))&gt;0,1,0)))</f>
        <v/>
      </c>
      <c r="N910">
        <f>IF($B910="","",IF(ISNUMBER(SEARCH("fuel",$B910))+ISNUMBER(SEARCH("diesel",$B910))+ISNUMBER(SEARCH("krudo",$B910))+ISNUMBER(SEARCH("gasolina",$B910))&gt;0,1,0))</f>
        <v/>
      </c>
    </row>
    <row r="911">
      <c r="A911" s="86" t="n"/>
      <c r="B911" s="88" t="n"/>
      <c r="C911" s="88" t="n"/>
      <c r="D911" s="87" t="n"/>
      <c r="E911" s="88" t="n"/>
      <c r="F911" s="92" t="n"/>
      <c r="G911" s="87" t="n"/>
      <c r="H911" s="87" t="n"/>
      <c r="I911" s="101">
        <f>IF($B911="","",IF(COUNTIF(Setup!$A$99:$A$128,$B911)&gt;0,IF(INDEX(Setup!$B$99:$B$128,MATCH($B911,Setup!$A$99:$A$128,0))="","Overhead",INDEX(Setup!$B$99:$B$128,MATCH($B911,Setup!$A$99:$A$128,0))),IF(ISNUMBER(SEARCH("advance",$B911))+ISNUMBER(SEARCH("payout",$B911))+ISNUMBER(SEARCH("pay out",$B911))+ISNUMBER(SEARCH("reimburs",$B911))&gt;0,"Transfer",IF(ISNUMBER(SEARCH("loan",$B911))+ISNUMBER(SEARCH("amort",$B911))+ISNUMBER(SEARCH("installment",$B911))+ISNUMBER(SEARCH("instalment",$B911))&gt;0,"Financing",IF(ISNUMBER(SEARCH("draw",$B911))+ISNUMBER(SEARCH("owner",$B911))+ISNUMBER(SEARCH("asset",$B911))+ISNUMBER(SEARCH("capital",$B911))&gt;0,"Other",IF(ISNUMBER(SEARCH("fuel",$B911))+ISNUMBER(SEARCH("diesel",$B911))+ISNUMBER(SEARCH("krudo",$B911))+ISNUMBER(SEARCH("gasolina",$B911))+ISNUMBER(SEARCH("toll",$B911))+ISNUMBER(SEARCH("parking",$B911))+ISNUMBER(SEARCH("repair",$B911))+ISNUMBER(SEARCH("maintenance",$B911))+ISNUMBER(SEARCH("tire",$B911))+ISNUMBER(SEARCH("tyre",$B911))+ISNUMBER(SEARCH("battery",$B911))+ISNUMBER(SEARCH("oil",$B911))+ISNUMBER(SEARCH("filter",$B911))+ISNUMBER(SEARCH("spare",$B911))+ISNUMBER(SEARCH("insurance",$B911))+ISNUMBER(SEARCH("lto",$B911))+ISNUMBER(SEARCH("registration",$B911))+ISNUMBER(SEARCH("emission",$B911))+ISNUMBER(SEARCH("wash",$B911))+ISNUMBER(SEARCH("weigh",$B911))+ISNUMBER(SEARCH("tarp",$B911))&gt;0,"Vehicle",IF(ISNUMBER(SEARCH("rent",$B911))+ISNUMBER(SEARCH("upa",$B911))+ISNUMBER(SEARCH("salary",$B911))+ISNUMBER(SEARCH("sweldo",$B911))+ISNUMBER(SEARCH("wage",$B911))+ISNUMBER(SEARCH("electric",$B911))+ISNUMBER(SEARCH("kuryente",$B911))+ISNUMBER(SEARCH("water",$B911))+ISNUMBER(SEARCH("tubig",$B911))+ISNUMBER(SEARCH("internet",$B911))+ISNUMBER(SEARCH("pldt",$B911))+ISNUMBER(SEARCH("meralco",$B911))+ISNUMBER(SEARCH("supplies",$B911))+ISNUMBER(SEARCH("office",$B911))+ISNUMBER(SEARCH("professional",$B911))+ISNUMBER(SEARCH("accountant",$B911))+ISNUMBER(SEARCH("lawyer",$B911))+ISNUMBER(SEARCH("broker",$B911))+ISNUMBER(SEARCH("bank",$B911))+ISNUMBER(SEARCH("charge",$B911))+ISNUMBER(SEARCH("permit",$B911))+ISNUMBER(SEARCH("bir",$B911))+ISNUMBER(SEARCH("ltfrb",$B911))+ISNUMBER(SEARCH("misc",$B911))+ISNUMBER(SEARCH("fee",$B911))&gt;0,"Overhead","Overhead")))))))</f>
        <v/>
      </c>
      <c r="J911">
        <f>IF($A911="","",DATE(YEAR($A911),MONTH($A911),1))</f>
        <v/>
      </c>
      <c r="K911">
        <f>IF($B911="","",IF(COUNTIF(Setup!$A$99:$A$128,$B911)&gt;0,0,1))</f>
        <v/>
      </c>
      <c r="L911">
        <f>IF($B911="","",IF(ISNUMBER(SEARCH("advance",$B911)),"ADV",IF(OR(ISNUMBER(SEARCH("payout",$B911)),ISNUMBER(SEARCH("pay out",$B911)),ISNUMBER(SEARCH("release",$B911))),"PAY","")))</f>
        <v/>
      </c>
      <c r="M911">
        <f>IF($B911="","",IF(ISNUMBER(SEARCH("bulk",$B911)),0,IF(ISNUMBER(SEARCH("fuel",$B911))+ISNUMBER(SEARCH("diesel",$B911))+ISNUMBER(SEARCH("krudo",$B911))+ISNUMBER(SEARCH("gasolina",$B911))&gt;0,1,0)))</f>
        <v/>
      </c>
      <c r="N911">
        <f>IF($B911="","",IF(ISNUMBER(SEARCH("fuel",$B911))+ISNUMBER(SEARCH("diesel",$B911))+ISNUMBER(SEARCH("krudo",$B911))+ISNUMBER(SEARCH("gasolina",$B911))&gt;0,1,0))</f>
        <v/>
      </c>
    </row>
    <row r="912">
      <c r="A912" s="94" t="n"/>
      <c r="B912" s="96" t="n"/>
      <c r="C912" s="96" t="n"/>
      <c r="D912" s="95" t="n"/>
      <c r="E912" s="96" t="n"/>
      <c r="F912" s="99" t="n"/>
      <c r="G912" s="95" t="n"/>
      <c r="H912" s="95" t="n"/>
      <c r="I912" s="101">
        <f>IF($B912="","",IF(COUNTIF(Setup!$A$99:$A$128,$B912)&gt;0,IF(INDEX(Setup!$B$99:$B$128,MATCH($B912,Setup!$A$99:$A$128,0))="","Overhead",INDEX(Setup!$B$99:$B$128,MATCH($B912,Setup!$A$99:$A$128,0))),IF(ISNUMBER(SEARCH("advance",$B912))+ISNUMBER(SEARCH("payout",$B912))+ISNUMBER(SEARCH("pay out",$B912))+ISNUMBER(SEARCH("reimburs",$B912))&gt;0,"Transfer",IF(ISNUMBER(SEARCH("loan",$B912))+ISNUMBER(SEARCH("amort",$B912))+ISNUMBER(SEARCH("installment",$B912))+ISNUMBER(SEARCH("instalment",$B912))&gt;0,"Financing",IF(ISNUMBER(SEARCH("draw",$B912))+ISNUMBER(SEARCH("owner",$B912))+ISNUMBER(SEARCH("asset",$B912))+ISNUMBER(SEARCH("capital",$B912))&gt;0,"Other",IF(ISNUMBER(SEARCH("fuel",$B912))+ISNUMBER(SEARCH("diesel",$B912))+ISNUMBER(SEARCH("krudo",$B912))+ISNUMBER(SEARCH("gasolina",$B912))+ISNUMBER(SEARCH("toll",$B912))+ISNUMBER(SEARCH("parking",$B912))+ISNUMBER(SEARCH("repair",$B912))+ISNUMBER(SEARCH("maintenance",$B912))+ISNUMBER(SEARCH("tire",$B912))+ISNUMBER(SEARCH("tyre",$B912))+ISNUMBER(SEARCH("battery",$B912))+ISNUMBER(SEARCH("oil",$B912))+ISNUMBER(SEARCH("filter",$B912))+ISNUMBER(SEARCH("spare",$B912))+ISNUMBER(SEARCH("insurance",$B912))+ISNUMBER(SEARCH("lto",$B912))+ISNUMBER(SEARCH("registration",$B912))+ISNUMBER(SEARCH("emission",$B912))+ISNUMBER(SEARCH("wash",$B912))+ISNUMBER(SEARCH("weigh",$B912))+ISNUMBER(SEARCH("tarp",$B912))&gt;0,"Vehicle",IF(ISNUMBER(SEARCH("rent",$B912))+ISNUMBER(SEARCH("upa",$B912))+ISNUMBER(SEARCH("salary",$B912))+ISNUMBER(SEARCH("sweldo",$B912))+ISNUMBER(SEARCH("wage",$B912))+ISNUMBER(SEARCH("electric",$B912))+ISNUMBER(SEARCH("kuryente",$B912))+ISNUMBER(SEARCH("water",$B912))+ISNUMBER(SEARCH("tubig",$B912))+ISNUMBER(SEARCH("internet",$B912))+ISNUMBER(SEARCH("pldt",$B912))+ISNUMBER(SEARCH("meralco",$B912))+ISNUMBER(SEARCH("supplies",$B912))+ISNUMBER(SEARCH("office",$B912))+ISNUMBER(SEARCH("professional",$B912))+ISNUMBER(SEARCH("accountant",$B912))+ISNUMBER(SEARCH("lawyer",$B912))+ISNUMBER(SEARCH("broker",$B912))+ISNUMBER(SEARCH("bank",$B912))+ISNUMBER(SEARCH("charge",$B912))+ISNUMBER(SEARCH("permit",$B912))+ISNUMBER(SEARCH("bir",$B912))+ISNUMBER(SEARCH("ltfrb",$B912))+ISNUMBER(SEARCH("misc",$B912))+ISNUMBER(SEARCH("fee",$B912))&gt;0,"Overhead","Overhead")))))))</f>
        <v/>
      </c>
      <c r="J912">
        <f>IF($A912="","",DATE(YEAR($A912),MONTH($A912),1))</f>
        <v/>
      </c>
      <c r="K912">
        <f>IF($B912="","",IF(COUNTIF(Setup!$A$99:$A$128,$B912)&gt;0,0,1))</f>
        <v/>
      </c>
      <c r="L912">
        <f>IF($B912="","",IF(ISNUMBER(SEARCH("advance",$B912)),"ADV",IF(OR(ISNUMBER(SEARCH("payout",$B912)),ISNUMBER(SEARCH("pay out",$B912)),ISNUMBER(SEARCH("release",$B912))),"PAY","")))</f>
        <v/>
      </c>
      <c r="M912">
        <f>IF($B912="","",IF(ISNUMBER(SEARCH("bulk",$B912)),0,IF(ISNUMBER(SEARCH("fuel",$B912))+ISNUMBER(SEARCH("diesel",$B912))+ISNUMBER(SEARCH("krudo",$B912))+ISNUMBER(SEARCH("gasolina",$B912))&gt;0,1,0)))</f>
        <v/>
      </c>
      <c r="N912">
        <f>IF($B912="","",IF(ISNUMBER(SEARCH("fuel",$B912))+ISNUMBER(SEARCH("diesel",$B912))+ISNUMBER(SEARCH("krudo",$B912))+ISNUMBER(SEARCH("gasolina",$B912))&gt;0,1,0))</f>
        <v/>
      </c>
    </row>
    <row r="913">
      <c r="A913" s="86" t="n"/>
      <c r="B913" s="88" t="n"/>
      <c r="C913" s="88" t="n"/>
      <c r="D913" s="87" t="n"/>
      <c r="E913" s="88" t="n"/>
      <c r="F913" s="92" t="n"/>
      <c r="G913" s="87" t="n"/>
      <c r="H913" s="87" t="n"/>
      <c r="I913" s="101">
        <f>IF($B913="","",IF(COUNTIF(Setup!$A$99:$A$128,$B913)&gt;0,IF(INDEX(Setup!$B$99:$B$128,MATCH($B913,Setup!$A$99:$A$128,0))="","Overhead",INDEX(Setup!$B$99:$B$128,MATCH($B913,Setup!$A$99:$A$128,0))),IF(ISNUMBER(SEARCH("advance",$B913))+ISNUMBER(SEARCH("payout",$B913))+ISNUMBER(SEARCH("pay out",$B913))+ISNUMBER(SEARCH("reimburs",$B913))&gt;0,"Transfer",IF(ISNUMBER(SEARCH("loan",$B913))+ISNUMBER(SEARCH("amort",$B913))+ISNUMBER(SEARCH("installment",$B913))+ISNUMBER(SEARCH("instalment",$B913))&gt;0,"Financing",IF(ISNUMBER(SEARCH("draw",$B913))+ISNUMBER(SEARCH("owner",$B913))+ISNUMBER(SEARCH("asset",$B913))+ISNUMBER(SEARCH("capital",$B913))&gt;0,"Other",IF(ISNUMBER(SEARCH("fuel",$B913))+ISNUMBER(SEARCH("diesel",$B913))+ISNUMBER(SEARCH("krudo",$B913))+ISNUMBER(SEARCH("gasolina",$B913))+ISNUMBER(SEARCH("toll",$B913))+ISNUMBER(SEARCH("parking",$B913))+ISNUMBER(SEARCH("repair",$B913))+ISNUMBER(SEARCH("maintenance",$B913))+ISNUMBER(SEARCH("tire",$B913))+ISNUMBER(SEARCH("tyre",$B913))+ISNUMBER(SEARCH("battery",$B913))+ISNUMBER(SEARCH("oil",$B913))+ISNUMBER(SEARCH("filter",$B913))+ISNUMBER(SEARCH("spare",$B913))+ISNUMBER(SEARCH("insurance",$B913))+ISNUMBER(SEARCH("lto",$B913))+ISNUMBER(SEARCH("registration",$B913))+ISNUMBER(SEARCH("emission",$B913))+ISNUMBER(SEARCH("wash",$B913))+ISNUMBER(SEARCH("weigh",$B913))+ISNUMBER(SEARCH("tarp",$B913))&gt;0,"Vehicle",IF(ISNUMBER(SEARCH("rent",$B913))+ISNUMBER(SEARCH("upa",$B913))+ISNUMBER(SEARCH("salary",$B913))+ISNUMBER(SEARCH("sweldo",$B913))+ISNUMBER(SEARCH("wage",$B913))+ISNUMBER(SEARCH("electric",$B913))+ISNUMBER(SEARCH("kuryente",$B913))+ISNUMBER(SEARCH("water",$B913))+ISNUMBER(SEARCH("tubig",$B913))+ISNUMBER(SEARCH("internet",$B913))+ISNUMBER(SEARCH("pldt",$B913))+ISNUMBER(SEARCH("meralco",$B913))+ISNUMBER(SEARCH("supplies",$B913))+ISNUMBER(SEARCH("office",$B913))+ISNUMBER(SEARCH("professional",$B913))+ISNUMBER(SEARCH("accountant",$B913))+ISNUMBER(SEARCH("lawyer",$B913))+ISNUMBER(SEARCH("broker",$B913))+ISNUMBER(SEARCH("bank",$B913))+ISNUMBER(SEARCH("charge",$B913))+ISNUMBER(SEARCH("permit",$B913))+ISNUMBER(SEARCH("bir",$B913))+ISNUMBER(SEARCH("ltfrb",$B913))+ISNUMBER(SEARCH("misc",$B913))+ISNUMBER(SEARCH("fee",$B913))&gt;0,"Overhead","Overhead")))))))</f>
        <v/>
      </c>
      <c r="J913">
        <f>IF($A913="","",DATE(YEAR($A913),MONTH($A913),1))</f>
        <v/>
      </c>
      <c r="K913">
        <f>IF($B913="","",IF(COUNTIF(Setup!$A$99:$A$128,$B913)&gt;0,0,1))</f>
        <v/>
      </c>
      <c r="L913">
        <f>IF($B913="","",IF(ISNUMBER(SEARCH("advance",$B913)),"ADV",IF(OR(ISNUMBER(SEARCH("payout",$B913)),ISNUMBER(SEARCH("pay out",$B913)),ISNUMBER(SEARCH("release",$B913))),"PAY","")))</f>
        <v/>
      </c>
      <c r="M913">
        <f>IF($B913="","",IF(ISNUMBER(SEARCH("bulk",$B913)),0,IF(ISNUMBER(SEARCH("fuel",$B913))+ISNUMBER(SEARCH("diesel",$B913))+ISNUMBER(SEARCH("krudo",$B913))+ISNUMBER(SEARCH("gasolina",$B913))&gt;0,1,0)))</f>
        <v/>
      </c>
      <c r="N913">
        <f>IF($B913="","",IF(ISNUMBER(SEARCH("fuel",$B913))+ISNUMBER(SEARCH("diesel",$B913))+ISNUMBER(SEARCH("krudo",$B913))+ISNUMBER(SEARCH("gasolina",$B913))&gt;0,1,0))</f>
        <v/>
      </c>
    </row>
    <row r="914">
      <c r="A914" s="94" t="n"/>
      <c r="B914" s="96" t="n"/>
      <c r="C914" s="96" t="n"/>
      <c r="D914" s="95" t="n"/>
      <c r="E914" s="96" t="n"/>
      <c r="F914" s="99" t="n"/>
      <c r="G914" s="95" t="n"/>
      <c r="H914" s="95" t="n"/>
      <c r="I914" s="101">
        <f>IF($B914="","",IF(COUNTIF(Setup!$A$99:$A$128,$B914)&gt;0,IF(INDEX(Setup!$B$99:$B$128,MATCH($B914,Setup!$A$99:$A$128,0))="","Overhead",INDEX(Setup!$B$99:$B$128,MATCH($B914,Setup!$A$99:$A$128,0))),IF(ISNUMBER(SEARCH("advance",$B914))+ISNUMBER(SEARCH("payout",$B914))+ISNUMBER(SEARCH("pay out",$B914))+ISNUMBER(SEARCH("reimburs",$B914))&gt;0,"Transfer",IF(ISNUMBER(SEARCH("loan",$B914))+ISNUMBER(SEARCH("amort",$B914))+ISNUMBER(SEARCH("installment",$B914))+ISNUMBER(SEARCH("instalment",$B914))&gt;0,"Financing",IF(ISNUMBER(SEARCH("draw",$B914))+ISNUMBER(SEARCH("owner",$B914))+ISNUMBER(SEARCH("asset",$B914))+ISNUMBER(SEARCH("capital",$B914))&gt;0,"Other",IF(ISNUMBER(SEARCH("fuel",$B914))+ISNUMBER(SEARCH("diesel",$B914))+ISNUMBER(SEARCH("krudo",$B914))+ISNUMBER(SEARCH("gasolina",$B914))+ISNUMBER(SEARCH("toll",$B914))+ISNUMBER(SEARCH("parking",$B914))+ISNUMBER(SEARCH("repair",$B914))+ISNUMBER(SEARCH("maintenance",$B914))+ISNUMBER(SEARCH("tire",$B914))+ISNUMBER(SEARCH("tyre",$B914))+ISNUMBER(SEARCH("battery",$B914))+ISNUMBER(SEARCH("oil",$B914))+ISNUMBER(SEARCH("filter",$B914))+ISNUMBER(SEARCH("spare",$B914))+ISNUMBER(SEARCH("insurance",$B914))+ISNUMBER(SEARCH("lto",$B914))+ISNUMBER(SEARCH("registration",$B914))+ISNUMBER(SEARCH("emission",$B914))+ISNUMBER(SEARCH("wash",$B914))+ISNUMBER(SEARCH("weigh",$B914))+ISNUMBER(SEARCH("tarp",$B914))&gt;0,"Vehicle",IF(ISNUMBER(SEARCH("rent",$B914))+ISNUMBER(SEARCH("upa",$B914))+ISNUMBER(SEARCH("salary",$B914))+ISNUMBER(SEARCH("sweldo",$B914))+ISNUMBER(SEARCH("wage",$B914))+ISNUMBER(SEARCH("electric",$B914))+ISNUMBER(SEARCH("kuryente",$B914))+ISNUMBER(SEARCH("water",$B914))+ISNUMBER(SEARCH("tubig",$B914))+ISNUMBER(SEARCH("internet",$B914))+ISNUMBER(SEARCH("pldt",$B914))+ISNUMBER(SEARCH("meralco",$B914))+ISNUMBER(SEARCH("supplies",$B914))+ISNUMBER(SEARCH("office",$B914))+ISNUMBER(SEARCH("professional",$B914))+ISNUMBER(SEARCH("accountant",$B914))+ISNUMBER(SEARCH("lawyer",$B914))+ISNUMBER(SEARCH("broker",$B914))+ISNUMBER(SEARCH("bank",$B914))+ISNUMBER(SEARCH("charge",$B914))+ISNUMBER(SEARCH("permit",$B914))+ISNUMBER(SEARCH("bir",$B914))+ISNUMBER(SEARCH("ltfrb",$B914))+ISNUMBER(SEARCH("misc",$B914))+ISNUMBER(SEARCH("fee",$B914))&gt;0,"Overhead","Overhead")))))))</f>
        <v/>
      </c>
      <c r="J914">
        <f>IF($A914="","",DATE(YEAR($A914),MONTH($A914),1))</f>
        <v/>
      </c>
      <c r="K914">
        <f>IF($B914="","",IF(COUNTIF(Setup!$A$99:$A$128,$B914)&gt;0,0,1))</f>
        <v/>
      </c>
      <c r="L914">
        <f>IF($B914="","",IF(ISNUMBER(SEARCH("advance",$B914)),"ADV",IF(OR(ISNUMBER(SEARCH("payout",$B914)),ISNUMBER(SEARCH("pay out",$B914)),ISNUMBER(SEARCH("release",$B914))),"PAY","")))</f>
        <v/>
      </c>
      <c r="M914">
        <f>IF($B914="","",IF(ISNUMBER(SEARCH("bulk",$B914)),0,IF(ISNUMBER(SEARCH("fuel",$B914))+ISNUMBER(SEARCH("diesel",$B914))+ISNUMBER(SEARCH("krudo",$B914))+ISNUMBER(SEARCH("gasolina",$B914))&gt;0,1,0)))</f>
        <v/>
      </c>
      <c r="N914">
        <f>IF($B914="","",IF(ISNUMBER(SEARCH("fuel",$B914))+ISNUMBER(SEARCH("diesel",$B914))+ISNUMBER(SEARCH("krudo",$B914))+ISNUMBER(SEARCH("gasolina",$B914))&gt;0,1,0))</f>
        <v/>
      </c>
    </row>
    <row r="915">
      <c r="A915" s="86" t="n"/>
      <c r="B915" s="88" t="n"/>
      <c r="C915" s="88" t="n"/>
      <c r="D915" s="87" t="n"/>
      <c r="E915" s="88" t="n"/>
      <c r="F915" s="92" t="n"/>
      <c r="G915" s="87" t="n"/>
      <c r="H915" s="87" t="n"/>
      <c r="I915" s="101">
        <f>IF($B915="","",IF(COUNTIF(Setup!$A$99:$A$128,$B915)&gt;0,IF(INDEX(Setup!$B$99:$B$128,MATCH($B915,Setup!$A$99:$A$128,0))="","Overhead",INDEX(Setup!$B$99:$B$128,MATCH($B915,Setup!$A$99:$A$128,0))),IF(ISNUMBER(SEARCH("advance",$B915))+ISNUMBER(SEARCH("payout",$B915))+ISNUMBER(SEARCH("pay out",$B915))+ISNUMBER(SEARCH("reimburs",$B915))&gt;0,"Transfer",IF(ISNUMBER(SEARCH("loan",$B915))+ISNUMBER(SEARCH("amort",$B915))+ISNUMBER(SEARCH("installment",$B915))+ISNUMBER(SEARCH("instalment",$B915))&gt;0,"Financing",IF(ISNUMBER(SEARCH("draw",$B915))+ISNUMBER(SEARCH("owner",$B915))+ISNUMBER(SEARCH("asset",$B915))+ISNUMBER(SEARCH("capital",$B915))&gt;0,"Other",IF(ISNUMBER(SEARCH("fuel",$B915))+ISNUMBER(SEARCH("diesel",$B915))+ISNUMBER(SEARCH("krudo",$B915))+ISNUMBER(SEARCH("gasolina",$B915))+ISNUMBER(SEARCH("toll",$B915))+ISNUMBER(SEARCH("parking",$B915))+ISNUMBER(SEARCH("repair",$B915))+ISNUMBER(SEARCH("maintenance",$B915))+ISNUMBER(SEARCH("tire",$B915))+ISNUMBER(SEARCH("tyre",$B915))+ISNUMBER(SEARCH("battery",$B915))+ISNUMBER(SEARCH("oil",$B915))+ISNUMBER(SEARCH("filter",$B915))+ISNUMBER(SEARCH("spare",$B915))+ISNUMBER(SEARCH("insurance",$B915))+ISNUMBER(SEARCH("lto",$B915))+ISNUMBER(SEARCH("registration",$B915))+ISNUMBER(SEARCH("emission",$B915))+ISNUMBER(SEARCH("wash",$B915))+ISNUMBER(SEARCH("weigh",$B915))+ISNUMBER(SEARCH("tarp",$B915))&gt;0,"Vehicle",IF(ISNUMBER(SEARCH("rent",$B915))+ISNUMBER(SEARCH("upa",$B915))+ISNUMBER(SEARCH("salary",$B915))+ISNUMBER(SEARCH("sweldo",$B915))+ISNUMBER(SEARCH("wage",$B915))+ISNUMBER(SEARCH("electric",$B915))+ISNUMBER(SEARCH("kuryente",$B915))+ISNUMBER(SEARCH("water",$B915))+ISNUMBER(SEARCH("tubig",$B915))+ISNUMBER(SEARCH("internet",$B915))+ISNUMBER(SEARCH("pldt",$B915))+ISNUMBER(SEARCH("meralco",$B915))+ISNUMBER(SEARCH("supplies",$B915))+ISNUMBER(SEARCH("office",$B915))+ISNUMBER(SEARCH("professional",$B915))+ISNUMBER(SEARCH("accountant",$B915))+ISNUMBER(SEARCH("lawyer",$B915))+ISNUMBER(SEARCH("broker",$B915))+ISNUMBER(SEARCH("bank",$B915))+ISNUMBER(SEARCH("charge",$B915))+ISNUMBER(SEARCH("permit",$B915))+ISNUMBER(SEARCH("bir",$B915))+ISNUMBER(SEARCH("ltfrb",$B915))+ISNUMBER(SEARCH("misc",$B915))+ISNUMBER(SEARCH("fee",$B915))&gt;0,"Overhead","Overhead")))))))</f>
        <v/>
      </c>
      <c r="J915">
        <f>IF($A915="","",DATE(YEAR($A915),MONTH($A915),1))</f>
        <v/>
      </c>
      <c r="K915">
        <f>IF($B915="","",IF(COUNTIF(Setup!$A$99:$A$128,$B915)&gt;0,0,1))</f>
        <v/>
      </c>
      <c r="L915">
        <f>IF($B915="","",IF(ISNUMBER(SEARCH("advance",$B915)),"ADV",IF(OR(ISNUMBER(SEARCH("payout",$B915)),ISNUMBER(SEARCH("pay out",$B915)),ISNUMBER(SEARCH("release",$B915))),"PAY","")))</f>
        <v/>
      </c>
      <c r="M915">
        <f>IF($B915="","",IF(ISNUMBER(SEARCH("bulk",$B915)),0,IF(ISNUMBER(SEARCH("fuel",$B915))+ISNUMBER(SEARCH("diesel",$B915))+ISNUMBER(SEARCH("krudo",$B915))+ISNUMBER(SEARCH("gasolina",$B915))&gt;0,1,0)))</f>
        <v/>
      </c>
      <c r="N915">
        <f>IF($B915="","",IF(ISNUMBER(SEARCH("fuel",$B915))+ISNUMBER(SEARCH("diesel",$B915))+ISNUMBER(SEARCH("krudo",$B915))+ISNUMBER(SEARCH("gasolina",$B915))&gt;0,1,0))</f>
        <v/>
      </c>
    </row>
    <row r="916">
      <c r="A916" s="94" t="n"/>
      <c r="B916" s="96" t="n"/>
      <c r="C916" s="96" t="n"/>
      <c r="D916" s="95" t="n"/>
      <c r="E916" s="96" t="n"/>
      <c r="F916" s="99" t="n"/>
      <c r="G916" s="95" t="n"/>
      <c r="H916" s="95" t="n"/>
      <c r="I916" s="101">
        <f>IF($B916="","",IF(COUNTIF(Setup!$A$99:$A$128,$B916)&gt;0,IF(INDEX(Setup!$B$99:$B$128,MATCH($B916,Setup!$A$99:$A$128,0))="","Overhead",INDEX(Setup!$B$99:$B$128,MATCH($B916,Setup!$A$99:$A$128,0))),IF(ISNUMBER(SEARCH("advance",$B916))+ISNUMBER(SEARCH("payout",$B916))+ISNUMBER(SEARCH("pay out",$B916))+ISNUMBER(SEARCH("reimburs",$B916))&gt;0,"Transfer",IF(ISNUMBER(SEARCH("loan",$B916))+ISNUMBER(SEARCH("amort",$B916))+ISNUMBER(SEARCH("installment",$B916))+ISNUMBER(SEARCH("instalment",$B916))&gt;0,"Financing",IF(ISNUMBER(SEARCH("draw",$B916))+ISNUMBER(SEARCH("owner",$B916))+ISNUMBER(SEARCH("asset",$B916))+ISNUMBER(SEARCH("capital",$B916))&gt;0,"Other",IF(ISNUMBER(SEARCH("fuel",$B916))+ISNUMBER(SEARCH("diesel",$B916))+ISNUMBER(SEARCH("krudo",$B916))+ISNUMBER(SEARCH("gasolina",$B916))+ISNUMBER(SEARCH("toll",$B916))+ISNUMBER(SEARCH("parking",$B916))+ISNUMBER(SEARCH("repair",$B916))+ISNUMBER(SEARCH("maintenance",$B916))+ISNUMBER(SEARCH("tire",$B916))+ISNUMBER(SEARCH("tyre",$B916))+ISNUMBER(SEARCH("battery",$B916))+ISNUMBER(SEARCH("oil",$B916))+ISNUMBER(SEARCH("filter",$B916))+ISNUMBER(SEARCH("spare",$B916))+ISNUMBER(SEARCH("insurance",$B916))+ISNUMBER(SEARCH("lto",$B916))+ISNUMBER(SEARCH("registration",$B916))+ISNUMBER(SEARCH("emission",$B916))+ISNUMBER(SEARCH("wash",$B916))+ISNUMBER(SEARCH("weigh",$B916))+ISNUMBER(SEARCH("tarp",$B916))&gt;0,"Vehicle",IF(ISNUMBER(SEARCH("rent",$B916))+ISNUMBER(SEARCH("upa",$B916))+ISNUMBER(SEARCH("salary",$B916))+ISNUMBER(SEARCH("sweldo",$B916))+ISNUMBER(SEARCH("wage",$B916))+ISNUMBER(SEARCH("electric",$B916))+ISNUMBER(SEARCH("kuryente",$B916))+ISNUMBER(SEARCH("water",$B916))+ISNUMBER(SEARCH("tubig",$B916))+ISNUMBER(SEARCH("internet",$B916))+ISNUMBER(SEARCH("pldt",$B916))+ISNUMBER(SEARCH("meralco",$B916))+ISNUMBER(SEARCH("supplies",$B916))+ISNUMBER(SEARCH("office",$B916))+ISNUMBER(SEARCH("professional",$B916))+ISNUMBER(SEARCH("accountant",$B916))+ISNUMBER(SEARCH("lawyer",$B916))+ISNUMBER(SEARCH("broker",$B916))+ISNUMBER(SEARCH("bank",$B916))+ISNUMBER(SEARCH("charge",$B916))+ISNUMBER(SEARCH("permit",$B916))+ISNUMBER(SEARCH("bir",$B916))+ISNUMBER(SEARCH("ltfrb",$B916))+ISNUMBER(SEARCH("misc",$B916))+ISNUMBER(SEARCH("fee",$B916))&gt;0,"Overhead","Overhead")))))))</f>
        <v/>
      </c>
      <c r="J916">
        <f>IF($A916="","",DATE(YEAR($A916),MONTH($A916),1))</f>
        <v/>
      </c>
      <c r="K916">
        <f>IF($B916="","",IF(COUNTIF(Setup!$A$99:$A$128,$B916)&gt;0,0,1))</f>
        <v/>
      </c>
      <c r="L916">
        <f>IF($B916="","",IF(ISNUMBER(SEARCH("advance",$B916)),"ADV",IF(OR(ISNUMBER(SEARCH("payout",$B916)),ISNUMBER(SEARCH("pay out",$B916)),ISNUMBER(SEARCH("release",$B916))),"PAY","")))</f>
        <v/>
      </c>
      <c r="M916">
        <f>IF($B916="","",IF(ISNUMBER(SEARCH("bulk",$B916)),0,IF(ISNUMBER(SEARCH("fuel",$B916))+ISNUMBER(SEARCH("diesel",$B916))+ISNUMBER(SEARCH("krudo",$B916))+ISNUMBER(SEARCH("gasolina",$B916))&gt;0,1,0)))</f>
        <v/>
      </c>
      <c r="N916">
        <f>IF($B916="","",IF(ISNUMBER(SEARCH("fuel",$B916))+ISNUMBER(SEARCH("diesel",$B916))+ISNUMBER(SEARCH("krudo",$B916))+ISNUMBER(SEARCH("gasolina",$B916))&gt;0,1,0))</f>
        <v/>
      </c>
    </row>
    <row r="917">
      <c r="A917" s="86" t="n"/>
      <c r="B917" s="88" t="n"/>
      <c r="C917" s="88" t="n"/>
      <c r="D917" s="87" t="n"/>
      <c r="E917" s="88" t="n"/>
      <c r="F917" s="92" t="n"/>
      <c r="G917" s="87" t="n"/>
      <c r="H917" s="87" t="n"/>
      <c r="I917" s="101">
        <f>IF($B917="","",IF(COUNTIF(Setup!$A$99:$A$128,$B917)&gt;0,IF(INDEX(Setup!$B$99:$B$128,MATCH($B917,Setup!$A$99:$A$128,0))="","Overhead",INDEX(Setup!$B$99:$B$128,MATCH($B917,Setup!$A$99:$A$128,0))),IF(ISNUMBER(SEARCH("advance",$B917))+ISNUMBER(SEARCH("payout",$B917))+ISNUMBER(SEARCH("pay out",$B917))+ISNUMBER(SEARCH("reimburs",$B917))&gt;0,"Transfer",IF(ISNUMBER(SEARCH("loan",$B917))+ISNUMBER(SEARCH("amort",$B917))+ISNUMBER(SEARCH("installment",$B917))+ISNUMBER(SEARCH("instalment",$B917))&gt;0,"Financing",IF(ISNUMBER(SEARCH("draw",$B917))+ISNUMBER(SEARCH("owner",$B917))+ISNUMBER(SEARCH("asset",$B917))+ISNUMBER(SEARCH("capital",$B917))&gt;0,"Other",IF(ISNUMBER(SEARCH("fuel",$B917))+ISNUMBER(SEARCH("diesel",$B917))+ISNUMBER(SEARCH("krudo",$B917))+ISNUMBER(SEARCH("gasolina",$B917))+ISNUMBER(SEARCH("toll",$B917))+ISNUMBER(SEARCH("parking",$B917))+ISNUMBER(SEARCH("repair",$B917))+ISNUMBER(SEARCH("maintenance",$B917))+ISNUMBER(SEARCH("tire",$B917))+ISNUMBER(SEARCH("tyre",$B917))+ISNUMBER(SEARCH("battery",$B917))+ISNUMBER(SEARCH("oil",$B917))+ISNUMBER(SEARCH("filter",$B917))+ISNUMBER(SEARCH("spare",$B917))+ISNUMBER(SEARCH("insurance",$B917))+ISNUMBER(SEARCH("lto",$B917))+ISNUMBER(SEARCH("registration",$B917))+ISNUMBER(SEARCH("emission",$B917))+ISNUMBER(SEARCH("wash",$B917))+ISNUMBER(SEARCH("weigh",$B917))+ISNUMBER(SEARCH("tarp",$B917))&gt;0,"Vehicle",IF(ISNUMBER(SEARCH("rent",$B917))+ISNUMBER(SEARCH("upa",$B917))+ISNUMBER(SEARCH("salary",$B917))+ISNUMBER(SEARCH("sweldo",$B917))+ISNUMBER(SEARCH("wage",$B917))+ISNUMBER(SEARCH("electric",$B917))+ISNUMBER(SEARCH("kuryente",$B917))+ISNUMBER(SEARCH("water",$B917))+ISNUMBER(SEARCH("tubig",$B917))+ISNUMBER(SEARCH("internet",$B917))+ISNUMBER(SEARCH("pldt",$B917))+ISNUMBER(SEARCH("meralco",$B917))+ISNUMBER(SEARCH("supplies",$B917))+ISNUMBER(SEARCH("office",$B917))+ISNUMBER(SEARCH("professional",$B917))+ISNUMBER(SEARCH("accountant",$B917))+ISNUMBER(SEARCH("lawyer",$B917))+ISNUMBER(SEARCH("broker",$B917))+ISNUMBER(SEARCH("bank",$B917))+ISNUMBER(SEARCH("charge",$B917))+ISNUMBER(SEARCH("permit",$B917))+ISNUMBER(SEARCH("bir",$B917))+ISNUMBER(SEARCH("ltfrb",$B917))+ISNUMBER(SEARCH("misc",$B917))+ISNUMBER(SEARCH("fee",$B917))&gt;0,"Overhead","Overhead")))))))</f>
        <v/>
      </c>
      <c r="J917">
        <f>IF($A917="","",DATE(YEAR($A917),MONTH($A917),1))</f>
        <v/>
      </c>
      <c r="K917">
        <f>IF($B917="","",IF(COUNTIF(Setup!$A$99:$A$128,$B917)&gt;0,0,1))</f>
        <v/>
      </c>
      <c r="L917">
        <f>IF($B917="","",IF(ISNUMBER(SEARCH("advance",$B917)),"ADV",IF(OR(ISNUMBER(SEARCH("payout",$B917)),ISNUMBER(SEARCH("pay out",$B917)),ISNUMBER(SEARCH("release",$B917))),"PAY","")))</f>
        <v/>
      </c>
      <c r="M917">
        <f>IF($B917="","",IF(ISNUMBER(SEARCH("bulk",$B917)),0,IF(ISNUMBER(SEARCH("fuel",$B917))+ISNUMBER(SEARCH("diesel",$B917))+ISNUMBER(SEARCH("krudo",$B917))+ISNUMBER(SEARCH("gasolina",$B917))&gt;0,1,0)))</f>
        <v/>
      </c>
      <c r="N917">
        <f>IF($B917="","",IF(ISNUMBER(SEARCH("fuel",$B917))+ISNUMBER(SEARCH("diesel",$B917))+ISNUMBER(SEARCH("krudo",$B917))+ISNUMBER(SEARCH("gasolina",$B917))&gt;0,1,0))</f>
        <v/>
      </c>
    </row>
    <row r="918">
      <c r="A918" s="94" t="n"/>
      <c r="B918" s="96" t="n"/>
      <c r="C918" s="96" t="n"/>
      <c r="D918" s="95" t="n"/>
      <c r="E918" s="96" t="n"/>
      <c r="F918" s="99" t="n"/>
      <c r="G918" s="95" t="n"/>
      <c r="H918" s="95" t="n"/>
      <c r="I918" s="101">
        <f>IF($B918="","",IF(COUNTIF(Setup!$A$99:$A$128,$B918)&gt;0,IF(INDEX(Setup!$B$99:$B$128,MATCH($B918,Setup!$A$99:$A$128,0))="","Overhead",INDEX(Setup!$B$99:$B$128,MATCH($B918,Setup!$A$99:$A$128,0))),IF(ISNUMBER(SEARCH("advance",$B918))+ISNUMBER(SEARCH("payout",$B918))+ISNUMBER(SEARCH("pay out",$B918))+ISNUMBER(SEARCH("reimburs",$B918))&gt;0,"Transfer",IF(ISNUMBER(SEARCH("loan",$B918))+ISNUMBER(SEARCH("amort",$B918))+ISNUMBER(SEARCH("installment",$B918))+ISNUMBER(SEARCH("instalment",$B918))&gt;0,"Financing",IF(ISNUMBER(SEARCH("draw",$B918))+ISNUMBER(SEARCH("owner",$B918))+ISNUMBER(SEARCH("asset",$B918))+ISNUMBER(SEARCH("capital",$B918))&gt;0,"Other",IF(ISNUMBER(SEARCH("fuel",$B918))+ISNUMBER(SEARCH("diesel",$B918))+ISNUMBER(SEARCH("krudo",$B918))+ISNUMBER(SEARCH("gasolina",$B918))+ISNUMBER(SEARCH("toll",$B918))+ISNUMBER(SEARCH("parking",$B918))+ISNUMBER(SEARCH("repair",$B918))+ISNUMBER(SEARCH("maintenance",$B918))+ISNUMBER(SEARCH("tire",$B918))+ISNUMBER(SEARCH("tyre",$B918))+ISNUMBER(SEARCH("battery",$B918))+ISNUMBER(SEARCH("oil",$B918))+ISNUMBER(SEARCH("filter",$B918))+ISNUMBER(SEARCH("spare",$B918))+ISNUMBER(SEARCH("insurance",$B918))+ISNUMBER(SEARCH("lto",$B918))+ISNUMBER(SEARCH("registration",$B918))+ISNUMBER(SEARCH("emission",$B918))+ISNUMBER(SEARCH("wash",$B918))+ISNUMBER(SEARCH("weigh",$B918))+ISNUMBER(SEARCH("tarp",$B918))&gt;0,"Vehicle",IF(ISNUMBER(SEARCH("rent",$B918))+ISNUMBER(SEARCH("upa",$B918))+ISNUMBER(SEARCH("salary",$B918))+ISNUMBER(SEARCH("sweldo",$B918))+ISNUMBER(SEARCH("wage",$B918))+ISNUMBER(SEARCH("electric",$B918))+ISNUMBER(SEARCH("kuryente",$B918))+ISNUMBER(SEARCH("water",$B918))+ISNUMBER(SEARCH("tubig",$B918))+ISNUMBER(SEARCH("internet",$B918))+ISNUMBER(SEARCH("pldt",$B918))+ISNUMBER(SEARCH("meralco",$B918))+ISNUMBER(SEARCH("supplies",$B918))+ISNUMBER(SEARCH("office",$B918))+ISNUMBER(SEARCH("professional",$B918))+ISNUMBER(SEARCH("accountant",$B918))+ISNUMBER(SEARCH("lawyer",$B918))+ISNUMBER(SEARCH("broker",$B918))+ISNUMBER(SEARCH("bank",$B918))+ISNUMBER(SEARCH("charge",$B918))+ISNUMBER(SEARCH("permit",$B918))+ISNUMBER(SEARCH("bir",$B918))+ISNUMBER(SEARCH("ltfrb",$B918))+ISNUMBER(SEARCH("misc",$B918))+ISNUMBER(SEARCH("fee",$B918))&gt;0,"Overhead","Overhead")))))))</f>
        <v/>
      </c>
      <c r="J918">
        <f>IF($A918="","",DATE(YEAR($A918),MONTH($A918),1))</f>
        <v/>
      </c>
      <c r="K918">
        <f>IF($B918="","",IF(COUNTIF(Setup!$A$99:$A$128,$B918)&gt;0,0,1))</f>
        <v/>
      </c>
      <c r="L918">
        <f>IF($B918="","",IF(ISNUMBER(SEARCH("advance",$B918)),"ADV",IF(OR(ISNUMBER(SEARCH("payout",$B918)),ISNUMBER(SEARCH("pay out",$B918)),ISNUMBER(SEARCH("release",$B918))),"PAY","")))</f>
        <v/>
      </c>
      <c r="M918">
        <f>IF($B918="","",IF(ISNUMBER(SEARCH("bulk",$B918)),0,IF(ISNUMBER(SEARCH("fuel",$B918))+ISNUMBER(SEARCH("diesel",$B918))+ISNUMBER(SEARCH("krudo",$B918))+ISNUMBER(SEARCH("gasolina",$B918))&gt;0,1,0)))</f>
        <v/>
      </c>
      <c r="N918">
        <f>IF($B918="","",IF(ISNUMBER(SEARCH("fuel",$B918))+ISNUMBER(SEARCH("diesel",$B918))+ISNUMBER(SEARCH("krudo",$B918))+ISNUMBER(SEARCH("gasolina",$B918))&gt;0,1,0))</f>
        <v/>
      </c>
    </row>
    <row r="919">
      <c r="A919" s="86" t="n"/>
      <c r="B919" s="88" t="n"/>
      <c r="C919" s="88" t="n"/>
      <c r="D919" s="87" t="n"/>
      <c r="E919" s="88" t="n"/>
      <c r="F919" s="92" t="n"/>
      <c r="G919" s="87" t="n"/>
      <c r="H919" s="87" t="n"/>
      <c r="I919" s="101">
        <f>IF($B919="","",IF(COUNTIF(Setup!$A$99:$A$128,$B919)&gt;0,IF(INDEX(Setup!$B$99:$B$128,MATCH($B919,Setup!$A$99:$A$128,0))="","Overhead",INDEX(Setup!$B$99:$B$128,MATCH($B919,Setup!$A$99:$A$128,0))),IF(ISNUMBER(SEARCH("advance",$B919))+ISNUMBER(SEARCH("payout",$B919))+ISNUMBER(SEARCH("pay out",$B919))+ISNUMBER(SEARCH("reimburs",$B919))&gt;0,"Transfer",IF(ISNUMBER(SEARCH("loan",$B919))+ISNUMBER(SEARCH("amort",$B919))+ISNUMBER(SEARCH("installment",$B919))+ISNUMBER(SEARCH("instalment",$B919))&gt;0,"Financing",IF(ISNUMBER(SEARCH("draw",$B919))+ISNUMBER(SEARCH("owner",$B919))+ISNUMBER(SEARCH("asset",$B919))+ISNUMBER(SEARCH("capital",$B919))&gt;0,"Other",IF(ISNUMBER(SEARCH("fuel",$B919))+ISNUMBER(SEARCH("diesel",$B919))+ISNUMBER(SEARCH("krudo",$B919))+ISNUMBER(SEARCH("gasolina",$B919))+ISNUMBER(SEARCH("toll",$B919))+ISNUMBER(SEARCH("parking",$B919))+ISNUMBER(SEARCH("repair",$B919))+ISNUMBER(SEARCH("maintenance",$B919))+ISNUMBER(SEARCH("tire",$B919))+ISNUMBER(SEARCH("tyre",$B919))+ISNUMBER(SEARCH("battery",$B919))+ISNUMBER(SEARCH("oil",$B919))+ISNUMBER(SEARCH("filter",$B919))+ISNUMBER(SEARCH("spare",$B919))+ISNUMBER(SEARCH("insurance",$B919))+ISNUMBER(SEARCH("lto",$B919))+ISNUMBER(SEARCH("registration",$B919))+ISNUMBER(SEARCH("emission",$B919))+ISNUMBER(SEARCH("wash",$B919))+ISNUMBER(SEARCH("weigh",$B919))+ISNUMBER(SEARCH("tarp",$B919))&gt;0,"Vehicle",IF(ISNUMBER(SEARCH("rent",$B919))+ISNUMBER(SEARCH("upa",$B919))+ISNUMBER(SEARCH("salary",$B919))+ISNUMBER(SEARCH("sweldo",$B919))+ISNUMBER(SEARCH("wage",$B919))+ISNUMBER(SEARCH("electric",$B919))+ISNUMBER(SEARCH("kuryente",$B919))+ISNUMBER(SEARCH("water",$B919))+ISNUMBER(SEARCH("tubig",$B919))+ISNUMBER(SEARCH("internet",$B919))+ISNUMBER(SEARCH("pldt",$B919))+ISNUMBER(SEARCH("meralco",$B919))+ISNUMBER(SEARCH("supplies",$B919))+ISNUMBER(SEARCH("office",$B919))+ISNUMBER(SEARCH("professional",$B919))+ISNUMBER(SEARCH("accountant",$B919))+ISNUMBER(SEARCH("lawyer",$B919))+ISNUMBER(SEARCH("broker",$B919))+ISNUMBER(SEARCH("bank",$B919))+ISNUMBER(SEARCH("charge",$B919))+ISNUMBER(SEARCH("permit",$B919))+ISNUMBER(SEARCH("bir",$B919))+ISNUMBER(SEARCH("ltfrb",$B919))+ISNUMBER(SEARCH("misc",$B919))+ISNUMBER(SEARCH("fee",$B919))&gt;0,"Overhead","Overhead")))))))</f>
        <v/>
      </c>
      <c r="J919">
        <f>IF($A919="","",DATE(YEAR($A919),MONTH($A919),1))</f>
        <v/>
      </c>
      <c r="K919">
        <f>IF($B919="","",IF(COUNTIF(Setup!$A$99:$A$128,$B919)&gt;0,0,1))</f>
        <v/>
      </c>
      <c r="L919">
        <f>IF($B919="","",IF(ISNUMBER(SEARCH("advance",$B919)),"ADV",IF(OR(ISNUMBER(SEARCH("payout",$B919)),ISNUMBER(SEARCH("pay out",$B919)),ISNUMBER(SEARCH("release",$B919))),"PAY","")))</f>
        <v/>
      </c>
      <c r="M919">
        <f>IF($B919="","",IF(ISNUMBER(SEARCH("bulk",$B919)),0,IF(ISNUMBER(SEARCH("fuel",$B919))+ISNUMBER(SEARCH("diesel",$B919))+ISNUMBER(SEARCH("krudo",$B919))+ISNUMBER(SEARCH("gasolina",$B919))&gt;0,1,0)))</f>
        <v/>
      </c>
      <c r="N919">
        <f>IF($B919="","",IF(ISNUMBER(SEARCH("fuel",$B919))+ISNUMBER(SEARCH("diesel",$B919))+ISNUMBER(SEARCH("krudo",$B919))+ISNUMBER(SEARCH("gasolina",$B919))&gt;0,1,0))</f>
        <v/>
      </c>
    </row>
    <row r="920">
      <c r="A920" s="94" t="n"/>
      <c r="B920" s="96" t="n"/>
      <c r="C920" s="96" t="n"/>
      <c r="D920" s="95" t="n"/>
      <c r="E920" s="96" t="n"/>
      <c r="F920" s="99" t="n"/>
      <c r="G920" s="95" t="n"/>
      <c r="H920" s="95" t="n"/>
      <c r="I920" s="101">
        <f>IF($B920="","",IF(COUNTIF(Setup!$A$99:$A$128,$B920)&gt;0,IF(INDEX(Setup!$B$99:$B$128,MATCH($B920,Setup!$A$99:$A$128,0))="","Overhead",INDEX(Setup!$B$99:$B$128,MATCH($B920,Setup!$A$99:$A$128,0))),IF(ISNUMBER(SEARCH("advance",$B920))+ISNUMBER(SEARCH("payout",$B920))+ISNUMBER(SEARCH("pay out",$B920))+ISNUMBER(SEARCH("reimburs",$B920))&gt;0,"Transfer",IF(ISNUMBER(SEARCH("loan",$B920))+ISNUMBER(SEARCH("amort",$B920))+ISNUMBER(SEARCH("installment",$B920))+ISNUMBER(SEARCH("instalment",$B920))&gt;0,"Financing",IF(ISNUMBER(SEARCH("draw",$B920))+ISNUMBER(SEARCH("owner",$B920))+ISNUMBER(SEARCH("asset",$B920))+ISNUMBER(SEARCH("capital",$B920))&gt;0,"Other",IF(ISNUMBER(SEARCH("fuel",$B920))+ISNUMBER(SEARCH("diesel",$B920))+ISNUMBER(SEARCH("krudo",$B920))+ISNUMBER(SEARCH("gasolina",$B920))+ISNUMBER(SEARCH("toll",$B920))+ISNUMBER(SEARCH("parking",$B920))+ISNUMBER(SEARCH("repair",$B920))+ISNUMBER(SEARCH("maintenance",$B920))+ISNUMBER(SEARCH("tire",$B920))+ISNUMBER(SEARCH("tyre",$B920))+ISNUMBER(SEARCH("battery",$B920))+ISNUMBER(SEARCH("oil",$B920))+ISNUMBER(SEARCH("filter",$B920))+ISNUMBER(SEARCH("spare",$B920))+ISNUMBER(SEARCH("insurance",$B920))+ISNUMBER(SEARCH("lto",$B920))+ISNUMBER(SEARCH("registration",$B920))+ISNUMBER(SEARCH("emission",$B920))+ISNUMBER(SEARCH("wash",$B920))+ISNUMBER(SEARCH("weigh",$B920))+ISNUMBER(SEARCH("tarp",$B920))&gt;0,"Vehicle",IF(ISNUMBER(SEARCH("rent",$B920))+ISNUMBER(SEARCH("upa",$B920))+ISNUMBER(SEARCH("salary",$B920))+ISNUMBER(SEARCH("sweldo",$B920))+ISNUMBER(SEARCH("wage",$B920))+ISNUMBER(SEARCH("electric",$B920))+ISNUMBER(SEARCH("kuryente",$B920))+ISNUMBER(SEARCH("water",$B920))+ISNUMBER(SEARCH("tubig",$B920))+ISNUMBER(SEARCH("internet",$B920))+ISNUMBER(SEARCH("pldt",$B920))+ISNUMBER(SEARCH("meralco",$B920))+ISNUMBER(SEARCH("supplies",$B920))+ISNUMBER(SEARCH("office",$B920))+ISNUMBER(SEARCH("professional",$B920))+ISNUMBER(SEARCH("accountant",$B920))+ISNUMBER(SEARCH("lawyer",$B920))+ISNUMBER(SEARCH("broker",$B920))+ISNUMBER(SEARCH("bank",$B920))+ISNUMBER(SEARCH("charge",$B920))+ISNUMBER(SEARCH("permit",$B920))+ISNUMBER(SEARCH("bir",$B920))+ISNUMBER(SEARCH("ltfrb",$B920))+ISNUMBER(SEARCH("misc",$B920))+ISNUMBER(SEARCH("fee",$B920))&gt;0,"Overhead","Overhead")))))))</f>
        <v/>
      </c>
      <c r="J920">
        <f>IF($A920="","",DATE(YEAR($A920),MONTH($A920),1))</f>
        <v/>
      </c>
      <c r="K920">
        <f>IF($B920="","",IF(COUNTIF(Setup!$A$99:$A$128,$B920)&gt;0,0,1))</f>
        <v/>
      </c>
      <c r="L920">
        <f>IF($B920="","",IF(ISNUMBER(SEARCH("advance",$B920)),"ADV",IF(OR(ISNUMBER(SEARCH("payout",$B920)),ISNUMBER(SEARCH("pay out",$B920)),ISNUMBER(SEARCH("release",$B920))),"PAY","")))</f>
        <v/>
      </c>
      <c r="M920">
        <f>IF($B920="","",IF(ISNUMBER(SEARCH("bulk",$B920)),0,IF(ISNUMBER(SEARCH("fuel",$B920))+ISNUMBER(SEARCH("diesel",$B920))+ISNUMBER(SEARCH("krudo",$B920))+ISNUMBER(SEARCH("gasolina",$B920))&gt;0,1,0)))</f>
        <v/>
      </c>
      <c r="N920">
        <f>IF($B920="","",IF(ISNUMBER(SEARCH("fuel",$B920))+ISNUMBER(SEARCH("diesel",$B920))+ISNUMBER(SEARCH("krudo",$B920))+ISNUMBER(SEARCH("gasolina",$B920))&gt;0,1,0))</f>
        <v/>
      </c>
    </row>
    <row r="921">
      <c r="A921" s="86" t="n"/>
      <c r="B921" s="88" t="n"/>
      <c r="C921" s="88" t="n"/>
      <c r="D921" s="87" t="n"/>
      <c r="E921" s="88" t="n"/>
      <c r="F921" s="92" t="n"/>
      <c r="G921" s="87" t="n"/>
      <c r="H921" s="87" t="n"/>
      <c r="I921" s="101">
        <f>IF($B921="","",IF(COUNTIF(Setup!$A$99:$A$128,$B921)&gt;0,IF(INDEX(Setup!$B$99:$B$128,MATCH($B921,Setup!$A$99:$A$128,0))="","Overhead",INDEX(Setup!$B$99:$B$128,MATCH($B921,Setup!$A$99:$A$128,0))),IF(ISNUMBER(SEARCH("advance",$B921))+ISNUMBER(SEARCH("payout",$B921))+ISNUMBER(SEARCH("pay out",$B921))+ISNUMBER(SEARCH("reimburs",$B921))&gt;0,"Transfer",IF(ISNUMBER(SEARCH("loan",$B921))+ISNUMBER(SEARCH("amort",$B921))+ISNUMBER(SEARCH("installment",$B921))+ISNUMBER(SEARCH("instalment",$B921))&gt;0,"Financing",IF(ISNUMBER(SEARCH("draw",$B921))+ISNUMBER(SEARCH("owner",$B921))+ISNUMBER(SEARCH("asset",$B921))+ISNUMBER(SEARCH("capital",$B921))&gt;0,"Other",IF(ISNUMBER(SEARCH("fuel",$B921))+ISNUMBER(SEARCH("diesel",$B921))+ISNUMBER(SEARCH("krudo",$B921))+ISNUMBER(SEARCH("gasolina",$B921))+ISNUMBER(SEARCH("toll",$B921))+ISNUMBER(SEARCH("parking",$B921))+ISNUMBER(SEARCH("repair",$B921))+ISNUMBER(SEARCH("maintenance",$B921))+ISNUMBER(SEARCH("tire",$B921))+ISNUMBER(SEARCH("tyre",$B921))+ISNUMBER(SEARCH("battery",$B921))+ISNUMBER(SEARCH("oil",$B921))+ISNUMBER(SEARCH("filter",$B921))+ISNUMBER(SEARCH("spare",$B921))+ISNUMBER(SEARCH("insurance",$B921))+ISNUMBER(SEARCH("lto",$B921))+ISNUMBER(SEARCH("registration",$B921))+ISNUMBER(SEARCH("emission",$B921))+ISNUMBER(SEARCH("wash",$B921))+ISNUMBER(SEARCH("weigh",$B921))+ISNUMBER(SEARCH("tarp",$B921))&gt;0,"Vehicle",IF(ISNUMBER(SEARCH("rent",$B921))+ISNUMBER(SEARCH("upa",$B921))+ISNUMBER(SEARCH("salary",$B921))+ISNUMBER(SEARCH("sweldo",$B921))+ISNUMBER(SEARCH("wage",$B921))+ISNUMBER(SEARCH("electric",$B921))+ISNUMBER(SEARCH("kuryente",$B921))+ISNUMBER(SEARCH("water",$B921))+ISNUMBER(SEARCH("tubig",$B921))+ISNUMBER(SEARCH("internet",$B921))+ISNUMBER(SEARCH("pldt",$B921))+ISNUMBER(SEARCH("meralco",$B921))+ISNUMBER(SEARCH("supplies",$B921))+ISNUMBER(SEARCH("office",$B921))+ISNUMBER(SEARCH("professional",$B921))+ISNUMBER(SEARCH("accountant",$B921))+ISNUMBER(SEARCH("lawyer",$B921))+ISNUMBER(SEARCH("broker",$B921))+ISNUMBER(SEARCH("bank",$B921))+ISNUMBER(SEARCH("charge",$B921))+ISNUMBER(SEARCH("permit",$B921))+ISNUMBER(SEARCH("bir",$B921))+ISNUMBER(SEARCH("ltfrb",$B921))+ISNUMBER(SEARCH("misc",$B921))+ISNUMBER(SEARCH("fee",$B921))&gt;0,"Overhead","Overhead")))))))</f>
        <v/>
      </c>
      <c r="J921">
        <f>IF($A921="","",DATE(YEAR($A921),MONTH($A921),1))</f>
        <v/>
      </c>
      <c r="K921">
        <f>IF($B921="","",IF(COUNTIF(Setup!$A$99:$A$128,$B921)&gt;0,0,1))</f>
        <v/>
      </c>
      <c r="L921">
        <f>IF($B921="","",IF(ISNUMBER(SEARCH("advance",$B921)),"ADV",IF(OR(ISNUMBER(SEARCH("payout",$B921)),ISNUMBER(SEARCH("pay out",$B921)),ISNUMBER(SEARCH("release",$B921))),"PAY","")))</f>
        <v/>
      </c>
      <c r="M921">
        <f>IF($B921="","",IF(ISNUMBER(SEARCH("bulk",$B921)),0,IF(ISNUMBER(SEARCH("fuel",$B921))+ISNUMBER(SEARCH("diesel",$B921))+ISNUMBER(SEARCH("krudo",$B921))+ISNUMBER(SEARCH("gasolina",$B921))&gt;0,1,0)))</f>
        <v/>
      </c>
      <c r="N921">
        <f>IF($B921="","",IF(ISNUMBER(SEARCH("fuel",$B921))+ISNUMBER(SEARCH("diesel",$B921))+ISNUMBER(SEARCH("krudo",$B921))+ISNUMBER(SEARCH("gasolina",$B921))&gt;0,1,0))</f>
        <v/>
      </c>
    </row>
    <row r="922">
      <c r="A922" s="94" t="n"/>
      <c r="B922" s="96" t="n"/>
      <c r="C922" s="96" t="n"/>
      <c r="D922" s="95" t="n"/>
      <c r="E922" s="96" t="n"/>
      <c r="F922" s="99" t="n"/>
      <c r="G922" s="95" t="n"/>
      <c r="H922" s="95" t="n"/>
      <c r="I922" s="101">
        <f>IF($B922="","",IF(COUNTIF(Setup!$A$99:$A$128,$B922)&gt;0,IF(INDEX(Setup!$B$99:$B$128,MATCH($B922,Setup!$A$99:$A$128,0))="","Overhead",INDEX(Setup!$B$99:$B$128,MATCH($B922,Setup!$A$99:$A$128,0))),IF(ISNUMBER(SEARCH("advance",$B922))+ISNUMBER(SEARCH("payout",$B922))+ISNUMBER(SEARCH("pay out",$B922))+ISNUMBER(SEARCH("reimburs",$B922))&gt;0,"Transfer",IF(ISNUMBER(SEARCH("loan",$B922))+ISNUMBER(SEARCH("amort",$B922))+ISNUMBER(SEARCH("installment",$B922))+ISNUMBER(SEARCH("instalment",$B922))&gt;0,"Financing",IF(ISNUMBER(SEARCH("draw",$B922))+ISNUMBER(SEARCH("owner",$B922))+ISNUMBER(SEARCH("asset",$B922))+ISNUMBER(SEARCH("capital",$B922))&gt;0,"Other",IF(ISNUMBER(SEARCH("fuel",$B922))+ISNUMBER(SEARCH("diesel",$B922))+ISNUMBER(SEARCH("krudo",$B922))+ISNUMBER(SEARCH("gasolina",$B922))+ISNUMBER(SEARCH("toll",$B922))+ISNUMBER(SEARCH("parking",$B922))+ISNUMBER(SEARCH("repair",$B922))+ISNUMBER(SEARCH("maintenance",$B922))+ISNUMBER(SEARCH("tire",$B922))+ISNUMBER(SEARCH("tyre",$B922))+ISNUMBER(SEARCH("battery",$B922))+ISNUMBER(SEARCH("oil",$B922))+ISNUMBER(SEARCH("filter",$B922))+ISNUMBER(SEARCH("spare",$B922))+ISNUMBER(SEARCH("insurance",$B922))+ISNUMBER(SEARCH("lto",$B922))+ISNUMBER(SEARCH("registration",$B922))+ISNUMBER(SEARCH("emission",$B922))+ISNUMBER(SEARCH("wash",$B922))+ISNUMBER(SEARCH("weigh",$B922))+ISNUMBER(SEARCH("tarp",$B922))&gt;0,"Vehicle",IF(ISNUMBER(SEARCH("rent",$B922))+ISNUMBER(SEARCH("upa",$B922))+ISNUMBER(SEARCH("salary",$B922))+ISNUMBER(SEARCH("sweldo",$B922))+ISNUMBER(SEARCH("wage",$B922))+ISNUMBER(SEARCH("electric",$B922))+ISNUMBER(SEARCH("kuryente",$B922))+ISNUMBER(SEARCH("water",$B922))+ISNUMBER(SEARCH("tubig",$B922))+ISNUMBER(SEARCH("internet",$B922))+ISNUMBER(SEARCH("pldt",$B922))+ISNUMBER(SEARCH("meralco",$B922))+ISNUMBER(SEARCH("supplies",$B922))+ISNUMBER(SEARCH("office",$B922))+ISNUMBER(SEARCH("professional",$B922))+ISNUMBER(SEARCH("accountant",$B922))+ISNUMBER(SEARCH("lawyer",$B922))+ISNUMBER(SEARCH("broker",$B922))+ISNUMBER(SEARCH("bank",$B922))+ISNUMBER(SEARCH("charge",$B922))+ISNUMBER(SEARCH("permit",$B922))+ISNUMBER(SEARCH("bir",$B922))+ISNUMBER(SEARCH("ltfrb",$B922))+ISNUMBER(SEARCH("misc",$B922))+ISNUMBER(SEARCH("fee",$B922))&gt;0,"Overhead","Overhead")))))))</f>
        <v/>
      </c>
      <c r="J922">
        <f>IF($A922="","",DATE(YEAR($A922),MONTH($A922),1))</f>
        <v/>
      </c>
      <c r="K922">
        <f>IF($B922="","",IF(COUNTIF(Setup!$A$99:$A$128,$B922)&gt;0,0,1))</f>
        <v/>
      </c>
      <c r="L922">
        <f>IF($B922="","",IF(ISNUMBER(SEARCH("advance",$B922)),"ADV",IF(OR(ISNUMBER(SEARCH("payout",$B922)),ISNUMBER(SEARCH("pay out",$B922)),ISNUMBER(SEARCH("release",$B922))),"PAY","")))</f>
        <v/>
      </c>
      <c r="M922">
        <f>IF($B922="","",IF(ISNUMBER(SEARCH("bulk",$B922)),0,IF(ISNUMBER(SEARCH("fuel",$B922))+ISNUMBER(SEARCH("diesel",$B922))+ISNUMBER(SEARCH("krudo",$B922))+ISNUMBER(SEARCH("gasolina",$B922))&gt;0,1,0)))</f>
        <v/>
      </c>
      <c r="N922">
        <f>IF($B922="","",IF(ISNUMBER(SEARCH("fuel",$B922))+ISNUMBER(SEARCH("diesel",$B922))+ISNUMBER(SEARCH("krudo",$B922))+ISNUMBER(SEARCH("gasolina",$B922))&gt;0,1,0))</f>
        <v/>
      </c>
    </row>
    <row r="923">
      <c r="A923" s="86" t="n"/>
      <c r="B923" s="88" t="n"/>
      <c r="C923" s="88" t="n"/>
      <c r="D923" s="87" t="n"/>
      <c r="E923" s="88" t="n"/>
      <c r="F923" s="92" t="n"/>
      <c r="G923" s="87" t="n"/>
      <c r="H923" s="87" t="n"/>
      <c r="I923" s="101">
        <f>IF($B923="","",IF(COUNTIF(Setup!$A$99:$A$128,$B923)&gt;0,IF(INDEX(Setup!$B$99:$B$128,MATCH($B923,Setup!$A$99:$A$128,0))="","Overhead",INDEX(Setup!$B$99:$B$128,MATCH($B923,Setup!$A$99:$A$128,0))),IF(ISNUMBER(SEARCH("advance",$B923))+ISNUMBER(SEARCH("payout",$B923))+ISNUMBER(SEARCH("pay out",$B923))+ISNUMBER(SEARCH("reimburs",$B923))&gt;0,"Transfer",IF(ISNUMBER(SEARCH("loan",$B923))+ISNUMBER(SEARCH("amort",$B923))+ISNUMBER(SEARCH("installment",$B923))+ISNUMBER(SEARCH("instalment",$B923))&gt;0,"Financing",IF(ISNUMBER(SEARCH("draw",$B923))+ISNUMBER(SEARCH("owner",$B923))+ISNUMBER(SEARCH("asset",$B923))+ISNUMBER(SEARCH("capital",$B923))&gt;0,"Other",IF(ISNUMBER(SEARCH("fuel",$B923))+ISNUMBER(SEARCH("diesel",$B923))+ISNUMBER(SEARCH("krudo",$B923))+ISNUMBER(SEARCH("gasolina",$B923))+ISNUMBER(SEARCH("toll",$B923))+ISNUMBER(SEARCH("parking",$B923))+ISNUMBER(SEARCH("repair",$B923))+ISNUMBER(SEARCH("maintenance",$B923))+ISNUMBER(SEARCH("tire",$B923))+ISNUMBER(SEARCH("tyre",$B923))+ISNUMBER(SEARCH("battery",$B923))+ISNUMBER(SEARCH("oil",$B923))+ISNUMBER(SEARCH("filter",$B923))+ISNUMBER(SEARCH("spare",$B923))+ISNUMBER(SEARCH("insurance",$B923))+ISNUMBER(SEARCH("lto",$B923))+ISNUMBER(SEARCH("registration",$B923))+ISNUMBER(SEARCH("emission",$B923))+ISNUMBER(SEARCH("wash",$B923))+ISNUMBER(SEARCH("weigh",$B923))+ISNUMBER(SEARCH("tarp",$B923))&gt;0,"Vehicle",IF(ISNUMBER(SEARCH("rent",$B923))+ISNUMBER(SEARCH("upa",$B923))+ISNUMBER(SEARCH("salary",$B923))+ISNUMBER(SEARCH("sweldo",$B923))+ISNUMBER(SEARCH("wage",$B923))+ISNUMBER(SEARCH("electric",$B923))+ISNUMBER(SEARCH("kuryente",$B923))+ISNUMBER(SEARCH("water",$B923))+ISNUMBER(SEARCH("tubig",$B923))+ISNUMBER(SEARCH("internet",$B923))+ISNUMBER(SEARCH("pldt",$B923))+ISNUMBER(SEARCH("meralco",$B923))+ISNUMBER(SEARCH("supplies",$B923))+ISNUMBER(SEARCH("office",$B923))+ISNUMBER(SEARCH("professional",$B923))+ISNUMBER(SEARCH("accountant",$B923))+ISNUMBER(SEARCH("lawyer",$B923))+ISNUMBER(SEARCH("broker",$B923))+ISNUMBER(SEARCH("bank",$B923))+ISNUMBER(SEARCH("charge",$B923))+ISNUMBER(SEARCH("permit",$B923))+ISNUMBER(SEARCH("bir",$B923))+ISNUMBER(SEARCH("ltfrb",$B923))+ISNUMBER(SEARCH("misc",$B923))+ISNUMBER(SEARCH("fee",$B923))&gt;0,"Overhead","Overhead")))))))</f>
        <v/>
      </c>
      <c r="J923">
        <f>IF($A923="","",DATE(YEAR($A923),MONTH($A923),1))</f>
        <v/>
      </c>
      <c r="K923">
        <f>IF($B923="","",IF(COUNTIF(Setup!$A$99:$A$128,$B923)&gt;0,0,1))</f>
        <v/>
      </c>
      <c r="L923">
        <f>IF($B923="","",IF(ISNUMBER(SEARCH("advance",$B923)),"ADV",IF(OR(ISNUMBER(SEARCH("payout",$B923)),ISNUMBER(SEARCH("pay out",$B923)),ISNUMBER(SEARCH("release",$B923))),"PAY","")))</f>
        <v/>
      </c>
      <c r="M923">
        <f>IF($B923="","",IF(ISNUMBER(SEARCH("bulk",$B923)),0,IF(ISNUMBER(SEARCH("fuel",$B923))+ISNUMBER(SEARCH("diesel",$B923))+ISNUMBER(SEARCH("krudo",$B923))+ISNUMBER(SEARCH("gasolina",$B923))&gt;0,1,0)))</f>
        <v/>
      </c>
      <c r="N923">
        <f>IF($B923="","",IF(ISNUMBER(SEARCH("fuel",$B923))+ISNUMBER(SEARCH("diesel",$B923))+ISNUMBER(SEARCH("krudo",$B923))+ISNUMBER(SEARCH("gasolina",$B923))&gt;0,1,0))</f>
        <v/>
      </c>
    </row>
    <row r="924">
      <c r="A924" s="94" t="n"/>
      <c r="B924" s="96" t="n"/>
      <c r="C924" s="96" t="n"/>
      <c r="D924" s="95" t="n"/>
      <c r="E924" s="96" t="n"/>
      <c r="F924" s="99" t="n"/>
      <c r="G924" s="95" t="n"/>
      <c r="H924" s="95" t="n"/>
      <c r="I924" s="101">
        <f>IF($B924="","",IF(COUNTIF(Setup!$A$99:$A$128,$B924)&gt;0,IF(INDEX(Setup!$B$99:$B$128,MATCH($B924,Setup!$A$99:$A$128,0))="","Overhead",INDEX(Setup!$B$99:$B$128,MATCH($B924,Setup!$A$99:$A$128,0))),IF(ISNUMBER(SEARCH("advance",$B924))+ISNUMBER(SEARCH("payout",$B924))+ISNUMBER(SEARCH("pay out",$B924))+ISNUMBER(SEARCH("reimburs",$B924))&gt;0,"Transfer",IF(ISNUMBER(SEARCH("loan",$B924))+ISNUMBER(SEARCH("amort",$B924))+ISNUMBER(SEARCH("installment",$B924))+ISNUMBER(SEARCH("instalment",$B924))&gt;0,"Financing",IF(ISNUMBER(SEARCH("draw",$B924))+ISNUMBER(SEARCH("owner",$B924))+ISNUMBER(SEARCH("asset",$B924))+ISNUMBER(SEARCH("capital",$B924))&gt;0,"Other",IF(ISNUMBER(SEARCH("fuel",$B924))+ISNUMBER(SEARCH("diesel",$B924))+ISNUMBER(SEARCH("krudo",$B924))+ISNUMBER(SEARCH("gasolina",$B924))+ISNUMBER(SEARCH("toll",$B924))+ISNUMBER(SEARCH("parking",$B924))+ISNUMBER(SEARCH("repair",$B924))+ISNUMBER(SEARCH("maintenance",$B924))+ISNUMBER(SEARCH("tire",$B924))+ISNUMBER(SEARCH("tyre",$B924))+ISNUMBER(SEARCH("battery",$B924))+ISNUMBER(SEARCH("oil",$B924))+ISNUMBER(SEARCH("filter",$B924))+ISNUMBER(SEARCH("spare",$B924))+ISNUMBER(SEARCH("insurance",$B924))+ISNUMBER(SEARCH("lto",$B924))+ISNUMBER(SEARCH("registration",$B924))+ISNUMBER(SEARCH("emission",$B924))+ISNUMBER(SEARCH("wash",$B924))+ISNUMBER(SEARCH("weigh",$B924))+ISNUMBER(SEARCH("tarp",$B924))&gt;0,"Vehicle",IF(ISNUMBER(SEARCH("rent",$B924))+ISNUMBER(SEARCH("upa",$B924))+ISNUMBER(SEARCH("salary",$B924))+ISNUMBER(SEARCH("sweldo",$B924))+ISNUMBER(SEARCH("wage",$B924))+ISNUMBER(SEARCH("electric",$B924))+ISNUMBER(SEARCH("kuryente",$B924))+ISNUMBER(SEARCH("water",$B924))+ISNUMBER(SEARCH("tubig",$B924))+ISNUMBER(SEARCH("internet",$B924))+ISNUMBER(SEARCH("pldt",$B924))+ISNUMBER(SEARCH("meralco",$B924))+ISNUMBER(SEARCH("supplies",$B924))+ISNUMBER(SEARCH("office",$B924))+ISNUMBER(SEARCH("professional",$B924))+ISNUMBER(SEARCH("accountant",$B924))+ISNUMBER(SEARCH("lawyer",$B924))+ISNUMBER(SEARCH("broker",$B924))+ISNUMBER(SEARCH("bank",$B924))+ISNUMBER(SEARCH("charge",$B924))+ISNUMBER(SEARCH("permit",$B924))+ISNUMBER(SEARCH("bir",$B924))+ISNUMBER(SEARCH("ltfrb",$B924))+ISNUMBER(SEARCH("misc",$B924))+ISNUMBER(SEARCH("fee",$B924))&gt;0,"Overhead","Overhead")))))))</f>
        <v/>
      </c>
      <c r="J924">
        <f>IF($A924="","",DATE(YEAR($A924),MONTH($A924),1))</f>
        <v/>
      </c>
      <c r="K924">
        <f>IF($B924="","",IF(COUNTIF(Setup!$A$99:$A$128,$B924)&gt;0,0,1))</f>
        <v/>
      </c>
      <c r="L924">
        <f>IF($B924="","",IF(ISNUMBER(SEARCH("advance",$B924)),"ADV",IF(OR(ISNUMBER(SEARCH("payout",$B924)),ISNUMBER(SEARCH("pay out",$B924)),ISNUMBER(SEARCH("release",$B924))),"PAY","")))</f>
        <v/>
      </c>
      <c r="M924">
        <f>IF($B924="","",IF(ISNUMBER(SEARCH("bulk",$B924)),0,IF(ISNUMBER(SEARCH("fuel",$B924))+ISNUMBER(SEARCH("diesel",$B924))+ISNUMBER(SEARCH("krudo",$B924))+ISNUMBER(SEARCH("gasolina",$B924))&gt;0,1,0)))</f>
        <v/>
      </c>
      <c r="N924">
        <f>IF($B924="","",IF(ISNUMBER(SEARCH("fuel",$B924))+ISNUMBER(SEARCH("diesel",$B924))+ISNUMBER(SEARCH("krudo",$B924))+ISNUMBER(SEARCH("gasolina",$B924))&gt;0,1,0))</f>
        <v/>
      </c>
    </row>
    <row r="925">
      <c r="A925" s="86" t="n"/>
      <c r="B925" s="88" t="n"/>
      <c r="C925" s="88" t="n"/>
      <c r="D925" s="87" t="n"/>
      <c r="E925" s="88" t="n"/>
      <c r="F925" s="92" t="n"/>
      <c r="G925" s="87" t="n"/>
      <c r="H925" s="87" t="n"/>
      <c r="I925" s="101">
        <f>IF($B925="","",IF(COUNTIF(Setup!$A$99:$A$128,$B925)&gt;0,IF(INDEX(Setup!$B$99:$B$128,MATCH($B925,Setup!$A$99:$A$128,0))="","Overhead",INDEX(Setup!$B$99:$B$128,MATCH($B925,Setup!$A$99:$A$128,0))),IF(ISNUMBER(SEARCH("advance",$B925))+ISNUMBER(SEARCH("payout",$B925))+ISNUMBER(SEARCH("pay out",$B925))+ISNUMBER(SEARCH("reimburs",$B925))&gt;0,"Transfer",IF(ISNUMBER(SEARCH("loan",$B925))+ISNUMBER(SEARCH("amort",$B925))+ISNUMBER(SEARCH("installment",$B925))+ISNUMBER(SEARCH("instalment",$B925))&gt;0,"Financing",IF(ISNUMBER(SEARCH("draw",$B925))+ISNUMBER(SEARCH("owner",$B925))+ISNUMBER(SEARCH("asset",$B925))+ISNUMBER(SEARCH("capital",$B925))&gt;0,"Other",IF(ISNUMBER(SEARCH("fuel",$B925))+ISNUMBER(SEARCH("diesel",$B925))+ISNUMBER(SEARCH("krudo",$B925))+ISNUMBER(SEARCH("gasolina",$B925))+ISNUMBER(SEARCH("toll",$B925))+ISNUMBER(SEARCH("parking",$B925))+ISNUMBER(SEARCH("repair",$B925))+ISNUMBER(SEARCH("maintenance",$B925))+ISNUMBER(SEARCH("tire",$B925))+ISNUMBER(SEARCH("tyre",$B925))+ISNUMBER(SEARCH("battery",$B925))+ISNUMBER(SEARCH("oil",$B925))+ISNUMBER(SEARCH("filter",$B925))+ISNUMBER(SEARCH("spare",$B925))+ISNUMBER(SEARCH("insurance",$B925))+ISNUMBER(SEARCH("lto",$B925))+ISNUMBER(SEARCH("registration",$B925))+ISNUMBER(SEARCH("emission",$B925))+ISNUMBER(SEARCH("wash",$B925))+ISNUMBER(SEARCH("weigh",$B925))+ISNUMBER(SEARCH("tarp",$B925))&gt;0,"Vehicle",IF(ISNUMBER(SEARCH("rent",$B925))+ISNUMBER(SEARCH("upa",$B925))+ISNUMBER(SEARCH("salary",$B925))+ISNUMBER(SEARCH("sweldo",$B925))+ISNUMBER(SEARCH("wage",$B925))+ISNUMBER(SEARCH("electric",$B925))+ISNUMBER(SEARCH("kuryente",$B925))+ISNUMBER(SEARCH("water",$B925))+ISNUMBER(SEARCH("tubig",$B925))+ISNUMBER(SEARCH("internet",$B925))+ISNUMBER(SEARCH("pldt",$B925))+ISNUMBER(SEARCH("meralco",$B925))+ISNUMBER(SEARCH("supplies",$B925))+ISNUMBER(SEARCH("office",$B925))+ISNUMBER(SEARCH("professional",$B925))+ISNUMBER(SEARCH("accountant",$B925))+ISNUMBER(SEARCH("lawyer",$B925))+ISNUMBER(SEARCH("broker",$B925))+ISNUMBER(SEARCH("bank",$B925))+ISNUMBER(SEARCH("charge",$B925))+ISNUMBER(SEARCH("permit",$B925))+ISNUMBER(SEARCH("bir",$B925))+ISNUMBER(SEARCH("ltfrb",$B925))+ISNUMBER(SEARCH("misc",$B925))+ISNUMBER(SEARCH("fee",$B925))&gt;0,"Overhead","Overhead")))))))</f>
        <v/>
      </c>
      <c r="J925">
        <f>IF($A925="","",DATE(YEAR($A925),MONTH($A925),1))</f>
        <v/>
      </c>
      <c r="K925">
        <f>IF($B925="","",IF(COUNTIF(Setup!$A$99:$A$128,$B925)&gt;0,0,1))</f>
        <v/>
      </c>
      <c r="L925">
        <f>IF($B925="","",IF(ISNUMBER(SEARCH("advance",$B925)),"ADV",IF(OR(ISNUMBER(SEARCH("payout",$B925)),ISNUMBER(SEARCH("pay out",$B925)),ISNUMBER(SEARCH("release",$B925))),"PAY","")))</f>
        <v/>
      </c>
      <c r="M925">
        <f>IF($B925="","",IF(ISNUMBER(SEARCH("bulk",$B925)),0,IF(ISNUMBER(SEARCH("fuel",$B925))+ISNUMBER(SEARCH("diesel",$B925))+ISNUMBER(SEARCH("krudo",$B925))+ISNUMBER(SEARCH("gasolina",$B925))&gt;0,1,0)))</f>
        <v/>
      </c>
      <c r="N925">
        <f>IF($B925="","",IF(ISNUMBER(SEARCH("fuel",$B925))+ISNUMBER(SEARCH("diesel",$B925))+ISNUMBER(SEARCH("krudo",$B925))+ISNUMBER(SEARCH("gasolina",$B925))&gt;0,1,0))</f>
        <v/>
      </c>
    </row>
    <row r="926">
      <c r="A926" s="94" t="n"/>
      <c r="B926" s="96" t="n"/>
      <c r="C926" s="96" t="n"/>
      <c r="D926" s="95" t="n"/>
      <c r="E926" s="96" t="n"/>
      <c r="F926" s="99" t="n"/>
      <c r="G926" s="95" t="n"/>
      <c r="H926" s="95" t="n"/>
      <c r="I926" s="101">
        <f>IF($B926="","",IF(COUNTIF(Setup!$A$99:$A$128,$B926)&gt;0,IF(INDEX(Setup!$B$99:$B$128,MATCH($B926,Setup!$A$99:$A$128,0))="","Overhead",INDEX(Setup!$B$99:$B$128,MATCH($B926,Setup!$A$99:$A$128,0))),IF(ISNUMBER(SEARCH("advance",$B926))+ISNUMBER(SEARCH("payout",$B926))+ISNUMBER(SEARCH("pay out",$B926))+ISNUMBER(SEARCH("reimburs",$B926))&gt;0,"Transfer",IF(ISNUMBER(SEARCH("loan",$B926))+ISNUMBER(SEARCH("amort",$B926))+ISNUMBER(SEARCH("installment",$B926))+ISNUMBER(SEARCH("instalment",$B926))&gt;0,"Financing",IF(ISNUMBER(SEARCH("draw",$B926))+ISNUMBER(SEARCH("owner",$B926))+ISNUMBER(SEARCH("asset",$B926))+ISNUMBER(SEARCH("capital",$B926))&gt;0,"Other",IF(ISNUMBER(SEARCH("fuel",$B926))+ISNUMBER(SEARCH("diesel",$B926))+ISNUMBER(SEARCH("krudo",$B926))+ISNUMBER(SEARCH("gasolina",$B926))+ISNUMBER(SEARCH("toll",$B926))+ISNUMBER(SEARCH("parking",$B926))+ISNUMBER(SEARCH("repair",$B926))+ISNUMBER(SEARCH("maintenance",$B926))+ISNUMBER(SEARCH("tire",$B926))+ISNUMBER(SEARCH("tyre",$B926))+ISNUMBER(SEARCH("battery",$B926))+ISNUMBER(SEARCH("oil",$B926))+ISNUMBER(SEARCH("filter",$B926))+ISNUMBER(SEARCH("spare",$B926))+ISNUMBER(SEARCH("insurance",$B926))+ISNUMBER(SEARCH("lto",$B926))+ISNUMBER(SEARCH("registration",$B926))+ISNUMBER(SEARCH("emission",$B926))+ISNUMBER(SEARCH("wash",$B926))+ISNUMBER(SEARCH("weigh",$B926))+ISNUMBER(SEARCH("tarp",$B926))&gt;0,"Vehicle",IF(ISNUMBER(SEARCH("rent",$B926))+ISNUMBER(SEARCH("upa",$B926))+ISNUMBER(SEARCH("salary",$B926))+ISNUMBER(SEARCH("sweldo",$B926))+ISNUMBER(SEARCH("wage",$B926))+ISNUMBER(SEARCH("electric",$B926))+ISNUMBER(SEARCH("kuryente",$B926))+ISNUMBER(SEARCH("water",$B926))+ISNUMBER(SEARCH("tubig",$B926))+ISNUMBER(SEARCH("internet",$B926))+ISNUMBER(SEARCH("pldt",$B926))+ISNUMBER(SEARCH("meralco",$B926))+ISNUMBER(SEARCH("supplies",$B926))+ISNUMBER(SEARCH("office",$B926))+ISNUMBER(SEARCH("professional",$B926))+ISNUMBER(SEARCH("accountant",$B926))+ISNUMBER(SEARCH("lawyer",$B926))+ISNUMBER(SEARCH("broker",$B926))+ISNUMBER(SEARCH("bank",$B926))+ISNUMBER(SEARCH("charge",$B926))+ISNUMBER(SEARCH("permit",$B926))+ISNUMBER(SEARCH("bir",$B926))+ISNUMBER(SEARCH("ltfrb",$B926))+ISNUMBER(SEARCH("misc",$B926))+ISNUMBER(SEARCH("fee",$B926))&gt;0,"Overhead","Overhead")))))))</f>
        <v/>
      </c>
      <c r="J926">
        <f>IF($A926="","",DATE(YEAR($A926),MONTH($A926),1))</f>
        <v/>
      </c>
      <c r="K926">
        <f>IF($B926="","",IF(COUNTIF(Setup!$A$99:$A$128,$B926)&gt;0,0,1))</f>
        <v/>
      </c>
      <c r="L926">
        <f>IF($B926="","",IF(ISNUMBER(SEARCH("advance",$B926)),"ADV",IF(OR(ISNUMBER(SEARCH("payout",$B926)),ISNUMBER(SEARCH("pay out",$B926)),ISNUMBER(SEARCH("release",$B926))),"PAY","")))</f>
        <v/>
      </c>
      <c r="M926">
        <f>IF($B926="","",IF(ISNUMBER(SEARCH("bulk",$B926)),0,IF(ISNUMBER(SEARCH("fuel",$B926))+ISNUMBER(SEARCH("diesel",$B926))+ISNUMBER(SEARCH("krudo",$B926))+ISNUMBER(SEARCH("gasolina",$B926))&gt;0,1,0)))</f>
        <v/>
      </c>
      <c r="N926">
        <f>IF($B926="","",IF(ISNUMBER(SEARCH("fuel",$B926))+ISNUMBER(SEARCH("diesel",$B926))+ISNUMBER(SEARCH("krudo",$B926))+ISNUMBER(SEARCH("gasolina",$B926))&gt;0,1,0))</f>
        <v/>
      </c>
    </row>
    <row r="927">
      <c r="A927" s="86" t="n"/>
      <c r="B927" s="88" t="n"/>
      <c r="C927" s="88" t="n"/>
      <c r="D927" s="87" t="n"/>
      <c r="E927" s="88" t="n"/>
      <c r="F927" s="92" t="n"/>
      <c r="G927" s="87" t="n"/>
      <c r="H927" s="87" t="n"/>
      <c r="I927" s="101">
        <f>IF($B927="","",IF(COUNTIF(Setup!$A$99:$A$128,$B927)&gt;0,IF(INDEX(Setup!$B$99:$B$128,MATCH($B927,Setup!$A$99:$A$128,0))="","Overhead",INDEX(Setup!$B$99:$B$128,MATCH($B927,Setup!$A$99:$A$128,0))),IF(ISNUMBER(SEARCH("advance",$B927))+ISNUMBER(SEARCH("payout",$B927))+ISNUMBER(SEARCH("pay out",$B927))+ISNUMBER(SEARCH("reimburs",$B927))&gt;0,"Transfer",IF(ISNUMBER(SEARCH("loan",$B927))+ISNUMBER(SEARCH("amort",$B927))+ISNUMBER(SEARCH("installment",$B927))+ISNUMBER(SEARCH("instalment",$B927))&gt;0,"Financing",IF(ISNUMBER(SEARCH("draw",$B927))+ISNUMBER(SEARCH("owner",$B927))+ISNUMBER(SEARCH("asset",$B927))+ISNUMBER(SEARCH("capital",$B927))&gt;0,"Other",IF(ISNUMBER(SEARCH("fuel",$B927))+ISNUMBER(SEARCH("diesel",$B927))+ISNUMBER(SEARCH("krudo",$B927))+ISNUMBER(SEARCH("gasolina",$B927))+ISNUMBER(SEARCH("toll",$B927))+ISNUMBER(SEARCH("parking",$B927))+ISNUMBER(SEARCH("repair",$B927))+ISNUMBER(SEARCH("maintenance",$B927))+ISNUMBER(SEARCH("tire",$B927))+ISNUMBER(SEARCH("tyre",$B927))+ISNUMBER(SEARCH("battery",$B927))+ISNUMBER(SEARCH("oil",$B927))+ISNUMBER(SEARCH("filter",$B927))+ISNUMBER(SEARCH("spare",$B927))+ISNUMBER(SEARCH("insurance",$B927))+ISNUMBER(SEARCH("lto",$B927))+ISNUMBER(SEARCH("registration",$B927))+ISNUMBER(SEARCH("emission",$B927))+ISNUMBER(SEARCH("wash",$B927))+ISNUMBER(SEARCH("weigh",$B927))+ISNUMBER(SEARCH("tarp",$B927))&gt;0,"Vehicle",IF(ISNUMBER(SEARCH("rent",$B927))+ISNUMBER(SEARCH("upa",$B927))+ISNUMBER(SEARCH("salary",$B927))+ISNUMBER(SEARCH("sweldo",$B927))+ISNUMBER(SEARCH("wage",$B927))+ISNUMBER(SEARCH("electric",$B927))+ISNUMBER(SEARCH("kuryente",$B927))+ISNUMBER(SEARCH("water",$B927))+ISNUMBER(SEARCH("tubig",$B927))+ISNUMBER(SEARCH("internet",$B927))+ISNUMBER(SEARCH("pldt",$B927))+ISNUMBER(SEARCH("meralco",$B927))+ISNUMBER(SEARCH("supplies",$B927))+ISNUMBER(SEARCH("office",$B927))+ISNUMBER(SEARCH("professional",$B927))+ISNUMBER(SEARCH("accountant",$B927))+ISNUMBER(SEARCH("lawyer",$B927))+ISNUMBER(SEARCH("broker",$B927))+ISNUMBER(SEARCH("bank",$B927))+ISNUMBER(SEARCH("charge",$B927))+ISNUMBER(SEARCH("permit",$B927))+ISNUMBER(SEARCH("bir",$B927))+ISNUMBER(SEARCH("ltfrb",$B927))+ISNUMBER(SEARCH("misc",$B927))+ISNUMBER(SEARCH("fee",$B927))&gt;0,"Overhead","Overhead")))))))</f>
        <v/>
      </c>
      <c r="J927">
        <f>IF($A927="","",DATE(YEAR($A927),MONTH($A927),1))</f>
        <v/>
      </c>
      <c r="K927">
        <f>IF($B927="","",IF(COUNTIF(Setup!$A$99:$A$128,$B927)&gt;0,0,1))</f>
        <v/>
      </c>
      <c r="L927">
        <f>IF($B927="","",IF(ISNUMBER(SEARCH("advance",$B927)),"ADV",IF(OR(ISNUMBER(SEARCH("payout",$B927)),ISNUMBER(SEARCH("pay out",$B927)),ISNUMBER(SEARCH("release",$B927))),"PAY","")))</f>
        <v/>
      </c>
      <c r="M927">
        <f>IF($B927="","",IF(ISNUMBER(SEARCH("bulk",$B927)),0,IF(ISNUMBER(SEARCH("fuel",$B927))+ISNUMBER(SEARCH("diesel",$B927))+ISNUMBER(SEARCH("krudo",$B927))+ISNUMBER(SEARCH("gasolina",$B927))&gt;0,1,0)))</f>
        <v/>
      </c>
      <c r="N927">
        <f>IF($B927="","",IF(ISNUMBER(SEARCH("fuel",$B927))+ISNUMBER(SEARCH("diesel",$B927))+ISNUMBER(SEARCH("krudo",$B927))+ISNUMBER(SEARCH("gasolina",$B927))&gt;0,1,0))</f>
        <v/>
      </c>
    </row>
    <row r="928">
      <c r="A928" s="94" t="n"/>
      <c r="B928" s="96" t="n"/>
      <c r="C928" s="96" t="n"/>
      <c r="D928" s="95" t="n"/>
      <c r="E928" s="96" t="n"/>
      <c r="F928" s="99" t="n"/>
      <c r="G928" s="95" t="n"/>
      <c r="H928" s="95" t="n"/>
      <c r="I928" s="101">
        <f>IF($B928="","",IF(COUNTIF(Setup!$A$99:$A$128,$B928)&gt;0,IF(INDEX(Setup!$B$99:$B$128,MATCH($B928,Setup!$A$99:$A$128,0))="","Overhead",INDEX(Setup!$B$99:$B$128,MATCH($B928,Setup!$A$99:$A$128,0))),IF(ISNUMBER(SEARCH("advance",$B928))+ISNUMBER(SEARCH("payout",$B928))+ISNUMBER(SEARCH("pay out",$B928))+ISNUMBER(SEARCH("reimburs",$B928))&gt;0,"Transfer",IF(ISNUMBER(SEARCH("loan",$B928))+ISNUMBER(SEARCH("amort",$B928))+ISNUMBER(SEARCH("installment",$B928))+ISNUMBER(SEARCH("instalment",$B928))&gt;0,"Financing",IF(ISNUMBER(SEARCH("draw",$B928))+ISNUMBER(SEARCH("owner",$B928))+ISNUMBER(SEARCH("asset",$B928))+ISNUMBER(SEARCH("capital",$B928))&gt;0,"Other",IF(ISNUMBER(SEARCH("fuel",$B928))+ISNUMBER(SEARCH("diesel",$B928))+ISNUMBER(SEARCH("krudo",$B928))+ISNUMBER(SEARCH("gasolina",$B928))+ISNUMBER(SEARCH("toll",$B928))+ISNUMBER(SEARCH("parking",$B928))+ISNUMBER(SEARCH("repair",$B928))+ISNUMBER(SEARCH("maintenance",$B928))+ISNUMBER(SEARCH("tire",$B928))+ISNUMBER(SEARCH("tyre",$B928))+ISNUMBER(SEARCH("battery",$B928))+ISNUMBER(SEARCH("oil",$B928))+ISNUMBER(SEARCH("filter",$B928))+ISNUMBER(SEARCH("spare",$B928))+ISNUMBER(SEARCH("insurance",$B928))+ISNUMBER(SEARCH("lto",$B928))+ISNUMBER(SEARCH("registration",$B928))+ISNUMBER(SEARCH("emission",$B928))+ISNUMBER(SEARCH("wash",$B928))+ISNUMBER(SEARCH("weigh",$B928))+ISNUMBER(SEARCH("tarp",$B928))&gt;0,"Vehicle",IF(ISNUMBER(SEARCH("rent",$B928))+ISNUMBER(SEARCH("upa",$B928))+ISNUMBER(SEARCH("salary",$B928))+ISNUMBER(SEARCH("sweldo",$B928))+ISNUMBER(SEARCH("wage",$B928))+ISNUMBER(SEARCH("electric",$B928))+ISNUMBER(SEARCH("kuryente",$B928))+ISNUMBER(SEARCH("water",$B928))+ISNUMBER(SEARCH("tubig",$B928))+ISNUMBER(SEARCH("internet",$B928))+ISNUMBER(SEARCH("pldt",$B928))+ISNUMBER(SEARCH("meralco",$B928))+ISNUMBER(SEARCH("supplies",$B928))+ISNUMBER(SEARCH("office",$B928))+ISNUMBER(SEARCH("professional",$B928))+ISNUMBER(SEARCH("accountant",$B928))+ISNUMBER(SEARCH("lawyer",$B928))+ISNUMBER(SEARCH("broker",$B928))+ISNUMBER(SEARCH("bank",$B928))+ISNUMBER(SEARCH("charge",$B928))+ISNUMBER(SEARCH("permit",$B928))+ISNUMBER(SEARCH("bir",$B928))+ISNUMBER(SEARCH("ltfrb",$B928))+ISNUMBER(SEARCH("misc",$B928))+ISNUMBER(SEARCH("fee",$B928))&gt;0,"Overhead","Overhead")))))))</f>
        <v/>
      </c>
      <c r="J928">
        <f>IF($A928="","",DATE(YEAR($A928),MONTH($A928),1))</f>
        <v/>
      </c>
      <c r="K928">
        <f>IF($B928="","",IF(COUNTIF(Setup!$A$99:$A$128,$B928)&gt;0,0,1))</f>
        <v/>
      </c>
      <c r="L928">
        <f>IF($B928="","",IF(ISNUMBER(SEARCH("advance",$B928)),"ADV",IF(OR(ISNUMBER(SEARCH("payout",$B928)),ISNUMBER(SEARCH("pay out",$B928)),ISNUMBER(SEARCH("release",$B928))),"PAY","")))</f>
        <v/>
      </c>
      <c r="M928">
        <f>IF($B928="","",IF(ISNUMBER(SEARCH("bulk",$B928)),0,IF(ISNUMBER(SEARCH("fuel",$B928))+ISNUMBER(SEARCH("diesel",$B928))+ISNUMBER(SEARCH("krudo",$B928))+ISNUMBER(SEARCH("gasolina",$B928))&gt;0,1,0)))</f>
        <v/>
      </c>
      <c r="N928">
        <f>IF($B928="","",IF(ISNUMBER(SEARCH("fuel",$B928))+ISNUMBER(SEARCH("diesel",$B928))+ISNUMBER(SEARCH("krudo",$B928))+ISNUMBER(SEARCH("gasolina",$B928))&gt;0,1,0))</f>
        <v/>
      </c>
    </row>
    <row r="929">
      <c r="A929" s="86" t="n"/>
      <c r="B929" s="88" t="n"/>
      <c r="C929" s="88" t="n"/>
      <c r="D929" s="87" t="n"/>
      <c r="E929" s="88" t="n"/>
      <c r="F929" s="92" t="n"/>
      <c r="G929" s="87" t="n"/>
      <c r="H929" s="87" t="n"/>
      <c r="I929" s="101">
        <f>IF($B929="","",IF(COUNTIF(Setup!$A$99:$A$128,$B929)&gt;0,IF(INDEX(Setup!$B$99:$B$128,MATCH($B929,Setup!$A$99:$A$128,0))="","Overhead",INDEX(Setup!$B$99:$B$128,MATCH($B929,Setup!$A$99:$A$128,0))),IF(ISNUMBER(SEARCH("advance",$B929))+ISNUMBER(SEARCH("payout",$B929))+ISNUMBER(SEARCH("pay out",$B929))+ISNUMBER(SEARCH("reimburs",$B929))&gt;0,"Transfer",IF(ISNUMBER(SEARCH("loan",$B929))+ISNUMBER(SEARCH("amort",$B929))+ISNUMBER(SEARCH("installment",$B929))+ISNUMBER(SEARCH("instalment",$B929))&gt;0,"Financing",IF(ISNUMBER(SEARCH("draw",$B929))+ISNUMBER(SEARCH("owner",$B929))+ISNUMBER(SEARCH("asset",$B929))+ISNUMBER(SEARCH("capital",$B929))&gt;0,"Other",IF(ISNUMBER(SEARCH("fuel",$B929))+ISNUMBER(SEARCH("diesel",$B929))+ISNUMBER(SEARCH("krudo",$B929))+ISNUMBER(SEARCH("gasolina",$B929))+ISNUMBER(SEARCH("toll",$B929))+ISNUMBER(SEARCH("parking",$B929))+ISNUMBER(SEARCH("repair",$B929))+ISNUMBER(SEARCH("maintenance",$B929))+ISNUMBER(SEARCH("tire",$B929))+ISNUMBER(SEARCH("tyre",$B929))+ISNUMBER(SEARCH("battery",$B929))+ISNUMBER(SEARCH("oil",$B929))+ISNUMBER(SEARCH("filter",$B929))+ISNUMBER(SEARCH("spare",$B929))+ISNUMBER(SEARCH("insurance",$B929))+ISNUMBER(SEARCH("lto",$B929))+ISNUMBER(SEARCH("registration",$B929))+ISNUMBER(SEARCH("emission",$B929))+ISNUMBER(SEARCH("wash",$B929))+ISNUMBER(SEARCH("weigh",$B929))+ISNUMBER(SEARCH("tarp",$B929))&gt;0,"Vehicle",IF(ISNUMBER(SEARCH("rent",$B929))+ISNUMBER(SEARCH("upa",$B929))+ISNUMBER(SEARCH("salary",$B929))+ISNUMBER(SEARCH("sweldo",$B929))+ISNUMBER(SEARCH("wage",$B929))+ISNUMBER(SEARCH("electric",$B929))+ISNUMBER(SEARCH("kuryente",$B929))+ISNUMBER(SEARCH("water",$B929))+ISNUMBER(SEARCH("tubig",$B929))+ISNUMBER(SEARCH("internet",$B929))+ISNUMBER(SEARCH("pldt",$B929))+ISNUMBER(SEARCH("meralco",$B929))+ISNUMBER(SEARCH("supplies",$B929))+ISNUMBER(SEARCH("office",$B929))+ISNUMBER(SEARCH("professional",$B929))+ISNUMBER(SEARCH("accountant",$B929))+ISNUMBER(SEARCH("lawyer",$B929))+ISNUMBER(SEARCH("broker",$B929))+ISNUMBER(SEARCH("bank",$B929))+ISNUMBER(SEARCH("charge",$B929))+ISNUMBER(SEARCH("permit",$B929))+ISNUMBER(SEARCH("bir",$B929))+ISNUMBER(SEARCH("ltfrb",$B929))+ISNUMBER(SEARCH("misc",$B929))+ISNUMBER(SEARCH("fee",$B929))&gt;0,"Overhead","Overhead")))))))</f>
        <v/>
      </c>
      <c r="J929">
        <f>IF($A929="","",DATE(YEAR($A929),MONTH($A929),1))</f>
        <v/>
      </c>
      <c r="K929">
        <f>IF($B929="","",IF(COUNTIF(Setup!$A$99:$A$128,$B929)&gt;0,0,1))</f>
        <v/>
      </c>
      <c r="L929">
        <f>IF($B929="","",IF(ISNUMBER(SEARCH("advance",$B929)),"ADV",IF(OR(ISNUMBER(SEARCH("payout",$B929)),ISNUMBER(SEARCH("pay out",$B929)),ISNUMBER(SEARCH("release",$B929))),"PAY","")))</f>
        <v/>
      </c>
      <c r="M929">
        <f>IF($B929="","",IF(ISNUMBER(SEARCH("bulk",$B929)),0,IF(ISNUMBER(SEARCH("fuel",$B929))+ISNUMBER(SEARCH("diesel",$B929))+ISNUMBER(SEARCH("krudo",$B929))+ISNUMBER(SEARCH("gasolina",$B929))&gt;0,1,0)))</f>
        <v/>
      </c>
      <c r="N929">
        <f>IF($B929="","",IF(ISNUMBER(SEARCH("fuel",$B929))+ISNUMBER(SEARCH("diesel",$B929))+ISNUMBER(SEARCH("krudo",$B929))+ISNUMBER(SEARCH("gasolina",$B929))&gt;0,1,0))</f>
        <v/>
      </c>
    </row>
    <row r="930">
      <c r="A930" s="94" t="n"/>
      <c r="B930" s="96" t="n"/>
      <c r="C930" s="96" t="n"/>
      <c r="D930" s="95" t="n"/>
      <c r="E930" s="96" t="n"/>
      <c r="F930" s="99" t="n"/>
      <c r="G930" s="95" t="n"/>
      <c r="H930" s="95" t="n"/>
      <c r="I930" s="101">
        <f>IF($B930="","",IF(COUNTIF(Setup!$A$99:$A$128,$B930)&gt;0,IF(INDEX(Setup!$B$99:$B$128,MATCH($B930,Setup!$A$99:$A$128,0))="","Overhead",INDEX(Setup!$B$99:$B$128,MATCH($B930,Setup!$A$99:$A$128,0))),IF(ISNUMBER(SEARCH("advance",$B930))+ISNUMBER(SEARCH("payout",$B930))+ISNUMBER(SEARCH("pay out",$B930))+ISNUMBER(SEARCH("reimburs",$B930))&gt;0,"Transfer",IF(ISNUMBER(SEARCH("loan",$B930))+ISNUMBER(SEARCH("amort",$B930))+ISNUMBER(SEARCH("installment",$B930))+ISNUMBER(SEARCH("instalment",$B930))&gt;0,"Financing",IF(ISNUMBER(SEARCH("draw",$B930))+ISNUMBER(SEARCH("owner",$B930))+ISNUMBER(SEARCH("asset",$B930))+ISNUMBER(SEARCH("capital",$B930))&gt;0,"Other",IF(ISNUMBER(SEARCH("fuel",$B930))+ISNUMBER(SEARCH("diesel",$B930))+ISNUMBER(SEARCH("krudo",$B930))+ISNUMBER(SEARCH("gasolina",$B930))+ISNUMBER(SEARCH("toll",$B930))+ISNUMBER(SEARCH("parking",$B930))+ISNUMBER(SEARCH("repair",$B930))+ISNUMBER(SEARCH("maintenance",$B930))+ISNUMBER(SEARCH("tire",$B930))+ISNUMBER(SEARCH("tyre",$B930))+ISNUMBER(SEARCH("battery",$B930))+ISNUMBER(SEARCH("oil",$B930))+ISNUMBER(SEARCH("filter",$B930))+ISNUMBER(SEARCH("spare",$B930))+ISNUMBER(SEARCH("insurance",$B930))+ISNUMBER(SEARCH("lto",$B930))+ISNUMBER(SEARCH("registration",$B930))+ISNUMBER(SEARCH("emission",$B930))+ISNUMBER(SEARCH("wash",$B930))+ISNUMBER(SEARCH("weigh",$B930))+ISNUMBER(SEARCH("tarp",$B930))&gt;0,"Vehicle",IF(ISNUMBER(SEARCH("rent",$B930))+ISNUMBER(SEARCH("upa",$B930))+ISNUMBER(SEARCH("salary",$B930))+ISNUMBER(SEARCH("sweldo",$B930))+ISNUMBER(SEARCH("wage",$B930))+ISNUMBER(SEARCH("electric",$B930))+ISNUMBER(SEARCH("kuryente",$B930))+ISNUMBER(SEARCH("water",$B930))+ISNUMBER(SEARCH("tubig",$B930))+ISNUMBER(SEARCH("internet",$B930))+ISNUMBER(SEARCH("pldt",$B930))+ISNUMBER(SEARCH("meralco",$B930))+ISNUMBER(SEARCH("supplies",$B930))+ISNUMBER(SEARCH("office",$B930))+ISNUMBER(SEARCH("professional",$B930))+ISNUMBER(SEARCH("accountant",$B930))+ISNUMBER(SEARCH("lawyer",$B930))+ISNUMBER(SEARCH("broker",$B930))+ISNUMBER(SEARCH("bank",$B930))+ISNUMBER(SEARCH("charge",$B930))+ISNUMBER(SEARCH("permit",$B930))+ISNUMBER(SEARCH("bir",$B930))+ISNUMBER(SEARCH("ltfrb",$B930))+ISNUMBER(SEARCH("misc",$B930))+ISNUMBER(SEARCH("fee",$B930))&gt;0,"Overhead","Overhead")))))))</f>
        <v/>
      </c>
      <c r="J930">
        <f>IF($A930="","",DATE(YEAR($A930),MONTH($A930),1))</f>
        <v/>
      </c>
      <c r="K930">
        <f>IF($B930="","",IF(COUNTIF(Setup!$A$99:$A$128,$B930)&gt;0,0,1))</f>
        <v/>
      </c>
      <c r="L930">
        <f>IF($B930="","",IF(ISNUMBER(SEARCH("advance",$B930)),"ADV",IF(OR(ISNUMBER(SEARCH("payout",$B930)),ISNUMBER(SEARCH("pay out",$B930)),ISNUMBER(SEARCH("release",$B930))),"PAY","")))</f>
        <v/>
      </c>
      <c r="M930">
        <f>IF($B930="","",IF(ISNUMBER(SEARCH("bulk",$B930)),0,IF(ISNUMBER(SEARCH("fuel",$B930))+ISNUMBER(SEARCH("diesel",$B930))+ISNUMBER(SEARCH("krudo",$B930))+ISNUMBER(SEARCH("gasolina",$B930))&gt;0,1,0)))</f>
        <v/>
      </c>
      <c r="N930">
        <f>IF($B930="","",IF(ISNUMBER(SEARCH("fuel",$B930))+ISNUMBER(SEARCH("diesel",$B930))+ISNUMBER(SEARCH("krudo",$B930))+ISNUMBER(SEARCH("gasolina",$B930))&gt;0,1,0))</f>
        <v/>
      </c>
    </row>
    <row r="931">
      <c r="A931" s="86" t="n"/>
      <c r="B931" s="88" t="n"/>
      <c r="C931" s="88" t="n"/>
      <c r="D931" s="87" t="n"/>
      <c r="E931" s="88" t="n"/>
      <c r="F931" s="92" t="n"/>
      <c r="G931" s="87" t="n"/>
      <c r="H931" s="87" t="n"/>
      <c r="I931" s="101">
        <f>IF($B931="","",IF(COUNTIF(Setup!$A$99:$A$128,$B931)&gt;0,IF(INDEX(Setup!$B$99:$B$128,MATCH($B931,Setup!$A$99:$A$128,0))="","Overhead",INDEX(Setup!$B$99:$B$128,MATCH($B931,Setup!$A$99:$A$128,0))),IF(ISNUMBER(SEARCH("advance",$B931))+ISNUMBER(SEARCH("payout",$B931))+ISNUMBER(SEARCH("pay out",$B931))+ISNUMBER(SEARCH("reimburs",$B931))&gt;0,"Transfer",IF(ISNUMBER(SEARCH("loan",$B931))+ISNUMBER(SEARCH("amort",$B931))+ISNUMBER(SEARCH("installment",$B931))+ISNUMBER(SEARCH("instalment",$B931))&gt;0,"Financing",IF(ISNUMBER(SEARCH("draw",$B931))+ISNUMBER(SEARCH("owner",$B931))+ISNUMBER(SEARCH("asset",$B931))+ISNUMBER(SEARCH("capital",$B931))&gt;0,"Other",IF(ISNUMBER(SEARCH("fuel",$B931))+ISNUMBER(SEARCH("diesel",$B931))+ISNUMBER(SEARCH("krudo",$B931))+ISNUMBER(SEARCH("gasolina",$B931))+ISNUMBER(SEARCH("toll",$B931))+ISNUMBER(SEARCH("parking",$B931))+ISNUMBER(SEARCH("repair",$B931))+ISNUMBER(SEARCH("maintenance",$B931))+ISNUMBER(SEARCH("tire",$B931))+ISNUMBER(SEARCH("tyre",$B931))+ISNUMBER(SEARCH("battery",$B931))+ISNUMBER(SEARCH("oil",$B931))+ISNUMBER(SEARCH("filter",$B931))+ISNUMBER(SEARCH("spare",$B931))+ISNUMBER(SEARCH("insurance",$B931))+ISNUMBER(SEARCH("lto",$B931))+ISNUMBER(SEARCH("registration",$B931))+ISNUMBER(SEARCH("emission",$B931))+ISNUMBER(SEARCH("wash",$B931))+ISNUMBER(SEARCH("weigh",$B931))+ISNUMBER(SEARCH("tarp",$B931))&gt;0,"Vehicle",IF(ISNUMBER(SEARCH("rent",$B931))+ISNUMBER(SEARCH("upa",$B931))+ISNUMBER(SEARCH("salary",$B931))+ISNUMBER(SEARCH("sweldo",$B931))+ISNUMBER(SEARCH("wage",$B931))+ISNUMBER(SEARCH("electric",$B931))+ISNUMBER(SEARCH("kuryente",$B931))+ISNUMBER(SEARCH("water",$B931))+ISNUMBER(SEARCH("tubig",$B931))+ISNUMBER(SEARCH("internet",$B931))+ISNUMBER(SEARCH("pldt",$B931))+ISNUMBER(SEARCH("meralco",$B931))+ISNUMBER(SEARCH("supplies",$B931))+ISNUMBER(SEARCH("office",$B931))+ISNUMBER(SEARCH("professional",$B931))+ISNUMBER(SEARCH("accountant",$B931))+ISNUMBER(SEARCH("lawyer",$B931))+ISNUMBER(SEARCH("broker",$B931))+ISNUMBER(SEARCH("bank",$B931))+ISNUMBER(SEARCH("charge",$B931))+ISNUMBER(SEARCH("permit",$B931))+ISNUMBER(SEARCH("bir",$B931))+ISNUMBER(SEARCH("ltfrb",$B931))+ISNUMBER(SEARCH("misc",$B931))+ISNUMBER(SEARCH("fee",$B931))&gt;0,"Overhead","Overhead")))))))</f>
        <v/>
      </c>
      <c r="J931">
        <f>IF($A931="","",DATE(YEAR($A931),MONTH($A931),1))</f>
        <v/>
      </c>
      <c r="K931">
        <f>IF($B931="","",IF(COUNTIF(Setup!$A$99:$A$128,$B931)&gt;0,0,1))</f>
        <v/>
      </c>
      <c r="L931">
        <f>IF($B931="","",IF(ISNUMBER(SEARCH("advance",$B931)),"ADV",IF(OR(ISNUMBER(SEARCH("payout",$B931)),ISNUMBER(SEARCH("pay out",$B931)),ISNUMBER(SEARCH("release",$B931))),"PAY","")))</f>
        <v/>
      </c>
      <c r="M931">
        <f>IF($B931="","",IF(ISNUMBER(SEARCH("bulk",$B931)),0,IF(ISNUMBER(SEARCH("fuel",$B931))+ISNUMBER(SEARCH("diesel",$B931))+ISNUMBER(SEARCH("krudo",$B931))+ISNUMBER(SEARCH("gasolina",$B931))&gt;0,1,0)))</f>
        <v/>
      </c>
      <c r="N931">
        <f>IF($B931="","",IF(ISNUMBER(SEARCH("fuel",$B931))+ISNUMBER(SEARCH("diesel",$B931))+ISNUMBER(SEARCH("krudo",$B931))+ISNUMBER(SEARCH("gasolina",$B931))&gt;0,1,0))</f>
        <v/>
      </c>
    </row>
    <row r="932">
      <c r="A932" s="94" t="n"/>
      <c r="B932" s="96" t="n"/>
      <c r="C932" s="96" t="n"/>
      <c r="D932" s="95" t="n"/>
      <c r="E932" s="96" t="n"/>
      <c r="F932" s="99" t="n"/>
      <c r="G932" s="95" t="n"/>
      <c r="H932" s="95" t="n"/>
      <c r="I932" s="101">
        <f>IF($B932="","",IF(COUNTIF(Setup!$A$99:$A$128,$B932)&gt;0,IF(INDEX(Setup!$B$99:$B$128,MATCH($B932,Setup!$A$99:$A$128,0))="","Overhead",INDEX(Setup!$B$99:$B$128,MATCH($B932,Setup!$A$99:$A$128,0))),IF(ISNUMBER(SEARCH("advance",$B932))+ISNUMBER(SEARCH("payout",$B932))+ISNUMBER(SEARCH("pay out",$B932))+ISNUMBER(SEARCH("reimburs",$B932))&gt;0,"Transfer",IF(ISNUMBER(SEARCH("loan",$B932))+ISNUMBER(SEARCH("amort",$B932))+ISNUMBER(SEARCH("installment",$B932))+ISNUMBER(SEARCH("instalment",$B932))&gt;0,"Financing",IF(ISNUMBER(SEARCH("draw",$B932))+ISNUMBER(SEARCH("owner",$B932))+ISNUMBER(SEARCH("asset",$B932))+ISNUMBER(SEARCH("capital",$B932))&gt;0,"Other",IF(ISNUMBER(SEARCH("fuel",$B932))+ISNUMBER(SEARCH("diesel",$B932))+ISNUMBER(SEARCH("krudo",$B932))+ISNUMBER(SEARCH("gasolina",$B932))+ISNUMBER(SEARCH("toll",$B932))+ISNUMBER(SEARCH("parking",$B932))+ISNUMBER(SEARCH("repair",$B932))+ISNUMBER(SEARCH("maintenance",$B932))+ISNUMBER(SEARCH("tire",$B932))+ISNUMBER(SEARCH("tyre",$B932))+ISNUMBER(SEARCH("battery",$B932))+ISNUMBER(SEARCH("oil",$B932))+ISNUMBER(SEARCH("filter",$B932))+ISNUMBER(SEARCH("spare",$B932))+ISNUMBER(SEARCH("insurance",$B932))+ISNUMBER(SEARCH("lto",$B932))+ISNUMBER(SEARCH("registration",$B932))+ISNUMBER(SEARCH("emission",$B932))+ISNUMBER(SEARCH("wash",$B932))+ISNUMBER(SEARCH("weigh",$B932))+ISNUMBER(SEARCH("tarp",$B932))&gt;0,"Vehicle",IF(ISNUMBER(SEARCH("rent",$B932))+ISNUMBER(SEARCH("upa",$B932))+ISNUMBER(SEARCH("salary",$B932))+ISNUMBER(SEARCH("sweldo",$B932))+ISNUMBER(SEARCH("wage",$B932))+ISNUMBER(SEARCH("electric",$B932))+ISNUMBER(SEARCH("kuryente",$B932))+ISNUMBER(SEARCH("water",$B932))+ISNUMBER(SEARCH("tubig",$B932))+ISNUMBER(SEARCH("internet",$B932))+ISNUMBER(SEARCH("pldt",$B932))+ISNUMBER(SEARCH("meralco",$B932))+ISNUMBER(SEARCH("supplies",$B932))+ISNUMBER(SEARCH("office",$B932))+ISNUMBER(SEARCH("professional",$B932))+ISNUMBER(SEARCH("accountant",$B932))+ISNUMBER(SEARCH("lawyer",$B932))+ISNUMBER(SEARCH("broker",$B932))+ISNUMBER(SEARCH("bank",$B932))+ISNUMBER(SEARCH("charge",$B932))+ISNUMBER(SEARCH("permit",$B932))+ISNUMBER(SEARCH("bir",$B932))+ISNUMBER(SEARCH("ltfrb",$B932))+ISNUMBER(SEARCH("misc",$B932))+ISNUMBER(SEARCH("fee",$B932))&gt;0,"Overhead","Overhead")))))))</f>
        <v/>
      </c>
      <c r="J932">
        <f>IF($A932="","",DATE(YEAR($A932),MONTH($A932),1))</f>
        <v/>
      </c>
      <c r="K932">
        <f>IF($B932="","",IF(COUNTIF(Setup!$A$99:$A$128,$B932)&gt;0,0,1))</f>
        <v/>
      </c>
      <c r="L932">
        <f>IF($B932="","",IF(ISNUMBER(SEARCH("advance",$B932)),"ADV",IF(OR(ISNUMBER(SEARCH("payout",$B932)),ISNUMBER(SEARCH("pay out",$B932)),ISNUMBER(SEARCH("release",$B932))),"PAY","")))</f>
        <v/>
      </c>
      <c r="M932">
        <f>IF($B932="","",IF(ISNUMBER(SEARCH("bulk",$B932)),0,IF(ISNUMBER(SEARCH("fuel",$B932))+ISNUMBER(SEARCH("diesel",$B932))+ISNUMBER(SEARCH("krudo",$B932))+ISNUMBER(SEARCH("gasolina",$B932))&gt;0,1,0)))</f>
        <v/>
      </c>
      <c r="N932">
        <f>IF($B932="","",IF(ISNUMBER(SEARCH("fuel",$B932))+ISNUMBER(SEARCH("diesel",$B932))+ISNUMBER(SEARCH("krudo",$B932))+ISNUMBER(SEARCH("gasolina",$B932))&gt;0,1,0))</f>
        <v/>
      </c>
    </row>
    <row r="933">
      <c r="A933" s="86" t="n"/>
      <c r="B933" s="88" t="n"/>
      <c r="C933" s="88" t="n"/>
      <c r="D933" s="87" t="n"/>
      <c r="E933" s="88" t="n"/>
      <c r="F933" s="92" t="n"/>
      <c r="G933" s="87" t="n"/>
      <c r="H933" s="87" t="n"/>
      <c r="I933" s="101">
        <f>IF($B933="","",IF(COUNTIF(Setup!$A$99:$A$128,$B933)&gt;0,IF(INDEX(Setup!$B$99:$B$128,MATCH($B933,Setup!$A$99:$A$128,0))="","Overhead",INDEX(Setup!$B$99:$B$128,MATCH($B933,Setup!$A$99:$A$128,0))),IF(ISNUMBER(SEARCH("advance",$B933))+ISNUMBER(SEARCH("payout",$B933))+ISNUMBER(SEARCH("pay out",$B933))+ISNUMBER(SEARCH("reimburs",$B933))&gt;0,"Transfer",IF(ISNUMBER(SEARCH("loan",$B933))+ISNUMBER(SEARCH("amort",$B933))+ISNUMBER(SEARCH("installment",$B933))+ISNUMBER(SEARCH("instalment",$B933))&gt;0,"Financing",IF(ISNUMBER(SEARCH("draw",$B933))+ISNUMBER(SEARCH("owner",$B933))+ISNUMBER(SEARCH("asset",$B933))+ISNUMBER(SEARCH("capital",$B933))&gt;0,"Other",IF(ISNUMBER(SEARCH("fuel",$B933))+ISNUMBER(SEARCH("diesel",$B933))+ISNUMBER(SEARCH("krudo",$B933))+ISNUMBER(SEARCH("gasolina",$B933))+ISNUMBER(SEARCH("toll",$B933))+ISNUMBER(SEARCH("parking",$B933))+ISNUMBER(SEARCH("repair",$B933))+ISNUMBER(SEARCH("maintenance",$B933))+ISNUMBER(SEARCH("tire",$B933))+ISNUMBER(SEARCH("tyre",$B933))+ISNUMBER(SEARCH("battery",$B933))+ISNUMBER(SEARCH("oil",$B933))+ISNUMBER(SEARCH("filter",$B933))+ISNUMBER(SEARCH("spare",$B933))+ISNUMBER(SEARCH("insurance",$B933))+ISNUMBER(SEARCH("lto",$B933))+ISNUMBER(SEARCH("registration",$B933))+ISNUMBER(SEARCH("emission",$B933))+ISNUMBER(SEARCH("wash",$B933))+ISNUMBER(SEARCH("weigh",$B933))+ISNUMBER(SEARCH("tarp",$B933))&gt;0,"Vehicle",IF(ISNUMBER(SEARCH("rent",$B933))+ISNUMBER(SEARCH("upa",$B933))+ISNUMBER(SEARCH("salary",$B933))+ISNUMBER(SEARCH("sweldo",$B933))+ISNUMBER(SEARCH("wage",$B933))+ISNUMBER(SEARCH("electric",$B933))+ISNUMBER(SEARCH("kuryente",$B933))+ISNUMBER(SEARCH("water",$B933))+ISNUMBER(SEARCH("tubig",$B933))+ISNUMBER(SEARCH("internet",$B933))+ISNUMBER(SEARCH("pldt",$B933))+ISNUMBER(SEARCH("meralco",$B933))+ISNUMBER(SEARCH("supplies",$B933))+ISNUMBER(SEARCH("office",$B933))+ISNUMBER(SEARCH("professional",$B933))+ISNUMBER(SEARCH("accountant",$B933))+ISNUMBER(SEARCH("lawyer",$B933))+ISNUMBER(SEARCH("broker",$B933))+ISNUMBER(SEARCH("bank",$B933))+ISNUMBER(SEARCH("charge",$B933))+ISNUMBER(SEARCH("permit",$B933))+ISNUMBER(SEARCH("bir",$B933))+ISNUMBER(SEARCH("ltfrb",$B933))+ISNUMBER(SEARCH("misc",$B933))+ISNUMBER(SEARCH("fee",$B933))&gt;0,"Overhead","Overhead")))))))</f>
        <v/>
      </c>
      <c r="J933">
        <f>IF($A933="","",DATE(YEAR($A933),MONTH($A933),1))</f>
        <v/>
      </c>
      <c r="K933">
        <f>IF($B933="","",IF(COUNTIF(Setup!$A$99:$A$128,$B933)&gt;0,0,1))</f>
        <v/>
      </c>
      <c r="L933">
        <f>IF($B933="","",IF(ISNUMBER(SEARCH("advance",$B933)),"ADV",IF(OR(ISNUMBER(SEARCH("payout",$B933)),ISNUMBER(SEARCH("pay out",$B933)),ISNUMBER(SEARCH("release",$B933))),"PAY","")))</f>
        <v/>
      </c>
      <c r="M933">
        <f>IF($B933="","",IF(ISNUMBER(SEARCH("bulk",$B933)),0,IF(ISNUMBER(SEARCH("fuel",$B933))+ISNUMBER(SEARCH("diesel",$B933))+ISNUMBER(SEARCH("krudo",$B933))+ISNUMBER(SEARCH("gasolina",$B933))&gt;0,1,0)))</f>
        <v/>
      </c>
      <c r="N933">
        <f>IF($B933="","",IF(ISNUMBER(SEARCH("fuel",$B933))+ISNUMBER(SEARCH("diesel",$B933))+ISNUMBER(SEARCH("krudo",$B933))+ISNUMBER(SEARCH("gasolina",$B933))&gt;0,1,0))</f>
        <v/>
      </c>
    </row>
    <row r="934">
      <c r="A934" s="94" t="n"/>
      <c r="B934" s="96" t="n"/>
      <c r="C934" s="96" t="n"/>
      <c r="D934" s="95" t="n"/>
      <c r="E934" s="96" t="n"/>
      <c r="F934" s="99" t="n"/>
      <c r="G934" s="95" t="n"/>
      <c r="H934" s="95" t="n"/>
      <c r="I934" s="101">
        <f>IF($B934="","",IF(COUNTIF(Setup!$A$99:$A$128,$B934)&gt;0,IF(INDEX(Setup!$B$99:$B$128,MATCH($B934,Setup!$A$99:$A$128,0))="","Overhead",INDEX(Setup!$B$99:$B$128,MATCH($B934,Setup!$A$99:$A$128,0))),IF(ISNUMBER(SEARCH("advance",$B934))+ISNUMBER(SEARCH("payout",$B934))+ISNUMBER(SEARCH("pay out",$B934))+ISNUMBER(SEARCH("reimburs",$B934))&gt;0,"Transfer",IF(ISNUMBER(SEARCH("loan",$B934))+ISNUMBER(SEARCH("amort",$B934))+ISNUMBER(SEARCH("installment",$B934))+ISNUMBER(SEARCH("instalment",$B934))&gt;0,"Financing",IF(ISNUMBER(SEARCH("draw",$B934))+ISNUMBER(SEARCH("owner",$B934))+ISNUMBER(SEARCH("asset",$B934))+ISNUMBER(SEARCH("capital",$B934))&gt;0,"Other",IF(ISNUMBER(SEARCH("fuel",$B934))+ISNUMBER(SEARCH("diesel",$B934))+ISNUMBER(SEARCH("krudo",$B934))+ISNUMBER(SEARCH("gasolina",$B934))+ISNUMBER(SEARCH("toll",$B934))+ISNUMBER(SEARCH("parking",$B934))+ISNUMBER(SEARCH("repair",$B934))+ISNUMBER(SEARCH("maintenance",$B934))+ISNUMBER(SEARCH("tire",$B934))+ISNUMBER(SEARCH("tyre",$B934))+ISNUMBER(SEARCH("battery",$B934))+ISNUMBER(SEARCH("oil",$B934))+ISNUMBER(SEARCH("filter",$B934))+ISNUMBER(SEARCH("spare",$B934))+ISNUMBER(SEARCH("insurance",$B934))+ISNUMBER(SEARCH("lto",$B934))+ISNUMBER(SEARCH("registration",$B934))+ISNUMBER(SEARCH("emission",$B934))+ISNUMBER(SEARCH("wash",$B934))+ISNUMBER(SEARCH("weigh",$B934))+ISNUMBER(SEARCH("tarp",$B934))&gt;0,"Vehicle",IF(ISNUMBER(SEARCH("rent",$B934))+ISNUMBER(SEARCH("upa",$B934))+ISNUMBER(SEARCH("salary",$B934))+ISNUMBER(SEARCH("sweldo",$B934))+ISNUMBER(SEARCH("wage",$B934))+ISNUMBER(SEARCH("electric",$B934))+ISNUMBER(SEARCH("kuryente",$B934))+ISNUMBER(SEARCH("water",$B934))+ISNUMBER(SEARCH("tubig",$B934))+ISNUMBER(SEARCH("internet",$B934))+ISNUMBER(SEARCH("pldt",$B934))+ISNUMBER(SEARCH("meralco",$B934))+ISNUMBER(SEARCH("supplies",$B934))+ISNUMBER(SEARCH("office",$B934))+ISNUMBER(SEARCH("professional",$B934))+ISNUMBER(SEARCH("accountant",$B934))+ISNUMBER(SEARCH("lawyer",$B934))+ISNUMBER(SEARCH("broker",$B934))+ISNUMBER(SEARCH("bank",$B934))+ISNUMBER(SEARCH("charge",$B934))+ISNUMBER(SEARCH("permit",$B934))+ISNUMBER(SEARCH("bir",$B934))+ISNUMBER(SEARCH("ltfrb",$B934))+ISNUMBER(SEARCH("misc",$B934))+ISNUMBER(SEARCH("fee",$B934))&gt;0,"Overhead","Overhead")))))))</f>
        <v/>
      </c>
      <c r="J934">
        <f>IF($A934="","",DATE(YEAR($A934),MONTH($A934),1))</f>
        <v/>
      </c>
      <c r="K934">
        <f>IF($B934="","",IF(COUNTIF(Setup!$A$99:$A$128,$B934)&gt;0,0,1))</f>
        <v/>
      </c>
      <c r="L934">
        <f>IF($B934="","",IF(ISNUMBER(SEARCH("advance",$B934)),"ADV",IF(OR(ISNUMBER(SEARCH("payout",$B934)),ISNUMBER(SEARCH("pay out",$B934)),ISNUMBER(SEARCH("release",$B934))),"PAY","")))</f>
        <v/>
      </c>
      <c r="M934">
        <f>IF($B934="","",IF(ISNUMBER(SEARCH("bulk",$B934)),0,IF(ISNUMBER(SEARCH("fuel",$B934))+ISNUMBER(SEARCH("diesel",$B934))+ISNUMBER(SEARCH("krudo",$B934))+ISNUMBER(SEARCH("gasolina",$B934))&gt;0,1,0)))</f>
        <v/>
      </c>
      <c r="N934">
        <f>IF($B934="","",IF(ISNUMBER(SEARCH("fuel",$B934))+ISNUMBER(SEARCH("diesel",$B934))+ISNUMBER(SEARCH("krudo",$B934))+ISNUMBER(SEARCH("gasolina",$B934))&gt;0,1,0))</f>
        <v/>
      </c>
    </row>
    <row r="935">
      <c r="A935" s="86" t="n"/>
      <c r="B935" s="88" t="n"/>
      <c r="C935" s="88" t="n"/>
      <c r="D935" s="87" t="n"/>
      <c r="E935" s="88" t="n"/>
      <c r="F935" s="92" t="n"/>
      <c r="G935" s="87" t="n"/>
      <c r="H935" s="87" t="n"/>
      <c r="I935" s="101">
        <f>IF($B935="","",IF(COUNTIF(Setup!$A$99:$A$128,$B935)&gt;0,IF(INDEX(Setup!$B$99:$B$128,MATCH($B935,Setup!$A$99:$A$128,0))="","Overhead",INDEX(Setup!$B$99:$B$128,MATCH($B935,Setup!$A$99:$A$128,0))),IF(ISNUMBER(SEARCH("advance",$B935))+ISNUMBER(SEARCH("payout",$B935))+ISNUMBER(SEARCH("pay out",$B935))+ISNUMBER(SEARCH("reimburs",$B935))&gt;0,"Transfer",IF(ISNUMBER(SEARCH("loan",$B935))+ISNUMBER(SEARCH("amort",$B935))+ISNUMBER(SEARCH("installment",$B935))+ISNUMBER(SEARCH("instalment",$B935))&gt;0,"Financing",IF(ISNUMBER(SEARCH("draw",$B935))+ISNUMBER(SEARCH("owner",$B935))+ISNUMBER(SEARCH("asset",$B935))+ISNUMBER(SEARCH("capital",$B935))&gt;0,"Other",IF(ISNUMBER(SEARCH("fuel",$B935))+ISNUMBER(SEARCH("diesel",$B935))+ISNUMBER(SEARCH("krudo",$B935))+ISNUMBER(SEARCH("gasolina",$B935))+ISNUMBER(SEARCH("toll",$B935))+ISNUMBER(SEARCH("parking",$B935))+ISNUMBER(SEARCH("repair",$B935))+ISNUMBER(SEARCH("maintenance",$B935))+ISNUMBER(SEARCH("tire",$B935))+ISNUMBER(SEARCH("tyre",$B935))+ISNUMBER(SEARCH("battery",$B935))+ISNUMBER(SEARCH("oil",$B935))+ISNUMBER(SEARCH("filter",$B935))+ISNUMBER(SEARCH("spare",$B935))+ISNUMBER(SEARCH("insurance",$B935))+ISNUMBER(SEARCH("lto",$B935))+ISNUMBER(SEARCH("registration",$B935))+ISNUMBER(SEARCH("emission",$B935))+ISNUMBER(SEARCH("wash",$B935))+ISNUMBER(SEARCH("weigh",$B935))+ISNUMBER(SEARCH("tarp",$B935))&gt;0,"Vehicle",IF(ISNUMBER(SEARCH("rent",$B935))+ISNUMBER(SEARCH("upa",$B935))+ISNUMBER(SEARCH("salary",$B935))+ISNUMBER(SEARCH("sweldo",$B935))+ISNUMBER(SEARCH("wage",$B935))+ISNUMBER(SEARCH("electric",$B935))+ISNUMBER(SEARCH("kuryente",$B935))+ISNUMBER(SEARCH("water",$B935))+ISNUMBER(SEARCH("tubig",$B935))+ISNUMBER(SEARCH("internet",$B935))+ISNUMBER(SEARCH("pldt",$B935))+ISNUMBER(SEARCH("meralco",$B935))+ISNUMBER(SEARCH("supplies",$B935))+ISNUMBER(SEARCH("office",$B935))+ISNUMBER(SEARCH("professional",$B935))+ISNUMBER(SEARCH("accountant",$B935))+ISNUMBER(SEARCH("lawyer",$B935))+ISNUMBER(SEARCH("broker",$B935))+ISNUMBER(SEARCH("bank",$B935))+ISNUMBER(SEARCH("charge",$B935))+ISNUMBER(SEARCH("permit",$B935))+ISNUMBER(SEARCH("bir",$B935))+ISNUMBER(SEARCH("ltfrb",$B935))+ISNUMBER(SEARCH("misc",$B935))+ISNUMBER(SEARCH("fee",$B935))&gt;0,"Overhead","Overhead")))))))</f>
        <v/>
      </c>
      <c r="J935">
        <f>IF($A935="","",DATE(YEAR($A935),MONTH($A935),1))</f>
        <v/>
      </c>
      <c r="K935">
        <f>IF($B935="","",IF(COUNTIF(Setup!$A$99:$A$128,$B935)&gt;0,0,1))</f>
        <v/>
      </c>
      <c r="L935">
        <f>IF($B935="","",IF(ISNUMBER(SEARCH("advance",$B935)),"ADV",IF(OR(ISNUMBER(SEARCH("payout",$B935)),ISNUMBER(SEARCH("pay out",$B935)),ISNUMBER(SEARCH("release",$B935))),"PAY","")))</f>
        <v/>
      </c>
      <c r="M935">
        <f>IF($B935="","",IF(ISNUMBER(SEARCH("bulk",$B935)),0,IF(ISNUMBER(SEARCH("fuel",$B935))+ISNUMBER(SEARCH("diesel",$B935))+ISNUMBER(SEARCH("krudo",$B935))+ISNUMBER(SEARCH("gasolina",$B935))&gt;0,1,0)))</f>
        <v/>
      </c>
      <c r="N935">
        <f>IF($B935="","",IF(ISNUMBER(SEARCH("fuel",$B935))+ISNUMBER(SEARCH("diesel",$B935))+ISNUMBER(SEARCH("krudo",$B935))+ISNUMBER(SEARCH("gasolina",$B935))&gt;0,1,0))</f>
        <v/>
      </c>
    </row>
    <row r="936">
      <c r="A936" s="94" t="n"/>
      <c r="B936" s="96" t="n"/>
      <c r="C936" s="96" t="n"/>
      <c r="D936" s="95" t="n"/>
      <c r="E936" s="96" t="n"/>
      <c r="F936" s="99" t="n"/>
      <c r="G936" s="95" t="n"/>
      <c r="H936" s="95" t="n"/>
      <c r="I936" s="101">
        <f>IF($B936="","",IF(COUNTIF(Setup!$A$99:$A$128,$B936)&gt;0,IF(INDEX(Setup!$B$99:$B$128,MATCH($B936,Setup!$A$99:$A$128,0))="","Overhead",INDEX(Setup!$B$99:$B$128,MATCH($B936,Setup!$A$99:$A$128,0))),IF(ISNUMBER(SEARCH("advance",$B936))+ISNUMBER(SEARCH("payout",$B936))+ISNUMBER(SEARCH("pay out",$B936))+ISNUMBER(SEARCH("reimburs",$B936))&gt;0,"Transfer",IF(ISNUMBER(SEARCH("loan",$B936))+ISNUMBER(SEARCH("amort",$B936))+ISNUMBER(SEARCH("installment",$B936))+ISNUMBER(SEARCH("instalment",$B936))&gt;0,"Financing",IF(ISNUMBER(SEARCH("draw",$B936))+ISNUMBER(SEARCH("owner",$B936))+ISNUMBER(SEARCH("asset",$B936))+ISNUMBER(SEARCH("capital",$B936))&gt;0,"Other",IF(ISNUMBER(SEARCH("fuel",$B936))+ISNUMBER(SEARCH("diesel",$B936))+ISNUMBER(SEARCH("krudo",$B936))+ISNUMBER(SEARCH("gasolina",$B936))+ISNUMBER(SEARCH("toll",$B936))+ISNUMBER(SEARCH("parking",$B936))+ISNUMBER(SEARCH("repair",$B936))+ISNUMBER(SEARCH("maintenance",$B936))+ISNUMBER(SEARCH("tire",$B936))+ISNUMBER(SEARCH("tyre",$B936))+ISNUMBER(SEARCH("battery",$B936))+ISNUMBER(SEARCH("oil",$B936))+ISNUMBER(SEARCH("filter",$B936))+ISNUMBER(SEARCH("spare",$B936))+ISNUMBER(SEARCH("insurance",$B936))+ISNUMBER(SEARCH("lto",$B936))+ISNUMBER(SEARCH("registration",$B936))+ISNUMBER(SEARCH("emission",$B936))+ISNUMBER(SEARCH("wash",$B936))+ISNUMBER(SEARCH("weigh",$B936))+ISNUMBER(SEARCH("tarp",$B936))&gt;0,"Vehicle",IF(ISNUMBER(SEARCH("rent",$B936))+ISNUMBER(SEARCH("upa",$B936))+ISNUMBER(SEARCH("salary",$B936))+ISNUMBER(SEARCH("sweldo",$B936))+ISNUMBER(SEARCH("wage",$B936))+ISNUMBER(SEARCH("electric",$B936))+ISNUMBER(SEARCH("kuryente",$B936))+ISNUMBER(SEARCH("water",$B936))+ISNUMBER(SEARCH("tubig",$B936))+ISNUMBER(SEARCH("internet",$B936))+ISNUMBER(SEARCH("pldt",$B936))+ISNUMBER(SEARCH("meralco",$B936))+ISNUMBER(SEARCH("supplies",$B936))+ISNUMBER(SEARCH("office",$B936))+ISNUMBER(SEARCH("professional",$B936))+ISNUMBER(SEARCH("accountant",$B936))+ISNUMBER(SEARCH("lawyer",$B936))+ISNUMBER(SEARCH("broker",$B936))+ISNUMBER(SEARCH("bank",$B936))+ISNUMBER(SEARCH("charge",$B936))+ISNUMBER(SEARCH("permit",$B936))+ISNUMBER(SEARCH("bir",$B936))+ISNUMBER(SEARCH("ltfrb",$B936))+ISNUMBER(SEARCH("misc",$B936))+ISNUMBER(SEARCH("fee",$B936))&gt;0,"Overhead","Overhead")))))))</f>
        <v/>
      </c>
      <c r="J936">
        <f>IF($A936="","",DATE(YEAR($A936),MONTH($A936),1))</f>
        <v/>
      </c>
      <c r="K936">
        <f>IF($B936="","",IF(COUNTIF(Setup!$A$99:$A$128,$B936)&gt;0,0,1))</f>
        <v/>
      </c>
      <c r="L936">
        <f>IF($B936="","",IF(ISNUMBER(SEARCH("advance",$B936)),"ADV",IF(OR(ISNUMBER(SEARCH("payout",$B936)),ISNUMBER(SEARCH("pay out",$B936)),ISNUMBER(SEARCH("release",$B936))),"PAY","")))</f>
        <v/>
      </c>
      <c r="M936">
        <f>IF($B936="","",IF(ISNUMBER(SEARCH("bulk",$B936)),0,IF(ISNUMBER(SEARCH("fuel",$B936))+ISNUMBER(SEARCH("diesel",$B936))+ISNUMBER(SEARCH("krudo",$B936))+ISNUMBER(SEARCH("gasolina",$B936))&gt;0,1,0)))</f>
        <v/>
      </c>
      <c r="N936">
        <f>IF($B936="","",IF(ISNUMBER(SEARCH("fuel",$B936))+ISNUMBER(SEARCH("diesel",$B936))+ISNUMBER(SEARCH("krudo",$B936))+ISNUMBER(SEARCH("gasolina",$B936))&gt;0,1,0))</f>
        <v/>
      </c>
    </row>
    <row r="937">
      <c r="A937" s="86" t="n"/>
      <c r="B937" s="88" t="n"/>
      <c r="C937" s="88" t="n"/>
      <c r="D937" s="87" t="n"/>
      <c r="E937" s="88" t="n"/>
      <c r="F937" s="92" t="n"/>
      <c r="G937" s="87" t="n"/>
      <c r="H937" s="87" t="n"/>
      <c r="I937" s="101">
        <f>IF($B937="","",IF(COUNTIF(Setup!$A$99:$A$128,$B937)&gt;0,IF(INDEX(Setup!$B$99:$B$128,MATCH($B937,Setup!$A$99:$A$128,0))="","Overhead",INDEX(Setup!$B$99:$B$128,MATCH($B937,Setup!$A$99:$A$128,0))),IF(ISNUMBER(SEARCH("advance",$B937))+ISNUMBER(SEARCH("payout",$B937))+ISNUMBER(SEARCH("pay out",$B937))+ISNUMBER(SEARCH("reimburs",$B937))&gt;0,"Transfer",IF(ISNUMBER(SEARCH("loan",$B937))+ISNUMBER(SEARCH("amort",$B937))+ISNUMBER(SEARCH("installment",$B937))+ISNUMBER(SEARCH("instalment",$B937))&gt;0,"Financing",IF(ISNUMBER(SEARCH("draw",$B937))+ISNUMBER(SEARCH("owner",$B937))+ISNUMBER(SEARCH("asset",$B937))+ISNUMBER(SEARCH("capital",$B937))&gt;0,"Other",IF(ISNUMBER(SEARCH("fuel",$B937))+ISNUMBER(SEARCH("diesel",$B937))+ISNUMBER(SEARCH("krudo",$B937))+ISNUMBER(SEARCH("gasolina",$B937))+ISNUMBER(SEARCH("toll",$B937))+ISNUMBER(SEARCH("parking",$B937))+ISNUMBER(SEARCH("repair",$B937))+ISNUMBER(SEARCH("maintenance",$B937))+ISNUMBER(SEARCH("tire",$B937))+ISNUMBER(SEARCH("tyre",$B937))+ISNUMBER(SEARCH("battery",$B937))+ISNUMBER(SEARCH("oil",$B937))+ISNUMBER(SEARCH("filter",$B937))+ISNUMBER(SEARCH("spare",$B937))+ISNUMBER(SEARCH("insurance",$B937))+ISNUMBER(SEARCH("lto",$B937))+ISNUMBER(SEARCH("registration",$B937))+ISNUMBER(SEARCH("emission",$B937))+ISNUMBER(SEARCH("wash",$B937))+ISNUMBER(SEARCH("weigh",$B937))+ISNUMBER(SEARCH("tarp",$B937))&gt;0,"Vehicle",IF(ISNUMBER(SEARCH("rent",$B937))+ISNUMBER(SEARCH("upa",$B937))+ISNUMBER(SEARCH("salary",$B937))+ISNUMBER(SEARCH("sweldo",$B937))+ISNUMBER(SEARCH("wage",$B937))+ISNUMBER(SEARCH("electric",$B937))+ISNUMBER(SEARCH("kuryente",$B937))+ISNUMBER(SEARCH("water",$B937))+ISNUMBER(SEARCH("tubig",$B937))+ISNUMBER(SEARCH("internet",$B937))+ISNUMBER(SEARCH("pldt",$B937))+ISNUMBER(SEARCH("meralco",$B937))+ISNUMBER(SEARCH("supplies",$B937))+ISNUMBER(SEARCH("office",$B937))+ISNUMBER(SEARCH("professional",$B937))+ISNUMBER(SEARCH("accountant",$B937))+ISNUMBER(SEARCH("lawyer",$B937))+ISNUMBER(SEARCH("broker",$B937))+ISNUMBER(SEARCH("bank",$B937))+ISNUMBER(SEARCH("charge",$B937))+ISNUMBER(SEARCH("permit",$B937))+ISNUMBER(SEARCH("bir",$B937))+ISNUMBER(SEARCH("ltfrb",$B937))+ISNUMBER(SEARCH("misc",$B937))+ISNUMBER(SEARCH("fee",$B937))&gt;0,"Overhead","Overhead")))))))</f>
        <v/>
      </c>
      <c r="J937">
        <f>IF($A937="","",DATE(YEAR($A937),MONTH($A937),1))</f>
        <v/>
      </c>
      <c r="K937">
        <f>IF($B937="","",IF(COUNTIF(Setup!$A$99:$A$128,$B937)&gt;0,0,1))</f>
        <v/>
      </c>
      <c r="L937">
        <f>IF($B937="","",IF(ISNUMBER(SEARCH("advance",$B937)),"ADV",IF(OR(ISNUMBER(SEARCH("payout",$B937)),ISNUMBER(SEARCH("pay out",$B937)),ISNUMBER(SEARCH("release",$B937))),"PAY","")))</f>
        <v/>
      </c>
      <c r="M937">
        <f>IF($B937="","",IF(ISNUMBER(SEARCH("bulk",$B937)),0,IF(ISNUMBER(SEARCH("fuel",$B937))+ISNUMBER(SEARCH("diesel",$B937))+ISNUMBER(SEARCH("krudo",$B937))+ISNUMBER(SEARCH("gasolina",$B937))&gt;0,1,0)))</f>
        <v/>
      </c>
      <c r="N937">
        <f>IF($B937="","",IF(ISNUMBER(SEARCH("fuel",$B937))+ISNUMBER(SEARCH("diesel",$B937))+ISNUMBER(SEARCH("krudo",$B937))+ISNUMBER(SEARCH("gasolina",$B937))&gt;0,1,0))</f>
        <v/>
      </c>
    </row>
    <row r="938">
      <c r="A938" s="94" t="n"/>
      <c r="B938" s="96" t="n"/>
      <c r="C938" s="96" t="n"/>
      <c r="D938" s="95" t="n"/>
      <c r="E938" s="96" t="n"/>
      <c r="F938" s="99" t="n"/>
      <c r="G938" s="95" t="n"/>
      <c r="H938" s="95" t="n"/>
      <c r="I938" s="101">
        <f>IF($B938="","",IF(COUNTIF(Setup!$A$99:$A$128,$B938)&gt;0,IF(INDEX(Setup!$B$99:$B$128,MATCH($B938,Setup!$A$99:$A$128,0))="","Overhead",INDEX(Setup!$B$99:$B$128,MATCH($B938,Setup!$A$99:$A$128,0))),IF(ISNUMBER(SEARCH("advance",$B938))+ISNUMBER(SEARCH("payout",$B938))+ISNUMBER(SEARCH("pay out",$B938))+ISNUMBER(SEARCH("reimburs",$B938))&gt;0,"Transfer",IF(ISNUMBER(SEARCH("loan",$B938))+ISNUMBER(SEARCH("amort",$B938))+ISNUMBER(SEARCH("installment",$B938))+ISNUMBER(SEARCH("instalment",$B938))&gt;0,"Financing",IF(ISNUMBER(SEARCH("draw",$B938))+ISNUMBER(SEARCH("owner",$B938))+ISNUMBER(SEARCH("asset",$B938))+ISNUMBER(SEARCH("capital",$B938))&gt;0,"Other",IF(ISNUMBER(SEARCH("fuel",$B938))+ISNUMBER(SEARCH("diesel",$B938))+ISNUMBER(SEARCH("krudo",$B938))+ISNUMBER(SEARCH("gasolina",$B938))+ISNUMBER(SEARCH("toll",$B938))+ISNUMBER(SEARCH("parking",$B938))+ISNUMBER(SEARCH("repair",$B938))+ISNUMBER(SEARCH("maintenance",$B938))+ISNUMBER(SEARCH("tire",$B938))+ISNUMBER(SEARCH("tyre",$B938))+ISNUMBER(SEARCH("battery",$B938))+ISNUMBER(SEARCH("oil",$B938))+ISNUMBER(SEARCH("filter",$B938))+ISNUMBER(SEARCH("spare",$B938))+ISNUMBER(SEARCH("insurance",$B938))+ISNUMBER(SEARCH("lto",$B938))+ISNUMBER(SEARCH("registration",$B938))+ISNUMBER(SEARCH("emission",$B938))+ISNUMBER(SEARCH("wash",$B938))+ISNUMBER(SEARCH("weigh",$B938))+ISNUMBER(SEARCH("tarp",$B938))&gt;0,"Vehicle",IF(ISNUMBER(SEARCH("rent",$B938))+ISNUMBER(SEARCH("upa",$B938))+ISNUMBER(SEARCH("salary",$B938))+ISNUMBER(SEARCH("sweldo",$B938))+ISNUMBER(SEARCH("wage",$B938))+ISNUMBER(SEARCH("electric",$B938))+ISNUMBER(SEARCH("kuryente",$B938))+ISNUMBER(SEARCH("water",$B938))+ISNUMBER(SEARCH("tubig",$B938))+ISNUMBER(SEARCH("internet",$B938))+ISNUMBER(SEARCH("pldt",$B938))+ISNUMBER(SEARCH("meralco",$B938))+ISNUMBER(SEARCH("supplies",$B938))+ISNUMBER(SEARCH("office",$B938))+ISNUMBER(SEARCH("professional",$B938))+ISNUMBER(SEARCH("accountant",$B938))+ISNUMBER(SEARCH("lawyer",$B938))+ISNUMBER(SEARCH("broker",$B938))+ISNUMBER(SEARCH("bank",$B938))+ISNUMBER(SEARCH("charge",$B938))+ISNUMBER(SEARCH("permit",$B938))+ISNUMBER(SEARCH("bir",$B938))+ISNUMBER(SEARCH("ltfrb",$B938))+ISNUMBER(SEARCH("misc",$B938))+ISNUMBER(SEARCH("fee",$B938))&gt;0,"Overhead","Overhead")))))))</f>
        <v/>
      </c>
      <c r="J938">
        <f>IF($A938="","",DATE(YEAR($A938),MONTH($A938),1))</f>
        <v/>
      </c>
      <c r="K938">
        <f>IF($B938="","",IF(COUNTIF(Setup!$A$99:$A$128,$B938)&gt;0,0,1))</f>
        <v/>
      </c>
      <c r="L938">
        <f>IF($B938="","",IF(ISNUMBER(SEARCH("advance",$B938)),"ADV",IF(OR(ISNUMBER(SEARCH("payout",$B938)),ISNUMBER(SEARCH("pay out",$B938)),ISNUMBER(SEARCH("release",$B938))),"PAY","")))</f>
        <v/>
      </c>
      <c r="M938">
        <f>IF($B938="","",IF(ISNUMBER(SEARCH("bulk",$B938)),0,IF(ISNUMBER(SEARCH("fuel",$B938))+ISNUMBER(SEARCH("diesel",$B938))+ISNUMBER(SEARCH("krudo",$B938))+ISNUMBER(SEARCH("gasolina",$B938))&gt;0,1,0)))</f>
        <v/>
      </c>
      <c r="N938">
        <f>IF($B938="","",IF(ISNUMBER(SEARCH("fuel",$B938))+ISNUMBER(SEARCH("diesel",$B938))+ISNUMBER(SEARCH("krudo",$B938))+ISNUMBER(SEARCH("gasolina",$B938))&gt;0,1,0))</f>
        <v/>
      </c>
    </row>
    <row r="939">
      <c r="A939" s="86" t="n"/>
      <c r="B939" s="88" t="n"/>
      <c r="C939" s="88" t="n"/>
      <c r="D939" s="87" t="n"/>
      <c r="E939" s="88" t="n"/>
      <c r="F939" s="92" t="n"/>
      <c r="G939" s="87" t="n"/>
      <c r="H939" s="87" t="n"/>
      <c r="I939" s="101">
        <f>IF($B939="","",IF(COUNTIF(Setup!$A$99:$A$128,$B939)&gt;0,IF(INDEX(Setup!$B$99:$B$128,MATCH($B939,Setup!$A$99:$A$128,0))="","Overhead",INDEX(Setup!$B$99:$B$128,MATCH($B939,Setup!$A$99:$A$128,0))),IF(ISNUMBER(SEARCH("advance",$B939))+ISNUMBER(SEARCH("payout",$B939))+ISNUMBER(SEARCH("pay out",$B939))+ISNUMBER(SEARCH("reimburs",$B939))&gt;0,"Transfer",IF(ISNUMBER(SEARCH("loan",$B939))+ISNUMBER(SEARCH("amort",$B939))+ISNUMBER(SEARCH("installment",$B939))+ISNUMBER(SEARCH("instalment",$B939))&gt;0,"Financing",IF(ISNUMBER(SEARCH("draw",$B939))+ISNUMBER(SEARCH("owner",$B939))+ISNUMBER(SEARCH("asset",$B939))+ISNUMBER(SEARCH("capital",$B939))&gt;0,"Other",IF(ISNUMBER(SEARCH("fuel",$B939))+ISNUMBER(SEARCH("diesel",$B939))+ISNUMBER(SEARCH("krudo",$B939))+ISNUMBER(SEARCH("gasolina",$B939))+ISNUMBER(SEARCH("toll",$B939))+ISNUMBER(SEARCH("parking",$B939))+ISNUMBER(SEARCH("repair",$B939))+ISNUMBER(SEARCH("maintenance",$B939))+ISNUMBER(SEARCH("tire",$B939))+ISNUMBER(SEARCH("tyre",$B939))+ISNUMBER(SEARCH("battery",$B939))+ISNUMBER(SEARCH("oil",$B939))+ISNUMBER(SEARCH("filter",$B939))+ISNUMBER(SEARCH("spare",$B939))+ISNUMBER(SEARCH("insurance",$B939))+ISNUMBER(SEARCH("lto",$B939))+ISNUMBER(SEARCH("registration",$B939))+ISNUMBER(SEARCH("emission",$B939))+ISNUMBER(SEARCH("wash",$B939))+ISNUMBER(SEARCH("weigh",$B939))+ISNUMBER(SEARCH("tarp",$B939))&gt;0,"Vehicle",IF(ISNUMBER(SEARCH("rent",$B939))+ISNUMBER(SEARCH("upa",$B939))+ISNUMBER(SEARCH("salary",$B939))+ISNUMBER(SEARCH("sweldo",$B939))+ISNUMBER(SEARCH("wage",$B939))+ISNUMBER(SEARCH("electric",$B939))+ISNUMBER(SEARCH("kuryente",$B939))+ISNUMBER(SEARCH("water",$B939))+ISNUMBER(SEARCH("tubig",$B939))+ISNUMBER(SEARCH("internet",$B939))+ISNUMBER(SEARCH("pldt",$B939))+ISNUMBER(SEARCH("meralco",$B939))+ISNUMBER(SEARCH("supplies",$B939))+ISNUMBER(SEARCH("office",$B939))+ISNUMBER(SEARCH("professional",$B939))+ISNUMBER(SEARCH("accountant",$B939))+ISNUMBER(SEARCH("lawyer",$B939))+ISNUMBER(SEARCH("broker",$B939))+ISNUMBER(SEARCH("bank",$B939))+ISNUMBER(SEARCH("charge",$B939))+ISNUMBER(SEARCH("permit",$B939))+ISNUMBER(SEARCH("bir",$B939))+ISNUMBER(SEARCH("ltfrb",$B939))+ISNUMBER(SEARCH("misc",$B939))+ISNUMBER(SEARCH("fee",$B939))&gt;0,"Overhead","Overhead")))))))</f>
        <v/>
      </c>
      <c r="J939">
        <f>IF($A939="","",DATE(YEAR($A939),MONTH($A939),1))</f>
        <v/>
      </c>
      <c r="K939">
        <f>IF($B939="","",IF(COUNTIF(Setup!$A$99:$A$128,$B939)&gt;0,0,1))</f>
        <v/>
      </c>
      <c r="L939">
        <f>IF($B939="","",IF(ISNUMBER(SEARCH("advance",$B939)),"ADV",IF(OR(ISNUMBER(SEARCH("payout",$B939)),ISNUMBER(SEARCH("pay out",$B939)),ISNUMBER(SEARCH("release",$B939))),"PAY","")))</f>
        <v/>
      </c>
      <c r="M939">
        <f>IF($B939="","",IF(ISNUMBER(SEARCH("bulk",$B939)),0,IF(ISNUMBER(SEARCH("fuel",$B939))+ISNUMBER(SEARCH("diesel",$B939))+ISNUMBER(SEARCH("krudo",$B939))+ISNUMBER(SEARCH("gasolina",$B939))&gt;0,1,0)))</f>
        <v/>
      </c>
      <c r="N939">
        <f>IF($B939="","",IF(ISNUMBER(SEARCH("fuel",$B939))+ISNUMBER(SEARCH("diesel",$B939))+ISNUMBER(SEARCH("krudo",$B939))+ISNUMBER(SEARCH("gasolina",$B939))&gt;0,1,0))</f>
        <v/>
      </c>
    </row>
    <row r="940">
      <c r="A940" s="94" t="n"/>
      <c r="B940" s="96" t="n"/>
      <c r="C940" s="96" t="n"/>
      <c r="D940" s="95" t="n"/>
      <c r="E940" s="96" t="n"/>
      <c r="F940" s="99" t="n"/>
      <c r="G940" s="95" t="n"/>
      <c r="H940" s="95" t="n"/>
      <c r="I940" s="101">
        <f>IF($B940="","",IF(COUNTIF(Setup!$A$99:$A$128,$B940)&gt;0,IF(INDEX(Setup!$B$99:$B$128,MATCH($B940,Setup!$A$99:$A$128,0))="","Overhead",INDEX(Setup!$B$99:$B$128,MATCH($B940,Setup!$A$99:$A$128,0))),IF(ISNUMBER(SEARCH("advance",$B940))+ISNUMBER(SEARCH("payout",$B940))+ISNUMBER(SEARCH("pay out",$B940))+ISNUMBER(SEARCH("reimburs",$B940))&gt;0,"Transfer",IF(ISNUMBER(SEARCH("loan",$B940))+ISNUMBER(SEARCH("amort",$B940))+ISNUMBER(SEARCH("installment",$B940))+ISNUMBER(SEARCH("instalment",$B940))&gt;0,"Financing",IF(ISNUMBER(SEARCH("draw",$B940))+ISNUMBER(SEARCH("owner",$B940))+ISNUMBER(SEARCH("asset",$B940))+ISNUMBER(SEARCH("capital",$B940))&gt;0,"Other",IF(ISNUMBER(SEARCH("fuel",$B940))+ISNUMBER(SEARCH("diesel",$B940))+ISNUMBER(SEARCH("krudo",$B940))+ISNUMBER(SEARCH("gasolina",$B940))+ISNUMBER(SEARCH("toll",$B940))+ISNUMBER(SEARCH("parking",$B940))+ISNUMBER(SEARCH("repair",$B940))+ISNUMBER(SEARCH("maintenance",$B940))+ISNUMBER(SEARCH("tire",$B940))+ISNUMBER(SEARCH("tyre",$B940))+ISNUMBER(SEARCH("battery",$B940))+ISNUMBER(SEARCH("oil",$B940))+ISNUMBER(SEARCH("filter",$B940))+ISNUMBER(SEARCH("spare",$B940))+ISNUMBER(SEARCH("insurance",$B940))+ISNUMBER(SEARCH("lto",$B940))+ISNUMBER(SEARCH("registration",$B940))+ISNUMBER(SEARCH("emission",$B940))+ISNUMBER(SEARCH("wash",$B940))+ISNUMBER(SEARCH("weigh",$B940))+ISNUMBER(SEARCH("tarp",$B940))&gt;0,"Vehicle",IF(ISNUMBER(SEARCH("rent",$B940))+ISNUMBER(SEARCH("upa",$B940))+ISNUMBER(SEARCH("salary",$B940))+ISNUMBER(SEARCH("sweldo",$B940))+ISNUMBER(SEARCH("wage",$B940))+ISNUMBER(SEARCH("electric",$B940))+ISNUMBER(SEARCH("kuryente",$B940))+ISNUMBER(SEARCH("water",$B940))+ISNUMBER(SEARCH("tubig",$B940))+ISNUMBER(SEARCH("internet",$B940))+ISNUMBER(SEARCH("pldt",$B940))+ISNUMBER(SEARCH("meralco",$B940))+ISNUMBER(SEARCH("supplies",$B940))+ISNUMBER(SEARCH("office",$B940))+ISNUMBER(SEARCH("professional",$B940))+ISNUMBER(SEARCH("accountant",$B940))+ISNUMBER(SEARCH("lawyer",$B940))+ISNUMBER(SEARCH("broker",$B940))+ISNUMBER(SEARCH("bank",$B940))+ISNUMBER(SEARCH("charge",$B940))+ISNUMBER(SEARCH("permit",$B940))+ISNUMBER(SEARCH("bir",$B940))+ISNUMBER(SEARCH("ltfrb",$B940))+ISNUMBER(SEARCH("misc",$B940))+ISNUMBER(SEARCH("fee",$B940))&gt;0,"Overhead","Overhead")))))))</f>
        <v/>
      </c>
      <c r="J940">
        <f>IF($A940="","",DATE(YEAR($A940),MONTH($A940),1))</f>
        <v/>
      </c>
      <c r="K940">
        <f>IF($B940="","",IF(COUNTIF(Setup!$A$99:$A$128,$B940)&gt;0,0,1))</f>
        <v/>
      </c>
      <c r="L940">
        <f>IF($B940="","",IF(ISNUMBER(SEARCH("advance",$B940)),"ADV",IF(OR(ISNUMBER(SEARCH("payout",$B940)),ISNUMBER(SEARCH("pay out",$B940)),ISNUMBER(SEARCH("release",$B940))),"PAY","")))</f>
        <v/>
      </c>
      <c r="M940">
        <f>IF($B940="","",IF(ISNUMBER(SEARCH("bulk",$B940)),0,IF(ISNUMBER(SEARCH("fuel",$B940))+ISNUMBER(SEARCH("diesel",$B940))+ISNUMBER(SEARCH("krudo",$B940))+ISNUMBER(SEARCH("gasolina",$B940))&gt;0,1,0)))</f>
        <v/>
      </c>
      <c r="N940">
        <f>IF($B940="","",IF(ISNUMBER(SEARCH("fuel",$B940))+ISNUMBER(SEARCH("diesel",$B940))+ISNUMBER(SEARCH("krudo",$B940))+ISNUMBER(SEARCH("gasolina",$B940))&gt;0,1,0))</f>
        <v/>
      </c>
    </row>
    <row r="941">
      <c r="A941" s="86" t="n"/>
      <c r="B941" s="88" t="n"/>
      <c r="C941" s="88" t="n"/>
      <c r="D941" s="87" t="n"/>
      <c r="E941" s="88" t="n"/>
      <c r="F941" s="92" t="n"/>
      <c r="G941" s="87" t="n"/>
      <c r="H941" s="87" t="n"/>
      <c r="I941" s="101">
        <f>IF($B941="","",IF(COUNTIF(Setup!$A$99:$A$128,$B941)&gt;0,IF(INDEX(Setup!$B$99:$B$128,MATCH($B941,Setup!$A$99:$A$128,0))="","Overhead",INDEX(Setup!$B$99:$B$128,MATCH($B941,Setup!$A$99:$A$128,0))),IF(ISNUMBER(SEARCH("advance",$B941))+ISNUMBER(SEARCH("payout",$B941))+ISNUMBER(SEARCH("pay out",$B941))+ISNUMBER(SEARCH("reimburs",$B941))&gt;0,"Transfer",IF(ISNUMBER(SEARCH("loan",$B941))+ISNUMBER(SEARCH("amort",$B941))+ISNUMBER(SEARCH("installment",$B941))+ISNUMBER(SEARCH("instalment",$B941))&gt;0,"Financing",IF(ISNUMBER(SEARCH("draw",$B941))+ISNUMBER(SEARCH("owner",$B941))+ISNUMBER(SEARCH("asset",$B941))+ISNUMBER(SEARCH("capital",$B941))&gt;0,"Other",IF(ISNUMBER(SEARCH("fuel",$B941))+ISNUMBER(SEARCH("diesel",$B941))+ISNUMBER(SEARCH("krudo",$B941))+ISNUMBER(SEARCH("gasolina",$B941))+ISNUMBER(SEARCH("toll",$B941))+ISNUMBER(SEARCH("parking",$B941))+ISNUMBER(SEARCH("repair",$B941))+ISNUMBER(SEARCH("maintenance",$B941))+ISNUMBER(SEARCH("tire",$B941))+ISNUMBER(SEARCH("tyre",$B941))+ISNUMBER(SEARCH("battery",$B941))+ISNUMBER(SEARCH("oil",$B941))+ISNUMBER(SEARCH("filter",$B941))+ISNUMBER(SEARCH("spare",$B941))+ISNUMBER(SEARCH("insurance",$B941))+ISNUMBER(SEARCH("lto",$B941))+ISNUMBER(SEARCH("registration",$B941))+ISNUMBER(SEARCH("emission",$B941))+ISNUMBER(SEARCH("wash",$B941))+ISNUMBER(SEARCH("weigh",$B941))+ISNUMBER(SEARCH("tarp",$B941))&gt;0,"Vehicle",IF(ISNUMBER(SEARCH("rent",$B941))+ISNUMBER(SEARCH("upa",$B941))+ISNUMBER(SEARCH("salary",$B941))+ISNUMBER(SEARCH("sweldo",$B941))+ISNUMBER(SEARCH("wage",$B941))+ISNUMBER(SEARCH("electric",$B941))+ISNUMBER(SEARCH("kuryente",$B941))+ISNUMBER(SEARCH("water",$B941))+ISNUMBER(SEARCH("tubig",$B941))+ISNUMBER(SEARCH("internet",$B941))+ISNUMBER(SEARCH("pldt",$B941))+ISNUMBER(SEARCH("meralco",$B941))+ISNUMBER(SEARCH("supplies",$B941))+ISNUMBER(SEARCH("office",$B941))+ISNUMBER(SEARCH("professional",$B941))+ISNUMBER(SEARCH("accountant",$B941))+ISNUMBER(SEARCH("lawyer",$B941))+ISNUMBER(SEARCH("broker",$B941))+ISNUMBER(SEARCH("bank",$B941))+ISNUMBER(SEARCH("charge",$B941))+ISNUMBER(SEARCH("permit",$B941))+ISNUMBER(SEARCH("bir",$B941))+ISNUMBER(SEARCH("ltfrb",$B941))+ISNUMBER(SEARCH("misc",$B941))+ISNUMBER(SEARCH("fee",$B941))&gt;0,"Overhead","Overhead")))))))</f>
        <v/>
      </c>
      <c r="J941">
        <f>IF($A941="","",DATE(YEAR($A941),MONTH($A941),1))</f>
        <v/>
      </c>
      <c r="K941">
        <f>IF($B941="","",IF(COUNTIF(Setup!$A$99:$A$128,$B941)&gt;0,0,1))</f>
        <v/>
      </c>
      <c r="L941">
        <f>IF($B941="","",IF(ISNUMBER(SEARCH("advance",$B941)),"ADV",IF(OR(ISNUMBER(SEARCH("payout",$B941)),ISNUMBER(SEARCH("pay out",$B941)),ISNUMBER(SEARCH("release",$B941))),"PAY","")))</f>
        <v/>
      </c>
      <c r="M941">
        <f>IF($B941="","",IF(ISNUMBER(SEARCH("bulk",$B941)),0,IF(ISNUMBER(SEARCH("fuel",$B941))+ISNUMBER(SEARCH("diesel",$B941))+ISNUMBER(SEARCH("krudo",$B941))+ISNUMBER(SEARCH("gasolina",$B941))&gt;0,1,0)))</f>
        <v/>
      </c>
      <c r="N941">
        <f>IF($B941="","",IF(ISNUMBER(SEARCH("fuel",$B941))+ISNUMBER(SEARCH("diesel",$B941))+ISNUMBER(SEARCH("krudo",$B941))+ISNUMBER(SEARCH("gasolina",$B941))&gt;0,1,0))</f>
        <v/>
      </c>
    </row>
    <row r="942">
      <c r="A942" s="94" t="n"/>
      <c r="B942" s="96" t="n"/>
      <c r="C942" s="96" t="n"/>
      <c r="D942" s="95" t="n"/>
      <c r="E942" s="96" t="n"/>
      <c r="F942" s="99" t="n"/>
      <c r="G942" s="95" t="n"/>
      <c r="H942" s="95" t="n"/>
      <c r="I942" s="101">
        <f>IF($B942="","",IF(COUNTIF(Setup!$A$99:$A$128,$B942)&gt;0,IF(INDEX(Setup!$B$99:$B$128,MATCH($B942,Setup!$A$99:$A$128,0))="","Overhead",INDEX(Setup!$B$99:$B$128,MATCH($B942,Setup!$A$99:$A$128,0))),IF(ISNUMBER(SEARCH("advance",$B942))+ISNUMBER(SEARCH("payout",$B942))+ISNUMBER(SEARCH("pay out",$B942))+ISNUMBER(SEARCH("reimburs",$B942))&gt;0,"Transfer",IF(ISNUMBER(SEARCH("loan",$B942))+ISNUMBER(SEARCH("amort",$B942))+ISNUMBER(SEARCH("installment",$B942))+ISNUMBER(SEARCH("instalment",$B942))&gt;0,"Financing",IF(ISNUMBER(SEARCH("draw",$B942))+ISNUMBER(SEARCH("owner",$B942))+ISNUMBER(SEARCH("asset",$B942))+ISNUMBER(SEARCH("capital",$B942))&gt;0,"Other",IF(ISNUMBER(SEARCH("fuel",$B942))+ISNUMBER(SEARCH("diesel",$B942))+ISNUMBER(SEARCH("krudo",$B942))+ISNUMBER(SEARCH("gasolina",$B942))+ISNUMBER(SEARCH("toll",$B942))+ISNUMBER(SEARCH("parking",$B942))+ISNUMBER(SEARCH("repair",$B942))+ISNUMBER(SEARCH("maintenance",$B942))+ISNUMBER(SEARCH("tire",$B942))+ISNUMBER(SEARCH("tyre",$B942))+ISNUMBER(SEARCH("battery",$B942))+ISNUMBER(SEARCH("oil",$B942))+ISNUMBER(SEARCH("filter",$B942))+ISNUMBER(SEARCH("spare",$B942))+ISNUMBER(SEARCH("insurance",$B942))+ISNUMBER(SEARCH("lto",$B942))+ISNUMBER(SEARCH("registration",$B942))+ISNUMBER(SEARCH("emission",$B942))+ISNUMBER(SEARCH("wash",$B942))+ISNUMBER(SEARCH("weigh",$B942))+ISNUMBER(SEARCH("tarp",$B942))&gt;0,"Vehicle",IF(ISNUMBER(SEARCH("rent",$B942))+ISNUMBER(SEARCH("upa",$B942))+ISNUMBER(SEARCH("salary",$B942))+ISNUMBER(SEARCH("sweldo",$B942))+ISNUMBER(SEARCH("wage",$B942))+ISNUMBER(SEARCH("electric",$B942))+ISNUMBER(SEARCH("kuryente",$B942))+ISNUMBER(SEARCH("water",$B942))+ISNUMBER(SEARCH("tubig",$B942))+ISNUMBER(SEARCH("internet",$B942))+ISNUMBER(SEARCH("pldt",$B942))+ISNUMBER(SEARCH("meralco",$B942))+ISNUMBER(SEARCH("supplies",$B942))+ISNUMBER(SEARCH("office",$B942))+ISNUMBER(SEARCH("professional",$B942))+ISNUMBER(SEARCH("accountant",$B942))+ISNUMBER(SEARCH("lawyer",$B942))+ISNUMBER(SEARCH("broker",$B942))+ISNUMBER(SEARCH("bank",$B942))+ISNUMBER(SEARCH("charge",$B942))+ISNUMBER(SEARCH("permit",$B942))+ISNUMBER(SEARCH("bir",$B942))+ISNUMBER(SEARCH("ltfrb",$B942))+ISNUMBER(SEARCH("misc",$B942))+ISNUMBER(SEARCH("fee",$B942))&gt;0,"Overhead","Overhead")))))))</f>
        <v/>
      </c>
      <c r="J942">
        <f>IF($A942="","",DATE(YEAR($A942),MONTH($A942),1))</f>
        <v/>
      </c>
      <c r="K942">
        <f>IF($B942="","",IF(COUNTIF(Setup!$A$99:$A$128,$B942)&gt;0,0,1))</f>
        <v/>
      </c>
      <c r="L942">
        <f>IF($B942="","",IF(ISNUMBER(SEARCH("advance",$B942)),"ADV",IF(OR(ISNUMBER(SEARCH("payout",$B942)),ISNUMBER(SEARCH("pay out",$B942)),ISNUMBER(SEARCH("release",$B942))),"PAY","")))</f>
        <v/>
      </c>
      <c r="M942">
        <f>IF($B942="","",IF(ISNUMBER(SEARCH("bulk",$B942)),0,IF(ISNUMBER(SEARCH("fuel",$B942))+ISNUMBER(SEARCH("diesel",$B942))+ISNUMBER(SEARCH("krudo",$B942))+ISNUMBER(SEARCH("gasolina",$B942))&gt;0,1,0)))</f>
        <v/>
      </c>
      <c r="N942">
        <f>IF($B942="","",IF(ISNUMBER(SEARCH("fuel",$B942))+ISNUMBER(SEARCH("diesel",$B942))+ISNUMBER(SEARCH("krudo",$B942))+ISNUMBER(SEARCH("gasolina",$B942))&gt;0,1,0))</f>
        <v/>
      </c>
    </row>
    <row r="943">
      <c r="A943" s="86" t="n"/>
      <c r="B943" s="88" t="n"/>
      <c r="C943" s="88" t="n"/>
      <c r="D943" s="87" t="n"/>
      <c r="E943" s="88" t="n"/>
      <c r="F943" s="92" t="n"/>
      <c r="G943" s="87" t="n"/>
      <c r="H943" s="87" t="n"/>
      <c r="I943" s="101">
        <f>IF($B943="","",IF(COUNTIF(Setup!$A$99:$A$128,$B943)&gt;0,IF(INDEX(Setup!$B$99:$B$128,MATCH($B943,Setup!$A$99:$A$128,0))="","Overhead",INDEX(Setup!$B$99:$B$128,MATCH($B943,Setup!$A$99:$A$128,0))),IF(ISNUMBER(SEARCH("advance",$B943))+ISNUMBER(SEARCH("payout",$B943))+ISNUMBER(SEARCH("pay out",$B943))+ISNUMBER(SEARCH("reimburs",$B943))&gt;0,"Transfer",IF(ISNUMBER(SEARCH("loan",$B943))+ISNUMBER(SEARCH("amort",$B943))+ISNUMBER(SEARCH("installment",$B943))+ISNUMBER(SEARCH("instalment",$B943))&gt;0,"Financing",IF(ISNUMBER(SEARCH("draw",$B943))+ISNUMBER(SEARCH("owner",$B943))+ISNUMBER(SEARCH("asset",$B943))+ISNUMBER(SEARCH("capital",$B943))&gt;0,"Other",IF(ISNUMBER(SEARCH("fuel",$B943))+ISNUMBER(SEARCH("diesel",$B943))+ISNUMBER(SEARCH("krudo",$B943))+ISNUMBER(SEARCH("gasolina",$B943))+ISNUMBER(SEARCH("toll",$B943))+ISNUMBER(SEARCH("parking",$B943))+ISNUMBER(SEARCH("repair",$B943))+ISNUMBER(SEARCH("maintenance",$B943))+ISNUMBER(SEARCH("tire",$B943))+ISNUMBER(SEARCH("tyre",$B943))+ISNUMBER(SEARCH("battery",$B943))+ISNUMBER(SEARCH("oil",$B943))+ISNUMBER(SEARCH("filter",$B943))+ISNUMBER(SEARCH("spare",$B943))+ISNUMBER(SEARCH("insurance",$B943))+ISNUMBER(SEARCH("lto",$B943))+ISNUMBER(SEARCH("registration",$B943))+ISNUMBER(SEARCH("emission",$B943))+ISNUMBER(SEARCH("wash",$B943))+ISNUMBER(SEARCH("weigh",$B943))+ISNUMBER(SEARCH("tarp",$B943))&gt;0,"Vehicle",IF(ISNUMBER(SEARCH("rent",$B943))+ISNUMBER(SEARCH("upa",$B943))+ISNUMBER(SEARCH("salary",$B943))+ISNUMBER(SEARCH("sweldo",$B943))+ISNUMBER(SEARCH("wage",$B943))+ISNUMBER(SEARCH("electric",$B943))+ISNUMBER(SEARCH("kuryente",$B943))+ISNUMBER(SEARCH("water",$B943))+ISNUMBER(SEARCH("tubig",$B943))+ISNUMBER(SEARCH("internet",$B943))+ISNUMBER(SEARCH("pldt",$B943))+ISNUMBER(SEARCH("meralco",$B943))+ISNUMBER(SEARCH("supplies",$B943))+ISNUMBER(SEARCH("office",$B943))+ISNUMBER(SEARCH("professional",$B943))+ISNUMBER(SEARCH("accountant",$B943))+ISNUMBER(SEARCH("lawyer",$B943))+ISNUMBER(SEARCH("broker",$B943))+ISNUMBER(SEARCH("bank",$B943))+ISNUMBER(SEARCH("charge",$B943))+ISNUMBER(SEARCH("permit",$B943))+ISNUMBER(SEARCH("bir",$B943))+ISNUMBER(SEARCH("ltfrb",$B943))+ISNUMBER(SEARCH("misc",$B943))+ISNUMBER(SEARCH("fee",$B943))&gt;0,"Overhead","Overhead")))))))</f>
        <v/>
      </c>
      <c r="J943">
        <f>IF($A943="","",DATE(YEAR($A943),MONTH($A943),1))</f>
        <v/>
      </c>
      <c r="K943">
        <f>IF($B943="","",IF(COUNTIF(Setup!$A$99:$A$128,$B943)&gt;0,0,1))</f>
        <v/>
      </c>
      <c r="L943">
        <f>IF($B943="","",IF(ISNUMBER(SEARCH("advance",$B943)),"ADV",IF(OR(ISNUMBER(SEARCH("payout",$B943)),ISNUMBER(SEARCH("pay out",$B943)),ISNUMBER(SEARCH("release",$B943))),"PAY","")))</f>
        <v/>
      </c>
      <c r="M943">
        <f>IF($B943="","",IF(ISNUMBER(SEARCH("bulk",$B943)),0,IF(ISNUMBER(SEARCH("fuel",$B943))+ISNUMBER(SEARCH("diesel",$B943))+ISNUMBER(SEARCH("krudo",$B943))+ISNUMBER(SEARCH("gasolina",$B943))&gt;0,1,0)))</f>
        <v/>
      </c>
      <c r="N943">
        <f>IF($B943="","",IF(ISNUMBER(SEARCH("fuel",$B943))+ISNUMBER(SEARCH("diesel",$B943))+ISNUMBER(SEARCH("krudo",$B943))+ISNUMBER(SEARCH("gasolina",$B943))&gt;0,1,0))</f>
        <v/>
      </c>
    </row>
    <row r="944">
      <c r="A944" s="94" t="n"/>
      <c r="B944" s="96" t="n"/>
      <c r="C944" s="96" t="n"/>
      <c r="D944" s="95" t="n"/>
      <c r="E944" s="96" t="n"/>
      <c r="F944" s="99" t="n"/>
      <c r="G944" s="95" t="n"/>
      <c r="H944" s="95" t="n"/>
      <c r="I944" s="101">
        <f>IF($B944="","",IF(COUNTIF(Setup!$A$99:$A$128,$B944)&gt;0,IF(INDEX(Setup!$B$99:$B$128,MATCH($B944,Setup!$A$99:$A$128,0))="","Overhead",INDEX(Setup!$B$99:$B$128,MATCH($B944,Setup!$A$99:$A$128,0))),IF(ISNUMBER(SEARCH("advance",$B944))+ISNUMBER(SEARCH("payout",$B944))+ISNUMBER(SEARCH("pay out",$B944))+ISNUMBER(SEARCH("reimburs",$B944))&gt;0,"Transfer",IF(ISNUMBER(SEARCH("loan",$B944))+ISNUMBER(SEARCH("amort",$B944))+ISNUMBER(SEARCH("installment",$B944))+ISNUMBER(SEARCH("instalment",$B944))&gt;0,"Financing",IF(ISNUMBER(SEARCH("draw",$B944))+ISNUMBER(SEARCH("owner",$B944))+ISNUMBER(SEARCH("asset",$B944))+ISNUMBER(SEARCH("capital",$B944))&gt;0,"Other",IF(ISNUMBER(SEARCH("fuel",$B944))+ISNUMBER(SEARCH("diesel",$B944))+ISNUMBER(SEARCH("krudo",$B944))+ISNUMBER(SEARCH("gasolina",$B944))+ISNUMBER(SEARCH("toll",$B944))+ISNUMBER(SEARCH("parking",$B944))+ISNUMBER(SEARCH("repair",$B944))+ISNUMBER(SEARCH("maintenance",$B944))+ISNUMBER(SEARCH("tire",$B944))+ISNUMBER(SEARCH("tyre",$B944))+ISNUMBER(SEARCH("battery",$B944))+ISNUMBER(SEARCH("oil",$B944))+ISNUMBER(SEARCH("filter",$B944))+ISNUMBER(SEARCH("spare",$B944))+ISNUMBER(SEARCH("insurance",$B944))+ISNUMBER(SEARCH("lto",$B944))+ISNUMBER(SEARCH("registration",$B944))+ISNUMBER(SEARCH("emission",$B944))+ISNUMBER(SEARCH("wash",$B944))+ISNUMBER(SEARCH("weigh",$B944))+ISNUMBER(SEARCH("tarp",$B944))&gt;0,"Vehicle",IF(ISNUMBER(SEARCH("rent",$B944))+ISNUMBER(SEARCH("upa",$B944))+ISNUMBER(SEARCH("salary",$B944))+ISNUMBER(SEARCH("sweldo",$B944))+ISNUMBER(SEARCH("wage",$B944))+ISNUMBER(SEARCH("electric",$B944))+ISNUMBER(SEARCH("kuryente",$B944))+ISNUMBER(SEARCH("water",$B944))+ISNUMBER(SEARCH("tubig",$B944))+ISNUMBER(SEARCH("internet",$B944))+ISNUMBER(SEARCH("pldt",$B944))+ISNUMBER(SEARCH("meralco",$B944))+ISNUMBER(SEARCH("supplies",$B944))+ISNUMBER(SEARCH("office",$B944))+ISNUMBER(SEARCH("professional",$B944))+ISNUMBER(SEARCH("accountant",$B944))+ISNUMBER(SEARCH("lawyer",$B944))+ISNUMBER(SEARCH("broker",$B944))+ISNUMBER(SEARCH("bank",$B944))+ISNUMBER(SEARCH("charge",$B944))+ISNUMBER(SEARCH("permit",$B944))+ISNUMBER(SEARCH("bir",$B944))+ISNUMBER(SEARCH("ltfrb",$B944))+ISNUMBER(SEARCH("misc",$B944))+ISNUMBER(SEARCH("fee",$B944))&gt;0,"Overhead","Overhead")))))))</f>
        <v/>
      </c>
      <c r="J944">
        <f>IF($A944="","",DATE(YEAR($A944),MONTH($A944),1))</f>
        <v/>
      </c>
      <c r="K944">
        <f>IF($B944="","",IF(COUNTIF(Setup!$A$99:$A$128,$B944)&gt;0,0,1))</f>
        <v/>
      </c>
      <c r="L944">
        <f>IF($B944="","",IF(ISNUMBER(SEARCH("advance",$B944)),"ADV",IF(OR(ISNUMBER(SEARCH("payout",$B944)),ISNUMBER(SEARCH("pay out",$B944)),ISNUMBER(SEARCH("release",$B944))),"PAY","")))</f>
        <v/>
      </c>
      <c r="M944">
        <f>IF($B944="","",IF(ISNUMBER(SEARCH("bulk",$B944)),0,IF(ISNUMBER(SEARCH("fuel",$B944))+ISNUMBER(SEARCH("diesel",$B944))+ISNUMBER(SEARCH("krudo",$B944))+ISNUMBER(SEARCH("gasolina",$B944))&gt;0,1,0)))</f>
        <v/>
      </c>
      <c r="N944">
        <f>IF($B944="","",IF(ISNUMBER(SEARCH("fuel",$B944))+ISNUMBER(SEARCH("diesel",$B944))+ISNUMBER(SEARCH("krudo",$B944))+ISNUMBER(SEARCH("gasolina",$B944))&gt;0,1,0))</f>
        <v/>
      </c>
    </row>
    <row r="945">
      <c r="A945" s="86" t="n"/>
      <c r="B945" s="88" t="n"/>
      <c r="C945" s="88" t="n"/>
      <c r="D945" s="87" t="n"/>
      <c r="E945" s="88" t="n"/>
      <c r="F945" s="92" t="n"/>
      <c r="G945" s="87" t="n"/>
      <c r="H945" s="87" t="n"/>
      <c r="I945" s="101">
        <f>IF($B945="","",IF(COUNTIF(Setup!$A$99:$A$128,$B945)&gt;0,IF(INDEX(Setup!$B$99:$B$128,MATCH($B945,Setup!$A$99:$A$128,0))="","Overhead",INDEX(Setup!$B$99:$B$128,MATCH($B945,Setup!$A$99:$A$128,0))),IF(ISNUMBER(SEARCH("advance",$B945))+ISNUMBER(SEARCH("payout",$B945))+ISNUMBER(SEARCH("pay out",$B945))+ISNUMBER(SEARCH("reimburs",$B945))&gt;0,"Transfer",IF(ISNUMBER(SEARCH("loan",$B945))+ISNUMBER(SEARCH("amort",$B945))+ISNUMBER(SEARCH("installment",$B945))+ISNUMBER(SEARCH("instalment",$B945))&gt;0,"Financing",IF(ISNUMBER(SEARCH("draw",$B945))+ISNUMBER(SEARCH("owner",$B945))+ISNUMBER(SEARCH("asset",$B945))+ISNUMBER(SEARCH("capital",$B945))&gt;0,"Other",IF(ISNUMBER(SEARCH("fuel",$B945))+ISNUMBER(SEARCH("diesel",$B945))+ISNUMBER(SEARCH("krudo",$B945))+ISNUMBER(SEARCH("gasolina",$B945))+ISNUMBER(SEARCH("toll",$B945))+ISNUMBER(SEARCH("parking",$B945))+ISNUMBER(SEARCH("repair",$B945))+ISNUMBER(SEARCH("maintenance",$B945))+ISNUMBER(SEARCH("tire",$B945))+ISNUMBER(SEARCH("tyre",$B945))+ISNUMBER(SEARCH("battery",$B945))+ISNUMBER(SEARCH("oil",$B945))+ISNUMBER(SEARCH("filter",$B945))+ISNUMBER(SEARCH("spare",$B945))+ISNUMBER(SEARCH("insurance",$B945))+ISNUMBER(SEARCH("lto",$B945))+ISNUMBER(SEARCH("registration",$B945))+ISNUMBER(SEARCH("emission",$B945))+ISNUMBER(SEARCH("wash",$B945))+ISNUMBER(SEARCH("weigh",$B945))+ISNUMBER(SEARCH("tarp",$B945))&gt;0,"Vehicle",IF(ISNUMBER(SEARCH("rent",$B945))+ISNUMBER(SEARCH("upa",$B945))+ISNUMBER(SEARCH("salary",$B945))+ISNUMBER(SEARCH("sweldo",$B945))+ISNUMBER(SEARCH("wage",$B945))+ISNUMBER(SEARCH("electric",$B945))+ISNUMBER(SEARCH("kuryente",$B945))+ISNUMBER(SEARCH("water",$B945))+ISNUMBER(SEARCH("tubig",$B945))+ISNUMBER(SEARCH("internet",$B945))+ISNUMBER(SEARCH("pldt",$B945))+ISNUMBER(SEARCH("meralco",$B945))+ISNUMBER(SEARCH("supplies",$B945))+ISNUMBER(SEARCH("office",$B945))+ISNUMBER(SEARCH("professional",$B945))+ISNUMBER(SEARCH("accountant",$B945))+ISNUMBER(SEARCH("lawyer",$B945))+ISNUMBER(SEARCH("broker",$B945))+ISNUMBER(SEARCH("bank",$B945))+ISNUMBER(SEARCH("charge",$B945))+ISNUMBER(SEARCH("permit",$B945))+ISNUMBER(SEARCH("bir",$B945))+ISNUMBER(SEARCH("ltfrb",$B945))+ISNUMBER(SEARCH("misc",$B945))+ISNUMBER(SEARCH("fee",$B945))&gt;0,"Overhead","Overhead")))))))</f>
        <v/>
      </c>
      <c r="J945">
        <f>IF($A945="","",DATE(YEAR($A945),MONTH($A945),1))</f>
        <v/>
      </c>
      <c r="K945">
        <f>IF($B945="","",IF(COUNTIF(Setup!$A$99:$A$128,$B945)&gt;0,0,1))</f>
        <v/>
      </c>
      <c r="L945">
        <f>IF($B945="","",IF(ISNUMBER(SEARCH("advance",$B945)),"ADV",IF(OR(ISNUMBER(SEARCH("payout",$B945)),ISNUMBER(SEARCH("pay out",$B945)),ISNUMBER(SEARCH("release",$B945))),"PAY","")))</f>
        <v/>
      </c>
      <c r="M945">
        <f>IF($B945="","",IF(ISNUMBER(SEARCH("bulk",$B945)),0,IF(ISNUMBER(SEARCH("fuel",$B945))+ISNUMBER(SEARCH("diesel",$B945))+ISNUMBER(SEARCH("krudo",$B945))+ISNUMBER(SEARCH("gasolina",$B945))&gt;0,1,0)))</f>
        <v/>
      </c>
      <c r="N945">
        <f>IF($B945="","",IF(ISNUMBER(SEARCH("fuel",$B945))+ISNUMBER(SEARCH("diesel",$B945))+ISNUMBER(SEARCH("krudo",$B945))+ISNUMBER(SEARCH("gasolina",$B945))&gt;0,1,0))</f>
        <v/>
      </c>
    </row>
    <row r="946">
      <c r="A946" s="94" t="n"/>
      <c r="B946" s="96" t="n"/>
      <c r="C946" s="96" t="n"/>
      <c r="D946" s="95" t="n"/>
      <c r="E946" s="96" t="n"/>
      <c r="F946" s="99" t="n"/>
      <c r="G946" s="95" t="n"/>
      <c r="H946" s="95" t="n"/>
      <c r="I946" s="101">
        <f>IF($B946="","",IF(COUNTIF(Setup!$A$99:$A$128,$B946)&gt;0,IF(INDEX(Setup!$B$99:$B$128,MATCH($B946,Setup!$A$99:$A$128,0))="","Overhead",INDEX(Setup!$B$99:$B$128,MATCH($B946,Setup!$A$99:$A$128,0))),IF(ISNUMBER(SEARCH("advance",$B946))+ISNUMBER(SEARCH("payout",$B946))+ISNUMBER(SEARCH("pay out",$B946))+ISNUMBER(SEARCH("reimburs",$B946))&gt;0,"Transfer",IF(ISNUMBER(SEARCH("loan",$B946))+ISNUMBER(SEARCH("amort",$B946))+ISNUMBER(SEARCH("installment",$B946))+ISNUMBER(SEARCH("instalment",$B946))&gt;0,"Financing",IF(ISNUMBER(SEARCH("draw",$B946))+ISNUMBER(SEARCH("owner",$B946))+ISNUMBER(SEARCH("asset",$B946))+ISNUMBER(SEARCH("capital",$B946))&gt;0,"Other",IF(ISNUMBER(SEARCH("fuel",$B946))+ISNUMBER(SEARCH("diesel",$B946))+ISNUMBER(SEARCH("krudo",$B946))+ISNUMBER(SEARCH("gasolina",$B946))+ISNUMBER(SEARCH("toll",$B946))+ISNUMBER(SEARCH("parking",$B946))+ISNUMBER(SEARCH("repair",$B946))+ISNUMBER(SEARCH("maintenance",$B946))+ISNUMBER(SEARCH("tire",$B946))+ISNUMBER(SEARCH("tyre",$B946))+ISNUMBER(SEARCH("battery",$B946))+ISNUMBER(SEARCH("oil",$B946))+ISNUMBER(SEARCH("filter",$B946))+ISNUMBER(SEARCH("spare",$B946))+ISNUMBER(SEARCH("insurance",$B946))+ISNUMBER(SEARCH("lto",$B946))+ISNUMBER(SEARCH("registration",$B946))+ISNUMBER(SEARCH("emission",$B946))+ISNUMBER(SEARCH("wash",$B946))+ISNUMBER(SEARCH("weigh",$B946))+ISNUMBER(SEARCH("tarp",$B946))&gt;0,"Vehicle",IF(ISNUMBER(SEARCH("rent",$B946))+ISNUMBER(SEARCH("upa",$B946))+ISNUMBER(SEARCH("salary",$B946))+ISNUMBER(SEARCH("sweldo",$B946))+ISNUMBER(SEARCH("wage",$B946))+ISNUMBER(SEARCH("electric",$B946))+ISNUMBER(SEARCH("kuryente",$B946))+ISNUMBER(SEARCH("water",$B946))+ISNUMBER(SEARCH("tubig",$B946))+ISNUMBER(SEARCH("internet",$B946))+ISNUMBER(SEARCH("pldt",$B946))+ISNUMBER(SEARCH("meralco",$B946))+ISNUMBER(SEARCH("supplies",$B946))+ISNUMBER(SEARCH("office",$B946))+ISNUMBER(SEARCH("professional",$B946))+ISNUMBER(SEARCH("accountant",$B946))+ISNUMBER(SEARCH("lawyer",$B946))+ISNUMBER(SEARCH("broker",$B946))+ISNUMBER(SEARCH("bank",$B946))+ISNUMBER(SEARCH("charge",$B946))+ISNUMBER(SEARCH("permit",$B946))+ISNUMBER(SEARCH("bir",$B946))+ISNUMBER(SEARCH("ltfrb",$B946))+ISNUMBER(SEARCH("misc",$B946))+ISNUMBER(SEARCH("fee",$B946))&gt;0,"Overhead","Overhead")))))))</f>
        <v/>
      </c>
      <c r="J946">
        <f>IF($A946="","",DATE(YEAR($A946),MONTH($A946),1))</f>
        <v/>
      </c>
      <c r="K946">
        <f>IF($B946="","",IF(COUNTIF(Setup!$A$99:$A$128,$B946)&gt;0,0,1))</f>
        <v/>
      </c>
      <c r="L946">
        <f>IF($B946="","",IF(ISNUMBER(SEARCH("advance",$B946)),"ADV",IF(OR(ISNUMBER(SEARCH("payout",$B946)),ISNUMBER(SEARCH("pay out",$B946)),ISNUMBER(SEARCH("release",$B946))),"PAY","")))</f>
        <v/>
      </c>
      <c r="M946">
        <f>IF($B946="","",IF(ISNUMBER(SEARCH("bulk",$B946)),0,IF(ISNUMBER(SEARCH("fuel",$B946))+ISNUMBER(SEARCH("diesel",$B946))+ISNUMBER(SEARCH("krudo",$B946))+ISNUMBER(SEARCH("gasolina",$B946))&gt;0,1,0)))</f>
        <v/>
      </c>
      <c r="N946">
        <f>IF($B946="","",IF(ISNUMBER(SEARCH("fuel",$B946))+ISNUMBER(SEARCH("diesel",$B946))+ISNUMBER(SEARCH("krudo",$B946))+ISNUMBER(SEARCH("gasolina",$B946))&gt;0,1,0))</f>
        <v/>
      </c>
    </row>
    <row r="947">
      <c r="A947" s="86" t="n"/>
      <c r="B947" s="88" t="n"/>
      <c r="C947" s="88" t="n"/>
      <c r="D947" s="87" t="n"/>
      <c r="E947" s="88" t="n"/>
      <c r="F947" s="92" t="n"/>
      <c r="G947" s="87" t="n"/>
      <c r="H947" s="87" t="n"/>
      <c r="I947" s="101">
        <f>IF($B947="","",IF(COUNTIF(Setup!$A$99:$A$128,$B947)&gt;0,IF(INDEX(Setup!$B$99:$B$128,MATCH($B947,Setup!$A$99:$A$128,0))="","Overhead",INDEX(Setup!$B$99:$B$128,MATCH($B947,Setup!$A$99:$A$128,0))),IF(ISNUMBER(SEARCH("advance",$B947))+ISNUMBER(SEARCH("payout",$B947))+ISNUMBER(SEARCH("pay out",$B947))+ISNUMBER(SEARCH("reimburs",$B947))&gt;0,"Transfer",IF(ISNUMBER(SEARCH("loan",$B947))+ISNUMBER(SEARCH("amort",$B947))+ISNUMBER(SEARCH("installment",$B947))+ISNUMBER(SEARCH("instalment",$B947))&gt;0,"Financing",IF(ISNUMBER(SEARCH("draw",$B947))+ISNUMBER(SEARCH("owner",$B947))+ISNUMBER(SEARCH("asset",$B947))+ISNUMBER(SEARCH("capital",$B947))&gt;0,"Other",IF(ISNUMBER(SEARCH("fuel",$B947))+ISNUMBER(SEARCH("diesel",$B947))+ISNUMBER(SEARCH("krudo",$B947))+ISNUMBER(SEARCH("gasolina",$B947))+ISNUMBER(SEARCH("toll",$B947))+ISNUMBER(SEARCH("parking",$B947))+ISNUMBER(SEARCH("repair",$B947))+ISNUMBER(SEARCH("maintenance",$B947))+ISNUMBER(SEARCH("tire",$B947))+ISNUMBER(SEARCH("tyre",$B947))+ISNUMBER(SEARCH("battery",$B947))+ISNUMBER(SEARCH("oil",$B947))+ISNUMBER(SEARCH("filter",$B947))+ISNUMBER(SEARCH("spare",$B947))+ISNUMBER(SEARCH("insurance",$B947))+ISNUMBER(SEARCH("lto",$B947))+ISNUMBER(SEARCH("registration",$B947))+ISNUMBER(SEARCH("emission",$B947))+ISNUMBER(SEARCH("wash",$B947))+ISNUMBER(SEARCH("weigh",$B947))+ISNUMBER(SEARCH("tarp",$B947))&gt;0,"Vehicle",IF(ISNUMBER(SEARCH("rent",$B947))+ISNUMBER(SEARCH("upa",$B947))+ISNUMBER(SEARCH("salary",$B947))+ISNUMBER(SEARCH("sweldo",$B947))+ISNUMBER(SEARCH("wage",$B947))+ISNUMBER(SEARCH("electric",$B947))+ISNUMBER(SEARCH("kuryente",$B947))+ISNUMBER(SEARCH("water",$B947))+ISNUMBER(SEARCH("tubig",$B947))+ISNUMBER(SEARCH("internet",$B947))+ISNUMBER(SEARCH("pldt",$B947))+ISNUMBER(SEARCH("meralco",$B947))+ISNUMBER(SEARCH("supplies",$B947))+ISNUMBER(SEARCH("office",$B947))+ISNUMBER(SEARCH("professional",$B947))+ISNUMBER(SEARCH("accountant",$B947))+ISNUMBER(SEARCH("lawyer",$B947))+ISNUMBER(SEARCH("broker",$B947))+ISNUMBER(SEARCH("bank",$B947))+ISNUMBER(SEARCH("charge",$B947))+ISNUMBER(SEARCH("permit",$B947))+ISNUMBER(SEARCH("bir",$B947))+ISNUMBER(SEARCH("ltfrb",$B947))+ISNUMBER(SEARCH("misc",$B947))+ISNUMBER(SEARCH("fee",$B947))&gt;0,"Overhead","Overhead")))))))</f>
        <v/>
      </c>
      <c r="J947">
        <f>IF($A947="","",DATE(YEAR($A947),MONTH($A947),1))</f>
        <v/>
      </c>
      <c r="K947">
        <f>IF($B947="","",IF(COUNTIF(Setup!$A$99:$A$128,$B947)&gt;0,0,1))</f>
        <v/>
      </c>
      <c r="L947">
        <f>IF($B947="","",IF(ISNUMBER(SEARCH("advance",$B947)),"ADV",IF(OR(ISNUMBER(SEARCH("payout",$B947)),ISNUMBER(SEARCH("pay out",$B947)),ISNUMBER(SEARCH("release",$B947))),"PAY","")))</f>
        <v/>
      </c>
      <c r="M947">
        <f>IF($B947="","",IF(ISNUMBER(SEARCH("bulk",$B947)),0,IF(ISNUMBER(SEARCH("fuel",$B947))+ISNUMBER(SEARCH("diesel",$B947))+ISNUMBER(SEARCH("krudo",$B947))+ISNUMBER(SEARCH("gasolina",$B947))&gt;0,1,0)))</f>
        <v/>
      </c>
      <c r="N947">
        <f>IF($B947="","",IF(ISNUMBER(SEARCH("fuel",$B947))+ISNUMBER(SEARCH("diesel",$B947))+ISNUMBER(SEARCH("krudo",$B947))+ISNUMBER(SEARCH("gasolina",$B947))&gt;0,1,0))</f>
        <v/>
      </c>
    </row>
    <row r="948">
      <c r="A948" s="94" t="n"/>
      <c r="B948" s="96" t="n"/>
      <c r="C948" s="96" t="n"/>
      <c r="D948" s="95" t="n"/>
      <c r="E948" s="96" t="n"/>
      <c r="F948" s="99" t="n"/>
      <c r="G948" s="95" t="n"/>
      <c r="H948" s="95" t="n"/>
      <c r="I948" s="101">
        <f>IF($B948="","",IF(COUNTIF(Setup!$A$99:$A$128,$B948)&gt;0,IF(INDEX(Setup!$B$99:$B$128,MATCH($B948,Setup!$A$99:$A$128,0))="","Overhead",INDEX(Setup!$B$99:$B$128,MATCH($B948,Setup!$A$99:$A$128,0))),IF(ISNUMBER(SEARCH("advance",$B948))+ISNUMBER(SEARCH("payout",$B948))+ISNUMBER(SEARCH("pay out",$B948))+ISNUMBER(SEARCH("reimburs",$B948))&gt;0,"Transfer",IF(ISNUMBER(SEARCH("loan",$B948))+ISNUMBER(SEARCH("amort",$B948))+ISNUMBER(SEARCH("installment",$B948))+ISNUMBER(SEARCH("instalment",$B948))&gt;0,"Financing",IF(ISNUMBER(SEARCH("draw",$B948))+ISNUMBER(SEARCH("owner",$B948))+ISNUMBER(SEARCH("asset",$B948))+ISNUMBER(SEARCH("capital",$B948))&gt;0,"Other",IF(ISNUMBER(SEARCH("fuel",$B948))+ISNUMBER(SEARCH("diesel",$B948))+ISNUMBER(SEARCH("krudo",$B948))+ISNUMBER(SEARCH("gasolina",$B948))+ISNUMBER(SEARCH("toll",$B948))+ISNUMBER(SEARCH("parking",$B948))+ISNUMBER(SEARCH("repair",$B948))+ISNUMBER(SEARCH("maintenance",$B948))+ISNUMBER(SEARCH("tire",$B948))+ISNUMBER(SEARCH("tyre",$B948))+ISNUMBER(SEARCH("battery",$B948))+ISNUMBER(SEARCH("oil",$B948))+ISNUMBER(SEARCH("filter",$B948))+ISNUMBER(SEARCH("spare",$B948))+ISNUMBER(SEARCH("insurance",$B948))+ISNUMBER(SEARCH("lto",$B948))+ISNUMBER(SEARCH("registration",$B948))+ISNUMBER(SEARCH("emission",$B948))+ISNUMBER(SEARCH("wash",$B948))+ISNUMBER(SEARCH("weigh",$B948))+ISNUMBER(SEARCH("tarp",$B948))&gt;0,"Vehicle",IF(ISNUMBER(SEARCH("rent",$B948))+ISNUMBER(SEARCH("upa",$B948))+ISNUMBER(SEARCH("salary",$B948))+ISNUMBER(SEARCH("sweldo",$B948))+ISNUMBER(SEARCH("wage",$B948))+ISNUMBER(SEARCH("electric",$B948))+ISNUMBER(SEARCH("kuryente",$B948))+ISNUMBER(SEARCH("water",$B948))+ISNUMBER(SEARCH("tubig",$B948))+ISNUMBER(SEARCH("internet",$B948))+ISNUMBER(SEARCH("pldt",$B948))+ISNUMBER(SEARCH("meralco",$B948))+ISNUMBER(SEARCH("supplies",$B948))+ISNUMBER(SEARCH("office",$B948))+ISNUMBER(SEARCH("professional",$B948))+ISNUMBER(SEARCH("accountant",$B948))+ISNUMBER(SEARCH("lawyer",$B948))+ISNUMBER(SEARCH("broker",$B948))+ISNUMBER(SEARCH("bank",$B948))+ISNUMBER(SEARCH("charge",$B948))+ISNUMBER(SEARCH("permit",$B948))+ISNUMBER(SEARCH("bir",$B948))+ISNUMBER(SEARCH("ltfrb",$B948))+ISNUMBER(SEARCH("misc",$B948))+ISNUMBER(SEARCH("fee",$B948))&gt;0,"Overhead","Overhead")))))))</f>
        <v/>
      </c>
      <c r="J948">
        <f>IF($A948="","",DATE(YEAR($A948),MONTH($A948),1))</f>
        <v/>
      </c>
      <c r="K948">
        <f>IF($B948="","",IF(COUNTIF(Setup!$A$99:$A$128,$B948)&gt;0,0,1))</f>
        <v/>
      </c>
      <c r="L948">
        <f>IF($B948="","",IF(ISNUMBER(SEARCH("advance",$B948)),"ADV",IF(OR(ISNUMBER(SEARCH("payout",$B948)),ISNUMBER(SEARCH("pay out",$B948)),ISNUMBER(SEARCH("release",$B948))),"PAY","")))</f>
        <v/>
      </c>
      <c r="M948">
        <f>IF($B948="","",IF(ISNUMBER(SEARCH("bulk",$B948)),0,IF(ISNUMBER(SEARCH("fuel",$B948))+ISNUMBER(SEARCH("diesel",$B948))+ISNUMBER(SEARCH("krudo",$B948))+ISNUMBER(SEARCH("gasolina",$B948))&gt;0,1,0)))</f>
        <v/>
      </c>
      <c r="N948">
        <f>IF($B948="","",IF(ISNUMBER(SEARCH("fuel",$B948))+ISNUMBER(SEARCH("diesel",$B948))+ISNUMBER(SEARCH("krudo",$B948))+ISNUMBER(SEARCH("gasolina",$B948))&gt;0,1,0))</f>
        <v/>
      </c>
    </row>
    <row r="949">
      <c r="A949" s="86" t="n"/>
      <c r="B949" s="88" t="n"/>
      <c r="C949" s="88" t="n"/>
      <c r="D949" s="87" t="n"/>
      <c r="E949" s="88" t="n"/>
      <c r="F949" s="92" t="n"/>
      <c r="G949" s="87" t="n"/>
      <c r="H949" s="87" t="n"/>
      <c r="I949" s="101">
        <f>IF($B949="","",IF(COUNTIF(Setup!$A$99:$A$128,$B949)&gt;0,IF(INDEX(Setup!$B$99:$B$128,MATCH($B949,Setup!$A$99:$A$128,0))="","Overhead",INDEX(Setup!$B$99:$B$128,MATCH($B949,Setup!$A$99:$A$128,0))),IF(ISNUMBER(SEARCH("advance",$B949))+ISNUMBER(SEARCH("payout",$B949))+ISNUMBER(SEARCH("pay out",$B949))+ISNUMBER(SEARCH("reimburs",$B949))&gt;0,"Transfer",IF(ISNUMBER(SEARCH("loan",$B949))+ISNUMBER(SEARCH("amort",$B949))+ISNUMBER(SEARCH("installment",$B949))+ISNUMBER(SEARCH("instalment",$B949))&gt;0,"Financing",IF(ISNUMBER(SEARCH("draw",$B949))+ISNUMBER(SEARCH("owner",$B949))+ISNUMBER(SEARCH("asset",$B949))+ISNUMBER(SEARCH("capital",$B949))&gt;0,"Other",IF(ISNUMBER(SEARCH("fuel",$B949))+ISNUMBER(SEARCH("diesel",$B949))+ISNUMBER(SEARCH("krudo",$B949))+ISNUMBER(SEARCH("gasolina",$B949))+ISNUMBER(SEARCH("toll",$B949))+ISNUMBER(SEARCH("parking",$B949))+ISNUMBER(SEARCH("repair",$B949))+ISNUMBER(SEARCH("maintenance",$B949))+ISNUMBER(SEARCH("tire",$B949))+ISNUMBER(SEARCH("tyre",$B949))+ISNUMBER(SEARCH("battery",$B949))+ISNUMBER(SEARCH("oil",$B949))+ISNUMBER(SEARCH("filter",$B949))+ISNUMBER(SEARCH("spare",$B949))+ISNUMBER(SEARCH("insurance",$B949))+ISNUMBER(SEARCH("lto",$B949))+ISNUMBER(SEARCH("registration",$B949))+ISNUMBER(SEARCH("emission",$B949))+ISNUMBER(SEARCH("wash",$B949))+ISNUMBER(SEARCH("weigh",$B949))+ISNUMBER(SEARCH("tarp",$B949))&gt;0,"Vehicle",IF(ISNUMBER(SEARCH("rent",$B949))+ISNUMBER(SEARCH("upa",$B949))+ISNUMBER(SEARCH("salary",$B949))+ISNUMBER(SEARCH("sweldo",$B949))+ISNUMBER(SEARCH("wage",$B949))+ISNUMBER(SEARCH("electric",$B949))+ISNUMBER(SEARCH("kuryente",$B949))+ISNUMBER(SEARCH("water",$B949))+ISNUMBER(SEARCH("tubig",$B949))+ISNUMBER(SEARCH("internet",$B949))+ISNUMBER(SEARCH("pldt",$B949))+ISNUMBER(SEARCH("meralco",$B949))+ISNUMBER(SEARCH("supplies",$B949))+ISNUMBER(SEARCH("office",$B949))+ISNUMBER(SEARCH("professional",$B949))+ISNUMBER(SEARCH("accountant",$B949))+ISNUMBER(SEARCH("lawyer",$B949))+ISNUMBER(SEARCH("broker",$B949))+ISNUMBER(SEARCH("bank",$B949))+ISNUMBER(SEARCH("charge",$B949))+ISNUMBER(SEARCH("permit",$B949))+ISNUMBER(SEARCH("bir",$B949))+ISNUMBER(SEARCH("ltfrb",$B949))+ISNUMBER(SEARCH("misc",$B949))+ISNUMBER(SEARCH("fee",$B949))&gt;0,"Overhead","Overhead")))))))</f>
        <v/>
      </c>
      <c r="J949">
        <f>IF($A949="","",DATE(YEAR($A949),MONTH($A949),1))</f>
        <v/>
      </c>
      <c r="K949">
        <f>IF($B949="","",IF(COUNTIF(Setup!$A$99:$A$128,$B949)&gt;0,0,1))</f>
        <v/>
      </c>
      <c r="L949">
        <f>IF($B949="","",IF(ISNUMBER(SEARCH("advance",$B949)),"ADV",IF(OR(ISNUMBER(SEARCH("payout",$B949)),ISNUMBER(SEARCH("pay out",$B949)),ISNUMBER(SEARCH("release",$B949))),"PAY","")))</f>
        <v/>
      </c>
      <c r="M949">
        <f>IF($B949="","",IF(ISNUMBER(SEARCH("bulk",$B949)),0,IF(ISNUMBER(SEARCH("fuel",$B949))+ISNUMBER(SEARCH("diesel",$B949))+ISNUMBER(SEARCH("krudo",$B949))+ISNUMBER(SEARCH("gasolina",$B949))&gt;0,1,0)))</f>
        <v/>
      </c>
      <c r="N949">
        <f>IF($B949="","",IF(ISNUMBER(SEARCH("fuel",$B949))+ISNUMBER(SEARCH("diesel",$B949))+ISNUMBER(SEARCH("krudo",$B949))+ISNUMBER(SEARCH("gasolina",$B949))&gt;0,1,0))</f>
        <v/>
      </c>
    </row>
    <row r="950">
      <c r="A950" s="94" t="n"/>
      <c r="B950" s="96" t="n"/>
      <c r="C950" s="96" t="n"/>
      <c r="D950" s="95" t="n"/>
      <c r="E950" s="96" t="n"/>
      <c r="F950" s="99" t="n"/>
      <c r="G950" s="95" t="n"/>
      <c r="H950" s="95" t="n"/>
      <c r="I950" s="101">
        <f>IF($B950="","",IF(COUNTIF(Setup!$A$99:$A$128,$B950)&gt;0,IF(INDEX(Setup!$B$99:$B$128,MATCH($B950,Setup!$A$99:$A$128,0))="","Overhead",INDEX(Setup!$B$99:$B$128,MATCH($B950,Setup!$A$99:$A$128,0))),IF(ISNUMBER(SEARCH("advance",$B950))+ISNUMBER(SEARCH("payout",$B950))+ISNUMBER(SEARCH("pay out",$B950))+ISNUMBER(SEARCH("reimburs",$B950))&gt;0,"Transfer",IF(ISNUMBER(SEARCH("loan",$B950))+ISNUMBER(SEARCH("amort",$B950))+ISNUMBER(SEARCH("installment",$B950))+ISNUMBER(SEARCH("instalment",$B950))&gt;0,"Financing",IF(ISNUMBER(SEARCH("draw",$B950))+ISNUMBER(SEARCH("owner",$B950))+ISNUMBER(SEARCH("asset",$B950))+ISNUMBER(SEARCH("capital",$B950))&gt;0,"Other",IF(ISNUMBER(SEARCH("fuel",$B950))+ISNUMBER(SEARCH("diesel",$B950))+ISNUMBER(SEARCH("krudo",$B950))+ISNUMBER(SEARCH("gasolina",$B950))+ISNUMBER(SEARCH("toll",$B950))+ISNUMBER(SEARCH("parking",$B950))+ISNUMBER(SEARCH("repair",$B950))+ISNUMBER(SEARCH("maintenance",$B950))+ISNUMBER(SEARCH("tire",$B950))+ISNUMBER(SEARCH("tyre",$B950))+ISNUMBER(SEARCH("battery",$B950))+ISNUMBER(SEARCH("oil",$B950))+ISNUMBER(SEARCH("filter",$B950))+ISNUMBER(SEARCH("spare",$B950))+ISNUMBER(SEARCH("insurance",$B950))+ISNUMBER(SEARCH("lto",$B950))+ISNUMBER(SEARCH("registration",$B950))+ISNUMBER(SEARCH("emission",$B950))+ISNUMBER(SEARCH("wash",$B950))+ISNUMBER(SEARCH("weigh",$B950))+ISNUMBER(SEARCH("tarp",$B950))&gt;0,"Vehicle",IF(ISNUMBER(SEARCH("rent",$B950))+ISNUMBER(SEARCH("upa",$B950))+ISNUMBER(SEARCH("salary",$B950))+ISNUMBER(SEARCH("sweldo",$B950))+ISNUMBER(SEARCH("wage",$B950))+ISNUMBER(SEARCH("electric",$B950))+ISNUMBER(SEARCH("kuryente",$B950))+ISNUMBER(SEARCH("water",$B950))+ISNUMBER(SEARCH("tubig",$B950))+ISNUMBER(SEARCH("internet",$B950))+ISNUMBER(SEARCH("pldt",$B950))+ISNUMBER(SEARCH("meralco",$B950))+ISNUMBER(SEARCH("supplies",$B950))+ISNUMBER(SEARCH("office",$B950))+ISNUMBER(SEARCH("professional",$B950))+ISNUMBER(SEARCH("accountant",$B950))+ISNUMBER(SEARCH("lawyer",$B950))+ISNUMBER(SEARCH("broker",$B950))+ISNUMBER(SEARCH("bank",$B950))+ISNUMBER(SEARCH("charge",$B950))+ISNUMBER(SEARCH("permit",$B950))+ISNUMBER(SEARCH("bir",$B950))+ISNUMBER(SEARCH("ltfrb",$B950))+ISNUMBER(SEARCH("misc",$B950))+ISNUMBER(SEARCH("fee",$B950))&gt;0,"Overhead","Overhead")))))))</f>
        <v/>
      </c>
      <c r="J950">
        <f>IF($A950="","",DATE(YEAR($A950),MONTH($A950),1))</f>
        <v/>
      </c>
      <c r="K950">
        <f>IF($B950="","",IF(COUNTIF(Setup!$A$99:$A$128,$B950)&gt;0,0,1))</f>
        <v/>
      </c>
      <c r="L950">
        <f>IF($B950="","",IF(ISNUMBER(SEARCH("advance",$B950)),"ADV",IF(OR(ISNUMBER(SEARCH("payout",$B950)),ISNUMBER(SEARCH("pay out",$B950)),ISNUMBER(SEARCH("release",$B950))),"PAY","")))</f>
        <v/>
      </c>
      <c r="M950">
        <f>IF($B950="","",IF(ISNUMBER(SEARCH("bulk",$B950)),0,IF(ISNUMBER(SEARCH("fuel",$B950))+ISNUMBER(SEARCH("diesel",$B950))+ISNUMBER(SEARCH("krudo",$B950))+ISNUMBER(SEARCH("gasolina",$B950))&gt;0,1,0)))</f>
        <v/>
      </c>
      <c r="N950">
        <f>IF($B950="","",IF(ISNUMBER(SEARCH("fuel",$B950))+ISNUMBER(SEARCH("diesel",$B950))+ISNUMBER(SEARCH("krudo",$B950))+ISNUMBER(SEARCH("gasolina",$B950))&gt;0,1,0))</f>
        <v/>
      </c>
    </row>
    <row r="951">
      <c r="A951" s="86" t="n"/>
      <c r="B951" s="88" t="n"/>
      <c r="C951" s="88" t="n"/>
      <c r="D951" s="87" t="n"/>
      <c r="E951" s="88" t="n"/>
      <c r="F951" s="92" t="n"/>
      <c r="G951" s="87" t="n"/>
      <c r="H951" s="87" t="n"/>
      <c r="I951" s="101">
        <f>IF($B951="","",IF(COUNTIF(Setup!$A$99:$A$128,$B951)&gt;0,IF(INDEX(Setup!$B$99:$B$128,MATCH($B951,Setup!$A$99:$A$128,0))="","Overhead",INDEX(Setup!$B$99:$B$128,MATCH($B951,Setup!$A$99:$A$128,0))),IF(ISNUMBER(SEARCH("advance",$B951))+ISNUMBER(SEARCH("payout",$B951))+ISNUMBER(SEARCH("pay out",$B951))+ISNUMBER(SEARCH("reimburs",$B951))&gt;0,"Transfer",IF(ISNUMBER(SEARCH("loan",$B951))+ISNUMBER(SEARCH("amort",$B951))+ISNUMBER(SEARCH("installment",$B951))+ISNUMBER(SEARCH("instalment",$B951))&gt;0,"Financing",IF(ISNUMBER(SEARCH("draw",$B951))+ISNUMBER(SEARCH("owner",$B951))+ISNUMBER(SEARCH("asset",$B951))+ISNUMBER(SEARCH("capital",$B951))&gt;0,"Other",IF(ISNUMBER(SEARCH("fuel",$B951))+ISNUMBER(SEARCH("diesel",$B951))+ISNUMBER(SEARCH("krudo",$B951))+ISNUMBER(SEARCH("gasolina",$B951))+ISNUMBER(SEARCH("toll",$B951))+ISNUMBER(SEARCH("parking",$B951))+ISNUMBER(SEARCH("repair",$B951))+ISNUMBER(SEARCH("maintenance",$B951))+ISNUMBER(SEARCH("tire",$B951))+ISNUMBER(SEARCH("tyre",$B951))+ISNUMBER(SEARCH("battery",$B951))+ISNUMBER(SEARCH("oil",$B951))+ISNUMBER(SEARCH("filter",$B951))+ISNUMBER(SEARCH("spare",$B951))+ISNUMBER(SEARCH("insurance",$B951))+ISNUMBER(SEARCH("lto",$B951))+ISNUMBER(SEARCH("registration",$B951))+ISNUMBER(SEARCH("emission",$B951))+ISNUMBER(SEARCH("wash",$B951))+ISNUMBER(SEARCH("weigh",$B951))+ISNUMBER(SEARCH("tarp",$B951))&gt;0,"Vehicle",IF(ISNUMBER(SEARCH("rent",$B951))+ISNUMBER(SEARCH("upa",$B951))+ISNUMBER(SEARCH("salary",$B951))+ISNUMBER(SEARCH("sweldo",$B951))+ISNUMBER(SEARCH("wage",$B951))+ISNUMBER(SEARCH("electric",$B951))+ISNUMBER(SEARCH("kuryente",$B951))+ISNUMBER(SEARCH("water",$B951))+ISNUMBER(SEARCH("tubig",$B951))+ISNUMBER(SEARCH("internet",$B951))+ISNUMBER(SEARCH("pldt",$B951))+ISNUMBER(SEARCH("meralco",$B951))+ISNUMBER(SEARCH("supplies",$B951))+ISNUMBER(SEARCH("office",$B951))+ISNUMBER(SEARCH("professional",$B951))+ISNUMBER(SEARCH("accountant",$B951))+ISNUMBER(SEARCH("lawyer",$B951))+ISNUMBER(SEARCH("broker",$B951))+ISNUMBER(SEARCH("bank",$B951))+ISNUMBER(SEARCH("charge",$B951))+ISNUMBER(SEARCH("permit",$B951))+ISNUMBER(SEARCH("bir",$B951))+ISNUMBER(SEARCH("ltfrb",$B951))+ISNUMBER(SEARCH("misc",$B951))+ISNUMBER(SEARCH("fee",$B951))&gt;0,"Overhead","Overhead")))))))</f>
        <v/>
      </c>
      <c r="J951">
        <f>IF($A951="","",DATE(YEAR($A951),MONTH($A951),1))</f>
        <v/>
      </c>
      <c r="K951">
        <f>IF($B951="","",IF(COUNTIF(Setup!$A$99:$A$128,$B951)&gt;0,0,1))</f>
        <v/>
      </c>
      <c r="L951">
        <f>IF($B951="","",IF(ISNUMBER(SEARCH("advance",$B951)),"ADV",IF(OR(ISNUMBER(SEARCH("payout",$B951)),ISNUMBER(SEARCH("pay out",$B951)),ISNUMBER(SEARCH("release",$B951))),"PAY","")))</f>
        <v/>
      </c>
      <c r="M951">
        <f>IF($B951="","",IF(ISNUMBER(SEARCH("bulk",$B951)),0,IF(ISNUMBER(SEARCH("fuel",$B951))+ISNUMBER(SEARCH("diesel",$B951))+ISNUMBER(SEARCH("krudo",$B951))+ISNUMBER(SEARCH("gasolina",$B951))&gt;0,1,0)))</f>
        <v/>
      </c>
      <c r="N951">
        <f>IF($B951="","",IF(ISNUMBER(SEARCH("fuel",$B951))+ISNUMBER(SEARCH("diesel",$B951))+ISNUMBER(SEARCH("krudo",$B951))+ISNUMBER(SEARCH("gasolina",$B951))&gt;0,1,0))</f>
        <v/>
      </c>
    </row>
    <row r="952">
      <c r="A952" s="94" t="n"/>
      <c r="B952" s="96" t="n"/>
      <c r="C952" s="96" t="n"/>
      <c r="D952" s="95" t="n"/>
      <c r="E952" s="96" t="n"/>
      <c r="F952" s="99" t="n"/>
      <c r="G952" s="95" t="n"/>
      <c r="H952" s="95" t="n"/>
      <c r="I952" s="101">
        <f>IF($B952="","",IF(COUNTIF(Setup!$A$99:$A$128,$B952)&gt;0,IF(INDEX(Setup!$B$99:$B$128,MATCH($B952,Setup!$A$99:$A$128,0))="","Overhead",INDEX(Setup!$B$99:$B$128,MATCH($B952,Setup!$A$99:$A$128,0))),IF(ISNUMBER(SEARCH("advance",$B952))+ISNUMBER(SEARCH("payout",$B952))+ISNUMBER(SEARCH("pay out",$B952))+ISNUMBER(SEARCH("reimburs",$B952))&gt;0,"Transfer",IF(ISNUMBER(SEARCH("loan",$B952))+ISNUMBER(SEARCH("amort",$B952))+ISNUMBER(SEARCH("installment",$B952))+ISNUMBER(SEARCH("instalment",$B952))&gt;0,"Financing",IF(ISNUMBER(SEARCH("draw",$B952))+ISNUMBER(SEARCH("owner",$B952))+ISNUMBER(SEARCH("asset",$B952))+ISNUMBER(SEARCH("capital",$B952))&gt;0,"Other",IF(ISNUMBER(SEARCH("fuel",$B952))+ISNUMBER(SEARCH("diesel",$B952))+ISNUMBER(SEARCH("krudo",$B952))+ISNUMBER(SEARCH("gasolina",$B952))+ISNUMBER(SEARCH("toll",$B952))+ISNUMBER(SEARCH("parking",$B952))+ISNUMBER(SEARCH("repair",$B952))+ISNUMBER(SEARCH("maintenance",$B952))+ISNUMBER(SEARCH("tire",$B952))+ISNUMBER(SEARCH("tyre",$B952))+ISNUMBER(SEARCH("battery",$B952))+ISNUMBER(SEARCH("oil",$B952))+ISNUMBER(SEARCH("filter",$B952))+ISNUMBER(SEARCH("spare",$B952))+ISNUMBER(SEARCH("insurance",$B952))+ISNUMBER(SEARCH("lto",$B952))+ISNUMBER(SEARCH("registration",$B952))+ISNUMBER(SEARCH("emission",$B952))+ISNUMBER(SEARCH("wash",$B952))+ISNUMBER(SEARCH("weigh",$B952))+ISNUMBER(SEARCH("tarp",$B952))&gt;0,"Vehicle",IF(ISNUMBER(SEARCH("rent",$B952))+ISNUMBER(SEARCH("upa",$B952))+ISNUMBER(SEARCH("salary",$B952))+ISNUMBER(SEARCH("sweldo",$B952))+ISNUMBER(SEARCH("wage",$B952))+ISNUMBER(SEARCH("electric",$B952))+ISNUMBER(SEARCH("kuryente",$B952))+ISNUMBER(SEARCH("water",$B952))+ISNUMBER(SEARCH("tubig",$B952))+ISNUMBER(SEARCH("internet",$B952))+ISNUMBER(SEARCH("pldt",$B952))+ISNUMBER(SEARCH("meralco",$B952))+ISNUMBER(SEARCH("supplies",$B952))+ISNUMBER(SEARCH("office",$B952))+ISNUMBER(SEARCH("professional",$B952))+ISNUMBER(SEARCH("accountant",$B952))+ISNUMBER(SEARCH("lawyer",$B952))+ISNUMBER(SEARCH("broker",$B952))+ISNUMBER(SEARCH("bank",$B952))+ISNUMBER(SEARCH("charge",$B952))+ISNUMBER(SEARCH("permit",$B952))+ISNUMBER(SEARCH("bir",$B952))+ISNUMBER(SEARCH("ltfrb",$B952))+ISNUMBER(SEARCH("misc",$B952))+ISNUMBER(SEARCH("fee",$B952))&gt;0,"Overhead","Overhead")))))))</f>
        <v/>
      </c>
      <c r="J952">
        <f>IF($A952="","",DATE(YEAR($A952),MONTH($A952),1))</f>
        <v/>
      </c>
      <c r="K952">
        <f>IF($B952="","",IF(COUNTIF(Setup!$A$99:$A$128,$B952)&gt;0,0,1))</f>
        <v/>
      </c>
      <c r="L952">
        <f>IF($B952="","",IF(ISNUMBER(SEARCH("advance",$B952)),"ADV",IF(OR(ISNUMBER(SEARCH("payout",$B952)),ISNUMBER(SEARCH("pay out",$B952)),ISNUMBER(SEARCH("release",$B952))),"PAY","")))</f>
        <v/>
      </c>
      <c r="M952">
        <f>IF($B952="","",IF(ISNUMBER(SEARCH("bulk",$B952)),0,IF(ISNUMBER(SEARCH("fuel",$B952))+ISNUMBER(SEARCH("diesel",$B952))+ISNUMBER(SEARCH("krudo",$B952))+ISNUMBER(SEARCH("gasolina",$B952))&gt;0,1,0)))</f>
        <v/>
      </c>
      <c r="N952">
        <f>IF($B952="","",IF(ISNUMBER(SEARCH("fuel",$B952))+ISNUMBER(SEARCH("diesel",$B952))+ISNUMBER(SEARCH("krudo",$B952))+ISNUMBER(SEARCH("gasolina",$B952))&gt;0,1,0))</f>
        <v/>
      </c>
    </row>
    <row r="953">
      <c r="A953" s="86" t="n"/>
      <c r="B953" s="88" t="n"/>
      <c r="C953" s="88" t="n"/>
      <c r="D953" s="87" t="n"/>
      <c r="E953" s="88" t="n"/>
      <c r="F953" s="92" t="n"/>
      <c r="G953" s="87" t="n"/>
      <c r="H953" s="87" t="n"/>
      <c r="I953" s="101">
        <f>IF($B953="","",IF(COUNTIF(Setup!$A$99:$A$128,$B953)&gt;0,IF(INDEX(Setup!$B$99:$B$128,MATCH($B953,Setup!$A$99:$A$128,0))="","Overhead",INDEX(Setup!$B$99:$B$128,MATCH($B953,Setup!$A$99:$A$128,0))),IF(ISNUMBER(SEARCH("advance",$B953))+ISNUMBER(SEARCH("payout",$B953))+ISNUMBER(SEARCH("pay out",$B953))+ISNUMBER(SEARCH("reimburs",$B953))&gt;0,"Transfer",IF(ISNUMBER(SEARCH("loan",$B953))+ISNUMBER(SEARCH("amort",$B953))+ISNUMBER(SEARCH("installment",$B953))+ISNUMBER(SEARCH("instalment",$B953))&gt;0,"Financing",IF(ISNUMBER(SEARCH("draw",$B953))+ISNUMBER(SEARCH("owner",$B953))+ISNUMBER(SEARCH("asset",$B953))+ISNUMBER(SEARCH("capital",$B953))&gt;0,"Other",IF(ISNUMBER(SEARCH("fuel",$B953))+ISNUMBER(SEARCH("diesel",$B953))+ISNUMBER(SEARCH("krudo",$B953))+ISNUMBER(SEARCH("gasolina",$B953))+ISNUMBER(SEARCH("toll",$B953))+ISNUMBER(SEARCH("parking",$B953))+ISNUMBER(SEARCH("repair",$B953))+ISNUMBER(SEARCH("maintenance",$B953))+ISNUMBER(SEARCH("tire",$B953))+ISNUMBER(SEARCH("tyre",$B953))+ISNUMBER(SEARCH("battery",$B953))+ISNUMBER(SEARCH("oil",$B953))+ISNUMBER(SEARCH("filter",$B953))+ISNUMBER(SEARCH("spare",$B953))+ISNUMBER(SEARCH("insurance",$B953))+ISNUMBER(SEARCH("lto",$B953))+ISNUMBER(SEARCH("registration",$B953))+ISNUMBER(SEARCH("emission",$B953))+ISNUMBER(SEARCH("wash",$B953))+ISNUMBER(SEARCH("weigh",$B953))+ISNUMBER(SEARCH("tarp",$B953))&gt;0,"Vehicle",IF(ISNUMBER(SEARCH("rent",$B953))+ISNUMBER(SEARCH("upa",$B953))+ISNUMBER(SEARCH("salary",$B953))+ISNUMBER(SEARCH("sweldo",$B953))+ISNUMBER(SEARCH("wage",$B953))+ISNUMBER(SEARCH("electric",$B953))+ISNUMBER(SEARCH("kuryente",$B953))+ISNUMBER(SEARCH("water",$B953))+ISNUMBER(SEARCH("tubig",$B953))+ISNUMBER(SEARCH("internet",$B953))+ISNUMBER(SEARCH("pldt",$B953))+ISNUMBER(SEARCH("meralco",$B953))+ISNUMBER(SEARCH("supplies",$B953))+ISNUMBER(SEARCH("office",$B953))+ISNUMBER(SEARCH("professional",$B953))+ISNUMBER(SEARCH("accountant",$B953))+ISNUMBER(SEARCH("lawyer",$B953))+ISNUMBER(SEARCH("broker",$B953))+ISNUMBER(SEARCH("bank",$B953))+ISNUMBER(SEARCH("charge",$B953))+ISNUMBER(SEARCH("permit",$B953))+ISNUMBER(SEARCH("bir",$B953))+ISNUMBER(SEARCH("ltfrb",$B953))+ISNUMBER(SEARCH("misc",$B953))+ISNUMBER(SEARCH("fee",$B953))&gt;0,"Overhead","Overhead")))))))</f>
        <v/>
      </c>
      <c r="J953">
        <f>IF($A953="","",DATE(YEAR($A953),MONTH($A953),1))</f>
        <v/>
      </c>
      <c r="K953">
        <f>IF($B953="","",IF(COUNTIF(Setup!$A$99:$A$128,$B953)&gt;0,0,1))</f>
        <v/>
      </c>
      <c r="L953">
        <f>IF($B953="","",IF(ISNUMBER(SEARCH("advance",$B953)),"ADV",IF(OR(ISNUMBER(SEARCH("payout",$B953)),ISNUMBER(SEARCH("pay out",$B953)),ISNUMBER(SEARCH("release",$B953))),"PAY","")))</f>
        <v/>
      </c>
      <c r="M953">
        <f>IF($B953="","",IF(ISNUMBER(SEARCH("bulk",$B953)),0,IF(ISNUMBER(SEARCH("fuel",$B953))+ISNUMBER(SEARCH("diesel",$B953))+ISNUMBER(SEARCH("krudo",$B953))+ISNUMBER(SEARCH("gasolina",$B953))&gt;0,1,0)))</f>
        <v/>
      </c>
      <c r="N953">
        <f>IF($B953="","",IF(ISNUMBER(SEARCH("fuel",$B953))+ISNUMBER(SEARCH("diesel",$B953))+ISNUMBER(SEARCH("krudo",$B953))+ISNUMBER(SEARCH("gasolina",$B953))&gt;0,1,0))</f>
        <v/>
      </c>
    </row>
    <row r="954">
      <c r="A954" s="94" t="n"/>
      <c r="B954" s="96" t="n"/>
      <c r="C954" s="96" t="n"/>
      <c r="D954" s="95" t="n"/>
      <c r="E954" s="96" t="n"/>
      <c r="F954" s="99" t="n"/>
      <c r="G954" s="95" t="n"/>
      <c r="H954" s="95" t="n"/>
      <c r="I954" s="101">
        <f>IF($B954="","",IF(COUNTIF(Setup!$A$99:$A$128,$B954)&gt;0,IF(INDEX(Setup!$B$99:$B$128,MATCH($B954,Setup!$A$99:$A$128,0))="","Overhead",INDEX(Setup!$B$99:$B$128,MATCH($B954,Setup!$A$99:$A$128,0))),IF(ISNUMBER(SEARCH("advance",$B954))+ISNUMBER(SEARCH("payout",$B954))+ISNUMBER(SEARCH("pay out",$B954))+ISNUMBER(SEARCH("reimburs",$B954))&gt;0,"Transfer",IF(ISNUMBER(SEARCH("loan",$B954))+ISNUMBER(SEARCH("amort",$B954))+ISNUMBER(SEARCH("installment",$B954))+ISNUMBER(SEARCH("instalment",$B954))&gt;0,"Financing",IF(ISNUMBER(SEARCH("draw",$B954))+ISNUMBER(SEARCH("owner",$B954))+ISNUMBER(SEARCH("asset",$B954))+ISNUMBER(SEARCH("capital",$B954))&gt;0,"Other",IF(ISNUMBER(SEARCH("fuel",$B954))+ISNUMBER(SEARCH("diesel",$B954))+ISNUMBER(SEARCH("krudo",$B954))+ISNUMBER(SEARCH("gasolina",$B954))+ISNUMBER(SEARCH("toll",$B954))+ISNUMBER(SEARCH("parking",$B954))+ISNUMBER(SEARCH("repair",$B954))+ISNUMBER(SEARCH("maintenance",$B954))+ISNUMBER(SEARCH("tire",$B954))+ISNUMBER(SEARCH("tyre",$B954))+ISNUMBER(SEARCH("battery",$B954))+ISNUMBER(SEARCH("oil",$B954))+ISNUMBER(SEARCH("filter",$B954))+ISNUMBER(SEARCH("spare",$B954))+ISNUMBER(SEARCH("insurance",$B954))+ISNUMBER(SEARCH("lto",$B954))+ISNUMBER(SEARCH("registration",$B954))+ISNUMBER(SEARCH("emission",$B954))+ISNUMBER(SEARCH("wash",$B954))+ISNUMBER(SEARCH("weigh",$B954))+ISNUMBER(SEARCH("tarp",$B954))&gt;0,"Vehicle",IF(ISNUMBER(SEARCH("rent",$B954))+ISNUMBER(SEARCH("upa",$B954))+ISNUMBER(SEARCH("salary",$B954))+ISNUMBER(SEARCH("sweldo",$B954))+ISNUMBER(SEARCH("wage",$B954))+ISNUMBER(SEARCH("electric",$B954))+ISNUMBER(SEARCH("kuryente",$B954))+ISNUMBER(SEARCH("water",$B954))+ISNUMBER(SEARCH("tubig",$B954))+ISNUMBER(SEARCH("internet",$B954))+ISNUMBER(SEARCH("pldt",$B954))+ISNUMBER(SEARCH("meralco",$B954))+ISNUMBER(SEARCH("supplies",$B954))+ISNUMBER(SEARCH("office",$B954))+ISNUMBER(SEARCH("professional",$B954))+ISNUMBER(SEARCH("accountant",$B954))+ISNUMBER(SEARCH("lawyer",$B954))+ISNUMBER(SEARCH("broker",$B954))+ISNUMBER(SEARCH("bank",$B954))+ISNUMBER(SEARCH("charge",$B954))+ISNUMBER(SEARCH("permit",$B954))+ISNUMBER(SEARCH("bir",$B954))+ISNUMBER(SEARCH("ltfrb",$B954))+ISNUMBER(SEARCH("misc",$B954))+ISNUMBER(SEARCH("fee",$B954))&gt;0,"Overhead","Overhead")))))))</f>
        <v/>
      </c>
      <c r="J954">
        <f>IF($A954="","",DATE(YEAR($A954),MONTH($A954),1))</f>
        <v/>
      </c>
      <c r="K954">
        <f>IF($B954="","",IF(COUNTIF(Setup!$A$99:$A$128,$B954)&gt;0,0,1))</f>
        <v/>
      </c>
      <c r="L954">
        <f>IF($B954="","",IF(ISNUMBER(SEARCH("advance",$B954)),"ADV",IF(OR(ISNUMBER(SEARCH("payout",$B954)),ISNUMBER(SEARCH("pay out",$B954)),ISNUMBER(SEARCH("release",$B954))),"PAY","")))</f>
        <v/>
      </c>
      <c r="M954">
        <f>IF($B954="","",IF(ISNUMBER(SEARCH("bulk",$B954)),0,IF(ISNUMBER(SEARCH("fuel",$B954))+ISNUMBER(SEARCH("diesel",$B954))+ISNUMBER(SEARCH("krudo",$B954))+ISNUMBER(SEARCH("gasolina",$B954))&gt;0,1,0)))</f>
        <v/>
      </c>
      <c r="N954">
        <f>IF($B954="","",IF(ISNUMBER(SEARCH("fuel",$B954))+ISNUMBER(SEARCH("diesel",$B954))+ISNUMBER(SEARCH("krudo",$B954))+ISNUMBER(SEARCH("gasolina",$B954))&gt;0,1,0))</f>
        <v/>
      </c>
    </row>
    <row r="955">
      <c r="A955" s="86" t="n"/>
      <c r="B955" s="88" t="n"/>
      <c r="C955" s="88" t="n"/>
      <c r="D955" s="87" t="n"/>
      <c r="E955" s="88" t="n"/>
      <c r="F955" s="92" t="n"/>
      <c r="G955" s="87" t="n"/>
      <c r="H955" s="87" t="n"/>
      <c r="I955" s="101">
        <f>IF($B955="","",IF(COUNTIF(Setup!$A$99:$A$128,$B955)&gt;0,IF(INDEX(Setup!$B$99:$B$128,MATCH($B955,Setup!$A$99:$A$128,0))="","Overhead",INDEX(Setup!$B$99:$B$128,MATCH($B955,Setup!$A$99:$A$128,0))),IF(ISNUMBER(SEARCH("advance",$B955))+ISNUMBER(SEARCH("payout",$B955))+ISNUMBER(SEARCH("pay out",$B955))+ISNUMBER(SEARCH("reimburs",$B955))&gt;0,"Transfer",IF(ISNUMBER(SEARCH("loan",$B955))+ISNUMBER(SEARCH("amort",$B955))+ISNUMBER(SEARCH("installment",$B955))+ISNUMBER(SEARCH("instalment",$B955))&gt;0,"Financing",IF(ISNUMBER(SEARCH("draw",$B955))+ISNUMBER(SEARCH("owner",$B955))+ISNUMBER(SEARCH("asset",$B955))+ISNUMBER(SEARCH("capital",$B955))&gt;0,"Other",IF(ISNUMBER(SEARCH("fuel",$B955))+ISNUMBER(SEARCH("diesel",$B955))+ISNUMBER(SEARCH("krudo",$B955))+ISNUMBER(SEARCH("gasolina",$B955))+ISNUMBER(SEARCH("toll",$B955))+ISNUMBER(SEARCH("parking",$B955))+ISNUMBER(SEARCH("repair",$B955))+ISNUMBER(SEARCH("maintenance",$B955))+ISNUMBER(SEARCH("tire",$B955))+ISNUMBER(SEARCH("tyre",$B955))+ISNUMBER(SEARCH("battery",$B955))+ISNUMBER(SEARCH("oil",$B955))+ISNUMBER(SEARCH("filter",$B955))+ISNUMBER(SEARCH("spare",$B955))+ISNUMBER(SEARCH("insurance",$B955))+ISNUMBER(SEARCH("lto",$B955))+ISNUMBER(SEARCH("registration",$B955))+ISNUMBER(SEARCH("emission",$B955))+ISNUMBER(SEARCH("wash",$B955))+ISNUMBER(SEARCH("weigh",$B955))+ISNUMBER(SEARCH("tarp",$B955))&gt;0,"Vehicle",IF(ISNUMBER(SEARCH("rent",$B955))+ISNUMBER(SEARCH("upa",$B955))+ISNUMBER(SEARCH("salary",$B955))+ISNUMBER(SEARCH("sweldo",$B955))+ISNUMBER(SEARCH("wage",$B955))+ISNUMBER(SEARCH("electric",$B955))+ISNUMBER(SEARCH("kuryente",$B955))+ISNUMBER(SEARCH("water",$B955))+ISNUMBER(SEARCH("tubig",$B955))+ISNUMBER(SEARCH("internet",$B955))+ISNUMBER(SEARCH("pldt",$B955))+ISNUMBER(SEARCH("meralco",$B955))+ISNUMBER(SEARCH("supplies",$B955))+ISNUMBER(SEARCH("office",$B955))+ISNUMBER(SEARCH("professional",$B955))+ISNUMBER(SEARCH("accountant",$B955))+ISNUMBER(SEARCH("lawyer",$B955))+ISNUMBER(SEARCH("broker",$B955))+ISNUMBER(SEARCH("bank",$B955))+ISNUMBER(SEARCH("charge",$B955))+ISNUMBER(SEARCH("permit",$B955))+ISNUMBER(SEARCH("bir",$B955))+ISNUMBER(SEARCH("ltfrb",$B955))+ISNUMBER(SEARCH("misc",$B955))+ISNUMBER(SEARCH("fee",$B955))&gt;0,"Overhead","Overhead")))))))</f>
        <v/>
      </c>
      <c r="J955">
        <f>IF($A955="","",DATE(YEAR($A955),MONTH($A955),1))</f>
        <v/>
      </c>
      <c r="K955">
        <f>IF($B955="","",IF(COUNTIF(Setup!$A$99:$A$128,$B955)&gt;0,0,1))</f>
        <v/>
      </c>
      <c r="L955">
        <f>IF($B955="","",IF(ISNUMBER(SEARCH("advance",$B955)),"ADV",IF(OR(ISNUMBER(SEARCH("payout",$B955)),ISNUMBER(SEARCH("pay out",$B955)),ISNUMBER(SEARCH("release",$B955))),"PAY","")))</f>
        <v/>
      </c>
      <c r="M955">
        <f>IF($B955="","",IF(ISNUMBER(SEARCH("bulk",$B955)),0,IF(ISNUMBER(SEARCH("fuel",$B955))+ISNUMBER(SEARCH("diesel",$B955))+ISNUMBER(SEARCH("krudo",$B955))+ISNUMBER(SEARCH("gasolina",$B955))&gt;0,1,0)))</f>
        <v/>
      </c>
      <c r="N955">
        <f>IF($B955="","",IF(ISNUMBER(SEARCH("fuel",$B955))+ISNUMBER(SEARCH("diesel",$B955))+ISNUMBER(SEARCH("krudo",$B955))+ISNUMBER(SEARCH("gasolina",$B955))&gt;0,1,0))</f>
        <v/>
      </c>
    </row>
    <row r="956">
      <c r="A956" s="94" t="n"/>
      <c r="B956" s="96" t="n"/>
      <c r="C956" s="96" t="n"/>
      <c r="D956" s="95" t="n"/>
      <c r="E956" s="96" t="n"/>
      <c r="F956" s="99" t="n"/>
      <c r="G956" s="95" t="n"/>
      <c r="H956" s="95" t="n"/>
      <c r="I956" s="101">
        <f>IF($B956="","",IF(COUNTIF(Setup!$A$99:$A$128,$B956)&gt;0,IF(INDEX(Setup!$B$99:$B$128,MATCH($B956,Setup!$A$99:$A$128,0))="","Overhead",INDEX(Setup!$B$99:$B$128,MATCH($B956,Setup!$A$99:$A$128,0))),IF(ISNUMBER(SEARCH("advance",$B956))+ISNUMBER(SEARCH("payout",$B956))+ISNUMBER(SEARCH("pay out",$B956))+ISNUMBER(SEARCH("reimburs",$B956))&gt;0,"Transfer",IF(ISNUMBER(SEARCH("loan",$B956))+ISNUMBER(SEARCH("amort",$B956))+ISNUMBER(SEARCH("installment",$B956))+ISNUMBER(SEARCH("instalment",$B956))&gt;0,"Financing",IF(ISNUMBER(SEARCH("draw",$B956))+ISNUMBER(SEARCH("owner",$B956))+ISNUMBER(SEARCH("asset",$B956))+ISNUMBER(SEARCH("capital",$B956))&gt;0,"Other",IF(ISNUMBER(SEARCH("fuel",$B956))+ISNUMBER(SEARCH("diesel",$B956))+ISNUMBER(SEARCH("krudo",$B956))+ISNUMBER(SEARCH("gasolina",$B956))+ISNUMBER(SEARCH("toll",$B956))+ISNUMBER(SEARCH("parking",$B956))+ISNUMBER(SEARCH("repair",$B956))+ISNUMBER(SEARCH("maintenance",$B956))+ISNUMBER(SEARCH("tire",$B956))+ISNUMBER(SEARCH("tyre",$B956))+ISNUMBER(SEARCH("battery",$B956))+ISNUMBER(SEARCH("oil",$B956))+ISNUMBER(SEARCH("filter",$B956))+ISNUMBER(SEARCH("spare",$B956))+ISNUMBER(SEARCH("insurance",$B956))+ISNUMBER(SEARCH("lto",$B956))+ISNUMBER(SEARCH("registration",$B956))+ISNUMBER(SEARCH("emission",$B956))+ISNUMBER(SEARCH("wash",$B956))+ISNUMBER(SEARCH("weigh",$B956))+ISNUMBER(SEARCH("tarp",$B956))&gt;0,"Vehicle",IF(ISNUMBER(SEARCH("rent",$B956))+ISNUMBER(SEARCH("upa",$B956))+ISNUMBER(SEARCH("salary",$B956))+ISNUMBER(SEARCH("sweldo",$B956))+ISNUMBER(SEARCH("wage",$B956))+ISNUMBER(SEARCH("electric",$B956))+ISNUMBER(SEARCH("kuryente",$B956))+ISNUMBER(SEARCH("water",$B956))+ISNUMBER(SEARCH("tubig",$B956))+ISNUMBER(SEARCH("internet",$B956))+ISNUMBER(SEARCH("pldt",$B956))+ISNUMBER(SEARCH("meralco",$B956))+ISNUMBER(SEARCH("supplies",$B956))+ISNUMBER(SEARCH("office",$B956))+ISNUMBER(SEARCH("professional",$B956))+ISNUMBER(SEARCH("accountant",$B956))+ISNUMBER(SEARCH("lawyer",$B956))+ISNUMBER(SEARCH("broker",$B956))+ISNUMBER(SEARCH("bank",$B956))+ISNUMBER(SEARCH("charge",$B956))+ISNUMBER(SEARCH("permit",$B956))+ISNUMBER(SEARCH("bir",$B956))+ISNUMBER(SEARCH("ltfrb",$B956))+ISNUMBER(SEARCH("misc",$B956))+ISNUMBER(SEARCH("fee",$B956))&gt;0,"Overhead","Overhead")))))))</f>
        <v/>
      </c>
      <c r="J956">
        <f>IF($A956="","",DATE(YEAR($A956),MONTH($A956),1))</f>
        <v/>
      </c>
      <c r="K956">
        <f>IF($B956="","",IF(COUNTIF(Setup!$A$99:$A$128,$B956)&gt;0,0,1))</f>
        <v/>
      </c>
      <c r="L956">
        <f>IF($B956="","",IF(ISNUMBER(SEARCH("advance",$B956)),"ADV",IF(OR(ISNUMBER(SEARCH("payout",$B956)),ISNUMBER(SEARCH("pay out",$B956)),ISNUMBER(SEARCH("release",$B956))),"PAY","")))</f>
        <v/>
      </c>
      <c r="M956">
        <f>IF($B956="","",IF(ISNUMBER(SEARCH("bulk",$B956)),0,IF(ISNUMBER(SEARCH("fuel",$B956))+ISNUMBER(SEARCH("diesel",$B956))+ISNUMBER(SEARCH("krudo",$B956))+ISNUMBER(SEARCH("gasolina",$B956))&gt;0,1,0)))</f>
        <v/>
      </c>
      <c r="N956">
        <f>IF($B956="","",IF(ISNUMBER(SEARCH("fuel",$B956))+ISNUMBER(SEARCH("diesel",$B956))+ISNUMBER(SEARCH("krudo",$B956))+ISNUMBER(SEARCH("gasolina",$B956))&gt;0,1,0))</f>
        <v/>
      </c>
    </row>
    <row r="957">
      <c r="A957" s="86" t="n"/>
      <c r="B957" s="88" t="n"/>
      <c r="C957" s="88" t="n"/>
      <c r="D957" s="87" t="n"/>
      <c r="E957" s="88" t="n"/>
      <c r="F957" s="92" t="n"/>
      <c r="G957" s="87" t="n"/>
      <c r="H957" s="87" t="n"/>
      <c r="I957" s="101">
        <f>IF($B957="","",IF(COUNTIF(Setup!$A$99:$A$128,$B957)&gt;0,IF(INDEX(Setup!$B$99:$B$128,MATCH($B957,Setup!$A$99:$A$128,0))="","Overhead",INDEX(Setup!$B$99:$B$128,MATCH($B957,Setup!$A$99:$A$128,0))),IF(ISNUMBER(SEARCH("advance",$B957))+ISNUMBER(SEARCH("payout",$B957))+ISNUMBER(SEARCH("pay out",$B957))+ISNUMBER(SEARCH("reimburs",$B957))&gt;0,"Transfer",IF(ISNUMBER(SEARCH("loan",$B957))+ISNUMBER(SEARCH("amort",$B957))+ISNUMBER(SEARCH("installment",$B957))+ISNUMBER(SEARCH("instalment",$B957))&gt;0,"Financing",IF(ISNUMBER(SEARCH("draw",$B957))+ISNUMBER(SEARCH("owner",$B957))+ISNUMBER(SEARCH("asset",$B957))+ISNUMBER(SEARCH("capital",$B957))&gt;0,"Other",IF(ISNUMBER(SEARCH("fuel",$B957))+ISNUMBER(SEARCH("diesel",$B957))+ISNUMBER(SEARCH("krudo",$B957))+ISNUMBER(SEARCH("gasolina",$B957))+ISNUMBER(SEARCH("toll",$B957))+ISNUMBER(SEARCH("parking",$B957))+ISNUMBER(SEARCH("repair",$B957))+ISNUMBER(SEARCH("maintenance",$B957))+ISNUMBER(SEARCH("tire",$B957))+ISNUMBER(SEARCH("tyre",$B957))+ISNUMBER(SEARCH("battery",$B957))+ISNUMBER(SEARCH("oil",$B957))+ISNUMBER(SEARCH("filter",$B957))+ISNUMBER(SEARCH("spare",$B957))+ISNUMBER(SEARCH("insurance",$B957))+ISNUMBER(SEARCH("lto",$B957))+ISNUMBER(SEARCH("registration",$B957))+ISNUMBER(SEARCH("emission",$B957))+ISNUMBER(SEARCH("wash",$B957))+ISNUMBER(SEARCH("weigh",$B957))+ISNUMBER(SEARCH("tarp",$B957))&gt;0,"Vehicle",IF(ISNUMBER(SEARCH("rent",$B957))+ISNUMBER(SEARCH("upa",$B957))+ISNUMBER(SEARCH("salary",$B957))+ISNUMBER(SEARCH("sweldo",$B957))+ISNUMBER(SEARCH("wage",$B957))+ISNUMBER(SEARCH("electric",$B957))+ISNUMBER(SEARCH("kuryente",$B957))+ISNUMBER(SEARCH("water",$B957))+ISNUMBER(SEARCH("tubig",$B957))+ISNUMBER(SEARCH("internet",$B957))+ISNUMBER(SEARCH("pldt",$B957))+ISNUMBER(SEARCH("meralco",$B957))+ISNUMBER(SEARCH("supplies",$B957))+ISNUMBER(SEARCH("office",$B957))+ISNUMBER(SEARCH("professional",$B957))+ISNUMBER(SEARCH("accountant",$B957))+ISNUMBER(SEARCH("lawyer",$B957))+ISNUMBER(SEARCH("broker",$B957))+ISNUMBER(SEARCH("bank",$B957))+ISNUMBER(SEARCH("charge",$B957))+ISNUMBER(SEARCH("permit",$B957))+ISNUMBER(SEARCH("bir",$B957))+ISNUMBER(SEARCH("ltfrb",$B957))+ISNUMBER(SEARCH("misc",$B957))+ISNUMBER(SEARCH("fee",$B957))&gt;0,"Overhead","Overhead")))))))</f>
        <v/>
      </c>
      <c r="J957">
        <f>IF($A957="","",DATE(YEAR($A957),MONTH($A957),1))</f>
        <v/>
      </c>
      <c r="K957">
        <f>IF($B957="","",IF(COUNTIF(Setup!$A$99:$A$128,$B957)&gt;0,0,1))</f>
        <v/>
      </c>
      <c r="L957">
        <f>IF($B957="","",IF(ISNUMBER(SEARCH("advance",$B957)),"ADV",IF(OR(ISNUMBER(SEARCH("payout",$B957)),ISNUMBER(SEARCH("pay out",$B957)),ISNUMBER(SEARCH("release",$B957))),"PAY","")))</f>
        <v/>
      </c>
      <c r="M957">
        <f>IF($B957="","",IF(ISNUMBER(SEARCH("bulk",$B957)),0,IF(ISNUMBER(SEARCH("fuel",$B957))+ISNUMBER(SEARCH("diesel",$B957))+ISNUMBER(SEARCH("krudo",$B957))+ISNUMBER(SEARCH("gasolina",$B957))&gt;0,1,0)))</f>
        <v/>
      </c>
      <c r="N957">
        <f>IF($B957="","",IF(ISNUMBER(SEARCH("fuel",$B957))+ISNUMBER(SEARCH("diesel",$B957))+ISNUMBER(SEARCH("krudo",$B957))+ISNUMBER(SEARCH("gasolina",$B957))&gt;0,1,0))</f>
        <v/>
      </c>
    </row>
    <row r="958">
      <c r="A958" s="94" t="n"/>
      <c r="B958" s="96" t="n"/>
      <c r="C958" s="96" t="n"/>
      <c r="D958" s="95" t="n"/>
      <c r="E958" s="96" t="n"/>
      <c r="F958" s="99" t="n"/>
      <c r="G958" s="95" t="n"/>
      <c r="H958" s="95" t="n"/>
      <c r="I958" s="101">
        <f>IF($B958="","",IF(COUNTIF(Setup!$A$99:$A$128,$B958)&gt;0,IF(INDEX(Setup!$B$99:$B$128,MATCH($B958,Setup!$A$99:$A$128,0))="","Overhead",INDEX(Setup!$B$99:$B$128,MATCH($B958,Setup!$A$99:$A$128,0))),IF(ISNUMBER(SEARCH("advance",$B958))+ISNUMBER(SEARCH("payout",$B958))+ISNUMBER(SEARCH("pay out",$B958))+ISNUMBER(SEARCH("reimburs",$B958))&gt;0,"Transfer",IF(ISNUMBER(SEARCH("loan",$B958))+ISNUMBER(SEARCH("amort",$B958))+ISNUMBER(SEARCH("installment",$B958))+ISNUMBER(SEARCH("instalment",$B958))&gt;0,"Financing",IF(ISNUMBER(SEARCH("draw",$B958))+ISNUMBER(SEARCH("owner",$B958))+ISNUMBER(SEARCH("asset",$B958))+ISNUMBER(SEARCH("capital",$B958))&gt;0,"Other",IF(ISNUMBER(SEARCH("fuel",$B958))+ISNUMBER(SEARCH("diesel",$B958))+ISNUMBER(SEARCH("krudo",$B958))+ISNUMBER(SEARCH("gasolina",$B958))+ISNUMBER(SEARCH("toll",$B958))+ISNUMBER(SEARCH("parking",$B958))+ISNUMBER(SEARCH("repair",$B958))+ISNUMBER(SEARCH("maintenance",$B958))+ISNUMBER(SEARCH("tire",$B958))+ISNUMBER(SEARCH("tyre",$B958))+ISNUMBER(SEARCH("battery",$B958))+ISNUMBER(SEARCH("oil",$B958))+ISNUMBER(SEARCH("filter",$B958))+ISNUMBER(SEARCH("spare",$B958))+ISNUMBER(SEARCH("insurance",$B958))+ISNUMBER(SEARCH("lto",$B958))+ISNUMBER(SEARCH("registration",$B958))+ISNUMBER(SEARCH("emission",$B958))+ISNUMBER(SEARCH("wash",$B958))+ISNUMBER(SEARCH("weigh",$B958))+ISNUMBER(SEARCH("tarp",$B958))&gt;0,"Vehicle",IF(ISNUMBER(SEARCH("rent",$B958))+ISNUMBER(SEARCH("upa",$B958))+ISNUMBER(SEARCH("salary",$B958))+ISNUMBER(SEARCH("sweldo",$B958))+ISNUMBER(SEARCH("wage",$B958))+ISNUMBER(SEARCH("electric",$B958))+ISNUMBER(SEARCH("kuryente",$B958))+ISNUMBER(SEARCH("water",$B958))+ISNUMBER(SEARCH("tubig",$B958))+ISNUMBER(SEARCH("internet",$B958))+ISNUMBER(SEARCH("pldt",$B958))+ISNUMBER(SEARCH("meralco",$B958))+ISNUMBER(SEARCH("supplies",$B958))+ISNUMBER(SEARCH("office",$B958))+ISNUMBER(SEARCH("professional",$B958))+ISNUMBER(SEARCH("accountant",$B958))+ISNUMBER(SEARCH("lawyer",$B958))+ISNUMBER(SEARCH("broker",$B958))+ISNUMBER(SEARCH("bank",$B958))+ISNUMBER(SEARCH("charge",$B958))+ISNUMBER(SEARCH("permit",$B958))+ISNUMBER(SEARCH("bir",$B958))+ISNUMBER(SEARCH("ltfrb",$B958))+ISNUMBER(SEARCH("misc",$B958))+ISNUMBER(SEARCH("fee",$B958))&gt;0,"Overhead","Overhead")))))))</f>
        <v/>
      </c>
      <c r="J958">
        <f>IF($A958="","",DATE(YEAR($A958),MONTH($A958),1))</f>
        <v/>
      </c>
      <c r="K958">
        <f>IF($B958="","",IF(COUNTIF(Setup!$A$99:$A$128,$B958)&gt;0,0,1))</f>
        <v/>
      </c>
      <c r="L958">
        <f>IF($B958="","",IF(ISNUMBER(SEARCH("advance",$B958)),"ADV",IF(OR(ISNUMBER(SEARCH("payout",$B958)),ISNUMBER(SEARCH("pay out",$B958)),ISNUMBER(SEARCH("release",$B958))),"PAY","")))</f>
        <v/>
      </c>
      <c r="M958">
        <f>IF($B958="","",IF(ISNUMBER(SEARCH("bulk",$B958)),0,IF(ISNUMBER(SEARCH("fuel",$B958))+ISNUMBER(SEARCH("diesel",$B958))+ISNUMBER(SEARCH("krudo",$B958))+ISNUMBER(SEARCH("gasolina",$B958))&gt;0,1,0)))</f>
        <v/>
      </c>
      <c r="N958">
        <f>IF($B958="","",IF(ISNUMBER(SEARCH("fuel",$B958))+ISNUMBER(SEARCH("diesel",$B958))+ISNUMBER(SEARCH("krudo",$B958))+ISNUMBER(SEARCH("gasolina",$B958))&gt;0,1,0))</f>
        <v/>
      </c>
    </row>
    <row r="959">
      <c r="A959" s="86" t="n"/>
      <c r="B959" s="88" t="n"/>
      <c r="C959" s="88" t="n"/>
      <c r="D959" s="87" t="n"/>
      <c r="E959" s="88" t="n"/>
      <c r="F959" s="92" t="n"/>
      <c r="G959" s="87" t="n"/>
      <c r="H959" s="87" t="n"/>
      <c r="I959" s="101">
        <f>IF($B959="","",IF(COUNTIF(Setup!$A$99:$A$128,$B959)&gt;0,IF(INDEX(Setup!$B$99:$B$128,MATCH($B959,Setup!$A$99:$A$128,0))="","Overhead",INDEX(Setup!$B$99:$B$128,MATCH($B959,Setup!$A$99:$A$128,0))),IF(ISNUMBER(SEARCH("advance",$B959))+ISNUMBER(SEARCH("payout",$B959))+ISNUMBER(SEARCH("pay out",$B959))+ISNUMBER(SEARCH("reimburs",$B959))&gt;0,"Transfer",IF(ISNUMBER(SEARCH("loan",$B959))+ISNUMBER(SEARCH("amort",$B959))+ISNUMBER(SEARCH("installment",$B959))+ISNUMBER(SEARCH("instalment",$B959))&gt;0,"Financing",IF(ISNUMBER(SEARCH("draw",$B959))+ISNUMBER(SEARCH("owner",$B959))+ISNUMBER(SEARCH("asset",$B959))+ISNUMBER(SEARCH("capital",$B959))&gt;0,"Other",IF(ISNUMBER(SEARCH("fuel",$B959))+ISNUMBER(SEARCH("diesel",$B959))+ISNUMBER(SEARCH("krudo",$B959))+ISNUMBER(SEARCH("gasolina",$B959))+ISNUMBER(SEARCH("toll",$B959))+ISNUMBER(SEARCH("parking",$B959))+ISNUMBER(SEARCH("repair",$B959))+ISNUMBER(SEARCH("maintenance",$B959))+ISNUMBER(SEARCH("tire",$B959))+ISNUMBER(SEARCH("tyre",$B959))+ISNUMBER(SEARCH("battery",$B959))+ISNUMBER(SEARCH("oil",$B959))+ISNUMBER(SEARCH("filter",$B959))+ISNUMBER(SEARCH("spare",$B959))+ISNUMBER(SEARCH("insurance",$B959))+ISNUMBER(SEARCH("lto",$B959))+ISNUMBER(SEARCH("registration",$B959))+ISNUMBER(SEARCH("emission",$B959))+ISNUMBER(SEARCH("wash",$B959))+ISNUMBER(SEARCH("weigh",$B959))+ISNUMBER(SEARCH("tarp",$B959))&gt;0,"Vehicle",IF(ISNUMBER(SEARCH("rent",$B959))+ISNUMBER(SEARCH("upa",$B959))+ISNUMBER(SEARCH("salary",$B959))+ISNUMBER(SEARCH("sweldo",$B959))+ISNUMBER(SEARCH("wage",$B959))+ISNUMBER(SEARCH("electric",$B959))+ISNUMBER(SEARCH("kuryente",$B959))+ISNUMBER(SEARCH("water",$B959))+ISNUMBER(SEARCH("tubig",$B959))+ISNUMBER(SEARCH("internet",$B959))+ISNUMBER(SEARCH("pldt",$B959))+ISNUMBER(SEARCH("meralco",$B959))+ISNUMBER(SEARCH("supplies",$B959))+ISNUMBER(SEARCH("office",$B959))+ISNUMBER(SEARCH("professional",$B959))+ISNUMBER(SEARCH("accountant",$B959))+ISNUMBER(SEARCH("lawyer",$B959))+ISNUMBER(SEARCH("broker",$B959))+ISNUMBER(SEARCH("bank",$B959))+ISNUMBER(SEARCH("charge",$B959))+ISNUMBER(SEARCH("permit",$B959))+ISNUMBER(SEARCH("bir",$B959))+ISNUMBER(SEARCH("ltfrb",$B959))+ISNUMBER(SEARCH("misc",$B959))+ISNUMBER(SEARCH("fee",$B959))&gt;0,"Overhead","Overhead")))))))</f>
        <v/>
      </c>
      <c r="J959">
        <f>IF($A959="","",DATE(YEAR($A959),MONTH($A959),1))</f>
        <v/>
      </c>
      <c r="K959">
        <f>IF($B959="","",IF(COUNTIF(Setup!$A$99:$A$128,$B959)&gt;0,0,1))</f>
        <v/>
      </c>
      <c r="L959">
        <f>IF($B959="","",IF(ISNUMBER(SEARCH("advance",$B959)),"ADV",IF(OR(ISNUMBER(SEARCH("payout",$B959)),ISNUMBER(SEARCH("pay out",$B959)),ISNUMBER(SEARCH("release",$B959))),"PAY","")))</f>
        <v/>
      </c>
      <c r="M959">
        <f>IF($B959="","",IF(ISNUMBER(SEARCH("bulk",$B959)),0,IF(ISNUMBER(SEARCH("fuel",$B959))+ISNUMBER(SEARCH("diesel",$B959))+ISNUMBER(SEARCH("krudo",$B959))+ISNUMBER(SEARCH("gasolina",$B959))&gt;0,1,0)))</f>
        <v/>
      </c>
      <c r="N959">
        <f>IF($B959="","",IF(ISNUMBER(SEARCH("fuel",$B959))+ISNUMBER(SEARCH("diesel",$B959))+ISNUMBER(SEARCH("krudo",$B959))+ISNUMBER(SEARCH("gasolina",$B959))&gt;0,1,0))</f>
        <v/>
      </c>
    </row>
    <row r="960">
      <c r="A960" s="94" t="n"/>
      <c r="B960" s="96" t="n"/>
      <c r="C960" s="96" t="n"/>
      <c r="D960" s="95" t="n"/>
      <c r="E960" s="96" t="n"/>
      <c r="F960" s="99" t="n"/>
      <c r="G960" s="95" t="n"/>
      <c r="H960" s="95" t="n"/>
      <c r="I960" s="101">
        <f>IF($B960="","",IF(COUNTIF(Setup!$A$99:$A$128,$B960)&gt;0,IF(INDEX(Setup!$B$99:$B$128,MATCH($B960,Setup!$A$99:$A$128,0))="","Overhead",INDEX(Setup!$B$99:$B$128,MATCH($B960,Setup!$A$99:$A$128,0))),IF(ISNUMBER(SEARCH("advance",$B960))+ISNUMBER(SEARCH("payout",$B960))+ISNUMBER(SEARCH("pay out",$B960))+ISNUMBER(SEARCH("reimburs",$B960))&gt;0,"Transfer",IF(ISNUMBER(SEARCH("loan",$B960))+ISNUMBER(SEARCH("amort",$B960))+ISNUMBER(SEARCH("installment",$B960))+ISNUMBER(SEARCH("instalment",$B960))&gt;0,"Financing",IF(ISNUMBER(SEARCH("draw",$B960))+ISNUMBER(SEARCH("owner",$B960))+ISNUMBER(SEARCH("asset",$B960))+ISNUMBER(SEARCH("capital",$B960))&gt;0,"Other",IF(ISNUMBER(SEARCH("fuel",$B960))+ISNUMBER(SEARCH("diesel",$B960))+ISNUMBER(SEARCH("krudo",$B960))+ISNUMBER(SEARCH("gasolina",$B960))+ISNUMBER(SEARCH("toll",$B960))+ISNUMBER(SEARCH("parking",$B960))+ISNUMBER(SEARCH("repair",$B960))+ISNUMBER(SEARCH("maintenance",$B960))+ISNUMBER(SEARCH("tire",$B960))+ISNUMBER(SEARCH("tyre",$B960))+ISNUMBER(SEARCH("battery",$B960))+ISNUMBER(SEARCH("oil",$B960))+ISNUMBER(SEARCH("filter",$B960))+ISNUMBER(SEARCH("spare",$B960))+ISNUMBER(SEARCH("insurance",$B960))+ISNUMBER(SEARCH("lto",$B960))+ISNUMBER(SEARCH("registration",$B960))+ISNUMBER(SEARCH("emission",$B960))+ISNUMBER(SEARCH("wash",$B960))+ISNUMBER(SEARCH("weigh",$B960))+ISNUMBER(SEARCH("tarp",$B960))&gt;0,"Vehicle",IF(ISNUMBER(SEARCH("rent",$B960))+ISNUMBER(SEARCH("upa",$B960))+ISNUMBER(SEARCH("salary",$B960))+ISNUMBER(SEARCH("sweldo",$B960))+ISNUMBER(SEARCH("wage",$B960))+ISNUMBER(SEARCH("electric",$B960))+ISNUMBER(SEARCH("kuryente",$B960))+ISNUMBER(SEARCH("water",$B960))+ISNUMBER(SEARCH("tubig",$B960))+ISNUMBER(SEARCH("internet",$B960))+ISNUMBER(SEARCH("pldt",$B960))+ISNUMBER(SEARCH("meralco",$B960))+ISNUMBER(SEARCH("supplies",$B960))+ISNUMBER(SEARCH("office",$B960))+ISNUMBER(SEARCH("professional",$B960))+ISNUMBER(SEARCH("accountant",$B960))+ISNUMBER(SEARCH("lawyer",$B960))+ISNUMBER(SEARCH("broker",$B960))+ISNUMBER(SEARCH("bank",$B960))+ISNUMBER(SEARCH("charge",$B960))+ISNUMBER(SEARCH("permit",$B960))+ISNUMBER(SEARCH("bir",$B960))+ISNUMBER(SEARCH("ltfrb",$B960))+ISNUMBER(SEARCH("misc",$B960))+ISNUMBER(SEARCH("fee",$B960))&gt;0,"Overhead","Overhead")))))))</f>
        <v/>
      </c>
      <c r="J960">
        <f>IF($A960="","",DATE(YEAR($A960),MONTH($A960),1))</f>
        <v/>
      </c>
      <c r="K960">
        <f>IF($B960="","",IF(COUNTIF(Setup!$A$99:$A$128,$B960)&gt;0,0,1))</f>
        <v/>
      </c>
      <c r="L960">
        <f>IF($B960="","",IF(ISNUMBER(SEARCH("advance",$B960)),"ADV",IF(OR(ISNUMBER(SEARCH("payout",$B960)),ISNUMBER(SEARCH("pay out",$B960)),ISNUMBER(SEARCH("release",$B960))),"PAY","")))</f>
        <v/>
      </c>
      <c r="M960">
        <f>IF($B960="","",IF(ISNUMBER(SEARCH("bulk",$B960)),0,IF(ISNUMBER(SEARCH("fuel",$B960))+ISNUMBER(SEARCH("diesel",$B960))+ISNUMBER(SEARCH("krudo",$B960))+ISNUMBER(SEARCH("gasolina",$B960))&gt;0,1,0)))</f>
        <v/>
      </c>
      <c r="N960">
        <f>IF($B960="","",IF(ISNUMBER(SEARCH("fuel",$B960))+ISNUMBER(SEARCH("diesel",$B960))+ISNUMBER(SEARCH("krudo",$B960))+ISNUMBER(SEARCH("gasolina",$B960))&gt;0,1,0))</f>
        <v/>
      </c>
    </row>
    <row r="961">
      <c r="A961" s="86" t="n"/>
      <c r="B961" s="88" t="n"/>
      <c r="C961" s="88" t="n"/>
      <c r="D961" s="87" t="n"/>
      <c r="E961" s="88" t="n"/>
      <c r="F961" s="92" t="n"/>
      <c r="G961" s="87" t="n"/>
      <c r="H961" s="87" t="n"/>
      <c r="I961" s="101">
        <f>IF($B961="","",IF(COUNTIF(Setup!$A$99:$A$128,$B961)&gt;0,IF(INDEX(Setup!$B$99:$B$128,MATCH($B961,Setup!$A$99:$A$128,0))="","Overhead",INDEX(Setup!$B$99:$B$128,MATCH($B961,Setup!$A$99:$A$128,0))),IF(ISNUMBER(SEARCH("advance",$B961))+ISNUMBER(SEARCH("payout",$B961))+ISNUMBER(SEARCH("pay out",$B961))+ISNUMBER(SEARCH("reimburs",$B961))&gt;0,"Transfer",IF(ISNUMBER(SEARCH("loan",$B961))+ISNUMBER(SEARCH("amort",$B961))+ISNUMBER(SEARCH("installment",$B961))+ISNUMBER(SEARCH("instalment",$B961))&gt;0,"Financing",IF(ISNUMBER(SEARCH("draw",$B961))+ISNUMBER(SEARCH("owner",$B961))+ISNUMBER(SEARCH("asset",$B961))+ISNUMBER(SEARCH("capital",$B961))&gt;0,"Other",IF(ISNUMBER(SEARCH("fuel",$B961))+ISNUMBER(SEARCH("diesel",$B961))+ISNUMBER(SEARCH("krudo",$B961))+ISNUMBER(SEARCH("gasolina",$B961))+ISNUMBER(SEARCH("toll",$B961))+ISNUMBER(SEARCH("parking",$B961))+ISNUMBER(SEARCH("repair",$B961))+ISNUMBER(SEARCH("maintenance",$B961))+ISNUMBER(SEARCH("tire",$B961))+ISNUMBER(SEARCH("tyre",$B961))+ISNUMBER(SEARCH("battery",$B961))+ISNUMBER(SEARCH("oil",$B961))+ISNUMBER(SEARCH("filter",$B961))+ISNUMBER(SEARCH("spare",$B961))+ISNUMBER(SEARCH("insurance",$B961))+ISNUMBER(SEARCH("lto",$B961))+ISNUMBER(SEARCH("registration",$B961))+ISNUMBER(SEARCH("emission",$B961))+ISNUMBER(SEARCH("wash",$B961))+ISNUMBER(SEARCH("weigh",$B961))+ISNUMBER(SEARCH("tarp",$B961))&gt;0,"Vehicle",IF(ISNUMBER(SEARCH("rent",$B961))+ISNUMBER(SEARCH("upa",$B961))+ISNUMBER(SEARCH("salary",$B961))+ISNUMBER(SEARCH("sweldo",$B961))+ISNUMBER(SEARCH("wage",$B961))+ISNUMBER(SEARCH("electric",$B961))+ISNUMBER(SEARCH("kuryente",$B961))+ISNUMBER(SEARCH("water",$B961))+ISNUMBER(SEARCH("tubig",$B961))+ISNUMBER(SEARCH("internet",$B961))+ISNUMBER(SEARCH("pldt",$B961))+ISNUMBER(SEARCH("meralco",$B961))+ISNUMBER(SEARCH("supplies",$B961))+ISNUMBER(SEARCH("office",$B961))+ISNUMBER(SEARCH("professional",$B961))+ISNUMBER(SEARCH("accountant",$B961))+ISNUMBER(SEARCH("lawyer",$B961))+ISNUMBER(SEARCH("broker",$B961))+ISNUMBER(SEARCH("bank",$B961))+ISNUMBER(SEARCH("charge",$B961))+ISNUMBER(SEARCH("permit",$B961))+ISNUMBER(SEARCH("bir",$B961))+ISNUMBER(SEARCH("ltfrb",$B961))+ISNUMBER(SEARCH("misc",$B961))+ISNUMBER(SEARCH("fee",$B961))&gt;0,"Overhead","Overhead")))))))</f>
        <v/>
      </c>
      <c r="J961">
        <f>IF($A961="","",DATE(YEAR($A961),MONTH($A961),1))</f>
        <v/>
      </c>
      <c r="K961">
        <f>IF($B961="","",IF(COUNTIF(Setup!$A$99:$A$128,$B961)&gt;0,0,1))</f>
        <v/>
      </c>
      <c r="L961">
        <f>IF($B961="","",IF(ISNUMBER(SEARCH("advance",$B961)),"ADV",IF(OR(ISNUMBER(SEARCH("payout",$B961)),ISNUMBER(SEARCH("pay out",$B961)),ISNUMBER(SEARCH("release",$B961))),"PAY","")))</f>
        <v/>
      </c>
      <c r="M961">
        <f>IF($B961="","",IF(ISNUMBER(SEARCH("bulk",$B961)),0,IF(ISNUMBER(SEARCH("fuel",$B961))+ISNUMBER(SEARCH("diesel",$B961))+ISNUMBER(SEARCH("krudo",$B961))+ISNUMBER(SEARCH("gasolina",$B961))&gt;0,1,0)))</f>
        <v/>
      </c>
      <c r="N961">
        <f>IF($B961="","",IF(ISNUMBER(SEARCH("fuel",$B961))+ISNUMBER(SEARCH("diesel",$B961))+ISNUMBER(SEARCH("krudo",$B961))+ISNUMBER(SEARCH("gasolina",$B961))&gt;0,1,0))</f>
        <v/>
      </c>
    </row>
    <row r="962">
      <c r="A962" s="94" t="n"/>
      <c r="B962" s="96" t="n"/>
      <c r="C962" s="96" t="n"/>
      <c r="D962" s="95" t="n"/>
      <c r="E962" s="96" t="n"/>
      <c r="F962" s="99" t="n"/>
      <c r="G962" s="95" t="n"/>
      <c r="H962" s="95" t="n"/>
      <c r="I962" s="101">
        <f>IF($B962="","",IF(COUNTIF(Setup!$A$99:$A$128,$B962)&gt;0,IF(INDEX(Setup!$B$99:$B$128,MATCH($B962,Setup!$A$99:$A$128,0))="","Overhead",INDEX(Setup!$B$99:$B$128,MATCH($B962,Setup!$A$99:$A$128,0))),IF(ISNUMBER(SEARCH("advance",$B962))+ISNUMBER(SEARCH("payout",$B962))+ISNUMBER(SEARCH("pay out",$B962))+ISNUMBER(SEARCH("reimburs",$B962))&gt;0,"Transfer",IF(ISNUMBER(SEARCH("loan",$B962))+ISNUMBER(SEARCH("amort",$B962))+ISNUMBER(SEARCH("installment",$B962))+ISNUMBER(SEARCH("instalment",$B962))&gt;0,"Financing",IF(ISNUMBER(SEARCH("draw",$B962))+ISNUMBER(SEARCH("owner",$B962))+ISNUMBER(SEARCH("asset",$B962))+ISNUMBER(SEARCH("capital",$B962))&gt;0,"Other",IF(ISNUMBER(SEARCH("fuel",$B962))+ISNUMBER(SEARCH("diesel",$B962))+ISNUMBER(SEARCH("krudo",$B962))+ISNUMBER(SEARCH("gasolina",$B962))+ISNUMBER(SEARCH("toll",$B962))+ISNUMBER(SEARCH("parking",$B962))+ISNUMBER(SEARCH("repair",$B962))+ISNUMBER(SEARCH("maintenance",$B962))+ISNUMBER(SEARCH("tire",$B962))+ISNUMBER(SEARCH("tyre",$B962))+ISNUMBER(SEARCH("battery",$B962))+ISNUMBER(SEARCH("oil",$B962))+ISNUMBER(SEARCH("filter",$B962))+ISNUMBER(SEARCH("spare",$B962))+ISNUMBER(SEARCH("insurance",$B962))+ISNUMBER(SEARCH("lto",$B962))+ISNUMBER(SEARCH("registration",$B962))+ISNUMBER(SEARCH("emission",$B962))+ISNUMBER(SEARCH("wash",$B962))+ISNUMBER(SEARCH("weigh",$B962))+ISNUMBER(SEARCH("tarp",$B962))&gt;0,"Vehicle",IF(ISNUMBER(SEARCH("rent",$B962))+ISNUMBER(SEARCH("upa",$B962))+ISNUMBER(SEARCH("salary",$B962))+ISNUMBER(SEARCH("sweldo",$B962))+ISNUMBER(SEARCH("wage",$B962))+ISNUMBER(SEARCH("electric",$B962))+ISNUMBER(SEARCH("kuryente",$B962))+ISNUMBER(SEARCH("water",$B962))+ISNUMBER(SEARCH("tubig",$B962))+ISNUMBER(SEARCH("internet",$B962))+ISNUMBER(SEARCH("pldt",$B962))+ISNUMBER(SEARCH("meralco",$B962))+ISNUMBER(SEARCH("supplies",$B962))+ISNUMBER(SEARCH("office",$B962))+ISNUMBER(SEARCH("professional",$B962))+ISNUMBER(SEARCH("accountant",$B962))+ISNUMBER(SEARCH("lawyer",$B962))+ISNUMBER(SEARCH("broker",$B962))+ISNUMBER(SEARCH("bank",$B962))+ISNUMBER(SEARCH("charge",$B962))+ISNUMBER(SEARCH("permit",$B962))+ISNUMBER(SEARCH("bir",$B962))+ISNUMBER(SEARCH("ltfrb",$B962))+ISNUMBER(SEARCH("misc",$B962))+ISNUMBER(SEARCH("fee",$B962))&gt;0,"Overhead","Overhead")))))))</f>
        <v/>
      </c>
      <c r="J962">
        <f>IF($A962="","",DATE(YEAR($A962),MONTH($A962),1))</f>
        <v/>
      </c>
      <c r="K962">
        <f>IF($B962="","",IF(COUNTIF(Setup!$A$99:$A$128,$B962)&gt;0,0,1))</f>
        <v/>
      </c>
      <c r="L962">
        <f>IF($B962="","",IF(ISNUMBER(SEARCH("advance",$B962)),"ADV",IF(OR(ISNUMBER(SEARCH("payout",$B962)),ISNUMBER(SEARCH("pay out",$B962)),ISNUMBER(SEARCH("release",$B962))),"PAY","")))</f>
        <v/>
      </c>
      <c r="M962">
        <f>IF($B962="","",IF(ISNUMBER(SEARCH("bulk",$B962)),0,IF(ISNUMBER(SEARCH("fuel",$B962))+ISNUMBER(SEARCH("diesel",$B962))+ISNUMBER(SEARCH("krudo",$B962))+ISNUMBER(SEARCH("gasolina",$B962))&gt;0,1,0)))</f>
        <v/>
      </c>
      <c r="N962">
        <f>IF($B962="","",IF(ISNUMBER(SEARCH("fuel",$B962))+ISNUMBER(SEARCH("diesel",$B962))+ISNUMBER(SEARCH("krudo",$B962))+ISNUMBER(SEARCH("gasolina",$B962))&gt;0,1,0))</f>
        <v/>
      </c>
    </row>
    <row r="963">
      <c r="A963" s="86" t="n"/>
      <c r="B963" s="88" t="n"/>
      <c r="C963" s="88" t="n"/>
      <c r="D963" s="87" t="n"/>
      <c r="E963" s="88" t="n"/>
      <c r="F963" s="92" t="n"/>
      <c r="G963" s="87" t="n"/>
      <c r="H963" s="87" t="n"/>
      <c r="I963" s="101">
        <f>IF($B963="","",IF(COUNTIF(Setup!$A$99:$A$128,$B963)&gt;0,IF(INDEX(Setup!$B$99:$B$128,MATCH($B963,Setup!$A$99:$A$128,0))="","Overhead",INDEX(Setup!$B$99:$B$128,MATCH($B963,Setup!$A$99:$A$128,0))),IF(ISNUMBER(SEARCH("advance",$B963))+ISNUMBER(SEARCH("payout",$B963))+ISNUMBER(SEARCH("pay out",$B963))+ISNUMBER(SEARCH("reimburs",$B963))&gt;0,"Transfer",IF(ISNUMBER(SEARCH("loan",$B963))+ISNUMBER(SEARCH("amort",$B963))+ISNUMBER(SEARCH("installment",$B963))+ISNUMBER(SEARCH("instalment",$B963))&gt;0,"Financing",IF(ISNUMBER(SEARCH("draw",$B963))+ISNUMBER(SEARCH("owner",$B963))+ISNUMBER(SEARCH("asset",$B963))+ISNUMBER(SEARCH("capital",$B963))&gt;0,"Other",IF(ISNUMBER(SEARCH("fuel",$B963))+ISNUMBER(SEARCH("diesel",$B963))+ISNUMBER(SEARCH("krudo",$B963))+ISNUMBER(SEARCH("gasolina",$B963))+ISNUMBER(SEARCH("toll",$B963))+ISNUMBER(SEARCH("parking",$B963))+ISNUMBER(SEARCH("repair",$B963))+ISNUMBER(SEARCH("maintenance",$B963))+ISNUMBER(SEARCH("tire",$B963))+ISNUMBER(SEARCH("tyre",$B963))+ISNUMBER(SEARCH("battery",$B963))+ISNUMBER(SEARCH("oil",$B963))+ISNUMBER(SEARCH("filter",$B963))+ISNUMBER(SEARCH("spare",$B963))+ISNUMBER(SEARCH("insurance",$B963))+ISNUMBER(SEARCH("lto",$B963))+ISNUMBER(SEARCH("registration",$B963))+ISNUMBER(SEARCH("emission",$B963))+ISNUMBER(SEARCH("wash",$B963))+ISNUMBER(SEARCH("weigh",$B963))+ISNUMBER(SEARCH("tarp",$B963))&gt;0,"Vehicle",IF(ISNUMBER(SEARCH("rent",$B963))+ISNUMBER(SEARCH("upa",$B963))+ISNUMBER(SEARCH("salary",$B963))+ISNUMBER(SEARCH("sweldo",$B963))+ISNUMBER(SEARCH("wage",$B963))+ISNUMBER(SEARCH("electric",$B963))+ISNUMBER(SEARCH("kuryente",$B963))+ISNUMBER(SEARCH("water",$B963))+ISNUMBER(SEARCH("tubig",$B963))+ISNUMBER(SEARCH("internet",$B963))+ISNUMBER(SEARCH("pldt",$B963))+ISNUMBER(SEARCH("meralco",$B963))+ISNUMBER(SEARCH("supplies",$B963))+ISNUMBER(SEARCH("office",$B963))+ISNUMBER(SEARCH("professional",$B963))+ISNUMBER(SEARCH("accountant",$B963))+ISNUMBER(SEARCH("lawyer",$B963))+ISNUMBER(SEARCH("broker",$B963))+ISNUMBER(SEARCH("bank",$B963))+ISNUMBER(SEARCH("charge",$B963))+ISNUMBER(SEARCH("permit",$B963))+ISNUMBER(SEARCH("bir",$B963))+ISNUMBER(SEARCH("ltfrb",$B963))+ISNUMBER(SEARCH("misc",$B963))+ISNUMBER(SEARCH("fee",$B963))&gt;0,"Overhead","Overhead")))))))</f>
        <v/>
      </c>
      <c r="J963">
        <f>IF($A963="","",DATE(YEAR($A963),MONTH($A963),1))</f>
        <v/>
      </c>
      <c r="K963">
        <f>IF($B963="","",IF(COUNTIF(Setup!$A$99:$A$128,$B963)&gt;0,0,1))</f>
        <v/>
      </c>
      <c r="L963">
        <f>IF($B963="","",IF(ISNUMBER(SEARCH("advance",$B963)),"ADV",IF(OR(ISNUMBER(SEARCH("payout",$B963)),ISNUMBER(SEARCH("pay out",$B963)),ISNUMBER(SEARCH("release",$B963))),"PAY","")))</f>
        <v/>
      </c>
      <c r="M963">
        <f>IF($B963="","",IF(ISNUMBER(SEARCH("bulk",$B963)),0,IF(ISNUMBER(SEARCH("fuel",$B963))+ISNUMBER(SEARCH("diesel",$B963))+ISNUMBER(SEARCH("krudo",$B963))+ISNUMBER(SEARCH("gasolina",$B963))&gt;0,1,0)))</f>
        <v/>
      </c>
      <c r="N963">
        <f>IF($B963="","",IF(ISNUMBER(SEARCH("fuel",$B963))+ISNUMBER(SEARCH("diesel",$B963))+ISNUMBER(SEARCH("krudo",$B963))+ISNUMBER(SEARCH("gasolina",$B963))&gt;0,1,0))</f>
        <v/>
      </c>
    </row>
    <row r="964">
      <c r="A964" s="94" t="n"/>
      <c r="B964" s="96" t="n"/>
      <c r="C964" s="96" t="n"/>
      <c r="D964" s="95" t="n"/>
      <c r="E964" s="96" t="n"/>
      <c r="F964" s="99" t="n"/>
      <c r="G964" s="95" t="n"/>
      <c r="H964" s="95" t="n"/>
      <c r="I964" s="101">
        <f>IF($B964="","",IF(COUNTIF(Setup!$A$99:$A$128,$B964)&gt;0,IF(INDEX(Setup!$B$99:$B$128,MATCH($B964,Setup!$A$99:$A$128,0))="","Overhead",INDEX(Setup!$B$99:$B$128,MATCH($B964,Setup!$A$99:$A$128,0))),IF(ISNUMBER(SEARCH("advance",$B964))+ISNUMBER(SEARCH("payout",$B964))+ISNUMBER(SEARCH("pay out",$B964))+ISNUMBER(SEARCH("reimburs",$B964))&gt;0,"Transfer",IF(ISNUMBER(SEARCH("loan",$B964))+ISNUMBER(SEARCH("amort",$B964))+ISNUMBER(SEARCH("installment",$B964))+ISNUMBER(SEARCH("instalment",$B964))&gt;0,"Financing",IF(ISNUMBER(SEARCH("draw",$B964))+ISNUMBER(SEARCH("owner",$B964))+ISNUMBER(SEARCH("asset",$B964))+ISNUMBER(SEARCH("capital",$B964))&gt;0,"Other",IF(ISNUMBER(SEARCH("fuel",$B964))+ISNUMBER(SEARCH("diesel",$B964))+ISNUMBER(SEARCH("krudo",$B964))+ISNUMBER(SEARCH("gasolina",$B964))+ISNUMBER(SEARCH("toll",$B964))+ISNUMBER(SEARCH("parking",$B964))+ISNUMBER(SEARCH("repair",$B964))+ISNUMBER(SEARCH("maintenance",$B964))+ISNUMBER(SEARCH("tire",$B964))+ISNUMBER(SEARCH("tyre",$B964))+ISNUMBER(SEARCH("battery",$B964))+ISNUMBER(SEARCH("oil",$B964))+ISNUMBER(SEARCH("filter",$B964))+ISNUMBER(SEARCH("spare",$B964))+ISNUMBER(SEARCH("insurance",$B964))+ISNUMBER(SEARCH("lto",$B964))+ISNUMBER(SEARCH("registration",$B964))+ISNUMBER(SEARCH("emission",$B964))+ISNUMBER(SEARCH("wash",$B964))+ISNUMBER(SEARCH("weigh",$B964))+ISNUMBER(SEARCH("tarp",$B964))&gt;0,"Vehicle",IF(ISNUMBER(SEARCH("rent",$B964))+ISNUMBER(SEARCH("upa",$B964))+ISNUMBER(SEARCH("salary",$B964))+ISNUMBER(SEARCH("sweldo",$B964))+ISNUMBER(SEARCH("wage",$B964))+ISNUMBER(SEARCH("electric",$B964))+ISNUMBER(SEARCH("kuryente",$B964))+ISNUMBER(SEARCH("water",$B964))+ISNUMBER(SEARCH("tubig",$B964))+ISNUMBER(SEARCH("internet",$B964))+ISNUMBER(SEARCH("pldt",$B964))+ISNUMBER(SEARCH("meralco",$B964))+ISNUMBER(SEARCH("supplies",$B964))+ISNUMBER(SEARCH("office",$B964))+ISNUMBER(SEARCH("professional",$B964))+ISNUMBER(SEARCH("accountant",$B964))+ISNUMBER(SEARCH("lawyer",$B964))+ISNUMBER(SEARCH("broker",$B964))+ISNUMBER(SEARCH("bank",$B964))+ISNUMBER(SEARCH("charge",$B964))+ISNUMBER(SEARCH("permit",$B964))+ISNUMBER(SEARCH("bir",$B964))+ISNUMBER(SEARCH("ltfrb",$B964))+ISNUMBER(SEARCH("misc",$B964))+ISNUMBER(SEARCH("fee",$B964))&gt;0,"Overhead","Overhead")))))))</f>
        <v/>
      </c>
      <c r="J964">
        <f>IF($A964="","",DATE(YEAR($A964),MONTH($A964),1))</f>
        <v/>
      </c>
      <c r="K964">
        <f>IF($B964="","",IF(COUNTIF(Setup!$A$99:$A$128,$B964)&gt;0,0,1))</f>
        <v/>
      </c>
      <c r="L964">
        <f>IF($B964="","",IF(ISNUMBER(SEARCH("advance",$B964)),"ADV",IF(OR(ISNUMBER(SEARCH("payout",$B964)),ISNUMBER(SEARCH("pay out",$B964)),ISNUMBER(SEARCH("release",$B964))),"PAY","")))</f>
        <v/>
      </c>
      <c r="M964">
        <f>IF($B964="","",IF(ISNUMBER(SEARCH("bulk",$B964)),0,IF(ISNUMBER(SEARCH("fuel",$B964))+ISNUMBER(SEARCH("diesel",$B964))+ISNUMBER(SEARCH("krudo",$B964))+ISNUMBER(SEARCH("gasolina",$B964))&gt;0,1,0)))</f>
        <v/>
      </c>
      <c r="N964">
        <f>IF($B964="","",IF(ISNUMBER(SEARCH("fuel",$B964))+ISNUMBER(SEARCH("diesel",$B964))+ISNUMBER(SEARCH("krudo",$B964))+ISNUMBER(SEARCH("gasolina",$B964))&gt;0,1,0))</f>
        <v/>
      </c>
    </row>
    <row r="965">
      <c r="A965" s="86" t="n"/>
      <c r="B965" s="88" t="n"/>
      <c r="C965" s="88" t="n"/>
      <c r="D965" s="87" t="n"/>
      <c r="E965" s="88" t="n"/>
      <c r="F965" s="92" t="n"/>
      <c r="G965" s="87" t="n"/>
      <c r="H965" s="87" t="n"/>
      <c r="I965" s="101">
        <f>IF($B965="","",IF(COUNTIF(Setup!$A$99:$A$128,$B965)&gt;0,IF(INDEX(Setup!$B$99:$B$128,MATCH($B965,Setup!$A$99:$A$128,0))="","Overhead",INDEX(Setup!$B$99:$B$128,MATCH($B965,Setup!$A$99:$A$128,0))),IF(ISNUMBER(SEARCH("advance",$B965))+ISNUMBER(SEARCH("payout",$B965))+ISNUMBER(SEARCH("pay out",$B965))+ISNUMBER(SEARCH("reimburs",$B965))&gt;0,"Transfer",IF(ISNUMBER(SEARCH("loan",$B965))+ISNUMBER(SEARCH("amort",$B965))+ISNUMBER(SEARCH("installment",$B965))+ISNUMBER(SEARCH("instalment",$B965))&gt;0,"Financing",IF(ISNUMBER(SEARCH("draw",$B965))+ISNUMBER(SEARCH("owner",$B965))+ISNUMBER(SEARCH("asset",$B965))+ISNUMBER(SEARCH("capital",$B965))&gt;0,"Other",IF(ISNUMBER(SEARCH("fuel",$B965))+ISNUMBER(SEARCH("diesel",$B965))+ISNUMBER(SEARCH("krudo",$B965))+ISNUMBER(SEARCH("gasolina",$B965))+ISNUMBER(SEARCH("toll",$B965))+ISNUMBER(SEARCH("parking",$B965))+ISNUMBER(SEARCH("repair",$B965))+ISNUMBER(SEARCH("maintenance",$B965))+ISNUMBER(SEARCH("tire",$B965))+ISNUMBER(SEARCH("tyre",$B965))+ISNUMBER(SEARCH("battery",$B965))+ISNUMBER(SEARCH("oil",$B965))+ISNUMBER(SEARCH("filter",$B965))+ISNUMBER(SEARCH("spare",$B965))+ISNUMBER(SEARCH("insurance",$B965))+ISNUMBER(SEARCH("lto",$B965))+ISNUMBER(SEARCH("registration",$B965))+ISNUMBER(SEARCH("emission",$B965))+ISNUMBER(SEARCH("wash",$B965))+ISNUMBER(SEARCH("weigh",$B965))+ISNUMBER(SEARCH("tarp",$B965))&gt;0,"Vehicle",IF(ISNUMBER(SEARCH("rent",$B965))+ISNUMBER(SEARCH("upa",$B965))+ISNUMBER(SEARCH("salary",$B965))+ISNUMBER(SEARCH("sweldo",$B965))+ISNUMBER(SEARCH("wage",$B965))+ISNUMBER(SEARCH("electric",$B965))+ISNUMBER(SEARCH("kuryente",$B965))+ISNUMBER(SEARCH("water",$B965))+ISNUMBER(SEARCH("tubig",$B965))+ISNUMBER(SEARCH("internet",$B965))+ISNUMBER(SEARCH("pldt",$B965))+ISNUMBER(SEARCH("meralco",$B965))+ISNUMBER(SEARCH("supplies",$B965))+ISNUMBER(SEARCH("office",$B965))+ISNUMBER(SEARCH("professional",$B965))+ISNUMBER(SEARCH("accountant",$B965))+ISNUMBER(SEARCH("lawyer",$B965))+ISNUMBER(SEARCH("broker",$B965))+ISNUMBER(SEARCH("bank",$B965))+ISNUMBER(SEARCH("charge",$B965))+ISNUMBER(SEARCH("permit",$B965))+ISNUMBER(SEARCH("bir",$B965))+ISNUMBER(SEARCH("ltfrb",$B965))+ISNUMBER(SEARCH("misc",$B965))+ISNUMBER(SEARCH("fee",$B965))&gt;0,"Overhead","Overhead")))))))</f>
        <v/>
      </c>
      <c r="J965">
        <f>IF($A965="","",DATE(YEAR($A965),MONTH($A965),1))</f>
        <v/>
      </c>
      <c r="K965">
        <f>IF($B965="","",IF(COUNTIF(Setup!$A$99:$A$128,$B965)&gt;0,0,1))</f>
        <v/>
      </c>
      <c r="L965">
        <f>IF($B965="","",IF(ISNUMBER(SEARCH("advance",$B965)),"ADV",IF(OR(ISNUMBER(SEARCH("payout",$B965)),ISNUMBER(SEARCH("pay out",$B965)),ISNUMBER(SEARCH("release",$B965))),"PAY","")))</f>
        <v/>
      </c>
      <c r="M965">
        <f>IF($B965="","",IF(ISNUMBER(SEARCH("bulk",$B965)),0,IF(ISNUMBER(SEARCH("fuel",$B965))+ISNUMBER(SEARCH("diesel",$B965))+ISNUMBER(SEARCH("krudo",$B965))+ISNUMBER(SEARCH("gasolina",$B965))&gt;0,1,0)))</f>
        <v/>
      </c>
      <c r="N965">
        <f>IF($B965="","",IF(ISNUMBER(SEARCH("fuel",$B965))+ISNUMBER(SEARCH("diesel",$B965))+ISNUMBER(SEARCH("krudo",$B965))+ISNUMBER(SEARCH("gasolina",$B965))&gt;0,1,0))</f>
        <v/>
      </c>
    </row>
    <row r="966">
      <c r="A966" s="94" t="n"/>
      <c r="B966" s="96" t="n"/>
      <c r="C966" s="96" t="n"/>
      <c r="D966" s="95" t="n"/>
      <c r="E966" s="96" t="n"/>
      <c r="F966" s="99" t="n"/>
      <c r="G966" s="95" t="n"/>
      <c r="H966" s="95" t="n"/>
      <c r="I966" s="101">
        <f>IF($B966="","",IF(COUNTIF(Setup!$A$99:$A$128,$B966)&gt;0,IF(INDEX(Setup!$B$99:$B$128,MATCH($B966,Setup!$A$99:$A$128,0))="","Overhead",INDEX(Setup!$B$99:$B$128,MATCH($B966,Setup!$A$99:$A$128,0))),IF(ISNUMBER(SEARCH("advance",$B966))+ISNUMBER(SEARCH("payout",$B966))+ISNUMBER(SEARCH("pay out",$B966))+ISNUMBER(SEARCH("reimburs",$B966))&gt;0,"Transfer",IF(ISNUMBER(SEARCH("loan",$B966))+ISNUMBER(SEARCH("amort",$B966))+ISNUMBER(SEARCH("installment",$B966))+ISNUMBER(SEARCH("instalment",$B966))&gt;0,"Financing",IF(ISNUMBER(SEARCH("draw",$B966))+ISNUMBER(SEARCH("owner",$B966))+ISNUMBER(SEARCH("asset",$B966))+ISNUMBER(SEARCH("capital",$B966))&gt;0,"Other",IF(ISNUMBER(SEARCH("fuel",$B966))+ISNUMBER(SEARCH("diesel",$B966))+ISNUMBER(SEARCH("krudo",$B966))+ISNUMBER(SEARCH("gasolina",$B966))+ISNUMBER(SEARCH("toll",$B966))+ISNUMBER(SEARCH("parking",$B966))+ISNUMBER(SEARCH("repair",$B966))+ISNUMBER(SEARCH("maintenance",$B966))+ISNUMBER(SEARCH("tire",$B966))+ISNUMBER(SEARCH("tyre",$B966))+ISNUMBER(SEARCH("battery",$B966))+ISNUMBER(SEARCH("oil",$B966))+ISNUMBER(SEARCH("filter",$B966))+ISNUMBER(SEARCH("spare",$B966))+ISNUMBER(SEARCH("insurance",$B966))+ISNUMBER(SEARCH("lto",$B966))+ISNUMBER(SEARCH("registration",$B966))+ISNUMBER(SEARCH("emission",$B966))+ISNUMBER(SEARCH("wash",$B966))+ISNUMBER(SEARCH("weigh",$B966))+ISNUMBER(SEARCH("tarp",$B966))&gt;0,"Vehicle",IF(ISNUMBER(SEARCH("rent",$B966))+ISNUMBER(SEARCH("upa",$B966))+ISNUMBER(SEARCH("salary",$B966))+ISNUMBER(SEARCH("sweldo",$B966))+ISNUMBER(SEARCH("wage",$B966))+ISNUMBER(SEARCH("electric",$B966))+ISNUMBER(SEARCH("kuryente",$B966))+ISNUMBER(SEARCH("water",$B966))+ISNUMBER(SEARCH("tubig",$B966))+ISNUMBER(SEARCH("internet",$B966))+ISNUMBER(SEARCH("pldt",$B966))+ISNUMBER(SEARCH("meralco",$B966))+ISNUMBER(SEARCH("supplies",$B966))+ISNUMBER(SEARCH("office",$B966))+ISNUMBER(SEARCH("professional",$B966))+ISNUMBER(SEARCH("accountant",$B966))+ISNUMBER(SEARCH("lawyer",$B966))+ISNUMBER(SEARCH("broker",$B966))+ISNUMBER(SEARCH("bank",$B966))+ISNUMBER(SEARCH("charge",$B966))+ISNUMBER(SEARCH("permit",$B966))+ISNUMBER(SEARCH("bir",$B966))+ISNUMBER(SEARCH("ltfrb",$B966))+ISNUMBER(SEARCH("misc",$B966))+ISNUMBER(SEARCH("fee",$B966))&gt;0,"Overhead","Overhead")))))))</f>
        <v/>
      </c>
      <c r="J966">
        <f>IF($A966="","",DATE(YEAR($A966),MONTH($A966),1))</f>
        <v/>
      </c>
      <c r="K966">
        <f>IF($B966="","",IF(COUNTIF(Setup!$A$99:$A$128,$B966)&gt;0,0,1))</f>
        <v/>
      </c>
      <c r="L966">
        <f>IF($B966="","",IF(ISNUMBER(SEARCH("advance",$B966)),"ADV",IF(OR(ISNUMBER(SEARCH("payout",$B966)),ISNUMBER(SEARCH("pay out",$B966)),ISNUMBER(SEARCH("release",$B966))),"PAY","")))</f>
        <v/>
      </c>
      <c r="M966">
        <f>IF($B966="","",IF(ISNUMBER(SEARCH("bulk",$B966)),0,IF(ISNUMBER(SEARCH("fuel",$B966))+ISNUMBER(SEARCH("diesel",$B966))+ISNUMBER(SEARCH("krudo",$B966))+ISNUMBER(SEARCH("gasolina",$B966))&gt;0,1,0)))</f>
        <v/>
      </c>
      <c r="N966">
        <f>IF($B966="","",IF(ISNUMBER(SEARCH("fuel",$B966))+ISNUMBER(SEARCH("diesel",$B966))+ISNUMBER(SEARCH("krudo",$B966))+ISNUMBER(SEARCH("gasolina",$B966))&gt;0,1,0))</f>
        <v/>
      </c>
    </row>
    <row r="967">
      <c r="A967" s="86" t="n"/>
      <c r="B967" s="88" t="n"/>
      <c r="C967" s="88" t="n"/>
      <c r="D967" s="87" t="n"/>
      <c r="E967" s="88" t="n"/>
      <c r="F967" s="92" t="n"/>
      <c r="G967" s="87" t="n"/>
      <c r="H967" s="87" t="n"/>
      <c r="I967" s="101">
        <f>IF($B967="","",IF(COUNTIF(Setup!$A$99:$A$128,$B967)&gt;0,IF(INDEX(Setup!$B$99:$B$128,MATCH($B967,Setup!$A$99:$A$128,0))="","Overhead",INDEX(Setup!$B$99:$B$128,MATCH($B967,Setup!$A$99:$A$128,0))),IF(ISNUMBER(SEARCH("advance",$B967))+ISNUMBER(SEARCH("payout",$B967))+ISNUMBER(SEARCH("pay out",$B967))+ISNUMBER(SEARCH("reimburs",$B967))&gt;0,"Transfer",IF(ISNUMBER(SEARCH("loan",$B967))+ISNUMBER(SEARCH("amort",$B967))+ISNUMBER(SEARCH("installment",$B967))+ISNUMBER(SEARCH("instalment",$B967))&gt;0,"Financing",IF(ISNUMBER(SEARCH("draw",$B967))+ISNUMBER(SEARCH("owner",$B967))+ISNUMBER(SEARCH("asset",$B967))+ISNUMBER(SEARCH("capital",$B967))&gt;0,"Other",IF(ISNUMBER(SEARCH("fuel",$B967))+ISNUMBER(SEARCH("diesel",$B967))+ISNUMBER(SEARCH("krudo",$B967))+ISNUMBER(SEARCH("gasolina",$B967))+ISNUMBER(SEARCH("toll",$B967))+ISNUMBER(SEARCH("parking",$B967))+ISNUMBER(SEARCH("repair",$B967))+ISNUMBER(SEARCH("maintenance",$B967))+ISNUMBER(SEARCH("tire",$B967))+ISNUMBER(SEARCH("tyre",$B967))+ISNUMBER(SEARCH("battery",$B967))+ISNUMBER(SEARCH("oil",$B967))+ISNUMBER(SEARCH("filter",$B967))+ISNUMBER(SEARCH("spare",$B967))+ISNUMBER(SEARCH("insurance",$B967))+ISNUMBER(SEARCH("lto",$B967))+ISNUMBER(SEARCH("registration",$B967))+ISNUMBER(SEARCH("emission",$B967))+ISNUMBER(SEARCH("wash",$B967))+ISNUMBER(SEARCH("weigh",$B967))+ISNUMBER(SEARCH("tarp",$B967))&gt;0,"Vehicle",IF(ISNUMBER(SEARCH("rent",$B967))+ISNUMBER(SEARCH("upa",$B967))+ISNUMBER(SEARCH("salary",$B967))+ISNUMBER(SEARCH("sweldo",$B967))+ISNUMBER(SEARCH("wage",$B967))+ISNUMBER(SEARCH("electric",$B967))+ISNUMBER(SEARCH("kuryente",$B967))+ISNUMBER(SEARCH("water",$B967))+ISNUMBER(SEARCH("tubig",$B967))+ISNUMBER(SEARCH("internet",$B967))+ISNUMBER(SEARCH("pldt",$B967))+ISNUMBER(SEARCH("meralco",$B967))+ISNUMBER(SEARCH("supplies",$B967))+ISNUMBER(SEARCH("office",$B967))+ISNUMBER(SEARCH("professional",$B967))+ISNUMBER(SEARCH("accountant",$B967))+ISNUMBER(SEARCH("lawyer",$B967))+ISNUMBER(SEARCH("broker",$B967))+ISNUMBER(SEARCH("bank",$B967))+ISNUMBER(SEARCH("charge",$B967))+ISNUMBER(SEARCH("permit",$B967))+ISNUMBER(SEARCH("bir",$B967))+ISNUMBER(SEARCH("ltfrb",$B967))+ISNUMBER(SEARCH("misc",$B967))+ISNUMBER(SEARCH("fee",$B967))&gt;0,"Overhead","Overhead")))))))</f>
        <v/>
      </c>
      <c r="J967">
        <f>IF($A967="","",DATE(YEAR($A967),MONTH($A967),1))</f>
        <v/>
      </c>
      <c r="K967">
        <f>IF($B967="","",IF(COUNTIF(Setup!$A$99:$A$128,$B967)&gt;0,0,1))</f>
        <v/>
      </c>
      <c r="L967">
        <f>IF($B967="","",IF(ISNUMBER(SEARCH("advance",$B967)),"ADV",IF(OR(ISNUMBER(SEARCH("payout",$B967)),ISNUMBER(SEARCH("pay out",$B967)),ISNUMBER(SEARCH("release",$B967))),"PAY","")))</f>
        <v/>
      </c>
      <c r="M967">
        <f>IF($B967="","",IF(ISNUMBER(SEARCH("bulk",$B967)),0,IF(ISNUMBER(SEARCH("fuel",$B967))+ISNUMBER(SEARCH("diesel",$B967))+ISNUMBER(SEARCH("krudo",$B967))+ISNUMBER(SEARCH("gasolina",$B967))&gt;0,1,0)))</f>
        <v/>
      </c>
      <c r="N967">
        <f>IF($B967="","",IF(ISNUMBER(SEARCH("fuel",$B967))+ISNUMBER(SEARCH("diesel",$B967))+ISNUMBER(SEARCH("krudo",$B967))+ISNUMBER(SEARCH("gasolina",$B967))&gt;0,1,0))</f>
        <v/>
      </c>
    </row>
    <row r="968">
      <c r="A968" s="94" t="n"/>
      <c r="B968" s="96" t="n"/>
      <c r="C968" s="96" t="n"/>
      <c r="D968" s="95" t="n"/>
      <c r="E968" s="96" t="n"/>
      <c r="F968" s="99" t="n"/>
      <c r="G968" s="95" t="n"/>
      <c r="H968" s="95" t="n"/>
      <c r="I968" s="101">
        <f>IF($B968="","",IF(COUNTIF(Setup!$A$99:$A$128,$B968)&gt;0,IF(INDEX(Setup!$B$99:$B$128,MATCH($B968,Setup!$A$99:$A$128,0))="","Overhead",INDEX(Setup!$B$99:$B$128,MATCH($B968,Setup!$A$99:$A$128,0))),IF(ISNUMBER(SEARCH("advance",$B968))+ISNUMBER(SEARCH("payout",$B968))+ISNUMBER(SEARCH("pay out",$B968))+ISNUMBER(SEARCH("reimburs",$B968))&gt;0,"Transfer",IF(ISNUMBER(SEARCH("loan",$B968))+ISNUMBER(SEARCH("amort",$B968))+ISNUMBER(SEARCH("installment",$B968))+ISNUMBER(SEARCH("instalment",$B968))&gt;0,"Financing",IF(ISNUMBER(SEARCH("draw",$B968))+ISNUMBER(SEARCH("owner",$B968))+ISNUMBER(SEARCH("asset",$B968))+ISNUMBER(SEARCH("capital",$B968))&gt;0,"Other",IF(ISNUMBER(SEARCH("fuel",$B968))+ISNUMBER(SEARCH("diesel",$B968))+ISNUMBER(SEARCH("krudo",$B968))+ISNUMBER(SEARCH("gasolina",$B968))+ISNUMBER(SEARCH("toll",$B968))+ISNUMBER(SEARCH("parking",$B968))+ISNUMBER(SEARCH("repair",$B968))+ISNUMBER(SEARCH("maintenance",$B968))+ISNUMBER(SEARCH("tire",$B968))+ISNUMBER(SEARCH("tyre",$B968))+ISNUMBER(SEARCH("battery",$B968))+ISNUMBER(SEARCH("oil",$B968))+ISNUMBER(SEARCH("filter",$B968))+ISNUMBER(SEARCH("spare",$B968))+ISNUMBER(SEARCH("insurance",$B968))+ISNUMBER(SEARCH("lto",$B968))+ISNUMBER(SEARCH("registration",$B968))+ISNUMBER(SEARCH("emission",$B968))+ISNUMBER(SEARCH("wash",$B968))+ISNUMBER(SEARCH("weigh",$B968))+ISNUMBER(SEARCH("tarp",$B968))&gt;0,"Vehicle",IF(ISNUMBER(SEARCH("rent",$B968))+ISNUMBER(SEARCH("upa",$B968))+ISNUMBER(SEARCH("salary",$B968))+ISNUMBER(SEARCH("sweldo",$B968))+ISNUMBER(SEARCH("wage",$B968))+ISNUMBER(SEARCH("electric",$B968))+ISNUMBER(SEARCH("kuryente",$B968))+ISNUMBER(SEARCH("water",$B968))+ISNUMBER(SEARCH("tubig",$B968))+ISNUMBER(SEARCH("internet",$B968))+ISNUMBER(SEARCH("pldt",$B968))+ISNUMBER(SEARCH("meralco",$B968))+ISNUMBER(SEARCH("supplies",$B968))+ISNUMBER(SEARCH("office",$B968))+ISNUMBER(SEARCH("professional",$B968))+ISNUMBER(SEARCH("accountant",$B968))+ISNUMBER(SEARCH("lawyer",$B968))+ISNUMBER(SEARCH("broker",$B968))+ISNUMBER(SEARCH("bank",$B968))+ISNUMBER(SEARCH("charge",$B968))+ISNUMBER(SEARCH("permit",$B968))+ISNUMBER(SEARCH("bir",$B968))+ISNUMBER(SEARCH("ltfrb",$B968))+ISNUMBER(SEARCH("misc",$B968))+ISNUMBER(SEARCH("fee",$B968))&gt;0,"Overhead","Overhead")))))))</f>
        <v/>
      </c>
      <c r="J968">
        <f>IF($A968="","",DATE(YEAR($A968),MONTH($A968),1))</f>
        <v/>
      </c>
      <c r="K968">
        <f>IF($B968="","",IF(COUNTIF(Setup!$A$99:$A$128,$B968)&gt;0,0,1))</f>
        <v/>
      </c>
      <c r="L968">
        <f>IF($B968="","",IF(ISNUMBER(SEARCH("advance",$B968)),"ADV",IF(OR(ISNUMBER(SEARCH("payout",$B968)),ISNUMBER(SEARCH("pay out",$B968)),ISNUMBER(SEARCH("release",$B968))),"PAY","")))</f>
        <v/>
      </c>
      <c r="M968">
        <f>IF($B968="","",IF(ISNUMBER(SEARCH("bulk",$B968)),0,IF(ISNUMBER(SEARCH("fuel",$B968))+ISNUMBER(SEARCH("diesel",$B968))+ISNUMBER(SEARCH("krudo",$B968))+ISNUMBER(SEARCH("gasolina",$B968))&gt;0,1,0)))</f>
        <v/>
      </c>
      <c r="N968">
        <f>IF($B968="","",IF(ISNUMBER(SEARCH("fuel",$B968))+ISNUMBER(SEARCH("diesel",$B968))+ISNUMBER(SEARCH("krudo",$B968))+ISNUMBER(SEARCH("gasolina",$B968))&gt;0,1,0))</f>
        <v/>
      </c>
    </row>
    <row r="969">
      <c r="A969" s="86" t="n"/>
      <c r="B969" s="88" t="n"/>
      <c r="C969" s="88" t="n"/>
      <c r="D969" s="87" t="n"/>
      <c r="E969" s="88" t="n"/>
      <c r="F969" s="92" t="n"/>
      <c r="G969" s="87" t="n"/>
      <c r="H969" s="87" t="n"/>
      <c r="I969" s="101">
        <f>IF($B969="","",IF(COUNTIF(Setup!$A$99:$A$128,$B969)&gt;0,IF(INDEX(Setup!$B$99:$B$128,MATCH($B969,Setup!$A$99:$A$128,0))="","Overhead",INDEX(Setup!$B$99:$B$128,MATCH($B969,Setup!$A$99:$A$128,0))),IF(ISNUMBER(SEARCH("advance",$B969))+ISNUMBER(SEARCH("payout",$B969))+ISNUMBER(SEARCH("pay out",$B969))+ISNUMBER(SEARCH("reimburs",$B969))&gt;0,"Transfer",IF(ISNUMBER(SEARCH("loan",$B969))+ISNUMBER(SEARCH("amort",$B969))+ISNUMBER(SEARCH("installment",$B969))+ISNUMBER(SEARCH("instalment",$B969))&gt;0,"Financing",IF(ISNUMBER(SEARCH("draw",$B969))+ISNUMBER(SEARCH("owner",$B969))+ISNUMBER(SEARCH("asset",$B969))+ISNUMBER(SEARCH("capital",$B969))&gt;0,"Other",IF(ISNUMBER(SEARCH("fuel",$B969))+ISNUMBER(SEARCH("diesel",$B969))+ISNUMBER(SEARCH("krudo",$B969))+ISNUMBER(SEARCH("gasolina",$B969))+ISNUMBER(SEARCH("toll",$B969))+ISNUMBER(SEARCH("parking",$B969))+ISNUMBER(SEARCH("repair",$B969))+ISNUMBER(SEARCH("maintenance",$B969))+ISNUMBER(SEARCH("tire",$B969))+ISNUMBER(SEARCH("tyre",$B969))+ISNUMBER(SEARCH("battery",$B969))+ISNUMBER(SEARCH("oil",$B969))+ISNUMBER(SEARCH("filter",$B969))+ISNUMBER(SEARCH("spare",$B969))+ISNUMBER(SEARCH("insurance",$B969))+ISNUMBER(SEARCH("lto",$B969))+ISNUMBER(SEARCH("registration",$B969))+ISNUMBER(SEARCH("emission",$B969))+ISNUMBER(SEARCH("wash",$B969))+ISNUMBER(SEARCH("weigh",$B969))+ISNUMBER(SEARCH("tarp",$B969))&gt;0,"Vehicle",IF(ISNUMBER(SEARCH("rent",$B969))+ISNUMBER(SEARCH("upa",$B969))+ISNUMBER(SEARCH("salary",$B969))+ISNUMBER(SEARCH("sweldo",$B969))+ISNUMBER(SEARCH("wage",$B969))+ISNUMBER(SEARCH("electric",$B969))+ISNUMBER(SEARCH("kuryente",$B969))+ISNUMBER(SEARCH("water",$B969))+ISNUMBER(SEARCH("tubig",$B969))+ISNUMBER(SEARCH("internet",$B969))+ISNUMBER(SEARCH("pldt",$B969))+ISNUMBER(SEARCH("meralco",$B969))+ISNUMBER(SEARCH("supplies",$B969))+ISNUMBER(SEARCH("office",$B969))+ISNUMBER(SEARCH("professional",$B969))+ISNUMBER(SEARCH("accountant",$B969))+ISNUMBER(SEARCH("lawyer",$B969))+ISNUMBER(SEARCH("broker",$B969))+ISNUMBER(SEARCH("bank",$B969))+ISNUMBER(SEARCH("charge",$B969))+ISNUMBER(SEARCH("permit",$B969))+ISNUMBER(SEARCH("bir",$B969))+ISNUMBER(SEARCH("ltfrb",$B969))+ISNUMBER(SEARCH("misc",$B969))+ISNUMBER(SEARCH("fee",$B969))&gt;0,"Overhead","Overhead")))))))</f>
        <v/>
      </c>
      <c r="J969">
        <f>IF($A969="","",DATE(YEAR($A969),MONTH($A969),1))</f>
        <v/>
      </c>
      <c r="K969">
        <f>IF($B969="","",IF(COUNTIF(Setup!$A$99:$A$128,$B969)&gt;0,0,1))</f>
        <v/>
      </c>
      <c r="L969">
        <f>IF($B969="","",IF(ISNUMBER(SEARCH("advance",$B969)),"ADV",IF(OR(ISNUMBER(SEARCH("payout",$B969)),ISNUMBER(SEARCH("pay out",$B969)),ISNUMBER(SEARCH("release",$B969))),"PAY","")))</f>
        <v/>
      </c>
      <c r="M969">
        <f>IF($B969="","",IF(ISNUMBER(SEARCH("bulk",$B969)),0,IF(ISNUMBER(SEARCH("fuel",$B969))+ISNUMBER(SEARCH("diesel",$B969))+ISNUMBER(SEARCH("krudo",$B969))+ISNUMBER(SEARCH("gasolina",$B969))&gt;0,1,0)))</f>
        <v/>
      </c>
      <c r="N969">
        <f>IF($B969="","",IF(ISNUMBER(SEARCH("fuel",$B969))+ISNUMBER(SEARCH("diesel",$B969))+ISNUMBER(SEARCH("krudo",$B969))+ISNUMBER(SEARCH("gasolina",$B969))&gt;0,1,0))</f>
        <v/>
      </c>
    </row>
    <row r="970">
      <c r="A970" s="94" t="n"/>
      <c r="B970" s="96" t="n"/>
      <c r="C970" s="96" t="n"/>
      <c r="D970" s="95" t="n"/>
      <c r="E970" s="96" t="n"/>
      <c r="F970" s="99" t="n"/>
      <c r="G970" s="95" t="n"/>
      <c r="H970" s="95" t="n"/>
      <c r="I970" s="101">
        <f>IF($B970="","",IF(COUNTIF(Setup!$A$99:$A$128,$B970)&gt;0,IF(INDEX(Setup!$B$99:$B$128,MATCH($B970,Setup!$A$99:$A$128,0))="","Overhead",INDEX(Setup!$B$99:$B$128,MATCH($B970,Setup!$A$99:$A$128,0))),IF(ISNUMBER(SEARCH("advance",$B970))+ISNUMBER(SEARCH("payout",$B970))+ISNUMBER(SEARCH("pay out",$B970))+ISNUMBER(SEARCH("reimburs",$B970))&gt;0,"Transfer",IF(ISNUMBER(SEARCH("loan",$B970))+ISNUMBER(SEARCH("amort",$B970))+ISNUMBER(SEARCH("installment",$B970))+ISNUMBER(SEARCH("instalment",$B970))&gt;0,"Financing",IF(ISNUMBER(SEARCH("draw",$B970))+ISNUMBER(SEARCH("owner",$B970))+ISNUMBER(SEARCH("asset",$B970))+ISNUMBER(SEARCH("capital",$B970))&gt;0,"Other",IF(ISNUMBER(SEARCH("fuel",$B970))+ISNUMBER(SEARCH("diesel",$B970))+ISNUMBER(SEARCH("krudo",$B970))+ISNUMBER(SEARCH("gasolina",$B970))+ISNUMBER(SEARCH("toll",$B970))+ISNUMBER(SEARCH("parking",$B970))+ISNUMBER(SEARCH("repair",$B970))+ISNUMBER(SEARCH("maintenance",$B970))+ISNUMBER(SEARCH("tire",$B970))+ISNUMBER(SEARCH("tyre",$B970))+ISNUMBER(SEARCH("battery",$B970))+ISNUMBER(SEARCH("oil",$B970))+ISNUMBER(SEARCH("filter",$B970))+ISNUMBER(SEARCH("spare",$B970))+ISNUMBER(SEARCH("insurance",$B970))+ISNUMBER(SEARCH("lto",$B970))+ISNUMBER(SEARCH("registration",$B970))+ISNUMBER(SEARCH("emission",$B970))+ISNUMBER(SEARCH("wash",$B970))+ISNUMBER(SEARCH("weigh",$B970))+ISNUMBER(SEARCH("tarp",$B970))&gt;0,"Vehicle",IF(ISNUMBER(SEARCH("rent",$B970))+ISNUMBER(SEARCH("upa",$B970))+ISNUMBER(SEARCH("salary",$B970))+ISNUMBER(SEARCH("sweldo",$B970))+ISNUMBER(SEARCH("wage",$B970))+ISNUMBER(SEARCH("electric",$B970))+ISNUMBER(SEARCH("kuryente",$B970))+ISNUMBER(SEARCH("water",$B970))+ISNUMBER(SEARCH("tubig",$B970))+ISNUMBER(SEARCH("internet",$B970))+ISNUMBER(SEARCH("pldt",$B970))+ISNUMBER(SEARCH("meralco",$B970))+ISNUMBER(SEARCH("supplies",$B970))+ISNUMBER(SEARCH("office",$B970))+ISNUMBER(SEARCH("professional",$B970))+ISNUMBER(SEARCH("accountant",$B970))+ISNUMBER(SEARCH("lawyer",$B970))+ISNUMBER(SEARCH("broker",$B970))+ISNUMBER(SEARCH("bank",$B970))+ISNUMBER(SEARCH("charge",$B970))+ISNUMBER(SEARCH("permit",$B970))+ISNUMBER(SEARCH("bir",$B970))+ISNUMBER(SEARCH("ltfrb",$B970))+ISNUMBER(SEARCH("misc",$B970))+ISNUMBER(SEARCH("fee",$B970))&gt;0,"Overhead","Overhead")))))))</f>
        <v/>
      </c>
      <c r="J970">
        <f>IF($A970="","",DATE(YEAR($A970),MONTH($A970),1))</f>
        <v/>
      </c>
      <c r="K970">
        <f>IF($B970="","",IF(COUNTIF(Setup!$A$99:$A$128,$B970)&gt;0,0,1))</f>
        <v/>
      </c>
      <c r="L970">
        <f>IF($B970="","",IF(ISNUMBER(SEARCH("advance",$B970)),"ADV",IF(OR(ISNUMBER(SEARCH("payout",$B970)),ISNUMBER(SEARCH("pay out",$B970)),ISNUMBER(SEARCH("release",$B970))),"PAY","")))</f>
        <v/>
      </c>
      <c r="M970">
        <f>IF($B970="","",IF(ISNUMBER(SEARCH("bulk",$B970)),0,IF(ISNUMBER(SEARCH("fuel",$B970))+ISNUMBER(SEARCH("diesel",$B970))+ISNUMBER(SEARCH("krudo",$B970))+ISNUMBER(SEARCH("gasolina",$B970))&gt;0,1,0)))</f>
        <v/>
      </c>
      <c r="N970">
        <f>IF($B970="","",IF(ISNUMBER(SEARCH("fuel",$B970))+ISNUMBER(SEARCH("diesel",$B970))+ISNUMBER(SEARCH("krudo",$B970))+ISNUMBER(SEARCH("gasolina",$B970))&gt;0,1,0))</f>
        <v/>
      </c>
    </row>
    <row r="971">
      <c r="A971" s="86" t="n"/>
      <c r="B971" s="88" t="n"/>
      <c r="C971" s="88" t="n"/>
      <c r="D971" s="87" t="n"/>
      <c r="E971" s="88" t="n"/>
      <c r="F971" s="92" t="n"/>
      <c r="G971" s="87" t="n"/>
      <c r="H971" s="87" t="n"/>
      <c r="I971" s="101">
        <f>IF($B971="","",IF(COUNTIF(Setup!$A$99:$A$128,$B971)&gt;0,IF(INDEX(Setup!$B$99:$B$128,MATCH($B971,Setup!$A$99:$A$128,0))="","Overhead",INDEX(Setup!$B$99:$B$128,MATCH($B971,Setup!$A$99:$A$128,0))),IF(ISNUMBER(SEARCH("advance",$B971))+ISNUMBER(SEARCH("payout",$B971))+ISNUMBER(SEARCH("pay out",$B971))+ISNUMBER(SEARCH("reimburs",$B971))&gt;0,"Transfer",IF(ISNUMBER(SEARCH("loan",$B971))+ISNUMBER(SEARCH("amort",$B971))+ISNUMBER(SEARCH("installment",$B971))+ISNUMBER(SEARCH("instalment",$B971))&gt;0,"Financing",IF(ISNUMBER(SEARCH("draw",$B971))+ISNUMBER(SEARCH("owner",$B971))+ISNUMBER(SEARCH("asset",$B971))+ISNUMBER(SEARCH("capital",$B971))&gt;0,"Other",IF(ISNUMBER(SEARCH("fuel",$B971))+ISNUMBER(SEARCH("diesel",$B971))+ISNUMBER(SEARCH("krudo",$B971))+ISNUMBER(SEARCH("gasolina",$B971))+ISNUMBER(SEARCH("toll",$B971))+ISNUMBER(SEARCH("parking",$B971))+ISNUMBER(SEARCH("repair",$B971))+ISNUMBER(SEARCH("maintenance",$B971))+ISNUMBER(SEARCH("tire",$B971))+ISNUMBER(SEARCH("tyre",$B971))+ISNUMBER(SEARCH("battery",$B971))+ISNUMBER(SEARCH("oil",$B971))+ISNUMBER(SEARCH("filter",$B971))+ISNUMBER(SEARCH("spare",$B971))+ISNUMBER(SEARCH("insurance",$B971))+ISNUMBER(SEARCH("lto",$B971))+ISNUMBER(SEARCH("registration",$B971))+ISNUMBER(SEARCH("emission",$B971))+ISNUMBER(SEARCH("wash",$B971))+ISNUMBER(SEARCH("weigh",$B971))+ISNUMBER(SEARCH("tarp",$B971))&gt;0,"Vehicle",IF(ISNUMBER(SEARCH("rent",$B971))+ISNUMBER(SEARCH("upa",$B971))+ISNUMBER(SEARCH("salary",$B971))+ISNUMBER(SEARCH("sweldo",$B971))+ISNUMBER(SEARCH("wage",$B971))+ISNUMBER(SEARCH("electric",$B971))+ISNUMBER(SEARCH("kuryente",$B971))+ISNUMBER(SEARCH("water",$B971))+ISNUMBER(SEARCH("tubig",$B971))+ISNUMBER(SEARCH("internet",$B971))+ISNUMBER(SEARCH("pldt",$B971))+ISNUMBER(SEARCH("meralco",$B971))+ISNUMBER(SEARCH("supplies",$B971))+ISNUMBER(SEARCH("office",$B971))+ISNUMBER(SEARCH("professional",$B971))+ISNUMBER(SEARCH("accountant",$B971))+ISNUMBER(SEARCH("lawyer",$B971))+ISNUMBER(SEARCH("broker",$B971))+ISNUMBER(SEARCH("bank",$B971))+ISNUMBER(SEARCH("charge",$B971))+ISNUMBER(SEARCH("permit",$B971))+ISNUMBER(SEARCH("bir",$B971))+ISNUMBER(SEARCH("ltfrb",$B971))+ISNUMBER(SEARCH("misc",$B971))+ISNUMBER(SEARCH("fee",$B971))&gt;0,"Overhead","Overhead")))))))</f>
        <v/>
      </c>
      <c r="J971">
        <f>IF($A971="","",DATE(YEAR($A971),MONTH($A971),1))</f>
        <v/>
      </c>
      <c r="K971">
        <f>IF($B971="","",IF(COUNTIF(Setup!$A$99:$A$128,$B971)&gt;0,0,1))</f>
        <v/>
      </c>
      <c r="L971">
        <f>IF($B971="","",IF(ISNUMBER(SEARCH("advance",$B971)),"ADV",IF(OR(ISNUMBER(SEARCH("payout",$B971)),ISNUMBER(SEARCH("pay out",$B971)),ISNUMBER(SEARCH("release",$B971))),"PAY","")))</f>
        <v/>
      </c>
      <c r="M971">
        <f>IF($B971="","",IF(ISNUMBER(SEARCH("bulk",$B971)),0,IF(ISNUMBER(SEARCH("fuel",$B971))+ISNUMBER(SEARCH("diesel",$B971))+ISNUMBER(SEARCH("krudo",$B971))+ISNUMBER(SEARCH("gasolina",$B971))&gt;0,1,0)))</f>
        <v/>
      </c>
      <c r="N971">
        <f>IF($B971="","",IF(ISNUMBER(SEARCH("fuel",$B971))+ISNUMBER(SEARCH("diesel",$B971))+ISNUMBER(SEARCH("krudo",$B971))+ISNUMBER(SEARCH("gasolina",$B971))&gt;0,1,0))</f>
        <v/>
      </c>
    </row>
    <row r="972">
      <c r="A972" s="94" t="n"/>
      <c r="B972" s="96" t="n"/>
      <c r="C972" s="96" t="n"/>
      <c r="D972" s="95" t="n"/>
      <c r="E972" s="96" t="n"/>
      <c r="F972" s="99" t="n"/>
      <c r="G972" s="95" t="n"/>
      <c r="H972" s="95" t="n"/>
      <c r="I972" s="101">
        <f>IF($B972="","",IF(COUNTIF(Setup!$A$99:$A$128,$B972)&gt;0,IF(INDEX(Setup!$B$99:$B$128,MATCH($B972,Setup!$A$99:$A$128,0))="","Overhead",INDEX(Setup!$B$99:$B$128,MATCH($B972,Setup!$A$99:$A$128,0))),IF(ISNUMBER(SEARCH("advance",$B972))+ISNUMBER(SEARCH("payout",$B972))+ISNUMBER(SEARCH("pay out",$B972))+ISNUMBER(SEARCH("reimburs",$B972))&gt;0,"Transfer",IF(ISNUMBER(SEARCH("loan",$B972))+ISNUMBER(SEARCH("amort",$B972))+ISNUMBER(SEARCH("installment",$B972))+ISNUMBER(SEARCH("instalment",$B972))&gt;0,"Financing",IF(ISNUMBER(SEARCH("draw",$B972))+ISNUMBER(SEARCH("owner",$B972))+ISNUMBER(SEARCH("asset",$B972))+ISNUMBER(SEARCH("capital",$B972))&gt;0,"Other",IF(ISNUMBER(SEARCH("fuel",$B972))+ISNUMBER(SEARCH("diesel",$B972))+ISNUMBER(SEARCH("krudo",$B972))+ISNUMBER(SEARCH("gasolina",$B972))+ISNUMBER(SEARCH("toll",$B972))+ISNUMBER(SEARCH("parking",$B972))+ISNUMBER(SEARCH("repair",$B972))+ISNUMBER(SEARCH("maintenance",$B972))+ISNUMBER(SEARCH("tire",$B972))+ISNUMBER(SEARCH("tyre",$B972))+ISNUMBER(SEARCH("battery",$B972))+ISNUMBER(SEARCH("oil",$B972))+ISNUMBER(SEARCH("filter",$B972))+ISNUMBER(SEARCH("spare",$B972))+ISNUMBER(SEARCH("insurance",$B972))+ISNUMBER(SEARCH("lto",$B972))+ISNUMBER(SEARCH("registration",$B972))+ISNUMBER(SEARCH("emission",$B972))+ISNUMBER(SEARCH("wash",$B972))+ISNUMBER(SEARCH("weigh",$B972))+ISNUMBER(SEARCH("tarp",$B972))&gt;0,"Vehicle",IF(ISNUMBER(SEARCH("rent",$B972))+ISNUMBER(SEARCH("upa",$B972))+ISNUMBER(SEARCH("salary",$B972))+ISNUMBER(SEARCH("sweldo",$B972))+ISNUMBER(SEARCH("wage",$B972))+ISNUMBER(SEARCH("electric",$B972))+ISNUMBER(SEARCH("kuryente",$B972))+ISNUMBER(SEARCH("water",$B972))+ISNUMBER(SEARCH("tubig",$B972))+ISNUMBER(SEARCH("internet",$B972))+ISNUMBER(SEARCH("pldt",$B972))+ISNUMBER(SEARCH("meralco",$B972))+ISNUMBER(SEARCH("supplies",$B972))+ISNUMBER(SEARCH("office",$B972))+ISNUMBER(SEARCH("professional",$B972))+ISNUMBER(SEARCH("accountant",$B972))+ISNUMBER(SEARCH("lawyer",$B972))+ISNUMBER(SEARCH("broker",$B972))+ISNUMBER(SEARCH("bank",$B972))+ISNUMBER(SEARCH("charge",$B972))+ISNUMBER(SEARCH("permit",$B972))+ISNUMBER(SEARCH("bir",$B972))+ISNUMBER(SEARCH("ltfrb",$B972))+ISNUMBER(SEARCH("misc",$B972))+ISNUMBER(SEARCH("fee",$B972))&gt;0,"Overhead","Overhead")))))))</f>
        <v/>
      </c>
      <c r="J972">
        <f>IF($A972="","",DATE(YEAR($A972),MONTH($A972),1))</f>
        <v/>
      </c>
      <c r="K972">
        <f>IF($B972="","",IF(COUNTIF(Setup!$A$99:$A$128,$B972)&gt;0,0,1))</f>
        <v/>
      </c>
      <c r="L972">
        <f>IF($B972="","",IF(ISNUMBER(SEARCH("advance",$B972)),"ADV",IF(OR(ISNUMBER(SEARCH("payout",$B972)),ISNUMBER(SEARCH("pay out",$B972)),ISNUMBER(SEARCH("release",$B972))),"PAY","")))</f>
        <v/>
      </c>
      <c r="M972">
        <f>IF($B972="","",IF(ISNUMBER(SEARCH("bulk",$B972)),0,IF(ISNUMBER(SEARCH("fuel",$B972))+ISNUMBER(SEARCH("diesel",$B972))+ISNUMBER(SEARCH("krudo",$B972))+ISNUMBER(SEARCH("gasolina",$B972))&gt;0,1,0)))</f>
        <v/>
      </c>
      <c r="N972">
        <f>IF($B972="","",IF(ISNUMBER(SEARCH("fuel",$B972))+ISNUMBER(SEARCH("diesel",$B972))+ISNUMBER(SEARCH("krudo",$B972))+ISNUMBER(SEARCH("gasolina",$B972))&gt;0,1,0))</f>
        <v/>
      </c>
    </row>
    <row r="973">
      <c r="A973" s="86" t="n"/>
      <c r="B973" s="88" t="n"/>
      <c r="C973" s="88" t="n"/>
      <c r="D973" s="87" t="n"/>
      <c r="E973" s="88" t="n"/>
      <c r="F973" s="92" t="n"/>
      <c r="G973" s="87" t="n"/>
      <c r="H973" s="87" t="n"/>
      <c r="I973" s="101">
        <f>IF($B973="","",IF(COUNTIF(Setup!$A$99:$A$128,$B973)&gt;0,IF(INDEX(Setup!$B$99:$B$128,MATCH($B973,Setup!$A$99:$A$128,0))="","Overhead",INDEX(Setup!$B$99:$B$128,MATCH($B973,Setup!$A$99:$A$128,0))),IF(ISNUMBER(SEARCH("advance",$B973))+ISNUMBER(SEARCH("payout",$B973))+ISNUMBER(SEARCH("pay out",$B973))+ISNUMBER(SEARCH("reimburs",$B973))&gt;0,"Transfer",IF(ISNUMBER(SEARCH("loan",$B973))+ISNUMBER(SEARCH("amort",$B973))+ISNUMBER(SEARCH("installment",$B973))+ISNUMBER(SEARCH("instalment",$B973))&gt;0,"Financing",IF(ISNUMBER(SEARCH("draw",$B973))+ISNUMBER(SEARCH("owner",$B973))+ISNUMBER(SEARCH("asset",$B973))+ISNUMBER(SEARCH("capital",$B973))&gt;0,"Other",IF(ISNUMBER(SEARCH("fuel",$B973))+ISNUMBER(SEARCH("diesel",$B973))+ISNUMBER(SEARCH("krudo",$B973))+ISNUMBER(SEARCH("gasolina",$B973))+ISNUMBER(SEARCH("toll",$B973))+ISNUMBER(SEARCH("parking",$B973))+ISNUMBER(SEARCH("repair",$B973))+ISNUMBER(SEARCH("maintenance",$B973))+ISNUMBER(SEARCH("tire",$B973))+ISNUMBER(SEARCH("tyre",$B973))+ISNUMBER(SEARCH("battery",$B973))+ISNUMBER(SEARCH("oil",$B973))+ISNUMBER(SEARCH("filter",$B973))+ISNUMBER(SEARCH("spare",$B973))+ISNUMBER(SEARCH("insurance",$B973))+ISNUMBER(SEARCH("lto",$B973))+ISNUMBER(SEARCH("registration",$B973))+ISNUMBER(SEARCH("emission",$B973))+ISNUMBER(SEARCH("wash",$B973))+ISNUMBER(SEARCH("weigh",$B973))+ISNUMBER(SEARCH("tarp",$B973))&gt;0,"Vehicle",IF(ISNUMBER(SEARCH("rent",$B973))+ISNUMBER(SEARCH("upa",$B973))+ISNUMBER(SEARCH("salary",$B973))+ISNUMBER(SEARCH("sweldo",$B973))+ISNUMBER(SEARCH("wage",$B973))+ISNUMBER(SEARCH("electric",$B973))+ISNUMBER(SEARCH("kuryente",$B973))+ISNUMBER(SEARCH("water",$B973))+ISNUMBER(SEARCH("tubig",$B973))+ISNUMBER(SEARCH("internet",$B973))+ISNUMBER(SEARCH("pldt",$B973))+ISNUMBER(SEARCH("meralco",$B973))+ISNUMBER(SEARCH("supplies",$B973))+ISNUMBER(SEARCH("office",$B973))+ISNUMBER(SEARCH("professional",$B973))+ISNUMBER(SEARCH("accountant",$B973))+ISNUMBER(SEARCH("lawyer",$B973))+ISNUMBER(SEARCH("broker",$B973))+ISNUMBER(SEARCH("bank",$B973))+ISNUMBER(SEARCH("charge",$B973))+ISNUMBER(SEARCH("permit",$B973))+ISNUMBER(SEARCH("bir",$B973))+ISNUMBER(SEARCH("ltfrb",$B973))+ISNUMBER(SEARCH("misc",$B973))+ISNUMBER(SEARCH("fee",$B973))&gt;0,"Overhead","Overhead")))))))</f>
        <v/>
      </c>
      <c r="J973">
        <f>IF($A973="","",DATE(YEAR($A973),MONTH($A973),1))</f>
        <v/>
      </c>
      <c r="K973">
        <f>IF($B973="","",IF(COUNTIF(Setup!$A$99:$A$128,$B973)&gt;0,0,1))</f>
        <v/>
      </c>
      <c r="L973">
        <f>IF($B973="","",IF(ISNUMBER(SEARCH("advance",$B973)),"ADV",IF(OR(ISNUMBER(SEARCH("payout",$B973)),ISNUMBER(SEARCH("pay out",$B973)),ISNUMBER(SEARCH("release",$B973))),"PAY","")))</f>
        <v/>
      </c>
      <c r="M973">
        <f>IF($B973="","",IF(ISNUMBER(SEARCH("bulk",$B973)),0,IF(ISNUMBER(SEARCH("fuel",$B973))+ISNUMBER(SEARCH("diesel",$B973))+ISNUMBER(SEARCH("krudo",$B973))+ISNUMBER(SEARCH("gasolina",$B973))&gt;0,1,0)))</f>
        <v/>
      </c>
      <c r="N973">
        <f>IF($B973="","",IF(ISNUMBER(SEARCH("fuel",$B973))+ISNUMBER(SEARCH("diesel",$B973))+ISNUMBER(SEARCH("krudo",$B973))+ISNUMBER(SEARCH("gasolina",$B973))&gt;0,1,0))</f>
        <v/>
      </c>
    </row>
    <row r="974">
      <c r="A974" s="94" t="n"/>
      <c r="B974" s="96" t="n"/>
      <c r="C974" s="96" t="n"/>
      <c r="D974" s="95" t="n"/>
      <c r="E974" s="96" t="n"/>
      <c r="F974" s="99" t="n"/>
      <c r="G974" s="95" t="n"/>
      <c r="H974" s="95" t="n"/>
      <c r="I974" s="101">
        <f>IF($B974="","",IF(COUNTIF(Setup!$A$99:$A$128,$B974)&gt;0,IF(INDEX(Setup!$B$99:$B$128,MATCH($B974,Setup!$A$99:$A$128,0))="","Overhead",INDEX(Setup!$B$99:$B$128,MATCH($B974,Setup!$A$99:$A$128,0))),IF(ISNUMBER(SEARCH("advance",$B974))+ISNUMBER(SEARCH("payout",$B974))+ISNUMBER(SEARCH("pay out",$B974))+ISNUMBER(SEARCH("reimburs",$B974))&gt;0,"Transfer",IF(ISNUMBER(SEARCH("loan",$B974))+ISNUMBER(SEARCH("amort",$B974))+ISNUMBER(SEARCH("installment",$B974))+ISNUMBER(SEARCH("instalment",$B974))&gt;0,"Financing",IF(ISNUMBER(SEARCH("draw",$B974))+ISNUMBER(SEARCH("owner",$B974))+ISNUMBER(SEARCH("asset",$B974))+ISNUMBER(SEARCH("capital",$B974))&gt;0,"Other",IF(ISNUMBER(SEARCH("fuel",$B974))+ISNUMBER(SEARCH("diesel",$B974))+ISNUMBER(SEARCH("krudo",$B974))+ISNUMBER(SEARCH("gasolina",$B974))+ISNUMBER(SEARCH("toll",$B974))+ISNUMBER(SEARCH("parking",$B974))+ISNUMBER(SEARCH("repair",$B974))+ISNUMBER(SEARCH("maintenance",$B974))+ISNUMBER(SEARCH("tire",$B974))+ISNUMBER(SEARCH("tyre",$B974))+ISNUMBER(SEARCH("battery",$B974))+ISNUMBER(SEARCH("oil",$B974))+ISNUMBER(SEARCH("filter",$B974))+ISNUMBER(SEARCH("spare",$B974))+ISNUMBER(SEARCH("insurance",$B974))+ISNUMBER(SEARCH("lto",$B974))+ISNUMBER(SEARCH("registration",$B974))+ISNUMBER(SEARCH("emission",$B974))+ISNUMBER(SEARCH("wash",$B974))+ISNUMBER(SEARCH("weigh",$B974))+ISNUMBER(SEARCH("tarp",$B974))&gt;0,"Vehicle",IF(ISNUMBER(SEARCH("rent",$B974))+ISNUMBER(SEARCH("upa",$B974))+ISNUMBER(SEARCH("salary",$B974))+ISNUMBER(SEARCH("sweldo",$B974))+ISNUMBER(SEARCH("wage",$B974))+ISNUMBER(SEARCH("electric",$B974))+ISNUMBER(SEARCH("kuryente",$B974))+ISNUMBER(SEARCH("water",$B974))+ISNUMBER(SEARCH("tubig",$B974))+ISNUMBER(SEARCH("internet",$B974))+ISNUMBER(SEARCH("pldt",$B974))+ISNUMBER(SEARCH("meralco",$B974))+ISNUMBER(SEARCH("supplies",$B974))+ISNUMBER(SEARCH("office",$B974))+ISNUMBER(SEARCH("professional",$B974))+ISNUMBER(SEARCH("accountant",$B974))+ISNUMBER(SEARCH("lawyer",$B974))+ISNUMBER(SEARCH("broker",$B974))+ISNUMBER(SEARCH("bank",$B974))+ISNUMBER(SEARCH("charge",$B974))+ISNUMBER(SEARCH("permit",$B974))+ISNUMBER(SEARCH("bir",$B974))+ISNUMBER(SEARCH("ltfrb",$B974))+ISNUMBER(SEARCH("misc",$B974))+ISNUMBER(SEARCH("fee",$B974))&gt;0,"Overhead","Overhead")))))))</f>
        <v/>
      </c>
      <c r="J974">
        <f>IF($A974="","",DATE(YEAR($A974),MONTH($A974),1))</f>
        <v/>
      </c>
      <c r="K974">
        <f>IF($B974="","",IF(COUNTIF(Setup!$A$99:$A$128,$B974)&gt;0,0,1))</f>
        <v/>
      </c>
      <c r="L974">
        <f>IF($B974="","",IF(ISNUMBER(SEARCH("advance",$B974)),"ADV",IF(OR(ISNUMBER(SEARCH("payout",$B974)),ISNUMBER(SEARCH("pay out",$B974)),ISNUMBER(SEARCH("release",$B974))),"PAY","")))</f>
        <v/>
      </c>
      <c r="M974">
        <f>IF($B974="","",IF(ISNUMBER(SEARCH("bulk",$B974)),0,IF(ISNUMBER(SEARCH("fuel",$B974))+ISNUMBER(SEARCH("diesel",$B974))+ISNUMBER(SEARCH("krudo",$B974))+ISNUMBER(SEARCH("gasolina",$B974))&gt;0,1,0)))</f>
        <v/>
      </c>
      <c r="N974">
        <f>IF($B974="","",IF(ISNUMBER(SEARCH("fuel",$B974))+ISNUMBER(SEARCH("diesel",$B974))+ISNUMBER(SEARCH("krudo",$B974))+ISNUMBER(SEARCH("gasolina",$B974))&gt;0,1,0))</f>
        <v/>
      </c>
    </row>
    <row r="975">
      <c r="A975" s="86" t="n"/>
      <c r="B975" s="88" t="n"/>
      <c r="C975" s="88" t="n"/>
      <c r="D975" s="87" t="n"/>
      <c r="E975" s="88" t="n"/>
      <c r="F975" s="92" t="n"/>
      <c r="G975" s="87" t="n"/>
      <c r="H975" s="87" t="n"/>
      <c r="I975" s="101">
        <f>IF($B975="","",IF(COUNTIF(Setup!$A$99:$A$128,$B975)&gt;0,IF(INDEX(Setup!$B$99:$B$128,MATCH($B975,Setup!$A$99:$A$128,0))="","Overhead",INDEX(Setup!$B$99:$B$128,MATCH($B975,Setup!$A$99:$A$128,0))),IF(ISNUMBER(SEARCH("advance",$B975))+ISNUMBER(SEARCH("payout",$B975))+ISNUMBER(SEARCH("pay out",$B975))+ISNUMBER(SEARCH("reimburs",$B975))&gt;0,"Transfer",IF(ISNUMBER(SEARCH("loan",$B975))+ISNUMBER(SEARCH("amort",$B975))+ISNUMBER(SEARCH("installment",$B975))+ISNUMBER(SEARCH("instalment",$B975))&gt;0,"Financing",IF(ISNUMBER(SEARCH("draw",$B975))+ISNUMBER(SEARCH("owner",$B975))+ISNUMBER(SEARCH("asset",$B975))+ISNUMBER(SEARCH("capital",$B975))&gt;0,"Other",IF(ISNUMBER(SEARCH("fuel",$B975))+ISNUMBER(SEARCH("diesel",$B975))+ISNUMBER(SEARCH("krudo",$B975))+ISNUMBER(SEARCH("gasolina",$B975))+ISNUMBER(SEARCH("toll",$B975))+ISNUMBER(SEARCH("parking",$B975))+ISNUMBER(SEARCH("repair",$B975))+ISNUMBER(SEARCH("maintenance",$B975))+ISNUMBER(SEARCH("tire",$B975))+ISNUMBER(SEARCH("tyre",$B975))+ISNUMBER(SEARCH("battery",$B975))+ISNUMBER(SEARCH("oil",$B975))+ISNUMBER(SEARCH("filter",$B975))+ISNUMBER(SEARCH("spare",$B975))+ISNUMBER(SEARCH("insurance",$B975))+ISNUMBER(SEARCH("lto",$B975))+ISNUMBER(SEARCH("registration",$B975))+ISNUMBER(SEARCH("emission",$B975))+ISNUMBER(SEARCH("wash",$B975))+ISNUMBER(SEARCH("weigh",$B975))+ISNUMBER(SEARCH("tarp",$B975))&gt;0,"Vehicle",IF(ISNUMBER(SEARCH("rent",$B975))+ISNUMBER(SEARCH("upa",$B975))+ISNUMBER(SEARCH("salary",$B975))+ISNUMBER(SEARCH("sweldo",$B975))+ISNUMBER(SEARCH("wage",$B975))+ISNUMBER(SEARCH("electric",$B975))+ISNUMBER(SEARCH("kuryente",$B975))+ISNUMBER(SEARCH("water",$B975))+ISNUMBER(SEARCH("tubig",$B975))+ISNUMBER(SEARCH("internet",$B975))+ISNUMBER(SEARCH("pldt",$B975))+ISNUMBER(SEARCH("meralco",$B975))+ISNUMBER(SEARCH("supplies",$B975))+ISNUMBER(SEARCH("office",$B975))+ISNUMBER(SEARCH("professional",$B975))+ISNUMBER(SEARCH("accountant",$B975))+ISNUMBER(SEARCH("lawyer",$B975))+ISNUMBER(SEARCH("broker",$B975))+ISNUMBER(SEARCH("bank",$B975))+ISNUMBER(SEARCH("charge",$B975))+ISNUMBER(SEARCH("permit",$B975))+ISNUMBER(SEARCH("bir",$B975))+ISNUMBER(SEARCH("ltfrb",$B975))+ISNUMBER(SEARCH("misc",$B975))+ISNUMBER(SEARCH("fee",$B975))&gt;0,"Overhead","Overhead")))))))</f>
        <v/>
      </c>
      <c r="J975">
        <f>IF($A975="","",DATE(YEAR($A975),MONTH($A975),1))</f>
        <v/>
      </c>
      <c r="K975">
        <f>IF($B975="","",IF(COUNTIF(Setup!$A$99:$A$128,$B975)&gt;0,0,1))</f>
        <v/>
      </c>
      <c r="L975">
        <f>IF($B975="","",IF(ISNUMBER(SEARCH("advance",$B975)),"ADV",IF(OR(ISNUMBER(SEARCH("payout",$B975)),ISNUMBER(SEARCH("pay out",$B975)),ISNUMBER(SEARCH("release",$B975))),"PAY","")))</f>
        <v/>
      </c>
      <c r="M975">
        <f>IF($B975="","",IF(ISNUMBER(SEARCH("bulk",$B975)),0,IF(ISNUMBER(SEARCH("fuel",$B975))+ISNUMBER(SEARCH("diesel",$B975))+ISNUMBER(SEARCH("krudo",$B975))+ISNUMBER(SEARCH("gasolina",$B975))&gt;0,1,0)))</f>
        <v/>
      </c>
      <c r="N975">
        <f>IF($B975="","",IF(ISNUMBER(SEARCH("fuel",$B975))+ISNUMBER(SEARCH("diesel",$B975))+ISNUMBER(SEARCH("krudo",$B975))+ISNUMBER(SEARCH("gasolina",$B975))&gt;0,1,0))</f>
        <v/>
      </c>
    </row>
    <row r="976">
      <c r="A976" s="94" t="n"/>
      <c r="B976" s="96" t="n"/>
      <c r="C976" s="96" t="n"/>
      <c r="D976" s="95" t="n"/>
      <c r="E976" s="96" t="n"/>
      <c r="F976" s="99" t="n"/>
      <c r="G976" s="95" t="n"/>
      <c r="H976" s="95" t="n"/>
      <c r="I976" s="101">
        <f>IF($B976="","",IF(COUNTIF(Setup!$A$99:$A$128,$B976)&gt;0,IF(INDEX(Setup!$B$99:$B$128,MATCH($B976,Setup!$A$99:$A$128,0))="","Overhead",INDEX(Setup!$B$99:$B$128,MATCH($B976,Setup!$A$99:$A$128,0))),IF(ISNUMBER(SEARCH("advance",$B976))+ISNUMBER(SEARCH("payout",$B976))+ISNUMBER(SEARCH("pay out",$B976))+ISNUMBER(SEARCH("reimburs",$B976))&gt;0,"Transfer",IF(ISNUMBER(SEARCH("loan",$B976))+ISNUMBER(SEARCH("amort",$B976))+ISNUMBER(SEARCH("installment",$B976))+ISNUMBER(SEARCH("instalment",$B976))&gt;0,"Financing",IF(ISNUMBER(SEARCH("draw",$B976))+ISNUMBER(SEARCH("owner",$B976))+ISNUMBER(SEARCH("asset",$B976))+ISNUMBER(SEARCH("capital",$B976))&gt;0,"Other",IF(ISNUMBER(SEARCH("fuel",$B976))+ISNUMBER(SEARCH("diesel",$B976))+ISNUMBER(SEARCH("krudo",$B976))+ISNUMBER(SEARCH("gasolina",$B976))+ISNUMBER(SEARCH("toll",$B976))+ISNUMBER(SEARCH("parking",$B976))+ISNUMBER(SEARCH("repair",$B976))+ISNUMBER(SEARCH("maintenance",$B976))+ISNUMBER(SEARCH("tire",$B976))+ISNUMBER(SEARCH("tyre",$B976))+ISNUMBER(SEARCH("battery",$B976))+ISNUMBER(SEARCH("oil",$B976))+ISNUMBER(SEARCH("filter",$B976))+ISNUMBER(SEARCH("spare",$B976))+ISNUMBER(SEARCH("insurance",$B976))+ISNUMBER(SEARCH("lto",$B976))+ISNUMBER(SEARCH("registration",$B976))+ISNUMBER(SEARCH("emission",$B976))+ISNUMBER(SEARCH("wash",$B976))+ISNUMBER(SEARCH("weigh",$B976))+ISNUMBER(SEARCH("tarp",$B976))&gt;0,"Vehicle",IF(ISNUMBER(SEARCH("rent",$B976))+ISNUMBER(SEARCH("upa",$B976))+ISNUMBER(SEARCH("salary",$B976))+ISNUMBER(SEARCH("sweldo",$B976))+ISNUMBER(SEARCH("wage",$B976))+ISNUMBER(SEARCH("electric",$B976))+ISNUMBER(SEARCH("kuryente",$B976))+ISNUMBER(SEARCH("water",$B976))+ISNUMBER(SEARCH("tubig",$B976))+ISNUMBER(SEARCH("internet",$B976))+ISNUMBER(SEARCH("pldt",$B976))+ISNUMBER(SEARCH("meralco",$B976))+ISNUMBER(SEARCH("supplies",$B976))+ISNUMBER(SEARCH("office",$B976))+ISNUMBER(SEARCH("professional",$B976))+ISNUMBER(SEARCH("accountant",$B976))+ISNUMBER(SEARCH("lawyer",$B976))+ISNUMBER(SEARCH("broker",$B976))+ISNUMBER(SEARCH("bank",$B976))+ISNUMBER(SEARCH("charge",$B976))+ISNUMBER(SEARCH("permit",$B976))+ISNUMBER(SEARCH("bir",$B976))+ISNUMBER(SEARCH("ltfrb",$B976))+ISNUMBER(SEARCH("misc",$B976))+ISNUMBER(SEARCH("fee",$B976))&gt;0,"Overhead","Overhead")))))))</f>
        <v/>
      </c>
      <c r="J976">
        <f>IF($A976="","",DATE(YEAR($A976),MONTH($A976),1))</f>
        <v/>
      </c>
      <c r="K976">
        <f>IF($B976="","",IF(COUNTIF(Setup!$A$99:$A$128,$B976)&gt;0,0,1))</f>
        <v/>
      </c>
      <c r="L976">
        <f>IF($B976="","",IF(ISNUMBER(SEARCH("advance",$B976)),"ADV",IF(OR(ISNUMBER(SEARCH("payout",$B976)),ISNUMBER(SEARCH("pay out",$B976)),ISNUMBER(SEARCH("release",$B976))),"PAY","")))</f>
        <v/>
      </c>
      <c r="M976">
        <f>IF($B976="","",IF(ISNUMBER(SEARCH("bulk",$B976)),0,IF(ISNUMBER(SEARCH("fuel",$B976))+ISNUMBER(SEARCH("diesel",$B976))+ISNUMBER(SEARCH("krudo",$B976))+ISNUMBER(SEARCH("gasolina",$B976))&gt;0,1,0)))</f>
        <v/>
      </c>
      <c r="N976">
        <f>IF($B976="","",IF(ISNUMBER(SEARCH("fuel",$B976))+ISNUMBER(SEARCH("diesel",$B976))+ISNUMBER(SEARCH("krudo",$B976))+ISNUMBER(SEARCH("gasolina",$B976))&gt;0,1,0))</f>
        <v/>
      </c>
    </row>
    <row r="977">
      <c r="A977" s="86" t="n"/>
      <c r="B977" s="88" t="n"/>
      <c r="C977" s="88" t="n"/>
      <c r="D977" s="87" t="n"/>
      <c r="E977" s="88" t="n"/>
      <c r="F977" s="92" t="n"/>
      <c r="G977" s="87" t="n"/>
      <c r="H977" s="87" t="n"/>
      <c r="I977" s="101">
        <f>IF($B977="","",IF(COUNTIF(Setup!$A$99:$A$128,$B977)&gt;0,IF(INDEX(Setup!$B$99:$B$128,MATCH($B977,Setup!$A$99:$A$128,0))="","Overhead",INDEX(Setup!$B$99:$B$128,MATCH($B977,Setup!$A$99:$A$128,0))),IF(ISNUMBER(SEARCH("advance",$B977))+ISNUMBER(SEARCH("payout",$B977))+ISNUMBER(SEARCH("pay out",$B977))+ISNUMBER(SEARCH("reimburs",$B977))&gt;0,"Transfer",IF(ISNUMBER(SEARCH("loan",$B977))+ISNUMBER(SEARCH("amort",$B977))+ISNUMBER(SEARCH("installment",$B977))+ISNUMBER(SEARCH("instalment",$B977))&gt;0,"Financing",IF(ISNUMBER(SEARCH("draw",$B977))+ISNUMBER(SEARCH("owner",$B977))+ISNUMBER(SEARCH("asset",$B977))+ISNUMBER(SEARCH("capital",$B977))&gt;0,"Other",IF(ISNUMBER(SEARCH("fuel",$B977))+ISNUMBER(SEARCH("diesel",$B977))+ISNUMBER(SEARCH("krudo",$B977))+ISNUMBER(SEARCH("gasolina",$B977))+ISNUMBER(SEARCH("toll",$B977))+ISNUMBER(SEARCH("parking",$B977))+ISNUMBER(SEARCH("repair",$B977))+ISNUMBER(SEARCH("maintenance",$B977))+ISNUMBER(SEARCH("tire",$B977))+ISNUMBER(SEARCH("tyre",$B977))+ISNUMBER(SEARCH("battery",$B977))+ISNUMBER(SEARCH("oil",$B977))+ISNUMBER(SEARCH("filter",$B977))+ISNUMBER(SEARCH("spare",$B977))+ISNUMBER(SEARCH("insurance",$B977))+ISNUMBER(SEARCH("lto",$B977))+ISNUMBER(SEARCH("registration",$B977))+ISNUMBER(SEARCH("emission",$B977))+ISNUMBER(SEARCH("wash",$B977))+ISNUMBER(SEARCH("weigh",$B977))+ISNUMBER(SEARCH("tarp",$B977))&gt;0,"Vehicle",IF(ISNUMBER(SEARCH("rent",$B977))+ISNUMBER(SEARCH("upa",$B977))+ISNUMBER(SEARCH("salary",$B977))+ISNUMBER(SEARCH("sweldo",$B977))+ISNUMBER(SEARCH("wage",$B977))+ISNUMBER(SEARCH("electric",$B977))+ISNUMBER(SEARCH("kuryente",$B977))+ISNUMBER(SEARCH("water",$B977))+ISNUMBER(SEARCH("tubig",$B977))+ISNUMBER(SEARCH("internet",$B977))+ISNUMBER(SEARCH("pldt",$B977))+ISNUMBER(SEARCH("meralco",$B977))+ISNUMBER(SEARCH("supplies",$B977))+ISNUMBER(SEARCH("office",$B977))+ISNUMBER(SEARCH("professional",$B977))+ISNUMBER(SEARCH("accountant",$B977))+ISNUMBER(SEARCH("lawyer",$B977))+ISNUMBER(SEARCH("broker",$B977))+ISNUMBER(SEARCH("bank",$B977))+ISNUMBER(SEARCH("charge",$B977))+ISNUMBER(SEARCH("permit",$B977))+ISNUMBER(SEARCH("bir",$B977))+ISNUMBER(SEARCH("ltfrb",$B977))+ISNUMBER(SEARCH("misc",$B977))+ISNUMBER(SEARCH("fee",$B977))&gt;0,"Overhead","Overhead")))))))</f>
        <v/>
      </c>
      <c r="J977">
        <f>IF($A977="","",DATE(YEAR($A977),MONTH($A977),1))</f>
        <v/>
      </c>
      <c r="K977">
        <f>IF($B977="","",IF(COUNTIF(Setup!$A$99:$A$128,$B977)&gt;0,0,1))</f>
        <v/>
      </c>
      <c r="L977">
        <f>IF($B977="","",IF(ISNUMBER(SEARCH("advance",$B977)),"ADV",IF(OR(ISNUMBER(SEARCH("payout",$B977)),ISNUMBER(SEARCH("pay out",$B977)),ISNUMBER(SEARCH("release",$B977))),"PAY","")))</f>
        <v/>
      </c>
      <c r="M977">
        <f>IF($B977="","",IF(ISNUMBER(SEARCH("bulk",$B977)),0,IF(ISNUMBER(SEARCH("fuel",$B977))+ISNUMBER(SEARCH("diesel",$B977))+ISNUMBER(SEARCH("krudo",$B977))+ISNUMBER(SEARCH("gasolina",$B977))&gt;0,1,0)))</f>
        <v/>
      </c>
      <c r="N977">
        <f>IF($B977="","",IF(ISNUMBER(SEARCH("fuel",$B977))+ISNUMBER(SEARCH("diesel",$B977))+ISNUMBER(SEARCH("krudo",$B977))+ISNUMBER(SEARCH("gasolina",$B977))&gt;0,1,0))</f>
        <v/>
      </c>
    </row>
    <row r="978">
      <c r="A978" s="94" t="n"/>
      <c r="B978" s="96" t="n"/>
      <c r="C978" s="96" t="n"/>
      <c r="D978" s="95" t="n"/>
      <c r="E978" s="96" t="n"/>
      <c r="F978" s="99" t="n"/>
      <c r="G978" s="95" t="n"/>
      <c r="H978" s="95" t="n"/>
      <c r="I978" s="101">
        <f>IF($B978="","",IF(COUNTIF(Setup!$A$99:$A$128,$B978)&gt;0,IF(INDEX(Setup!$B$99:$B$128,MATCH($B978,Setup!$A$99:$A$128,0))="","Overhead",INDEX(Setup!$B$99:$B$128,MATCH($B978,Setup!$A$99:$A$128,0))),IF(ISNUMBER(SEARCH("advance",$B978))+ISNUMBER(SEARCH("payout",$B978))+ISNUMBER(SEARCH("pay out",$B978))+ISNUMBER(SEARCH("reimburs",$B978))&gt;0,"Transfer",IF(ISNUMBER(SEARCH("loan",$B978))+ISNUMBER(SEARCH("amort",$B978))+ISNUMBER(SEARCH("installment",$B978))+ISNUMBER(SEARCH("instalment",$B978))&gt;0,"Financing",IF(ISNUMBER(SEARCH("draw",$B978))+ISNUMBER(SEARCH("owner",$B978))+ISNUMBER(SEARCH("asset",$B978))+ISNUMBER(SEARCH("capital",$B978))&gt;0,"Other",IF(ISNUMBER(SEARCH("fuel",$B978))+ISNUMBER(SEARCH("diesel",$B978))+ISNUMBER(SEARCH("krudo",$B978))+ISNUMBER(SEARCH("gasolina",$B978))+ISNUMBER(SEARCH("toll",$B978))+ISNUMBER(SEARCH("parking",$B978))+ISNUMBER(SEARCH("repair",$B978))+ISNUMBER(SEARCH("maintenance",$B978))+ISNUMBER(SEARCH("tire",$B978))+ISNUMBER(SEARCH("tyre",$B978))+ISNUMBER(SEARCH("battery",$B978))+ISNUMBER(SEARCH("oil",$B978))+ISNUMBER(SEARCH("filter",$B978))+ISNUMBER(SEARCH("spare",$B978))+ISNUMBER(SEARCH("insurance",$B978))+ISNUMBER(SEARCH("lto",$B978))+ISNUMBER(SEARCH("registration",$B978))+ISNUMBER(SEARCH("emission",$B978))+ISNUMBER(SEARCH("wash",$B978))+ISNUMBER(SEARCH("weigh",$B978))+ISNUMBER(SEARCH("tarp",$B978))&gt;0,"Vehicle",IF(ISNUMBER(SEARCH("rent",$B978))+ISNUMBER(SEARCH("upa",$B978))+ISNUMBER(SEARCH("salary",$B978))+ISNUMBER(SEARCH("sweldo",$B978))+ISNUMBER(SEARCH("wage",$B978))+ISNUMBER(SEARCH("electric",$B978))+ISNUMBER(SEARCH("kuryente",$B978))+ISNUMBER(SEARCH("water",$B978))+ISNUMBER(SEARCH("tubig",$B978))+ISNUMBER(SEARCH("internet",$B978))+ISNUMBER(SEARCH("pldt",$B978))+ISNUMBER(SEARCH("meralco",$B978))+ISNUMBER(SEARCH("supplies",$B978))+ISNUMBER(SEARCH("office",$B978))+ISNUMBER(SEARCH("professional",$B978))+ISNUMBER(SEARCH("accountant",$B978))+ISNUMBER(SEARCH("lawyer",$B978))+ISNUMBER(SEARCH("broker",$B978))+ISNUMBER(SEARCH("bank",$B978))+ISNUMBER(SEARCH("charge",$B978))+ISNUMBER(SEARCH("permit",$B978))+ISNUMBER(SEARCH("bir",$B978))+ISNUMBER(SEARCH("ltfrb",$B978))+ISNUMBER(SEARCH("misc",$B978))+ISNUMBER(SEARCH("fee",$B978))&gt;0,"Overhead","Overhead")))))))</f>
        <v/>
      </c>
      <c r="J978">
        <f>IF($A978="","",DATE(YEAR($A978),MONTH($A978),1))</f>
        <v/>
      </c>
      <c r="K978">
        <f>IF($B978="","",IF(COUNTIF(Setup!$A$99:$A$128,$B978)&gt;0,0,1))</f>
        <v/>
      </c>
      <c r="L978">
        <f>IF($B978="","",IF(ISNUMBER(SEARCH("advance",$B978)),"ADV",IF(OR(ISNUMBER(SEARCH("payout",$B978)),ISNUMBER(SEARCH("pay out",$B978)),ISNUMBER(SEARCH("release",$B978))),"PAY","")))</f>
        <v/>
      </c>
      <c r="M978">
        <f>IF($B978="","",IF(ISNUMBER(SEARCH("bulk",$B978)),0,IF(ISNUMBER(SEARCH("fuel",$B978))+ISNUMBER(SEARCH("diesel",$B978))+ISNUMBER(SEARCH("krudo",$B978))+ISNUMBER(SEARCH("gasolina",$B978))&gt;0,1,0)))</f>
        <v/>
      </c>
      <c r="N978">
        <f>IF($B978="","",IF(ISNUMBER(SEARCH("fuel",$B978))+ISNUMBER(SEARCH("diesel",$B978))+ISNUMBER(SEARCH("krudo",$B978))+ISNUMBER(SEARCH("gasolina",$B978))&gt;0,1,0))</f>
        <v/>
      </c>
    </row>
    <row r="979">
      <c r="A979" s="86" t="n"/>
      <c r="B979" s="88" t="n"/>
      <c r="C979" s="88" t="n"/>
      <c r="D979" s="87" t="n"/>
      <c r="E979" s="88" t="n"/>
      <c r="F979" s="92" t="n"/>
      <c r="G979" s="87" t="n"/>
      <c r="H979" s="87" t="n"/>
      <c r="I979" s="101">
        <f>IF($B979="","",IF(COUNTIF(Setup!$A$99:$A$128,$B979)&gt;0,IF(INDEX(Setup!$B$99:$B$128,MATCH($B979,Setup!$A$99:$A$128,0))="","Overhead",INDEX(Setup!$B$99:$B$128,MATCH($B979,Setup!$A$99:$A$128,0))),IF(ISNUMBER(SEARCH("advance",$B979))+ISNUMBER(SEARCH("payout",$B979))+ISNUMBER(SEARCH("pay out",$B979))+ISNUMBER(SEARCH("reimburs",$B979))&gt;0,"Transfer",IF(ISNUMBER(SEARCH("loan",$B979))+ISNUMBER(SEARCH("amort",$B979))+ISNUMBER(SEARCH("installment",$B979))+ISNUMBER(SEARCH("instalment",$B979))&gt;0,"Financing",IF(ISNUMBER(SEARCH("draw",$B979))+ISNUMBER(SEARCH("owner",$B979))+ISNUMBER(SEARCH("asset",$B979))+ISNUMBER(SEARCH("capital",$B979))&gt;0,"Other",IF(ISNUMBER(SEARCH("fuel",$B979))+ISNUMBER(SEARCH("diesel",$B979))+ISNUMBER(SEARCH("krudo",$B979))+ISNUMBER(SEARCH("gasolina",$B979))+ISNUMBER(SEARCH("toll",$B979))+ISNUMBER(SEARCH("parking",$B979))+ISNUMBER(SEARCH("repair",$B979))+ISNUMBER(SEARCH("maintenance",$B979))+ISNUMBER(SEARCH("tire",$B979))+ISNUMBER(SEARCH("tyre",$B979))+ISNUMBER(SEARCH("battery",$B979))+ISNUMBER(SEARCH("oil",$B979))+ISNUMBER(SEARCH("filter",$B979))+ISNUMBER(SEARCH("spare",$B979))+ISNUMBER(SEARCH("insurance",$B979))+ISNUMBER(SEARCH("lto",$B979))+ISNUMBER(SEARCH("registration",$B979))+ISNUMBER(SEARCH("emission",$B979))+ISNUMBER(SEARCH("wash",$B979))+ISNUMBER(SEARCH("weigh",$B979))+ISNUMBER(SEARCH("tarp",$B979))&gt;0,"Vehicle",IF(ISNUMBER(SEARCH("rent",$B979))+ISNUMBER(SEARCH("upa",$B979))+ISNUMBER(SEARCH("salary",$B979))+ISNUMBER(SEARCH("sweldo",$B979))+ISNUMBER(SEARCH("wage",$B979))+ISNUMBER(SEARCH("electric",$B979))+ISNUMBER(SEARCH("kuryente",$B979))+ISNUMBER(SEARCH("water",$B979))+ISNUMBER(SEARCH("tubig",$B979))+ISNUMBER(SEARCH("internet",$B979))+ISNUMBER(SEARCH("pldt",$B979))+ISNUMBER(SEARCH("meralco",$B979))+ISNUMBER(SEARCH("supplies",$B979))+ISNUMBER(SEARCH("office",$B979))+ISNUMBER(SEARCH("professional",$B979))+ISNUMBER(SEARCH("accountant",$B979))+ISNUMBER(SEARCH("lawyer",$B979))+ISNUMBER(SEARCH("broker",$B979))+ISNUMBER(SEARCH("bank",$B979))+ISNUMBER(SEARCH("charge",$B979))+ISNUMBER(SEARCH("permit",$B979))+ISNUMBER(SEARCH("bir",$B979))+ISNUMBER(SEARCH("ltfrb",$B979))+ISNUMBER(SEARCH("misc",$B979))+ISNUMBER(SEARCH("fee",$B979))&gt;0,"Overhead","Overhead")))))))</f>
        <v/>
      </c>
      <c r="J979">
        <f>IF($A979="","",DATE(YEAR($A979),MONTH($A979),1))</f>
        <v/>
      </c>
      <c r="K979">
        <f>IF($B979="","",IF(COUNTIF(Setup!$A$99:$A$128,$B979)&gt;0,0,1))</f>
        <v/>
      </c>
      <c r="L979">
        <f>IF($B979="","",IF(ISNUMBER(SEARCH("advance",$B979)),"ADV",IF(OR(ISNUMBER(SEARCH("payout",$B979)),ISNUMBER(SEARCH("pay out",$B979)),ISNUMBER(SEARCH("release",$B979))),"PAY","")))</f>
        <v/>
      </c>
      <c r="M979">
        <f>IF($B979="","",IF(ISNUMBER(SEARCH("bulk",$B979)),0,IF(ISNUMBER(SEARCH("fuel",$B979))+ISNUMBER(SEARCH("diesel",$B979))+ISNUMBER(SEARCH("krudo",$B979))+ISNUMBER(SEARCH("gasolina",$B979))&gt;0,1,0)))</f>
        <v/>
      </c>
      <c r="N979">
        <f>IF($B979="","",IF(ISNUMBER(SEARCH("fuel",$B979))+ISNUMBER(SEARCH("diesel",$B979))+ISNUMBER(SEARCH("krudo",$B979))+ISNUMBER(SEARCH("gasolina",$B979))&gt;0,1,0))</f>
        <v/>
      </c>
    </row>
    <row r="980">
      <c r="A980" s="94" t="n"/>
      <c r="B980" s="96" t="n"/>
      <c r="C980" s="96" t="n"/>
      <c r="D980" s="95" t="n"/>
      <c r="E980" s="96" t="n"/>
      <c r="F980" s="99" t="n"/>
      <c r="G980" s="95" t="n"/>
      <c r="H980" s="95" t="n"/>
      <c r="I980" s="101">
        <f>IF($B980="","",IF(COUNTIF(Setup!$A$99:$A$128,$B980)&gt;0,IF(INDEX(Setup!$B$99:$B$128,MATCH($B980,Setup!$A$99:$A$128,0))="","Overhead",INDEX(Setup!$B$99:$B$128,MATCH($B980,Setup!$A$99:$A$128,0))),IF(ISNUMBER(SEARCH("advance",$B980))+ISNUMBER(SEARCH("payout",$B980))+ISNUMBER(SEARCH("pay out",$B980))+ISNUMBER(SEARCH("reimburs",$B980))&gt;0,"Transfer",IF(ISNUMBER(SEARCH("loan",$B980))+ISNUMBER(SEARCH("amort",$B980))+ISNUMBER(SEARCH("installment",$B980))+ISNUMBER(SEARCH("instalment",$B980))&gt;0,"Financing",IF(ISNUMBER(SEARCH("draw",$B980))+ISNUMBER(SEARCH("owner",$B980))+ISNUMBER(SEARCH("asset",$B980))+ISNUMBER(SEARCH("capital",$B980))&gt;0,"Other",IF(ISNUMBER(SEARCH("fuel",$B980))+ISNUMBER(SEARCH("diesel",$B980))+ISNUMBER(SEARCH("krudo",$B980))+ISNUMBER(SEARCH("gasolina",$B980))+ISNUMBER(SEARCH("toll",$B980))+ISNUMBER(SEARCH("parking",$B980))+ISNUMBER(SEARCH("repair",$B980))+ISNUMBER(SEARCH("maintenance",$B980))+ISNUMBER(SEARCH("tire",$B980))+ISNUMBER(SEARCH("tyre",$B980))+ISNUMBER(SEARCH("battery",$B980))+ISNUMBER(SEARCH("oil",$B980))+ISNUMBER(SEARCH("filter",$B980))+ISNUMBER(SEARCH("spare",$B980))+ISNUMBER(SEARCH("insurance",$B980))+ISNUMBER(SEARCH("lto",$B980))+ISNUMBER(SEARCH("registration",$B980))+ISNUMBER(SEARCH("emission",$B980))+ISNUMBER(SEARCH("wash",$B980))+ISNUMBER(SEARCH("weigh",$B980))+ISNUMBER(SEARCH("tarp",$B980))&gt;0,"Vehicle",IF(ISNUMBER(SEARCH("rent",$B980))+ISNUMBER(SEARCH("upa",$B980))+ISNUMBER(SEARCH("salary",$B980))+ISNUMBER(SEARCH("sweldo",$B980))+ISNUMBER(SEARCH("wage",$B980))+ISNUMBER(SEARCH("electric",$B980))+ISNUMBER(SEARCH("kuryente",$B980))+ISNUMBER(SEARCH("water",$B980))+ISNUMBER(SEARCH("tubig",$B980))+ISNUMBER(SEARCH("internet",$B980))+ISNUMBER(SEARCH("pldt",$B980))+ISNUMBER(SEARCH("meralco",$B980))+ISNUMBER(SEARCH("supplies",$B980))+ISNUMBER(SEARCH("office",$B980))+ISNUMBER(SEARCH("professional",$B980))+ISNUMBER(SEARCH("accountant",$B980))+ISNUMBER(SEARCH("lawyer",$B980))+ISNUMBER(SEARCH("broker",$B980))+ISNUMBER(SEARCH("bank",$B980))+ISNUMBER(SEARCH("charge",$B980))+ISNUMBER(SEARCH("permit",$B980))+ISNUMBER(SEARCH("bir",$B980))+ISNUMBER(SEARCH("ltfrb",$B980))+ISNUMBER(SEARCH("misc",$B980))+ISNUMBER(SEARCH("fee",$B980))&gt;0,"Overhead","Overhead")))))))</f>
        <v/>
      </c>
      <c r="J980">
        <f>IF($A980="","",DATE(YEAR($A980),MONTH($A980),1))</f>
        <v/>
      </c>
      <c r="K980">
        <f>IF($B980="","",IF(COUNTIF(Setup!$A$99:$A$128,$B980)&gt;0,0,1))</f>
        <v/>
      </c>
      <c r="L980">
        <f>IF($B980="","",IF(ISNUMBER(SEARCH("advance",$B980)),"ADV",IF(OR(ISNUMBER(SEARCH("payout",$B980)),ISNUMBER(SEARCH("pay out",$B980)),ISNUMBER(SEARCH("release",$B980))),"PAY","")))</f>
        <v/>
      </c>
      <c r="M980">
        <f>IF($B980="","",IF(ISNUMBER(SEARCH("bulk",$B980)),0,IF(ISNUMBER(SEARCH("fuel",$B980))+ISNUMBER(SEARCH("diesel",$B980))+ISNUMBER(SEARCH("krudo",$B980))+ISNUMBER(SEARCH("gasolina",$B980))&gt;0,1,0)))</f>
        <v/>
      </c>
      <c r="N980">
        <f>IF($B980="","",IF(ISNUMBER(SEARCH("fuel",$B980))+ISNUMBER(SEARCH("diesel",$B980))+ISNUMBER(SEARCH("krudo",$B980))+ISNUMBER(SEARCH("gasolina",$B980))&gt;0,1,0))</f>
        <v/>
      </c>
    </row>
    <row r="981">
      <c r="A981" s="86" t="n"/>
      <c r="B981" s="88" t="n"/>
      <c r="C981" s="88" t="n"/>
      <c r="D981" s="87" t="n"/>
      <c r="E981" s="88" t="n"/>
      <c r="F981" s="92" t="n"/>
      <c r="G981" s="87" t="n"/>
      <c r="H981" s="87" t="n"/>
      <c r="I981" s="101">
        <f>IF($B981="","",IF(COUNTIF(Setup!$A$99:$A$128,$B981)&gt;0,IF(INDEX(Setup!$B$99:$B$128,MATCH($B981,Setup!$A$99:$A$128,0))="","Overhead",INDEX(Setup!$B$99:$B$128,MATCH($B981,Setup!$A$99:$A$128,0))),IF(ISNUMBER(SEARCH("advance",$B981))+ISNUMBER(SEARCH("payout",$B981))+ISNUMBER(SEARCH("pay out",$B981))+ISNUMBER(SEARCH("reimburs",$B981))&gt;0,"Transfer",IF(ISNUMBER(SEARCH("loan",$B981))+ISNUMBER(SEARCH("amort",$B981))+ISNUMBER(SEARCH("installment",$B981))+ISNUMBER(SEARCH("instalment",$B981))&gt;0,"Financing",IF(ISNUMBER(SEARCH("draw",$B981))+ISNUMBER(SEARCH("owner",$B981))+ISNUMBER(SEARCH("asset",$B981))+ISNUMBER(SEARCH("capital",$B981))&gt;0,"Other",IF(ISNUMBER(SEARCH("fuel",$B981))+ISNUMBER(SEARCH("diesel",$B981))+ISNUMBER(SEARCH("krudo",$B981))+ISNUMBER(SEARCH("gasolina",$B981))+ISNUMBER(SEARCH("toll",$B981))+ISNUMBER(SEARCH("parking",$B981))+ISNUMBER(SEARCH("repair",$B981))+ISNUMBER(SEARCH("maintenance",$B981))+ISNUMBER(SEARCH("tire",$B981))+ISNUMBER(SEARCH("tyre",$B981))+ISNUMBER(SEARCH("battery",$B981))+ISNUMBER(SEARCH("oil",$B981))+ISNUMBER(SEARCH("filter",$B981))+ISNUMBER(SEARCH("spare",$B981))+ISNUMBER(SEARCH("insurance",$B981))+ISNUMBER(SEARCH("lto",$B981))+ISNUMBER(SEARCH("registration",$B981))+ISNUMBER(SEARCH("emission",$B981))+ISNUMBER(SEARCH("wash",$B981))+ISNUMBER(SEARCH("weigh",$B981))+ISNUMBER(SEARCH("tarp",$B981))&gt;0,"Vehicle",IF(ISNUMBER(SEARCH("rent",$B981))+ISNUMBER(SEARCH("upa",$B981))+ISNUMBER(SEARCH("salary",$B981))+ISNUMBER(SEARCH("sweldo",$B981))+ISNUMBER(SEARCH("wage",$B981))+ISNUMBER(SEARCH("electric",$B981))+ISNUMBER(SEARCH("kuryente",$B981))+ISNUMBER(SEARCH("water",$B981))+ISNUMBER(SEARCH("tubig",$B981))+ISNUMBER(SEARCH("internet",$B981))+ISNUMBER(SEARCH("pldt",$B981))+ISNUMBER(SEARCH("meralco",$B981))+ISNUMBER(SEARCH("supplies",$B981))+ISNUMBER(SEARCH("office",$B981))+ISNUMBER(SEARCH("professional",$B981))+ISNUMBER(SEARCH("accountant",$B981))+ISNUMBER(SEARCH("lawyer",$B981))+ISNUMBER(SEARCH("broker",$B981))+ISNUMBER(SEARCH("bank",$B981))+ISNUMBER(SEARCH("charge",$B981))+ISNUMBER(SEARCH("permit",$B981))+ISNUMBER(SEARCH("bir",$B981))+ISNUMBER(SEARCH("ltfrb",$B981))+ISNUMBER(SEARCH("misc",$B981))+ISNUMBER(SEARCH("fee",$B981))&gt;0,"Overhead","Overhead")))))))</f>
        <v/>
      </c>
      <c r="J981">
        <f>IF($A981="","",DATE(YEAR($A981),MONTH($A981),1))</f>
        <v/>
      </c>
      <c r="K981">
        <f>IF($B981="","",IF(COUNTIF(Setup!$A$99:$A$128,$B981)&gt;0,0,1))</f>
        <v/>
      </c>
      <c r="L981">
        <f>IF($B981="","",IF(ISNUMBER(SEARCH("advance",$B981)),"ADV",IF(OR(ISNUMBER(SEARCH("payout",$B981)),ISNUMBER(SEARCH("pay out",$B981)),ISNUMBER(SEARCH("release",$B981))),"PAY","")))</f>
        <v/>
      </c>
      <c r="M981">
        <f>IF($B981="","",IF(ISNUMBER(SEARCH("bulk",$B981)),0,IF(ISNUMBER(SEARCH("fuel",$B981))+ISNUMBER(SEARCH("diesel",$B981))+ISNUMBER(SEARCH("krudo",$B981))+ISNUMBER(SEARCH("gasolina",$B981))&gt;0,1,0)))</f>
        <v/>
      </c>
      <c r="N981">
        <f>IF($B981="","",IF(ISNUMBER(SEARCH("fuel",$B981))+ISNUMBER(SEARCH("diesel",$B981))+ISNUMBER(SEARCH("krudo",$B981))+ISNUMBER(SEARCH("gasolina",$B981))&gt;0,1,0))</f>
        <v/>
      </c>
    </row>
    <row r="982">
      <c r="A982" s="94" t="n"/>
      <c r="B982" s="96" t="n"/>
      <c r="C982" s="96" t="n"/>
      <c r="D982" s="95" t="n"/>
      <c r="E982" s="96" t="n"/>
      <c r="F982" s="99" t="n"/>
      <c r="G982" s="95" t="n"/>
      <c r="H982" s="95" t="n"/>
      <c r="I982" s="101">
        <f>IF($B982="","",IF(COUNTIF(Setup!$A$99:$A$128,$B982)&gt;0,IF(INDEX(Setup!$B$99:$B$128,MATCH($B982,Setup!$A$99:$A$128,0))="","Overhead",INDEX(Setup!$B$99:$B$128,MATCH($B982,Setup!$A$99:$A$128,0))),IF(ISNUMBER(SEARCH("advance",$B982))+ISNUMBER(SEARCH("payout",$B982))+ISNUMBER(SEARCH("pay out",$B982))+ISNUMBER(SEARCH("reimburs",$B982))&gt;0,"Transfer",IF(ISNUMBER(SEARCH("loan",$B982))+ISNUMBER(SEARCH("amort",$B982))+ISNUMBER(SEARCH("installment",$B982))+ISNUMBER(SEARCH("instalment",$B982))&gt;0,"Financing",IF(ISNUMBER(SEARCH("draw",$B982))+ISNUMBER(SEARCH("owner",$B982))+ISNUMBER(SEARCH("asset",$B982))+ISNUMBER(SEARCH("capital",$B982))&gt;0,"Other",IF(ISNUMBER(SEARCH("fuel",$B982))+ISNUMBER(SEARCH("diesel",$B982))+ISNUMBER(SEARCH("krudo",$B982))+ISNUMBER(SEARCH("gasolina",$B982))+ISNUMBER(SEARCH("toll",$B982))+ISNUMBER(SEARCH("parking",$B982))+ISNUMBER(SEARCH("repair",$B982))+ISNUMBER(SEARCH("maintenance",$B982))+ISNUMBER(SEARCH("tire",$B982))+ISNUMBER(SEARCH("tyre",$B982))+ISNUMBER(SEARCH("battery",$B982))+ISNUMBER(SEARCH("oil",$B982))+ISNUMBER(SEARCH("filter",$B982))+ISNUMBER(SEARCH("spare",$B982))+ISNUMBER(SEARCH("insurance",$B982))+ISNUMBER(SEARCH("lto",$B982))+ISNUMBER(SEARCH("registration",$B982))+ISNUMBER(SEARCH("emission",$B982))+ISNUMBER(SEARCH("wash",$B982))+ISNUMBER(SEARCH("weigh",$B982))+ISNUMBER(SEARCH("tarp",$B982))&gt;0,"Vehicle",IF(ISNUMBER(SEARCH("rent",$B982))+ISNUMBER(SEARCH("upa",$B982))+ISNUMBER(SEARCH("salary",$B982))+ISNUMBER(SEARCH("sweldo",$B982))+ISNUMBER(SEARCH("wage",$B982))+ISNUMBER(SEARCH("electric",$B982))+ISNUMBER(SEARCH("kuryente",$B982))+ISNUMBER(SEARCH("water",$B982))+ISNUMBER(SEARCH("tubig",$B982))+ISNUMBER(SEARCH("internet",$B982))+ISNUMBER(SEARCH("pldt",$B982))+ISNUMBER(SEARCH("meralco",$B982))+ISNUMBER(SEARCH("supplies",$B982))+ISNUMBER(SEARCH("office",$B982))+ISNUMBER(SEARCH("professional",$B982))+ISNUMBER(SEARCH("accountant",$B982))+ISNUMBER(SEARCH("lawyer",$B982))+ISNUMBER(SEARCH("broker",$B982))+ISNUMBER(SEARCH("bank",$B982))+ISNUMBER(SEARCH("charge",$B982))+ISNUMBER(SEARCH("permit",$B982))+ISNUMBER(SEARCH("bir",$B982))+ISNUMBER(SEARCH("ltfrb",$B982))+ISNUMBER(SEARCH("misc",$B982))+ISNUMBER(SEARCH("fee",$B982))&gt;0,"Overhead","Overhead")))))))</f>
        <v/>
      </c>
      <c r="J982">
        <f>IF($A982="","",DATE(YEAR($A982),MONTH($A982),1))</f>
        <v/>
      </c>
      <c r="K982">
        <f>IF($B982="","",IF(COUNTIF(Setup!$A$99:$A$128,$B982)&gt;0,0,1))</f>
        <v/>
      </c>
      <c r="L982">
        <f>IF($B982="","",IF(ISNUMBER(SEARCH("advance",$B982)),"ADV",IF(OR(ISNUMBER(SEARCH("payout",$B982)),ISNUMBER(SEARCH("pay out",$B982)),ISNUMBER(SEARCH("release",$B982))),"PAY","")))</f>
        <v/>
      </c>
      <c r="M982">
        <f>IF($B982="","",IF(ISNUMBER(SEARCH("bulk",$B982)),0,IF(ISNUMBER(SEARCH("fuel",$B982))+ISNUMBER(SEARCH("diesel",$B982))+ISNUMBER(SEARCH("krudo",$B982))+ISNUMBER(SEARCH("gasolina",$B982))&gt;0,1,0)))</f>
        <v/>
      </c>
      <c r="N982">
        <f>IF($B982="","",IF(ISNUMBER(SEARCH("fuel",$B982))+ISNUMBER(SEARCH("diesel",$B982))+ISNUMBER(SEARCH("krudo",$B982))+ISNUMBER(SEARCH("gasolina",$B982))&gt;0,1,0))</f>
        <v/>
      </c>
    </row>
    <row r="983">
      <c r="A983" s="86" t="n"/>
      <c r="B983" s="88" t="n"/>
      <c r="C983" s="88" t="n"/>
      <c r="D983" s="87" t="n"/>
      <c r="E983" s="88" t="n"/>
      <c r="F983" s="92" t="n"/>
      <c r="G983" s="87" t="n"/>
      <c r="H983" s="87" t="n"/>
      <c r="I983" s="101">
        <f>IF($B983="","",IF(COUNTIF(Setup!$A$99:$A$128,$B983)&gt;0,IF(INDEX(Setup!$B$99:$B$128,MATCH($B983,Setup!$A$99:$A$128,0))="","Overhead",INDEX(Setup!$B$99:$B$128,MATCH($B983,Setup!$A$99:$A$128,0))),IF(ISNUMBER(SEARCH("advance",$B983))+ISNUMBER(SEARCH("payout",$B983))+ISNUMBER(SEARCH("pay out",$B983))+ISNUMBER(SEARCH("reimburs",$B983))&gt;0,"Transfer",IF(ISNUMBER(SEARCH("loan",$B983))+ISNUMBER(SEARCH("amort",$B983))+ISNUMBER(SEARCH("installment",$B983))+ISNUMBER(SEARCH("instalment",$B983))&gt;0,"Financing",IF(ISNUMBER(SEARCH("draw",$B983))+ISNUMBER(SEARCH("owner",$B983))+ISNUMBER(SEARCH("asset",$B983))+ISNUMBER(SEARCH("capital",$B983))&gt;0,"Other",IF(ISNUMBER(SEARCH("fuel",$B983))+ISNUMBER(SEARCH("diesel",$B983))+ISNUMBER(SEARCH("krudo",$B983))+ISNUMBER(SEARCH("gasolina",$B983))+ISNUMBER(SEARCH("toll",$B983))+ISNUMBER(SEARCH("parking",$B983))+ISNUMBER(SEARCH("repair",$B983))+ISNUMBER(SEARCH("maintenance",$B983))+ISNUMBER(SEARCH("tire",$B983))+ISNUMBER(SEARCH("tyre",$B983))+ISNUMBER(SEARCH("battery",$B983))+ISNUMBER(SEARCH("oil",$B983))+ISNUMBER(SEARCH("filter",$B983))+ISNUMBER(SEARCH("spare",$B983))+ISNUMBER(SEARCH("insurance",$B983))+ISNUMBER(SEARCH("lto",$B983))+ISNUMBER(SEARCH("registration",$B983))+ISNUMBER(SEARCH("emission",$B983))+ISNUMBER(SEARCH("wash",$B983))+ISNUMBER(SEARCH("weigh",$B983))+ISNUMBER(SEARCH("tarp",$B983))&gt;0,"Vehicle",IF(ISNUMBER(SEARCH("rent",$B983))+ISNUMBER(SEARCH("upa",$B983))+ISNUMBER(SEARCH("salary",$B983))+ISNUMBER(SEARCH("sweldo",$B983))+ISNUMBER(SEARCH("wage",$B983))+ISNUMBER(SEARCH("electric",$B983))+ISNUMBER(SEARCH("kuryente",$B983))+ISNUMBER(SEARCH("water",$B983))+ISNUMBER(SEARCH("tubig",$B983))+ISNUMBER(SEARCH("internet",$B983))+ISNUMBER(SEARCH("pldt",$B983))+ISNUMBER(SEARCH("meralco",$B983))+ISNUMBER(SEARCH("supplies",$B983))+ISNUMBER(SEARCH("office",$B983))+ISNUMBER(SEARCH("professional",$B983))+ISNUMBER(SEARCH("accountant",$B983))+ISNUMBER(SEARCH("lawyer",$B983))+ISNUMBER(SEARCH("broker",$B983))+ISNUMBER(SEARCH("bank",$B983))+ISNUMBER(SEARCH("charge",$B983))+ISNUMBER(SEARCH("permit",$B983))+ISNUMBER(SEARCH("bir",$B983))+ISNUMBER(SEARCH("ltfrb",$B983))+ISNUMBER(SEARCH("misc",$B983))+ISNUMBER(SEARCH("fee",$B983))&gt;0,"Overhead","Overhead")))))))</f>
        <v/>
      </c>
      <c r="J983">
        <f>IF($A983="","",DATE(YEAR($A983),MONTH($A983),1))</f>
        <v/>
      </c>
      <c r="K983">
        <f>IF($B983="","",IF(COUNTIF(Setup!$A$99:$A$128,$B983)&gt;0,0,1))</f>
        <v/>
      </c>
      <c r="L983">
        <f>IF($B983="","",IF(ISNUMBER(SEARCH("advance",$B983)),"ADV",IF(OR(ISNUMBER(SEARCH("payout",$B983)),ISNUMBER(SEARCH("pay out",$B983)),ISNUMBER(SEARCH("release",$B983))),"PAY","")))</f>
        <v/>
      </c>
      <c r="M983">
        <f>IF($B983="","",IF(ISNUMBER(SEARCH("bulk",$B983)),0,IF(ISNUMBER(SEARCH("fuel",$B983))+ISNUMBER(SEARCH("diesel",$B983))+ISNUMBER(SEARCH("krudo",$B983))+ISNUMBER(SEARCH("gasolina",$B983))&gt;0,1,0)))</f>
        <v/>
      </c>
      <c r="N983">
        <f>IF($B983="","",IF(ISNUMBER(SEARCH("fuel",$B983))+ISNUMBER(SEARCH("diesel",$B983))+ISNUMBER(SEARCH("krudo",$B983))+ISNUMBER(SEARCH("gasolina",$B983))&gt;0,1,0))</f>
        <v/>
      </c>
    </row>
    <row r="984">
      <c r="A984" s="94" t="n"/>
      <c r="B984" s="96" t="n"/>
      <c r="C984" s="96" t="n"/>
      <c r="D984" s="95" t="n"/>
      <c r="E984" s="96" t="n"/>
      <c r="F984" s="99" t="n"/>
      <c r="G984" s="95" t="n"/>
      <c r="H984" s="95" t="n"/>
      <c r="I984" s="101">
        <f>IF($B984="","",IF(COUNTIF(Setup!$A$99:$A$128,$B984)&gt;0,IF(INDEX(Setup!$B$99:$B$128,MATCH($B984,Setup!$A$99:$A$128,0))="","Overhead",INDEX(Setup!$B$99:$B$128,MATCH($B984,Setup!$A$99:$A$128,0))),IF(ISNUMBER(SEARCH("advance",$B984))+ISNUMBER(SEARCH("payout",$B984))+ISNUMBER(SEARCH("pay out",$B984))+ISNUMBER(SEARCH("reimburs",$B984))&gt;0,"Transfer",IF(ISNUMBER(SEARCH("loan",$B984))+ISNUMBER(SEARCH("amort",$B984))+ISNUMBER(SEARCH("installment",$B984))+ISNUMBER(SEARCH("instalment",$B984))&gt;0,"Financing",IF(ISNUMBER(SEARCH("draw",$B984))+ISNUMBER(SEARCH("owner",$B984))+ISNUMBER(SEARCH("asset",$B984))+ISNUMBER(SEARCH("capital",$B984))&gt;0,"Other",IF(ISNUMBER(SEARCH("fuel",$B984))+ISNUMBER(SEARCH("diesel",$B984))+ISNUMBER(SEARCH("krudo",$B984))+ISNUMBER(SEARCH("gasolina",$B984))+ISNUMBER(SEARCH("toll",$B984))+ISNUMBER(SEARCH("parking",$B984))+ISNUMBER(SEARCH("repair",$B984))+ISNUMBER(SEARCH("maintenance",$B984))+ISNUMBER(SEARCH("tire",$B984))+ISNUMBER(SEARCH("tyre",$B984))+ISNUMBER(SEARCH("battery",$B984))+ISNUMBER(SEARCH("oil",$B984))+ISNUMBER(SEARCH("filter",$B984))+ISNUMBER(SEARCH("spare",$B984))+ISNUMBER(SEARCH("insurance",$B984))+ISNUMBER(SEARCH("lto",$B984))+ISNUMBER(SEARCH("registration",$B984))+ISNUMBER(SEARCH("emission",$B984))+ISNUMBER(SEARCH("wash",$B984))+ISNUMBER(SEARCH("weigh",$B984))+ISNUMBER(SEARCH("tarp",$B984))&gt;0,"Vehicle",IF(ISNUMBER(SEARCH("rent",$B984))+ISNUMBER(SEARCH("upa",$B984))+ISNUMBER(SEARCH("salary",$B984))+ISNUMBER(SEARCH("sweldo",$B984))+ISNUMBER(SEARCH("wage",$B984))+ISNUMBER(SEARCH("electric",$B984))+ISNUMBER(SEARCH("kuryente",$B984))+ISNUMBER(SEARCH("water",$B984))+ISNUMBER(SEARCH("tubig",$B984))+ISNUMBER(SEARCH("internet",$B984))+ISNUMBER(SEARCH("pldt",$B984))+ISNUMBER(SEARCH("meralco",$B984))+ISNUMBER(SEARCH("supplies",$B984))+ISNUMBER(SEARCH("office",$B984))+ISNUMBER(SEARCH("professional",$B984))+ISNUMBER(SEARCH("accountant",$B984))+ISNUMBER(SEARCH("lawyer",$B984))+ISNUMBER(SEARCH("broker",$B984))+ISNUMBER(SEARCH("bank",$B984))+ISNUMBER(SEARCH("charge",$B984))+ISNUMBER(SEARCH("permit",$B984))+ISNUMBER(SEARCH("bir",$B984))+ISNUMBER(SEARCH("ltfrb",$B984))+ISNUMBER(SEARCH("misc",$B984))+ISNUMBER(SEARCH("fee",$B984))&gt;0,"Overhead","Overhead")))))))</f>
        <v/>
      </c>
      <c r="J984">
        <f>IF($A984="","",DATE(YEAR($A984),MONTH($A984),1))</f>
        <v/>
      </c>
      <c r="K984">
        <f>IF($B984="","",IF(COUNTIF(Setup!$A$99:$A$128,$B984)&gt;0,0,1))</f>
        <v/>
      </c>
      <c r="L984">
        <f>IF($B984="","",IF(ISNUMBER(SEARCH("advance",$B984)),"ADV",IF(OR(ISNUMBER(SEARCH("payout",$B984)),ISNUMBER(SEARCH("pay out",$B984)),ISNUMBER(SEARCH("release",$B984))),"PAY","")))</f>
        <v/>
      </c>
      <c r="M984">
        <f>IF($B984="","",IF(ISNUMBER(SEARCH("bulk",$B984)),0,IF(ISNUMBER(SEARCH("fuel",$B984))+ISNUMBER(SEARCH("diesel",$B984))+ISNUMBER(SEARCH("krudo",$B984))+ISNUMBER(SEARCH("gasolina",$B984))&gt;0,1,0)))</f>
        <v/>
      </c>
      <c r="N984">
        <f>IF($B984="","",IF(ISNUMBER(SEARCH("fuel",$B984))+ISNUMBER(SEARCH("diesel",$B984))+ISNUMBER(SEARCH("krudo",$B984))+ISNUMBER(SEARCH("gasolina",$B984))&gt;0,1,0))</f>
        <v/>
      </c>
    </row>
    <row r="985">
      <c r="A985" s="86" t="n"/>
      <c r="B985" s="88" t="n"/>
      <c r="C985" s="88" t="n"/>
      <c r="D985" s="87" t="n"/>
      <c r="E985" s="88" t="n"/>
      <c r="F985" s="92" t="n"/>
      <c r="G985" s="87" t="n"/>
      <c r="H985" s="87" t="n"/>
      <c r="I985" s="101">
        <f>IF($B985="","",IF(COUNTIF(Setup!$A$99:$A$128,$B985)&gt;0,IF(INDEX(Setup!$B$99:$B$128,MATCH($B985,Setup!$A$99:$A$128,0))="","Overhead",INDEX(Setup!$B$99:$B$128,MATCH($B985,Setup!$A$99:$A$128,0))),IF(ISNUMBER(SEARCH("advance",$B985))+ISNUMBER(SEARCH("payout",$B985))+ISNUMBER(SEARCH("pay out",$B985))+ISNUMBER(SEARCH("reimburs",$B985))&gt;0,"Transfer",IF(ISNUMBER(SEARCH("loan",$B985))+ISNUMBER(SEARCH("amort",$B985))+ISNUMBER(SEARCH("installment",$B985))+ISNUMBER(SEARCH("instalment",$B985))&gt;0,"Financing",IF(ISNUMBER(SEARCH("draw",$B985))+ISNUMBER(SEARCH("owner",$B985))+ISNUMBER(SEARCH("asset",$B985))+ISNUMBER(SEARCH("capital",$B985))&gt;0,"Other",IF(ISNUMBER(SEARCH("fuel",$B985))+ISNUMBER(SEARCH("diesel",$B985))+ISNUMBER(SEARCH("krudo",$B985))+ISNUMBER(SEARCH("gasolina",$B985))+ISNUMBER(SEARCH("toll",$B985))+ISNUMBER(SEARCH("parking",$B985))+ISNUMBER(SEARCH("repair",$B985))+ISNUMBER(SEARCH("maintenance",$B985))+ISNUMBER(SEARCH("tire",$B985))+ISNUMBER(SEARCH("tyre",$B985))+ISNUMBER(SEARCH("battery",$B985))+ISNUMBER(SEARCH("oil",$B985))+ISNUMBER(SEARCH("filter",$B985))+ISNUMBER(SEARCH("spare",$B985))+ISNUMBER(SEARCH("insurance",$B985))+ISNUMBER(SEARCH("lto",$B985))+ISNUMBER(SEARCH("registration",$B985))+ISNUMBER(SEARCH("emission",$B985))+ISNUMBER(SEARCH("wash",$B985))+ISNUMBER(SEARCH("weigh",$B985))+ISNUMBER(SEARCH("tarp",$B985))&gt;0,"Vehicle",IF(ISNUMBER(SEARCH("rent",$B985))+ISNUMBER(SEARCH("upa",$B985))+ISNUMBER(SEARCH("salary",$B985))+ISNUMBER(SEARCH("sweldo",$B985))+ISNUMBER(SEARCH("wage",$B985))+ISNUMBER(SEARCH("electric",$B985))+ISNUMBER(SEARCH("kuryente",$B985))+ISNUMBER(SEARCH("water",$B985))+ISNUMBER(SEARCH("tubig",$B985))+ISNUMBER(SEARCH("internet",$B985))+ISNUMBER(SEARCH("pldt",$B985))+ISNUMBER(SEARCH("meralco",$B985))+ISNUMBER(SEARCH("supplies",$B985))+ISNUMBER(SEARCH("office",$B985))+ISNUMBER(SEARCH("professional",$B985))+ISNUMBER(SEARCH("accountant",$B985))+ISNUMBER(SEARCH("lawyer",$B985))+ISNUMBER(SEARCH("broker",$B985))+ISNUMBER(SEARCH("bank",$B985))+ISNUMBER(SEARCH("charge",$B985))+ISNUMBER(SEARCH("permit",$B985))+ISNUMBER(SEARCH("bir",$B985))+ISNUMBER(SEARCH("ltfrb",$B985))+ISNUMBER(SEARCH("misc",$B985))+ISNUMBER(SEARCH("fee",$B985))&gt;0,"Overhead","Overhead")))))))</f>
        <v/>
      </c>
      <c r="J985">
        <f>IF($A985="","",DATE(YEAR($A985),MONTH($A985),1))</f>
        <v/>
      </c>
      <c r="K985">
        <f>IF($B985="","",IF(COUNTIF(Setup!$A$99:$A$128,$B985)&gt;0,0,1))</f>
        <v/>
      </c>
      <c r="L985">
        <f>IF($B985="","",IF(ISNUMBER(SEARCH("advance",$B985)),"ADV",IF(OR(ISNUMBER(SEARCH("payout",$B985)),ISNUMBER(SEARCH("pay out",$B985)),ISNUMBER(SEARCH("release",$B985))),"PAY","")))</f>
        <v/>
      </c>
      <c r="M985">
        <f>IF($B985="","",IF(ISNUMBER(SEARCH("bulk",$B985)),0,IF(ISNUMBER(SEARCH("fuel",$B985))+ISNUMBER(SEARCH("diesel",$B985))+ISNUMBER(SEARCH("krudo",$B985))+ISNUMBER(SEARCH("gasolina",$B985))&gt;0,1,0)))</f>
        <v/>
      </c>
      <c r="N985">
        <f>IF($B985="","",IF(ISNUMBER(SEARCH("fuel",$B985))+ISNUMBER(SEARCH("diesel",$B985))+ISNUMBER(SEARCH("krudo",$B985))+ISNUMBER(SEARCH("gasolina",$B985))&gt;0,1,0))</f>
        <v/>
      </c>
    </row>
    <row r="986">
      <c r="A986" s="94" t="n"/>
      <c r="B986" s="96" t="n"/>
      <c r="C986" s="96" t="n"/>
      <c r="D986" s="95" t="n"/>
      <c r="E986" s="96" t="n"/>
      <c r="F986" s="99" t="n"/>
      <c r="G986" s="95" t="n"/>
      <c r="H986" s="95" t="n"/>
      <c r="I986" s="101">
        <f>IF($B986="","",IF(COUNTIF(Setup!$A$99:$A$128,$B986)&gt;0,IF(INDEX(Setup!$B$99:$B$128,MATCH($B986,Setup!$A$99:$A$128,0))="","Overhead",INDEX(Setup!$B$99:$B$128,MATCH($B986,Setup!$A$99:$A$128,0))),IF(ISNUMBER(SEARCH("advance",$B986))+ISNUMBER(SEARCH("payout",$B986))+ISNUMBER(SEARCH("pay out",$B986))+ISNUMBER(SEARCH("reimburs",$B986))&gt;0,"Transfer",IF(ISNUMBER(SEARCH("loan",$B986))+ISNUMBER(SEARCH("amort",$B986))+ISNUMBER(SEARCH("installment",$B986))+ISNUMBER(SEARCH("instalment",$B986))&gt;0,"Financing",IF(ISNUMBER(SEARCH("draw",$B986))+ISNUMBER(SEARCH("owner",$B986))+ISNUMBER(SEARCH("asset",$B986))+ISNUMBER(SEARCH("capital",$B986))&gt;0,"Other",IF(ISNUMBER(SEARCH("fuel",$B986))+ISNUMBER(SEARCH("diesel",$B986))+ISNUMBER(SEARCH("krudo",$B986))+ISNUMBER(SEARCH("gasolina",$B986))+ISNUMBER(SEARCH("toll",$B986))+ISNUMBER(SEARCH("parking",$B986))+ISNUMBER(SEARCH("repair",$B986))+ISNUMBER(SEARCH("maintenance",$B986))+ISNUMBER(SEARCH("tire",$B986))+ISNUMBER(SEARCH("tyre",$B986))+ISNUMBER(SEARCH("battery",$B986))+ISNUMBER(SEARCH("oil",$B986))+ISNUMBER(SEARCH("filter",$B986))+ISNUMBER(SEARCH("spare",$B986))+ISNUMBER(SEARCH("insurance",$B986))+ISNUMBER(SEARCH("lto",$B986))+ISNUMBER(SEARCH("registration",$B986))+ISNUMBER(SEARCH("emission",$B986))+ISNUMBER(SEARCH("wash",$B986))+ISNUMBER(SEARCH("weigh",$B986))+ISNUMBER(SEARCH("tarp",$B986))&gt;0,"Vehicle",IF(ISNUMBER(SEARCH("rent",$B986))+ISNUMBER(SEARCH("upa",$B986))+ISNUMBER(SEARCH("salary",$B986))+ISNUMBER(SEARCH("sweldo",$B986))+ISNUMBER(SEARCH("wage",$B986))+ISNUMBER(SEARCH("electric",$B986))+ISNUMBER(SEARCH("kuryente",$B986))+ISNUMBER(SEARCH("water",$B986))+ISNUMBER(SEARCH("tubig",$B986))+ISNUMBER(SEARCH("internet",$B986))+ISNUMBER(SEARCH("pldt",$B986))+ISNUMBER(SEARCH("meralco",$B986))+ISNUMBER(SEARCH("supplies",$B986))+ISNUMBER(SEARCH("office",$B986))+ISNUMBER(SEARCH("professional",$B986))+ISNUMBER(SEARCH("accountant",$B986))+ISNUMBER(SEARCH("lawyer",$B986))+ISNUMBER(SEARCH("broker",$B986))+ISNUMBER(SEARCH("bank",$B986))+ISNUMBER(SEARCH("charge",$B986))+ISNUMBER(SEARCH("permit",$B986))+ISNUMBER(SEARCH("bir",$B986))+ISNUMBER(SEARCH("ltfrb",$B986))+ISNUMBER(SEARCH("misc",$B986))+ISNUMBER(SEARCH("fee",$B986))&gt;0,"Overhead","Overhead")))))))</f>
        <v/>
      </c>
      <c r="J986">
        <f>IF($A986="","",DATE(YEAR($A986),MONTH($A986),1))</f>
        <v/>
      </c>
      <c r="K986">
        <f>IF($B986="","",IF(COUNTIF(Setup!$A$99:$A$128,$B986)&gt;0,0,1))</f>
        <v/>
      </c>
      <c r="L986">
        <f>IF($B986="","",IF(ISNUMBER(SEARCH("advance",$B986)),"ADV",IF(OR(ISNUMBER(SEARCH("payout",$B986)),ISNUMBER(SEARCH("pay out",$B986)),ISNUMBER(SEARCH("release",$B986))),"PAY","")))</f>
        <v/>
      </c>
      <c r="M986">
        <f>IF($B986="","",IF(ISNUMBER(SEARCH("bulk",$B986)),0,IF(ISNUMBER(SEARCH("fuel",$B986))+ISNUMBER(SEARCH("diesel",$B986))+ISNUMBER(SEARCH("krudo",$B986))+ISNUMBER(SEARCH("gasolina",$B986))&gt;0,1,0)))</f>
        <v/>
      </c>
      <c r="N986">
        <f>IF($B986="","",IF(ISNUMBER(SEARCH("fuel",$B986))+ISNUMBER(SEARCH("diesel",$B986))+ISNUMBER(SEARCH("krudo",$B986))+ISNUMBER(SEARCH("gasolina",$B986))&gt;0,1,0))</f>
        <v/>
      </c>
    </row>
    <row r="987">
      <c r="A987" s="86" t="n"/>
      <c r="B987" s="88" t="n"/>
      <c r="C987" s="88" t="n"/>
      <c r="D987" s="87" t="n"/>
      <c r="E987" s="88" t="n"/>
      <c r="F987" s="92" t="n"/>
      <c r="G987" s="87" t="n"/>
      <c r="H987" s="87" t="n"/>
      <c r="I987" s="101">
        <f>IF($B987="","",IF(COUNTIF(Setup!$A$99:$A$128,$B987)&gt;0,IF(INDEX(Setup!$B$99:$B$128,MATCH($B987,Setup!$A$99:$A$128,0))="","Overhead",INDEX(Setup!$B$99:$B$128,MATCH($B987,Setup!$A$99:$A$128,0))),IF(ISNUMBER(SEARCH("advance",$B987))+ISNUMBER(SEARCH("payout",$B987))+ISNUMBER(SEARCH("pay out",$B987))+ISNUMBER(SEARCH("reimburs",$B987))&gt;0,"Transfer",IF(ISNUMBER(SEARCH("loan",$B987))+ISNUMBER(SEARCH("amort",$B987))+ISNUMBER(SEARCH("installment",$B987))+ISNUMBER(SEARCH("instalment",$B987))&gt;0,"Financing",IF(ISNUMBER(SEARCH("draw",$B987))+ISNUMBER(SEARCH("owner",$B987))+ISNUMBER(SEARCH("asset",$B987))+ISNUMBER(SEARCH("capital",$B987))&gt;0,"Other",IF(ISNUMBER(SEARCH("fuel",$B987))+ISNUMBER(SEARCH("diesel",$B987))+ISNUMBER(SEARCH("krudo",$B987))+ISNUMBER(SEARCH("gasolina",$B987))+ISNUMBER(SEARCH("toll",$B987))+ISNUMBER(SEARCH("parking",$B987))+ISNUMBER(SEARCH("repair",$B987))+ISNUMBER(SEARCH("maintenance",$B987))+ISNUMBER(SEARCH("tire",$B987))+ISNUMBER(SEARCH("tyre",$B987))+ISNUMBER(SEARCH("battery",$B987))+ISNUMBER(SEARCH("oil",$B987))+ISNUMBER(SEARCH("filter",$B987))+ISNUMBER(SEARCH("spare",$B987))+ISNUMBER(SEARCH("insurance",$B987))+ISNUMBER(SEARCH("lto",$B987))+ISNUMBER(SEARCH("registration",$B987))+ISNUMBER(SEARCH("emission",$B987))+ISNUMBER(SEARCH("wash",$B987))+ISNUMBER(SEARCH("weigh",$B987))+ISNUMBER(SEARCH("tarp",$B987))&gt;0,"Vehicle",IF(ISNUMBER(SEARCH("rent",$B987))+ISNUMBER(SEARCH("upa",$B987))+ISNUMBER(SEARCH("salary",$B987))+ISNUMBER(SEARCH("sweldo",$B987))+ISNUMBER(SEARCH("wage",$B987))+ISNUMBER(SEARCH("electric",$B987))+ISNUMBER(SEARCH("kuryente",$B987))+ISNUMBER(SEARCH("water",$B987))+ISNUMBER(SEARCH("tubig",$B987))+ISNUMBER(SEARCH("internet",$B987))+ISNUMBER(SEARCH("pldt",$B987))+ISNUMBER(SEARCH("meralco",$B987))+ISNUMBER(SEARCH("supplies",$B987))+ISNUMBER(SEARCH("office",$B987))+ISNUMBER(SEARCH("professional",$B987))+ISNUMBER(SEARCH("accountant",$B987))+ISNUMBER(SEARCH("lawyer",$B987))+ISNUMBER(SEARCH("broker",$B987))+ISNUMBER(SEARCH("bank",$B987))+ISNUMBER(SEARCH("charge",$B987))+ISNUMBER(SEARCH("permit",$B987))+ISNUMBER(SEARCH("bir",$B987))+ISNUMBER(SEARCH("ltfrb",$B987))+ISNUMBER(SEARCH("misc",$B987))+ISNUMBER(SEARCH("fee",$B987))&gt;0,"Overhead","Overhead")))))))</f>
        <v/>
      </c>
      <c r="J987">
        <f>IF($A987="","",DATE(YEAR($A987),MONTH($A987),1))</f>
        <v/>
      </c>
      <c r="K987">
        <f>IF($B987="","",IF(COUNTIF(Setup!$A$99:$A$128,$B987)&gt;0,0,1))</f>
        <v/>
      </c>
      <c r="L987">
        <f>IF($B987="","",IF(ISNUMBER(SEARCH("advance",$B987)),"ADV",IF(OR(ISNUMBER(SEARCH("payout",$B987)),ISNUMBER(SEARCH("pay out",$B987)),ISNUMBER(SEARCH("release",$B987))),"PAY","")))</f>
        <v/>
      </c>
      <c r="M987">
        <f>IF($B987="","",IF(ISNUMBER(SEARCH("bulk",$B987)),0,IF(ISNUMBER(SEARCH("fuel",$B987))+ISNUMBER(SEARCH("diesel",$B987))+ISNUMBER(SEARCH("krudo",$B987))+ISNUMBER(SEARCH("gasolina",$B987))&gt;0,1,0)))</f>
        <v/>
      </c>
      <c r="N987">
        <f>IF($B987="","",IF(ISNUMBER(SEARCH("fuel",$B987))+ISNUMBER(SEARCH("diesel",$B987))+ISNUMBER(SEARCH("krudo",$B987))+ISNUMBER(SEARCH("gasolina",$B987))&gt;0,1,0))</f>
        <v/>
      </c>
    </row>
    <row r="988">
      <c r="A988" s="94" t="n"/>
      <c r="B988" s="96" t="n"/>
      <c r="C988" s="96" t="n"/>
      <c r="D988" s="95" t="n"/>
      <c r="E988" s="96" t="n"/>
      <c r="F988" s="99" t="n"/>
      <c r="G988" s="95" t="n"/>
      <c r="H988" s="95" t="n"/>
      <c r="I988" s="101">
        <f>IF($B988="","",IF(COUNTIF(Setup!$A$99:$A$128,$B988)&gt;0,IF(INDEX(Setup!$B$99:$B$128,MATCH($B988,Setup!$A$99:$A$128,0))="","Overhead",INDEX(Setup!$B$99:$B$128,MATCH($B988,Setup!$A$99:$A$128,0))),IF(ISNUMBER(SEARCH("advance",$B988))+ISNUMBER(SEARCH("payout",$B988))+ISNUMBER(SEARCH("pay out",$B988))+ISNUMBER(SEARCH("reimburs",$B988))&gt;0,"Transfer",IF(ISNUMBER(SEARCH("loan",$B988))+ISNUMBER(SEARCH("amort",$B988))+ISNUMBER(SEARCH("installment",$B988))+ISNUMBER(SEARCH("instalment",$B988))&gt;0,"Financing",IF(ISNUMBER(SEARCH("draw",$B988))+ISNUMBER(SEARCH("owner",$B988))+ISNUMBER(SEARCH("asset",$B988))+ISNUMBER(SEARCH("capital",$B988))&gt;0,"Other",IF(ISNUMBER(SEARCH("fuel",$B988))+ISNUMBER(SEARCH("diesel",$B988))+ISNUMBER(SEARCH("krudo",$B988))+ISNUMBER(SEARCH("gasolina",$B988))+ISNUMBER(SEARCH("toll",$B988))+ISNUMBER(SEARCH("parking",$B988))+ISNUMBER(SEARCH("repair",$B988))+ISNUMBER(SEARCH("maintenance",$B988))+ISNUMBER(SEARCH("tire",$B988))+ISNUMBER(SEARCH("tyre",$B988))+ISNUMBER(SEARCH("battery",$B988))+ISNUMBER(SEARCH("oil",$B988))+ISNUMBER(SEARCH("filter",$B988))+ISNUMBER(SEARCH("spare",$B988))+ISNUMBER(SEARCH("insurance",$B988))+ISNUMBER(SEARCH("lto",$B988))+ISNUMBER(SEARCH("registration",$B988))+ISNUMBER(SEARCH("emission",$B988))+ISNUMBER(SEARCH("wash",$B988))+ISNUMBER(SEARCH("weigh",$B988))+ISNUMBER(SEARCH("tarp",$B988))&gt;0,"Vehicle",IF(ISNUMBER(SEARCH("rent",$B988))+ISNUMBER(SEARCH("upa",$B988))+ISNUMBER(SEARCH("salary",$B988))+ISNUMBER(SEARCH("sweldo",$B988))+ISNUMBER(SEARCH("wage",$B988))+ISNUMBER(SEARCH("electric",$B988))+ISNUMBER(SEARCH("kuryente",$B988))+ISNUMBER(SEARCH("water",$B988))+ISNUMBER(SEARCH("tubig",$B988))+ISNUMBER(SEARCH("internet",$B988))+ISNUMBER(SEARCH("pldt",$B988))+ISNUMBER(SEARCH("meralco",$B988))+ISNUMBER(SEARCH("supplies",$B988))+ISNUMBER(SEARCH("office",$B988))+ISNUMBER(SEARCH("professional",$B988))+ISNUMBER(SEARCH("accountant",$B988))+ISNUMBER(SEARCH("lawyer",$B988))+ISNUMBER(SEARCH("broker",$B988))+ISNUMBER(SEARCH("bank",$B988))+ISNUMBER(SEARCH("charge",$B988))+ISNUMBER(SEARCH("permit",$B988))+ISNUMBER(SEARCH("bir",$B988))+ISNUMBER(SEARCH("ltfrb",$B988))+ISNUMBER(SEARCH("misc",$B988))+ISNUMBER(SEARCH("fee",$B988))&gt;0,"Overhead","Overhead")))))))</f>
        <v/>
      </c>
      <c r="J988">
        <f>IF($A988="","",DATE(YEAR($A988),MONTH($A988),1))</f>
        <v/>
      </c>
      <c r="K988">
        <f>IF($B988="","",IF(COUNTIF(Setup!$A$99:$A$128,$B988)&gt;0,0,1))</f>
        <v/>
      </c>
      <c r="L988">
        <f>IF($B988="","",IF(ISNUMBER(SEARCH("advance",$B988)),"ADV",IF(OR(ISNUMBER(SEARCH("payout",$B988)),ISNUMBER(SEARCH("pay out",$B988)),ISNUMBER(SEARCH("release",$B988))),"PAY","")))</f>
        <v/>
      </c>
      <c r="M988">
        <f>IF($B988="","",IF(ISNUMBER(SEARCH("bulk",$B988)),0,IF(ISNUMBER(SEARCH("fuel",$B988))+ISNUMBER(SEARCH("diesel",$B988))+ISNUMBER(SEARCH("krudo",$B988))+ISNUMBER(SEARCH("gasolina",$B988))&gt;0,1,0)))</f>
        <v/>
      </c>
      <c r="N988">
        <f>IF($B988="","",IF(ISNUMBER(SEARCH("fuel",$B988))+ISNUMBER(SEARCH("diesel",$B988))+ISNUMBER(SEARCH("krudo",$B988))+ISNUMBER(SEARCH("gasolina",$B988))&gt;0,1,0))</f>
        <v/>
      </c>
    </row>
    <row r="989">
      <c r="A989" s="86" t="n"/>
      <c r="B989" s="88" t="n"/>
      <c r="C989" s="88" t="n"/>
      <c r="D989" s="87" t="n"/>
      <c r="E989" s="88" t="n"/>
      <c r="F989" s="92" t="n"/>
      <c r="G989" s="87" t="n"/>
      <c r="H989" s="87" t="n"/>
      <c r="I989" s="101">
        <f>IF($B989="","",IF(COUNTIF(Setup!$A$99:$A$128,$B989)&gt;0,IF(INDEX(Setup!$B$99:$B$128,MATCH($B989,Setup!$A$99:$A$128,0))="","Overhead",INDEX(Setup!$B$99:$B$128,MATCH($B989,Setup!$A$99:$A$128,0))),IF(ISNUMBER(SEARCH("advance",$B989))+ISNUMBER(SEARCH("payout",$B989))+ISNUMBER(SEARCH("pay out",$B989))+ISNUMBER(SEARCH("reimburs",$B989))&gt;0,"Transfer",IF(ISNUMBER(SEARCH("loan",$B989))+ISNUMBER(SEARCH("amort",$B989))+ISNUMBER(SEARCH("installment",$B989))+ISNUMBER(SEARCH("instalment",$B989))&gt;0,"Financing",IF(ISNUMBER(SEARCH("draw",$B989))+ISNUMBER(SEARCH("owner",$B989))+ISNUMBER(SEARCH("asset",$B989))+ISNUMBER(SEARCH("capital",$B989))&gt;0,"Other",IF(ISNUMBER(SEARCH("fuel",$B989))+ISNUMBER(SEARCH("diesel",$B989))+ISNUMBER(SEARCH("krudo",$B989))+ISNUMBER(SEARCH("gasolina",$B989))+ISNUMBER(SEARCH("toll",$B989))+ISNUMBER(SEARCH("parking",$B989))+ISNUMBER(SEARCH("repair",$B989))+ISNUMBER(SEARCH("maintenance",$B989))+ISNUMBER(SEARCH("tire",$B989))+ISNUMBER(SEARCH("tyre",$B989))+ISNUMBER(SEARCH("battery",$B989))+ISNUMBER(SEARCH("oil",$B989))+ISNUMBER(SEARCH("filter",$B989))+ISNUMBER(SEARCH("spare",$B989))+ISNUMBER(SEARCH("insurance",$B989))+ISNUMBER(SEARCH("lto",$B989))+ISNUMBER(SEARCH("registration",$B989))+ISNUMBER(SEARCH("emission",$B989))+ISNUMBER(SEARCH("wash",$B989))+ISNUMBER(SEARCH("weigh",$B989))+ISNUMBER(SEARCH("tarp",$B989))&gt;0,"Vehicle",IF(ISNUMBER(SEARCH("rent",$B989))+ISNUMBER(SEARCH("upa",$B989))+ISNUMBER(SEARCH("salary",$B989))+ISNUMBER(SEARCH("sweldo",$B989))+ISNUMBER(SEARCH("wage",$B989))+ISNUMBER(SEARCH("electric",$B989))+ISNUMBER(SEARCH("kuryente",$B989))+ISNUMBER(SEARCH("water",$B989))+ISNUMBER(SEARCH("tubig",$B989))+ISNUMBER(SEARCH("internet",$B989))+ISNUMBER(SEARCH("pldt",$B989))+ISNUMBER(SEARCH("meralco",$B989))+ISNUMBER(SEARCH("supplies",$B989))+ISNUMBER(SEARCH("office",$B989))+ISNUMBER(SEARCH("professional",$B989))+ISNUMBER(SEARCH("accountant",$B989))+ISNUMBER(SEARCH("lawyer",$B989))+ISNUMBER(SEARCH("broker",$B989))+ISNUMBER(SEARCH("bank",$B989))+ISNUMBER(SEARCH("charge",$B989))+ISNUMBER(SEARCH("permit",$B989))+ISNUMBER(SEARCH("bir",$B989))+ISNUMBER(SEARCH("ltfrb",$B989))+ISNUMBER(SEARCH("misc",$B989))+ISNUMBER(SEARCH("fee",$B989))&gt;0,"Overhead","Overhead")))))))</f>
        <v/>
      </c>
      <c r="J989">
        <f>IF($A989="","",DATE(YEAR($A989),MONTH($A989),1))</f>
        <v/>
      </c>
      <c r="K989">
        <f>IF($B989="","",IF(COUNTIF(Setup!$A$99:$A$128,$B989)&gt;0,0,1))</f>
        <v/>
      </c>
      <c r="L989">
        <f>IF($B989="","",IF(ISNUMBER(SEARCH("advance",$B989)),"ADV",IF(OR(ISNUMBER(SEARCH("payout",$B989)),ISNUMBER(SEARCH("pay out",$B989)),ISNUMBER(SEARCH("release",$B989))),"PAY","")))</f>
        <v/>
      </c>
      <c r="M989">
        <f>IF($B989="","",IF(ISNUMBER(SEARCH("bulk",$B989)),0,IF(ISNUMBER(SEARCH("fuel",$B989))+ISNUMBER(SEARCH("diesel",$B989))+ISNUMBER(SEARCH("krudo",$B989))+ISNUMBER(SEARCH("gasolina",$B989))&gt;0,1,0)))</f>
        <v/>
      </c>
      <c r="N989">
        <f>IF($B989="","",IF(ISNUMBER(SEARCH("fuel",$B989))+ISNUMBER(SEARCH("diesel",$B989))+ISNUMBER(SEARCH("krudo",$B989))+ISNUMBER(SEARCH("gasolina",$B989))&gt;0,1,0))</f>
        <v/>
      </c>
    </row>
    <row r="990">
      <c r="A990" s="94" t="n"/>
      <c r="B990" s="96" t="n"/>
      <c r="C990" s="96" t="n"/>
      <c r="D990" s="95" t="n"/>
      <c r="E990" s="96" t="n"/>
      <c r="F990" s="99" t="n"/>
      <c r="G990" s="95" t="n"/>
      <c r="H990" s="95" t="n"/>
      <c r="I990" s="101">
        <f>IF($B990="","",IF(COUNTIF(Setup!$A$99:$A$128,$B990)&gt;0,IF(INDEX(Setup!$B$99:$B$128,MATCH($B990,Setup!$A$99:$A$128,0))="","Overhead",INDEX(Setup!$B$99:$B$128,MATCH($B990,Setup!$A$99:$A$128,0))),IF(ISNUMBER(SEARCH("advance",$B990))+ISNUMBER(SEARCH("payout",$B990))+ISNUMBER(SEARCH("pay out",$B990))+ISNUMBER(SEARCH("reimburs",$B990))&gt;0,"Transfer",IF(ISNUMBER(SEARCH("loan",$B990))+ISNUMBER(SEARCH("amort",$B990))+ISNUMBER(SEARCH("installment",$B990))+ISNUMBER(SEARCH("instalment",$B990))&gt;0,"Financing",IF(ISNUMBER(SEARCH("draw",$B990))+ISNUMBER(SEARCH("owner",$B990))+ISNUMBER(SEARCH("asset",$B990))+ISNUMBER(SEARCH("capital",$B990))&gt;0,"Other",IF(ISNUMBER(SEARCH("fuel",$B990))+ISNUMBER(SEARCH("diesel",$B990))+ISNUMBER(SEARCH("krudo",$B990))+ISNUMBER(SEARCH("gasolina",$B990))+ISNUMBER(SEARCH("toll",$B990))+ISNUMBER(SEARCH("parking",$B990))+ISNUMBER(SEARCH("repair",$B990))+ISNUMBER(SEARCH("maintenance",$B990))+ISNUMBER(SEARCH("tire",$B990))+ISNUMBER(SEARCH("tyre",$B990))+ISNUMBER(SEARCH("battery",$B990))+ISNUMBER(SEARCH("oil",$B990))+ISNUMBER(SEARCH("filter",$B990))+ISNUMBER(SEARCH("spare",$B990))+ISNUMBER(SEARCH("insurance",$B990))+ISNUMBER(SEARCH("lto",$B990))+ISNUMBER(SEARCH("registration",$B990))+ISNUMBER(SEARCH("emission",$B990))+ISNUMBER(SEARCH("wash",$B990))+ISNUMBER(SEARCH("weigh",$B990))+ISNUMBER(SEARCH("tarp",$B990))&gt;0,"Vehicle",IF(ISNUMBER(SEARCH("rent",$B990))+ISNUMBER(SEARCH("upa",$B990))+ISNUMBER(SEARCH("salary",$B990))+ISNUMBER(SEARCH("sweldo",$B990))+ISNUMBER(SEARCH("wage",$B990))+ISNUMBER(SEARCH("electric",$B990))+ISNUMBER(SEARCH("kuryente",$B990))+ISNUMBER(SEARCH("water",$B990))+ISNUMBER(SEARCH("tubig",$B990))+ISNUMBER(SEARCH("internet",$B990))+ISNUMBER(SEARCH("pldt",$B990))+ISNUMBER(SEARCH("meralco",$B990))+ISNUMBER(SEARCH("supplies",$B990))+ISNUMBER(SEARCH("office",$B990))+ISNUMBER(SEARCH("professional",$B990))+ISNUMBER(SEARCH("accountant",$B990))+ISNUMBER(SEARCH("lawyer",$B990))+ISNUMBER(SEARCH("broker",$B990))+ISNUMBER(SEARCH("bank",$B990))+ISNUMBER(SEARCH("charge",$B990))+ISNUMBER(SEARCH("permit",$B990))+ISNUMBER(SEARCH("bir",$B990))+ISNUMBER(SEARCH("ltfrb",$B990))+ISNUMBER(SEARCH("misc",$B990))+ISNUMBER(SEARCH("fee",$B990))&gt;0,"Overhead","Overhead")))))))</f>
        <v/>
      </c>
      <c r="J990">
        <f>IF($A990="","",DATE(YEAR($A990),MONTH($A990),1))</f>
        <v/>
      </c>
      <c r="K990">
        <f>IF($B990="","",IF(COUNTIF(Setup!$A$99:$A$128,$B990)&gt;0,0,1))</f>
        <v/>
      </c>
      <c r="L990">
        <f>IF($B990="","",IF(ISNUMBER(SEARCH("advance",$B990)),"ADV",IF(OR(ISNUMBER(SEARCH("payout",$B990)),ISNUMBER(SEARCH("pay out",$B990)),ISNUMBER(SEARCH("release",$B990))),"PAY","")))</f>
        <v/>
      </c>
      <c r="M990">
        <f>IF($B990="","",IF(ISNUMBER(SEARCH("bulk",$B990)),0,IF(ISNUMBER(SEARCH("fuel",$B990))+ISNUMBER(SEARCH("diesel",$B990))+ISNUMBER(SEARCH("krudo",$B990))+ISNUMBER(SEARCH("gasolina",$B990))&gt;0,1,0)))</f>
        <v/>
      </c>
      <c r="N990">
        <f>IF($B990="","",IF(ISNUMBER(SEARCH("fuel",$B990))+ISNUMBER(SEARCH("diesel",$B990))+ISNUMBER(SEARCH("krudo",$B990))+ISNUMBER(SEARCH("gasolina",$B990))&gt;0,1,0))</f>
        <v/>
      </c>
    </row>
    <row r="991">
      <c r="A991" s="86" t="n"/>
      <c r="B991" s="88" t="n"/>
      <c r="C991" s="88" t="n"/>
      <c r="D991" s="87" t="n"/>
      <c r="E991" s="88" t="n"/>
      <c r="F991" s="92" t="n"/>
      <c r="G991" s="87" t="n"/>
      <c r="H991" s="87" t="n"/>
      <c r="I991" s="101">
        <f>IF($B991="","",IF(COUNTIF(Setup!$A$99:$A$128,$B991)&gt;0,IF(INDEX(Setup!$B$99:$B$128,MATCH($B991,Setup!$A$99:$A$128,0))="","Overhead",INDEX(Setup!$B$99:$B$128,MATCH($B991,Setup!$A$99:$A$128,0))),IF(ISNUMBER(SEARCH("advance",$B991))+ISNUMBER(SEARCH("payout",$B991))+ISNUMBER(SEARCH("pay out",$B991))+ISNUMBER(SEARCH("reimburs",$B991))&gt;0,"Transfer",IF(ISNUMBER(SEARCH("loan",$B991))+ISNUMBER(SEARCH("amort",$B991))+ISNUMBER(SEARCH("installment",$B991))+ISNUMBER(SEARCH("instalment",$B991))&gt;0,"Financing",IF(ISNUMBER(SEARCH("draw",$B991))+ISNUMBER(SEARCH("owner",$B991))+ISNUMBER(SEARCH("asset",$B991))+ISNUMBER(SEARCH("capital",$B991))&gt;0,"Other",IF(ISNUMBER(SEARCH("fuel",$B991))+ISNUMBER(SEARCH("diesel",$B991))+ISNUMBER(SEARCH("krudo",$B991))+ISNUMBER(SEARCH("gasolina",$B991))+ISNUMBER(SEARCH("toll",$B991))+ISNUMBER(SEARCH("parking",$B991))+ISNUMBER(SEARCH("repair",$B991))+ISNUMBER(SEARCH("maintenance",$B991))+ISNUMBER(SEARCH("tire",$B991))+ISNUMBER(SEARCH("tyre",$B991))+ISNUMBER(SEARCH("battery",$B991))+ISNUMBER(SEARCH("oil",$B991))+ISNUMBER(SEARCH("filter",$B991))+ISNUMBER(SEARCH("spare",$B991))+ISNUMBER(SEARCH("insurance",$B991))+ISNUMBER(SEARCH("lto",$B991))+ISNUMBER(SEARCH("registration",$B991))+ISNUMBER(SEARCH("emission",$B991))+ISNUMBER(SEARCH("wash",$B991))+ISNUMBER(SEARCH("weigh",$B991))+ISNUMBER(SEARCH("tarp",$B991))&gt;0,"Vehicle",IF(ISNUMBER(SEARCH("rent",$B991))+ISNUMBER(SEARCH("upa",$B991))+ISNUMBER(SEARCH("salary",$B991))+ISNUMBER(SEARCH("sweldo",$B991))+ISNUMBER(SEARCH("wage",$B991))+ISNUMBER(SEARCH("electric",$B991))+ISNUMBER(SEARCH("kuryente",$B991))+ISNUMBER(SEARCH("water",$B991))+ISNUMBER(SEARCH("tubig",$B991))+ISNUMBER(SEARCH("internet",$B991))+ISNUMBER(SEARCH("pldt",$B991))+ISNUMBER(SEARCH("meralco",$B991))+ISNUMBER(SEARCH("supplies",$B991))+ISNUMBER(SEARCH("office",$B991))+ISNUMBER(SEARCH("professional",$B991))+ISNUMBER(SEARCH("accountant",$B991))+ISNUMBER(SEARCH("lawyer",$B991))+ISNUMBER(SEARCH("broker",$B991))+ISNUMBER(SEARCH("bank",$B991))+ISNUMBER(SEARCH("charge",$B991))+ISNUMBER(SEARCH("permit",$B991))+ISNUMBER(SEARCH("bir",$B991))+ISNUMBER(SEARCH("ltfrb",$B991))+ISNUMBER(SEARCH("misc",$B991))+ISNUMBER(SEARCH("fee",$B991))&gt;0,"Overhead","Overhead")))))))</f>
        <v/>
      </c>
      <c r="J991">
        <f>IF($A991="","",DATE(YEAR($A991),MONTH($A991),1))</f>
        <v/>
      </c>
      <c r="K991">
        <f>IF($B991="","",IF(COUNTIF(Setup!$A$99:$A$128,$B991)&gt;0,0,1))</f>
        <v/>
      </c>
      <c r="L991">
        <f>IF($B991="","",IF(ISNUMBER(SEARCH("advance",$B991)),"ADV",IF(OR(ISNUMBER(SEARCH("payout",$B991)),ISNUMBER(SEARCH("pay out",$B991)),ISNUMBER(SEARCH("release",$B991))),"PAY","")))</f>
        <v/>
      </c>
      <c r="M991">
        <f>IF($B991="","",IF(ISNUMBER(SEARCH("bulk",$B991)),0,IF(ISNUMBER(SEARCH("fuel",$B991))+ISNUMBER(SEARCH("diesel",$B991))+ISNUMBER(SEARCH("krudo",$B991))+ISNUMBER(SEARCH("gasolina",$B991))&gt;0,1,0)))</f>
        <v/>
      </c>
      <c r="N991">
        <f>IF($B991="","",IF(ISNUMBER(SEARCH("fuel",$B991))+ISNUMBER(SEARCH("diesel",$B991))+ISNUMBER(SEARCH("krudo",$B991))+ISNUMBER(SEARCH("gasolina",$B991))&gt;0,1,0))</f>
        <v/>
      </c>
    </row>
    <row r="992">
      <c r="A992" s="94" t="n"/>
      <c r="B992" s="96" t="n"/>
      <c r="C992" s="96" t="n"/>
      <c r="D992" s="95" t="n"/>
      <c r="E992" s="96" t="n"/>
      <c r="F992" s="99" t="n"/>
      <c r="G992" s="95" t="n"/>
      <c r="H992" s="95" t="n"/>
      <c r="I992" s="101">
        <f>IF($B992="","",IF(COUNTIF(Setup!$A$99:$A$128,$B992)&gt;0,IF(INDEX(Setup!$B$99:$B$128,MATCH($B992,Setup!$A$99:$A$128,0))="","Overhead",INDEX(Setup!$B$99:$B$128,MATCH($B992,Setup!$A$99:$A$128,0))),IF(ISNUMBER(SEARCH("advance",$B992))+ISNUMBER(SEARCH("payout",$B992))+ISNUMBER(SEARCH("pay out",$B992))+ISNUMBER(SEARCH("reimburs",$B992))&gt;0,"Transfer",IF(ISNUMBER(SEARCH("loan",$B992))+ISNUMBER(SEARCH("amort",$B992))+ISNUMBER(SEARCH("installment",$B992))+ISNUMBER(SEARCH("instalment",$B992))&gt;0,"Financing",IF(ISNUMBER(SEARCH("draw",$B992))+ISNUMBER(SEARCH("owner",$B992))+ISNUMBER(SEARCH("asset",$B992))+ISNUMBER(SEARCH("capital",$B992))&gt;0,"Other",IF(ISNUMBER(SEARCH("fuel",$B992))+ISNUMBER(SEARCH("diesel",$B992))+ISNUMBER(SEARCH("krudo",$B992))+ISNUMBER(SEARCH("gasolina",$B992))+ISNUMBER(SEARCH("toll",$B992))+ISNUMBER(SEARCH("parking",$B992))+ISNUMBER(SEARCH("repair",$B992))+ISNUMBER(SEARCH("maintenance",$B992))+ISNUMBER(SEARCH("tire",$B992))+ISNUMBER(SEARCH("tyre",$B992))+ISNUMBER(SEARCH("battery",$B992))+ISNUMBER(SEARCH("oil",$B992))+ISNUMBER(SEARCH("filter",$B992))+ISNUMBER(SEARCH("spare",$B992))+ISNUMBER(SEARCH("insurance",$B992))+ISNUMBER(SEARCH("lto",$B992))+ISNUMBER(SEARCH("registration",$B992))+ISNUMBER(SEARCH("emission",$B992))+ISNUMBER(SEARCH("wash",$B992))+ISNUMBER(SEARCH("weigh",$B992))+ISNUMBER(SEARCH("tarp",$B992))&gt;0,"Vehicle",IF(ISNUMBER(SEARCH("rent",$B992))+ISNUMBER(SEARCH("upa",$B992))+ISNUMBER(SEARCH("salary",$B992))+ISNUMBER(SEARCH("sweldo",$B992))+ISNUMBER(SEARCH("wage",$B992))+ISNUMBER(SEARCH("electric",$B992))+ISNUMBER(SEARCH("kuryente",$B992))+ISNUMBER(SEARCH("water",$B992))+ISNUMBER(SEARCH("tubig",$B992))+ISNUMBER(SEARCH("internet",$B992))+ISNUMBER(SEARCH("pldt",$B992))+ISNUMBER(SEARCH("meralco",$B992))+ISNUMBER(SEARCH("supplies",$B992))+ISNUMBER(SEARCH("office",$B992))+ISNUMBER(SEARCH("professional",$B992))+ISNUMBER(SEARCH("accountant",$B992))+ISNUMBER(SEARCH("lawyer",$B992))+ISNUMBER(SEARCH("broker",$B992))+ISNUMBER(SEARCH("bank",$B992))+ISNUMBER(SEARCH("charge",$B992))+ISNUMBER(SEARCH("permit",$B992))+ISNUMBER(SEARCH("bir",$B992))+ISNUMBER(SEARCH("ltfrb",$B992))+ISNUMBER(SEARCH("misc",$B992))+ISNUMBER(SEARCH("fee",$B992))&gt;0,"Overhead","Overhead")))))))</f>
        <v/>
      </c>
      <c r="J992">
        <f>IF($A992="","",DATE(YEAR($A992),MONTH($A992),1))</f>
        <v/>
      </c>
      <c r="K992">
        <f>IF($B992="","",IF(COUNTIF(Setup!$A$99:$A$128,$B992)&gt;0,0,1))</f>
        <v/>
      </c>
      <c r="L992">
        <f>IF($B992="","",IF(ISNUMBER(SEARCH("advance",$B992)),"ADV",IF(OR(ISNUMBER(SEARCH("payout",$B992)),ISNUMBER(SEARCH("pay out",$B992)),ISNUMBER(SEARCH("release",$B992))),"PAY","")))</f>
        <v/>
      </c>
      <c r="M992">
        <f>IF($B992="","",IF(ISNUMBER(SEARCH("bulk",$B992)),0,IF(ISNUMBER(SEARCH("fuel",$B992))+ISNUMBER(SEARCH("diesel",$B992))+ISNUMBER(SEARCH("krudo",$B992))+ISNUMBER(SEARCH("gasolina",$B992))&gt;0,1,0)))</f>
        <v/>
      </c>
      <c r="N992">
        <f>IF($B992="","",IF(ISNUMBER(SEARCH("fuel",$B992))+ISNUMBER(SEARCH("diesel",$B992))+ISNUMBER(SEARCH("krudo",$B992))+ISNUMBER(SEARCH("gasolina",$B992))&gt;0,1,0))</f>
        <v/>
      </c>
    </row>
    <row r="993">
      <c r="A993" s="86" t="n"/>
      <c r="B993" s="88" t="n"/>
      <c r="C993" s="88" t="n"/>
      <c r="D993" s="87" t="n"/>
      <c r="E993" s="88" t="n"/>
      <c r="F993" s="92" t="n"/>
      <c r="G993" s="87" t="n"/>
      <c r="H993" s="87" t="n"/>
      <c r="I993" s="101">
        <f>IF($B993="","",IF(COUNTIF(Setup!$A$99:$A$128,$B993)&gt;0,IF(INDEX(Setup!$B$99:$B$128,MATCH($B993,Setup!$A$99:$A$128,0))="","Overhead",INDEX(Setup!$B$99:$B$128,MATCH($B993,Setup!$A$99:$A$128,0))),IF(ISNUMBER(SEARCH("advance",$B993))+ISNUMBER(SEARCH("payout",$B993))+ISNUMBER(SEARCH("pay out",$B993))+ISNUMBER(SEARCH("reimburs",$B993))&gt;0,"Transfer",IF(ISNUMBER(SEARCH("loan",$B993))+ISNUMBER(SEARCH("amort",$B993))+ISNUMBER(SEARCH("installment",$B993))+ISNUMBER(SEARCH("instalment",$B993))&gt;0,"Financing",IF(ISNUMBER(SEARCH("draw",$B993))+ISNUMBER(SEARCH("owner",$B993))+ISNUMBER(SEARCH("asset",$B993))+ISNUMBER(SEARCH("capital",$B993))&gt;0,"Other",IF(ISNUMBER(SEARCH("fuel",$B993))+ISNUMBER(SEARCH("diesel",$B993))+ISNUMBER(SEARCH("krudo",$B993))+ISNUMBER(SEARCH("gasolina",$B993))+ISNUMBER(SEARCH("toll",$B993))+ISNUMBER(SEARCH("parking",$B993))+ISNUMBER(SEARCH("repair",$B993))+ISNUMBER(SEARCH("maintenance",$B993))+ISNUMBER(SEARCH("tire",$B993))+ISNUMBER(SEARCH("tyre",$B993))+ISNUMBER(SEARCH("battery",$B993))+ISNUMBER(SEARCH("oil",$B993))+ISNUMBER(SEARCH("filter",$B993))+ISNUMBER(SEARCH("spare",$B993))+ISNUMBER(SEARCH("insurance",$B993))+ISNUMBER(SEARCH("lto",$B993))+ISNUMBER(SEARCH("registration",$B993))+ISNUMBER(SEARCH("emission",$B993))+ISNUMBER(SEARCH("wash",$B993))+ISNUMBER(SEARCH("weigh",$B993))+ISNUMBER(SEARCH("tarp",$B993))&gt;0,"Vehicle",IF(ISNUMBER(SEARCH("rent",$B993))+ISNUMBER(SEARCH("upa",$B993))+ISNUMBER(SEARCH("salary",$B993))+ISNUMBER(SEARCH("sweldo",$B993))+ISNUMBER(SEARCH("wage",$B993))+ISNUMBER(SEARCH("electric",$B993))+ISNUMBER(SEARCH("kuryente",$B993))+ISNUMBER(SEARCH("water",$B993))+ISNUMBER(SEARCH("tubig",$B993))+ISNUMBER(SEARCH("internet",$B993))+ISNUMBER(SEARCH("pldt",$B993))+ISNUMBER(SEARCH("meralco",$B993))+ISNUMBER(SEARCH("supplies",$B993))+ISNUMBER(SEARCH("office",$B993))+ISNUMBER(SEARCH("professional",$B993))+ISNUMBER(SEARCH("accountant",$B993))+ISNUMBER(SEARCH("lawyer",$B993))+ISNUMBER(SEARCH("broker",$B993))+ISNUMBER(SEARCH("bank",$B993))+ISNUMBER(SEARCH("charge",$B993))+ISNUMBER(SEARCH("permit",$B993))+ISNUMBER(SEARCH("bir",$B993))+ISNUMBER(SEARCH("ltfrb",$B993))+ISNUMBER(SEARCH("misc",$B993))+ISNUMBER(SEARCH("fee",$B993))&gt;0,"Overhead","Overhead")))))))</f>
        <v/>
      </c>
      <c r="J993">
        <f>IF($A993="","",DATE(YEAR($A993),MONTH($A993),1))</f>
        <v/>
      </c>
      <c r="K993">
        <f>IF($B993="","",IF(COUNTIF(Setup!$A$99:$A$128,$B993)&gt;0,0,1))</f>
        <v/>
      </c>
      <c r="L993">
        <f>IF($B993="","",IF(ISNUMBER(SEARCH("advance",$B993)),"ADV",IF(OR(ISNUMBER(SEARCH("payout",$B993)),ISNUMBER(SEARCH("pay out",$B993)),ISNUMBER(SEARCH("release",$B993))),"PAY","")))</f>
        <v/>
      </c>
      <c r="M993">
        <f>IF($B993="","",IF(ISNUMBER(SEARCH("bulk",$B993)),0,IF(ISNUMBER(SEARCH("fuel",$B993))+ISNUMBER(SEARCH("diesel",$B993))+ISNUMBER(SEARCH("krudo",$B993))+ISNUMBER(SEARCH("gasolina",$B993))&gt;0,1,0)))</f>
        <v/>
      </c>
      <c r="N993">
        <f>IF($B993="","",IF(ISNUMBER(SEARCH("fuel",$B993))+ISNUMBER(SEARCH("diesel",$B993))+ISNUMBER(SEARCH("krudo",$B993))+ISNUMBER(SEARCH("gasolina",$B993))&gt;0,1,0))</f>
        <v/>
      </c>
    </row>
    <row r="994">
      <c r="A994" s="94" t="n"/>
      <c r="B994" s="96" t="n"/>
      <c r="C994" s="96" t="n"/>
      <c r="D994" s="95" t="n"/>
      <c r="E994" s="96" t="n"/>
      <c r="F994" s="99" t="n"/>
      <c r="G994" s="95" t="n"/>
      <c r="H994" s="95" t="n"/>
      <c r="I994" s="101">
        <f>IF($B994="","",IF(COUNTIF(Setup!$A$99:$A$128,$B994)&gt;0,IF(INDEX(Setup!$B$99:$B$128,MATCH($B994,Setup!$A$99:$A$128,0))="","Overhead",INDEX(Setup!$B$99:$B$128,MATCH($B994,Setup!$A$99:$A$128,0))),IF(ISNUMBER(SEARCH("advance",$B994))+ISNUMBER(SEARCH("payout",$B994))+ISNUMBER(SEARCH("pay out",$B994))+ISNUMBER(SEARCH("reimburs",$B994))&gt;0,"Transfer",IF(ISNUMBER(SEARCH("loan",$B994))+ISNUMBER(SEARCH("amort",$B994))+ISNUMBER(SEARCH("installment",$B994))+ISNUMBER(SEARCH("instalment",$B994))&gt;0,"Financing",IF(ISNUMBER(SEARCH("draw",$B994))+ISNUMBER(SEARCH("owner",$B994))+ISNUMBER(SEARCH("asset",$B994))+ISNUMBER(SEARCH("capital",$B994))&gt;0,"Other",IF(ISNUMBER(SEARCH("fuel",$B994))+ISNUMBER(SEARCH("diesel",$B994))+ISNUMBER(SEARCH("krudo",$B994))+ISNUMBER(SEARCH("gasolina",$B994))+ISNUMBER(SEARCH("toll",$B994))+ISNUMBER(SEARCH("parking",$B994))+ISNUMBER(SEARCH("repair",$B994))+ISNUMBER(SEARCH("maintenance",$B994))+ISNUMBER(SEARCH("tire",$B994))+ISNUMBER(SEARCH("tyre",$B994))+ISNUMBER(SEARCH("battery",$B994))+ISNUMBER(SEARCH("oil",$B994))+ISNUMBER(SEARCH("filter",$B994))+ISNUMBER(SEARCH("spare",$B994))+ISNUMBER(SEARCH("insurance",$B994))+ISNUMBER(SEARCH("lto",$B994))+ISNUMBER(SEARCH("registration",$B994))+ISNUMBER(SEARCH("emission",$B994))+ISNUMBER(SEARCH("wash",$B994))+ISNUMBER(SEARCH("weigh",$B994))+ISNUMBER(SEARCH("tarp",$B994))&gt;0,"Vehicle",IF(ISNUMBER(SEARCH("rent",$B994))+ISNUMBER(SEARCH("upa",$B994))+ISNUMBER(SEARCH("salary",$B994))+ISNUMBER(SEARCH("sweldo",$B994))+ISNUMBER(SEARCH("wage",$B994))+ISNUMBER(SEARCH("electric",$B994))+ISNUMBER(SEARCH("kuryente",$B994))+ISNUMBER(SEARCH("water",$B994))+ISNUMBER(SEARCH("tubig",$B994))+ISNUMBER(SEARCH("internet",$B994))+ISNUMBER(SEARCH("pldt",$B994))+ISNUMBER(SEARCH("meralco",$B994))+ISNUMBER(SEARCH("supplies",$B994))+ISNUMBER(SEARCH("office",$B994))+ISNUMBER(SEARCH("professional",$B994))+ISNUMBER(SEARCH("accountant",$B994))+ISNUMBER(SEARCH("lawyer",$B994))+ISNUMBER(SEARCH("broker",$B994))+ISNUMBER(SEARCH("bank",$B994))+ISNUMBER(SEARCH("charge",$B994))+ISNUMBER(SEARCH("permit",$B994))+ISNUMBER(SEARCH("bir",$B994))+ISNUMBER(SEARCH("ltfrb",$B994))+ISNUMBER(SEARCH("misc",$B994))+ISNUMBER(SEARCH("fee",$B994))&gt;0,"Overhead","Overhead")))))))</f>
        <v/>
      </c>
      <c r="J994">
        <f>IF($A994="","",DATE(YEAR($A994),MONTH($A994),1))</f>
        <v/>
      </c>
      <c r="K994">
        <f>IF($B994="","",IF(COUNTIF(Setup!$A$99:$A$128,$B994)&gt;0,0,1))</f>
        <v/>
      </c>
      <c r="L994">
        <f>IF($B994="","",IF(ISNUMBER(SEARCH("advance",$B994)),"ADV",IF(OR(ISNUMBER(SEARCH("payout",$B994)),ISNUMBER(SEARCH("pay out",$B994)),ISNUMBER(SEARCH("release",$B994))),"PAY","")))</f>
        <v/>
      </c>
      <c r="M994">
        <f>IF($B994="","",IF(ISNUMBER(SEARCH("bulk",$B994)),0,IF(ISNUMBER(SEARCH("fuel",$B994))+ISNUMBER(SEARCH("diesel",$B994))+ISNUMBER(SEARCH("krudo",$B994))+ISNUMBER(SEARCH("gasolina",$B994))&gt;0,1,0)))</f>
        <v/>
      </c>
      <c r="N994">
        <f>IF($B994="","",IF(ISNUMBER(SEARCH("fuel",$B994))+ISNUMBER(SEARCH("diesel",$B994))+ISNUMBER(SEARCH("krudo",$B994))+ISNUMBER(SEARCH("gasolina",$B994))&gt;0,1,0))</f>
        <v/>
      </c>
    </row>
    <row r="995">
      <c r="A995" s="86" t="n"/>
      <c r="B995" s="88" t="n"/>
      <c r="C995" s="88" t="n"/>
      <c r="D995" s="87" t="n"/>
      <c r="E995" s="88" t="n"/>
      <c r="F995" s="92" t="n"/>
      <c r="G995" s="87" t="n"/>
      <c r="H995" s="87" t="n"/>
      <c r="I995" s="101">
        <f>IF($B995="","",IF(COUNTIF(Setup!$A$99:$A$128,$B995)&gt;0,IF(INDEX(Setup!$B$99:$B$128,MATCH($B995,Setup!$A$99:$A$128,0))="","Overhead",INDEX(Setup!$B$99:$B$128,MATCH($B995,Setup!$A$99:$A$128,0))),IF(ISNUMBER(SEARCH("advance",$B995))+ISNUMBER(SEARCH("payout",$B995))+ISNUMBER(SEARCH("pay out",$B995))+ISNUMBER(SEARCH("reimburs",$B995))&gt;0,"Transfer",IF(ISNUMBER(SEARCH("loan",$B995))+ISNUMBER(SEARCH("amort",$B995))+ISNUMBER(SEARCH("installment",$B995))+ISNUMBER(SEARCH("instalment",$B995))&gt;0,"Financing",IF(ISNUMBER(SEARCH("draw",$B995))+ISNUMBER(SEARCH("owner",$B995))+ISNUMBER(SEARCH("asset",$B995))+ISNUMBER(SEARCH("capital",$B995))&gt;0,"Other",IF(ISNUMBER(SEARCH("fuel",$B995))+ISNUMBER(SEARCH("diesel",$B995))+ISNUMBER(SEARCH("krudo",$B995))+ISNUMBER(SEARCH("gasolina",$B995))+ISNUMBER(SEARCH("toll",$B995))+ISNUMBER(SEARCH("parking",$B995))+ISNUMBER(SEARCH("repair",$B995))+ISNUMBER(SEARCH("maintenance",$B995))+ISNUMBER(SEARCH("tire",$B995))+ISNUMBER(SEARCH("tyre",$B995))+ISNUMBER(SEARCH("battery",$B995))+ISNUMBER(SEARCH("oil",$B995))+ISNUMBER(SEARCH("filter",$B995))+ISNUMBER(SEARCH("spare",$B995))+ISNUMBER(SEARCH("insurance",$B995))+ISNUMBER(SEARCH("lto",$B995))+ISNUMBER(SEARCH("registration",$B995))+ISNUMBER(SEARCH("emission",$B995))+ISNUMBER(SEARCH("wash",$B995))+ISNUMBER(SEARCH("weigh",$B995))+ISNUMBER(SEARCH("tarp",$B995))&gt;0,"Vehicle",IF(ISNUMBER(SEARCH("rent",$B995))+ISNUMBER(SEARCH("upa",$B995))+ISNUMBER(SEARCH("salary",$B995))+ISNUMBER(SEARCH("sweldo",$B995))+ISNUMBER(SEARCH("wage",$B995))+ISNUMBER(SEARCH("electric",$B995))+ISNUMBER(SEARCH("kuryente",$B995))+ISNUMBER(SEARCH("water",$B995))+ISNUMBER(SEARCH("tubig",$B995))+ISNUMBER(SEARCH("internet",$B995))+ISNUMBER(SEARCH("pldt",$B995))+ISNUMBER(SEARCH("meralco",$B995))+ISNUMBER(SEARCH("supplies",$B995))+ISNUMBER(SEARCH("office",$B995))+ISNUMBER(SEARCH("professional",$B995))+ISNUMBER(SEARCH("accountant",$B995))+ISNUMBER(SEARCH("lawyer",$B995))+ISNUMBER(SEARCH("broker",$B995))+ISNUMBER(SEARCH("bank",$B995))+ISNUMBER(SEARCH("charge",$B995))+ISNUMBER(SEARCH("permit",$B995))+ISNUMBER(SEARCH("bir",$B995))+ISNUMBER(SEARCH("ltfrb",$B995))+ISNUMBER(SEARCH("misc",$B995))+ISNUMBER(SEARCH("fee",$B995))&gt;0,"Overhead","Overhead")))))))</f>
        <v/>
      </c>
      <c r="J995">
        <f>IF($A995="","",DATE(YEAR($A995),MONTH($A995),1))</f>
        <v/>
      </c>
      <c r="K995">
        <f>IF($B995="","",IF(COUNTIF(Setup!$A$99:$A$128,$B995)&gt;0,0,1))</f>
        <v/>
      </c>
      <c r="L995">
        <f>IF($B995="","",IF(ISNUMBER(SEARCH("advance",$B995)),"ADV",IF(OR(ISNUMBER(SEARCH("payout",$B995)),ISNUMBER(SEARCH("pay out",$B995)),ISNUMBER(SEARCH("release",$B995))),"PAY","")))</f>
        <v/>
      </c>
      <c r="M995">
        <f>IF($B995="","",IF(ISNUMBER(SEARCH("bulk",$B995)),0,IF(ISNUMBER(SEARCH("fuel",$B995))+ISNUMBER(SEARCH("diesel",$B995))+ISNUMBER(SEARCH("krudo",$B995))+ISNUMBER(SEARCH("gasolina",$B995))&gt;0,1,0)))</f>
        <v/>
      </c>
      <c r="N995">
        <f>IF($B995="","",IF(ISNUMBER(SEARCH("fuel",$B995))+ISNUMBER(SEARCH("diesel",$B995))+ISNUMBER(SEARCH("krudo",$B995))+ISNUMBER(SEARCH("gasolina",$B995))&gt;0,1,0))</f>
        <v/>
      </c>
    </row>
    <row r="996">
      <c r="A996" s="94" t="n"/>
      <c r="B996" s="96" t="n"/>
      <c r="C996" s="96" t="n"/>
      <c r="D996" s="95" t="n"/>
      <c r="E996" s="96" t="n"/>
      <c r="F996" s="99" t="n"/>
      <c r="G996" s="95" t="n"/>
      <c r="H996" s="95" t="n"/>
      <c r="I996" s="101">
        <f>IF($B996="","",IF(COUNTIF(Setup!$A$99:$A$128,$B996)&gt;0,IF(INDEX(Setup!$B$99:$B$128,MATCH($B996,Setup!$A$99:$A$128,0))="","Overhead",INDEX(Setup!$B$99:$B$128,MATCH($B996,Setup!$A$99:$A$128,0))),IF(ISNUMBER(SEARCH("advance",$B996))+ISNUMBER(SEARCH("payout",$B996))+ISNUMBER(SEARCH("pay out",$B996))+ISNUMBER(SEARCH("reimburs",$B996))&gt;0,"Transfer",IF(ISNUMBER(SEARCH("loan",$B996))+ISNUMBER(SEARCH("amort",$B996))+ISNUMBER(SEARCH("installment",$B996))+ISNUMBER(SEARCH("instalment",$B996))&gt;0,"Financing",IF(ISNUMBER(SEARCH("draw",$B996))+ISNUMBER(SEARCH("owner",$B996))+ISNUMBER(SEARCH("asset",$B996))+ISNUMBER(SEARCH("capital",$B996))&gt;0,"Other",IF(ISNUMBER(SEARCH("fuel",$B996))+ISNUMBER(SEARCH("diesel",$B996))+ISNUMBER(SEARCH("krudo",$B996))+ISNUMBER(SEARCH("gasolina",$B996))+ISNUMBER(SEARCH("toll",$B996))+ISNUMBER(SEARCH("parking",$B996))+ISNUMBER(SEARCH("repair",$B996))+ISNUMBER(SEARCH("maintenance",$B996))+ISNUMBER(SEARCH("tire",$B996))+ISNUMBER(SEARCH("tyre",$B996))+ISNUMBER(SEARCH("battery",$B996))+ISNUMBER(SEARCH("oil",$B996))+ISNUMBER(SEARCH("filter",$B996))+ISNUMBER(SEARCH("spare",$B996))+ISNUMBER(SEARCH("insurance",$B996))+ISNUMBER(SEARCH("lto",$B996))+ISNUMBER(SEARCH("registration",$B996))+ISNUMBER(SEARCH("emission",$B996))+ISNUMBER(SEARCH("wash",$B996))+ISNUMBER(SEARCH("weigh",$B996))+ISNUMBER(SEARCH("tarp",$B996))&gt;0,"Vehicle",IF(ISNUMBER(SEARCH("rent",$B996))+ISNUMBER(SEARCH("upa",$B996))+ISNUMBER(SEARCH("salary",$B996))+ISNUMBER(SEARCH("sweldo",$B996))+ISNUMBER(SEARCH("wage",$B996))+ISNUMBER(SEARCH("electric",$B996))+ISNUMBER(SEARCH("kuryente",$B996))+ISNUMBER(SEARCH("water",$B996))+ISNUMBER(SEARCH("tubig",$B996))+ISNUMBER(SEARCH("internet",$B996))+ISNUMBER(SEARCH("pldt",$B996))+ISNUMBER(SEARCH("meralco",$B996))+ISNUMBER(SEARCH("supplies",$B996))+ISNUMBER(SEARCH("office",$B996))+ISNUMBER(SEARCH("professional",$B996))+ISNUMBER(SEARCH("accountant",$B996))+ISNUMBER(SEARCH("lawyer",$B996))+ISNUMBER(SEARCH("broker",$B996))+ISNUMBER(SEARCH("bank",$B996))+ISNUMBER(SEARCH("charge",$B996))+ISNUMBER(SEARCH("permit",$B996))+ISNUMBER(SEARCH("bir",$B996))+ISNUMBER(SEARCH("ltfrb",$B996))+ISNUMBER(SEARCH("misc",$B996))+ISNUMBER(SEARCH("fee",$B996))&gt;0,"Overhead","Overhead")))))))</f>
        <v/>
      </c>
      <c r="J996">
        <f>IF($A996="","",DATE(YEAR($A996),MONTH($A996),1))</f>
        <v/>
      </c>
      <c r="K996">
        <f>IF($B996="","",IF(COUNTIF(Setup!$A$99:$A$128,$B996)&gt;0,0,1))</f>
        <v/>
      </c>
      <c r="L996">
        <f>IF($B996="","",IF(ISNUMBER(SEARCH("advance",$B996)),"ADV",IF(OR(ISNUMBER(SEARCH("payout",$B996)),ISNUMBER(SEARCH("pay out",$B996)),ISNUMBER(SEARCH("release",$B996))),"PAY","")))</f>
        <v/>
      </c>
      <c r="M996">
        <f>IF($B996="","",IF(ISNUMBER(SEARCH("bulk",$B996)),0,IF(ISNUMBER(SEARCH("fuel",$B996))+ISNUMBER(SEARCH("diesel",$B996))+ISNUMBER(SEARCH("krudo",$B996))+ISNUMBER(SEARCH("gasolina",$B996))&gt;0,1,0)))</f>
        <v/>
      </c>
      <c r="N996">
        <f>IF($B996="","",IF(ISNUMBER(SEARCH("fuel",$B996))+ISNUMBER(SEARCH("diesel",$B996))+ISNUMBER(SEARCH("krudo",$B996))+ISNUMBER(SEARCH("gasolina",$B996))&gt;0,1,0))</f>
        <v/>
      </c>
    </row>
    <row r="997">
      <c r="A997" s="86" t="n"/>
      <c r="B997" s="88" t="n"/>
      <c r="C997" s="88" t="n"/>
      <c r="D997" s="87" t="n"/>
      <c r="E997" s="88" t="n"/>
      <c r="F997" s="92" t="n"/>
      <c r="G997" s="87" t="n"/>
      <c r="H997" s="87" t="n"/>
      <c r="I997" s="101">
        <f>IF($B997="","",IF(COUNTIF(Setup!$A$99:$A$128,$B997)&gt;0,IF(INDEX(Setup!$B$99:$B$128,MATCH($B997,Setup!$A$99:$A$128,0))="","Overhead",INDEX(Setup!$B$99:$B$128,MATCH($B997,Setup!$A$99:$A$128,0))),IF(ISNUMBER(SEARCH("advance",$B997))+ISNUMBER(SEARCH("payout",$B997))+ISNUMBER(SEARCH("pay out",$B997))+ISNUMBER(SEARCH("reimburs",$B997))&gt;0,"Transfer",IF(ISNUMBER(SEARCH("loan",$B997))+ISNUMBER(SEARCH("amort",$B997))+ISNUMBER(SEARCH("installment",$B997))+ISNUMBER(SEARCH("instalment",$B997))&gt;0,"Financing",IF(ISNUMBER(SEARCH("draw",$B997))+ISNUMBER(SEARCH("owner",$B997))+ISNUMBER(SEARCH("asset",$B997))+ISNUMBER(SEARCH("capital",$B997))&gt;0,"Other",IF(ISNUMBER(SEARCH("fuel",$B997))+ISNUMBER(SEARCH("diesel",$B997))+ISNUMBER(SEARCH("krudo",$B997))+ISNUMBER(SEARCH("gasolina",$B997))+ISNUMBER(SEARCH("toll",$B997))+ISNUMBER(SEARCH("parking",$B997))+ISNUMBER(SEARCH("repair",$B997))+ISNUMBER(SEARCH("maintenance",$B997))+ISNUMBER(SEARCH("tire",$B997))+ISNUMBER(SEARCH("tyre",$B997))+ISNUMBER(SEARCH("battery",$B997))+ISNUMBER(SEARCH("oil",$B997))+ISNUMBER(SEARCH("filter",$B997))+ISNUMBER(SEARCH("spare",$B997))+ISNUMBER(SEARCH("insurance",$B997))+ISNUMBER(SEARCH("lto",$B997))+ISNUMBER(SEARCH("registration",$B997))+ISNUMBER(SEARCH("emission",$B997))+ISNUMBER(SEARCH("wash",$B997))+ISNUMBER(SEARCH("weigh",$B997))+ISNUMBER(SEARCH("tarp",$B997))&gt;0,"Vehicle",IF(ISNUMBER(SEARCH("rent",$B997))+ISNUMBER(SEARCH("upa",$B997))+ISNUMBER(SEARCH("salary",$B997))+ISNUMBER(SEARCH("sweldo",$B997))+ISNUMBER(SEARCH("wage",$B997))+ISNUMBER(SEARCH("electric",$B997))+ISNUMBER(SEARCH("kuryente",$B997))+ISNUMBER(SEARCH("water",$B997))+ISNUMBER(SEARCH("tubig",$B997))+ISNUMBER(SEARCH("internet",$B997))+ISNUMBER(SEARCH("pldt",$B997))+ISNUMBER(SEARCH("meralco",$B997))+ISNUMBER(SEARCH("supplies",$B997))+ISNUMBER(SEARCH("office",$B997))+ISNUMBER(SEARCH("professional",$B997))+ISNUMBER(SEARCH("accountant",$B997))+ISNUMBER(SEARCH("lawyer",$B997))+ISNUMBER(SEARCH("broker",$B997))+ISNUMBER(SEARCH("bank",$B997))+ISNUMBER(SEARCH("charge",$B997))+ISNUMBER(SEARCH("permit",$B997))+ISNUMBER(SEARCH("bir",$B997))+ISNUMBER(SEARCH("ltfrb",$B997))+ISNUMBER(SEARCH("misc",$B997))+ISNUMBER(SEARCH("fee",$B997))&gt;0,"Overhead","Overhead")))))))</f>
        <v/>
      </c>
      <c r="J997">
        <f>IF($A997="","",DATE(YEAR($A997),MONTH($A997),1))</f>
        <v/>
      </c>
      <c r="K997">
        <f>IF($B997="","",IF(COUNTIF(Setup!$A$99:$A$128,$B997)&gt;0,0,1))</f>
        <v/>
      </c>
      <c r="L997">
        <f>IF($B997="","",IF(ISNUMBER(SEARCH("advance",$B997)),"ADV",IF(OR(ISNUMBER(SEARCH("payout",$B997)),ISNUMBER(SEARCH("pay out",$B997)),ISNUMBER(SEARCH("release",$B997))),"PAY","")))</f>
        <v/>
      </c>
      <c r="M997">
        <f>IF($B997="","",IF(ISNUMBER(SEARCH("bulk",$B997)),0,IF(ISNUMBER(SEARCH("fuel",$B997))+ISNUMBER(SEARCH("diesel",$B997))+ISNUMBER(SEARCH("krudo",$B997))+ISNUMBER(SEARCH("gasolina",$B997))&gt;0,1,0)))</f>
        <v/>
      </c>
      <c r="N997">
        <f>IF($B997="","",IF(ISNUMBER(SEARCH("fuel",$B997))+ISNUMBER(SEARCH("diesel",$B997))+ISNUMBER(SEARCH("krudo",$B997))+ISNUMBER(SEARCH("gasolina",$B997))&gt;0,1,0))</f>
        <v/>
      </c>
    </row>
    <row r="998">
      <c r="A998" s="94" t="n"/>
      <c r="B998" s="96" t="n"/>
      <c r="C998" s="96" t="n"/>
      <c r="D998" s="95" t="n"/>
      <c r="E998" s="96" t="n"/>
      <c r="F998" s="99" t="n"/>
      <c r="G998" s="95" t="n"/>
      <c r="H998" s="95" t="n"/>
      <c r="I998" s="101">
        <f>IF($B998="","",IF(COUNTIF(Setup!$A$99:$A$128,$B998)&gt;0,IF(INDEX(Setup!$B$99:$B$128,MATCH($B998,Setup!$A$99:$A$128,0))="","Overhead",INDEX(Setup!$B$99:$B$128,MATCH($B998,Setup!$A$99:$A$128,0))),IF(ISNUMBER(SEARCH("advance",$B998))+ISNUMBER(SEARCH("payout",$B998))+ISNUMBER(SEARCH("pay out",$B998))+ISNUMBER(SEARCH("reimburs",$B998))&gt;0,"Transfer",IF(ISNUMBER(SEARCH("loan",$B998))+ISNUMBER(SEARCH("amort",$B998))+ISNUMBER(SEARCH("installment",$B998))+ISNUMBER(SEARCH("instalment",$B998))&gt;0,"Financing",IF(ISNUMBER(SEARCH("draw",$B998))+ISNUMBER(SEARCH("owner",$B998))+ISNUMBER(SEARCH("asset",$B998))+ISNUMBER(SEARCH("capital",$B998))&gt;0,"Other",IF(ISNUMBER(SEARCH("fuel",$B998))+ISNUMBER(SEARCH("diesel",$B998))+ISNUMBER(SEARCH("krudo",$B998))+ISNUMBER(SEARCH("gasolina",$B998))+ISNUMBER(SEARCH("toll",$B998))+ISNUMBER(SEARCH("parking",$B998))+ISNUMBER(SEARCH("repair",$B998))+ISNUMBER(SEARCH("maintenance",$B998))+ISNUMBER(SEARCH("tire",$B998))+ISNUMBER(SEARCH("tyre",$B998))+ISNUMBER(SEARCH("battery",$B998))+ISNUMBER(SEARCH("oil",$B998))+ISNUMBER(SEARCH("filter",$B998))+ISNUMBER(SEARCH("spare",$B998))+ISNUMBER(SEARCH("insurance",$B998))+ISNUMBER(SEARCH("lto",$B998))+ISNUMBER(SEARCH("registration",$B998))+ISNUMBER(SEARCH("emission",$B998))+ISNUMBER(SEARCH("wash",$B998))+ISNUMBER(SEARCH("weigh",$B998))+ISNUMBER(SEARCH("tarp",$B998))&gt;0,"Vehicle",IF(ISNUMBER(SEARCH("rent",$B998))+ISNUMBER(SEARCH("upa",$B998))+ISNUMBER(SEARCH("salary",$B998))+ISNUMBER(SEARCH("sweldo",$B998))+ISNUMBER(SEARCH("wage",$B998))+ISNUMBER(SEARCH("electric",$B998))+ISNUMBER(SEARCH("kuryente",$B998))+ISNUMBER(SEARCH("water",$B998))+ISNUMBER(SEARCH("tubig",$B998))+ISNUMBER(SEARCH("internet",$B998))+ISNUMBER(SEARCH("pldt",$B998))+ISNUMBER(SEARCH("meralco",$B998))+ISNUMBER(SEARCH("supplies",$B998))+ISNUMBER(SEARCH("office",$B998))+ISNUMBER(SEARCH("professional",$B998))+ISNUMBER(SEARCH("accountant",$B998))+ISNUMBER(SEARCH("lawyer",$B998))+ISNUMBER(SEARCH("broker",$B998))+ISNUMBER(SEARCH("bank",$B998))+ISNUMBER(SEARCH("charge",$B998))+ISNUMBER(SEARCH("permit",$B998))+ISNUMBER(SEARCH("bir",$B998))+ISNUMBER(SEARCH("ltfrb",$B998))+ISNUMBER(SEARCH("misc",$B998))+ISNUMBER(SEARCH("fee",$B998))&gt;0,"Overhead","Overhead")))))))</f>
        <v/>
      </c>
      <c r="J998">
        <f>IF($A998="","",DATE(YEAR($A998),MONTH($A998),1))</f>
        <v/>
      </c>
      <c r="K998">
        <f>IF($B998="","",IF(COUNTIF(Setup!$A$99:$A$128,$B998)&gt;0,0,1))</f>
        <v/>
      </c>
      <c r="L998">
        <f>IF($B998="","",IF(ISNUMBER(SEARCH("advance",$B998)),"ADV",IF(OR(ISNUMBER(SEARCH("payout",$B998)),ISNUMBER(SEARCH("pay out",$B998)),ISNUMBER(SEARCH("release",$B998))),"PAY","")))</f>
        <v/>
      </c>
      <c r="M998">
        <f>IF($B998="","",IF(ISNUMBER(SEARCH("bulk",$B998)),0,IF(ISNUMBER(SEARCH("fuel",$B998))+ISNUMBER(SEARCH("diesel",$B998))+ISNUMBER(SEARCH("krudo",$B998))+ISNUMBER(SEARCH("gasolina",$B998))&gt;0,1,0)))</f>
        <v/>
      </c>
      <c r="N998">
        <f>IF($B998="","",IF(ISNUMBER(SEARCH("fuel",$B998))+ISNUMBER(SEARCH("diesel",$B998))+ISNUMBER(SEARCH("krudo",$B998))+ISNUMBER(SEARCH("gasolina",$B998))&gt;0,1,0))</f>
        <v/>
      </c>
    </row>
    <row r="999">
      <c r="A999" s="86" t="n"/>
      <c r="B999" s="88" t="n"/>
      <c r="C999" s="88" t="n"/>
      <c r="D999" s="87" t="n"/>
      <c r="E999" s="88" t="n"/>
      <c r="F999" s="92" t="n"/>
      <c r="G999" s="87" t="n"/>
      <c r="H999" s="87" t="n"/>
      <c r="I999" s="101">
        <f>IF($B999="","",IF(COUNTIF(Setup!$A$99:$A$128,$B999)&gt;0,IF(INDEX(Setup!$B$99:$B$128,MATCH($B999,Setup!$A$99:$A$128,0))="","Overhead",INDEX(Setup!$B$99:$B$128,MATCH($B999,Setup!$A$99:$A$128,0))),IF(ISNUMBER(SEARCH("advance",$B999))+ISNUMBER(SEARCH("payout",$B999))+ISNUMBER(SEARCH("pay out",$B999))+ISNUMBER(SEARCH("reimburs",$B999))&gt;0,"Transfer",IF(ISNUMBER(SEARCH("loan",$B999))+ISNUMBER(SEARCH("amort",$B999))+ISNUMBER(SEARCH("installment",$B999))+ISNUMBER(SEARCH("instalment",$B999))&gt;0,"Financing",IF(ISNUMBER(SEARCH("draw",$B999))+ISNUMBER(SEARCH("owner",$B999))+ISNUMBER(SEARCH("asset",$B999))+ISNUMBER(SEARCH("capital",$B999))&gt;0,"Other",IF(ISNUMBER(SEARCH("fuel",$B999))+ISNUMBER(SEARCH("diesel",$B999))+ISNUMBER(SEARCH("krudo",$B999))+ISNUMBER(SEARCH("gasolina",$B999))+ISNUMBER(SEARCH("toll",$B999))+ISNUMBER(SEARCH("parking",$B999))+ISNUMBER(SEARCH("repair",$B999))+ISNUMBER(SEARCH("maintenance",$B999))+ISNUMBER(SEARCH("tire",$B999))+ISNUMBER(SEARCH("tyre",$B999))+ISNUMBER(SEARCH("battery",$B999))+ISNUMBER(SEARCH("oil",$B999))+ISNUMBER(SEARCH("filter",$B999))+ISNUMBER(SEARCH("spare",$B999))+ISNUMBER(SEARCH("insurance",$B999))+ISNUMBER(SEARCH("lto",$B999))+ISNUMBER(SEARCH("registration",$B999))+ISNUMBER(SEARCH("emission",$B999))+ISNUMBER(SEARCH("wash",$B999))+ISNUMBER(SEARCH("weigh",$B999))+ISNUMBER(SEARCH("tarp",$B999))&gt;0,"Vehicle",IF(ISNUMBER(SEARCH("rent",$B999))+ISNUMBER(SEARCH("upa",$B999))+ISNUMBER(SEARCH("salary",$B999))+ISNUMBER(SEARCH("sweldo",$B999))+ISNUMBER(SEARCH("wage",$B999))+ISNUMBER(SEARCH("electric",$B999))+ISNUMBER(SEARCH("kuryente",$B999))+ISNUMBER(SEARCH("water",$B999))+ISNUMBER(SEARCH("tubig",$B999))+ISNUMBER(SEARCH("internet",$B999))+ISNUMBER(SEARCH("pldt",$B999))+ISNUMBER(SEARCH("meralco",$B999))+ISNUMBER(SEARCH("supplies",$B999))+ISNUMBER(SEARCH("office",$B999))+ISNUMBER(SEARCH("professional",$B999))+ISNUMBER(SEARCH("accountant",$B999))+ISNUMBER(SEARCH("lawyer",$B999))+ISNUMBER(SEARCH("broker",$B999))+ISNUMBER(SEARCH("bank",$B999))+ISNUMBER(SEARCH("charge",$B999))+ISNUMBER(SEARCH("permit",$B999))+ISNUMBER(SEARCH("bir",$B999))+ISNUMBER(SEARCH("ltfrb",$B999))+ISNUMBER(SEARCH("misc",$B999))+ISNUMBER(SEARCH("fee",$B999))&gt;0,"Overhead","Overhead")))))))</f>
        <v/>
      </c>
      <c r="J999">
        <f>IF($A999="","",DATE(YEAR($A999),MONTH($A999),1))</f>
        <v/>
      </c>
      <c r="K999">
        <f>IF($B999="","",IF(COUNTIF(Setup!$A$99:$A$128,$B999)&gt;0,0,1))</f>
        <v/>
      </c>
      <c r="L999">
        <f>IF($B999="","",IF(ISNUMBER(SEARCH("advance",$B999)),"ADV",IF(OR(ISNUMBER(SEARCH("payout",$B999)),ISNUMBER(SEARCH("pay out",$B999)),ISNUMBER(SEARCH("release",$B999))),"PAY","")))</f>
        <v/>
      </c>
      <c r="M999">
        <f>IF($B999="","",IF(ISNUMBER(SEARCH("bulk",$B999)),0,IF(ISNUMBER(SEARCH("fuel",$B999))+ISNUMBER(SEARCH("diesel",$B999))+ISNUMBER(SEARCH("krudo",$B999))+ISNUMBER(SEARCH("gasolina",$B999))&gt;0,1,0)))</f>
        <v/>
      </c>
      <c r="N999">
        <f>IF($B999="","",IF(ISNUMBER(SEARCH("fuel",$B999))+ISNUMBER(SEARCH("diesel",$B999))+ISNUMBER(SEARCH("krudo",$B999))+ISNUMBER(SEARCH("gasolina",$B999))&gt;0,1,0))</f>
        <v/>
      </c>
    </row>
    <row r="1000">
      <c r="A1000" s="94" t="n"/>
      <c r="B1000" s="96" t="n"/>
      <c r="C1000" s="96" t="n"/>
      <c r="D1000" s="95" t="n"/>
      <c r="E1000" s="96" t="n"/>
      <c r="F1000" s="99" t="n"/>
      <c r="G1000" s="95" t="n"/>
      <c r="H1000" s="95" t="n"/>
      <c r="I1000" s="101">
        <f>IF($B1000="","",IF(COUNTIF(Setup!$A$99:$A$128,$B1000)&gt;0,IF(INDEX(Setup!$B$99:$B$128,MATCH($B1000,Setup!$A$99:$A$128,0))="","Overhead",INDEX(Setup!$B$99:$B$128,MATCH($B1000,Setup!$A$99:$A$128,0))),IF(ISNUMBER(SEARCH("advance",$B1000))+ISNUMBER(SEARCH("payout",$B1000))+ISNUMBER(SEARCH("pay out",$B1000))+ISNUMBER(SEARCH("reimburs",$B1000))&gt;0,"Transfer",IF(ISNUMBER(SEARCH("loan",$B1000))+ISNUMBER(SEARCH("amort",$B1000))+ISNUMBER(SEARCH("installment",$B1000))+ISNUMBER(SEARCH("instalment",$B1000))&gt;0,"Financing",IF(ISNUMBER(SEARCH("draw",$B1000))+ISNUMBER(SEARCH("owner",$B1000))+ISNUMBER(SEARCH("asset",$B1000))+ISNUMBER(SEARCH("capital",$B1000))&gt;0,"Other",IF(ISNUMBER(SEARCH("fuel",$B1000))+ISNUMBER(SEARCH("diesel",$B1000))+ISNUMBER(SEARCH("krudo",$B1000))+ISNUMBER(SEARCH("gasolina",$B1000))+ISNUMBER(SEARCH("toll",$B1000))+ISNUMBER(SEARCH("parking",$B1000))+ISNUMBER(SEARCH("repair",$B1000))+ISNUMBER(SEARCH("maintenance",$B1000))+ISNUMBER(SEARCH("tire",$B1000))+ISNUMBER(SEARCH("tyre",$B1000))+ISNUMBER(SEARCH("battery",$B1000))+ISNUMBER(SEARCH("oil",$B1000))+ISNUMBER(SEARCH("filter",$B1000))+ISNUMBER(SEARCH("spare",$B1000))+ISNUMBER(SEARCH("insurance",$B1000))+ISNUMBER(SEARCH("lto",$B1000))+ISNUMBER(SEARCH("registration",$B1000))+ISNUMBER(SEARCH("emission",$B1000))+ISNUMBER(SEARCH("wash",$B1000))+ISNUMBER(SEARCH("weigh",$B1000))+ISNUMBER(SEARCH("tarp",$B1000))&gt;0,"Vehicle",IF(ISNUMBER(SEARCH("rent",$B1000))+ISNUMBER(SEARCH("upa",$B1000))+ISNUMBER(SEARCH("salary",$B1000))+ISNUMBER(SEARCH("sweldo",$B1000))+ISNUMBER(SEARCH("wage",$B1000))+ISNUMBER(SEARCH("electric",$B1000))+ISNUMBER(SEARCH("kuryente",$B1000))+ISNUMBER(SEARCH("water",$B1000))+ISNUMBER(SEARCH("tubig",$B1000))+ISNUMBER(SEARCH("internet",$B1000))+ISNUMBER(SEARCH("pldt",$B1000))+ISNUMBER(SEARCH("meralco",$B1000))+ISNUMBER(SEARCH("supplies",$B1000))+ISNUMBER(SEARCH("office",$B1000))+ISNUMBER(SEARCH("professional",$B1000))+ISNUMBER(SEARCH("accountant",$B1000))+ISNUMBER(SEARCH("lawyer",$B1000))+ISNUMBER(SEARCH("broker",$B1000))+ISNUMBER(SEARCH("bank",$B1000))+ISNUMBER(SEARCH("charge",$B1000))+ISNUMBER(SEARCH("permit",$B1000))+ISNUMBER(SEARCH("bir",$B1000))+ISNUMBER(SEARCH("ltfrb",$B1000))+ISNUMBER(SEARCH("misc",$B1000))+ISNUMBER(SEARCH("fee",$B1000))&gt;0,"Overhead","Overhead")))))))</f>
        <v/>
      </c>
      <c r="J1000">
        <f>IF($A1000="","",DATE(YEAR($A1000),MONTH($A1000),1))</f>
        <v/>
      </c>
      <c r="K1000">
        <f>IF($B1000="","",IF(COUNTIF(Setup!$A$99:$A$128,$B1000)&gt;0,0,1))</f>
        <v/>
      </c>
      <c r="L1000">
        <f>IF($B1000="","",IF(ISNUMBER(SEARCH("advance",$B1000)),"ADV",IF(OR(ISNUMBER(SEARCH("payout",$B1000)),ISNUMBER(SEARCH("pay out",$B1000)),ISNUMBER(SEARCH("release",$B1000))),"PAY","")))</f>
        <v/>
      </c>
      <c r="M1000">
        <f>IF($B1000="","",IF(ISNUMBER(SEARCH("bulk",$B1000)),0,IF(ISNUMBER(SEARCH("fuel",$B1000))+ISNUMBER(SEARCH("diesel",$B1000))+ISNUMBER(SEARCH("krudo",$B1000))+ISNUMBER(SEARCH("gasolina",$B1000))&gt;0,1,0)))</f>
        <v/>
      </c>
      <c r="N1000">
        <f>IF($B1000="","",IF(ISNUMBER(SEARCH("fuel",$B1000))+ISNUMBER(SEARCH("diesel",$B1000))+ISNUMBER(SEARCH("krudo",$B1000))+ISNUMBER(SEARCH("gasolina",$B1000))&gt;0,1,0))</f>
        <v/>
      </c>
    </row>
    <row r="1001">
      <c r="A1001" s="86" t="n"/>
      <c r="B1001" s="88" t="n"/>
      <c r="C1001" s="88" t="n"/>
      <c r="D1001" s="87" t="n"/>
      <c r="E1001" s="88" t="n"/>
      <c r="F1001" s="92" t="n"/>
      <c r="G1001" s="87" t="n"/>
      <c r="H1001" s="87" t="n"/>
      <c r="I1001" s="101">
        <f>IF($B1001="","",IF(COUNTIF(Setup!$A$99:$A$128,$B1001)&gt;0,IF(INDEX(Setup!$B$99:$B$128,MATCH($B1001,Setup!$A$99:$A$128,0))="","Overhead",INDEX(Setup!$B$99:$B$128,MATCH($B1001,Setup!$A$99:$A$128,0))),IF(ISNUMBER(SEARCH("advance",$B1001))+ISNUMBER(SEARCH("payout",$B1001))+ISNUMBER(SEARCH("pay out",$B1001))+ISNUMBER(SEARCH("reimburs",$B1001))&gt;0,"Transfer",IF(ISNUMBER(SEARCH("loan",$B1001))+ISNUMBER(SEARCH("amort",$B1001))+ISNUMBER(SEARCH("installment",$B1001))+ISNUMBER(SEARCH("instalment",$B1001))&gt;0,"Financing",IF(ISNUMBER(SEARCH("draw",$B1001))+ISNUMBER(SEARCH("owner",$B1001))+ISNUMBER(SEARCH("asset",$B1001))+ISNUMBER(SEARCH("capital",$B1001))&gt;0,"Other",IF(ISNUMBER(SEARCH("fuel",$B1001))+ISNUMBER(SEARCH("diesel",$B1001))+ISNUMBER(SEARCH("krudo",$B1001))+ISNUMBER(SEARCH("gasolina",$B1001))+ISNUMBER(SEARCH("toll",$B1001))+ISNUMBER(SEARCH("parking",$B1001))+ISNUMBER(SEARCH("repair",$B1001))+ISNUMBER(SEARCH("maintenance",$B1001))+ISNUMBER(SEARCH("tire",$B1001))+ISNUMBER(SEARCH("tyre",$B1001))+ISNUMBER(SEARCH("battery",$B1001))+ISNUMBER(SEARCH("oil",$B1001))+ISNUMBER(SEARCH("filter",$B1001))+ISNUMBER(SEARCH("spare",$B1001))+ISNUMBER(SEARCH("insurance",$B1001))+ISNUMBER(SEARCH("lto",$B1001))+ISNUMBER(SEARCH("registration",$B1001))+ISNUMBER(SEARCH("emission",$B1001))+ISNUMBER(SEARCH("wash",$B1001))+ISNUMBER(SEARCH("weigh",$B1001))+ISNUMBER(SEARCH("tarp",$B1001))&gt;0,"Vehicle",IF(ISNUMBER(SEARCH("rent",$B1001))+ISNUMBER(SEARCH("upa",$B1001))+ISNUMBER(SEARCH("salary",$B1001))+ISNUMBER(SEARCH("sweldo",$B1001))+ISNUMBER(SEARCH("wage",$B1001))+ISNUMBER(SEARCH("electric",$B1001))+ISNUMBER(SEARCH("kuryente",$B1001))+ISNUMBER(SEARCH("water",$B1001))+ISNUMBER(SEARCH("tubig",$B1001))+ISNUMBER(SEARCH("internet",$B1001))+ISNUMBER(SEARCH("pldt",$B1001))+ISNUMBER(SEARCH("meralco",$B1001))+ISNUMBER(SEARCH("supplies",$B1001))+ISNUMBER(SEARCH("office",$B1001))+ISNUMBER(SEARCH("professional",$B1001))+ISNUMBER(SEARCH("accountant",$B1001))+ISNUMBER(SEARCH("lawyer",$B1001))+ISNUMBER(SEARCH("broker",$B1001))+ISNUMBER(SEARCH("bank",$B1001))+ISNUMBER(SEARCH("charge",$B1001))+ISNUMBER(SEARCH("permit",$B1001))+ISNUMBER(SEARCH("bir",$B1001))+ISNUMBER(SEARCH("ltfrb",$B1001))+ISNUMBER(SEARCH("misc",$B1001))+ISNUMBER(SEARCH("fee",$B1001))&gt;0,"Overhead","Overhead")))))))</f>
        <v/>
      </c>
      <c r="J1001">
        <f>IF($A1001="","",DATE(YEAR($A1001),MONTH($A1001),1))</f>
        <v/>
      </c>
      <c r="K1001">
        <f>IF($B1001="","",IF(COUNTIF(Setup!$A$99:$A$128,$B1001)&gt;0,0,1))</f>
        <v/>
      </c>
      <c r="L1001">
        <f>IF($B1001="","",IF(ISNUMBER(SEARCH("advance",$B1001)),"ADV",IF(OR(ISNUMBER(SEARCH("payout",$B1001)),ISNUMBER(SEARCH("pay out",$B1001)),ISNUMBER(SEARCH("release",$B1001))),"PAY","")))</f>
        <v/>
      </c>
      <c r="M1001">
        <f>IF($B1001="","",IF(ISNUMBER(SEARCH("bulk",$B1001)),0,IF(ISNUMBER(SEARCH("fuel",$B1001))+ISNUMBER(SEARCH("diesel",$B1001))+ISNUMBER(SEARCH("krudo",$B1001))+ISNUMBER(SEARCH("gasolina",$B1001))&gt;0,1,0)))</f>
        <v/>
      </c>
      <c r="N1001">
        <f>IF($B1001="","",IF(ISNUMBER(SEARCH("fuel",$B1001))+ISNUMBER(SEARCH("diesel",$B1001))+ISNUMBER(SEARCH("krudo",$B1001))+ISNUMBER(SEARCH("gasolina",$B1001))&gt;0,1,0))</f>
        <v/>
      </c>
    </row>
    <row r="1002">
      <c r="A1002" s="94" t="n"/>
      <c r="B1002" s="96" t="n"/>
      <c r="C1002" s="96" t="n"/>
      <c r="D1002" s="95" t="n"/>
      <c r="E1002" s="96" t="n"/>
      <c r="F1002" s="99" t="n"/>
      <c r="G1002" s="95" t="n"/>
      <c r="H1002" s="95" t="n"/>
      <c r="I1002" s="101">
        <f>IF($B1002="","",IF(COUNTIF(Setup!$A$99:$A$128,$B1002)&gt;0,IF(INDEX(Setup!$B$99:$B$128,MATCH($B1002,Setup!$A$99:$A$128,0))="","Overhead",INDEX(Setup!$B$99:$B$128,MATCH($B1002,Setup!$A$99:$A$128,0))),IF(ISNUMBER(SEARCH("advance",$B1002))+ISNUMBER(SEARCH("payout",$B1002))+ISNUMBER(SEARCH("pay out",$B1002))+ISNUMBER(SEARCH("reimburs",$B1002))&gt;0,"Transfer",IF(ISNUMBER(SEARCH("loan",$B1002))+ISNUMBER(SEARCH("amort",$B1002))+ISNUMBER(SEARCH("installment",$B1002))+ISNUMBER(SEARCH("instalment",$B1002))&gt;0,"Financing",IF(ISNUMBER(SEARCH("draw",$B1002))+ISNUMBER(SEARCH("owner",$B1002))+ISNUMBER(SEARCH("asset",$B1002))+ISNUMBER(SEARCH("capital",$B1002))&gt;0,"Other",IF(ISNUMBER(SEARCH("fuel",$B1002))+ISNUMBER(SEARCH("diesel",$B1002))+ISNUMBER(SEARCH("krudo",$B1002))+ISNUMBER(SEARCH("gasolina",$B1002))+ISNUMBER(SEARCH("toll",$B1002))+ISNUMBER(SEARCH("parking",$B1002))+ISNUMBER(SEARCH("repair",$B1002))+ISNUMBER(SEARCH("maintenance",$B1002))+ISNUMBER(SEARCH("tire",$B1002))+ISNUMBER(SEARCH("tyre",$B1002))+ISNUMBER(SEARCH("battery",$B1002))+ISNUMBER(SEARCH("oil",$B1002))+ISNUMBER(SEARCH("filter",$B1002))+ISNUMBER(SEARCH("spare",$B1002))+ISNUMBER(SEARCH("insurance",$B1002))+ISNUMBER(SEARCH("lto",$B1002))+ISNUMBER(SEARCH("registration",$B1002))+ISNUMBER(SEARCH("emission",$B1002))+ISNUMBER(SEARCH("wash",$B1002))+ISNUMBER(SEARCH("weigh",$B1002))+ISNUMBER(SEARCH("tarp",$B1002))&gt;0,"Vehicle",IF(ISNUMBER(SEARCH("rent",$B1002))+ISNUMBER(SEARCH("upa",$B1002))+ISNUMBER(SEARCH("salary",$B1002))+ISNUMBER(SEARCH("sweldo",$B1002))+ISNUMBER(SEARCH("wage",$B1002))+ISNUMBER(SEARCH("electric",$B1002))+ISNUMBER(SEARCH("kuryente",$B1002))+ISNUMBER(SEARCH("water",$B1002))+ISNUMBER(SEARCH("tubig",$B1002))+ISNUMBER(SEARCH("internet",$B1002))+ISNUMBER(SEARCH("pldt",$B1002))+ISNUMBER(SEARCH("meralco",$B1002))+ISNUMBER(SEARCH("supplies",$B1002))+ISNUMBER(SEARCH("office",$B1002))+ISNUMBER(SEARCH("professional",$B1002))+ISNUMBER(SEARCH("accountant",$B1002))+ISNUMBER(SEARCH("lawyer",$B1002))+ISNUMBER(SEARCH("broker",$B1002))+ISNUMBER(SEARCH("bank",$B1002))+ISNUMBER(SEARCH("charge",$B1002))+ISNUMBER(SEARCH("permit",$B1002))+ISNUMBER(SEARCH("bir",$B1002))+ISNUMBER(SEARCH("ltfrb",$B1002))+ISNUMBER(SEARCH("misc",$B1002))+ISNUMBER(SEARCH("fee",$B1002))&gt;0,"Overhead","Overhead")))))))</f>
        <v/>
      </c>
      <c r="J1002">
        <f>IF($A1002="","",DATE(YEAR($A1002),MONTH($A1002),1))</f>
        <v/>
      </c>
      <c r="K1002">
        <f>IF($B1002="","",IF(COUNTIF(Setup!$A$99:$A$128,$B1002)&gt;0,0,1))</f>
        <v/>
      </c>
      <c r="L1002">
        <f>IF($B1002="","",IF(ISNUMBER(SEARCH("advance",$B1002)),"ADV",IF(OR(ISNUMBER(SEARCH("payout",$B1002)),ISNUMBER(SEARCH("pay out",$B1002)),ISNUMBER(SEARCH("release",$B1002))),"PAY","")))</f>
        <v/>
      </c>
      <c r="M1002">
        <f>IF($B1002="","",IF(ISNUMBER(SEARCH("bulk",$B1002)),0,IF(ISNUMBER(SEARCH("fuel",$B1002))+ISNUMBER(SEARCH("diesel",$B1002))+ISNUMBER(SEARCH("krudo",$B1002))+ISNUMBER(SEARCH("gasolina",$B1002))&gt;0,1,0)))</f>
        <v/>
      </c>
      <c r="N1002">
        <f>IF($B1002="","",IF(ISNUMBER(SEARCH("fuel",$B1002))+ISNUMBER(SEARCH("diesel",$B1002))+ISNUMBER(SEARCH("krudo",$B1002))+ISNUMBER(SEARCH("gasolina",$B1002))&gt;0,1,0))</f>
        <v/>
      </c>
    </row>
    <row r="1003">
      <c r="A1003" s="86" t="n"/>
      <c r="B1003" s="88" t="n"/>
      <c r="C1003" s="88" t="n"/>
      <c r="D1003" s="87" t="n"/>
      <c r="E1003" s="88" t="n"/>
      <c r="F1003" s="92" t="n"/>
      <c r="G1003" s="87" t="n"/>
      <c r="H1003" s="87" t="n"/>
      <c r="I1003" s="101">
        <f>IF($B1003="","",IF(COUNTIF(Setup!$A$99:$A$128,$B1003)&gt;0,IF(INDEX(Setup!$B$99:$B$128,MATCH($B1003,Setup!$A$99:$A$128,0))="","Overhead",INDEX(Setup!$B$99:$B$128,MATCH($B1003,Setup!$A$99:$A$128,0))),IF(ISNUMBER(SEARCH("advance",$B1003))+ISNUMBER(SEARCH("payout",$B1003))+ISNUMBER(SEARCH("pay out",$B1003))+ISNUMBER(SEARCH("reimburs",$B1003))&gt;0,"Transfer",IF(ISNUMBER(SEARCH("loan",$B1003))+ISNUMBER(SEARCH("amort",$B1003))+ISNUMBER(SEARCH("installment",$B1003))+ISNUMBER(SEARCH("instalment",$B1003))&gt;0,"Financing",IF(ISNUMBER(SEARCH("draw",$B1003))+ISNUMBER(SEARCH("owner",$B1003))+ISNUMBER(SEARCH("asset",$B1003))+ISNUMBER(SEARCH("capital",$B1003))&gt;0,"Other",IF(ISNUMBER(SEARCH("fuel",$B1003))+ISNUMBER(SEARCH("diesel",$B1003))+ISNUMBER(SEARCH("krudo",$B1003))+ISNUMBER(SEARCH("gasolina",$B1003))+ISNUMBER(SEARCH("toll",$B1003))+ISNUMBER(SEARCH("parking",$B1003))+ISNUMBER(SEARCH("repair",$B1003))+ISNUMBER(SEARCH("maintenance",$B1003))+ISNUMBER(SEARCH("tire",$B1003))+ISNUMBER(SEARCH("tyre",$B1003))+ISNUMBER(SEARCH("battery",$B1003))+ISNUMBER(SEARCH("oil",$B1003))+ISNUMBER(SEARCH("filter",$B1003))+ISNUMBER(SEARCH("spare",$B1003))+ISNUMBER(SEARCH("insurance",$B1003))+ISNUMBER(SEARCH("lto",$B1003))+ISNUMBER(SEARCH("registration",$B1003))+ISNUMBER(SEARCH("emission",$B1003))+ISNUMBER(SEARCH("wash",$B1003))+ISNUMBER(SEARCH("weigh",$B1003))+ISNUMBER(SEARCH("tarp",$B1003))&gt;0,"Vehicle",IF(ISNUMBER(SEARCH("rent",$B1003))+ISNUMBER(SEARCH("upa",$B1003))+ISNUMBER(SEARCH("salary",$B1003))+ISNUMBER(SEARCH("sweldo",$B1003))+ISNUMBER(SEARCH("wage",$B1003))+ISNUMBER(SEARCH("electric",$B1003))+ISNUMBER(SEARCH("kuryente",$B1003))+ISNUMBER(SEARCH("water",$B1003))+ISNUMBER(SEARCH("tubig",$B1003))+ISNUMBER(SEARCH("internet",$B1003))+ISNUMBER(SEARCH("pldt",$B1003))+ISNUMBER(SEARCH("meralco",$B1003))+ISNUMBER(SEARCH("supplies",$B1003))+ISNUMBER(SEARCH("office",$B1003))+ISNUMBER(SEARCH("professional",$B1003))+ISNUMBER(SEARCH("accountant",$B1003))+ISNUMBER(SEARCH("lawyer",$B1003))+ISNUMBER(SEARCH("broker",$B1003))+ISNUMBER(SEARCH("bank",$B1003))+ISNUMBER(SEARCH("charge",$B1003))+ISNUMBER(SEARCH("permit",$B1003))+ISNUMBER(SEARCH("bir",$B1003))+ISNUMBER(SEARCH("ltfrb",$B1003))+ISNUMBER(SEARCH("misc",$B1003))+ISNUMBER(SEARCH("fee",$B1003))&gt;0,"Overhead","Overhead")))))))</f>
        <v/>
      </c>
      <c r="J1003">
        <f>IF($A1003="","",DATE(YEAR($A1003),MONTH($A1003),1))</f>
        <v/>
      </c>
      <c r="K1003">
        <f>IF($B1003="","",IF(COUNTIF(Setup!$A$99:$A$128,$B1003)&gt;0,0,1))</f>
        <v/>
      </c>
      <c r="L1003">
        <f>IF($B1003="","",IF(ISNUMBER(SEARCH("advance",$B1003)),"ADV",IF(OR(ISNUMBER(SEARCH("payout",$B1003)),ISNUMBER(SEARCH("pay out",$B1003)),ISNUMBER(SEARCH("release",$B1003))),"PAY","")))</f>
        <v/>
      </c>
      <c r="M1003">
        <f>IF($B1003="","",IF(ISNUMBER(SEARCH("bulk",$B1003)),0,IF(ISNUMBER(SEARCH("fuel",$B1003))+ISNUMBER(SEARCH("diesel",$B1003))+ISNUMBER(SEARCH("krudo",$B1003))+ISNUMBER(SEARCH("gasolina",$B1003))&gt;0,1,0)))</f>
        <v/>
      </c>
      <c r="N1003">
        <f>IF($B1003="","",IF(ISNUMBER(SEARCH("fuel",$B1003))+ISNUMBER(SEARCH("diesel",$B1003))+ISNUMBER(SEARCH("krudo",$B1003))+ISNUMBER(SEARCH("gasolina",$B1003))&gt;0,1,0))</f>
        <v/>
      </c>
    </row>
    <row r="1004">
      <c r="A1004" s="94" t="n"/>
      <c r="B1004" s="96" t="n"/>
      <c r="C1004" s="96" t="n"/>
      <c r="D1004" s="95" t="n"/>
      <c r="E1004" s="96" t="n"/>
      <c r="F1004" s="99" t="n"/>
      <c r="G1004" s="95" t="n"/>
      <c r="H1004" s="95" t="n"/>
      <c r="I1004" s="101">
        <f>IF($B1004="","",IF(COUNTIF(Setup!$A$99:$A$128,$B1004)&gt;0,IF(INDEX(Setup!$B$99:$B$128,MATCH($B1004,Setup!$A$99:$A$128,0))="","Overhead",INDEX(Setup!$B$99:$B$128,MATCH($B1004,Setup!$A$99:$A$128,0))),IF(ISNUMBER(SEARCH("advance",$B1004))+ISNUMBER(SEARCH("payout",$B1004))+ISNUMBER(SEARCH("pay out",$B1004))+ISNUMBER(SEARCH("reimburs",$B1004))&gt;0,"Transfer",IF(ISNUMBER(SEARCH("loan",$B1004))+ISNUMBER(SEARCH("amort",$B1004))+ISNUMBER(SEARCH("installment",$B1004))+ISNUMBER(SEARCH("instalment",$B1004))&gt;0,"Financing",IF(ISNUMBER(SEARCH("draw",$B1004))+ISNUMBER(SEARCH("owner",$B1004))+ISNUMBER(SEARCH("asset",$B1004))+ISNUMBER(SEARCH("capital",$B1004))&gt;0,"Other",IF(ISNUMBER(SEARCH("fuel",$B1004))+ISNUMBER(SEARCH("diesel",$B1004))+ISNUMBER(SEARCH("krudo",$B1004))+ISNUMBER(SEARCH("gasolina",$B1004))+ISNUMBER(SEARCH("toll",$B1004))+ISNUMBER(SEARCH("parking",$B1004))+ISNUMBER(SEARCH("repair",$B1004))+ISNUMBER(SEARCH("maintenance",$B1004))+ISNUMBER(SEARCH("tire",$B1004))+ISNUMBER(SEARCH("tyre",$B1004))+ISNUMBER(SEARCH("battery",$B1004))+ISNUMBER(SEARCH("oil",$B1004))+ISNUMBER(SEARCH("filter",$B1004))+ISNUMBER(SEARCH("spare",$B1004))+ISNUMBER(SEARCH("insurance",$B1004))+ISNUMBER(SEARCH("lto",$B1004))+ISNUMBER(SEARCH("registration",$B1004))+ISNUMBER(SEARCH("emission",$B1004))+ISNUMBER(SEARCH("wash",$B1004))+ISNUMBER(SEARCH("weigh",$B1004))+ISNUMBER(SEARCH("tarp",$B1004))&gt;0,"Vehicle",IF(ISNUMBER(SEARCH("rent",$B1004))+ISNUMBER(SEARCH("upa",$B1004))+ISNUMBER(SEARCH("salary",$B1004))+ISNUMBER(SEARCH("sweldo",$B1004))+ISNUMBER(SEARCH("wage",$B1004))+ISNUMBER(SEARCH("electric",$B1004))+ISNUMBER(SEARCH("kuryente",$B1004))+ISNUMBER(SEARCH("water",$B1004))+ISNUMBER(SEARCH("tubig",$B1004))+ISNUMBER(SEARCH("internet",$B1004))+ISNUMBER(SEARCH("pldt",$B1004))+ISNUMBER(SEARCH("meralco",$B1004))+ISNUMBER(SEARCH("supplies",$B1004))+ISNUMBER(SEARCH("office",$B1004))+ISNUMBER(SEARCH("professional",$B1004))+ISNUMBER(SEARCH("accountant",$B1004))+ISNUMBER(SEARCH("lawyer",$B1004))+ISNUMBER(SEARCH("broker",$B1004))+ISNUMBER(SEARCH("bank",$B1004))+ISNUMBER(SEARCH("charge",$B1004))+ISNUMBER(SEARCH("permit",$B1004))+ISNUMBER(SEARCH("bir",$B1004))+ISNUMBER(SEARCH("ltfrb",$B1004))+ISNUMBER(SEARCH("misc",$B1004))+ISNUMBER(SEARCH("fee",$B1004))&gt;0,"Overhead","Overhead")))))))</f>
        <v/>
      </c>
      <c r="J1004">
        <f>IF($A1004="","",DATE(YEAR($A1004),MONTH($A1004),1))</f>
        <v/>
      </c>
      <c r="K1004">
        <f>IF($B1004="","",IF(COUNTIF(Setup!$A$99:$A$128,$B1004)&gt;0,0,1))</f>
        <v/>
      </c>
      <c r="L1004">
        <f>IF($B1004="","",IF(ISNUMBER(SEARCH("advance",$B1004)),"ADV",IF(OR(ISNUMBER(SEARCH("payout",$B1004)),ISNUMBER(SEARCH("pay out",$B1004)),ISNUMBER(SEARCH("release",$B1004))),"PAY","")))</f>
        <v/>
      </c>
      <c r="M1004">
        <f>IF($B1004="","",IF(ISNUMBER(SEARCH("bulk",$B1004)),0,IF(ISNUMBER(SEARCH("fuel",$B1004))+ISNUMBER(SEARCH("diesel",$B1004))+ISNUMBER(SEARCH("krudo",$B1004))+ISNUMBER(SEARCH("gasolina",$B1004))&gt;0,1,0)))</f>
        <v/>
      </c>
      <c r="N1004">
        <f>IF($B1004="","",IF(ISNUMBER(SEARCH("fuel",$B1004))+ISNUMBER(SEARCH("diesel",$B1004))+ISNUMBER(SEARCH("krudo",$B1004))+ISNUMBER(SEARCH("gasolina",$B1004))&gt;0,1,0))</f>
        <v/>
      </c>
    </row>
  </sheetData>
  <autoFilter ref="A4:I1004"/>
  <mergeCells count="2">
    <mergeCell ref="A1:I1"/>
    <mergeCell ref="A2:I2"/>
  </mergeCells>
  <conditionalFormatting sqref="I5:I1004">
    <cfRule type="expression" priority="1" dxfId="10">
      <formula>$K5=1</formula>
    </cfRule>
  </conditionalFormatting>
  <conditionalFormatting sqref="H5:H1004">
    <cfRule type="expression" priority="2" dxfId="10">
      <formula>$H5="N"</formula>
    </cfRule>
  </conditionalFormatting>
  <dataValidations count="5">
    <dataValidation sqref="B5:B1004" showDropDown="0" showInputMessage="0" showErrorMessage="0" allowBlank="1" errorTitle="Expense type" error="Pick or type anything." promptTitle="Expense type" prompt="Pick or type anything." type="list" errorStyle="warning">
      <formula1>=Setup!$A$99:$A$128</formula1>
    </dataValidation>
    <dataValidation sqref="D5:D1004" showDropDown="0" showInputMessage="0" showErrorMessage="0" allowBlank="1" errorTitle="Truck" error="Pick a truck, or type." promptTitle="Truck" prompt="Pick a truck, or type." type="list" errorStyle="warning">
      <formula1>=Setup!$A$63:$A$72</formula1>
    </dataValidation>
    <dataValidation sqref="G5:G1004" showDropDown="0" showInputMessage="0" showErrorMessage="0" allowBlank="1" errorTitle="Payment method" error="Pick or type." promptTitle="Payment method" prompt="Pick or type." type="list" errorStyle="warning">
      <formula1>=Setup!$A$168:$A$171</formula1>
    </dataValidation>
    <dataValidation sqref="H5:H1004" showDropDown="0" showInputMessage="0" showErrorMessage="0" allowBlank="1" errorTitle="Receipt" error="Y or N" promptTitle="Receipt" prompt="Y or N" type="list" errorStyle="warning">
      <formula1>"Y,N"</formula1>
    </dataValidation>
    <dataValidation sqref="F5:F1004" showDropDown="0" showInputMessage="0" showErrorMessage="0" allowBlank="1" errorTitle="Amount" error="Numbers only." promptTitle="Amount" prompt="Numbers only." type="decimal" errorStyle="warning" operator="greaterThanOrEqual">
      <formula1>0</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1E6F42"/>
    <outlinePr summaryBelow="1" summaryRight="1"/>
    <pageSetUpPr/>
  </sheetPr>
  <dimension ref="A1:R343"/>
  <sheetViews>
    <sheetView showGridLines="0" workbookViewId="0">
      <pane ySplit="4" topLeftCell="A5" activePane="bottomLeft" state="frozen"/>
      <selection pane="bottomLeft" activeCell="A1" sqref="A1"/>
    </sheetView>
  </sheetViews>
  <sheetFormatPr baseColWidth="8" defaultRowHeight="15"/>
  <cols>
    <col width="20" customWidth="1" min="1" max="1"/>
    <col width="11" customWidth="1" min="2" max="2"/>
    <col width="8" customWidth="1" min="3" max="3"/>
    <col width="17" customWidth="1" min="4" max="4"/>
    <col width="14" customWidth="1" min="5" max="5"/>
    <col width="12" customWidth="1" min="6" max="6"/>
    <col width="12" customWidth="1" min="7" max="7"/>
    <col width="14" customWidth="1" min="8" max="8"/>
    <col width="14" customWidth="1" min="9" max="9"/>
    <col width="16" customWidth="1" min="10" max="10"/>
    <col width="17" customWidth="1" min="11" max="11"/>
    <col width="18" customWidth="1" min="12" max="12"/>
    <col width="2" customWidth="1" min="13" max="13"/>
    <col hidden="1" width="13" customWidth="1" min="18" max="18"/>
  </cols>
  <sheetData>
    <row r="1" ht="40" customHeight="1">
      <c r="A1" s="78" t="inlineStr">
        <is>
          <t>🚚  PAYROLL  —  automatic, per month, per crew member</t>
        </is>
      </c>
    </row>
    <row r="2" ht="20" customHeight="1">
      <c r="A2" s="79" t="inlineStr">
        <is>
          <t>Nothing to type here. Salary is computed from the driver/helper share on every trip; cash advances &amp; payouts are picked up from the Expenses sheet.</t>
        </is>
      </c>
    </row>
    <row r="4" ht="38" customHeight="1">
      <c r="A4" s="102" t="inlineStr">
        <is>
          <t>CREW NAME</t>
        </is>
      </c>
      <c r="B4" s="102" t="inlineStr">
        <is>
          <t>ROLE</t>
        </is>
      </c>
      <c r="C4" s="102" t="inlineStr">
        <is>
          <t>TRIPS</t>
        </is>
      </c>
      <c r="D4" s="102" t="inlineStr">
        <is>
          <t>GROSS FEE HANDLED</t>
        </is>
      </c>
      <c r="E4" s="102" t="inlineStr">
        <is>
          <t>SHARE EARNED</t>
        </is>
      </c>
      <c r="F4" s="102" t="inlineStr">
        <is>
          <t>ALLOWANCE</t>
        </is>
      </c>
      <c r="G4" s="102" t="inlineStr">
        <is>
          <t>REIMBURSED</t>
        </is>
      </c>
      <c r="H4" s="102" t="inlineStr">
        <is>
          <t>TOTAL EARNED</t>
        </is>
      </c>
      <c r="I4" s="102" t="inlineStr">
        <is>
          <t>CASH ADVANCE</t>
        </is>
      </c>
      <c r="J4" s="102" t="inlineStr">
        <is>
          <t>PAYOUT RELEASED</t>
        </is>
      </c>
      <c r="K4" s="102" t="inlineStr">
        <is>
          <t>BALANCE
(to pay / owes)</t>
        </is>
      </c>
      <c r="L4" s="102" t="inlineStr">
        <is>
          <t>STATUS</t>
        </is>
      </c>
    </row>
    <row r="5" ht="24" customHeight="1">
      <c r="A5" s="103" t="inlineStr">
        <is>
          <t>JANUARY 2026   ·   crew earnings &amp; settlement</t>
        </is>
      </c>
    </row>
    <row r="6">
      <c r="A6" s="104">
        <f>IF(Setup!$A76="","",Setup!$A76)</f>
        <v/>
      </c>
      <c r="B6" s="105">
        <f>IF($A6="","",Setup!$B76)</f>
        <v/>
      </c>
      <c r="C6" s="106">
        <f>IF($A6="","",IF(COUNTIFS(Trips!$Z5:$Z1004,$R6,Trips!$D5:$D1004,$A6)+COUNTIFS(Trips!$Z5:$Z1004,$R6,Trips!$E5:$E1004,$A6)=0,"",COUNTIFS(Trips!$Z5:$Z1004,$R6,Trips!$D5:$D1004,$A6)+COUNTIFS(Trips!$Z5:$Z1004,$R6,Trips!$E5:$E1004,$A6)))</f>
        <v/>
      </c>
      <c r="D6" s="107">
        <f>IF($C6="","",SUMIFS(Trips!$K5:$K1004,Trips!$Z5:$Z1004,$R6,Trips!$D5:$D1004,$A6)+SUMIFS(Trips!$K5:$K1004,Trips!$Z5:$Z1004,$R6,Trips!$E5:$E1004,$A6))</f>
        <v/>
      </c>
      <c r="E6" s="108">
        <f>IF($C6="","",SUMIFS(Trips!$N5:$N1004,Trips!$Z5:$Z1004,$R6,Trips!$D5:$D1004,$A6)+SUMIFS(Trips!$O5:$O1004,Trips!$Z5:$Z1004,$R6,Trips!$E5:$E1004,$A6))</f>
        <v/>
      </c>
      <c r="F6" s="109">
        <f>IF($C6="","",SUMIFS(Trips!$P5:$P1004,Trips!$Z5:$Z1004,$R6,Trips!$D5:$D1004,$A6))</f>
        <v/>
      </c>
      <c r="G6" s="109">
        <f>IF($C6="","",SUMIFS(Trips!$Q5:$Q1004,Trips!$Z5:$Z1004,$R6,Trips!$D5:$D1004,$A6))</f>
        <v/>
      </c>
      <c r="H6" s="108">
        <f>IF(AND($C6="",$I6="",$J6=""),"",N($E6)+N($F6)+N($G6))</f>
        <v/>
      </c>
      <c r="I6" s="109">
        <f>IF($A6="","",IFERROR(1/(1/SUMIFS(Expenses!$F5:$F1004,Expenses!$L5:$L1004,"ADV",Expenses!$J5:$J1004,$R6,Expenses!$E5:$E1004,$A6)),""))</f>
        <v/>
      </c>
      <c r="J6" s="109">
        <f>IF($A6="","",IFERROR(1/(1/SUMIFS(Expenses!$F5:$F1004,Expenses!$L5:$L1004,"PAY",Expenses!$J5:$J1004,$R6,Expenses!$E5:$E1004,$A6)),""))</f>
        <v/>
      </c>
      <c r="K6" s="110">
        <f>IF($H6="","",N($H6)-N($I6)-N($J6))</f>
        <v/>
      </c>
      <c r="L6" s="111">
        <f>IF($K6="","",IF($K6&gt;0.5,"TO PAY",IF($K6&lt;-0.5,"ADVANCE / OWES","SETTLED")))</f>
        <v/>
      </c>
      <c r="R6" s="112" t="n">
        <v>46023</v>
      </c>
    </row>
    <row r="7">
      <c r="A7" s="104">
        <f>IF(Setup!$A77="","",Setup!$A77)</f>
        <v/>
      </c>
      <c r="B7" s="105">
        <f>IF($A7="","",Setup!$B77)</f>
        <v/>
      </c>
      <c r="C7" s="106">
        <f>IF($A7="","",IF(COUNTIFS(Trips!$Z5:$Z1004,$R7,Trips!$D5:$D1004,$A7)+COUNTIFS(Trips!$Z5:$Z1004,$R7,Trips!$E5:$E1004,$A7)=0,"",COUNTIFS(Trips!$Z5:$Z1004,$R7,Trips!$D5:$D1004,$A7)+COUNTIFS(Trips!$Z5:$Z1004,$R7,Trips!$E5:$E1004,$A7)))</f>
        <v/>
      </c>
      <c r="D7" s="107">
        <f>IF($C7="","",SUMIFS(Trips!$K5:$K1004,Trips!$Z5:$Z1004,$R7,Trips!$D5:$D1004,$A7)+SUMIFS(Trips!$K5:$K1004,Trips!$Z5:$Z1004,$R7,Trips!$E5:$E1004,$A7))</f>
        <v/>
      </c>
      <c r="E7" s="108">
        <f>IF($C7="","",SUMIFS(Trips!$N5:$N1004,Trips!$Z5:$Z1004,$R7,Trips!$D5:$D1004,$A7)+SUMIFS(Trips!$O5:$O1004,Trips!$Z5:$Z1004,$R7,Trips!$E5:$E1004,$A7))</f>
        <v/>
      </c>
      <c r="F7" s="109">
        <f>IF($C7="","",SUMIFS(Trips!$P5:$P1004,Trips!$Z5:$Z1004,$R7,Trips!$D5:$D1004,$A7))</f>
        <v/>
      </c>
      <c r="G7" s="109">
        <f>IF($C7="","",SUMIFS(Trips!$Q5:$Q1004,Trips!$Z5:$Z1004,$R7,Trips!$D5:$D1004,$A7))</f>
        <v/>
      </c>
      <c r="H7" s="108">
        <f>IF(AND($C7="",$I7="",$J7=""),"",N($E7)+N($F7)+N($G7))</f>
        <v/>
      </c>
      <c r="I7" s="109">
        <f>IF($A7="","",IFERROR(1/(1/SUMIFS(Expenses!$F5:$F1004,Expenses!$L5:$L1004,"ADV",Expenses!$J5:$J1004,$R7,Expenses!$E5:$E1004,$A7)),""))</f>
        <v/>
      </c>
      <c r="J7" s="109">
        <f>IF($A7="","",IFERROR(1/(1/SUMIFS(Expenses!$F5:$F1004,Expenses!$L5:$L1004,"PAY",Expenses!$J5:$J1004,$R7,Expenses!$E5:$E1004,$A7)),""))</f>
        <v/>
      </c>
      <c r="K7" s="110">
        <f>IF($H7="","",N($H7)-N($I7)-N($J7))</f>
        <v/>
      </c>
      <c r="L7" s="111">
        <f>IF($K7="","",IF($K7&gt;0.5,"TO PAY",IF($K7&lt;-0.5,"ADVANCE / OWES","SETTLED")))</f>
        <v/>
      </c>
      <c r="R7" s="112" t="n">
        <v>46023</v>
      </c>
    </row>
    <row r="8">
      <c r="A8" s="104">
        <f>IF(Setup!$A78="","",Setup!$A78)</f>
        <v/>
      </c>
      <c r="B8" s="105">
        <f>IF($A8="","",Setup!$B78)</f>
        <v/>
      </c>
      <c r="C8" s="106">
        <f>IF($A8="","",IF(COUNTIFS(Trips!$Z5:$Z1004,$R8,Trips!$D5:$D1004,$A8)+COUNTIFS(Trips!$Z5:$Z1004,$R8,Trips!$E5:$E1004,$A8)=0,"",COUNTIFS(Trips!$Z5:$Z1004,$R8,Trips!$D5:$D1004,$A8)+COUNTIFS(Trips!$Z5:$Z1004,$R8,Trips!$E5:$E1004,$A8)))</f>
        <v/>
      </c>
      <c r="D8" s="107">
        <f>IF($C8="","",SUMIFS(Trips!$K5:$K1004,Trips!$Z5:$Z1004,$R8,Trips!$D5:$D1004,$A8)+SUMIFS(Trips!$K5:$K1004,Trips!$Z5:$Z1004,$R8,Trips!$E5:$E1004,$A8))</f>
        <v/>
      </c>
      <c r="E8" s="108">
        <f>IF($C8="","",SUMIFS(Trips!$N5:$N1004,Trips!$Z5:$Z1004,$R8,Trips!$D5:$D1004,$A8)+SUMIFS(Trips!$O5:$O1004,Trips!$Z5:$Z1004,$R8,Trips!$E5:$E1004,$A8))</f>
        <v/>
      </c>
      <c r="F8" s="109">
        <f>IF($C8="","",SUMIFS(Trips!$P5:$P1004,Trips!$Z5:$Z1004,$R8,Trips!$D5:$D1004,$A8))</f>
        <v/>
      </c>
      <c r="G8" s="109">
        <f>IF($C8="","",SUMIFS(Trips!$Q5:$Q1004,Trips!$Z5:$Z1004,$R8,Trips!$D5:$D1004,$A8))</f>
        <v/>
      </c>
      <c r="H8" s="108">
        <f>IF(AND($C8="",$I8="",$J8=""),"",N($E8)+N($F8)+N($G8))</f>
        <v/>
      </c>
      <c r="I8" s="109">
        <f>IF($A8="","",IFERROR(1/(1/SUMIFS(Expenses!$F5:$F1004,Expenses!$L5:$L1004,"ADV",Expenses!$J5:$J1004,$R8,Expenses!$E5:$E1004,$A8)),""))</f>
        <v/>
      </c>
      <c r="J8" s="109">
        <f>IF($A8="","",IFERROR(1/(1/SUMIFS(Expenses!$F5:$F1004,Expenses!$L5:$L1004,"PAY",Expenses!$J5:$J1004,$R8,Expenses!$E5:$E1004,$A8)),""))</f>
        <v/>
      </c>
      <c r="K8" s="110">
        <f>IF($H8="","",N($H8)-N($I8)-N($J8))</f>
        <v/>
      </c>
      <c r="L8" s="111">
        <f>IF($K8="","",IF($K8&gt;0.5,"TO PAY",IF($K8&lt;-0.5,"ADVANCE / OWES","SETTLED")))</f>
        <v/>
      </c>
      <c r="R8" s="112" t="n">
        <v>46023</v>
      </c>
    </row>
    <row r="9">
      <c r="A9" s="104">
        <f>IF(Setup!$A79="","",Setup!$A79)</f>
        <v/>
      </c>
      <c r="B9" s="105">
        <f>IF($A9="","",Setup!$B79)</f>
        <v/>
      </c>
      <c r="C9" s="106">
        <f>IF($A9="","",IF(COUNTIFS(Trips!$Z5:$Z1004,$R9,Trips!$D5:$D1004,$A9)+COUNTIFS(Trips!$Z5:$Z1004,$R9,Trips!$E5:$E1004,$A9)=0,"",COUNTIFS(Trips!$Z5:$Z1004,$R9,Trips!$D5:$D1004,$A9)+COUNTIFS(Trips!$Z5:$Z1004,$R9,Trips!$E5:$E1004,$A9)))</f>
        <v/>
      </c>
      <c r="D9" s="107">
        <f>IF($C9="","",SUMIFS(Trips!$K5:$K1004,Trips!$Z5:$Z1004,$R9,Trips!$D5:$D1004,$A9)+SUMIFS(Trips!$K5:$K1004,Trips!$Z5:$Z1004,$R9,Trips!$E5:$E1004,$A9))</f>
        <v/>
      </c>
      <c r="E9" s="108">
        <f>IF($C9="","",SUMIFS(Trips!$N5:$N1004,Trips!$Z5:$Z1004,$R9,Trips!$D5:$D1004,$A9)+SUMIFS(Trips!$O5:$O1004,Trips!$Z5:$Z1004,$R9,Trips!$E5:$E1004,$A9))</f>
        <v/>
      </c>
      <c r="F9" s="109">
        <f>IF($C9="","",SUMIFS(Trips!$P5:$P1004,Trips!$Z5:$Z1004,$R9,Trips!$D5:$D1004,$A9))</f>
        <v/>
      </c>
      <c r="G9" s="109">
        <f>IF($C9="","",SUMIFS(Trips!$Q5:$Q1004,Trips!$Z5:$Z1004,$R9,Trips!$D5:$D1004,$A9))</f>
        <v/>
      </c>
      <c r="H9" s="108">
        <f>IF(AND($C9="",$I9="",$J9=""),"",N($E9)+N($F9)+N($G9))</f>
        <v/>
      </c>
      <c r="I9" s="109">
        <f>IF($A9="","",IFERROR(1/(1/SUMIFS(Expenses!$F5:$F1004,Expenses!$L5:$L1004,"ADV",Expenses!$J5:$J1004,$R9,Expenses!$E5:$E1004,$A9)),""))</f>
        <v/>
      </c>
      <c r="J9" s="109">
        <f>IF($A9="","",IFERROR(1/(1/SUMIFS(Expenses!$F5:$F1004,Expenses!$L5:$L1004,"PAY",Expenses!$J5:$J1004,$R9,Expenses!$E5:$E1004,$A9)),""))</f>
        <v/>
      </c>
      <c r="K9" s="110">
        <f>IF($H9="","",N($H9)-N($I9)-N($J9))</f>
        <v/>
      </c>
      <c r="L9" s="111">
        <f>IF($K9="","",IF($K9&gt;0.5,"TO PAY",IF($K9&lt;-0.5,"ADVANCE / OWES","SETTLED")))</f>
        <v/>
      </c>
      <c r="R9" s="112" t="n">
        <v>46023</v>
      </c>
    </row>
    <row r="10">
      <c r="A10" s="104">
        <f>IF(Setup!$A80="","",Setup!$A80)</f>
        <v/>
      </c>
      <c r="B10" s="105">
        <f>IF($A10="","",Setup!$B80)</f>
        <v/>
      </c>
      <c r="C10" s="106">
        <f>IF($A10="","",IF(COUNTIFS(Trips!$Z5:$Z1004,$R10,Trips!$D5:$D1004,$A10)+COUNTIFS(Trips!$Z5:$Z1004,$R10,Trips!$E5:$E1004,$A10)=0,"",COUNTIFS(Trips!$Z5:$Z1004,$R10,Trips!$D5:$D1004,$A10)+COUNTIFS(Trips!$Z5:$Z1004,$R10,Trips!$E5:$E1004,$A10)))</f>
        <v/>
      </c>
      <c r="D10" s="107">
        <f>IF($C10="","",SUMIFS(Trips!$K5:$K1004,Trips!$Z5:$Z1004,$R10,Trips!$D5:$D1004,$A10)+SUMIFS(Trips!$K5:$K1004,Trips!$Z5:$Z1004,$R10,Trips!$E5:$E1004,$A10))</f>
        <v/>
      </c>
      <c r="E10" s="108">
        <f>IF($C10="","",SUMIFS(Trips!$N5:$N1004,Trips!$Z5:$Z1004,$R10,Trips!$D5:$D1004,$A10)+SUMIFS(Trips!$O5:$O1004,Trips!$Z5:$Z1004,$R10,Trips!$E5:$E1004,$A10))</f>
        <v/>
      </c>
      <c r="F10" s="109">
        <f>IF($C10="","",SUMIFS(Trips!$P5:$P1004,Trips!$Z5:$Z1004,$R10,Trips!$D5:$D1004,$A10))</f>
        <v/>
      </c>
      <c r="G10" s="109">
        <f>IF($C10="","",SUMIFS(Trips!$Q5:$Q1004,Trips!$Z5:$Z1004,$R10,Trips!$D5:$D1004,$A10))</f>
        <v/>
      </c>
      <c r="H10" s="108">
        <f>IF(AND($C10="",$I10="",$J10=""),"",N($E10)+N($F10)+N($G10))</f>
        <v/>
      </c>
      <c r="I10" s="109">
        <f>IF($A10="","",IFERROR(1/(1/SUMIFS(Expenses!$F5:$F1004,Expenses!$L5:$L1004,"ADV",Expenses!$J5:$J1004,$R10,Expenses!$E5:$E1004,$A10)),""))</f>
        <v/>
      </c>
      <c r="J10" s="109">
        <f>IF($A10="","",IFERROR(1/(1/SUMIFS(Expenses!$F5:$F1004,Expenses!$L5:$L1004,"PAY",Expenses!$J5:$J1004,$R10,Expenses!$E5:$E1004,$A10)),""))</f>
        <v/>
      </c>
      <c r="K10" s="110">
        <f>IF($H10="","",N($H10)-N($I10)-N($J10))</f>
        <v/>
      </c>
      <c r="L10" s="111">
        <f>IF($K10="","",IF($K10&gt;0.5,"TO PAY",IF($K10&lt;-0.5,"ADVANCE / OWES","SETTLED")))</f>
        <v/>
      </c>
      <c r="R10" s="112" t="n">
        <v>46023</v>
      </c>
    </row>
    <row r="11">
      <c r="A11" s="104">
        <f>IF(Setup!$A81="","",Setup!$A81)</f>
        <v/>
      </c>
      <c r="B11" s="105">
        <f>IF($A11="","",Setup!$B81)</f>
        <v/>
      </c>
      <c r="C11" s="106">
        <f>IF($A11="","",IF(COUNTIFS(Trips!$Z5:$Z1004,$R11,Trips!$D5:$D1004,$A11)+COUNTIFS(Trips!$Z5:$Z1004,$R11,Trips!$E5:$E1004,$A11)=0,"",COUNTIFS(Trips!$Z5:$Z1004,$R11,Trips!$D5:$D1004,$A11)+COUNTIFS(Trips!$Z5:$Z1004,$R11,Trips!$E5:$E1004,$A11)))</f>
        <v/>
      </c>
      <c r="D11" s="107">
        <f>IF($C11="","",SUMIFS(Trips!$K5:$K1004,Trips!$Z5:$Z1004,$R11,Trips!$D5:$D1004,$A11)+SUMIFS(Trips!$K5:$K1004,Trips!$Z5:$Z1004,$R11,Trips!$E5:$E1004,$A11))</f>
        <v/>
      </c>
      <c r="E11" s="108">
        <f>IF($C11="","",SUMIFS(Trips!$N5:$N1004,Trips!$Z5:$Z1004,$R11,Trips!$D5:$D1004,$A11)+SUMIFS(Trips!$O5:$O1004,Trips!$Z5:$Z1004,$R11,Trips!$E5:$E1004,$A11))</f>
        <v/>
      </c>
      <c r="F11" s="109">
        <f>IF($C11="","",SUMIFS(Trips!$P5:$P1004,Trips!$Z5:$Z1004,$R11,Trips!$D5:$D1004,$A11))</f>
        <v/>
      </c>
      <c r="G11" s="109">
        <f>IF($C11="","",SUMIFS(Trips!$Q5:$Q1004,Trips!$Z5:$Z1004,$R11,Trips!$D5:$D1004,$A11))</f>
        <v/>
      </c>
      <c r="H11" s="108">
        <f>IF(AND($C11="",$I11="",$J11=""),"",N($E11)+N($F11)+N($G11))</f>
        <v/>
      </c>
      <c r="I11" s="109">
        <f>IF($A11="","",IFERROR(1/(1/SUMIFS(Expenses!$F5:$F1004,Expenses!$L5:$L1004,"ADV",Expenses!$J5:$J1004,$R11,Expenses!$E5:$E1004,$A11)),""))</f>
        <v/>
      </c>
      <c r="J11" s="109">
        <f>IF($A11="","",IFERROR(1/(1/SUMIFS(Expenses!$F5:$F1004,Expenses!$L5:$L1004,"PAY",Expenses!$J5:$J1004,$R11,Expenses!$E5:$E1004,$A11)),""))</f>
        <v/>
      </c>
      <c r="K11" s="110">
        <f>IF($H11="","",N($H11)-N($I11)-N($J11))</f>
        <v/>
      </c>
      <c r="L11" s="111">
        <f>IF($K11="","",IF($K11&gt;0.5,"TO PAY",IF($K11&lt;-0.5,"ADVANCE / OWES","SETTLED")))</f>
        <v/>
      </c>
      <c r="R11" s="112" t="n">
        <v>46023</v>
      </c>
    </row>
    <row r="12">
      <c r="A12" s="104">
        <f>IF(Setup!$A82="","",Setup!$A82)</f>
        <v/>
      </c>
      <c r="B12" s="105">
        <f>IF($A12="","",Setup!$B82)</f>
        <v/>
      </c>
      <c r="C12" s="106">
        <f>IF($A12="","",IF(COUNTIFS(Trips!$Z5:$Z1004,$R12,Trips!$D5:$D1004,$A12)+COUNTIFS(Trips!$Z5:$Z1004,$R12,Trips!$E5:$E1004,$A12)=0,"",COUNTIFS(Trips!$Z5:$Z1004,$R12,Trips!$D5:$D1004,$A12)+COUNTIFS(Trips!$Z5:$Z1004,$R12,Trips!$E5:$E1004,$A12)))</f>
        <v/>
      </c>
      <c r="D12" s="107">
        <f>IF($C12="","",SUMIFS(Trips!$K5:$K1004,Trips!$Z5:$Z1004,$R12,Trips!$D5:$D1004,$A12)+SUMIFS(Trips!$K5:$K1004,Trips!$Z5:$Z1004,$R12,Trips!$E5:$E1004,$A12))</f>
        <v/>
      </c>
      <c r="E12" s="108">
        <f>IF($C12="","",SUMIFS(Trips!$N5:$N1004,Trips!$Z5:$Z1004,$R12,Trips!$D5:$D1004,$A12)+SUMIFS(Trips!$O5:$O1004,Trips!$Z5:$Z1004,$R12,Trips!$E5:$E1004,$A12))</f>
        <v/>
      </c>
      <c r="F12" s="109">
        <f>IF($C12="","",SUMIFS(Trips!$P5:$P1004,Trips!$Z5:$Z1004,$R12,Trips!$D5:$D1004,$A12))</f>
        <v/>
      </c>
      <c r="G12" s="109">
        <f>IF($C12="","",SUMIFS(Trips!$Q5:$Q1004,Trips!$Z5:$Z1004,$R12,Trips!$D5:$D1004,$A12))</f>
        <v/>
      </c>
      <c r="H12" s="108">
        <f>IF(AND($C12="",$I12="",$J12=""),"",N($E12)+N($F12)+N($G12))</f>
        <v/>
      </c>
      <c r="I12" s="109">
        <f>IF($A12="","",IFERROR(1/(1/SUMIFS(Expenses!$F5:$F1004,Expenses!$L5:$L1004,"ADV",Expenses!$J5:$J1004,$R12,Expenses!$E5:$E1004,$A12)),""))</f>
        <v/>
      </c>
      <c r="J12" s="109">
        <f>IF($A12="","",IFERROR(1/(1/SUMIFS(Expenses!$F5:$F1004,Expenses!$L5:$L1004,"PAY",Expenses!$J5:$J1004,$R12,Expenses!$E5:$E1004,$A12)),""))</f>
        <v/>
      </c>
      <c r="K12" s="110">
        <f>IF($H12="","",N($H12)-N($I12)-N($J12))</f>
        <v/>
      </c>
      <c r="L12" s="111">
        <f>IF($K12="","",IF($K12&gt;0.5,"TO PAY",IF($K12&lt;-0.5,"ADVANCE / OWES","SETTLED")))</f>
        <v/>
      </c>
      <c r="R12" s="112" t="n">
        <v>46023</v>
      </c>
    </row>
    <row r="13">
      <c r="A13" s="104">
        <f>IF(Setup!$A83="","",Setup!$A83)</f>
        <v/>
      </c>
      <c r="B13" s="105">
        <f>IF($A13="","",Setup!$B83)</f>
        <v/>
      </c>
      <c r="C13" s="106">
        <f>IF($A13="","",IF(COUNTIFS(Trips!$Z5:$Z1004,$R13,Trips!$D5:$D1004,$A13)+COUNTIFS(Trips!$Z5:$Z1004,$R13,Trips!$E5:$E1004,$A13)=0,"",COUNTIFS(Trips!$Z5:$Z1004,$R13,Trips!$D5:$D1004,$A13)+COUNTIFS(Trips!$Z5:$Z1004,$R13,Trips!$E5:$E1004,$A13)))</f>
        <v/>
      </c>
      <c r="D13" s="107">
        <f>IF($C13="","",SUMIFS(Trips!$K5:$K1004,Trips!$Z5:$Z1004,$R13,Trips!$D5:$D1004,$A13)+SUMIFS(Trips!$K5:$K1004,Trips!$Z5:$Z1004,$R13,Trips!$E5:$E1004,$A13))</f>
        <v/>
      </c>
      <c r="E13" s="108">
        <f>IF($C13="","",SUMIFS(Trips!$N5:$N1004,Trips!$Z5:$Z1004,$R13,Trips!$D5:$D1004,$A13)+SUMIFS(Trips!$O5:$O1004,Trips!$Z5:$Z1004,$R13,Trips!$E5:$E1004,$A13))</f>
        <v/>
      </c>
      <c r="F13" s="109">
        <f>IF($C13="","",SUMIFS(Trips!$P5:$P1004,Trips!$Z5:$Z1004,$R13,Trips!$D5:$D1004,$A13))</f>
        <v/>
      </c>
      <c r="G13" s="109">
        <f>IF($C13="","",SUMIFS(Trips!$Q5:$Q1004,Trips!$Z5:$Z1004,$R13,Trips!$D5:$D1004,$A13))</f>
        <v/>
      </c>
      <c r="H13" s="108">
        <f>IF(AND($C13="",$I13="",$J13=""),"",N($E13)+N($F13)+N($G13))</f>
        <v/>
      </c>
      <c r="I13" s="109">
        <f>IF($A13="","",IFERROR(1/(1/SUMIFS(Expenses!$F5:$F1004,Expenses!$L5:$L1004,"ADV",Expenses!$J5:$J1004,$R13,Expenses!$E5:$E1004,$A13)),""))</f>
        <v/>
      </c>
      <c r="J13" s="109">
        <f>IF($A13="","",IFERROR(1/(1/SUMIFS(Expenses!$F5:$F1004,Expenses!$L5:$L1004,"PAY",Expenses!$J5:$J1004,$R13,Expenses!$E5:$E1004,$A13)),""))</f>
        <v/>
      </c>
      <c r="K13" s="110">
        <f>IF($H13="","",N($H13)-N($I13)-N($J13))</f>
        <v/>
      </c>
      <c r="L13" s="111">
        <f>IF($K13="","",IF($K13&gt;0.5,"TO PAY",IF($K13&lt;-0.5,"ADVANCE / OWES","SETTLED")))</f>
        <v/>
      </c>
      <c r="R13" s="112" t="n">
        <v>46023</v>
      </c>
    </row>
    <row r="14">
      <c r="A14" s="104">
        <f>IF(Setup!$A84="","",Setup!$A84)</f>
        <v/>
      </c>
      <c r="B14" s="105">
        <f>IF($A14="","",Setup!$B84)</f>
        <v/>
      </c>
      <c r="C14" s="106">
        <f>IF($A14="","",IF(COUNTIFS(Trips!$Z5:$Z1004,$R14,Trips!$D5:$D1004,$A14)+COUNTIFS(Trips!$Z5:$Z1004,$R14,Trips!$E5:$E1004,$A14)=0,"",COUNTIFS(Trips!$Z5:$Z1004,$R14,Trips!$D5:$D1004,$A14)+COUNTIFS(Trips!$Z5:$Z1004,$R14,Trips!$E5:$E1004,$A14)))</f>
        <v/>
      </c>
      <c r="D14" s="107">
        <f>IF($C14="","",SUMIFS(Trips!$K5:$K1004,Trips!$Z5:$Z1004,$R14,Trips!$D5:$D1004,$A14)+SUMIFS(Trips!$K5:$K1004,Trips!$Z5:$Z1004,$R14,Trips!$E5:$E1004,$A14))</f>
        <v/>
      </c>
      <c r="E14" s="108">
        <f>IF($C14="","",SUMIFS(Trips!$N5:$N1004,Trips!$Z5:$Z1004,$R14,Trips!$D5:$D1004,$A14)+SUMIFS(Trips!$O5:$O1004,Trips!$Z5:$Z1004,$R14,Trips!$E5:$E1004,$A14))</f>
        <v/>
      </c>
      <c r="F14" s="109">
        <f>IF($C14="","",SUMIFS(Trips!$P5:$P1004,Trips!$Z5:$Z1004,$R14,Trips!$D5:$D1004,$A14))</f>
        <v/>
      </c>
      <c r="G14" s="109">
        <f>IF($C14="","",SUMIFS(Trips!$Q5:$Q1004,Trips!$Z5:$Z1004,$R14,Trips!$D5:$D1004,$A14))</f>
        <v/>
      </c>
      <c r="H14" s="108">
        <f>IF(AND($C14="",$I14="",$J14=""),"",N($E14)+N($F14)+N($G14))</f>
        <v/>
      </c>
      <c r="I14" s="109">
        <f>IF($A14="","",IFERROR(1/(1/SUMIFS(Expenses!$F5:$F1004,Expenses!$L5:$L1004,"ADV",Expenses!$J5:$J1004,$R14,Expenses!$E5:$E1004,$A14)),""))</f>
        <v/>
      </c>
      <c r="J14" s="109">
        <f>IF($A14="","",IFERROR(1/(1/SUMIFS(Expenses!$F5:$F1004,Expenses!$L5:$L1004,"PAY",Expenses!$J5:$J1004,$R14,Expenses!$E5:$E1004,$A14)),""))</f>
        <v/>
      </c>
      <c r="K14" s="110">
        <f>IF($H14="","",N($H14)-N($I14)-N($J14))</f>
        <v/>
      </c>
      <c r="L14" s="111">
        <f>IF($K14="","",IF($K14&gt;0.5,"TO PAY",IF($K14&lt;-0.5,"ADVANCE / OWES","SETTLED")))</f>
        <v/>
      </c>
      <c r="R14" s="112" t="n">
        <v>46023</v>
      </c>
    </row>
    <row r="15">
      <c r="A15" s="104">
        <f>IF(Setup!$A85="","",Setup!$A85)</f>
        <v/>
      </c>
      <c r="B15" s="105">
        <f>IF($A15="","",Setup!$B85)</f>
        <v/>
      </c>
      <c r="C15" s="106">
        <f>IF($A15="","",IF(COUNTIFS(Trips!$Z5:$Z1004,$R15,Trips!$D5:$D1004,$A15)+COUNTIFS(Trips!$Z5:$Z1004,$R15,Trips!$E5:$E1004,$A15)=0,"",COUNTIFS(Trips!$Z5:$Z1004,$R15,Trips!$D5:$D1004,$A15)+COUNTIFS(Trips!$Z5:$Z1004,$R15,Trips!$E5:$E1004,$A15)))</f>
        <v/>
      </c>
      <c r="D15" s="107">
        <f>IF($C15="","",SUMIFS(Trips!$K5:$K1004,Trips!$Z5:$Z1004,$R15,Trips!$D5:$D1004,$A15)+SUMIFS(Trips!$K5:$K1004,Trips!$Z5:$Z1004,$R15,Trips!$E5:$E1004,$A15))</f>
        <v/>
      </c>
      <c r="E15" s="108">
        <f>IF($C15="","",SUMIFS(Trips!$N5:$N1004,Trips!$Z5:$Z1004,$R15,Trips!$D5:$D1004,$A15)+SUMIFS(Trips!$O5:$O1004,Trips!$Z5:$Z1004,$R15,Trips!$E5:$E1004,$A15))</f>
        <v/>
      </c>
      <c r="F15" s="109">
        <f>IF($C15="","",SUMIFS(Trips!$P5:$P1004,Trips!$Z5:$Z1004,$R15,Trips!$D5:$D1004,$A15))</f>
        <v/>
      </c>
      <c r="G15" s="109">
        <f>IF($C15="","",SUMIFS(Trips!$Q5:$Q1004,Trips!$Z5:$Z1004,$R15,Trips!$D5:$D1004,$A15))</f>
        <v/>
      </c>
      <c r="H15" s="108">
        <f>IF(AND($C15="",$I15="",$J15=""),"",N($E15)+N($F15)+N($G15))</f>
        <v/>
      </c>
      <c r="I15" s="109">
        <f>IF($A15="","",IFERROR(1/(1/SUMIFS(Expenses!$F5:$F1004,Expenses!$L5:$L1004,"ADV",Expenses!$J5:$J1004,$R15,Expenses!$E5:$E1004,$A15)),""))</f>
        <v/>
      </c>
      <c r="J15" s="109">
        <f>IF($A15="","",IFERROR(1/(1/SUMIFS(Expenses!$F5:$F1004,Expenses!$L5:$L1004,"PAY",Expenses!$J5:$J1004,$R15,Expenses!$E5:$E1004,$A15)),""))</f>
        <v/>
      </c>
      <c r="K15" s="110">
        <f>IF($H15="","",N($H15)-N($I15)-N($J15))</f>
        <v/>
      </c>
      <c r="L15" s="111">
        <f>IF($K15="","",IF($K15&gt;0.5,"TO PAY",IF($K15&lt;-0.5,"ADVANCE / OWES","SETTLED")))</f>
        <v/>
      </c>
      <c r="R15" s="112" t="n">
        <v>46023</v>
      </c>
    </row>
    <row r="16">
      <c r="A16" s="104">
        <f>IF(Setup!$A86="","",Setup!$A86)</f>
        <v/>
      </c>
      <c r="B16" s="105">
        <f>IF($A16="","",Setup!$B86)</f>
        <v/>
      </c>
      <c r="C16" s="106">
        <f>IF($A16="","",IF(COUNTIFS(Trips!$Z5:$Z1004,$R16,Trips!$D5:$D1004,$A16)+COUNTIFS(Trips!$Z5:$Z1004,$R16,Trips!$E5:$E1004,$A16)=0,"",COUNTIFS(Trips!$Z5:$Z1004,$R16,Trips!$D5:$D1004,$A16)+COUNTIFS(Trips!$Z5:$Z1004,$R16,Trips!$E5:$E1004,$A16)))</f>
        <v/>
      </c>
      <c r="D16" s="107">
        <f>IF($C16="","",SUMIFS(Trips!$K5:$K1004,Trips!$Z5:$Z1004,$R16,Trips!$D5:$D1004,$A16)+SUMIFS(Trips!$K5:$K1004,Trips!$Z5:$Z1004,$R16,Trips!$E5:$E1004,$A16))</f>
        <v/>
      </c>
      <c r="E16" s="108">
        <f>IF($C16="","",SUMIFS(Trips!$N5:$N1004,Trips!$Z5:$Z1004,$R16,Trips!$D5:$D1004,$A16)+SUMIFS(Trips!$O5:$O1004,Trips!$Z5:$Z1004,$R16,Trips!$E5:$E1004,$A16))</f>
        <v/>
      </c>
      <c r="F16" s="109">
        <f>IF($C16="","",SUMIFS(Trips!$P5:$P1004,Trips!$Z5:$Z1004,$R16,Trips!$D5:$D1004,$A16))</f>
        <v/>
      </c>
      <c r="G16" s="109">
        <f>IF($C16="","",SUMIFS(Trips!$Q5:$Q1004,Trips!$Z5:$Z1004,$R16,Trips!$D5:$D1004,$A16))</f>
        <v/>
      </c>
      <c r="H16" s="108">
        <f>IF(AND($C16="",$I16="",$J16=""),"",N($E16)+N($F16)+N($G16))</f>
        <v/>
      </c>
      <c r="I16" s="109">
        <f>IF($A16="","",IFERROR(1/(1/SUMIFS(Expenses!$F5:$F1004,Expenses!$L5:$L1004,"ADV",Expenses!$J5:$J1004,$R16,Expenses!$E5:$E1004,$A16)),""))</f>
        <v/>
      </c>
      <c r="J16" s="109">
        <f>IF($A16="","",IFERROR(1/(1/SUMIFS(Expenses!$F5:$F1004,Expenses!$L5:$L1004,"PAY",Expenses!$J5:$J1004,$R16,Expenses!$E5:$E1004,$A16)),""))</f>
        <v/>
      </c>
      <c r="K16" s="110">
        <f>IF($H16="","",N($H16)-N($I16)-N($J16))</f>
        <v/>
      </c>
      <c r="L16" s="111">
        <f>IF($K16="","",IF($K16&gt;0.5,"TO PAY",IF($K16&lt;-0.5,"ADVANCE / OWES","SETTLED")))</f>
        <v/>
      </c>
      <c r="R16" s="112" t="n">
        <v>46023</v>
      </c>
    </row>
    <row r="17">
      <c r="A17" s="104">
        <f>IF(Setup!$A87="","",Setup!$A87)</f>
        <v/>
      </c>
      <c r="B17" s="105">
        <f>IF($A17="","",Setup!$B87)</f>
        <v/>
      </c>
      <c r="C17" s="106">
        <f>IF($A17="","",IF(COUNTIFS(Trips!$Z5:$Z1004,$R17,Trips!$D5:$D1004,$A17)+COUNTIFS(Trips!$Z5:$Z1004,$R17,Trips!$E5:$E1004,$A17)=0,"",COUNTIFS(Trips!$Z5:$Z1004,$R17,Trips!$D5:$D1004,$A17)+COUNTIFS(Trips!$Z5:$Z1004,$R17,Trips!$E5:$E1004,$A17)))</f>
        <v/>
      </c>
      <c r="D17" s="107">
        <f>IF($C17="","",SUMIFS(Trips!$K5:$K1004,Trips!$Z5:$Z1004,$R17,Trips!$D5:$D1004,$A17)+SUMIFS(Trips!$K5:$K1004,Trips!$Z5:$Z1004,$R17,Trips!$E5:$E1004,$A17))</f>
        <v/>
      </c>
      <c r="E17" s="108">
        <f>IF($C17="","",SUMIFS(Trips!$N5:$N1004,Trips!$Z5:$Z1004,$R17,Trips!$D5:$D1004,$A17)+SUMIFS(Trips!$O5:$O1004,Trips!$Z5:$Z1004,$R17,Trips!$E5:$E1004,$A17))</f>
        <v/>
      </c>
      <c r="F17" s="109">
        <f>IF($C17="","",SUMIFS(Trips!$P5:$P1004,Trips!$Z5:$Z1004,$R17,Trips!$D5:$D1004,$A17))</f>
        <v/>
      </c>
      <c r="G17" s="109">
        <f>IF($C17="","",SUMIFS(Trips!$Q5:$Q1004,Trips!$Z5:$Z1004,$R17,Trips!$D5:$D1004,$A17))</f>
        <v/>
      </c>
      <c r="H17" s="108">
        <f>IF(AND($C17="",$I17="",$J17=""),"",N($E17)+N($F17)+N($G17))</f>
        <v/>
      </c>
      <c r="I17" s="109">
        <f>IF($A17="","",IFERROR(1/(1/SUMIFS(Expenses!$F5:$F1004,Expenses!$L5:$L1004,"ADV",Expenses!$J5:$J1004,$R17,Expenses!$E5:$E1004,$A17)),""))</f>
        <v/>
      </c>
      <c r="J17" s="109">
        <f>IF($A17="","",IFERROR(1/(1/SUMIFS(Expenses!$F5:$F1004,Expenses!$L5:$L1004,"PAY",Expenses!$J5:$J1004,$R17,Expenses!$E5:$E1004,$A17)),""))</f>
        <v/>
      </c>
      <c r="K17" s="110">
        <f>IF($H17="","",N($H17)-N($I17)-N($J17))</f>
        <v/>
      </c>
      <c r="L17" s="111">
        <f>IF($K17="","",IF($K17&gt;0.5,"TO PAY",IF($K17&lt;-0.5,"ADVANCE / OWES","SETTLED")))</f>
        <v/>
      </c>
      <c r="R17" s="112" t="n">
        <v>46023</v>
      </c>
    </row>
    <row r="18">
      <c r="A18" s="113" t="inlineStr">
        <is>
          <t>MONTH TOTAL</t>
        </is>
      </c>
      <c r="B18" s="114" t="n"/>
      <c r="C18" s="115">
        <f>IF(COUNT(C6:C17)=0,"",SUM(C6:C17))</f>
        <v/>
      </c>
      <c r="D18" s="116">
        <f>IF(COUNT(D6:D17)=0,"",SUM(D6:D17))</f>
        <v/>
      </c>
      <c r="E18" s="117">
        <f>IF(COUNT(E6:E17)=0,"",SUM(E6:E17))</f>
        <v/>
      </c>
      <c r="F18" s="117">
        <f>IF(COUNT(F6:F17)=0,"",SUM(F6:F17))</f>
        <v/>
      </c>
      <c r="G18" s="117">
        <f>IF(COUNT(G6:G17)=0,"",SUM(G6:G17))</f>
        <v/>
      </c>
      <c r="H18" s="117">
        <f>IF(COUNT(H6:H17)=0,"",SUM(H6:H17))</f>
        <v/>
      </c>
      <c r="I18" s="117">
        <f>IF(COUNT(I6:I17)=0,"",SUM(I6:I17))</f>
        <v/>
      </c>
      <c r="J18" s="117">
        <f>IF(COUNT(J6:J17)=0,"",SUM(J6:J17))</f>
        <v/>
      </c>
      <c r="K18" s="117">
        <f>IF(COUNT(K6:K17)=0,"",SUM(K6:K17))</f>
        <v/>
      </c>
      <c r="L18" s="118" t="n"/>
    </row>
    <row r="19" ht="24" customHeight="1">
      <c r="A19" s="103" t="inlineStr">
        <is>
          <t>FEBRUARY 2026   ·   crew earnings &amp; settlement</t>
        </is>
      </c>
    </row>
    <row r="20">
      <c r="A20" s="104">
        <f>IF(Setup!$A76="","",Setup!$A76)</f>
        <v/>
      </c>
      <c r="B20" s="105">
        <f>IF($A20="","",Setup!$B76)</f>
        <v/>
      </c>
      <c r="C20" s="106">
        <f>IF($A20="","",IF(COUNTIFS(Trips!$Z5:$Z1004,$R20,Trips!$D5:$D1004,$A20)+COUNTIFS(Trips!$Z5:$Z1004,$R20,Trips!$E5:$E1004,$A20)=0,"",COUNTIFS(Trips!$Z5:$Z1004,$R20,Trips!$D5:$D1004,$A20)+COUNTIFS(Trips!$Z5:$Z1004,$R20,Trips!$E5:$E1004,$A20)))</f>
        <v/>
      </c>
      <c r="D20" s="107">
        <f>IF($C20="","",SUMIFS(Trips!$K5:$K1004,Trips!$Z5:$Z1004,$R20,Trips!$D5:$D1004,$A20)+SUMIFS(Trips!$K5:$K1004,Trips!$Z5:$Z1004,$R20,Trips!$E5:$E1004,$A20))</f>
        <v/>
      </c>
      <c r="E20" s="108">
        <f>IF($C20="","",SUMIFS(Trips!$N5:$N1004,Trips!$Z5:$Z1004,$R20,Trips!$D5:$D1004,$A20)+SUMIFS(Trips!$O5:$O1004,Trips!$Z5:$Z1004,$R20,Trips!$E5:$E1004,$A20))</f>
        <v/>
      </c>
      <c r="F20" s="109">
        <f>IF($C20="","",SUMIFS(Trips!$P5:$P1004,Trips!$Z5:$Z1004,$R20,Trips!$D5:$D1004,$A20))</f>
        <v/>
      </c>
      <c r="G20" s="109">
        <f>IF($C20="","",SUMIFS(Trips!$Q5:$Q1004,Trips!$Z5:$Z1004,$R20,Trips!$D5:$D1004,$A20))</f>
        <v/>
      </c>
      <c r="H20" s="108">
        <f>IF(AND($C20="",$I20="",$J20=""),"",N($E20)+N($F20)+N($G20))</f>
        <v/>
      </c>
      <c r="I20" s="109">
        <f>IF($A20="","",IFERROR(1/(1/SUMIFS(Expenses!$F5:$F1004,Expenses!$L5:$L1004,"ADV",Expenses!$J5:$J1004,$R20,Expenses!$E5:$E1004,$A20)),""))</f>
        <v/>
      </c>
      <c r="J20" s="109">
        <f>IF($A20="","",IFERROR(1/(1/SUMIFS(Expenses!$F5:$F1004,Expenses!$L5:$L1004,"PAY",Expenses!$J5:$J1004,$R20,Expenses!$E5:$E1004,$A20)),""))</f>
        <v/>
      </c>
      <c r="K20" s="110">
        <f>IF($H20="","",N($H20)-N($I20)-N($J20))</f>
        <v/>
      </c>
      <c r="L20" s="111">
        <f>IF($K20="","",IF($K20&gt;0.5,"TO PAY",IF($K20&lt;-0.5,"ADVANCE / OWES","SETTLED")))</f>
        <v/>
      </c>
      <c r="R20" s="112" t="n">
        <v>46054</v>
      </c>
    </row>
    <row r="21">
      <c r="A21" s="104">
        <f>IF(Setup!$A77="","",Setup!$A77)</f>
        <v/>
      </c>
      <c r="B21" s="105">
        <f>IF($A21="","",Setup!$B77)</f>
        <v/>
      </c>
      <c r="C21" s="106">
        <f>IF($A21="","",IF(COUNTIFS(Trips!$Z5:$Z1004,$R21,Trips!$D5:$D1004,$A21)+COUNTIFS(Trips!$Z5:$Z1004,$R21,Trips!$E5:$E1004,$A21)=0,"",COUNTIFS(Trips!$Z5:$Z1004,$R21,Trips!$D5:$D1004,$A21)+COUNTIFS(Trips!$Z5:$Z1004,$R21,Trips!$E5:$E1004,$A21)))</f>
        <v/>
      </c>
      <c r="D21" s="107">
        <f>IF($C21="","",SUMIFS(Trips!$K5:$K1004,Trips!$Z5:$Z1004,$R21,Trips!$D5:$D1004,$A21)+SUMIFS(Trips!$K5:$K1004,Trips!$Z5:$Z1004,$R21,Trips!$E5:$E1004,$A21))</f>
        <v/>
      </c>
      <c r="E21" s="108">
        <f>IF($C21="","",SUMIFS(Trips!$N5:$N1004,Trips!$Z5:$Z1004,$R21,Trips!$D5:$D1004,$A21)+SUMIFS(Trips!$O5:$O1004,Trips!$Z5:$Z1004,$R21,Trips!$E5:$E1004,$A21))</f>
        <v/>
      </c>
      <c r="F21" s="109">
        <f>IF($C21="","",SUMIFS(Trips!$P5:$P1004,Trips!$Z5:$Z1004,$R21,Trips!$D5:$D1004,$A21))</f>
        <v/>
      </c>
      <c r="G21" s="109">
        <f>IF($C21="","",SUMIFS(Trips!$Q5:$Q1004,Trips!$Z5:$Z1004,$R21,Trips!$D5:$D1004,$A21))</f>
        <v/>
      </c>
      <c r="H21" s="108">
        <f>IF(AND($C21="",$I21="",$J21=""),"",N($E21)+N($F21)+N($G21))</f>
        <v/>
      </c>
      <c r="I21" s="109">
        <f>IF($A21="","",IFERROR(1/(1/SUMIFS(Expenses!$F5:$F1004,Expenses!$L5:$L1004,"ADV",Expenses!$J5:$J1004,$R21,Expenses!$E5:$E1004,$A21)),""))</f>
        <v/>
      </c>
      <c r="J21" s="109">
        <f>IF($A21="","",IFERROR(1/(1/SUMIFS(Expenses!$F5:$F1004,Expenses!$L5:$L1004,"PAY",Expenses!$J5:$J1004,$R21,Expenses!$E5:$E1004,$A21)),""))</f>
        <v/>
      </c>
      <c r="K21" s="110">
        <f>IF($H21="","",N($H21)-N($I21)-N($J21))</f>
        <v/>
      </c>
      <c r="L21" s="111">
        <f>IF($K21="","",IF($K21&gt;0.5,"TO PAY",IF($K21&lt;-0.5,"ADVANCE / OWES","SETTLED")))</f>
        <v/>
      </c>
      <c r="R21" s="112" t="n">
        <v>46054</v>
      </c>
    </row>
    <row r="22">
      <c r="A22" s="104">
        <f>IF(Setup!$A78="","",Setup!$A78)</f>
        <v/>
      </c>
      <c r="B22" s="105">
        <f>IF($A22="","",Setup!$B78)</f>
        <v/>
      </c>
      <c r="C22" s="106">
        <f>IF($A22="","",IF(COUNTIFS(Trips!$Z5:$Z1004,$R22,Trips!$D5:$D1004,$A22)+COUNTIFS(Trips!$Z5:$Z1004,$R22,Trips!$E5:$E1004,$A22)=0,"",COUNTIFS(Trips!$Z5:$Z1004,$R22,Trips!$D5:$D1004,$A22)+COUNTIFS(Trips!$Z5:$Z1004,$R22,Trips!$E5:$E1004,$A22)))</f>
        <v/>
      </c>
      <c r="D22" s="107">
        <f>IF($C22="","",SUMIFS(Trips!$K5:$K1004,Trips!$Z5:$Z1004,$R22,Trips!$D5:$D1004,$A22)+SUMIFS(Trips!$K5:$K1004,Trips!$Z5:$Z1004,$R22,Trips!$E5:$E1004,$A22))</f>
        <v/>
      </c>
      <c r="E22" s="108">
        <f>IF($C22="","",SUMIFS(Trips!$N5:$N1004,Trips!$Z5:$Z1004,$R22,Trips!$D5:$D1004,$A22)+SUMIFS(Trips!$O5:$O1004,Trips!$Z5:$Z1004,$R22,Trips!$E5:$E1004,$A22))</f>
        <v/>
      </c>
      <c r="F22" s="109">
        <f>IF($C22="","",SUMIFS(Trips!$P5:$P1004,Trips!$Z5:$Z1004,$R22,Trips!$D5:$D1004,$A22))</f>
        <v/>
      </c>
      <c r="G22" s="109">
        <f>IF($C22="","",SUMIFS(Trips!$Q5:$Q1004,Trips!$Z5:$Z1004,$R22,Trips!$D5:$D1004,$A22))</f>
        <v/>
      </c>
      <c r="H22" s="108">
        <f>IF(AND($C22="",$I22="",$J22=""),"",N($E22)+N($F22)+N($G22))</f>
        <v/>
      </c>
      <c r="I22" s="109">
        <f>IF($A22="","",IFERROR(1/(1/SUMIFS(Expenses!$F5:$F1004,Expenses!$L5:$L1004,"ADV",Expenses!$J5:$J1004,$R22,Expenses!$E5:$E1004,$A22)),""))</f>
        <v/>
      </c>
      <c r="J22" s="109">
        <f>IF($A22="","",IFERROR(1/(1/SUMIFS(Expenses!$F5:$F1004,Expenses!$L5:$L1004,"PAY",Expenses!$J5:$J1004,$R22,Expenses!$E5:$E1004,$A22)),""))</f>
        <v/>
      </c>
      <c r="K22" s="110">
        <f>IF($H22="","",N($H22)-N($I22)-N($J22))</f>
        <v/>
      </c>
      <c r="L22" s="111">
        <f>IF($K22="","",IF($K22&gt;0.5,"TO PAY",IF($K22&lt;-0.5,"ADVANCE / OWES","SETTLED")))</f>
        <v/>
      </c>
      <c r="R22" s="112" t="n">
        <v>46054</v>
      </c>
    </row>
    <row r="23">
      <c r="A23" s="104">
        <f>IF(Setup!$A79="","",Setup!$A79)</f>
        <v/>
      </c>
      <c r="B23" s="105">
        <f>IF($A23="","",Setup!$B79)</f>
        <v/>
      </c>
      <c r="C23" s="106">
        <f>IF($A23="","",IF(COUNTIFS(Trips!$Z5:$Z1004,$R23,Trips!$D5:$D1004,$A23)+COUNTIFS(Trips!$Z5:$Z1004,$R23,Trips!$E5:$E1004,$A23)=0,"",COUNTIFS(Trips!$Z5:$Z1004,$R23,Trips!$D5:$D1004,$A23)+COUNTIFS(Trips!$Z5:$Z1004,$R23,Trips!$E5:$E1004,$A23)))</f>
        <v/>
      </c>
      <c r="D23" s="107">
        <f>IF($C23="","",SUMIFS(Trips!$K5:$K1004,Trips!$Z5:$Z1004,$R23,Trips!$D5:$D1004,$A23)+SUMIFS(Trips!$K5:$K1004,Trips!$Z5:$Z1004,$R23,Trips!$E5:$E1004,$A23))</f>
        <v/>
      </c>
      <c r="E23" s="108">
        <f>IF($C23="","",SUMIFS(Trips!$N5:$N1004,Trips!$Z5:$Z1004,$R23,Trips!$D5:$D1004,$A23)+SUMIFS(Trips!$O5:$O1004,Trips!$Z5:$Z1004,$R23,Trips!$E5:$E1004,$A23))</f>
        <v/>
      </c>
      <c r="F23" s="109">
        <f>IF($C23="","",SUMIFS(Trips!$P5:$P1004,Trips!$Z5:$Z1004,$R23,Trips!$D5:$D1004,$A23))</f>
        <v/>
      </c>
      <c r="G23" s="109">
        <f>IF($C23="","",SUMIFS(Trips!$Q5:$Q1004,Trips!$Z5:$Z1004,$R23,Trips!$D5:$D1004,$A23))</f>
        <v/>
      </c>
      <c r="H23" s="108">
        <f>IF(AND($C23="",$I23="",$J23=""),"",N($E23)+N($F23)+N($G23))</f>
        <v/>
      </c>
      <c r="I23" s="109">
        <f>IF($A23="","",IFERROR(1/(1/SUMIFS(Expenses!$F5:$F1004,Expenses!$L5:$L1004,"ADV",Expenses!$J5:$J1004,$R23,Expenses!$E5:$E1004,$A23)),""))</f>
        <v/>
      </c>
      <c r="J23" s="109">
        <f>IF($A23="","",IFERROR(1/(1/SUMIFS(Expenses!$F5:$F1004,Expenses!$L5:$L1004,"PAY",Expenses!$J5:$J1004,$R23,Expenses!$E5:$E1004,$A23)),""))</f>
        <v/>
      </c>
      <c r="K23" s="110">
        <f>IF($H23="","",N($H23)-N($I23)-N($J23))</f>
        <v/>
      </c>
      <c r="L23" s="111">
        <f>IF($K23="","",IF($K23&gt;0.5,"TO PAY",IF($K23&lt;-0.5,"ADVANCE / OWES","SETTLED")))</f>
        <v/>
      </c>
      <c r="R23" s="112" t="n">
        <v>46054</v>
      </c>
    </row>
    <row r="24">
      <c r="A24" s="104">
        <f>IF(Setup!$A80="","",Setup!$A80)</f>
        <v/>
      </c>
      <c r="B24" s="105">
        <f>IF($A24="","",Setup!$B80)</f>
        <v/>
      </c>
      <c r="C24" s="106">
        <f>IF($A24="","",IF(COUNTIFS(Trips!$Z5:$Z1004,$R24,Trips!$D5:$D1004,$A24)+COUNTIFS(Trips!$Z5:$Z1004,$R24,Trips!$E5:$E1004,$A24)=0,"",COUNTIFS(Trips!$Z5:$Z1004,$R24,Trips!$D5:$D1004,$A24)+COUNTIFS(Trips!$Z5:$Z1004,$R24,Trips!$E5:$E1004,$A24)))</f>
        <v/>
      </c>
      <c r="D24" s="107">
        <f>IF($C24="","",SUMIFS(Trips!$K5:$K1004,Trips!$Z5:$Z1004,$R24,Trips!$D5:$D1004,$A24)+SUMIFS(Trips!$K5:$K1004,Trips!$Z5:$Z1004,$R24,Trips!$E5:$E1004,$A24))</f>
        <v/>
      </c>
      <c r="E24" s="108">
        <f>IF($C24="","",SUMIFS(Trips!$N5:$N1004,Trips!$Z5:$Z1004,$R24,Trips!$D5:$D1004,$A24)+SUMIFS(Trips!$O5:$O1004,Trips!$Z5:$Z1004,$R24,Trips!$E5:$E1004,$A24))</f>
        <v/>
      </c>
      <c r="F24" s="109">
        <f>IF($C24="","",SUMIFS(Trips!$P5:$P1004,Trips!$Z5:$Z1004,$R24,Trips!$D5:$D1004,$A24))</f>
        <v/>
      </c>
      <c r="G24" s="109">
        <f>IF($C24="","",SUMIFS(Trips!$Q5:$Q1004,Trips!$Z5:$Z1004,$R24,Trips!$D5:$D1004,$A24))</f>
        <v/>
      </c>
      <c r="H24" s="108">
        <f>IF(AND($C24="",$I24="",$J24=""),"",N($E24)+N($F24)+N($G24))</f>
        <v/>
      </c>
      <c r="I24" s="109">
        <f>IF($A24="","",IFERROR(1/(1/SUMIFS(Expenses!$F5:$F1004,Expenses!$L5:$L1004,"ADV",Expenses!$J5:$J1004,$R24,Expenses!$E5:$E1004,$A24)),""))</f>
        <v/>
      </c>
      <c r="J24" s="109">
        <f>IF($A24="","",IFERROR(1/(1/SUMIFS(Expenses!$F5:$F1004,Expenses!$L5:$L1004,"PAY",Expenses!$J5:$J1004,$R24,Expenses!$E5:$E1004,$A24)),""))</f>
        <v/>
      </c>
      <c r="K24" s="110">
        <f>IF($H24="","",N($H24)-N($I24)-N($J24))</f>
        <v/>
      </c>
      <c r="L24" s="111">
        <f>IF($K24="","",IF($K24&gt;0.5,"TO PAY",IF($K24&lt;-0.5,"ADVANCE / OWES","SETTLED")))</f>
        <v/>
      </c>
      <c r="R24" s="112" t="n">
        <v>46054</v>
      </c>
    </row>
    <row r="25">
      <c r="A25" s="104">
        <f>IF(Setup!$A81="","",Setup!$A81)</f>
        <v/>
      </c>
      <c r="B25" s="105">
        <f>IF($A25="","",Setup!$B81)</f>
        <v/>
      </c>
      <c r="C25" s="106">
        <f>IF($A25="","",IF(COUNTIFS(Trips!$Z5:$Z1004,$R25,Trips!$D5:$D1004,$A25)+COUNTIFS(Trips!$Z5:$Z1004,$R25,Trips!$E5:$E1004,$A25)=0,"",COUNTIFS(Trips!$Z5:$Z1004,$R25,Trips!$D5:$D1004,$A25)+COUNTIFS(Trips!$Z5:$Z1004,$R25,Trips!$E5:$E1004,$A25)))</f>
        <v/>
      </c>
      <c r="D25" s="107">
        <f>IF($C25="","",SUMIFS(Trips!$K5:$K1004,Trips!$Z5:$Z1004,$R25,Trips!$D5:$D1004,$A25)+SUMIFS(Trips!$K5:$K1004,Trips!$Z5:$Z1004,$R25,Trips!$E5:$E1004,$A25))</f>
        <v/>
      </c>
      <c r="E25" s="108">
        <f>IF($C25="","",SUMIFS(Trips!$N5:$N1004,Trips!$Z5:$Z1004,$R25,Trips!$D5:$D1004,$A25)+SUMIFS(Trips!$O5:$O1004,Trips!$Z5:$Z1004,$R25,Trips!$E5:$E1004,$A25))</f>
        <v/>
      </c>
      <c r="F25" s="109">
        <f>IF($C25="","",SUMIFS(Trips!$P5:$P1004,Trips!$Z5:$Z1004,$R25,Trips!$D5:$D1004,$A25))</f>
        <v/>
      </c>
      <c r="G25" s="109">
        <f>IF($C25="","",SUMIFS(Trips!$Q5:$Q1004,Trips!$Z5:$Z1004,$R25,Trips!$D5:$D1004,$A25))</f>
        <v/>
      </c>
      <c r="H25" s="108">
        <f>IF(AND($C25="",$I25="",$J25=""),"",N($E25)+N($F25)+N($G25))</f>
        <v/>
      </c>
      <c r="I25" s="109">
        <f>IF($A25="","",IFERROR(1/(1/SUMIFS(Expenses!$F5:$F1004,Expenses!$L5:$L1004,"ADV",Expenses!$J5:$J1004,$R25,Expenses!$E5:$E1004,$A25)),""))</f>
        <v/>
      </c>
      <c r="J25" s="109">
        <f>IF($A25="","",IFERROR(1/(1/SUMIFS(Expenses!$F5:$F1004,Expenses!$L5:$L1004,"PAY",Expenses!$J5:$J1004,$R25,Expenses!$E5:$E1004,$A25)),""))</f>
        <v/>
      </c>
      <c r="K25" s="110">
        <f>IF($H25="","",N($H25)-N($I25)-N($J25))</f>
        <v/>
      </c>
      <c r="L25" s="111">
        <f>IF($K25="","",IF($K25&gt;0.5,"TO PAY",IF($K25&lt;-0.5,"ADVANCE / OWES","SETTLED")))</f>
        <v/>
      </c>
      <c r="R25" s="112" t="n">
        <v>46054</v>
      </c>
    </row>
    <row r="26">
      <c r="A26" s="104">
        <f>IF(Setup!$A82="","",Setup!$A82)</f>
        <v/>
      </c>
      <c r="B26" s="105">
        <f>IF($A26="","",Setup!$B82)</f>
        <v/>
      </c>
      <c r="C26" s="106">
        <f>IF($A26="","",IF(COUNTIFS(Trips!$Z5:$Z1004,$R26,Trips!$D5:$D1004,$A26)+COUNTIFS(Trips!$Z5:$Z1004,$R26,Trips!$E5:$E1004,$A26)=0,"",COUNTIFS(Trips!$Z5:$Z1004,$R26,Trips!$D5:$D1004,$A26)+COUNTIFS(Trips!$Z5:$Z1004,$R26,Trips!$E5:$E1004,$A26)))</f>
        <v/>
      </c>
      <c r="D26" s="107">
        <f>IF($C26="","",SUMIFS(Trips!$K5:$K1004,Trips!$Z5:$Z1004,$R26,Trips!$D5:$D1004,$A26)+SUMIFS(Trips!$K5:$K1004,Trips!$Z5:$Z1004,$R26,Trips!$E5:$E1004,$A26))</f>
        <v/>
      </c>
      <c r="E26" s="108">
        <f>IF($C26="","",SUMIFS(Trips!$N5:$N1004,Trips!$Z5:$Z1004,$R26,Trips!$D5:$D1004,$A26)+SUMIFS(Trips!$O5:$O1004,Trips!$Z5:$Z1004,$R26,Trips!$E5:$E1004,$A26))</f>
        <v/>
      </c>
      <c r="F26" s="109">
        <f>IF($C26="","",SUMIFS(Trips!$P5:$P1004,Trips!$Z5:$Z1004,$R26,Trips!$D5:$D1004,$A26))</f>
        <v/>
      </c>
      <c r="G26" s="109">
        <f>IF($C26="","",SUMIFS(Trips!$Q5:$Q1004,Trips!$Z5:$Z1004,$R26,Trips!$D5:$D1004,$A26))</f>
        <v/>
      </c>
      <c r="H26" s="108">
        <f>IF(AND($C26="",$I26="",$J26=""),"",N($E26)+N($F26)+N($G26))</f>
        <v/>
      </c>
      <c r="I26" s="109">
        <f>IF($A26="","",IFERROR(1/(1/SUMIFS(Expenses!$F5:$F1004,Expenses!$L5:$L1004,"ADV",Expenses!$J5:$J1004,$R26,Expenses!$E5:$E1004,$A26)),""))</f>
        <v/>
      </c>
      <c r="J26" s="109">
        <f>IF($A26="","",IFERROR(1/(1/SUMIFS(Expenses!$F5:$F1004,Expenses!$L5:$L1004,"PAY",Expenses!$J5:$J1004,$R26,Expenses!$E5:$E1004,$A26)),""))</f>
        <v/>
      </c>
      <c r="K26" s="110">
        <f>IF($H26="","",N($H26)-N($I26)-N($J26))</f>
        <v/>
      </c>
      <c r="L26" s="111">
        <f>IF($K26="","",IF($K26&gt;0.5,"TO PAY",IF($K26&lt;-0.5,"ADVANCE / OWES","SETTLED")))</f>
        <v/>
      </c>
      <c r="R26" s="112" t="n">
        <v>46054</v>
      </c>
    </row>
    <row r="27">
      <c r="A27" s="104">
        <f>IF(Setup!$A83="","",Setup!$A83)</f>
        <v/>
      </c>
      <c r="B27" s="105">
        <f>IF($A27="","",Setup!$B83)</f>
        <v/>
      </c>
      <c r="C27" s="106">
        <f>IF($A27="","",IF(COUNTIFS(Trips!$Z5:$Z1004,$R27,Trips!$D5:$D1004,$A27)+COUNTIFS(Trips!$Z5:$Z1004,$R27,Trips!$E5:$E1004,$A27)=0,"",COUNTIFS(Trips!$Z5:$Z1004,$R27,Trips!$D5:$D1004,$A27)+COUNTIFS(Trips!$Z5:$Z1004,$R27,Trips!$E5:$E1004,$A27)))</f>
        <v/>
      </c>
      <c r="D27" s="107">
        <f>IF($C27="","",SUMIFS(Trips!$K5:$K1004,Trips!$Z5:$Z1004,$R27,Trips!$D5:$D1004,$A27)+SUMIFS(Trips!$K5:$K1004,Trips!$Z5:$Z1004,$R27,Trips!$E5:$E1004,$A27))</f>
        <v/>
      </c>
      <c r="E27" s="108">
        <f>IF($C27="","",SUMIFS(Trips!$N5:$N1004,Trips!$Z5:$Z1004,$R27,Trips!$D5:$D1004,$A27)+SUMIFS(Trips!$O5:$O1004,Trips!$Z5:$Z1004,$R27,Trips!$E5:$E1004,$A27))</f>
        <v/>
      </c>
      <c r="F27" s="109">
        <f>IF($C27="","",SUMIFS(Trips!$P5:$P1004,Trips!$Z5:$Z1004,$R27,Trips!$D5:$D1004,$A27))</f>
        <v/>
      </c>
      <c r="G27" s="109">
        <f>IF($C27="","",SUMIFS(Trips!$Q5:$Q1004,Trips!$Z5:$Z1004,$R27,Trips!$D5:$D1004,$A27))</f>
        <v/>
      </c>
      <c r="H27" s="108">
        <f>IF(AND($C27="",$I27="",$J27=""),"",N($E27)+N($F27)+N($G27))</f>
        <v/>
      </c>
      <c r="I27" s="109">
        <f>IF($A27="","",IFERROR(1/(1/SUMIFS(Expenses!$F5:$F1004,Expenses!$L5:$L1004,"ADV",Expenses!$J5:$J1004,$R27,Expenses!$E5:$E1004,$A27)),""))</f>
        <v/>
      </c>
      <c r="J27" s="109">
        <f>IF($A27="","",IFERROR(1/(1/SUMIFS(Expenses!$F5:$F1004,Expenses!$L5:$L1004,"PAY",Expenses!$J5:$J1004,$R27,Expenses!$E5:$E1004,$A27)),""))</f>
        <v/>
      </c>
      <c r="K27" s="110">
        <f>IF($H27="","",N($H27)-N($I27)-N($J27))</f>
        <v/>
      </c>
      <c r="L27" s="111">
        <f>IF($K27="","",IF($K27&gt;0.5,"TO PAY",IF($K27&lt;-0.5,"ADVANCE / OWES","SETTLED")))</f>
        <v/>
      </c>
      <c r="R27" s="112" t="n">
        <v>46054</v>
      </c>
    </row>
    <row r="28">
      <c r="A28" s="104">
        <f>IF(Setup!$A84="","",Setup!$A84)</f>
        <v/>
      </c>
      <c r="B28" s="105">
        <f>IF($A28="","",Setup!$B84)</f>
        <v/>
      </c>
      <c r="C28" s="106">
        <f>IF($A28="","",IF(COUNTIFS(Trips!$Z5:$Z1004,$R28,Trips!$D5:$D1004,$A28)+COUNTIFS(Trips!$Z5:$Z1004,$R28,Trips!$E5:$E1004,$A28)=0,"",COUNTIFS(Trips!$Z5:$Z1004,$R28,Trips!$D5:$D1004,$A28)+COUNTIFS(Trips!$Z5:$Z1004,$R28,Trips!$E5:$E1004,$A28)))</f>
        <v/>
      </c>
      <c r="D28" s="107">
        <f>IF($C28="","",SUMIFS(Trips!$K5:$K1004,Trips!$Z5:$Z1004,$R28,Trips!$D5:$D1004,$A28)+SUMIFS(Trips!$K5:$K1004,Trips!$Z5:$Z1004,$R28,Trips!$E5:$E1004,$A28))</f>
        <v/>
      </c>
      <c r="E28" s="108">
        <f>IF($C28="","",SUMIFS(Trips!$N5:$N1004,Trips!$Z5:$Z1004,$R28,Trips!$D5:$D1004,$A28)+SUMIFS(Trips!$O5:$O1004,Trips!$Z5:$Z1004,$R28,Trips!$E5:$E1004,$A28))</f>
        <v/>
      </c>
      <c r="F28" s="109">
        <f>IF($C28="","",SUMIFS(Trips!$P5:$P1004,Trips!$Z5:$Z1004,$R28,Trips!$D5:$D1004,$A28))</f>
        <v/>
      </c>
      <c r="G28" s="109">
        <f>IF($C28="","",SUMIFS(Trips!$Q5:$Q1004,Trips!$Z5:$Z1004,$R28,Trips!$D5:$D1004,$A28))</f>
        <v/>
      </c>
      <c r="H28" s="108">
        <f>IF(AND($C28="",$I28="",$J28=""),"",N($E28)+N($F28)+N($G28))</f>
        <v/>
      </c>
      <c r="I28" s="109">
        <f>IF($A28="","",IFERROR(1/(1/SUMIFS(Expenses!$F5:$F1004,Expenses!$L5:$L1004,"ADV",Expenses!$J5:$J1004,$R28,Expenses!$E5:$E1004,$A28)),""))</f>
        <v/>
      </c>
      <c r="J28" s="109">
        <f>IF($A28="","",IFERROR(1/(1/SUMIFS(Expenses!$F5:$F1004,Expenses!$L5:$L1004,"PAY",Expenses!$J5:$J1004,$R28,Expenses!$E5:$E1004,$A28)),""))</f>
        <v/>
      </c>
      <c r="K28" s="110">
        <f>IF($H28="","",N($H28)-N($I28)-N($J28))</f>
        <v/>
      </c>
      <c r="L28" s="111">
        <f>IF($K28="","",IF($K28&gt;0.5,"TO PAY",IF($K28&lt;-0.5,"ADVANCE / OWES","SETTLED")))</f>
        <v/>
      </c>
      <c r="R28" s="112" t="n">
        <v>46054</v>
      </c>
    </row>
    <row r="29">
      <c r="A29" s="104">
        <f>IF(Setup!$A85="","",Setup!$A85)</f>
        <v/>
      </c>
      <c r="B29" s="105">
        <f>IF($A29="","",Setup!$B85)</f>
        <v/>
      </c>
      <c r="C29" s="106">
        <f>IF($A29="","",IF(COUNTIFS(Trips!$Z5:$Z1004,$R29,Trips!$D5:$D1004,$A29)+COUNTIFS(Trips!$Z5:$Z1004,$R29,Trips!$E5:$E1004,$A29)=0,"",COUNTIFS(Trips!$Z5:$Z1004,$R29,Trips!$D5:$D1004,$A29)+COUNTIFS(Trips!$Z5:$Z1004,$R29,Trips!$E5:$E1004,$A29)))</f>
        <v/>
      </c>
      <c r="D29" s="107">
        <f>IF($C29="","",SUMIFS(Trips!$K5:$K1004,Trips!$Z5:$Z1004,$R29,Trips!$D5:$D1004,$A29)+SUMIFS(Trips!$K5:$K1004,Trips!$Z5:$Z1004,$R29,Trips!$E5:$E1004,$A29))</f>
        <v/>
      </c>
      <c r="E29" s="108">
        <f>IF($C29="","",SUMIFS(Trips!$N5:$N1004,Trips!$Z5:$Z1004,$R29,Trips!$D5:$D1004,$A29)+SUMIFS(Trips!$O5:$O1004,Trips!$Z5:$Z1004,$R29,Trips!$E5:$E1004,$A29))</f>
        <v/>
      </c>
      <c r="F29" s="109">
        <f>IF($C29="","",SUMIFS(Trips!$P5:$P1004,Trips!$Z5:$Z1004,$R29,Trips!$D5:$D1004,$A29))</f>
        <v/>
      </c>
      <c r="G29" s="109">
        <f>IF($C29="","",SUMIFS(Trips!$Q5:$Q1004,Trips!$Z5:$Z1004,$R29,Trips!$D5:$D1004,$A29))</f>
        <v/>
      </c>
      <c r="H29" s="108">
        <f>IF(AND($C29="",$I29="",$J29=""),"",N($E29)+N($F29)+N($G29))</f>
        <v/>
      </c>
      <c r="I29" s="109">
        <f>IF($A29="","",IFERROR(1/(1/SUMIFS(Expenses!$F5:$F1004,Expenses!$L5:$L1004,"ADV",Expenses!$J5:$J1004,$R29,Expenses!$E5:$E1004,$A29)),""))</f>
        <v/>
      </c>
      <c r="J29" s="109">
        <f>IF($A29="","",IFERROR(1/(1/SUMIFS(Expenses!$F5:$F1004,Expenses!$L5:$L1004,"PAY",Expenses!$J5:$J1004,$R29,Expenses!$E5:$E1004,$A29)),""))</f>
        <v/>
      </c>
      <c r="K29" s="110">
        <f>IF($H29="","",N($H29)-N($I29)-N($J29))</f>
        <v/>
      </c>
      <c r="L29" s="111">
        <f>IF($K29="","",IF($K29&gt;0.5,"TO PAY",IF($K29&lt;-0.5,"ADVANCE / OWES","SETTLED")))</f>
        <v/>
      </c>
      <c r="R29" s="112" t="n">
        <v>46054</v>
      </c>
    </row>
    <row r="30">
      <c r="A30" s="104">
        <f>IF(Setup!$A86="","",Setup!$A86)</f>
        <v/>
      </c>
      <c r="B30" s="105">
        <f>IF($A30="","",Setup!$B86)</f>
        <v/>
      </c>
      <c r="C30" s="106">
        <f>IF($A30="","",IF(COUNTIFS(Trips!$Z5:$Z1004,$R30,Trips!$D5:$D1004,$A30)+COUNTIFS(Trips!$Z5:$Z1004,$R30,Trips!$E5:$E1004,$A30)=0,"",COUNTIFS(Trips!$Z5:$Z1004,$R30,Trips!$D5:$D1004,$A30)+COUNTIFS(Trips!$Z5:$Z1004,$R30,Trips!$E5:$E1004,$A30)))</f>
        <v/>
      </c>
      <c r="D30" s="107">
        <f>IF($C30="","",SUMIFS(Trips!$K5:$K1004,Trips!$Z5:$Z1004,$R30,Trips!$D5:$D1004,$A30)+SUMIFS(Trips!$K5:$K1004,Trips!$Z5:$Z1004,$R30,Trips!$E5:$E1004,$A30))</f>
        <v/>
      </c>
      <c r="E30" s="108">
        <f>IF($C30="","",SUMIFS(Trips!$N5:$N1004,Trips!$Z5:$Z1004,$R30,Trips!$D5:$D1004,$A30)+SUMIFS(Trips!$O5:$O1004,Trips!$Z5:$Z1004,$R30,Trips!$E5:$E1004,$A30))</f>
        <v/>
      </c>
      <c r="F30" s="109">
        <f>IF($C30="","",SUMIFS(Trips!$P5:$P1004,Trips!$Z5:$Z1004,$R30,Trips!$D5:$D1004,$A30))</f>
        <v/>
      </c>
      <c r="G30" s="109">
        <f>IF($C30="","",SUMIFS(Trips!$Q5:$Q1004,Trips!$Z5:$Z1004,$R30,Trips!$D5:$D1004,$A30))</f>
        <v/>
      </c>
      <c r="H30" s="108">
        <f>IF(AND($C30="",$I30="",$J30=""),"",N($E30)+N($F30)+N($G30))</f>
        <v/>
      </c>
      <c r="I30" s="109">
        <f>IF($A30="","",IFERROR(1/(1/SUMIFS(Expenses!$F5:$F1004,Expenses!$L5:$L1004,"ADV",Expenses!$J5:$J1004,$R30,Expenses!$E5:$E1004,$A30)),""))</f>
        <v/>
      </c>
      <c r="J30" s="109">
        <f>IF($A30="","",IFERROR(1/(1/SUMIFS(Expenses!$F5:$F1004,Expenses!$L5:$L1004,"PAY",Expenses!$J5:$J1004,$R30,Expenses!$E5:$E1004,$A30)),""))</f>
        <v/>
      </c>
      <c r="K30" s="110">
        <f>IF($H30="","",N($H30)-N($I30)-N($J30))</f>
        <v/>
      </c>
      <c r="L30" s="111">
        <f>IF($K30="","",IF($K30&gt;0.5,"TO PAY",IF($K30&lt;-0.5,"ADVANCE / OWES","SETTLED")))</f>
        <v/>
      </c>
      <c r="R30" s="112" t="n">
        <v>46054</v>
      </c>
    </row>
    <row r="31">
      <c r="A31" s="104">
        <f>IF(Setup!$A87="","",Setup!$A87)</f>
        <v/>
      </c>
      <c r="B31" s="105">
        <f>IF($A31="","",Setup!$B87)</f>
        <v/>
      </c>
      <c r="C31" s="106">
        <f>IF($A31="","",IF(COUNTIFS(Trips!$Z5:$Z1004,$R31,Trips!$D5:$D1004,$A31)+COUNTIFS(Trips!$Z5:$Z1004,$R31,Trips!$E5:$E1004,$A31)=0,"",COUNTIFS(Trips!$Z5:$Z1004,$R31,Trips!$D5:$D1004,$A31)+COUNTIFS(Trips!$Z5:$Z1004,$R31,Trips!$E5:$E1004,$A31)))</f>
        <v/>
      </c>
      <c r="D31" s="107">
        <f>IF($C31="","",SUMIFS(Trips!$K5:$K1004,Trips!$Z5:$Z1004,$R31,Trips!$D5:$D1004,$A31)+SUMIFS(Trips!$K5:$K1004,Trips!$Z5:$Z1004,$R31,Trips!$E5:$E1004,$A31))</f>
        <v/>
      </c>
      <c r="E31" s="108">
        <f>IF($C31="","",SUMIFS(Trips!$N5:$N1004,Trips!$Z5:$Z1004,$R31,Trips!$D5:$D1004,$A31)+SUMIFS(Trips!$O5:$O1004,Trips!$Z5:$Z1004,$R31,Trips!$E5:$E1004,$A31))</f>
        <v/>
      </c>
      <c r="F31" s="109">
        <f>IF($C31="","",SUMIFS(Trips!$P5:$P1004,Trips!$Z5:$Z1004,$R31,Trips!$D5:$D1004,$A31))</f>
        <v/>
      </c>
      <c r="G31" s="109">
        <f>IF($C31="","",SUMIFS(Trips!$Q5:$Q1004,Trips!$Z5:$Z1004,$R31,Trips!$D5:$D1004,$A31))</f>
        <v/>
      </c>
      <c r="H31" s="108">
        <f>IF(AND($C31="",$I31="",$J31=""),"",N($E31)+N($F31)+N($G31))</f>
        <v/>
      </c>
      <c r="I31" s="109">
        <f>IF($A31="","",IFERROR(1/(1/SUMIFS(Expenses!$F5:$F1004,Expenses!$L5:$L1004,"ADV",Expenses!$J5:$J1004,$R31,Expenses!$E5:$E1004,$A31)),""))</f>
        <v/>
      </c>
      <c r="J31" s="109">
        <f>IF($A31="","",IFERROR(1/(1/SUMIFS(Expenses!$F5:$F1004,Expenses!$L5:$L1004,"PAY",Expenses!$J5:$J1004,$R31,Expenses!$E5:$E1004,$A31)),""))</f>
        <v/>
      </c>
      <c r="K31" s="110">
        <f>IF($H31="","",N($H31)-N($I31)-N($J31))</f>
        <v/>
      </c>
      <c r="L31" s="111">
        <f>IF($K31="","",IF($K31&gt;0.5,"TO PAY",IF($K31&lt;-0.5,"ADVANCE / OWES","SETTLED")))</f>
        <v/>
      </c>
      <c r="R31" s="112" t="n">
        <v>46054</v>
      </c>
    </row>
    <row r="32">
      <c r="A32" s="113" t="inlineStr">
        <is>
          <t>MONTH TOTAL</t>
        </is>
      </c>
      <c r="B32" s="114" t="n"/>
      <c r="C32" s="115">
        <f>IF(COUNT(C20:C31)=0,"",SUM(C20:C31))</f>
        <v/>
      </c>
      <c r="D32" s="116">
        <f>IF(COUNT(D20:D31)=0,"",SUM(D20:D31))</f>
        <v/>
      </c>
      <c r="E32" s="117">
        <f>IF(COUNT(E20:E31)=0,"",SUM(E20:E31))</f>
        <v/>
      </c>
      <c r="F32" s="117">
        <f>IF(COUNT(F20:F31)=0,"",SUM(F20:F31))</f>
        <v/>
      </c>
      <c r="G32" s="117">
        <f>IF(COUNT(G20:G31)=0,"",SUM(G20:G31))</f>
        <v/>
      </c>
      <c r="H32" s="117">
        <f>IF(COUNT(H20:H31)=0,"",SUM(H20:H31))</f>
        <v/>
      </c>
      <c r="I32" s="117">
        <f>IF(COUNT(I20:I31)=0,"",SUM(I20:I31))</f>
        <v/>
      </c>
      <c r="J32" s="117">
        <f>IF(COUNT(J20:J31)=0,"",SUM(J20:J31))</f>
        <v/>
      </c>
      <c r="K32" s="117">
        <f>IF(COUNT(K20:K31)=0,"",SUM(K20:K31))</f>
        <v/>
      </c>
      <c r="L32" s="118" t="n"/>
    </row>
    <row r="33" ht="24" customHeight="1">
      <c r="A33" s="103" t="inlineStr">
        <is>
          <t>MARCH 2026   ·   crew earnings &amp; settlement</t>
        </is>
      </c>
    </row>
    <row r="34">
      <c r="A34" s="104">
        <f>IF(Setup!$A76="","",Setup!$A76)</f>
        <v/>
      </c>
      <c r="B34" s="105">
        <f>IF($A34="","",Setup!$B76)</f>
        <v/>
      </c>
      <c r="C34" s="106">
        <f>IF($A34="","",IF(COUNTIFS(Trips!$Z5:$Z1004,$R34,Trips!$D5:$D1004,$A34)+COUNTIFS(Trips!$Z5:$Z1004,$R34,Trips!$E5:$E1004,$A34)=0,"",COUNTIFS(Trips!$Z5:$Z1004,$R34,Trips!$D5:$D1004,$A34)+COUNTIFS(Trips!$Z5:$Z1004,$R34,Trips!$E5:$E1004,$A34)))</f>
        <v/>
      </c>
      <c r="D34" s="107">
        <f>IF($C34="","",SUMIFS(Trips!$K5:$K1004,Trips!$Z5:$Z1004,$R34,Trips!$D5:$D1004,$A34)+SUMIFS(Trips!$K5:$K1004,Trips!$Z5:$Z1004,$R34,Trips!$E5:$E1004,$A34))</f>
        <v/>
      </c>
      <c r="E34" s="108">
        <f>IF($C34="","",SUMIFS(Trips!$N5:$N1004,Trips!$Z5:$Z1004,$R34,Trips!$D5:$D1004,$A34)+SUMIFS(Trips!$O5:$O1004,Trips!$Z5:$Z1004,$R34,Trips!$E5:$E1004,$A34))</f>
        <v/>
      </c>
      <c r="F34" s="109">
        <f>IF($C34="","",SUMIFS(Trips!$P5:$P1004,Trips!$Z5:$Z1004,$R34,Trips!$D5:$D1004,$A34))</f>
        <v/>
      </c>
      <c r="G34" s="109">
        <f>IF($C34="","",SUMIFS(Trips!$Q5:$Q1004,Trips!$Z5:$Z1004,$R34,Trips!$D5:$D1004,$A34))</f>
        <v/>
      </c>
      <c r="H34" s="108">
        <f>IF(AND($C34="",$I34="",$J34=""),"",N($E34)+N($F34)+N($G34))</f>
        <v/>
      </c>
      <c r="I34" s="109">
        <f>IF($A34="","",IFERROR(1/(1/SUMIFS(Expenses!$F5:$F1004,Expenses!$L5:$L1004,"ADV",Expenses!$J5:$J1004,$R34,Expenses!$E5:$E1004,$A34)),""))</f>
        <v/>
      </c>
      <c r="J34" s="109">
        <f>IF($A34="","",IFERROR(1/(1/SUMIFS(Expenses!$F5:$F1004,Expenses!$L5:$L1004,"PAY",Expenses!$J5:$J1004,$R34,Expenses!$E5:$E1004,$A34)),""))</f>
        <v/>
      </c>
      <c r="K34" s="110">
        <f>IF($H34="","",N($H34)-N($I34)-N($J34))</f>
        <v/>
      </c>
      <c r="L34" s="111">
        <f>IF($K34="","",IF($K34&gt;0.5,"TO PAY",IF($K34&lt;-0.5,"ADVANCE / OWES","SETTLED")))</f>
        <v/>
      </c>
      <c r="R34" s="112" t="n">
        <v>46082</v>
      </c>
    </row>
    <row r="35">
      <c r="A35" s="104">
        <f>IF(Setup!$A77="","",Setup!$A77)</f>
        <v/>
      </c>
      <c r="B35" s="105">
        <f>IF($A35="","",Setup!$B77)</f>
        <v/>
      </c>
      <c r="C35" s="106">
        <f>IF($A35="","",IF(COUNTIFS(Trips!$Z5:$Z1004,$R35,Trips!$D5:$D1004,$A35)+COUNTIFS(Trips!$Z5:$Z1004,$R35,Trips!$E5:$E1004,$A35)=0,"",COUNTIFS(Trips!$Z5:$Z1004,$R35,Trips!$D5:$D1004,$A35)+COUNTIFS(Trips!$Z5:$Z1004,$R35,Trips!$E5:$E1004,$A35)))</f>
        <v/>
      </c>
      <c r="D35" s="107">
        <f>IF($C35="","",SUMIFS(Trips!$K5:$K1004,Trips!$Z5:$Z1004,$R35,Trips!$D5:$D1004,$A35)+SUMIFS(Trips!$K5:$K1004,Trips!$Z5:$Z1004,$R35,Trips!$E5:$E1004,$A35))</f>
        <v/>
      </c>
      <c r="E35" s="108">
        <f>IF($C35="","",SUMIFS(Trips!$N5:$N1004,Trips!$Z5:$Z1004,$R35,Trips!$D5:$D1004,$A35)+SUMIFS(Trips!$O5:$O1004,Trips!$Z5:$Z1004,$R35,Trips!$E5:$E1004,$A35))</f>
        <v/>
      </c>
      <c r="F35" s="109">
        <f>IF($C35="","",SUMIFS(Trips!$P5:$P1004,Trips!$Z5:$Z1004,$R35,Trips!$D5:$D1004,$A35))</f>
        <v/>
      </c>
      <c r="G35" s="109">
        <f>IF($C35="","",SUMIFS(Trips!$Q5:$Q1004,Trips!$Z5:$Z1004,$R35,Trips!$D5:$D1004,$A35))</f>
        <v/>
      </c>
      <c r="H35" s="108">
        <f>IF(AND($C35="",$I35="",$J35=""),"",N($E35)+N($F35)+N($G35))</f>
        <v/>
      </c>
      <c r="I35" s="109">
        <f>IF($A35="","",IFERROR(1/(1/SUMIFS(Expenses!$F5:$F1004,Expenses!$L5:$L1004,"ADV",Expenses!$J5:$J1004,$R35,Expenses!$E5:$E1004,$A35)),""))</f>
        <v/>
      </c>
      <c r="J35" s="109">
        <f>IF($A35="","",IFERROR(1/(1/SUMIFS(Expenses!$F5:$F1004,Expenses!$L5:$L1004,"PAY",Expenses!$J5:$J1004,$R35,Expenses!$E5:$E1004,$A35)),""))</f>
        <v/>
      </c>
      <c r="K35" s="110">
        <f>IF($H35="","",N($H35)-N($I35)-N($J35))</f>
        <v/>
      </c>
      <c r="L35" s="111">
        <f>IF($K35="","",IF($K35&gt;0.5,"TO PAY",IF($K35&lt;-0.5,"ADVANCE / OWES","SETTLED")))</f>
        <v/>
      </c>
      <c r="R35" s="112" t="n">
        <v>46082</v>
      </c>
    </row>
    <row r="36">
      <c r="A36" s="104">
        <f>IF(Setup!$A78="","",Setup!$A78)</f>
        <v/>
      </c>
      <c r="B36" s="105">
        <f>IF($A36="","",Setup!$B78)</f>
        <v/>
      </c>
      <c r="C36" s="106">
        <f>IF($A36="","",IF(COUNTIFS(Trips!$Z5:$Z1004,$R36,Trips!$D5:$D1004,$A36)+COUNTIFS(Trips!$Z5:$Z1004,$R36,Trips!$E5:$E1004,$A36)=0,"",COUNTIFS(Trips!$Z5:$Z1004,$R36,Trips!$D5:$D1004,$A36)+COUNTIFS(Trips!$Z5:$Z1004,$R36,Trips!$E5:$E1004,$A36)))</f>
        <v/>
      </c>
      <c r="D36" s="107">
        <f>IF($C36="","",SUMIFS(Trips!$K5:$K1004,Trips!$Z5:$Z1004,$R36,Trips!$D5:$D1004,$A36)+SUMIFS(Trips!$K5:$K1004,Trips!$Z5:$Z1004,$R36,Trips!$E5:$E1004,$A36))</f>
        <v/>
      </c>
      <c r="E36" s="108">
        <f>IF($C36="","",SUMIFS(Trips!$N5:$N1004,Trips!$Z5:$Z1004,$R36,Trips!$D5:$D1004,$A36)+SUMIFS(Trips!$O5:$O1004,Trips!$Z5:$Z1004,$R36,Trips!$E5:$E1004,$A36))</f>
        <v/>
      </c>
      <c r="F36" s="109">
        <f>IF($C36="","",SUMIFS(Trips!$P5:$P1004,Trips!$Z5:$Z1004,$R36,Trips!$D5:$D1004,$A36))</f>
        <v/>
      </c>
      <c r="G36" s="109">
        <f>IF($C36="","",SUMIFS(Trips!$Q5:$Q1004,Trips!$Z5:$Z1004,$R36,Trips!$D5:$D1004,$A36))</f>
        <v/>
      </c>
      <c r="H36" s="108">
        <f>IF(AND($C36="",$I36="",$J36=""),"",N($E36)+N($F36)+N($G36))</f>
        <v/>
      </c>
      <c r="I36" s="109">
        <f>IF($A36="","",IFERROR(1/(1/SUMIFS(Expenses!$F5:$F1004,Expenses!$L5:$L1004,"ADV",Expenses!$J5:$J1004,$R36,Expenses!$E5:$E1004,$A36)),""))</f>
        <v/>
      </c>
      <c r="J36" s="109">
        <f>IF($A36="","",IFERROR(1/(1/SUMIFS(Expenses!$F5:$F1004,Expenses!$L5:$L1004,"PAY",Expenses!$J5:$J1004,$R36,Expenses!$E5:$E1004,$A36)),""))</f>
        <v/>
      </c>
      <c r="K36" s="110">
        <f>IF($H36="","",N($H36)-N($I36)-N($J36))</f>
        <v/>
      </c>
      <c r="L36" s="111">
        <f>IF($K36="","",IF($K36&gt;0.5,"TO PAY",IF($K36&lt;-0.5,"ADVANCE / OWES","SETTLED")))</f>
        <v/>
      </c>
      <c r="R36" s="112" t="n">
        <v>46082</v>
      </c>
    </row>
    <row r="37">
      <c r="A37" s="104">
        <f>IF(Setup!$A79="","",Setup!$A79)</f>
        <v/>
      </c>
      <c r="B37" s="105">
        <f>IF($A37="","",Setup!$B79)</f>
        <v/>
      </c>
      <c r="C37" s="106">
        <f>IF($A37="","",IF(COUNTIFS(Trips!$Z5:$Z1004,$R37,Trips!$D5:$D1004,$A37)+COUNTIFS(Trips!$Z5:$Z1004,$R37,Trips!$E5:$E1004,$A37)=0,"",COUNTIFS(Trips!$Z5:$Z1004,$R37,Trips!$D5:$D1004,$A37)+COUNTIFS(Trips!$Z5:$Z1004,$R37,Trips!$E5:$E1004,$A37)))</f>
        <v/>
      </c>
      <c r="D37" s="107">
        <f>IF($C37="","",SUMIFS(Trips!$K5:$K1004,Trips!$Z5:$Z1004,$R37,Trips!$D5:$D1004,$A37)+SUMIFS(Trips!$K5:$K1004,Trips!$Z5:$Z1004,$R37,Trips!$E5:$E1004,$A37))</f>
        <v/>
      </c>
      <c r="E37" s="108">
        <f>IF($C37="","",SUMIFS(Trips!$N5:$N1004,Trips!$Z5:$Z1004,$R37,Trips!$D5:$D1004,$A37)+SUMIFS(Trips!$O5:$O1004,Trips!$Z5:$Z1004,$R37,Trips!$E5:$E1004,$A37))</f>
        <v/>
      </c>
      <c r="F37" s="109">
        <f>IF($C37="","",SUMIFS(Trips!$P5:$P1004,Trips!$Z5:$Z1004,$R37,Trips!$D5:$D1004,$A37))</f>
        <v/>
      </c>
      <c r="G37" s="109">
        <f>IF($C37="","",SUMIFS(Trips!$Q5:$Q1004,Trips!$Z5:$Z1004,$R37,Trips!$D5:$D1004,$A37))</f>
        <v/>
      </c>
      <c r="H37" s="108">
        <f>IF(AND($C37="",$I37="",$J37=""),"",N($E37)+N($F37)+N($G37))</f>
        <v/>
      </c>
      <c r="I37" s="109">
        <f>IF($A37="","",IFERROR(1/(1/SUMIFS(Expenses!$F5:$F1004,Expenses!$L5:$L1004,"ADV",Expenses!$J5:$J1004,$R37,Expenses!$E5:$E1004,$A37)),""))</f>
        <v/>
      </c>
      <c r="J37" s="109">
        <f>IF($A37="","",IFERROR(1/(1/SUMIFS(Expenses!$F5:$F1004,Expenses!$L5:$L1004,"PAY",Expenses!$J5:$J1004,$R37,Expenses!$E5:$E1004,$A37)),""))</f>
        <v/>
      </c>
      <c r="K37" s="110">
        <f>IF($H37="","",N($H37)-N($I37)-N($J37))</f>
        <v/>
      </c>
      <c r="L37" s="111">
        <f>IF($K37="","",IF($K37&gt;0.5,"TO PAY",IF($K37&lt;-0.5,"ADVANCE / OWES","SETTLED")))</f>
        <v/>
      </c>
      <c r="R37" s="112" t="n">
        <v>46082</v>
      </c>
    </row>
    <row r="38">
      <c r="A38" s="104">
        <f>IF(Setup!$A80="","",Setup!$A80)</f>
        <v/>
      </c>
      <c r="B38" s="105">
        <f>IF($A38="","",Setup!$B80)</f>
        <v/>
      </c>
      <c r="C38" s="106">
        <f>IF($A38="","",IF(COUNTIFS(Trips!$Z5:$Z1004,$R38,Trips!$D5:$D1004,$A38)+COUNTIFS(Trips!$Z5:$Z1004,$R38,Trips!$E5:$E1004,$A38)=0,"",COUNTIFS(Trips!$Z5:$Z1004,$R38,Trips!$D5:$D1004,$A38)+COUNTIFS(Trips!$Z5:$Z1004,$R38,Trips!$E5:$E1004,$A38)))</f>
        <v/>
      </c>
      <c r="D38" s="107">
        <f>IF($C38="","",SUMIFS(Trips!$K5:$K1004,Trips!$Z5:$Z1004,$R38,Trips!$D5:$D1004,$A38)+SUMIFS(Trips!$K5:$K1004,Trips!$Z5:$Z1004,$R38,Trips!$E5:$E1004,$A38))</f>
        <v/>
      </c>
      <c r="E38" s="108">
        <f>IF($C38="","",SUMIFS(Trips!$N5:$N1004,Trips!$Z5:$Z1004,$R38,Trips!$D5:$D1004,$A38)+SUMIFS(Trips!$O5:$O1004,Trips!$Z5:$Z1004,$R38,Trips!$E5:$E1004,$A38))</f>
        <v/>
      </c>
      <c r="F38" s="109">
        <f>IF($C38="","",SUMIFS(Trips!$P5:$P1004,Trips!$Z5:$Z1004,$R38,Trips!$D5:$D1004,$A38))</f>
        <v/>
      </c>
      <c r="G38" s="109">
        <f>IF($C38="","",SUMIFS(Trips!$Q5:$Q1004,Trips!$Z5:$Z1004,$R38,Trips!$D5:$D1004,$A38))</f>
        <v/>
      </c>
      <c r="H38" s="108">
        <f>IF(AND($C38="",$I38="",$J38=""),"",N($E38)+N($F38)+N($G38))</f>
        <v/>
      </c>
      <c r="I38" s="109">
        <f>IF($A38="","",IFERROR(1/(1/SUMIFS(Expenses!$F5:$F1004,Expenses!$L5:$L1004,"ADV",Expenses!$J5:$J1004,$R38,Expenses!$E5:$E1004,$A38)),""))</f>
        <v/>
      </c>
      <c r="J38" s="109">
        <f>IF($A38="","",IFERROR(1/(1/SUMIFS(Expenses!$F5:$F1004,Expenses!$L5:$L1004,"PAY",Expenses!$J5:$J1004,$R38,Expenses!$E5:$E1004,$A38)),""))</f>
        <v/>
      </c>
      <c r="K38" s="110">
        <f>IF($H38="","",N($H38)-N($I38)-N($J38))</f>
        <v/>
      </c>
      <c r="L38" s="111">
        <f>IF($K38="","",IF($K38&gt;0.5,"TO PAY",IF($K38&lt;-0.5,"ADVANCE / OWES","SETTLED")))</f>
        <v/>
      </c>
      <c r="R38" s="112" t="n">
        <v>46082</v>
      </c>
    </row>
    <row r="39">
      <c r="A39" s="104">
        <f>IF(Setup!$A81="","",Setup!$A81)</f>
        <v/>
      </c>
      <c r="B39" s="105">
        <f>IF($A39="","",Setup!$B81)</f>
        <v/>
      </c>
      <c r="C39" s="106">
        <f>IF($A39="","",IF(COUNTIFS(Trips!$Z5:$Z1004,$R39,Trips!$D5:$D1004,$A39)+COUNTIFS(Trips!$Z5:$Z1004,$R39,Trips!$E5:$E1004,$A39)=0,"",COUNTIFS(Trips!$Z5:$Z1004,$R39,Trips!$D5:$D1004,$A39)+COUNTIFS(Trips!$Z5:$Z1004,$R39,Trips!$E5:$E1004,$A39)))</f>
        <v/>
      </c>
      <c r="D39" s="107">
        <f>IF($C39="","",SUMIFS(Trips!$K5:$K1004,Trips!$Z5:$Z1004,$R39,Trips!$D5:$D1004,$A39)+SUMIFS(Trips!$K5:$K1004,Trips!$Z5:$Z1004,$R39,Trips!$E5:$E1004,$A39))</f>
        <v/>
      </c>
      <c r="E39" s="108">
        <f>IF($C39="","",SUMIFS(Trips!$N5:$N1004,Trips!$Z5:$Z1004,$R39,Trips!$D5:$D1004,$A39)+SUMIFS(Trips!$O5:$O1004,Trips!$Z5:$Z1004,$R39,Trips!$E5:$E1004,$A39))</f>
        <v/>
      </c>
      <c r="F39" s="109">
        <f>IF($C39="","",SUMIFS(Trips!$P5:$P1004,Trips!$Z5:$Z1004,$R39,Trips!$D5:$D1004,$A39))</f>
        <v/>
      </c>
      <c r="G39" s="109">
        <f>IF($C39="","",SUMIFS(Trips!$Q5:$Q1004,Trips!$Z5:$Z1004,$R39,Trips!$D5:$D1004,$A39))</f>
        <v/>
      </c>
      <c r="H39" s="108">
        <f>IF(AND($C39="",$I39="",$J39=""),"",N($E39)+N($F39)+N($G39))</f>
        <v/>
      </c>
      <c r="I39" s="109">
        <f>IF($A39="","",IFERROR(1/(1/SUMIFS(Expenses!$F5:$F1004,Expenses!$L5:$L1004,"ADV",Expenses!$J5:$J1004,$R39,Expenses!$E5:$E1004,$A39)),""))</f>
        <v/>
      </c>
      <c r="J39" s="109">
        <f>IF($A39="","",IFERROR(1/(1/SUMIFS(Expenses!$F5:$F1004,Expenses!$L5:$L1004,"PAY",Expenses!$J5:$J1004,$R39,Expenses!$E5:$E1004,$A39)),""))</f>
        <v/>
      </c>
      <c r="K39" s="110">
        <f>IF($H39="","",N($H39)-N($I39)-N($J39))</f>
        <v/>
      </c>
      <c r="L39" s="111">
        <f>IF($K39="","",IF($K39&gt;0.5,"TO PAY",IF($K39&lt;-0.5,"ADVANCE / OWES","SETTLED")))</f>
        <v/>
      </c>
      <c r="R39" s="112" t="n">
        <v>46082</v>
      </c>
    </row>
    <row r="40">
      <c r="A40" s="104">
        <f>IF(Setup!$A82="","",Setup!$A82)</f>
        <v/>
      </c>
      <c r="B40" s="105">
        <f>IF($A40="","",Setup!$B82)</f>
        <v/>
      </c>
      <c r="C40" s="106">
        <f>IF($A40="","",IF(COUNTIFS(Trips!$Z5:$Z1004,$R40,Trips!$D5:$D1004,$A40)+COUNTIFS(Trips!$Z5:$Z1004,$R40,Trips!$E5:$E1004,$A40)=0,"",COUNTIFS(Trips!$Z5:$Z1004,$R40,Trips!$D5:$D1004,$A40)+COUNTIFS(Trips!$Z5:$Z1004,$R40,Trips!$E5:$E1004,$A40)))</f>
        <v/>
      </c>
      <c r="D40" s="107">
        <f>IF($C40="","",SUMIFS(Trips!$K5:$K1004,Trips!$Z5:$Z1004,$R40,Trips!$D5:$D1004,$A40)+SUMIFS(Trips!$K5:$K1004,Trips!$Z5:$Z1004,$R40,Trips!$E5:$E1004,$A40))</f>
        <v/>
      </c>
      <c r="E40" s="108">
        <f>IF($C40="","",SUMIFS(Trips!$N5:$N1004,Trips!$Z5:$Z1004,$R40,Trips!$D5:$D1004,$A40)+SUMIFS(Trips!$O5:$O1004,Trips!$Z5:$Z1004,$R40,Trips!$E5:$E1004,$A40))</f>
        <v/>
      </c>
      <c r="F40" s="109">
        <f>IF($C40="","",SUMIFS(Trips!$P5:$P1004,Trips!$Z5:$Z1004,$R40,Trips!$D5:$D1004,$A40))</f>
        <v/>
      </c>
      <c r="G40" s="109">
        <f>IF($C40="","",SUMIFS(Trips!$Q5:$Q1004,Trips!$Z5:$Z1004,$R40,Trips!$D5:$D1004,$A40))</f>
        <v/>
      </c>
      <c r="H40" s="108">
        <f>IF(AND($C40="",$I40="",$J40=""),"",N($E40)+N($F40)+N($G40))</f>
        <v/>
      </c>
      <c r="I40" s="109">
        <f>IF($A40="","",IFERROR(1/(1/SUMIFS(Expenses!$F5:$F1004,Expenses!$L5:$L1004,"ADV",Expenses!$J5:$J1004,$R40,Expenses!$E5:$E1004,$A40)),""))</f>
        <v/>
      </c>
      <c r="J40" s="109">
        <f>IF($A40="","",IFERROR(1/(1/SUMIFS(Expenses!$F5:$F1004,Expenses!$L5:$L1004,"PAY",Expenses!$J5:$J1004,$R40,Expenses!$E5:$E1004,$A40)),""))</f>
        <v/>
      </c>
      <c r="K40" s="110">
        <f>IF($H40="","",N($H40)-N($I40)-N($J40))</f>
        <v/>
      </c>
      <c r="L40" s="111">
        <f>IF($K40="","",IF($K40&gt;0.5,"TO PAY",IF($K40&lt;-0.5,"ADVANCE / OWES","SETTLED")))</f>
        <v/>
      </c>
      <c r="R40" s="112" t="n">
        <v>46082</v>
      </c>
    </row>
    <row r="41">
      <c r="A41" s="104">
        <f>IF(Setup!$A83="","",Setup!$A83)</f>
        <v/>
      </c>
      <c r="B41" s="105">
        <f>IF($A41="","",Setup!$B83)</f>
        <v/>
      </c>
      <c r="C41" s="106">
        <f>IF($A41="","",IF(COUNTIFS(Trips!$Z5:$Z1004,$R41,Trips!$D5:$D1004,$A41)+COUNTIFS(Trips!$Z5:$Z1004,$R41,Trips!$E5:$E1004,$A41)=0,"",COUNTIFS(Trips!$Z5:$Z1004,$R41,Trips!$D5:$D1004,$A41)+COUNTIFS(Trips!$Z5:$Z1004,$R41,Trips!$E5:$E1004,$A41)))</f>
        <v/>
      </c>
      <c r="D41" s="107">
        <f>IF($C41="","",SUMIFS(Trips!$K5:$K1004,Trips!$Z5:$Z1004,$R41,Trips!$D5:$D1004,$A41)+SUMIFS(Trips!$K5:$K1004,Trips!$Z5:$Z1004,$R41,Trips!$E5:$E1004,$A41))</f>
        <v/>
      </c>
      <c r="E41" s="108">
        <f>IF($C41="","",SUMIFS(Trips!$N5:$N1004,Trips!$Z5:$Z1004,$R41,Trips!$D5:$D1004,$A41)+SUMIFS(Trips!$O5:$O1004,Trips!$Z5:$Z1004,$R41,Trips!$E5:$E1004,$A41))</f>
        <v/>
      </c>
      <c r="F41" s="109">
        <f>IF($C41="","",SUMIFS(Trips!$P5:$P1004,Trips!$Z5:$Z1004,$R41,Trips!$D5:$D1004,$A41))</f>
        <v/>
      </c>
      <c r="G41" s="109">
        <f>IF($C41="","",SUMIFS(Trips!$Q5:$Q1004,Trips!$Z5:$Z1004,$R41,Trips!$D5:$D1004,$A41))</f>
        <v/>
      </c>
      <c r="H41" s="108">
        <f>IF(AND($C41="",$I41="",$J41=""),"",N($E41)+N($F41)+N($G41))</f>
        <v/>
      </c>
      <c r="I41" s="109">
        <f>IF($A41="","",IFERROR(1/(1/SUMIFS(Expenses!$F5:$F1004,Expenses!$L5:$L1004,"ADV",Expenses!$J5:$J1004,$R41,Expenses!$E5:$E1004,$A41)),""))</f>
        <v/>
      </c>
      <c r="J41" s="109">
        <f>IF($A41="","",IFERROR(1/(1/SUMIFS(Expenses!$F5:$F1004,Expenses!$L5:$L1004,"PAY",Expenses!$J5:$J1004,$R41,Expenses!$E5:$E1004,$A41)),""))</f>
        <v/>
      </c>
      <c r="K41" s="110">
        <f>IF($H41="","",N($H41)-N($I41)-N($J41))</f>
        <v/>
      </c>
      <c r="L41" s="111">
        <f>IF($K41="","",IF($K41&gt;0.5,"TO PAY",IF($K41&lt;-0.5,"ADVANCE / OWES","SETTLED")))</f>
        <v/>
      </c>
      <c r="R41" s="112" t="n">
        <v>46082</v>
      </c>
    </row>
    <row r="42">
      <c r="A42" s="104">
        <f>IF(Setup!$A84="","",Setup!$A84)</f>
        <v/>
      </c>
      <c r="B42" s="105">
        <f>IF($A42="","",Setup!$B84)</f>
        <v/>
      </c>
      <c r="C42" s="106">
        <f>IF($A42="","",IF(COUNTIFS(Trips!$Z5:$Z1004,$R42,Trips!$D5:$D1004,$A42)+COUNTIFS(Trips!$Z5:$Z1004,$R42,Trips!$E5:$E1004,$A42)=0,"",COUNTIFS(Trips!$Z5:$Z1004,$R42,Trips!$D5:$D1004,$A42)+COUNTIFS(Trips!$Z5:$Z1004,$R42,Trips!$E5:$E1004,$A42)))</f>
        <v/>
      </c>
      <c r="D42" s="107">
        <f>IF($C42="","",SUMIFS(Trips!$K5:$K1004,Trips!$Z5:$Z1004,$R42,Trips!$D5:$D1004,$A42)+SUMIFS(Trips!$K5:$K1004,Trips!$Z5:$Z1004,$R42,Trips!$E5:$E1004,$A42))</f>
        <v/>
      </c>
      <c r="E42" s="108">
        <f>IF($C42="","",SUMIFS(Trips!$N5:$N1004,Trips!$Z5:$Z1004,$R42,Trips!$D5:$D1004,$A42)+SUMIFS(Trips!$O5:$O1004,Trips!$Z5:$Z1004,$R42,Trips!$E5:$E1004,$A42))</f>
        <v/>
      </c>
      <c r="F42" s="109">
        <f>IF($C42="","",SUMIFS(Trips!$P5:$P1004,Trips!$Z5:$Z1004,$R42,Trips!$D5:$D1004,$A42))</f>
        <v/>
      </c>
      <c r="G42" s="109">
        <f>IF($C42="","",SUMIFS(Trips!$Q5:$Q1004,Trips!$Z5:$Z1004,$R42,Trips!$D5:$D1004,$A42))</f>
        <v/>
      </c>
      <c r="H42" s="108">
        <f>IF(AND($C42="",$I42="",$J42=""),"",N($E42)+N($F42)+N($G42))</f>
        <v/>
      </c>
      <c r="I42" s="109">
        <f>IF($A42="","",IFERROR(1/(1/SUMIFS(Expenses!$F5:$F1004,Expenses!$L5:$L1004,"ADV",Expenses!$J5:$J1004,$R42,Expenses!$E5:$E1004,$A42)),""))</f>
        <v/>
      </c>
      <c r="J42" s="109">
        <f>IF($A42="","",IFERROR(1/(1/SUMIFS(Expenses!$F5:$F1004,Expenses!$L5:$L1004,"PAY",Expenses!$J5:$J1004,$R42,Expenses!$E5:$E1004,$A42)),""))</f>
        <v/>
      </c>
      <c r="K42" s="110">
        <f>IF($H42="","",N($H42)-N($I42)-N($J42))</f>
        <v/>
      </c>
      <c r="L42" s="111">
        <f>IF($K42="","",IF($K42&gt;0.5,"TO PAY",IF($K42&lt;-0.5,"ADVANCE / OWES","SETTLED")))</f>
        <v/>
      </c>
      <c r="R42" s="112" t="n">
        <v>46082</v>
      </c>
    </row>
    <row r="43">
      <c r="A43" s="104">
        <f>IF(Setup!$A85="","",Setup!$A85)</f>
        <v/>
      </c>
      <c r="B43" s="105">
        <f>IF($A43="","",Setup!$B85)</f>
        <v/>
      </c>
      <c r="C43" s="106">
        <f>IF($A43="","",IF(COUNTIFS(Trips!$Z5:$Z1004,$R43,Trips!$D5:$D1004,$A43)+COUNTIFS(Trips!$Z5:$Z1004,$R43,Trips!$E5:$E1004,$A43)=0,"",COUNTIFS(Trips!$Z5:$Z1004,$R43,Trips!$D5:$D1004,$A43)+COUNTIFS(Trips!$Z5:$Z1004,$R43,Trips!$E5:$E1004,$A43)))</f>
        <v/>
      </c>
      <c r="D43" s="107">
        <f>IF($C43="","",SUMIFS(Trips!$K5:$K1004,Trips!$Z5:$Z1004,$R43,Trips!$D5:$D1004,$A43)+SUMIFS(Trips!$K5:$K1004,Trips!$Z5:$Z1004,$R43,Trips!$E5:$E1004,$A43))</f>
        <v/>
      </c>
      <c r="E43" s="108">
        <f>IF($C43="","",SUMIFS(Trips!$N5:$N1004,Trips!$Z5:$Z1004,$R43,Trips!$D5:$D1004,$A43)+SUMIFS(Trips!$O5:$O1004,Trips!$Z5:$Z1004,$R43,Trips!$E5:$E1004,$A43))</f>
        <v/>
      </c>
      <c r="F43" s="109">
        <f>IF($C43="","",SUMIFS(Trips!$P5:$P1004,Trips!$Z5:$Z1004,$R43,Trips!$D5:$D1004,$A43))</f>
        <v/>
      </c>
      <c r="G43" s="109">
        <f>IF($C43="","",SUMIFS(Trips!$Q5:$Q1004,Trips!$Z5:$Z1004,$R43,Trips!$D5:$D1004,$A43))</f>
        <v/>
      </c>
      <c r="H43" s="108">
        <f>IF(AND($C43="",$I43="",$J43=""),"",N($E43)+N($F43)+N($G43))</f>
        <v/>
      </c>
      <c r="I43" s="109">
        <f>IF($A43="","",IFERROR(1/(1/SUMIFS(Expenses!$F5:$F1004,Expenses!$L5:$L1004,"ADV",Expenses!$J5:$J1004,$R43,Expenses!$E5:$E1004,$A43)),""))</f>
        <v/>
      </c>
      <c r="J43" s="109">
        <f>IF($A43="","",IFERROR(1/(1/SUMIFS(Expenses!$F5:$F1004,Expenses!$L5:$L1004,"PAY",Expenses!$J5:$J1004,$R43,Expenses!$E5:$E1004,$A43)),""))</f>
        <v/>
      </c>
      <c r="K43" s="110">
        <f>IF($H43="","",N($H43)-N($I43)-N($J43))</f>
        <v/>
      </c>
      <c r="L43" s="111">
        <f>IF($K43="","",IF($K43&gt;0.5,"TO PAY",IF($K43&lt;-0.5,"ADVANCE / OWES","SETTLED")))</f>
        <v/>
      </c>
      <c r="R43" s="112" t="n">
        <v>46082</v>
      </c>
    </row>
    <row r="44">
      <c r="A44" s="104">
        <f>IF(Setup!$A86="","",Setup!$A86)</f>
        <v/>
      </c>
      <c r="B44" s="105">
        <f>IF($A44="","",Setup!$B86)</f>
        <v/>
      </c>
      <c r="C44" s="106">
        <f>IF($A44="","",IF(COUNTIFS(Trips!$Z5:$Z1004,$R44,Trips!$D5:$D1004,$A44)+COUNTIFS(Trips!$Z5:$Z1004,$R44,Trips!$E5:$E1004,$A44)=0,"",COUNTIFS(Trips!$Z5:$Z1004,$R44,Trips!$D5:$D1004,$A44)+COUNTIFS(Trips!$Z5:$Z1004,$R44,Trips!$E5:$E1004,$A44)))</f>
        <v/>
      </c>
      <c r="D44" s="107">
        <f>IF($C44="","",SUMIFS(Trips!$K5:$K1004,Trips!$Z5:$Z1004,$R44,Trips!$D5:$D1004,$A44)+SUMIFS(Trips!$K5:$K1004,Trips!$Z5:$Z1004,$R44,Trips!$E5:$E1004,$A44))</f>
        <v/>
      </c>
      <c r="E44" s="108">
        <f>IF($C44="","",SUMIFS(Trips!$N5:$N1004,Trips!$Z5:$Z1004,$R44,Trips!$D5:$D1004,$A44)+SUMIFS(Trips!$O5:$O1004,Trips!$Z5:$Z1004,$R44,Trips!$E5:$E1004,$A44))</f>
        <v/>
      </c>
      <c r="F44" s="109">
        <f>IF($C44="","",SUMIFS(Trips!$P5:$P1004,Trips!$Z5:$Z1004,$R44,Trips!$D5:$D1004,$A44))</f>
        <v/>
      </c>
      <c r="G44" s="109">
        <f>IF($C44="","",SUMIFS(Trips!$Q5:$Q1004,Trips!$Z5:$Z1004,$R44,Trips!$D5:$D1004,$A44))</f>
        <v/>
      </c>
      <c r="H44" s="108">
        <f>IF(AND($C44="",$I44="",$J44=""),"",N($E44)+N($F44)+N($G44))</f>
        <v/>
      </c>
      <c r="I44" s="109">
        <f>IF($A44="","",IFERROR(1/(1/SUMIFS(Expenses!$F5:$F1004,Expenses!$L5:$L1004,"ADV",Expenses!$J5:$J1004,$R44,Expenses!$E5:$E1004,$A44)),""))</f>
        <v/>
      </c>
      <c r="J44" s="109">
        <f>IF($A44="","",IFERROR(1/(1/SUMIFS(Expenses!$F5:$F1004,Expenses!$L5:$L1004,"PAY",Expenses!$J5:$J1004,$R44,Expenses!$E5:$E1004,$A44)),""))</f>
        <v/>
      </c>
      <c r="K44" s="110">
        <f>IF($H44="","",N($H44)-N($I44)-N($J44))</f>
        <v/>
      </c>
      <c r="L44" s="111">
        <f>IF($K44="","",IF($K44&gt;0.5,"TO PAY",IF($K44&lt;-0.5,"ADVANCE / OWES","SETTLED")))</f>
        <v/>
      </c>
      <c r="R44" s="112" t="n">
        <v>46082</v>
      </c>
    </row>
    <row r="45">
      <c r="A45" s="104">
        <f>IF(Setup!$A87="","",Setup!$A87)</f>
        <v/>
      </c>
      <c r="B45" s="105">
        <f>IF($A45="","",Setup!$B87)</f>
        <v/>
      </c>
      <c r="C45" s="106">
        <f>IF($A45="","",IF(COUNTIFS(Trips!$Z5:$Z1004,$R45,Trips!$D5:$D1004,$A45)+COUNTIFS(Trips!$Z5:$Z1004,$R45,Trips!$E5:$E1004,$A45)=0,"",COUNTIFS(Trips!$Z5:$Z1004,$R45,Trips!$D5:$D1004,$A45)+COUNTIFS(Trips!$Z5:$Z1004,$R45,Trips!$E5:$E1004,$A45)))</f>
        <v/>
      </c>
      <c r="D45" s="107">
        <f>IF($C45="","",SUMIFS(Trips!$K5:$K1004,Trips!$Z5:$Z1004,$R45,Trips!$D5:$D1004,$A45)+SUMIFS(Trips!$K5:$K1004,Trips!$Z5:$Z1004,$R45,Trips!$E5:$E1004,$A45))</f>
        <v/>
      </c>
      <c r="E45" s="108">
        <f>IF($C45="","",SUMIFS(Trips!$N5:$N1004,Trips!$Z5:$Z1004,$R45,Trips!$D5:$D1004,$A45)+SUMIFS(Trips!$O5:$O1004,Trips!$Z5:$Z1004,$R45,Trips!$E5:$E1004,$A45))</f>
        <v/>
      </c>
      <c r="F45" s="109">
        <f>IF($C45="","",SUMIFS(Trips!$P5:$P1004,Trips!$Z5:$Z1004,$R45,Trips!$D5:$D1004,$A45))</f>
        <v/>
      </c>
      <c r="G45" s="109">
        <f>IF($C45="","",SUMIFS(Trips!$Q5:$Q1004,Trips!$Z5:$Z1004,$R45,Trips!$D5:$D1004,$A45))</f>
        <v/>
      </c>
      <c r="H45" s="108">
        <f>IF(AND($C45="",$I45="",$J45=""),"",N($E45)+N($F45)+N($G45))</f>
        <v/>
      </c>
      <c r="I45" s="109">
        <f>IF($A45="","",IFERROR(1/(1/SUMIFS(Expenses!$F5:$F1004,Expenses!$L5:$L1004,"ADV",Expenses!$J5:$J1004,$R45,Expenses!$E5:$E1004,$A45)),""))</f>
        <v/>
      </c>
      <c r="J45" s="109">
        <f>IF($A45="","",IFERROR(1/(1/SUMIFS(Expenses!$F5:$F1004,Expenses!$L5:$L1004,"PAY",Expenses!$J5:$J1004,$R45,Expenses!$E5:$E1004,$A45)),""))</f>
        <v/>
      </c>
      <c r="K45" s="110">
        <f>IF($H45="","",N($H45)-N($I45)-N($J45))</f>
        <v/>
      </c>
      <c r="L45" s="111">
        <f>IF($K45="","",IF($K45&gt;0.5,"TO PAY",IF($K45&lt;-0.5,"ADVANCE / OWES","SETTLED")))</f>
        <v/>
      </c>
      <c r="R45" s="112" t="n">
        <v>46082</v>
      </c>
    </row>
    <row r="46">
      <c r="A46" s="113" t="inlineStr">
        <is>
          <t>MONTH TOTAL</t>
        </is>
      </c>
      <c r="B46" s="114" t="n"/>
      <c r="C46" s="115">
        <f>IF(COUNT(C34:C45)=0,"",SUM(C34:C45))</f>
        <v/>
      </c>
      <c r="D46" s="116">
        <f>IF(COUNT(D34:D45)=0,"",SUM(D34:D45))</f>
        <v/>
      </c>
      <c r="E46" s="117">
        <f>IF(COUNT(E34:E45)=0,"",SUM(E34:E45))</f>
        <v/>
      </c>
      <c r="F46" s="117">
        <f>IF(COUNT(F34:F45)=0,"",SUM(F34:F45))</f>
        <v/>
      </c>
      <c r="G46" s="117">
        <f>IF(COUNT(G34:G45)=0,"",SUM(G34:G45))</f>
        <v/>
      </c>
      <c r="H46" s="117">
        <f>IF(COUNT(H34:H45)=0,"",SUM(H34:H45))</f>
        <v/>
      </c>
      <c r="I46" s="117">
        <f>IF(COUNT(I34:I45)=0,"",SUM(I34:I45))</f>
        <v/>
      </c>
      <c r="J46" s="117">
        <f>IF(COUNT(J34:J45)=0,"",SUM(J34:J45))</f>
        <v/>
      </c>
      <c r="K46" s="117">
        <f>IF(COUNT(K34:K45)=0,"",SUM(K34:K45))</f>
        <v/>
      </c>
      <c r="L46" s="118" t="n"/>
    </row>
    <row r="47" ht="24" customHeight="1">
      <c r="A47" s="103" t="inlineStr">
        <is>
          <t>APRIL 2026   ·   crew earnings &amp; settlement</t>
        </is>
      </c>
    </row>
    <row r="48">
      <c r="A48" s="104">
        <f>IF(Setup!$A76="","",Setup!$A76)</f>
        <v/>
      </c>
      <c r="B48" s="105">
        <f>IF($A48="","",Setup!$B76)</f>
        <v/>
      </c>
      <c r="C48" s="106">
        <f>IF($A48="","",IF(COUNTIFS(Trips!$Z5:$Z1004,$R48,Trips!$D5:$D1004,$A48)+COUNTIFS(Trips!$Z5:$Z1004,$R48,Trips!$E5:$E1004,$A48)=0,"",COUNTIFS(Trips!$Z5:$Z1004,$R48,Trips!$D5:$D1004,$A48)+COUNTIFS(Trips!$Z5:$Z1004,$R48,Trips!$E5:$E1004,$A48)))</f>
        <v/>
      </c>
      <c r="D48" s="107">
        <f>IF($C48="","",SUMIFS(Trips!$K5:$K1004,Trips!$Z5:$Z1004,$R48,Trips!$D5:$D1004,$A48)+SUMIFS(Trips!$K5:$K1004,Trips!$Z5:$Z1004,$R48,Trips!$E5:$E1004,$A48))</f>
        <v/>
      </c>
      <c r="E48" s="108">
        <f>IF($C48="","",SUMIFS(Trips!$N5:$N1004,Trips!$Z5:$Z1004,$R48,Trips!$D5:$D1004,$A48)+SUMIFS(Trips!$O5:$O1004,Trips!$Z5:$Z1004,$R48,Trips!$E5:$E1004,$A48))</f>
        <v/>
      </c>
      <c r="F48" s="109">
        <f>IF($C48="","",SUMIFS(Trips!$P5:$P1004,Trips!$Z5:$Z1004,$R48,Trips!$D5:$D1004,$A48))</f>
        <v/>
      </c>
      <c r="G48" s="109">
        <f>IF($C48="","",SUMIFS(Trips!$Q5:$Q1004,Trips!$Z5:$Z1004,$R48,Trips!$D5:$D1004,$A48))</f>
        <v/>
      </c>
      <c r="H48" s="108">
        <f>IF(AND($C48="",$I48="",$J48=""),"",N($E48)+N($F48)+N($G48))</f>
        <v/>
      </c>
      <c r="I48" s="109">
        <f>IF($A48="","",IFERROR(1/(1/SUMIFS(Expenses!$F5:$F1004,Expenses!$L5:$L1004,"ADV",Expenses!$J5:$J1004,$R48,Expenses!$E5:$E1004,$A48)),""))</f>
        <v/>
      </c>
      <c r="J48" s="109">
        <f>IF($A48="","",IFERROR(1/(1/SUMIFS(Expenses!$F5:$F1004,Expenses!$L5:$L1004,"PAY",Expenses!$J5:$J1004,$R48,Expenses!$E5:$E1004,$A48)),""))</f>
        <v/>
      </c>
      <c r="K48" s="110">
        <f>IF($H48="","",N($H48)-N($I48)-N($J48))</f>
        <v/>
      </c>
      <c r="L48" s="111">
        <f>IF($K48="","",IF($K48&gt;0.5,"TO PAY",IF($K48&lt;-0.5,"ADVANCE / OWES","SETTLED")))</f>
        <v/>
      </c>
      <c r="R48" s="112" t="n">
        <v>46113</v>
      </c>
    </row>
    <row r="49">
      <c r="A49" s="104">
        <f>IF(Setup!$A77="","",Setup!$A77)</f>
        <v/>
      </c>
      <c r="B49" s="105">
        <f>IF($A49="","",Setup!$B77)</f>
        <v/>
      </c>
      <c r="C49" s="106">
        <f>IF($A49="","",IF(COUNTIFS(Trips!$Z5:$Z1004,$R49,Trips!$D5:$D1004,$A49)+COUNTIFS(Trips!$Z5:$Z1004,$R49,Trips!$E5:$E1004,$A49)=0,"",COUNTIFS(Trips!$Z5:$Z1004,$R49,Trips!$D5:$D1004,$A49)+COUNTIFS(Trips!$Z5:$Z1004,$R49,Trips!$E5:$E1004,$A49)))</f>
        <v/>
      </c>
      <c r="D49" s="107">
        <f>IF($C49="","",SUMIFS(Trips!$K5:$K1004,Trips!$Z5:$Z1004,$R49,Trips!$D5:$D1004,$A49)+SUMIFS(Trips!$K5:$K1004,Trips!$Z5:$Z1004,$R49,Trips!$E5:$E1004,$A49))</f>
        <v/>
      </c>
      <c r="E49" s="108">
        <f>IF($C49="","",SUMIFS(Trips!$N5:$N1004,Trips!$Z5:$Z1004,$R49,Trips!$D5:$D1004,$A49)+SUMIFS(Trips!$O5:$O1004,Trips!$Z5:$Z1004,$R49,Trips!$E5:$E1004,$A49))</f>
        <v/>
      </c>
      <c r="F49" s="109">
        <f>IF($C49="","",SUMIFS(Trips!$P5:$P1004,Trips!$Z5:$Z1004,$R49,Trips!$D5:$D1004,$A49))</f>
        <v/>
      </c>
      <c r="G49" s="109">
        <f>IF($C49="","",SUMIFS(Trips!$Q5:$Q1004,Trips!$Z5:$Z1004,$R49,Trips!$D5:$D1004,$A49))</f>
        <v/>
      </c>
      <c r="H49" s="108">
        <f>IF(AND($C49="",$I49="",$J49=""),"",N($E49)+N($F49)+N($G49))</f>
        <v/>
      </c>
      <c r="I49" s="109">
        <f>IF($A49="","",IFERROR(1/(1/SUMIFS(Expenses!$F5:$F1004,Expenses!$L5:$L1004,"ADV",Expenses!$J5:$J1004,$R49,Expenses!$E5:$E1004,$A49)),""))</f>
        <v/>
      </c>
      <c r="J49" s="109">
        <f>IF($A49="","",IFERROR(1/(1/SUMIFS(Expenses!$F5:$F1004,Expenses!$L5:$L1004,"PAY",Expenses!$J5:$J1004,$R49,Expenses!$E5:$E1004,$A49)),""))</f>
        <v/>
      </c>
      <c r="K49" s="110">
        <f>IF($H49="","",N($H49)-N($I49)-N($J49))</f>
        <v/>
      </c>
      <c r="L49" s="111">
        <f>IF($K49="","",IF($K49&gt;0.5,"TO PAY",IF($K49&lt;-0.5,"ADVANCE / OWES","SETTLED")))</f>
        <v/>
      </c>
      <c r="R49" s="112" t="n">
        <v>46113</v>
      </c>
    </row>
    <row r="50">
      <c r="A50" s="104">
        <f>IF(Setup!$A78="","",Setup!$A78)</f>
        <v/>
      </c>
      <c r="B50" s="105">
        <f>IF($A50="","",Setup!$B78)</f>
        <v/>
      </c>
      <c r="C50" s="106">
        <f>IF($A50="","",IF(COUNTIFS(Trips!$Z5:$Z1004,$R50,Trips!$D5:$D1004,$A50)+COUNTIFS(Trips!$Z5:$Z1004,$R50,Trips!$E5:$E1004,$A50)=0,"",COUNTIFS(Trips!$Z5:$Z1004,$R50,Trips!$D5:$D1004,$A50)+COUNTIFS(Trips!$Z5:$Z1004,$R50,Trips!$E5:$E1004,$A50)))</f>
        <v/>
      </c>
      <c r="D50" s="107">
        <f>IF($C50="","",SUMIFS(Trips!$K5:$K1004,Trips!$Z5:$Z1004,$R50,Trips!$D5:$D1004,$A50)+SUMIFS(Trips!$K5:$K1004,Trips!$Z5:$Z1004,$R50,Trips!$E5:$E1004,$A50))</f>
        <v/>
      </c>
      <c r="E50" s="108">
        <f>IF($C50="","",SUMIFS(Trips!$N5:$N1004,Trips!$Z5:$Z1004,$R50,Trips!$D5:$D1004,$A50)+SUMIFS(Trips!$O5:$O1004,Trips!$Z5:$Z1004,$R50,Trips!$E5:$E1004,$A50))</f>
        <v/>
      </c>
      <c r="F50" s="109">
        <f>IF($C50="","",SUMIFS(Trips!$P5:$P1004,Trips!$Z5:$Z1004,$R50,Trips!$D5:$D1004,$A50))</f>
        <v/>
      </c>
      <c r="G50" s="109">
        <f>IF($C50="","",SUMIFS(Trips!$Q5:$Q1004,Trips!$Z5:$Z1004,$R50,Trips!$D5:$D1004,$A50))</f>
        <v/>
      </c>
      <c r="H50" s="108">
        <f>IF(AND($C50="",$I50="",$J50=""),"",N($E50)+N($F50)+N($G50))</f>
        <v/>
      </c>
      <c r="I50" s="109">
        <f>IF($A50="","",IFERROR(1/(1/SUMIFS(Expenses!$F5:$F1004,Expenses!$L5:$L1004,"ADV",Expenses!$J5:$J1004,$R50,Expenses!$E5:$E1004,$A50)),""))</f>
        <v/>
      </c>
      <c r="J50" s="109">
        <f>IF($A50="","",IFERROR(1/(1/SUMIFS(Expenses!$F5:$F1004,Expenses!$L5:$L1004,"PAY",Expenses!$J5:$J1004,$R50,Expenses!$E5:$E1004,$A50)),""))</f>
        <v/>
      </c>
      <c r="K50" s="110">
        <f>IF($H50="","",N($H50)-N($I50)-N($J50))</f>
        <v/>
      </c>
      <c r="L50" s="111">
        <f>IF($K50="","",IF($K50&gt;0.5,"TO PAY",IF($K50&lt;-0.5,"ADVANCE / OWES","SETTLED")))</f>
        <v/>
      </c>
      <c r="R50" s="112" t="n">
        <v>46113</v>
      </c>
    </row>
    <row r="51">
      <c r="A51" s="104">
        <f>IF(Setup!$A79="","",Setup!$A79)</f>
        <v/>
      </c>
      <c r="B51" s="105">
        <f>IF($A51="","",Setup!$B79)</f>
        <v/>
      </c>
      <c r="C51" s="106">
        <f>IF($A51="","",IF(COUNTIFS(Trips!$Z5:$Z1004,$R51,Trips!$D5:$D1004,$A51)+COUNTIFS(Trips!$Z5:$Z1004,$R51,Trips!$E5:$E1004,$A51)=0,"",COUNTIFS(Trips!$Z5:$Z1004,$R51,Trips!$D5:$D1004,$A51)+COUNTIFS(Trips!$Z5:$Z1004,$R51,Trips!$E5:$E1004,$A51)))</f>
        <v/>
      </c>
      <c r="D51" s="107">
        <f>IF($C51="","",SUMIFS(Trips!$K5:$K1004,Trips!$Z5:$Z1004,$R51,Trips!$D5:$D1004,$A51)+SUMIFS(Trips!$K5:$K1004,Trips!$Z5:$Z1004,$R51,Trips!$E5:$E1004,$A51))</f>
        <v/>
      </c>
      <c r="E51" s="108">
        <f>IF($C51="","",SUMIFS(Trips!$N5:$N1004,Trips!$Z5:$Z1004,$R51,Trips!$D5:$D1004,$A51)+SUMIFS(Trips!$O5:$O1004,Trips!$Z5:$Z1004,$R51,Trips!$E5:$E1004,$A51))</f>
        <v/>
      </c>
      <c r="F51" s="109">
        <f>IF($C51="","",SUMIFS(Trips!$P5:$P1004,Trips!$Z5:$Z1004,$R51,Trips!$D5:$D1004,$A51))</f>
        <v/>
      </c>
      <c r="G51" s="109">
        <f>IF($C51="","",SUMIFS(Trips!$Q5:$Q1004,Trips!$Z5:$Z1004,$R51,Trips!$D5:$D1004,$A51))</f>
        <v/>
      </c>
      <c r="H51" s="108">
        <f>IF(AND($C51="",$I51="",$J51=""),"",N($E51)+N($F51)+N($G51))</f>
        <v/>
      </c>
      <c r="I51" s="109">
        <f>IF($A51="","",IFERROR(1/(1/SUMIFS(Expenses!$F5:$F1004,Expenses!$L5:$L1004,"ADV",Expenses!$J5:$J1004,$R51,Expenses!$E5:$E1004,$A51)),""))</f>
        <v/>
      </c>
      <c r="J51" s="109">
        <f>IF($A51="","",IFERROR(1/(1/SUMIFS(Expenses!$F5:$F1004,Expenses!$L5:$L1004,"PAY",Expenses!$J5:$J1004,$R51,Expenses!$E5:$E1004,$A51)),""))</f>
        <v/>
      </c>
      <c r="K51" s="110">
        <f>IF($H51="","",N($H51)-N($I51)-N($J51))</f>
        <v/>
      </c>
      <c r="L51" s="111">
        <f>IF($K51="","",IF($K51&gt;0.5,"TO PAY",IF($K51&lt;-0.5,"ADVANCE / OWES","SETTLED")))</f>
        <v/>
      </c>
      <c r="R51" s="112" t="n">
        <v>46113</v>
      </c>
    </row>
    <row r="52">
      <c r="A52" s="104">
        <f>IF(Setup!$A80="","",Setup!$A80)</f>
        <v/>
      </c>
      <c r="B52" s="105">
        <f>IF($A52="","",Setup!$B80)</f>
        <v/>
      </c>
      <c r="C52" s="106">
        <f>IF($A52="","",IF(COUNTIFS(Trips!$Z5:$Z1004,$R52,Trips!$D5:$D1004,$A52)+COUNTIFS(Trips!$Z5:$Z1004,$R52,Trips!$E5:$E1004,$A52)=0,"",COUNTIFS(Trips!$Z5:$Z1004,$R52,Trips!$D5:$D1004,$A52)+COUNTIFS(Trips!$Z5:$Z1004,$R52,Trips!$E5:$E1004,$A52)))</f>
        <v/>
      </c>
      <c r="D52" s="107">
        <f>IF($C52="","",SUMIFS(Trips!$K5:$K1004,Trips!$Z5:$Z1004,$R52,Trips!$D5:$D1004,$A52)+SUMIFS(Trips!$K5:$K1004,Trips!$Z5:$Z1004,$R52,Trips!$E5:$E1004,$A52))</f>
        <v/>
      </c>
      <c r="E52" s="108">
        <f>IF($C52="","",SUMIFS(Trips!$N5:$N1004,Trips!$Z5:$Z1004,$R52,Trips!$D5:$D1004,$A52)+SUMIFS(Trips!$O5:$O1004,Trips!$Z5:$Z1004,$R52,Trips!$E5:$E1004,$A52))</f>
        <v/>
      </c>
      <c r="F52" s="109">
        <f>IF($C52="","",SUMIFS(Trips!$P5:$P1004,Trips!$Z5:$Z1004,$R52,Trips!$D5:$D1004,$A52))</f>
        <v/>
      </c>
      <c r="G52" s="109">
        <f>IF($C52="","",SUMIFS(Trips!$Q5:$Q1004,Trips!$Z5:$Z1004,$R52,Trips!$D5:$D1004,$A52))</f>
        <v/>
      </c>
      <c r="H52" s="108">
        <f>IF(AND($C52="",$I52="",$J52=""),"",N($E52)+N($F52)+N($G52))</f>
        <v/>
      </c>
      <c r="I52" s="109">
        <f>IF($A52="","",IFERROR(1/(1/SUMIFS(Expenses!$F5:$F1004,Expenses!$L5:$L1004,"ADV",Expenses!$J5:$J1004,$R52,Expenses!$E5:$E1004,$A52)),""))</f>
        <v/>
      </c>
      <c r="J52" s="109">
        <f>IF($A52="","",IFERROR(1/(1/SUMIFS(Expenses!$F5:$F1004,Expenses!$L5:$L1004,"PAY",Expenses!$J5:$J1004,$R52,Expenses!$E5:$E1004,$A52)),""))</f>
        <v/>
      </c>
      <c r="K52" s="110">
        <f>IF($H52="","",N($H52)-N($I52)-N($J52))</f>
        <v/>
      </c>
      <c r="L52" s="111">
        <f>IF($K52="","",IF($K52&gt;0.5,"TO PAY",IF($K52&lt;-0.5,"ADVANCE / OWES","SETTLED")))</f>
        <v/>
      </c>
      <c r="R52" s="112" t="n">
        <v>46113</v>
      </c>
    </row>
    <row r="53">
      <c r="A53" s="104">
        <f>IF(Setup!$A81="","",Setup!$A81)</f>
        <v/>
      </c>
      <c r="B53" s="105">
        <f>IF($A53="","",Setup!$B81)</f>
        <v/>
      </c>
      <c r="C53" s="106">
        <f>IF($A53="","",IF(COUNTIFS(Trips!$Z5:$Z1004,$R53,Trips!$D5:$D1004,$A53)+COUNTIFS(Trips!$Z5:$Z1004,$R53,Trips!$E5:$E1004,$A53)=0,"",COUNTIFS(Trips!$Z5:$Z1004,$R53,Trips!$D5:$D1004,$A53)+COUNTIFS(Trips!$Z5:$Z1004,$R53,Trips!$E5:$E1004,$A53)))</f>
        <v/>
      </c>
      <c r="D53" s="107">
        <f>IF($C53="","",SUMIFS(Trips!$K5:$K1004,Trips!$Z5:$Z1004,$R53,Trips!$D5:$D1004,$A53)+SUMIFS(Trips!$K5:$K1004,Trips!$Z5:$Z1004,$R53,Trips!$E5:$E1004,$A53))</f>
        <v/>
      </c>
      <c r="E53" s="108">
        <f>IF($C53="","",SUMIFS(Trips!$N5:$N1004,Trips!$Z5:$Z1004,$R53,Trips!$D5:$D1004,$A53)+SUMIFS(Trips!$O5:$O1004,Trips!$Z5:$Z1004,$R53,Trips!$E5:$E1004,$A53))</f>
        <v/>
      </c>
      <c r="F53" s="109">
        <f>IF($C53="","",SUMIFS(Trips!$P5:$P1004,Trips!$Z5:$Z1004,$R53,Trips!$D5:$D1004,$A53))</f>
        <v/>
      </c>
      <c r="G53" s="109">
        <f>IF($C53="","",SUMIFS(Trips!$Q5:$Q1004,Trips!$Z5:$Z1004,$R53,Trips!$D5:$D1004,$A53))</f>
        <v/>
      </c>
      <c r="H53" s="108">
        <f>IF(AND($C53="",$I53="",$J53=""),"",N($E53)+N($F53)+N($G53))</f>
        <v/>
      </c>
      <c r="I53" s="109">
        <f>IF($A53="","",IFERROR(1/(1/SUMIFS(Expenses!$F5:$F1004,Expenses!$L5:$L1004,"ADV",Expenses!$J5:$J1004,$R53,Expenses!$E5:$E1004,$A53)),""))</f>
        <v/>
      </c>
      <c r="J53" s="109">
        <f>IF($A53="","",IFERROR(1/(1/SUMIFS(Expenses!$F5:$F1004,Expenses!$L5:$L1004,"PAY",Expenses!$J5:$J1004,$R53,Expenses!$E5:$E1004,$A53)),""))</f>
        <v/>
      </c>
      <c r="K53" s="110">
        <f>IF($H53="","",N($H53)-N($I53)-N($J53))</f>
        <v/>
      </c>
      <c r="L53" s="111">
        <f>IF($K53="","",IF($K53&gt;0.5,"TO PAY",IF($K53&lt;-0.5,"ADVANCE / OWES","SETTLED")))</f>
        <v/>
      </c>
      <c r="R53" s="112" t="n">
        <v>46113</v>
      </c>
    </row>
    <row r="54">
      <c r="A54" s="104">
        <f>IF(Setup!$A82="","",Setup!$A82)</f>
        <v/>
      </c>
      <c r="B54" s="105">
        <f>IF($A54="","",Setup!$B82)</f>
        <v/>
      </c>
      <c r="C54" s="106">
        <f>IF($A54="","",IF(COUNTIFS(Trips!$Z5:$Z1004,$R54,Trips!$D5:$D1004,$A54)+COUNTIFS(Trips!$Z5:$Z1004,$R54,Trips!$E5:$E1004,$A54)=0,"",COUNTIFS(Trips!$Z5:$Z1004,$R54,Trips!$D5:$D1004,$A54)+COUNTIFS(Trips!$Z5:$Z1004,$R54,Trips!$E5:$E1004,$A54)))</f>
        <v/>
      </c>
      <c r="D54" s="107">
        <f>IF($C54="","",SUMIFS(Trips!$K5:$K1004,Trips!$Z5:$Z1004,$R54,Trips!$D5:$D1004,$A54)+SUMIFS(Trips!$K5:$K1004,Trips!$Z5:$Z1004,$R54,Trips!$E5:$E1004,$A54))</f>
        <v/>
      </c>
      <c r="E54" s="108">
        <f>IF($C54="","",SUMIFS(Trips!$N5:$N1004,Trips!$Z5:$Z1004,$R54,Trips!$D5:$D1004,$A54)+SUMIFS(Trips!$O5:$O1004,Trips!$Z5:$Z1004,$R54,Trips!$E5:$E1004,$A54))</f>
        <v/>
      </c>
      <c r="F54" s="109">
        <f>IF($C54="","",SUMIFS(Trips!$P5:$P1004,Trips!$Z5:$Z1004,$R54,Trips!$D5:$D1004,$A54))</f>
        <v/>
      </c>
      <c r="G54" s="109">
        <f>IF($C54="","",SUMIFS(Trips!$Q5:$Q1004,Trips!$Z5:$Z1004,$R54,Trips!$D5:$D1004,$A54))</f>
        <v/>
      </c>
      <c r="H54" s="108">
        <f>IF(AND($C54="",$I54="",$J54=""),"",N($E54)+N($F54)+N($G54))</f>
        <v/>
      </c>
      <c r="I54" s="109">
        <f>IF($A54="","",IFERROR(1/(1/SUMIFS(Expenses!$F5:$F1004,Expenses!$L5:$L1004,"ADV",Expenses!$J5:$J1004,$R54,Expenses!$E5:$E1004,$A54)),""))</f>
        <v/>
      </c>
      <c r="J54" s="109">
        <f>IF($A54="","",IFERROR(1/(1/SUMIFS(Expenses!$F5:$F1004,Expenses!$L5:$L1004,"PAY",Expenses!$J5:$J1004,$R54,Expenses!$E5:$E1004,$A54)),""))</f>
        <v/>
      </c>
      <c r="K54" s="110">
        <f>IF($H54="","",N($H54)-N($I54)-N($J54))</f>
        <v/>
      </c>
      <c r="L54" s="111">
        <f>IF($K54="","",IF($K54&gt;0.5,"TO PAY",IF($K54&lt;-0.5,"ADVANCE / OWES","SETTLED")))</f>
        <v/>
      </c>
      <c r="R54" s="112" t="n">
        <v>46113</v>
      </c>
    </row>
    <row r="55">
      <c r="A55" s="104">
        <f>IF(Setup!$A83="","",Setup!$A83)</f>
        <v/>
      </c>
      <c r="B55" s="105">
        <f>IF($A55="","",Setup!$B83)</f>
        <v/>
      </c>
      <c r="C55" s="106">
        <f>IF($A55="","",IF(COUNTIFS(Trips!$Z5:$Z1004,$R55,Trips!$D5:$D1004,$A55)+COUNTIFS(Trips!$Z5:$Z1004,$R55,Trips!$E5:$E1004,$A55)=0,"",COUNTIFS(Trips!$Z5:$Z1004,$R55,Trips!$D5:$D1004,$A55)+COUNTIFS(Trips!$Z5:$Z1004,$R55,Trips!$E5:$E1004,$A55)))</f>
        <v/>
      </c>
      <c r="D55" s="107">
        <f>IF($C55="","",SUMIFS(Trips!$K5:$K1004,Trips!$Z5:$Z1004,$R55,Trips!$D5:$D1004,$A55)+SUMIFS(Trips!$K5:$K1004,Trips!$Z5:$Z1004,$R55,Trips!$E5:$E1004,$A55))</f>
        <v/>
      </c>
      <c r="E55" s="108">
        <f>IF($C55="","",SUMIFS(Trips!$N5:$N1004,Trips!$Z5:$Z1004,$R55,Trips!$D5:$D1004,$A55)+SUMIFS(Trips!$O5:$O1004,Trips!$Z5:$Z1004,$R55,Trips!$E5:$E1004,$A55))</f>
        <v/>
      </c>
      <c r="F55" s="109">
        <f>IF($C55="","",SUMIFS(Trips!$P5:$P1004,Trips!$Z5:$Z1004,$R55,Trips!$D5:$D1004,$A55))</f>
        <v/>
      </c>
      <c r="G55" s="109">
        <f>IF($C55="","",SUMIFS(Trips!$Q5:$Q1004,Trips!$Z5:$Z1004,$R55,Trips!$D5:$D1004,$A55))</f>
        <v/>
      </c>
      <c r="H55" s="108">
        <f>IF(AND($C55="",$I55="",$J55=""),"",N($E55)+N($F55)+N($G55))</f>
        <v/>
      </c>
      <c r="I55" s="109">
        <f>IF($A55="","",IFERROR(1/(1/SUMIFS(Expenses!$F5:$F1004,Expenses!$L5:$L1004,"ADV",Expenses!$J5:$J1004,$R55,Expenses!$E5:$E1004,$A55)),""))</f>
        <v/>
      </c>
      <c r="J55" s="109">
        <f>IF($A55="","",IFERROR(1/(1/SUMIFS(Expenses!$F5:$F1004,Expenses!$L5:$L1004,"PAY",Expenses!$J5:$J1004,$R55,Expenses!$E5:$E1004,$A55)),""))</f>
        <v/>
      </c>
      <c r="K55" s="110">
        <f>IF($H55="","",N($H55)-N($I55)-N($J55))</f>
        <v/>
      </c>
      <c r="L55" s="111">
        <f>IF($K55="","",IF($K55&gt;0.5,"TO PAY",IF($K55&lt;-0.5,"ADVANCE / OWES","SETTLED")))</f>
        <v/>
      </c>
      <c r="R55" s="112" t="n">
        <v>46113</v>
      </c>
    </row>
    <row r="56">
      <c r="A56" s="104">
        <f>IF(Setup!$A84="","",Setup!$A84)</f>
        <v/>
      </c>
      <c r="B56" s="105">
        <f>IF($A56="","",Setup!$B84)</f>
        <v/>
      </c>
      <c r="C56" s="106">
        <f>IF($A56="","",IF(COUNTIFS(Trips!$Z5:$Z1004,$R56,Trips!$D5:$D1004,$A56)+COUNTIFS(Trips!$Z5:$Z1004,$R56,Trips!$E5:$E1004,$A56)=0,"",COUNTIFS(Trips!$Z5:$Z1004,$R56,Trips!$D5:$D1004,$A56)+COUNTIFS(Trips!$Z5:$Z1004,$R56,Trips!$E5:$E1004,$A56)))</f>
        <v/>
      </c>
      <c r="D56" s="107">
        <f>IF($C56="","",SUMIFS(Trips!$K5:$K1004,Trips!$Z5:$Z1004,$R56,Trips!$D5:$D1004,$A56)+SUMIFS(Trips!$K5:$K1004,Trips!$Z5:$Z1004,$R56,Trips!$E5:$E1004,$A56))</f>
        <v/>
      </c>
      <c r="E56" s="108">
        <f>IF($C56="","",SUMIFS(Trips!$N5:$N1004,Trips!$Z5:$Z1004,$R56,Trips!$D5:$D1004,$A56)+SUMIFS(Trips!$O5:$O1004,Trips!$Z5:$Z1004,$R56,Trips!$E5:$E1004,$A56))</f>
        <v/>
      </c>
      <c r="F56" s="109">
        <f>IF($C56="","",SUMIFS(Trips!$P5:$P1004,Trips!$Z5:$Z1004,$R56,Trips!$D5:$D1004,$A56))</f>
        <v/>
      </c>
      <c r="G56" s="109">
        <f>IF($C56="","",SUMIFS(Trips!$Q5:$Q1004,Trips!$Z5:$Z1004,$R56,Trips!$D5:$D1004,$A56))</f>
        <v/>
      </c>
      <c r="H56" s="108">
        <f>IF(AND($C56="",$I56="",$J56=""),"",N($E56)+N($F56)+N($G56))</f>
        <v/>
      </c>
      <c r="I56" s="109">
        <f>IF($A56="","",IFERROR(1/(1/SUMIFS(Expenses!$F5:$F1004,Expenses!$L5:$L1004,"ADV",Expenses!$J5:$J1004,$R56,Expenses!$E5:$E1004,$A56)),""))</f>
        <v/>
      </c>
      <c r="J56" s="109">
        <f>IF($A56="","",IFERROR(1/(1/SUMIFS(Expenses!$F5:$F1004,Expenses!$L5:$L1004,"PAY",Expenses!$J5:$J1004,$R56,Expenses!$E5:$E1004,$A56)),""))</f>
        <v/>
      </c>
      <c r="K56" s="110">
        <f>IF($H56="","",N($H56)-N($I56)-N($J56))</f>
        <v/>
      </c>
      <c r="L56" s="111">
        <f>IF($K56="","",IF($K56&gt;0.5,"TO PAY",IF($K56&lt;-0.5,"ADVANCE / OWES","SETTLED")))</f>
        <v/>
      </c>
      <c r="R56" s="112" t="n">
        <v>46113</v>
      </c>
    </row>
    <row r="57">
      <c r="A57" s="104">
        <f>IF(Setup!$A85="","",Setup!$A85)</f>
        <v/>
      </c>
      <c r="B57" s="105">
        <f>IF($A57="","",Setup!$B85)</f>
        <v/>
      </c>
      <c r="C57" s="106">
        <f>IF($A57="","",IF(COUNTIFS(Trips!$Z5:$Z1004,$R57,Trips!$D5:$D1004,$A57)+COUNTIFS(Trips!$Z5:$Z1004,$R57,Trips!$E5:$E1004,$A57)=0,"",COUNTIFS(Trips!$Z5:$Z1004,$R57,Trips!$D5:$D1004,$A57)+COUNTIFS(Trips!$Z5:$Z1004,$R57,Trips!$E5:$E1004,$A57)))</f>
        <v/>
      </c>
      <c r="D57" s="107">
        <f>IF($C57="","",SUMIFS(Trips!$K5:$K1004,Trips!$Z5:$Z1004,$R57,Trips!$D5:$D1004,$A57)+SUMIFS(Trips!$K5:$K1004,Trips!$Z5:$Z1004,$R57,Trips!$E5:$E1004,$A57))</f>
        <v/>
      </c>
      <c r="E57" s="108">
        <f>IF($C57="","",SUMIFS(Trips!$N5:$N1004,Trips!$Z5:$Z1004,$R57,Trips!$D5:$D1004,$A57)+SUMIFS(Trips!$O5:$O1004,Trips!$Z5:$Z1004,$R57,Trips!$E5:$E1004,$A57))</f>
        <v/>
      </c>
      <c r="F57" s="109">
        <f>IF($C57="","",SUMIFS(Trips!$P5:$P1004,Trips!$Z5:$Z1004,$R57,Trips!$D5:$D1004,$A57))</f>
        <v/>
      </c>
      <c r="G57" s="109">
        <f>IF($C57="","",SUMIFS(Trips!$Q5:$Q1004,Trips!$Z5:$Z1004,$R57,Trips!$D5:$D1004,$A57))</f>
        <v/>
      </c>
      <c r="H57" s="108">
        <f>IF(AND($C57="",$I57="",$J57=""),"",N($E57)+N($F57)+N($G57))</f>
        <v/>
      </c>
      <c r="I57" s="109">
        <f>IF($A57="","",IFERROR(1/(1/SUMIFS(Expenses!$F5:$F1004,Expenses!$L5:$L1004,"ADV",Expenses!$J5:$J1004,$R57,Expenses!$E5:$E1004,$A57)),""))</f>
        <v/>
      </c>
      <c r="J57" s="109">
        <f>IF($A57="","",IFERROR(1/(1/SUMIFS(Expenses!$F5:$F1004,Expenses!$L5:$L1004,"PAY",Expenses!$J5:$J1004,$R57,Expenses!$E5:$E1004,$A57)),""))</f>
        <v/>
      </c>
      <c r="K57" s="110">
        <f>IF($H57="","",N($H57)-N($I57)-N($J57))</f>
        <v/>
      </c>
      <c r="L57" s="111">
        <f>IF($K57="","",IF($K57&gt;0.5,"TO PAY",IF($K57&lt;-0.5,"ADVANCE / OWES","SETTLED")))</f>
        <v/>
      </c>
      <c r="R57" s="112" t="n">
        <v>46113</v>
      </c>
    </row>
    <row r="58">
      <c r="A58" s="104">
        <f>IF(Setup!$A86="","",Setup!$A86)</f>
        <v/>
      </c>
      <c r="B58" s="105">
        <f>IF($A58="","",Setup!$B86)</f>
        <v/>
      </c>
      <c r="C58" s="106">
        <f>IF($A58="","",IF(COUNTIFS(Trips!$Z5:$Z1004,$R58,Trips!$D5:$D1004,$A58)+COUNTIFS(Trips!$Z5:$Z1004,$R58,Trips!$E5:$E1004,$A58)=0,"",COUNTIFS(Trips!$Z5:$Z1004,$R58,Trips!$D5:$D1004,$A58)+COUNTIFS(Trips!$Z5:$Z1004,$R58,Trips!$E5:$E1004,$A58)))</f>
        <v/>
      </c>
      <c r="D58" s="107">
        <f>IF($C58="","",SUMIFS(Trips!$K5:$K1004,Trips!$Z5:$Z1004,$R58,Trips!$D5:$D1004,$A58)+SUMIFS(Trips!$K5:$K1004,Trips!$Z5:$Z1004,$R58,Trips!$E5:$E1004,$A58))</f>
        <v/>
      </c>
      <c r="E58" s="108">
        <f>IF($C58="","",SUMIFS(Trips!$N5:$N1004,Trips!$Z5:$Z1004,$R58,Trips!$D5:$D1004,$A58)+SUMIFS(Trips!$O5:$O1004,Trips!$Z5:$Z1004,$R58,Trips!$E5:$E1004,$A58))</f>
        <v/>
      </c>
      <c r="F58" s="109">
        <f>IF($C58="","",SUMIFS(Trips!$P5:$P1004,Trips!$Z5:$Z1004,$R58,Trips!$D5:$D1004,$A58))</f>
        <v/>
      </c>
      <c r="G58" s="109">
        <f>IF($C58="","",SUMIFS(Trips!$Q5:$Q1004,Trips!$Z5:$Z1004,$R58,Trips!$D5:$D1004,$A58))</f>
        <v/>
      </c>
      <c r="H58" s="108">
        <f>IF(AND($C58="",$I58="",$J58=""),"",N($E58)+N($F58)+N($G58))</f>
        <v/>
      </c>
      <c r="I58" s="109">
        <f>IF($A58="","",IFERROR(1/(1/SUMIFS(Expenses!$F5:$F1004,Expenses!$L5:$L1004,"ADV",Expenses!$J5:$J1004,$R58,Expenses!$E5:$E1004,$A58)),""))</f>
        <v/>
      </c>
      <c r="J58" s="109">
        <f>IF($A58="","",IFERROR(1/(1/SUMIFS(Expenses!$F5:$F1004,Expenses!$L5:$L1004,"PAY",Expenses!$J5:$J1004,$R58,Expenses!$E5:$E1004,$A58)),""))</f>
        <v/>
      </c>
      <c r="K58" s="110">
        <f>IF($H58="","",N($H58)-N($I58)-N($J58))</f>
        <v/>
      </c>
      <c r="L58" s="111">
        <f>IF($K58="","",IF($K58&gt;0.5,"TO PAY",IF($K58&lt;-0.5,"ADVANCE / OWES","SETTLED")))</f>
        <v/>
      </c>
      <c r="R58" s="112" t="n">
        <v>46113</v>
      </c>
    </row>
    <row r="59">
      <c r="A59" s="104">
        <f>IF(Setup!$A87="","",Setup!$A87)</f>
        <v/>
      </c>
      <c r="B59" s="105">
        <f>IF($A59="","",Setup!$B87)</f>
        <v/>
      </c>
      <c r="C59" s="106">
        <f>IF($A59="","",IF(COUNTIFS(Trips!$Z5:$Z1004,$R59,Trips!$D5:$D1004,$A59)+COUNTIFS(Trips!$Z5:$Z1004,$R59,Trips!$E5:$E1004,$A59)=0,"",COUNTIFS(Trips!$Z5:$Z1004,$R59,Trips!$D5:$D1004,$A59)+COUNTIFS(Trips!$Z5:$Z1004,$R59,Trips!$E5:$E1004,$A59)))</f>
        <v/>
      </c>
      <c r="D59" s="107">
        <f>IF($C59="","",SUMIFS(Trips!$K5:$K1004,Trips!$Z5:$Z1004,$R59,Trips!$D5:$D1004,$A59)+SUMIFS(Trips!$K5:$K1004,Trips!$Z5:$Z1004,$R59,Trips!$E5:$E1004,$A59))</f>
        <v/>
      </c>
      <c r="E59" s="108">
        <f>IF($C59="","",SUMIFS(Trips!$N5:$N1004,Trips!$Z5:$Z1004,$R59,Trips!$D5:$D1004,$A59)+SUMIFS(Trips!$O5:$O1004,Trips!$Z5:$Z1004,$R59,Trips!$E5:$E1004,$A59))</f>
        <v/>
      </c>
      <c r="F59" s="109">
        <f>IF($C59="","",SUMIFS(Trips!$P5:$P1004,Trips!$Z5:$Z1004,$R59,Trips!$D5:$D1004,$A59))</f>
        <v/>
      </c>
      <c r="G59" s="109">
        <f>IF($C59="","",SUMIFS(Trips!$Q5:$Q1004,Trips!$Z5:$Z1004,$R59,Trips!$D5:$D1004,$A59))</f>
        <v/>
      </c>
      <c r="H59" s="108">
        <f>IF(AND($C59="",$I59="",$J59=""),"",N($E59)+N($F59)+N($G59))</f>
        <v/>
      </c>
      <c r="I59" s="109">
        <f>IF($A59="","",IFERROR(1/(1/SUMIFS(Expenses!$F5:$F1004,Expenses!$L5:$L1004,"ADV",Expenses!$J5:$J1004,$R59,Expenses!$E5:$E1004,$A59)),""))</f>
        <v/>
      </c>
      <c r="J59" s="109">
        <f>IF($A59="","",IFERROR(1/(1/SUMIFS(Expenses!$F5:$F1004,Expenses!$L5:$L1004,"PAY",Expenses!$J5:$J1004,$R59,Expenses!$E5:$E1004,$A59)),""))</f>
        <v/>
      </c>
      <c r="K59" s="110">
        <f>IF($H59="","",N($H59)-N($I59)-N($J59))</f>
        <v/>
      </c>
      <c r="L59" s="111">
        <f>IF($K59="","",IF($K59&gt;0.5,"TO PAY",IF($K59&lt;-0.5,"ADVANCE / OWES","SETTLED")))</f>
        <v/>
      </c>
      <c r="R59" s="112" t="n">
        <v>46113</v>
      </c>
    </row>
    <row r="60">
      <c r="A60" s="113" t="inlineStr">
        <is>
          <t>MONTH TOTAL</t>
        </is>
      </c>
      <c r="B60" s="114" t="n"/>
      <c r="C60" s="115">
        <f>IF(COUNT(C48:C59)=0,"",SUM(C48:C59))</f>
        <v/>
      </c>
      <c r="D60" s="116">
        <f>IF(COUNT(D48:D59)=0,"",SUM(D48:D59))</f>
        <v/>
      </c>
      <c r="E60" s="117">
        <f>IF(COUNT(E48:E59)=0,"",SUM(E48:E59))</f>
        <v/>
      </c>
      <c r="F60" s="117">
        <f>IF(COUNT(F48:F59)=0,"",SUM(F48:F59))</f>
        <v/>
      </c>
      <c r="G60" s="117">
        <f>IF(COUNT(G48:G59)=0,"",SUM(G48:G59))</f>
        <v/>
      </c>
      <c r="H60" s="117">
        <f>IF(COUNT(H48:H59)=0,"",SUM(H48:H59))</f>
        <v/>
      </c>
      <c r="I60" s="117">
        <f>IF(COUNT(I48:I59)=0,"",SUM(I48:I59))</f>
        <v/>
      </c>
      <c r="J60" s="117">
        <f>IF(COUNT(J48:J59)=0,"",SUM(J48:J59))</f>
        <v/>
      </c>
      <c r="K60" s="117">
        <f>IF(COUNT(K48:K59)=0,"",SUM(K48:K59))</f>
        <v/>
      </c>
      <c r="L60" s="118" t="n"/>
    </row>
    <row r="61" ht="24" customHeight="1">
      <c r="A61" s="103" t="inlineStr">
        <is>
          <t>MAY 2026   ·   crew earnings &amp; settlement</t>
        </is>
      </c>
    </row>
    <row r="62">
      <c r="A62" s="104">
        <f>IF(Setup!$A76="","",Setup!$A76)</f>
        <v/>
      </c>
      <c r="B62" s="105">
        <f>IF($A62="","",Setup!$B76)</f>
        <v/>
      </c>
      <c r="C62" s="106">
        <f>IF($A62="","",IF(COUNTIFS(Trips!$Z5:$Z1004,$R62,Trips!$D5:$D1004,$A62)+COUNTIFS(Trips!$Z5:$Z1004,$R62,Trips!$E5:$E1004,$A62)=0,"",COUNTIFS(Trips!$Z5:$Z1004,$R62,Trips!$D5:$D1004,$A62)+COUNTIFS(Trips!$Z5:$Z1004,$R62,Trips!$E5:$E1004,$A62)))</f>
        <v/>
      </c>
      <c r="D62" s="107">
        <f>IF($C62="","",SUMIFS(Trips!$K5:$K1004,Trips!$Z5:$Z1004,$R62,Trips!$D5:$D1004,$A62)+SUMIFS(Trips!$K5:$K1004,Trips!$Z5:$Z1004,$R62,Trips!$E5:$E1004,$A62))</f>
        <v/>
      </c>
      <c r="E62" s="108">
        <f>IF($C62="","",SUMIFS(Trips!$N5:$N1004,Trips!$Z5:$Z1004,$R62,Trips!$D5:$D1004,$A62)+SUMIFS(Trips!$O5:$O1004,Trips!$Z5:$Z1004,$R62,Trips!$E5:$E1004,$A62))</f>
        <v/>
      </c>
      <c r="F62" s="109">
        <f>IF($C62="","",SUMIFS(Trips!$P5:$P1004,Trips!$Z5:$Z1004,$R62,Trips!$D5:$D1004,$A62))</f>
        <v/>
      </c>
      <c r="G62" s="109">
        <f>IF($C62="","",SUMIFS(Trips!$Q5:$Q1004,Trips!$Z5:$Z1004,$R62,Trips!$D5:$D1004,$A62))</f>
        <v/>
      </c>
      <c r="H62" s="108">
        <f>IF(AND($C62="",$I62="",$J62=""),"",N($E62)+N($F62)+N($G62))</f>
        <v/>
      </c>
      <c r="I62" s="109">
        <f>IF($A62="","",IFERROR(1/(1/SUMIFS(Expenses!$F5:$F1004,Expenses!$L5:$L1004,"ADV",Expenses!$J5:$J1004,$R62,Expenses!$E5:$E1004,$A62)),""))</f>
        <v/>
      </c>
      <c r="J62" s="109">
        <f>IF($A62="","",IFERROR(1/(1/SUMIFS(Expenses!$F5:$F1004,Expenses!$L5:$L1004,"PAY",Expenses!$J5:$J1004,$R62,Expenses!$E5:$E1004,$A62)),""))</f>
        <v/>
      </c>
      <c r="K62" s="110">
        <f>IF($H62="","",N($H62)-N($I62)-N($J62))</f>
        <v/>
      </c>
      <c r="L62" s="111">
        <f>IF($K62="","",IF($K62&gt;0.5,"TO PAY",IF($K62&lt;-0.5,"ADVANCE / OWES","SETTLED")))</f>
        <v/>
      </c>
      <c r="R62" s="112" t="n">
        <v>46143</v>
      </c>
    </row>
    <row r="63">
      <c r="A63" s="104">
        <f>IF(Setup!$A77="","",Setup!$A77)</f>
        <v/>
      </c>
      <c r="B63" s="105">
        <f>IF($A63="","",Setup!$B77)</f>
        <v/>
      </c>
      <c r="C63" s="106">
        <f>IF($A63="","",IF(COUNTIFS(Trips!$Z5:$Z1004,$R63,Trips!$D5:$D1004,$A63)+COUNTIFS(Trips!$Z5:$Z1004,$R63,Trips!$E5:$E1004,$A63)=0,"",COUNTIFS(Trips!$Z5:$Z1004,$R63,Trips!$D5:$D1004,$A63)+COUNTIFS(Trips!$Z5:$Z1004,$R63,Trips!$E5:$E1004,$A63)))</f>
        <v/>
      </c>
      <c r="D63" s="107">
        <f>IF($C63="","",SUMIFS(Trips!$K5:$K1004,Trips!$Z5:$Z1004,$R63,Trips!$D5:$D1004,$A63)+SUMIFS(Trips!$K5:$K1004,Trips!$Z5:$Z1004,$R63,Trips!$E5:$E1004,$A63))</f>
        <v/>
      </c>
      <c r="E63" s="108">
        <f>IF($C63="","",SUMIFS(Trips!$N5:$N1004,Trips!$Z5:$Z1004,$R63,Trips!$D5:$D1004,$A63)+SUMIFS(Trips!$O5:$O1004,Trips!$Z5:$Z1004,$R63,Trips!$E5:$E1004,$A63))</f>
        <v/>
      </c>
      <c r="F63" s="109">
        <f>IF($C63="","",SUMIFS(Trips!$P5:$P1004,Trips!$Z5:$Z1004,$R63,Trips!$D5:$D1004,$A63))</f>
        <v/>
      </c>
      <c r="G63" s="109">
        <f>IF($C63="","",SUMIFS(Trips!$Q5:$Q1004,Trips!$Z5:$Z1004,$R63,Trips!$D5:$D1004,$A63))</f>
        <v/>
      </c>
      <c r="H63" s="108">
        <f>IF(AND($C63="",$I63="",$J63=""),"",N($E63)+N($F63)+N($G63))</f>
        <v/>
      </c>
      <c r="I63" s="109">
        <f>IF($A63="","",IFERROR(1/(1/SUMIFS(Expenses!$F5:$F1004,Expenses!$L5:$L1004,"ADV",Expenses!$J5:$J1004,$R63,Expenses!$E5:$E1004,$A63)),""))</f>
        <v/>
      </c>
      <c r="J63" s="109">
        <f>IF($A63="","",IFERROR(1/(1/SUMIFS(Expenses!$F5:$F1004,Expenses!$L5:$L1004,"PAY",Expenses!$J5:$J1004,$R63,Expenses!$E5:$E1004,$A63)),""))</f>
        <v/>
      </c>
      <c r="K63" s="110">
        <f>IF($H63="","",N($H63)-N($I63)-N($J63))</f>
        <v/>
      </c>
      <c r="L63" s="111">
        <f>IF($K63="","",IF($K63&gt;0.5,"TO PAY",IF($K63&lt;-0.5,"ADVANCE / OWES","SETTLED")))</f>
        <v/>
      </c>
      <c r="R63" s="112" t="n">
        <v>46143</v>
      </c>
    </row>
    <row r="64">
      <c r="A64" s="104">
        <f>IF(Setup!$A78="","",Setup!$A78)</f>
        <v/>
      </c>
      <c r="B64" s="105">
        <f>IF($A64="","",Setup!$B78)</f>
        <v/>
      </c>
      <c r="C64" s="106">
        <f>IF($A64="","",IF(COUNTIFS(Trips!$Z5:$Z1004,$R64,Trips!$D5:$D1004,$A64)+COUNTIFS(Trips!$Z5:$Z1004,$R64,Trips!$E5:$E1004,$A64)=0,"",COUNTIFS(Trips!$Z5:$Z1004,$R64,Trips!$D5:$D1004,$A64)+COUNTIFS(Trips!$Z5:$Z1004,$R64,Trips!$E5:$E1004,$A64)))</f>
        <v/>
      </c>
      <c r="D64" s="107">
        <f>IF($C64="","",SUMIFS(Trips!$K5:$K1004,Trips!$Z5:$Z1004,$R64,Trips!$D5:$D1004,$A64)+SUMIFS(Trips!$K5:$K1004,Trips!$Z5:$Z1004,$R64,Trips!$E5:$E1004,$A64))</f>
        <v/>
      </c>
      <c r="E64" s="108">
        <f>IF($C64="","",SUMIFS(Trips!$N5:$N1004,Trips!$Z5:$Z1004,$R64,Trips!$D5:$D1004,$A64)+SUMIFS(Trips!$O5:$O1004,Trips!$Z5:$Z1004,$R64,Trips!$E5:$E1004,$A64))</f>
        <v/>
      </c>
      <c r="F64" s="109">
        <f>IF($C64="","",SUMIFS(Trips!$P5:$P1004,Trips!$Z5:$Z1004,$R64,Trips!$D5:$D1004,$A64))</f>
        <v/>
      </c>
      <c r="G64" s="109">
        <f>IF($C64="","",SUMIFS(Trips!$Q5:$Q1004,Trips!$Z5:$Z1004,$R64,Trips!$D5:$D1004,$A64))</f>
        <v/>
      </c>
      <c r="H64" s="108">
        <f>IF(AND($C64="",$I64="",$J64=""),"",N($E64)+N($F64)+N($G64))</f>
        <v/>
      </c>
      <c r="I64" s="109">
        <f>IF($A64="","",IFERROR(1/(1/SUMIFS(Expenses!$F5:$F1004,Expenses!$L5:$L1004,"ADV",Expenses!$J5:$J1004,$R64,Expenses!$E5:$E1004,$A64)),""))</f>
        <v/>
      </c>
      <c r="J64" s="109">
        <f>IF($A64="","",IFERROR(1/(1/SUMIFS(Expenses!$F5:$F1004,Expenses!$L5:$L1004,"PAY",Expenses!$J5:$J1004,$R64,Expenses!$E5:$E1004,$A64)),""))</f>
        <v/>
      </c>
      <c r="K64" s="110">
        <f>IF($H64="","",N($H64)-N($I64)-N($J64))</f>
        <v/>
      </c>
      <c r="L64" s="111">
        <f>IF($K64="","",IF($K64&gt;0.5,"TO PAY",IF($K64&lt;-0.5,"ADVANCE / OWES","SETTLED")))</f>
        <v/>
      </c>
      <c r="R64" s="112" t="n">
        <v>46143</v>
      </c>
    </row>
    <row r="65">
      <c r="A65" s="104">
        <f>IF(Setup!$A79="","",Setup!$A79)</f>
        <v/>
      </c>
      <c r="B65" s="105">
        <f>IF($A65="","",Setup!$B79)</f>
        <v/>
      </c>
      <c r="C65" s="106">
        <f>IF($A65="","",IF(COUNTIFS(Trips!$Z5:$Z1004,$R65,Trips!$D5:$D1004,$A65)+COUNTIFS(Trips!$Z5:$Z1004,$R65,Trips!$E5:$E1004,$A65)=0,"",COUNTIFS(Trips!$Z5:$Z1004,$R65,Trips!$D5:$D1004,$A65)+COUNTIFS(Trips!$Z5:$Z1004,$R65,Trips!$E5:$E1004,$A65)))</f>
        <v/>
      </c>
      <c r="D65" s="107">
        <f>IF($C65="","",SUMIFS(Trips!$K5:$K1004,Trips!$Z5:$Z1004,$R65,Trips!$D5:$D1004,$A65)+SUMIFS(Trips!$K5:$K1004,Trips!$Z5:$Z1004,$R65,Trips!$E5:$E1004,$A65))</f>
        <v/>
      </c>
      <c r="E65" s="108">
        <f>IF($C65="","",SUMIFS(Trips!$N5:$N1004,Trips!$Z5:$Z1004,$R65,Trips!$D5:$D1004,$A65)+SUMIFS(Trips!$O5:$O1004,Trips!$Z5:$Z1004,$R65,Trips!$E5:$E1004,$A65))</f>
        <v/>
      </c>
      <c r="F65" s="109">
        <f>IF($C65="","",SUMIFS(Trips!$P5:$P1004,Trips!$Z5:$Z1004,$R65,Trips!$D5:$D1004,$A65))</f>
        <v/>
      </c>
      <c r="G65" s="109">
        <f>IF($C65="","",SUMIFS(Trips!$Q5:$Q1004,Trips!$Z5:$Z1004,$R65,Trips!$D5:$D1004,$A65))</f>
        <v/>
      </c>
      <c r="H65" s="108">
        <f>IF(AND($C65="",$I65="",$J65=""),"",N($E65)+N($F65)+N($G65))</f>
        <v/>
      </c>
      <c r="I65" s="109">
        <f>IF($A65="","",IFERROR(1/(1/SUMIFS(Expenses!$F5:$F1004,Expenses!$L5:$L1004,"ADV",Expenses!$J5:$J1004,$R65,Expenses!$E5:$E1004,$A65)),""))</f>
        <v/>
      </c>
      <c r="J65" s="109">
        <f>IF($A65="","",IFERROR(1/(1/SUMIFS(Expenses!$F5:$F1004,Expenses!$L5:$L1004,"PAY",Expenses!$J5:$J1004,$R65,Expenses!$E5:$E1004,$A65)),""))</f>
        <v/>
      </c>
      <c r="K65" s="110">
        <f>IF($H65="","",N($H65)-N($I65)-N($J65))</f>
        <v/>
      </c>
      <c r="L65" s="111">
        <f>IF($K65="","",IF($K65&gt;0.5,"TO PAY",IF($K65&lt;-0.5,"ADVANCE / OWES","SETTLED")))</f>
        <v/>
      </c>
      <c r="R65" s="112" t="n">
        <v>46143</v>
      </c>
    </row>
    <row r="66">
      <c r="A66" s="104">
        <f>IF(Setup!$A80="","",Setup!$A80)</f>
        <v/>
      </c>
      <c r="B66" s="105">
        <f>IF($A66="","",Setup!$B80)</f>
        <v/>
      </c>
      <c r="C66" s="106">
        <f>IF($A66="","",IF(COUNTIFS(Trips!$Z5:$Z1004,$R66,Trips!$D5:$D1004,$A66)+COUNTIFS(Trips!$Z5:$Z1004,$R66,Trips!$E5:$E1004,$A66)=0,"",COUNTIFS(Trips!$Z5:$Z1004,$R66,Trips!$D5:$D1004,$A66)+COUNTIFS(Trips!$Z5:$Z1004,$R66,Trips!$E5:$E1004,$A66)))</f>
        <v/>
      </c>
      <c r="D66" s="107">
        <f>IF($C66="","",SUMIFS(Trips!$K5:$K1004,Trips!$Z5:$Z1004,$R66,Trips!$D5:$D1004,$A66)+SUMIFS(Trips!$K5:$K1004,Trips!$Z5:$Z1004,$R66,Trips!$E5:$E1004,$A66))</f>
        <v/>
      </c>
      <c r="E66" s="108">
        <f>IF($C66="","",SUMIFS(Trips!$N5:$N1004,Trips!$Z5:$Z1004,$R66,Trips!$D5:$D1004,$A66)+SUMIFS(Trips!$O5:$O1004,Trips!$Z5:$Z1004,$R66,Trips!$E5:$E1004,$A66))</f>
        <v/>
      </c>
      <c r="F66" s="109">
        <f>IF($C66="","",SUMIFS(Trips!$P5:$P1004,Trips!$Z5:$Z1004,$R66,Trips!$D5:$D1004,$A66))</f>
        <v/>
      </c>
      <c r="G66" s="109">
        <f>IF($C66="","",SUMIFS(Trips!$Q5:$Q1004,Trips!$Z5:$Z1004,$R66,Trips!$D5:$D1004,$A66))</f>
        <v/>
      </c>
      <c r="H66" s="108">
        <f>IF(AND($C66="",$I66="",$J66=""),"",N($E66)+N($F66)+N($G66))</f>
        <v/>
      </c>
      <c r="I66" s="109">
        <f>IF($A66="","",IFERROR(1/(1/SUMIFS(Expenses!$F5:$F1004,Expenses!$L5:$L1004,"ADV",Expenses!$J5:$J1004,$R66,Expenses!$E5:$E1004,$A66)),""))</f>
        <v/>
      </c>
      <c r="J66" s="109">
        <f>IF($A66="","",IFERROR(1/(1/SUMIFS(Expenses!$F5:$F1004,Expenses!$L5:$L1004,"PAY",Expenses!$J5:$J1004,$R66,Expenses!$E5:$E1004,$A66)),""))</f>
        <v/>
      </c>
      <c r="K66" s="110">
        <f>IF($H66="","",N($H66)-N($I66)-N($J66))</f>
        <v/>
      </c>
      <c r="L66" s="111">
        <f>IF($K66="","",IF($K66&gt;0.5,"TO PAY",IF($K66&lt;-0.5,"ADVANCE / OWES","SETTLED")))</f>
        <v/>
      </c>
      <c r="R66" s="112" t="n">
        <v>46143</v>
      </c>
    </row>
    <row r="67">
      <c r="A67" s="104">
        <f>IF(Setup!$A81="","",Setup!$A81)</f>
        <v/>
      </c>
      <c r="B67" s="105">
        <f>IF($A67="","",Setup!$B81)</f>
        <v/>
      </c>
      <c r="C67" s="106">
        <f>IF($A67="","",IF(COUNTIFS(Trips!$Z5:$Z1004,$R67,Trips!$D5:$D1004,$A67)+COUNTIFS(Trips!$Z5:$Z1004,$R67,Trips!$E5:$E1004,$A67)=0,"",COUNTIFS(Trips!$Z5:$Z1004,$R67,Trips!$D5:$D1004,$A67)+COUNTIFS(Trips!$Z5:$Z1004,$R67,Trips!$E5:$E1004,$A67)))</f>
        <v/>
      </c>
      <c r="D67" s="107">
        <f>IF($C67="","",SUMIFS(Trips!$K5:$K1004,Trips!$Z5:$Z1004,$R67,Trips!$D5:$D1004,$A67)+SUMIFS(Trips!$K5:$K1004,Trips!$Z5:$Z1004,$R67,Trips!$E5:$E1004,$A67))</f>
        <v/>
      </c>
      <c r="E67" s="108">
        <f>IF($C67="","",SUMIFS(Trips!$N5:$N1004,Trips!$Z5:$Z1004,$R67,Trips!$D5:$D1004,$A67)+SUMIFS(Trips!$O5:$O1004,Trips!$Z5:$Z1004,$R67,Trips!$E5:$E1004,$A67))</f>
        <v/>
      </c>
      <c r="F67" s="109">
        <f>IF($C67="","",SUMIFS(Trips!$P5:$P1004,Trips!$Z5:$Z1004,$R67,Trips!$D5:$D1004,$A67))</f>
        <v/>
      </c>
      <c r="G67" s="109">
        <f>IF($C67="","",SUMIFS(Trips!$Q5:$Q1004,Trips!$Z5:$Z1004,$R67,Trips!$D5:$D1004,$A67))</f>
        <v/>
      </c>
      <c r="H67" s="108">
        <f>IF(AND($C67="",$I67="",$J67=""),"",N($E67)+N($F67)+N($G67))</f>
        <v/>
      </c>
      <c r="I67" s="109">
        <f>IF($A67="","",IFERROR(1/(1/SUMIFS(Expenses!$F5:$F1004,Expenses!$L5:$L1004,"ADV",Expenses!$J5:$J1004,$R67,Expenses!$E5:$E1004,$A67)),""))</f>
        <v/>
      </c>
      <c r="J67" s="109">
        <f>IF($A67="","",IFERROR(1/(1/SUMIFS(Expenses!$F5:$F1004,Expenses!$L5:$L1004,"PAY",Expenses!$J5:$J1004,$R67,Expenses!$E5:$E1004,$A67)),""))</f>
        <v/>
      </c>
      <c r="K67" s="110">
        <f>IF($H67="","",N($H67)-N($I67)-N($J67))</f>
        <v/>
      </c>
      <c r="L67" s="111">
        <f>IF($K67="","",IF($K67&gt;0.5,"TO PAY",IF($K67&lt;-0.5,"ADVANCE / OWES","SETTLED")))</f>
        <v/>
      </c>
      <c r="R67" s="112" t="n">
        <v>46143</v>
      </c>
    </row>
    <row r="68">
      <c r="A68" s="104">
        <f>IF(Setup!$A82="","",Setup!$A82)</f>
        <v/>
      </c>
      <c r="B68" s="105">
        <f>IF($A68="","",Setup!$B82)</f>
        <v/>
      </c>
      <c r="C68" s="106">
        <f>IF($A68="","",IF(COUNTIFS(Trips!$Z5:$Z1004,$R68,Trips!$D5:$D1004,$A68)+COUNTIFS(Trips!$Z5:$Z1004,$R68,Trips!$E5:$E1004,$A68)=0,"",COUNTIFS(Trips!$Z5:$Z1004,$R68,Trips!$D5:$D1004,$A68)+COUNTIFS(Trips!$Z5:$Z1004,$R68,Trips!$E5:$E1004,$A68)))</f>
        <v/>
      </c>
      <c r="D68" s="107">
        <f>IF($C68="","",SUMIFS(Trips!$K5:$K1004,Trips!$Z5:$Z1004,$R68,Trips!$D5:$D1004,$A68)+SUMIFS(Trips!$K5:$K1004,Trips!$Z5:$Z1004,$R68,Trips!$E5:$E1004,$A68))</f>
        <v/>
      </c>
      <c r="E68" s="108">
        <f>IF($C68="","",SUMIFS(Trips!$N5:$N1004,Trips!$Z5:$Z1004,$R68,Trips!$D5:$D1004,$A68)+SUMIFS(Trips!$O5:$O1004,Trips!$Z5:$Z1004,$R68,Trips!$E5:$E1004,$A68))</f>
        <v/>
      </c>
      <c r="F68" s="109">
        <f>IF($C68="","",SUMIFS(Trips!$P5:$P1004,Trips!$Z5:$Z1004,$R68,Trips!$D5:$D1004,$A68))</f>
        <v/>
      </c>
      <c r="G68" s="109">
        <f>IF($C68="","",SUMIFS(Trips!$Q5:$Q1004,Trips!$Z5:$Z1004,$R68,Trips!$D5:$D1004,$A68))</f>
        <v/>
      </c>
      <c r="H68" s="108">
        <f>IF(AND($C68="",$I68="",$J68=""),"",N($E68)+N($F68)+N($G68))</f>
        <v/>
      </c>
      <c r="I68" s="109">
        <f>IF($A68="","",IFERROR(1/(1/SUMIFS(Expenses!$F5:$F1004,Expenses!$L5:$L1004,"ADV",Expenses!$J5:$J1004,$R68,Expenses!$E5:$E1004,$A68)),""))</f>
        <v/>
      </c>
      <c r="J68" s="109">
        <f>IF($A68="","",IFERROR(1/(1/SUMIFS(Expenses!$F5:$F1004,Expenses!$L5:$L1004,"PAY",Expenses!$J5:$J1004,$R68,Expenses!$E5:$E1004,$A68)),""))</f>
        <v/>
      </c>
      <c r="K68" s="110">
        <f>IF($H68="","",N($H68)-N($I68)-N($J68))</f>
        <v/>
      </c>
      <c r="L68" s="111">
        <f>IF($K68="","",IF($K68&gt;0.5,"TO PAY",IF($K68&lt;-0.5,"ADVANCE / OWES","SETTLED")))</f>
        <v/>
      </c>
      <c r="R68" s="112" t="n">
        <v>46143</v>
      </c>
    </row>
    <row r="69">
      <c r="A69" s="104">
        <f>IF(Setup!$A83="","",Setup!$A83)</f>
        <v/>
      </c>
      <c r="B69" s="105">
        <f>IF($A69="","",Setup!$B83)</f>
        <v/>
      </c>
      <c r="C69" s="106">
        <f>IF($A69="","",IF(COUNTIFS(Trips!$Z5:$Z1004,$R69,Trips!$D5:$D1004,$A69)+COUNTIFS(Trips!$Z5:$Z1004,$R69,Trips!$E5:$E1004,$A69)=0,"",COUNTIFS(Trips!$Z5:$Z1004,$R69,Trips!$D5:$D1004,$A69)+COUNTIFS(Trips!$Z5:$Z1004,$R69,Trips!$E5:$E1004,$A69)))</f>
        <v/>
      </c>
      <c r="D69" s="107">
        <f>IF($C69="","",SUMIFS(Trips!$K5:$K1004,Trips!$Z5:$Z1004,$R69,Trips!$D5:$D1004,$A69)+SUMIFS(Trips!$K5:$K1004,Trips!$Z5:$Z1004,$R69,Trips!$E5:$E1004,$A69))</f>
        <v/>
      </c>
      <c r="E69" s="108">
        <f>IF($C69="","",SUMIFS(Trips!$N5:$N1004,Trips!$Z5:$Z1004,$R69,Trips!$D5:$D1004,$A69)+SUMIFS(Trips!$O5:$O1004,Trips!$Z5:$Z1004,$R69,Trips!$E5:$E1004,$A69))</f>
        <v/>
      </c>
      <c r="F69" s="109">
        <f>IF($C69="","",SUMIFS(Trips!$P5:$P1004,Trips!$Z5:$Z1004,$R69,Trips!$D5:$D1004,$A69))</f>
        <v/>
      </c>
      <c r="G69" s="109">
        <f>IF($C69="","",SUMIFS(Trips!$Q5:$Q1004,Trips!$Z5:$Z1004,$R69,Trips!$D5:$D1004,$A69))</f>
        <v/>
      </c>
      <c r="H69" s="108">
        <f>IF(AND($C69="",$I69="",$J69=""),"",N($E69)+N($F69)+N($G69))</f>
        <v/>
      </c>
      <c r="I69" s="109">
        <f>IF($A69="","",IFERROR(1/(1/SUMIFS(Expenses!$F5:$F1004,Expenses!$L5:$L1004,"ADV",Expenses!$J5:$J1004,$R69,Expenses!$E5:$E1004,$A69)),""))</f>
        <v/>
      </c>
      <c r="J69" s="109">
        <f>IF($A69="","",IFERROR(1/(1/SUMIFS(Expenses!$F5:$F1004,Expenses!$L5:$L1004,"PAY",Expenses!$J5:$J1004,$R69,Expenses!$E5:$E1004,$A69)),""))</f>
        <v/>
      </c>
      <c r="K69" s="110">
        <f>IF($H69="","",N($H69)-N($I69)-N($J69))</f>
        <v/>
      </c>
      <c r="L69" s="111">
        <f>IF($K69="","",IF($K69&gt;0.5,"TO PAY",IF($K69&lt;-0.5,"ADVANCE / OWES","SETTLED")))</f>
        <v/>
      </c>
      <c r="R69" s="112" t="n">
        <v>46143</v>
      </c>
    </row>
    <row r="70">
      <c r="A70" s="104">
        <f>IF(Setup!$A84="","",Setup!$A84)</f>
        <v/>
      </c>
      <c r="B70" s="105">
        <f>IF($A70="","",Setup!$B84)</f>
        <v/>
      </c>
      <c r="C70" s="106">
        <f>IF($A70="","",IF(COUNTIFS(Trips!$Z5:$Z1004,$R70,Trips!$D5:$D1004,$A70)+COUNTIFS(Trips!$Z5:$Z1004,$R70,Trips!$E5:$E1004,$A70)=0,"",COUNTIFS(Trips!$Z5:$Z1004,$R70,Trips!$D5:$D1004,$A70)+COUNTIFS(Trips!$Z5:$Z1004,$R70,Trips!$E5:$E1004,$A70)))</f>
        <v/>
      </c>
      <c r="D70" s="107">
        <f>IF($C70="","",SUMIFS(Trips!$K5:$K1004,Trips!$Z5:$Z1004,$R70,Trips!$D5:$D1004,$A70)+SUMIFS(Trips!$K5:$K1004,Trips!$Z5:$Z1004,$R70,Trips!$E5:$E1004,$A70))</f>
        <v/>
      </c>
      <c r="E70" s="108">
        <f>IF($C70="","",SUMIFS(Trips!$N5:$N1004,Trips!$Z5:$Z1004,$R70,Trips!$D5:$D1004,$A70)+SUMIFS(Trips!$O5:$O1004,Trips!$Z5:$Z1004,$R70,Trips!$E5:$E1004,$A70))</f>
        <v/>
      </c>
      <c r="F70" s="109">
        <f>IF($C70="","",SUMIFS(Trips!$P5:$P1004,Trips!$Z5:$Z1004,$R70,Trips!$D5:$D1004,$A70))</f>
        <v/>
      </c>
      <c r="G70" s="109">
        <f>IF($C70="","",SUMIFS(Trips!$Q5:$Q1004,Trips!$Z5:$Z1004,$R70,Trips!$D5:$D1004,$A70))</f>
        <v/>
      </c>
      <c r="H70" s="108">
        <f>IF(AND($C70="",$I70="",$J70=""),"",N($E70)+N($F70)+N($G70))</f>
        <v/>
      </c>
      <c r="I70" s="109">
        <f>IF($A70="","",IFERROR(1/(1/SUMIFS(Expenses!$F5:$F1004,Expenses!$L5:$L1004,"ADV",Expenses!$J5:$J1004,$R70,Expenses!$E5:$E1004,$A70)),""))</f>
        <v/>
      </c>
      <c r="J70" s="109">
        <f>IF($A70="","",IFERROR(1/(1/SUMIFS(Expenses!$F5:$F1004,Expenses!$L5:$L1004,"PAY",Expenses!$J5:$J1004,$R70,Expenses!$E5:$E1004,$A70)),""))</f>
        <v/>
      </c>
      <c r="K70" s="110">
        <f>IF($H70="","",N($H70)-N($I70)-N($J70))</f>
        <v/>
      </c>
      <c r="L70" s="111">
        <f>IF($K70="","",IF($K70&gt;0.5,"TO PAY",IF($K70&lt;-0.5,"ADVANCE / OWES","SETTLED")))</f>
        <v/>
      </c>
      <c r="R70" s="112" t="n">
        <v>46143</v>
      </c>
    </row>
    <row r="71">
      <c r="A71" s="104">
        <f>IF(Setup!$A85="","",Setup!$A85)</f>
        <v/>
      </c>
      <c r="B71" s="105">
        <f>IF($A71="","",Setup!$B85)</f>
        <v/>
      </c>
      <c r="C71" s="106">
        <f>IF($A71="","",IF(COUNTIFS(Trips!$Z5:$Z1004,$R71,Trips!$D5:$D1004,$A71)+COUNTIFS(Trips!$Z5:$Z1004,$R71,Trips!$E5:$E1004,$A71)=0,"",COUNTIFS(Trips!$Z5:$Z1004,$R71,Trips!$D5:$D1004,$A71)+COUNTIFS(Trips!$Z5:$Z1004,$R71,Trips!$E5:$E1004,$A71)))</f>
        <v/>
      </c>
      <c r="D71" s="107">
        <f>IF($C71="","",SUMIFS(Trips!$K5:$K1004,Trips!$Z5:$Z1004,$R71,Trips!$D5:$D1004,$A71)+SUMIFS(Trips!$K5:$K1004,Trips!$Z5:$Z1004,$R71,Trips!$E5:$E1004,$A71))</f>
        <v/>
      </c>
      <c r="E71" s="108">
        <f>IF($C71="","",SUMIFS(Trips!$N5:$N1004,Trips!$Z5:$Z1004,$R71,Trips!$D5:$D1004,$A71)+SUMIFS(Trips!$O5:$O1004,Trips!$Z5:$Z1004,$R71,Trips!$E5:$E1004,$A71))</f>
        <v/>
      </c>
      <c r="F71" s="109">
        <f>IF($C71="","",SUMIFS(Trips!$P5:$P1004,Trips!$Z5:$Z1004,$R71,Trips!$D5:$D1004,$A71))</f>
        <v/>
      </c>
      <c r="G71" s="109">
        <f>IF($C71="","",SUMIFS(Trips!$Q5:$Q1004,Trips!$Z5:$Z1004,$R71,Trips!$D5:$D1004,$A71))</f>
        <v/>
      </c>
      <c r="H71" s="108">
        <f>IF(AND($C71="",$I71="",$J71=""),"",N($E71)+N($F71)+N($G71))</f>
        <v/>
      </c>
      <c r="I71" s="109">
        <f>IF($A71="","",IFERROR(1/(1/SUMIFS(Expenses!$F5:$F1004,Expenses!$L5:$L1004,"ADV",Expenses!$J5:$J1004,$R71,Expenses!$E5:$E1004,$A71)),""))</f>
        <v/>
      </c>
      <c r="J71" s="109">
        <f>IF($A71="","",IFERROR(1/(1/SUMIFS(Expenses!$F5:$F1004,Expenses!$L5:$L1004,"PAY",Expenses!$J5:$J1004,$R71,Expenses!$E5:$E1004,$A71)),""))</f>
        <v/>
      </c>
      <c r="K71" s="110">
        <f>IF($H71="","",N($H71)-N($I71)-N($J71))</f>
        <v/>
      </c>
      <c r="L71" s="111">
        <f>IF($K71="","",IF($K71&gt;0.5,"TO PAY",IF($K71&lt;-0.5,"ADVANCE / OWES","SETTLED")))</f>
        <v/>
      </c>
      <c r="R71" s="112" t="n">
        <v>46143</v>
      </c>
    </row>
    <row r="72">
      <c r="A72" s="104">
        <f>IF(Setup!$A86="","",Setup!$A86)</f>
        <v/>
      </c>
      <c r="B72" s="105">
        <f>IF($A72="","",Setup!$B86)</f>
        <v/>
      </c>
      <c r="C72" s="106">
        <f>IF($A72="","",IF(COUNTIFS(Trips!$Z5:$Z1004,$R72,Trips!$D5:$D1004,$A72)+COUNTIFS(Trips!$Z5:$Z1004,$R72,Trips!$E5:$E1004,$A72)=0,"",COUNTIFS(Trips!$Z5:$Z1004,$R72,Trips!$D5:$D1004,$A72)+COUNTIFS(Trips!$Z5:$Z1004,$R72,Trips!$E5:$E1004,$A72)))</f>
        <v/>
      </c>
      <c r="D72" s="107">
        <f>IF($C72="","",SUMIFS(Trips!$K5:$K1004,Trips!$Z5:$Z1004,$R72,Trips!$D5:$D1004,$A72)+SUMIFS(Trips!$K5:$K1004,Trips!$Z5:$Z1004,$R72,Trips!$E5:$E1004,$A72))</f>
        <v/>
      </c>
      <c r="E72" s="108">
        <f>IF($C72="","",SUMIFS(Trips!$N5:$N1004,Trips!$Z5:$Z1004,$R72,Trips!$D5:$D1004,$A72)+SUMIFS(Trips!$O5:$O1004,Trips!$Z5:$Z1004,$R72,Trips!$E5:$E1004,$A72))</f>
        <v/>
      </c>
      <c r="F72" s="109">
        <f>IF($C72="","",SUMIFS(Trips!$P5:$P1004,Trips!$Z5:$Z1004,$R72,Trips!$D5:$D1004,$A72))</f>
        <v/>
      </c>
      <c r="G72" s="109">
        <f>IF($C72="","",SUMIFS(Trips!$Q5:$Q1004,Trips!$Z5:$Z1004,$R72,Trips!$D5:$D1004,$A72))</f>
        <v/>
      </c>
      <c r="H72" s="108">
        <f>IF(AND($C72="",$I72="",$J72=""),"",N($E72)+N($F72)+N($G72))</f>
        <v/>
      </c>
      <c r="I72" s="109">
        <f>IF($A72="","",IFERROR(1/(1/SUMIFS(Expenses!$F5:$F1004,Expenses!$L5:$L1004,"ADV",Expenses!$J5:$J1004,$R72,Expenses!$E5:$E1004,$A72)),""))</f>
        <v/>
      </c>
      <c r="J72" s="109">
        <f>IF($A72="","",IFERROR(1/(1/SUMIFS(Expenses!$F5:$F1004,Expenses!$L5:$L1004,"PAY",Expenses!$J5:$J1004,$R72,Expenses!$E5:$E1004,$A72)),""))</f>
        <v/>
      </c>
      <c r="K72" s="110">
        <f>IF($H72="","",N($H72)-N($I72)-N($J72))</f>
        <v/>
      </c>
      <c r="L72" s="111">
        <f>IF($K72="","",IF($K72&gt;0.5,"TO PAY",IF($K72&lt;-0.5,"ADVANCE / OWES","SETTLED")))</f>
        <v/>
      </c>
      <c r="R72" s="112" t="n">
        <v>46143</v>
      </c>
    </row>
    <row r="73">
      <c r="A73" s="104">
        <f>IF(Setup!$A87="","",Setup!$A87)</f>
        <v/>
      </c>
      <c r="B73" s="105">
        <f>IF($A73="","",Setup!$B87)</f>
        <v/>
      </c>
      <c r="C73" s="106">
        <f>IF($A73="","",IF(COUNTIFS(Trips!$Z5:$Z1004,$R73,Trips!$D5:$D1004,$A73)+COUNTIFS(Trips!$Z5:$Z1004,$R73,Trips!$E5:$E1004,$A73)=0,"",COUNTIFS(Trips!$Z5:$Z1004,$R73,Trips!$D5:$D1004,$A73)+COUNTIFS(Trips!$Z5:$Z1004,$R73,Trips!$E5:$E1004,$A73)))</f>
        <v/>
      </c>
      <c r="D73" s="107">
        <f>IF($C73="","",SUMIFS(Trips!$K5:$K1004,Trips!$Z5:$Z1004,$R73,Trips!$D5:$D1004,$A73)+SUMIFS(Trips!$K5:$K1004,Trips!$Z5:$Z1004,$R73,Trips!$E5:$E1004,$A73))</f>
        <v/>
      </c>
      <c r="E73" s="108">
        <f>IF($C73="","",SUMIFS(Trips!$N5:$N1004,Trips!$Z5:$Z1004,$R73,Trips!$D5:$D1004,$A73)+SUMIFS(Trips!$O5:$O1004,Trips!$Z5:$Z1004,$R73,Trips!$E5:$E1004,$A73))</f>
        <v/>
      </c>
      <c r="F73" s="109">
        <f>IF($C73="","",SUMIFS(Trips!$P5:$P1004,Trips!$Z5:$Z1004,$R73,Trips!$D5:$D1004,$A73))</f>
        <v/>
      </c>
      <c r="G73" s="109">
        <f>IF($C73="","",SUMIFS(Trips!$Q5:$Q1004,Trips!$Z5:$Z1004,$R73,Trips!$D5:$D1004,$A73))</f>
        <v/>
      </c>
      <c r="H73" s="108">
        <f>IF(AND($C73="",$I73="",$J73=""),"",N($E73)+N($F73)+N($G73))</f>
        <v/>
      </c>
      <c r="I73" s="109">
        <f>IF($A73="","",IFERROR(1/(1/SUMIFS(Expenses!$F5:$F1004,Expenses!$L5:$L1004,"ADV",Expenses!$J5:$J1004,$R73,Expenses!$E5:$E1004,$A73)),""))</f>
        <v/>
      </c>
      <c r="J73" s="109">
        <f>IF($A73="","",IFERROR(1/(1/SUMIFS(Expenses!$F5:$F1004,Expenses!$L5:$L1004,"PAY",Expenses!$J5:$J1004,$R73,Expenses!$E5:$E1004,$A73)),""))</f>
        <v/>
      </c>
      <c r="K73" s="110">
        <f>IF($H73="","",N($H73)-N($I73)-N($J73))</f>
        <v/>
      </c>
      <c r="L73" s="111">
        <f>IF($K73="","",IF($K73&gt;0.5,"TO PAY",IF($K73&lt;-0.5,"ADVANCE / OWES","SETTLED")))</f>
        <v/>
      </c>
      <c r="R73" s="112" t="n">
        <v>46143</v>
      </c>
    </row>
    <row r="74">
      <c r="A74" s="113" t="inlineStr">
        <is>
          <t>MONTH TOTAL</t>
        </is>
      </c>
      <c r="B74" s="114" t="n"/>
      <c r="C74" s="115">
        <f>IF(COUNT(C62:C73)=0,"",SUM(C62:C73))</f>
        <v/>
      </c>
      <c r="D74" s="116">
        <f>IF(COUNT(D62:D73)=0,"",SUM(D62:D73))</f>
        <v/>
      </c>
      <c r="E74" s="117">
        <f>IF(COUNT(E62:E73)=0,"",SUM(E62:E73))</f>
        <v/>
      </c>
      <c r="F74" s="117">
        <f>IF(COUNT(F62:F73)=0,"",SUM(F62:F73))</f>
        <v/>
      </c>
      <c r="G74" s="117">
        <f>IF(COUNT(G62:G73)=0,"",SUM(G62:G73))</f>
        <v/>
      </c>
      <c r="H74" s="117">
        <f>IF(COUNT(H62:H73)=0,"",SUM(H62:H73))</f>
        <v/>
      </c>
      <c r="I74" s="117">
        <f>IF(COUNT(I62:I73)=0,"",SUM(I62:I73))</f>
        <v/>
      </c>
      <c r="J74" s="117">
        <f>IF(COUNT(J62:J73)=0,"",SUM(J62:J73))</f>
        <v/>
      </c>
      <c r="K74" s="117">
        <f>IF(COUNT(K62:K73)=0,"",SUM(K62:K73))</f>
        <v/>
      </c>
      <c r="L74" s="118" t="n"/>
    </row>
    <row r="75" ht="24" customHeight="1">
      <c r="A75" s="103" t="inlineStr">
        <is>
          <t>JUNE 2026   ·   crew earnings &amp; settlement</t>
        </is>
      </c>
    </row>
    <row r="76">
      <c r="A76" s="104">
        <f>IF(Setup!$A76="","",Setup!$A76)</f>
        <v/>
      </c>
      <c r="B76" s="105">
        <f>IF($A76="","",Setup!$B76)</f>
        <v/>
      </c>
      <c r="C76" s="106">
        <f>IF($A76="","",IF(COUNTIFS(Trips!$Z5:$Z1004,$R76,Trips!$D5:$D1004,$A76)+COUNTIFS(Trips!$Z5:$Z1004,$R76,Trips!$E5:$E1004,$A76)=0,"",COUNTIFS(Trips!$Z5:$Z1004,$R76,Trips!$D5:$D1004,$A76)+COUNTIFS(Trips!$Z5:$Z1004,$R76,Trips!$E5:$E1004,$A76)))</f>
        <v/>
      </c>
      <c r="D76" s="107">
        <f>IF($C76="","",SUMIFS(Trips!$K5:$K1004,Trips!$Z5:$Z1004,$R76,Trips!$D5:$D1004,$A76)+SUMIFS(Trips!$K5:$K1004,Trips!$Z5:$Z1004,$R76,Trips!$E5:$E1004,$A76))</f>
        <v/>
      </c>
      <c r="E76" s="108">
        <f>IF($C76="","",SUMIFS(Trips!$N5:$N1004,Trips!$Z5:$Z1004,$R76,Trips!$D5:$D1004,$A76)+SUMIFS(Trips!$O5:$O1004,Trips!$Z5:$Z1004,$R76,Trips!$E5:$E1004,$A76))</f>
        <v/>
      </c>
      <c r="F76" s="109">
        <f>IF($C76="","",SUMIFS(Trips!$P5:$P1004,Trips!$Z5:$Z1004,$R76,Trips!$D5:$D1004,$A76))</f>
        <v/>
      </c>
      <c r="G76" s="109">
        <f>IF($C76="","",SUMIFS(Trips!$Q5:$Q1004,Trips!$Z5:$Z1004,$R76,Trips!$D5:$D1004,$A76))</f>
        <v/>
      </c>
      <c r="H76" s="108">
        <f>IF(AND($C76="",$I76="",$J76=""),"",N($E76)+N($F76)+N($G76))</f>
        <v/>
      </c>
      <c r="I76" s="109">
        <f>IF($A76="","",IFERROR(1/(1/SUMIFS(Expenses!$F5:$F1004,Expenses!$L5:$L1004,"ADV",Expenses!$J5:$J1004,$R76,Expenses!$E5:$E1004,$A76)),""))</f>
        <v/>
      </c>
      <c r="J76" s="109">
        <f>IF($A76="","",IFERROR(1/(1/SUMIFS(Expenses!$F5:$F1004,Expenses!$L5:$L1004,"PAY",Expenses!$J5:$J1004,$R76,Expenses!$E5:$E1004,$A76)),""))</f>
        <v/>
      </c>
      <c r="K76" s="110">
        <f>IF($H76="","",N($H76)-N($I76)-N($J76))</f>
        <v/>
      </c>
      <c r="L76" s="111">
        <f>IF($K76="","",IF($K76&gt;0.5,"TO PAY",IF($K76&lt;-0.5,"ADVANCE / OWES","SETTLED")))</f>
        <v/>
      </c>
      <c r="R76" s="112" t="n">
        <v>46174</v>
      </c>
    </row>
    <row r="77">
      <c r="A77" s="104">
        <f>IF(Setup!$A77="","",Setup!$A77)</f>
        <v/>
      </c>
      <c r="B77" s="105">
        <f>IF($A77="","",Setup!$B77)</f>
        <v/>
      </c>
      <c r="C77" s="106">
        <f>IF($A77="","",IF(COUNTIFS(Trips!$Z5:$Z1004,$R77,Trips!$D5:$D1004,$A77)+COUNTIFS(Trips!$Z5:$Z1004,$R77,Trips!$E5:$E1004,$A77)=0,"",COUNTIFS(Trips!$Z5:$Z1004,$R77,Trips!$D5:$D1004,$A77)+COUNTIFS(Trips!$Z5:$Z1004,$R77,Trips!$E5:$E1004,$A77)))</f>
        <v/>
      </c>
      <c r="D77" s="107">
        <f>IF($C77="","",SUMIFS(Trips!$K5:$K1004,Trips!$Z5:$Z1004,$R77,Trips!$D5:$D1004,$A77)+SUMIFS(Trips!$K5:$K1004,Trips!$Z5:$Z1004,$R77,Trips!$E5:$E1004,$A77))</f>
        <v/>
      </c>
      <c r="E77" s="108">
        <f>IF($C77="","",SUMIFS(Trips!$N5:$N1004,Trips!$Z5:$Z1004,$R77,Trips!$D5:$D1004,$A77)+SUMIFS(Trips!$O5:$O1004,Trips!$Z5:$Z1004,$R77,Trips!$E5:$E1004,$A77))</f>
        <v/>
      </c>
      <c r="F77" s="109">
        <f>IF($C77="","",SUMIFS(Trips!$P5:$P1004,Trips!$Z5:$Z1004,$R77,Trips!$D5:$D1004,$A77))</f>
        <v/>
      </c>
      <c r="G77" s="109">
        <f>IF($C77="","",SUMIFS(Trips!$Q5:$Q1004,Trips!$Z5:$Z1004,$R77,Trips!$D5:$D1004,$A77))</f>
        <v/>
      </c>
      <c r="H77" s="108">
        <f>IF(AND($C77="",$I77="",$J77=""),"",N($E77)+N($F77)+N($G77))</f>
        <v/>
      </c>
      <c r="I77" s="109">
        <f>IF($A77="","",IFERROR(1/(1/SUMIFS(Expenses!$F5:$F1004,Expenses!$L5:$L1004,"ADV",Expenses!$J5:$J1004,$R77,Expenses!$E5:$E1004,$A77)),""))</f>
        <v/>
      </c>
      <c r="J77" s="109">
        <f>IF($A77="","",IFERROR(1/(1/SUMIFS(Expenses!$F5:$F1004,Expenses!$L5:$L1004,"PAY",Expenses!$J5:$J1004,$R77,Expenses!$E5:$E1004,$A77)),""))</f>
        <v/>
      </c>
      <c r="K77" s="110">
        <f>IF($H77="","",N($H77)-N($I77)-N($J77))</f>
        <v/>
      </c>
      <c r="L77" s="111">
        <f>IF($K77="","",IF($K77&gt;0.5,"TO PAY",IF($K77&lt;-0.5,"ADVANCE / OWES","SETTLED")))</f>
        <v/>
      </c>
      <c r="R77" s="112" t="n">
        <v>46174</v>
      </c>
    </row>
    <row r="78">
      <c r="A78" s="104">
        <f>IF(Setup!$A78="","",Setup!$A78)</f>
        <v/>
      </c>
      <c r="B78" s="105">
        <f>IF($A78="","",Setup!$B78)</f>
        <v/>
      </c>
      <c r="C78" s="106">
        <f>IF($A78="","",IF(COUNTIFS(Trips!$Z5:$Z1004,$R78,Trips!$D5:$D1004,$A78)+COUNTIFS(Trips!$Z5:$Z1004,$R78,Trips!$E5:$E1004,$A78)=0,"",COUNTIFS(Trips!$Z5:$Z1004,$R78,Trips!$D5:$D1004,$A78)+COUNTIFS(Trips!$Z5:$Z1004,$R78,Trips!$E5:$E1004,$A78)))</f>
        <v/>
      </c>
      <c r="D78" s="107">
        <f>IF($C78="","",SUMIFS(Trips!$K5:$K1004,Trips!$Z5:$Z1004,$R78,Trips!$D5:$D1004,$A78)+SUMIFS(Trips!$K5:$K1004,Trips!$Z5:$Z1004,$R78,Trips!$E5:$E1004,$A78))</f>
        <v/>
      </c>
      <c r="E78" s="108">
        <f>IF($C78="","",SUMIFS(Trips!$N5:$N1004,Trips!$Z5:$Z1004,$R78,Trips!$D5:$D1004,$A78)+SUMIFS(Trips!$O5:$O1004,Trips!$Z5:$Z1004,$R78,Trips!$E5:$E1004,$A78))</f>
        <v/>
      </c>
      <c r="F78" s="109">
        <f>IF($C78="","",SUMIFS(Trips!$P5:$P1004,Trips!$Z5:$Z1004,$R78,Trips!$D5:$D1004,$A78))</f>
        <v/>
      </c>
      <c r="G78" s="109">
        <f>IF($C78="","",SUMIFS(Trips!$Q5:$Q1004,Trips!$Z5:$Z1004,$R78,Trips!$D5:$D1004,$A78))</f>
        <v/>
      </c>
      <c r="H78" s="108">
        <f>IF(AND($C78="",$I78="",$J78=""),"",N($E78)+N($F78)+N($G78))</f>
        <v/>
      </c>
      <c r="I78" s="109">
        <f>IF($A78="","",IFERROR(1/(1/SUMIFS(Expenses!$F5:$F1004,Expenses!$L5:$L1004,"ADV",Expenses!$J5:$J1004,$R78,Expenses!$E5:$E1004,$A78)),""))</f>
        <v/>
      </c>
      <c r="J78" s="109">
        <f>IF($A78="","",IFERROR(1/(1/SUMIFS(Expenses!$F5:$F1004,Expenses!$L5:$L1004,"PAY",Expenses!$J5:$J1004,$R78,Expenses!$E5:$E1004,$A78)),""))</f>
        <v/>
      </c>
      <c r="K78" s="110">
        <f>IF($H78="","",N($H78)-N($I78)-N($J78))</f>
        <v/>
      </c>
      <c r="L78" s="111">
        <f>IF($K78="","",IF($K78&gt;0.5,"TO PAY",IF($K78&lt;-0.5,"ADVANCE / OWES","SETTLED")))</f>
        <v/>
      </c>
      <c r="R78" s="112" t="n">
        <v>46174</v>
      </c>
    </row>
    <row r="79">
      <c r="A79" s="104">
        <f>IF(Setup!$A79="","",Setup!$A79)</f>
        <v/>
      </c>
      <c r="B79" s="105">
        <f>IF($A79="","",Setup!$B79)</f>
        <v/>
      </c>
      <c r="C79" s="106">
        <f>IF($A79="","",IF(COUNTIFS(Trips!$Z5:$Z1004,$R79,Trips!$D5:$D1004,$A79)+COUNTIFS(Trips!$Z5:$Z1004,$R79,Trips!$E5:$E1004,$A79)=0,"",COUNTIFS(Trips!$Z5:$Z1004,$R79,Trips!$D5:$D1004,$A79)+COUNTIFS(Trips!$Z5:$Z1004,$R79,Trips!$E5:$E1004,$A79)))</f>
        <v/>
      </c>
      <c r="D79" s="107">
        <f>IF($C79="","",SUMIFS(Trips!$K5:$K1004,Trips!$Z5:$Z1004,$R79,Trips!$D5:$D1004,$A79)+SUMIFS(Trips!$K5:$K1004,Trips!$Z5:$Z1004,$R79,Trips!$E5:$E1004,$A79))</f>
        <v/>
      </c>
      <c r="E79" s="108">
        <f>IF($C79="","",SUMIFS(Trips!$N5:$N1004,Trips!$Z5:$Z1004,$R79,Trips!$D5:$D1004,$A79)+SUMIFS(Trips!$O5:$O1004,Trips!$Z5:$Z1004,$R79,Trips!$E5:$E1004,$A79))</f>
        <v/>
      </c>
      <c r="F79" s="109">
        <f>IF($C79="","",SUMIFS(Trips!$P5:$P1004,Trips!$Z5:$Z1004,$R79,Trips!$D5:$D1004,$A79))</f>
        <v/>
      </c>
      <c r="G79" s="109">
        <f>IF($C79="","",SUMIFS(Trips!$Q5:$Q1004,Trips!$Z5:$Z1004,$R79,Trips!$D5:$D1004,$A79))</f>
        <v/>
      </c>
      <c r="H79" s="108">
        <f>IF(AND($C79="",$I79="",$J79=""),"",N($E79)+N($F79)+N($G79))</f>
        <v/>
      </c>
      <c r="I79" s="109">
        <f>IF($A79="","",IFERROR(1/(1/SUMIFS(Expenses!$F5:$F1004,Expenses!$L5:$L1004,"ADV",Expenses!$J5:$J1004,$R79,Expenses!$E5:$E1004,$A79)),""))</f>
        <v/>
      </c>
      <c r="J79" s="109">
        <f>IF($A79="","",IFERROR(1/(1/SUMIFS(Expenses!$F5:$F1004,Expenses!$L5:$L1004,"PAY",Expenses!$J5:$J1004,$R79,Expenses!$E5:$E1004,$A79)),""))</f>
        <v/>
      </c>
      <c r="K79" s="110">
        <f>IF($H79="","",N($H79)-N($I79)-N($J79))</f>
        <v/>
      </c>
      <c r="L79" s="111">
        <f>IF($K79="","",IF($K79&gt;0.5,"TO PAY",IF($K79&lt;-0.5,"ADVANCE / OWES","SETTLED")))</f>
        <v/>
      </c>
      <c r="R79" s="112" t="n">
        <v>46174</v>
      </c>
    </row>
    <row r="80">
      <c r="A80" s="104">
        <f>IF(Setup!$A80="","",Setup!$A80)</f>
        <v/>
      </c>
      <c r="B80" s="105">
        <f>IF($A80="","",Setup!$B80)</f>
        <v/>
      </c>
      <c r="C80" s="106">
        <f>IF($A80="","",IF(COUNTIFS(Trips!$Z5:$Z1004,$R80,Trips!$D5:$D1004,$A80)+COUNTIFS(Trips!$Z5:$Z1004,$R80,Trips!$E5:$E1004,$A80)=0,"",COUNTIFS(Trips!$Z5:$Z1004,$R80,Trips!$D5:$D1004,$A80)+COUNTIFS(Trips!$Z5:$Z1004,$R80,Trips!$E5:$E1004,$A80)))</f>
        <v/>
      </c>
      <c r="D80" s="107">
        <f>IF($C80="","",SUMIFS(Trips!$K5:$K1004,Trips!$Z5:$Z1004,$R80,Trips!$D5:$D1004,$A80)+SUMIFS(Trips!$K5:$K1004,Trips!$Z5:$Z1004,$R80,Trips!$E5:$E1004,$A80))</f>
        <v/>
      </c>
      <c r="E80" s="108">
        <f>IF($C80="","",SUMIFS(Trips!$N5:$N1004,Trips!$Z5:$Z1004,$R80,Trips!$D5:$D1004,$A80)+SUMIFS(Trips!$O5:$O1004,Trips!$Z5:$Z1004,$R80,Trips!$E5:$E1004,$A80))</f>
        <v/>
      </c>
      <c r="F80" s="109">
        <f>IF($C80="","",SUMIFS(Trips!$P5:$P1004,Trips!$Z5:$Z1004,$R80,Trips!$D5:$D1004,$A80))</f>
        <v/>
      </c>
      <c r="G80" s="109">
        <f>IF($C80="","",SUMIFS(Trips!$Q5:$Q1004,Trips!$Z5:$Z1004,$R80,Trips!$D5:$D1004,$A80))</f>
        <v/>
      </c>
      <c r="H80" s="108">
        <f>IF(AND($C80="",$I80="",$J80=""),"",N($E80)+N($F80)+N($G80))</f>
        <v/>
      </c>
      <c r="I80" s="109">
        <f>IF($A80="","",IFERROR(1/(1/SUMIFS(Expenses!$F5:$F1004,Expenses!$L5:$L1004,"ADV",Expenses!$J5:$J1004,$R80,Expenses!$E5:$E1004,$A80)),""))</f>
        <v/>
      </c>
      <c r="J80" s="109">
        <f>IF($A80="","",IFERROR(1/(1/SUMIFS(Expenses!$F5:$F1004,Expenses!$L5:$L1004,"PAY",Expenses!$J5:$J1004,$R80,Expenses!$E5:$E1004,$A80)),""))</f>
        <v/>
      </c>
      <c r="K80" s="110">
        <f>IF($H80="","",N($H80)-N($I80)-N($J80))</f>
        <v/>
      </c>
      <c r="L80" s="111">
        <f>IF($K80="","",IF($K80&gt;0.5,"TO PAY",IF($K80&lt;-0.5,"ADVANCE / OWES","SETTLED")))</f>
        <v/>
      </c>
      <c r="R80" s="112" t="n">
        <v>46174</v>
      </c>
    </row>
    <row r="81">
      <c r="A81" s="104">
        <f>IF(Setup!$A81="","",Setup!$A81)</f>
        <v/>
      </c>
      <c r="B81" s="105">
        <f>IF($A81="","",Setup!$B81)</f>
        <v/>
      </c>
      <c r="C81" s="106">
        <f>IF($A81="","",IF(COUNTIFS(Trips!$Z5:$Z1004,$R81,Trips!$D5:$D1004,$A81)+COUNTIFS(Trips!$Z5:$Z1004,$R81,Trips!$E5:$E1004,$A81)=0,"",COUNTIFS(Trips!$Z5:$Z1004,$R81,Trips!$D5:$D1004,$A81)+COUNTIFS(Trips!$Z5:$Z1004,$R81,Trips!$E5:$E1004,$A81)))</f>
        <v/>
      </c>
      <c r="D81" s="107">
        <f>IF($C81="","",SUMIFS(Trips!$K5:$K1004,Trips!$Z5:$Z1004,$R81,Trips!$D5:$D1004,$A81)+SUMIFS(Trips!$K5:$K1004,Trips!$Z5:$Z1004,$R81,Trips!$E5:$E1004,$A81))</f>
        <v/>
      </c>
      <c r="E81" s="108">
        <f>IF($C81="","",SUMIFS(Trips!$N5:$N1004,Trips!$Z5:$Z1004,$R81,Trips!$D5:$D1004,$A81)+SUMIFS(Trips!$O5:$O1004,Trips!$Z5:$Z1004,$R81,Trips!$E5:$E1004,$A81))</f>
        <v/>
      </c>
      <c r="F81" s="109">
        <f>IF($C81="","",SUMIFS(Trips!$P5:$P1004,Trips!$Z5:$Z1004,$R81,Trips!$D5:$D1004,$A81))</f>
        <v/>
      </c>
      <c r="G81" s="109">
        <f>IF($C81="","",SUMIFS(Trips!$Q5:$Q1004,Trips!$Z5:$Z1004,$R81,Trips!$D5:$D1004,$A81))</f>
        <v/>
      </c>
      <c r="H81" s="108">
        <f>IF(AND($C81="",$I81="",$J81=""),"",N($E81)+N($F81)+N($G81))</f>
        <v/>
      </c>
      <c r="I81" s="109">
        <f>IF($A81="","",IFERROR(1/(1/SUMIFS(Expenses!$F5:$F1004,Expenses!$L5:$L1004,"ADV",Expenses!$J5:$J1004,$R81,Expenses!$E5:$E1004,$A81)),""))</f>
        <v/>
      </c>
      <c r="J81" s="109">
        <f>IF($A81="","",IFERROR(1/(1/SUMIFS(Expenses!$F5:$F1004,Expenses!$L5:$L1004,"PAY",Expenses!$J5:$J1004,$R81,Expenses!$E5:$E1004,$A81)),""))</f>
        <v/>
      </c>
      <c r="K81" s="110">
        <f>IF($H81="","",N($H81)-N($I81)-N($J81))</f>
        <v/>
      </c>
      <c r="L81" s="111">
        <f>IF($K81="","",IF($K81&gt;0.5,"TO PAY",IF($K81&lt;-0.5,"ADVANCE / OWES","SETTLED")))</f>
        <v/>
      </c>
      <c r="R81" s="112" t="n">
        <v>46174</v>
      </c>
    </row>
    <row r="82">
      <c r="A82" s="104">
        <f>IF(Setup!$A82="","",Setup!$A82)</f>
        <v/>
      </c>
      <c r="B82" s="105">
        <f>IF($A82="","",Setup!$B82)</f>
        <v/>
      </c>
      <c r="C82" s="106">
        <f>IF($A82="","",IF(COUNTIFS(Trips!$Z5:$Z1004,$R82,Trips!$D5:$D1004,$A82)+COUNTIFS(Trips!$Z5:$Z1004,$R82,Trips!$E5:$E1004,$A82)=0,"",COUNTIFS(Trips!$Z5:$Z1004,$R82,Trips!$D5:$D1004,$A82)+COUNTIFS(Trips!$Z5:$Z1004,$R82,Trips!$E5:$E1004,$A82)))</f>
        <v/>
      </c>
      <c r="D82" s="107">
        <f>IF($C82="","",SUMIFS(Trips!$K5:$K1004,Trips!$Z5:$Z1004,$R82,Trips!$D5:$D1004,$A82)+SUMIFS(Trips!$K5:$K1004,Trips!$Z5:$Z1004,$R82,Trips!$E5:$E1004,$A82))</f>
        <v/>
      </c>
      <c r="E82" s="108">
        <f>IF($C82="","",SUMIFS(Trips!$N5:$N1004,Trips!$Z5:$Z1004,$R82,Trips!$D5:$D1004,$A82)+SUMIFS(Trips!$O5:$O1004,Trips!$Z5:$Z1004,$R82,Trips!$E5:$E1004,$A82))</f>
        <v/>
      </c>
      <c r="F82" s="109">
        <f>IF($C82="","",SUMIFS(Trips!$P5:$P1004,Trips!$Z5:$Z1004,$R82,Trips!$D5:$D1004,$A82))</f>
        <v/>
      </c>
      <c r="G82" s="109">
        <f>IF($C82="","",SUMIFS(Trips!$Q5:$Q1004,Trips!$Z5:$Z1004,$R82,Trips!$D5:$D1004,$A82))</f>
        <v/>
      </c>
      <c r="H82" s="108">
        <f>IF(AND($C82="",$I82="",$J82=""),"",N($E82)+N($F82)+N($G82))</f>
        <v/>
      </c>
      <c r="I82" s="109">
        <f>IF($A82="","",IFERROR(1/(1/SUMIFS(Expenses!$F5:$F1004,Expenses!$L5:$L1004,"ADV",Expenses!$J5:$J1004,$R82,Expenses!$E5:$E1004,$A82)),""))</f>
        <v/>
      </c>
      <c r="J82" s="109">
        <f>IF($A82="","",IFERROR(1/(1/SUMIFS(Expenses!$F5:$F1004,Expenses!$L5:$L1004,"PAY",Expenses!$J5:$J1004,$R82,Expenses!$E5:$E1004,$A82)),""))</f>
        <v/>
      </c>
      <c r="K82" s="110">
        <f>IF($H82="","",N($H82)-N($I82)-N($J82))</f>
        <v/>
      </c>
      <c r="L82" s="111">
        <f>IF($K82="","",IF($K82&gt;0.5,"TO PAY",IF($K82&lt;-0.5,"ADVANCE / OWES","SETTLED")))</f>
        <v/>
      </c>
      <c r="R82" s="112" t="n">
        <v>46174</v>
      </c>
    </row>
    <row r="83">
      <c r="A83" s="104">
        <f>IF(Setup!$A83="","",Setup!$A83)</f>
        <v/>
      </c>
      <c r="B83" s="105">
        <f>IF($A83="","",Setup!$B83)</f>
        <v/>
      </c>
      <c r="C83" s="106">
        <f>IF($A83="","",IF(COUNTIFS(Trips!$Z5:$Z1004,$R83,Trips!$D5:$D1004,$A83)+COUNTIFS(Trips!$Z5:$Z1004,$R83,Trips!$E5:$E1004,$A83)=0,"",COUNTIFS(Trips!$Z5:$Z1004,$R83,Trips!$D5:$D1004,$A83)+COUNTIFS(Trips!$Z5:$Z1004,$R83,Trips!$E5:$E1004,$A83)))</f>
        <v/>
      </c>
      <c r="D83" s="107">
        <f>IF($C83="","",SUMIFS(Trips!$K5:$K1004,Trips!$Z5:$Z1004,$R83,Trips!$D5:$D1004,$A83)+SUMIFS(Trips!$K5:$K1004,Trips!$Z5:$Z1004,$R83,Trips!$E5:$E1004,$A83))</f>
        <v/>
      </c>
      <c r="E83" s="108">
        <f>IF($C83="","",SUMIFS(Trips!$N5:$N1004,Trips!$Z5:$Z1004,$R83,Trips!$D5:$D1004,$A83)+SUMIFS(Trips!$O5:$O1004,Trips!$Z5:$Z1004,$R83,Trips!$E5:$E1004,$A83))</f>
        <v/>
      </c>
      <c r="F83" s="109">
        <f>IF($C83="","",SUMIFS(Trips!$P5:$P1004,Trips!$Z5:$Z1004,$R83,Trips!$D5:$D1004,$A83))</f>
        <v/>
      </c>
      <c r="G83" s="109">
        <f>IF($C83="","",SUMIFS(Trips!$Q5:$Q1004,Trips!$Z5:$Z1004,$R83,Trips!$D5:$D1004,$A83))</f>
        <v/>
      </c>
      <c r="H83" s="108">
        <f>IF(AND($C83="",$I83="",$J83=""),"",N($E83)+N($F83)+N($G83))</f>
        <v/>
      </c>
      <c r="I83" s="109">
        <f>IF($A83="","",IFERROR(1/(1/SUMIFS(Expenses!$F5:$F1004,Expenses!$L5:$L1004,"ADV",Expenses!$J5:$J1004,$R83,Expenses!$E5:$E1004,$A83)),""))</f>
        <v/>
      </c>
      <c r="J83" s="109">
        <f>IF($A83="","",IFERROR(1/(1/SUMIFS(Expenses!$F5:$F1004,Expenses!$L5:$L1004,"PAY",Expenses!$J5:$J1004,$R83,Expenses!$E5:$E1004,$A83)),""))</f>
        <v/>
      </c>
      <c r="K83" s="110">
        <f>IF($H83="","",N($H83)-N($I83)-N($J83))</f>
        <v/>
      </c>
      <c r="L83" s="111">
        <f>IF($K83="","",IF($K83&gt;0.5,"TO PAY",IF($K83&lt;-0.5,"ADVANCE / OWES","SETTLED")))</f>
        <v/>
      </c>
      <c r="R83" s="112" t="n">
        <v>46174</v>
      </c>
    </row>
    <row r="84">
      <c r="A84" s="104">
        <f>IF(Setup!$A84="","",Setup!$A84)</f>
        <v/>
      </c>
      <c r="B84" s="105">
        <f>IF($A84="","",Setup!$B84)</f>
        <v/>
      </c>
      <c r="C84" s="106">
        <f>IF($A84="","",IF(COUNTIFS(Trips!$Z5:$Z1004,$R84,Trips!$D5:$D1004,$A84)+COUNTIFS(Trips!$Z5:$Z1004,$R84,Trips!$E5:$E1004,$A84)=0,"",COUNTIFS(Trips!$Z5:$Z1004,$R84,Trips!$D5:$D1004,$A84)+COUNTIFS(Trips!$Z5:$Z1004,$R84,Trips!$E5:$E1004,$A84)))</f>
        <v/>
      </c>
      <c r="D84" s="107">
        <f>IF($C84="","",SUMIFS(Trips!$K5:$K1004,Trips!$Z5:$Z1004,$R84,Trips!$D5:$D1004,$A84)+SUMIFS(Trips!$K5:$K1004,Trips!$Z5:$Z1004,$R84,Trips!$E5:$E1004,$A84))</f>
        <v/>
      </c>
      <c r="E84" s="108">
        <f>IF($C84="","",SUMIFS(Trips!$N5:$N1004,Trips!$Z5:$Z1004,$R84,Trips!$D5:$D1004,$A84)+SUMIFS(Trips!$O5:$O1004,Trips!$Z5:$Z1004,$R84,Trips!$E5:$E1004,$A84))</f>
        <v/>
      </c>
      <c r="F84" s="109">
        <f>IF($C84="","",SUMIFS(Trips!$P5:$P1004,Trips!$Z5:$Z1004,$R84,Trips!$D5:$D1004,$A84))</f>
        <v/>
      </c>
      <c r="G84" s="109">
        <f>IF($C84="","",SUMIFS(Trips!$Q5:$Q1004,Trips!$Z5:$Z1004,$R84,Trips!$D5:$D1004,$A84))</f>
        <v/>
      </c>
      <c r="H84" s="108">
        <f>IF(AND($C84="",$I84="",$J84=""),"",N($E84)+N($F84)+N($G84))</f>
        <v/>
      </c>
      <c r="I84" s="109">
        <f>IF($A84="","",IFERROR(1/(1/SUMIFS(Expenses!$F5:$F1004,Expenses!$L5:$L1004,"ADV",Expenses!$J5:$J1004,$R84,Expenses!$E5:$E1004,$A84)),""))</f>
        <v/>
      </c>
      <c r="J84" s="109">
        <f>IF($A84="","",IFERROR(1/(1/SUMIFS(Expenses!$F5:$F1004,Expenses!$L5:$L1004,"PAY",Expenses!$J5:$J1004,$R84,Expenses!$E5:$E1004,$A84)),""))</f>
        <v/>
      </c>
      <c r="K84" s="110">
        <f>IF($H84="","",N($H84)-N($I84)-N($J84))</f>
        <v/>
      </c>
      <c r="L84" s="111">
        <f>IF($K84="","",IF($K84&gt;0.5,"TO PAY",IF($K84&lt;-0.5,"ADVANCE / OWES","SETTLED")))</f>
        <v/>
      </c>
      <c r="R84" s="112" t="n">
        <v>46174</v>
      </c>
    </row>
    <row r="85">
      <c r="A85" s="104">
        <f>IF(Setup!$A85="","",Setup!$A85)</f>
        <v/>
      </c>
      <c r="B85" s="105">
        <f>IF($A85="","",Setup!$B85)</f>
        <v/>
      </c>
      <c r="C85" s="106">
        <f>IF($A85="","",IF(COUNTIFS(Trips!$Z5:$Z1004,$R85,Trips!$D5:$D1004,$A85)+COUNTIFS(Trips!$Z5:$Z1004,$R85,Trips!$E5:$E1004,$A85)=0,"",COUNTIFS(Trips!$Z5:$Z1004,$R85,Trips!$D5:$D1004,$A85)+COUNTIFS(Trips!$Z5:$Z1004,$R85,Trips!$E5:$E1004,$A85)))</f>
        <v/>
      </c>
      <c r="D85" s="107">
        <f>IF($C85="","",SUMIFS(Trips!$K5:$K1004,Trips!$Z5:$Z1004,$R85,Trips!$D5:$D1004,$A85)+SUMIFS(Trips!$K5:$K1004,Trips!$Z5:$Z1004,$R85,Trips!$E5:$E1004,$A85))</f>
        <v/>
      </c>
      <c r="E85" s="108">
        <f>IF($C85="","",SUMIFS(Trips!$N5:$N1004,Trips!$Z5:$Z1004,$R85,Trips!$D5:$D1004,$A85)+SUMIFS(Trips!$O5:$O1004,Trips!$Z5:$Z1004,$R85,Trips!$E5:$E1004,$A85))</f>
        <v/>
      </c>
      <c r="F85" s="109">
        <f>IF($C85="","",SUMIFS(Trips!$P5:$P1004,Trips!$Z5:$Z1004,$R85,Trips!$D5:$D1004,$A85))</f>
        <v/>
      </c>
      <c r="G85" s="109">
        <f>IF($C85="","",SUMIFS(Trips!$Q5:$Q1004,Trips!$Z5:$Z1004,$R85,Trips!$D5:$D1004,$A85))</f>
        <v/>
      </c>
      <c r="H85" s="108">
        <f>IF(AND($C85="",$I85="",$J85=""),"",N($E85)+N($F85)+N($G85))</f>
        <v/>
      </c>
      <c r="I85" s="109">
        <f>IF($A85="","",IFERROR(1/(1/SUMIFS(Expenses!$F5:$F1004,Expenses!$L5:$L1004,"ADV",Expenses!$J5:$J1004,$R85,Expenses!$E5:$E1004,$A85)),""))</f>
        <v/>
      </c>
      <c r="J85" s="109">
        <f>IF($A85="","",IFERROR(1/(1/SUMIFS(Expenses!$F5:$F1004,Expenses!$L5:$L1004,"PAY",Expenses!$J5:$J1004,$R85,Expenses!$E5:$E1004,$A85)),""))</f>
        <v/>
      </c>
      <c r="K85" s="110">
        <f>IF($H85="","",N($H85)-N($I85)-N($J85))</f>
        <v/>
      </c>
      <c r="L85" s="111">
        <f>IF($K85="","",IF($K85&gt;0.5,"TO PAY",IF($K85&lt;-0.5,"ADVANCE / OWES","SETTLED")))</f>
        <v/>
      </c>
      <c r="R85" s="112" t="n">
        <v>46174</v>
      </c>
    </row>
    <row r="86">
      <c r="A86" s="104">
        <f>IF(Setup!$A86="","",Setup!$A86)</f>
        <v/>
      </c>
      <c r="B86" s="105">
        <f>IF($A86="","",Setup!$B86)</f>
        <v/>
      </c>
      <c r="C86" s="106">
        <f>IF($A86="","",IF(COUNTIFS(Trips!$Z5:$Z1004,$R86,Trips!$D5:$D1004,$A86)+COUNTIFS(Trips!$Z5:$Z1004,$R86,Trips!$E5:$E1004,$A86)=0,"",COUNTIFS(Trips!$Z5:$Z1004,$R86,Trips!$D5:$D1004,$A86)+COUNTIFS(Trips!$Z5:$Z1004,$R86,Trips!$E5:$E1004,$A86)))</f>
        <v/>
      </c>
      <c r="D86" s="107">
        <f>IF($C86="","",SUMIFS(Trips!$K5:$K1004,Trips!$Z5:$Z1004,$R86,Trips!$D5:$D1004,$A86)+SUMIFS(Trips!$K5:$K1004,Trips!$Z5:$Z1004,$R86,Trips!$E5:$E1004,$A86))</f>
        <v/>
      </c>
      <c r="E86" s="108">
        <f>IF($C86="","",SUMIFS(Trips!$N5:$N1004,Trips!$Z5:$Z1004,$R86,Trips!$D5:$D1004,$A86)+SUMIFS(Trips!$O5:$O1004,Trips!$Z5:$Z1004,$R86,Trips!$E5:$E1004,$A86))</f>
        <v/>
      </c>
      <c r="F86" s="109">
        <f>IF($C86="","",SUMIFS(Trips!$P5:$P1004,Trips!$Z5:$Z1004,$R86,Trips!$D5:$D1004,$A86))</f>
        <v/>
      </c>
      <c r="G86" s="109">
        <f>IF($C86="","",SUMIFS(Trips!$Q5:$Q1004,Trips!$Z5:$Z1004,$R86,Trips!$D5:$D1004,$A86))</f>
        <v/>
      </c>
      <c r="H86" s="108">
        <f>IF(AND($C86="",$I86="",$J86=""),"",N($E86)+N($F86)+N($G86))</f>
        <v/>
      </c>
      <c r="I86" s="109">
        <f>IF($A86="","",IFERROR(1/(1/SUMIFS(Expenses!$F5:$F1004,Expenses!$L5:$L1004,"ADV",Expenses!$J5:$J1004,$R86,Expenses!$E5:$E1004,$A86)),""))</f>
        <v/>
      </c>
      <c r="J86" s="109">
        <f>IF($A86="","",IFERROR(1/(1/SUMIFS(Expenses!$F5:$F1004,Expenses!$L5:$L1004,"PAY",Expenses!$J5:$J1004,$R86,Expenses!$E5:$E1004,$A86)),""))</f>
        <v/>
      </c>
      <c r="K86" s="110">
        <f>IF($H86="","",N($H86)-N($I86)-N($J86))</f>
        <v/>
      </c>
      <c r="L86" s="111">
        <f>IF($K86="","",IF($K86&gt;0.5,"TO PAY",IF($K86&lt;-0.5,"ADVANCE / OWES","SETTLED")))</f>
        <v/>
      </c>
      <c r="R86" s="112" t="n">
        <v>46174</v>
      </c>
    </row>
    <row r="87">
      <c r="A87" s="104">
        <f>IF(Setup!$A87="","",Setup!$A87)</f>
        <v/>
      </c>
      <c r="B87" s="105">
        <f>IF($A87="","",Setup!$B87)</f>
        <v/>
      </c>
      <c r="C87" s="106">
        <f>IF($A87="","",IF(COUNTIFS(Trips!$Z5:$Z1004,$R87,Trips!$D5:$D1004,$A87)+COUNTIFS(Trips!$Z5:$Z1004,$R87,Trips!$E5:$E1004,$A87)=0,"",COUNTIFS(Trips!$Z5:$Z1004,$R87,Trips!$D5:$D1004,$A87)+COUNTIFS(Trips!$Z5:$Z1004,$R87,Trips!$E5:$E1004,$A87)))</f>
        <v/>
      </c>
      <c r="D87" s="107">
        <f>IF($C87="","",SUMIFS(Trips!$K5:$K1004,Trips!$Z5:$Z1004,$R87,Trips!$D5:$D1004,$A87)+SUMIFS(Trips!$K5:$K1004,Trips!$Z5:$Z1004,$R87,Trips!$E5:$E1004,$A87))</f>
        <v/>
      </c>
      <c r="E87" s="108">
        <f>IF($C87="","",SUMIFS(Trips!$N5:$N1004,Trips!$Z5:$Z1004,$R87,Trips!$D5:$D1004,$A87)+SUMIFS(Trips!$O5:$O1004,Trips!$Z5:$Z1004,$R87,Trips!$E5:$E1004,$A87))</f>
        <v/>
      </c>
      <c r="F87" s="109">
        <f>IF($C87="","",SUMIFS(Trips!$P5:$P1004,Trips!$Z5:$Z1004,$R87,Trips!$D5:$D1004,$A87))</f>
        <v/>
      </c>
      <c r="G87" s="109">
        <f>IF($C87="","",SUMIFS(Trips!$Q5:$Q1004,Trips!$Z5:$Z1004,$R87,Trips!$D5:$D1004,$A87))</f>
        <v/>
      </c>
      <c r="H87" s="108">
        <f>IF(AND($C87="",$I87="",$J87=""),"",N($E87)+N($F87)+N($G87))</f>
        <v/>
      </c>
      <c r="I87" s="109">
        <f>IF($A87="","",IFERROR(1/(1/SUMIFS(Expenses!$F5:$F1004,Expenses!$L5:$L1004,"ADV",Expenses!$J5:$J1004,$R87,Expenses!$E5:$E1004,$A87)),""))</f>
        <v/>
      </c>
      <c r="J87" s="109">
        <f>IF($A87="","",IFERROR(1/(1/SUMIFS(Expenses!$F5:$F1004,Expenses!$L5:$L1004,"PAY",Expenses!$J5:$J1004,$R87,Expenses!$E5:$E1004,$A87)),""))</f>
        <v/>
      </c>
      <c r="K87" s="110">
        <f>IF($H87="","",N($H87)-N($I87)-N($J87))</f>
        <v/>
      </c>
      <c r="L87" s="111">
        <f>IF($K87="","",IF($K87&gt;0.5,"TO PAY",IF($K87&lt;-0.5,"ADVANCE / OWES","SETTLED")))</f>
        <v/>
      </c>
      <c r="R87" s="112" t="n">
        <v>46174</v>
      </c>
    </row>
    <row r="88">
      <c r="A88" s="113" t="inlineStr">
        <is>
          <t>MONTH TOTAL</t>
        </is>
      </c>
      <c r="B88" s="114" t="n"/>
      <c r="C88" s="115">
        <f>IF(COUNT(C76:C87)=0,"",SUM(C76:C87))</f>
        <v/>
      </c>
      <c r="D88" s="116">
        <f>IF(COUNT(D76:D87)=0,"",SUM(D76:D87))</f>
        <v/>
      </c>
      <c r="E88" s="117">
        <f>IF(COUNT(E76:E87)=0,"",SUM(E76:E87))</f>
        <v/>
      </c>
      <c r="F88" s="117">
        <f>IF(COUNT(F76:F87)=0,"",SUM(F76:F87))</f>
        <v/>
      </c>
      <c r="G88" s="117">
        <f>IF(COUNT(G76:G87)=0,"",SUM(G76:G87))</f>
        <v/>
      </c>
      <c r="H88" s="117">
        <f>IF(COUNT(H76:H87)=0,"",SUM(H76:H87))</f>
        <v/>
      </c>
      <c r="I88" s="117">
        <f>IF(COUNT(I76:I87)=0,"",SUM(I76:I87))</f>
        <v/>
      </c>
      <c r="J88" s="117">
        <f>IF(COUNT(J76:J87)=0,"",SUM(J76:J87))</f>
        <v/>
      </c>
      <c r="K88" s="117">
        <f>IF(COUNT(K76:K87)=0,"",SUM(K76:K87))</f>
        <v/>
      </c>
      <c r="L88" s="118" t="n"/>
    </row>
    <row r="89" ht="24" customHeight="1">
      <c r="A89" s="103" t="inlineStr">
        <is>
          <t>JULY 2026   ·   crew earnings &amp; settlement</t>
        </is>
      </c>
    </row>
    <row r="90">
      <c r="A90" s="104">
        <f>IF(Setup!$A76="","",Setup!$A76)</f>
        <v/>
      </c>
      <c r="B90" s="105">
        <f>IF($A90="","",Setup!$B76)</f>
        <v/>
      </c>
      <c r="C90" s="106">
        <f>IF($A90="","",IF(COUNTIFS(Trips!$Z5:$Z1004,$R90,Trips!$D5:$D1004,$A90)+COUNTIFS(Trips!$Z5:$Z1004,$R90,Trips!$E5:$E1004,$A90)=0,"",COUNTIFS(Trips!$Z5:$Z1004,$R90,Trips!$D5:$D1004,$A90)+COUNTIFS(Trips!$Z5:$Z1004,$R90,Trips!$E5:$E1004,$A90)))</f>
        <v/>
      </c>
      <c r="D90" s="107">
        <f>IF($C90="","",SUMIFS(Trips!$K5:$K1004,Trips!$Z5:$Z1004,$R90,Trips!$D5:$D1004,$A90)+SUMIFS(Trips!$K5:$K1004,Trips!$Z5:$Z1004,$R90,Trips!$E5:$E1004,$A90))</f>
        <v/>
      </c>
      <c r="E90" s="108">
        <f>IF($C90="","",SUMIFS(Trips!$N5:$N1004,Trips!$Z5:$Z1004,$R90,Trips!$D5:$D1004,$A90)+SUMIFS(Trips!$O5:$O1004,Trips!$Z5:$Z1004,$R90,Trips!$E5:$E1004,$A90))</f>
        <v/>
      </c>
      <c r="F90" s="109">
        <f>IF($C90="","",SUMIFS(Trips!$P5:$P1004,Trips!$Z5:$Z1004,$R90,Trips!$D5:$D1004,$A90))</f>
        <v/>
      </c>
      <c r="G90" s="109">
        <f>IF($C90="","",SUMIFS(Trips!$Q5:$Q1004,Trips!$Z5:$Z1004,$R90,Trips!$D5:$D1004,$A90))</f>
        <v/>
      </c>
      <c r="H90" s="108">
        <f>IF(AND($C90="",$I90="",$J90=""),"",N($E90)+N($F90)+N($G90))</f>
        <v/>
      </c>
      <c r="I90" s="109">
        <f>IF($A90="","",IFERROR(1/(1/SUMIFS(Expenses!$F5:$F1004,Expenses!$L5:$L1004,"ADV",Expenses!$J5:$J1004,$R90,Expenses!$E5:$E1004,$A90)),""))</f>
        <v/>
      </c>
      <c r="J90" s="109">
        <f>IF($A90="","",IFERROR(1/(1/SUMIFS(Expenses!$F5:$F1004,Expenses!$L5:$L1004,"PAY",Expenses!$J5:$J1004,$R90,Expenses!$E5:$E1004,$A90)),""))</f>
        <v/>
      </c>
      <c r="K90" s="110">
        <f>IF($H90="","",N($H90)-N($I90)-N($J90))</f>
        <v/>
      </c>
      <c r="L90" s="111">
        <f>IF($K90="","",IF($K90&gt;0.5,"TO PAY",IF($K90&lt;-0.5,"ADVANCE / OWES","SETTLED")))</f>
        <v/>
      </c>
      <c r="R90" s="112" t="n">
        <v>46204</v>
      </c>
    </row>
    <row r="91">
      <c r="A91" s="104">
        <f>IF(Setup!$A77="","",Setup!$A77)</f>
        <v/>
      </c>
      <c r="B91" s="105">
        <f>IF($A91="","",Setup!$B77)</f>
        <v/>
      </c>
      <c r="C91" s="106">
        <f>IF($A91="","",IF(COUNTIFS(Trips!$Z5:$Z1004,$R91,Trips!$D5:$D1004,$A91)+COUNTIFS(Trips!$Z5:$Z1004,$R91,Trips!$E5:$E1004,$A91)=0,"",COUNTIFS(Trips!$Z5:$Z1004,$R91,Trips!$D5:$D1004,$A91)+COUNTIFS(Trips!$Z5:$Z1004,$R91,Trips!$E5:$E1004,$A91)))</f>
        <v/>
      </c>
      <c r="D91" s="107">
        <f>IF($C91="","",SUMIFS(Trips!$K5:$K1004,Trips!$Z5:$Z1004,$R91,Trips!$D5:$D1004,$A91)+SUMIFS(Trips!$K5:$K1004,Trips!$Z5:$Z1004,$R91,Trips!$E5:$E1004,$A91))</f>
        <v/>
      </c>
      <c r="E91" s="108">
        <f>IF($C91="","",SUMIFS(Trips!$N5:$N1004,Trips!$Z5:$Z1004,$R91,Trips!$D5:$D1004,$A91)+SUMIFS(Trips!$O5:$O1004,Trips!$Z5:$Z1004,$R91,Trips!$E5:$E1004,$A91))</f>
        <v/>
      </c>
      <c r="F91" s="109">
        <f>IF($C91="","",SUMIFS(Trips!$P5:$P1004,Trips!$Z5:$Z1004,$R91,Trips!$D5:$D1004,$A91))</f>
        <v/>
      </c>
      <c r="G91" s="109">
        <f>IF($C91="","",SUMIFS(Trips!$Q5:$Q1004,Trips!$Z5:$Z1004,$R91,Trips!$D5:$D1004,$A91))</f>
        <v/>
      </c>
      <c r="H91" s="108">
        <f>IF(AND($C91="",$I91="",$J91=""),"",N($E91)+N($F91)+N($G91))</f>
        <v/>
      </c>
      <c r="I91" s="109">
        <f>IF($A91="","",IFERROR(1/(1/SUMIFS(Expenses!$F5:$F1004,Expenses!$L5:$L1004,"ADV",Expenses!$J5:$J1004,$R91,Expenses!$E5:$E1004,$A91)),""))</f>
        <v/>
      </c>
      <c r="J91" s="109">
        <f>IF($A91="","",IFERROR(1/(1/SUMIFS(Expenses!$F5:$F1004,Expenses!$L5:$L1004,"PAY",Expenses!$J5:$J1004,$R91,Expenses!$E5:$E1004,$A91)),""))</f>
        <v/>
      </c>
      <c r="K91" s="110">
        <f>IF($H91="","",N($H91)-N($I91)-N($J91))</f>
        <v/>
      </c>
      <c r="L91" s="111">
        <f>IF($K91="","",IF($K91&gt;0.5,"TO PAY",IF($K91&lt;-0.5,"ADVANCE / OWES","SETTLED")))</f>
        <v/>
      </c>
      <c r="R91" s="112" t="n">
        <v>46204</v>
      </c>
    </row>
    <row r="92">
      <c r="A92" s="104">
        <f>IF(Setup!$A78="","",Setup!$A78)</f>
        <v/>
      </c>
      <c r="B92" s="105">
        <f>IF($A92="","",Setup!$B78)</f>
        <v/>
      </c>
      <c r="C92" s="106">
        <f>IF($A92="","",IF(COUNTIFS(Trips!$Z5:$Z1004,$R92,Trips!$D5:$D1004,$A92)+COUNTIFS(Trips!$Z5:$Z1004,$R92,Trips!$E5:$E1004,$A92)=0,"",COUNTIFS(Trips!$Z5:$Z1004,$R92,Trips!$D5:$D1004,$A92)+COUNTIFS(Trips!$Z5:$Z1004,$R92,Trips!$E5:$E1004,$A92)))</f>
        <v/>
      </c>
      <c r="D92" s="107">
        <f>IF($C92="","",SUMIFS(Trips!$K5:$K1004,Trips!$Z5:$Z1004,$R92,Trips!$D5:$D1004,$A92)+SUMIFS(Trips!$K5:$K1004,Trips!$Z5:$Z1004,$R92,Trips!$E5:$E1004,$A92))</f>
        <v/>
      </c>
      <c r="E92" s="108">
        <f>IF($C92="","",SUMIFS(Trips!$N5:$N1004,Trips!$Z5:$Z1004,$R92,Trips!$D5:$D1004,$A92)+SUMIFS(Trips!$O5:$O1004,Trips!$Z5:$Z1004,$R92,Trips!$E5:$E1004,$A92))</f>
        <v/>
      </c>
      <c r="F92" s="109">
        <f>IF($C92="","",SUMIFS(Trips!$P5:$P1004,Trips!$Z5:$Z1004,$R92,Trips!$D5:$D1004,$A92))</f>
        <v/>
      </c>
      <c r="G92" s="109">
        <f>IF($C92="","",SUMIFS(Trips!$Q5:$Q1004,Trips!$Z5:$Z1004,$R92,Trips!$D5:$D1004,$A92))</f>
        <v/>
      </c>
      <c r="H92" s="108">
        <f>IF(AND($C92="",$I92="",$J92=""),"",N($E92)+N($F92)+N($G92))</f>
        <v/>
      </c>
      <c r="I92" s="109">
        <f>IF($A92="","",IFERROR(1/(1/SUMIFS(Expenses!$F5:$F1004,Expenses!$L5:$L1004,"ADV",Expenses!$J5:$J1004,$R92,Expenses!$E5:$E1004,$A92)),""))</f>
        <v/>
      </c>
      <c r="J92" s="109">
        <f>IF($A92="","",IFERROR(1/(1/SUMIFS(Expenses!$F5:$F1004,Expenses!$L5:$L1004,"PAY",Expenses!$J5:$J1004,$R92,Expenses!$E5:$E1004,$A92)),""))</f>
        <v/>
      </c>
      <c r="K92" s="110">
        <f>IF($H92="","",N($H92)-N($I92)-N($J92))</f>
        <v/>
      </c>
      <c r="L92" s="111">
        <f>IF($K92="","",IF($K92&gt;0.5,"TO PAY",IF($K92&lt;-0.5,"ADVANCE / OWES","SETTLED")))</f>
        <v/>
      </c>
      <c r="R92" s="112" t="n">
        <v>46204</v>
      </c>
    </row>
    <row r="93">
      <c r="A93" s="104">
        <f>IF(Setup!$A79="","",Setup!$A79)</f>
        <v/>
      </c>
      <c r="B93" s="105">
        <f>IF($A93="","",Setup!$B79)</f>
        <v/>
      </c>
      <c r="C93" s="106">
        <f>IF($A93="","",IF(COUNTIFS(Trips!$Z5:$Z1004,$R93,Trips!$D5:$D1004,$A93)+COUNTIFS(Trips!$Z5:$Z1004,$R93,Trips!$E5:$E1004,$A93)=0,"",COUNTIFS(Trips!$Z5:$Z1004,$R93,Trips!$D5:$D1004,$A93)+COUNTIFS(Trips!$Z5:$Z1004,$R93,Trips!$E5:$E1004,$A93)))</f>
        <v/>
      </c>
      <c r="D93" s="107">
        <f>IF($C93="","",SUMIFS(Trips!$K5:$K1004,Trips!$Z5:$Z1004,$R93,Trips!$D5:$D1004,$A93)+SUMIFS(Trips!$K5:$K1004,Trips!$Z5:$Z1004,$R93,Trips!$E5:$E1004,$A93))</f>
        <v/>
      </c>
      <c r="E93" s="108">
        <f>IF($C93="","",SUMIFS(Trips!$N5:$N1004,Trips!$Z5:$Z1004,$R93,Trips!$D5:$D1004,$A93)+SUMIFS(Trips!$O5:$O1004,Trips!$Z5:$Z1004,$R93,Trips!$E5:$E1004,$A93))</f>
        <v/>
      </c>
      <c r="F93" s="109">
        <f>IF($C93="","",SUMIFS(Trips!$P5:$P1004,Trips!$Z5:$Z1004,$R93,Trips!$D5:$D1004,$A93))</f>
        <v/>
      </c>
      <c r="G93" s="109">
        <f>IF($C93="","",SUMIFS(Trips!$Q5:$Q1004,Trips!$Z5:$Z1004,$R93,Trips!$D5:$D1004,$A93))</f>
        <v/>
      </c>
      <c r="H93" s="108">
        <f>IF(AND($C93="",$I93="",$J93=""),"",N($E93)+N($F93)+N($G93))</f>
        <v/>
      </c>
      <c r="I93" s="109">
        <f>IF($A93="","",IFERROR(1/(1/SUMIFS(Expenses!$F5:$F1004,Expenses!$L5:$L1004,"ADV",Expenses!$J5:$J1004,$R93,Expenses!$E5:$E1004,$A93)),""))</f>
        <v/>
      </c>
      <c r="J93" s="109">
        <f>IF($A93="","",IFERROR(1/(1/SUMIFS(Expenses!$F5:$F1004,Expenses!$L5:$L1004,"PAY",Expenses!$J5:$J1004,$R93,Expenses!$E5:$E1004,$A93)),""))</f>
        <v/>
      </c>
      <c r="K93" s="110">
        <f>IF($H93="","",N($H93)-N($I93)-N($J93))</f>
        <v/>
      </c>
      <c r="L93" s="111">
        <f>IF($K93="","",IF($K93&gt;0.5,"TO PAY",IF($K93&lt;-0.5,"ADVANCE / OWES","SETTLED")))</f>
        <v/>
      </c>
      <c r="R93" s="112" t="n">
        <v>46204</v>
      </c>
    </row>
    <row r="94">
      <c r="A94" s="104">
        <f>IF(Setup!$A80="","",Setup!$A80)</f>
        <v/>
      </c>
      <c r="B94" s="105">
        <f>IF($A94="","",Setup!$B80)</f>
        <v/>
      </c>
      <c r="C94" s="106">
        <f>IF($A94="","",IF(COUNTIFS(Trips!$Z5:$Z1004,$R94,Trips!$D5:$D1004,$A94)+COUNTIFS(Trips!$Z5:$Z1004,$R94,Trips!$E5:$E1004,$A94)=0,"",COUNTIFS(Trips!$Z5:$Z1004,$R94,Trips!$D5:$D1004,$A94)+COUNTIFS(Trips!$Z5:$Z1004,$R94,Trips!$E5:$E1004,$A94)))</f>
        <v/>
      </c>
      <c r="D94" s="107">
        <f>IF($C94="","",SUMIFS(Trips!$K5:$K1004,Trips!$Z5:$Z1004,$R94,Trips!$D5:$D1004,$A94)+SUMIFS(Trips!$K5:$K1004,Trips!$Z5:$Z1004,$R94,Trips!$E5:$E1004,$A94))</f>
        <v/>
      </c>
      <c r="E94" s="108">
        <f>IF($C94="","",SUMIFS(Trips!$N5:$N1004,Trips!$Z5:$Z1004,$R94,Trips!$D5:$D1004,$A94)+SUMIFS(Trips!$O5:$O1004,Trips!$Z5:$Z1004,$R94,Trips!$E5:$E1004,$A94))</f>
        <v/>
      </c>
      <c r="F94" s="109">
        <f>IF($C94="","",SUMIFS(Trips!$P5:$P1004,Trips!$Z5:$Z1004,$R94,Trips!$D5:$D1004,$A94))</f>
        <v/>
      </c>
      <c r="G94" s="109">
        <f>IF($C94="","",SUMIFS(Trips!$Q5:$Q1004,Trips!$Z5:$Z1004,$R94,Trips!$D5:$D1004,$A94))</f>
        <v/>
      </c>
      <c r="H94" s="108">
        <f>IF(AND($C94="",$I94="",$J94=""),"",N($E94)+N($F94)+N($G94))</f>
        <v/>
      </c>
      <c r="I94" s="109">
        <f>IF($A94="","",IFERROR(1/(1/SUMIFS(Expenses!$F5:$F1004,Expenses!$L5:$L1004,"ADV",Expenses!$J5:$J1004,$R94,Expenses!$E5:$E1004,$A94)),""))</f>
        <v/>
      </c>
      <c r="J94" s="109">
        <f>IF($A94="","",IFERROR(1/(1/SUMIFS(Expenses!$F5:$F1004,Expenses!$L5:$L1004,"PAY",Expenses!$J5:$J1004,$R94,Expenses!$E5:$E1004,$A94)),""))</f>
        <v/>
      </c>
      <c r="K94" s="110">
        <f>IF($H94="","",N($H94)-N($I94)-N($J94))</f>
        <v/>
      </c>
      <c r="L94" s="111">
        <f>IF($K94="","",IF($K94&gt;0.5,"TO PAY",IF($K94&lt;-0.5,"ADVANCE / OWES","SETTLED")))</f>
        <v/>
      </c>
      <c r="R94" s="112" t="n">
        <v>46204</v>
      </c>
    </row>
    <row r="95">
      <c r="A95" s="104">
        <f>IF(Setup!$A81="","",Setup!$A81)</f>
        <v/>
      </c>
      <c r="B95" s="105">
        <f>IF($A95="","",Setup!$B81)</f>
        <v/>
      </c>
      <c r="C95" s="106">
        <f>IF($A95="","",IF(COUNTIFS(Trips!$Z5:$Z1004,$R95,Trips!$D5:$D1004,$A95)+COUNTIFS(Trips!$Z5:$Z1004,$R95,Trips!$E5:$E1004,$A95)=0,"",COUNTIFS(Trips!$Z5:$Z1004,$R95,Trips!$D5:$D1004,$A95)+COUNTIFS(Trips!$Z5:$Z1004,$R95,Trips!$E5:$E1004,$A95)))</f>
        <v/>
      </c>
      <c r="D95" s="107">
        <f>IF($C95="","",SUMIFS(Trips!$K5:$K1004,Trips!$Z5:$Z1004,$R95,Trips!$D5:$D1004,$A95)+SUMIFS(Trips!$K5:$K1004,Trips!$Z5:$Z1004,$R95,Trips!$E5:$E1004,$A95))</f>
        <v/>
      </c>
      <c r="E95" s="108">
        <f>IF($C95="","",SUMIFS(Trips!$N5:$N1004,Trips!$Z5:$Z1004,$R95,Trips!$D5:$D1004,$A95)+SUMIFS(Trips!$O5:$O1004,Trips!$Z5:$Z1004,$R95,Trips!$E5:$E1004,$A95))</f>
        <v/>
      </c>
      <c r="F95" s="109">
        <f>IF($C95="","",SUMIFS(Trips!$P5:$P1004,Trips!$Z5:$Z1004,$R95,Trips!$D5:$D1004,$A95))</f>
        <v/>
      </c>
      <c r="G95" s="109">
        <f>IF($C95="","",SUMIFS(Trips!$Q5:$Q1004,Trips!$Z5:$Z1004,$R95,Trips!$D5:$D1004,$A95))</f>
        <v/>
      </c>
      <c r="H95" s="108">
        <f>IF(AND($C95="",$I95="",$J95=""),"",N($E95)+N($F95)+N($G95))</f>
        <v/>
      </c>
      <c r="I95" s="109">
        <f>IF($A95="","",IFERROR(1/(1/SUMIFS(Expenses!$F5:$F1004,Expenses!$L5:$L1004,"ADV",Expenses!$J5:$J1004,$R95,Expenses!$E5:$E1004,$A95)),""))</f>
        <v/>
      </c>
      <c r="J95" s="109">
        <f>IF($A95="","",IFERROR(1/(1/SUMIFS(Expenses!$F5:$F1004,Expenses!$L5:$L1004,"PAY",Expenses!$J5:$J1004,$R95,Expenses!$E5:$E1004,$A95)),""))</f>
        <v/>
      </c>
      <c r="K95" s="110">
        <f>IF($H95="","",N($H95)-N($I95)-N($J95))</f>
        <v/>
      </c>
      <c r="L95" s="111">
        <f>IF($K95="","",IF($K95&gt;0.5,"TO PAY",IF($K95&lt;-0.5,"ADVANCE / OWES","SETTLED")))</f>
        <v/>
      </c>
      <c r="R95" s="112" t="n">
        <v>46204</v>
      </c>
    </row>
    <row r="96">
      <c r="A96" s="104">
        <f>IF(Setup!$A82="","",Setup!$A82)</f>
        <v/>
      </c>
      <c r="B96" s="105">
        <f>IF($A96="","",Setup!$B82)</f>
        <v/>
      </c>
      <c r="C96" s="106">
        <f>IF($A96="","",IF(COUNTIFS(Trips!$Z5:$Z1004,$R96,Trips!$D5:$D1004,$A96)+COUNTIFS(Trips!$Z5:$Z1004,$R96,Trips!$E5:$E1004,$A96)=0,"",COUNTIFS(Trips!$Z5:$Z1004,$R96,Trips!$D5:$D1004,$A96)+COUNTIFS(Trips!$Z5:$Z1004,$R96,Trips!$E5:$E1004,$A96)))</f>
        <v/>
      </c>
      <c r="D96" s="107">
        <f>IF($C96="","",SUMIFS(Trips!$K5:$K1004,Trips!$Z5:$Z1004,$R96,Trips!$D5:$D1004,$A96)+SUMIFS(Trips!$K5:$K1004,Trips!$Z5:$Z1004,$R96,Trips!$E5:$E1004,$A96))</f>
        <v/>
      </c>
      <c r="E96" s="108">
        <f>IF($C96="","",SUMIFS(Trips!$N5:$N1004,Trips!$Z5:$Z1004,$R96,Trips!$D5:$D1004,$A96)+SUMIFS(Trips!$O5:$O1004,Trips!$Z5:$Z1004,$R96,Trips!$E5:$E1004,$A96))</f>
        <v/>
      </c>
      <c r="F96" s="109">
        <f>IF($C96="","",SUMIFS(Trips!$P5:$P1004,Trips!$Z5:$Z1004,$R96,Trips!$D5:$D1004,$A96))</f>
        <v/>
      </c>
      <c r="G96" s="109">
        <f>IF($C96="","",SUMIFS(Trips!$Q5:$Q1004,Trips!$Z5:$Z1004,$R96,Trips!$D5:$D1004,$A96))</f>
        <v/>
      </c>
      <c r="H96" s="108">
        <f>IF(AND($C96="",$I96="",$J96=""),"",N($E96)+N($F96)+N($G96))</f>
        <v/>
      </c>
      <c r="I96" s="109">
        <f>IF($A96="","",IFERROR(1/(1/SUMIFS(Expenses!$F5:$F1004,Expenses!$L5:$L1004,"ADV",Expenses!$J5:$J1004,$R96,Expenses!$E5:$E1004,$A96)),""))</f>
        <v/>
      </c>
      <c r="J96" s="109">
        <f>IF($A96="","",IFERROR(1/(1/SUMIFS(Expenses!$F5:$F1004,Expenses!$L5:$L1004,"PAY",Expenses!$J5:$J1004,$R96,Expenses!$E5:$E1004,$A96)),""))</f>
        <v/>
      </c>
      <c r="K96" s="110">
        <f>IF($H96="","",N($H96)-N($I96)-N($J96))</f>
        <v/>
      </c>
      <c r="L96" s="111">
        <f>IF($K96="","",IF($K96&gt;0.5,"TO PAY",IF($K96&lt;-0.5,"ADVANCE / OWES","SETTLED")))</f>
        <v/>
      </c>
      <c r="R96" s="112" t="n">
        <v>46204</v>
      </c>
    </row>
    <row r="97">
      <c r="A97" s="104">
        <f>IF(Setup!$A83="","",Setup!$A83)</f>
        <v/>
      </c>
      <c r="B97" s="105">
        <f>IF($A97="","",Setup!$B83)</f>
        <v/>
      </c>
      <c r="C97" s="106">
        <f>IF($A97="","",IF(COUNTIFS(Trips!$Z5:$Z1004,$R97,Trips!$D5:$D1004,$A97)+COUNTIFS(Trips!$Z5:$Z1004,$R97,Trips!$E5:$E1004,$A97)=0,"",COUNTIFS(Trips!$Z5:$Z1004,$R97,Trips!$D5:$D1004,$A97)+COUNTIFS(Trips!$Z5:$Z1004,$R97,Trips!$E5:$E1004,$A97)))</f>
        <v/>
      </c>
      <c r="D97" s="107">
        <f>IF($C97="","",SUMIFS(Trips!$K5:$K1004,Trips!$Z5:$Z1004,$R97,Trips!$D5:$D1004,$A97)+SUMIFS(Trips!$K5:$K1004,Trips!$Z5:$Z1004,$R97,Trips!$E5:$E1004,$A97))</f>
        <v/>
      </c>
      <c r="E97" s="108">
        <f>IF($C97="","",SUMIFS(Trips!$N5:$N1004,Trips!$Z5:$Z1004,$R97,Trips!$D5:$D1004,$A97)+SUMIFS(Trips!$O5:$O1004,Trips!$Z5:$Z1004,$R97,Trips!$E5:$E1004,$A97))</f>
        <v/>
      </c>
      <c r="F97" s="109">
        <f>IF($C97="","",SUMIFS(Trips!$P5:$P1004,Trips!$Z5:$Z1004,$R97,Trips!$D5:$D1004,$A97))</f>
        <v/>
      </c>
      <c r="G97" s="109">
        <f>IF($C97="","",SUMIFS(Trips!$Q5:$Q1004,Trips!$Z5:$Z1004,$R97,Trips!$D5:$D1004,$A97))</f>
        <v/>
      </c>
      <c r="H97" s="108">
        <f>IF(AND($C97="",$I97="",$J97=""),"",N($E97)+N($F97)+N($G97))</f>
        <v/>
      </c>
      <c r="I97" s="109">
        <f>IF($A97="","",IFERROR(1/(1/SUMIFS(Expenses!$F5:$F1004,Expenses!$L5:$L1004,"ADV",Expenses!$J5:$J1004,$R97,Expenses!$E5:$E1004,$A97)),""))</f>
        <v/>
      </c>
      <c r="J97" s="109">
        <f>IF($A97="","",IFERROR(1/(1/SUMIFS(Expenses!$F5:$F1004,Expenses!$L5:$L1004,"PAY",Expenses!$J5:$J1004,$R97,Expenses!$E5:$E1004,$A97)),""))</f>
        <v/>
      </c>
      <c r="K97" s="110">
        <f>IF($H97="","",N($H97)-N($I97)-N($J97))</f>
        <v/>
      </c>
      <c r="L97" s="111">
        <f>IF($K97="","",IF($K97&gt;0.5,"TO PAY",IF($K97&lt;-0.5,"ADVANCE / OWES","SETTLED")))</f>
        <v/>
      </c>
      <c r="R97" s="112" t="n">
        <v>46204</v>
      </c>
    </row>
    <row r="98">
      <c r="A98" s="104">
        <f>IF(Setup!$A84="","",Setup!$A84)</f>
        <v/>
      </c>
      <c r="B98" s="105">
        <f>IF($A98="","",Setup!$B84)</f>
        <v/>
      </c>
      <c r="C98" s="106">
        <f>IF($A98="","",IF(COUNTIFS(Trips!$Z5:$Z1004,$R98,Trips!$D5:$D1004,$A98)+COUNTIFS(Trips!$Z5:$Z1004,$R98,Trips!$E5:$E1004,$A98)=0,"",COUNTIFS(Trips!$Z5:$Z1004,$R98,Trips!$D5:$D1004,$A98)+COUNTIFS(Trips!$Z5:$Z1004,$R98,Trips!$E5:$E1004,$A98)))</f>
        <v/>
      </c>
      <c r="D98" s="107">
        <f>IF($C98="","",SUMIFS(Trips!$K5:$K1004,Trips!$Z5:$Z1004,$R98,Trips!$D5:$D1004,$A98)+SUMIFS(Trips!$K5:$K1004,Trips!$Z5:$Z1004,$R98,Trips!$E5:$E1004,$A98))</f>
        <v/>
      </c>
      <c r="E98" s="108">
        <f>IF($C98="","",SUMIFS(Trips!$N5:$N1004,Trips!$Z5:$Z1004,$R98,Trips!$D5:$D1004,$A98)+SUMIFS(Trips!$O5:$O1004,Trips!$Z5:$Z1004,$R98,Trips!$E5:$E1004,$A98))</f>
        <v/>
      </c>
      <c r="F98" s="109">
        <f>IF($C98="","",SUMIFS(Trips!$P5:$P1004,Trips!$Z5:$Z1004,$R98,Trips!$D5:$D1004,$A98))</f>
        <v/>
      </c>
      <c r="G98" s="109">
        <f>IF($C98="","",SUMIFS(Trips!$Q5:$Q1004,Trips!$Z5:$Z1004,$R98,Trips!$D5:$D1004,$A98))</f>
        <v/>
      </c>
      <c r="H98" s="108">
        <f>IF(AND($C98="",$I98="",$J98=""),"",N($E98)+N($F98)+N($G98))</f>
        <v/>
      </c>
      <c r="I98" s="109">
        <f>IF($A98="","",IFERROR(1/(1/SUMIFS(Expenses!$F5:$F1004,Expenses!$L5:$L1004,"ADV",Expenses!$J5:$J1004,$R98,Expenses!$E5:$E1004,$A98)),""))</f>
        <v/>
      </c>
      <c r="J98" s="109">
        <f>IF($A98="","",IFERROR(1/(1/SUMIFS(Expenses!$F5:$F1004,Expenses!$L5:$L1004,"PAY",Expenses!$J5:$J1004,$R98,Expenses!$E5:$E1004,$A98)),""))</f>
        <v/>
      </c>
      <c r="K98" s="110">
        <f>IF($H98="","",N($H98)-N($I98)-N($J98))</f>
        <v/>
      </c>
      <c r="L98" s="111">
        <f>IF($K98="","",IF($K98&gt;0.5,"TO PAY",IF($K98&lt;-0.5,"ADVANCE / OWES","SETTLED")))</f>
        <v/>
      </c>
      <c r="R98" s="112" t="n">
        <v>46204</v>
      </c>
    </row>
    <row r="99">
      <c r="A99" s="104">
        <f>IF(Setup!$A85="","",Setup!$A85)</f>
        <v/>
      </c>
      <c r="B99" s="105">
        <f>IF($A99="","",Setup!$B85)</f>
        <v/>
      </c>
      <c r="C99" s="106">
        <f>IF($A99="","",IF(COUNTIFS(Trips!$Z5:$Z1004,$R99,Trips!$D5:$D1004,$A99)+COUNTIFS(Trips!$Z5:$Z1004,$R99,Trips!$E5:$E1004,$A99)=0,"",COUNTIFS(Trips!$Z5:$Z1004,$R99,Trips!$D5:$D1004,$A99)+COUNTIFS(Trips!$Z5:$Z1004,$R99,Trips!$E5:$E1004,$A99)))</f>
        <v/>
      </c>
      <c r="D99" s="107">
        <f>IF($C99="","",SUMIFS(Trips!$K5:$K1004,Trips!$Z5:$Z1004,$R99,Trips!$D5:$D1004,$A99)+SUMIFS(Trips!$K5:$K1004,Trips!$Z5:$Z1004,$R99,Trips!$E5:$E1004,$A99))</f>
        <v/>
      </c>
      <c r="E99" s="108">
        <f>IF($C99="","",SUMIFS(Trips!$N5:$N1004,Trips!$Z5:$Z1004,$R99,Trips!$D5:$D1004,$A99)+SUMIFS(Trips!$O5:$O1004,Trips!$Z5:$Z1004,$R99,Trips!$E5:$E1004,$A99))</f>
        <v/>
      </c>
      <c r="F99" s="109">
        <f>IF($C99="","",SUMIFS(Trips!$P5:$P1004,Trips!$Z5:$Z1004,$R99,Trips!$D5:$D1004,$A99))</f>
        <v/>
      </c>
      <c r="G99" s="109">
        <f>IF($C99="","",SUMIFS(Trips!$Q5:$Q1004,Trips!$Z5:$Z1004,$R99,Trips!$D5:$D1004,$A99))</f>
        <v/>
      </c>
      <c r="H99" s="108">
        <f>IF(AND($C99="",$I99="",$J99=""),"",N($E99)+N($F99)+N($G99))</f>
        <v/>
      </c>
      <c r="I99" s="109">
        <f>IF($A99="","",IFERROR(1/(1/SUMIFS(Expenses!$F5:$F1004,Expenses!$L5:$L1004,"ADV",Expenses!$J5:$J1004,$R99,Expenses!$E5:$E1004,$A99)),""))</f>
        <v/>
      </c>
      <c r="J99" s="109">
        <f>IF($A99="","",IFERROR(1/(1/SUMIFS(Expenses!$F5:$F1004,Expenses!$L5:$L1004,"PAY",Expenses!$J5:$J1004,$R99,Expenses!$E5:$E1004,$A99)),""))</f>
        <v/>
      </c>
      <c r="K99" s="110">
        <f>IF($H99="","",N($H99)-N($I99)-N($J99))</f>
        <v/>
      </c>
      <c r="L99" s="111">
        <f>IF($K99="","",IF($K99&gt;0.5,"TO PAY",IF($K99&lt;-0.5,"ADVANCE / OWES","SETTLED")))</f>
        <v/>
      </c>
      <c r="R99" s="112" t="n">
        <v>46204</v>
      </c>
    </row>
    <row r="100">
      <c r="A100" s="104">
        <f>IF(Setup!$A86="","",Setup!$A86)</f>
        <v/>
      </c>
      <c r="B100" s="105">
        <f>IF($A100="","",Setup!$B86)</f>
        <v/>
      </c>
      <c r="C100" s="106">
        <f>IF($A100="","",IF(COUNTIFS(Trips!$Z5:$Z1004,$R100,Trips!$D5:$D1004,$A100)+COUNTIFS(Trips!$Z5:$Z1004,$R100,Trips!$E5:$E1004,$A100)=0,"",COUNTIFS(Trips!$Z5:$Z1004,$R100,Trips!$D5:$D1004,$A100)+COUNTIFS(Trips!$Z5:$Z1004,$R100,Trips!$E5:$E1004,$A100)))</f>
        <v/>
      </c>
      <c r="D100" s="107">
        <f>IF($C100="","",SUMIFS(Trips!$K5:$K1004,Trips!$Z5:$Z1004,$R100,Trips!$D5:$D1004,$A100)+SUMIFS(Trips!$K5:$K1004,Trips!$Z5:$Z1004,$R100,Trips!$E5:$E1004,$A100))</f>
        <v/>
      </c>
      <c r="E100" s="108">
        <f>IF($C100="","",SUMIFS(Trips!$N5:$N1004,Trips!$Z5:$Z1004,$R100,Trips!$D5:$D1004,$A100)+SUMIFS(Trips!$O5:$O1004,Trips!$Z5:$Z1004,$R100,Trips!$E5:$E1004,$A100))</f>
        <v/>
      </c>
      <c r="F100" s="109">
        <f>IF($C100="","",SUMIFS(Trips!$P5:$P1004,Trips!$Z5:$Z1004,$R100,Trips!$D5:$D1004,$A100))</f>
        <v/>
      </c>
      <c r="G100" s="109">
        <f>IF($C100="","",SUMIFS(Trips!$Q5:$Q1004,Trips!$Z5:$Z1004,$R100,Trips!$D5:$D1004,$A100))</f>
        <v/>
      </c>
      <c r="H100" s="108">
        <f>IF(AND($C100="",$I100="",$J100=""),"",N($E100)+N($F100)+N($G100))</f>
        <v/>
      </c>
      <c r="I100" s="109">
        <f>IF($A100="","",IFERROR(1/(1/SUMIFS(Expenses!$F5:$F1004,Expenses!$L5:$L1004,"ADV",Expenses!$J5:$J1004,$R100,Expenses!$E5:$E1004,$A100)),""))</f>
        <v/>
      </c>
      <c r="J100" s="109">
        <f>IF($A100="","",IFERROR(1/(1/SUMIFS(Expenses!$F5:$F1004,Expenses!$L5:$L1004,"PAY",Expenses!$J5:$J1004,$R100,Expenses!$E5:$E1004,$A100)),""))</f>
        <v/>
      </c>
      <c r="K100" s="110">
        <f>IF($H100="","",N($H100)-N($I100)-N($J100))</f>
        <v/>
      </c>
      <c r="L100" s="111">
        <f>IF($K100="","",IF($K100&gt;0.5,"TO PAY",IF($K100&lt;-0.5,"ADVANCE / OWES","SETTLED")))</f>
        <v/>
      </c>
      <c r="R100" s="112" t="n">
        <v>46204</v>
      </c>
    </row>
    <row r="101">
      <c r="A101" s="104">
        <f>IF(Setup!$A87="","",Setup!$A87)</f>
        <v/>
      </c>
      <c r="B101" s="105">
        <f>IF($A101="","",Setup!$B87)</f>
        <v/>
      </c>
      <c r="C101" s="106">
        <f>IF($A101="","",IF(COUNTIFS(Trips!$Z5:$Z1004,$R101,Trips!$D5:$D1004,$A101)+COUNTIFS(Trips!$Z5:$Z1004,$R101,Trips!$E5:$E1004,$A101)=0,"",COUNTIFS(Trips!$Z5:$Z1004,$R101,Trips!$D5:$D1004,$A101)+COUNTIFS(Trips!$Z5:$Z1004,$R101,Trips!$E5:$E1004,$A101)))</f>
        <v/>
      </c>
      <c r="D101" s="107">
        <f>IF($C101="","",SUMIFS(Trips!$K5:$K1004,Trips!$Z5:$Z1004,$R101,Trips!$D5:$D1004,$A101)+SUMIFS(Trips!$K5:$K1004,Trips!$Z5:$Z1004,$R101,Trips!$E5:$E1004,$A101))</f>
        <v/>
      </c>
      <c r="E101" s="108">
        <f>IF($C101="","",SUMIFS(Trips!$N5:$N1004,Trips!$Z5:$Z1004,$R101,Trips!$D5:$D1004,$A101)+SUMIFS(Trips!$O5:$O1004,Trips!$Z5:$Z1004,$R101,Trips!$E5:$E1004,$A101))</f>
        <v/>
      </c>
      <c r="F101" s="109">
        <f>IF($C101="","",SUMIFS(Trips!$P5:$P1004,Trips!$Z5:$Z1004,$R101,Trips!$D5:$D1004,$A101))</f>
        <v/>
      </c>
      <c r="G101" s="109">
        <f>IF($C101="","",SUMIFS(Trips!$Q5:$Q1004,Trips!$Z5:$Z1004,$R101,Trips!$D5:$D1004,$A101))</f>
        <v/>
      </c>
      <c r="H101" s="108">
        <f>IF(AND($C101="",$I101="",$J101=""),"",N($E101)+N($F101)+N($G101))</f>
        <v/>
      </c>
      <c r="I101" s="109">
        <f>IF($A101="","",IFERROR(1/(1/SUMIFS(Expenses!$F5:$F1004,Expenses!$L5:$L1004,"ADV",Expenses!$J5:$J1004,$R101,Expenses!$E5:$E1004,$A101)),""))</f>
        <v/>
      </c>
      <c r="J101" s="109">
        <f>IF($A101="","",IFERROR(1/(1/SUMIFS(Expenses!$F5:$F1004,Expenses!$L5:$L1004,"PAY",Expenses!$J5:$J1004,$R101,Expenses!$E5:$E1004,$A101)),""))</f>
        <v/>
      </c>
      <c r="K101" s="110">
        <f>IF($H101="","",N($H101)-N($I101)-N($J101))</f>
        <v/>
      </c>
      <c r="L101" s="111">
        <f>IF($K101="","",IF($K101&gt;0.5,"TO PAY",IF($K101&lt;-0.5,"ADVANCE / OWES","SETTLED")))</f>
        <v/>
      </c>
      <c r="R101" s="112" t="n">
        <v>46204</v>
      </c>
    </row>
    <row r="102">
      <c r="A102" s="113" t="inlineStr">
        <is>
          <t>MONTH TOTAL</t>
        </is>
      </c>
      <c r="B102" s="114" t="n"/>
      <c r="C102" s="115">
        <f>IF(COUNT(C90:C101)=0,"",SUM(C90:C101))</f>
        <v/>
      </c>
      <c r="D102" s="116">
        <f>IF(COUNT(D90:D101)=0,"",SUM(D90:D101))</f>
        <v/>
      </c>
      <c r="E102" s="117">
        <f>IF(COUNT(E90:E101)=0,"",SUM(E90:E101))</f>
        <v/>
      </c>
      <c r="F102" s="117">
        <f>IF(COUNT(F90:F101)=0,"",SUM(F90:F101))</f>
        <v/>
      </c>
      <c r="G102" s="117">
        <f>IF(COUNT(G90:G101)=0,"",SUM(G90:G101))</f>
        <v/>
      </c>
      <c r="H102" s="117">
        <f>IF(COUNT(H90:H101)=0,"",SUM(H90:H101))</f>
        <v/>
      </c>
      <c r="I102" s="117">
        <f>IF(COUNT(I90:I101)=0,"",SUM(I90:I101))</f>
        <v/>
      </c>
      <c r="J102" s="117">
        <f>IF(COUNT(J90:J101)=0,"",SUM(J90:J101))</f>
        <v/>
      </c>
      <c r="K102" s="117">
        <f>IF(COUNT(K90:K101)=0,"",SUM(K90:K101))</f>
        <v/>
      </c>
      <c r="L102" s="118" t="n"/>
    </row>
    <row r="103" ht="24" customHeight="1">
      <c r="A103" s="103" t="inlineStr">
        <is>
          <t>AUGUST 2026   ·   crew earnings &amp; settlement</t>
        </is>
      </c>
    </row>
    <row r="104">
      <c r="A104" s="104">
        <f>IF(Setup!$A76="","",Setup!$A76)</f>
        <v/>
      </c>
      <c r="B104" s="105">
        <f>IF($A104="","",Setup!$B76)</f>
        <v/>
      </c>
      <c r="C104" s="106">
        <f>IF($A104="","",IF(COUNTIFS(Trips!$Z5:$Z1004,$R104,Trips!$D5:$D1004,$A104)+COUNTIFS(Trips!$Z5:$Z1004,$R104,Trips!$E5:$E1004,$A104)=0,"",COUNTIFS(Trips!$Z5:$Z1004,$R104,Trips!$D5:$D1004,$A104)+COUNTIFS(Trips!$Z5:$Z1004,$R104,Trips!$E5:$E1004,$A104)))</f>
        <v/>
      </c>
      <c r="D104" s="107">
        <f>IF($C104="","",SUMIFS(Trips!$K5:$K1004,Trips!$Z5:$Z1004,$R104,Trips!$D5:$D1004,$A104)+SUMIFS(Trips!$K5:$K1004,Trips!$Z5:$Z1004,$R104,Trips!$E5:$E1004,$A104))</f>
        <v/>
      </c>
      <c r="E104" s="108">
        <f>IF($C104="","",SUMIFS(Trips!$N5:$N1004,Trips!$Z5:$Z1004,$R104,Trips!$D5:$D1004,$A104)+SUMIFS(Trips!$O5:$O1004,Trips!$Z5:$Z1004,$R104,Trips!$E5:$E1004,$A104))</f>
        <v/>
      </c>
      <c r="F104" s="109">
        <f>IF($C104="","",SUMIFS(Trips!$P5:$P1004,Trips!$Z5:$Z1004,$R104,Trips!$D5:$D1004,$A104))</f>
        <v/>
      </c>
      <c r="G104" s="109">
        <f>IF($C104="","",SUMIFS(Trips!$Q5:$Q1004,Trips!$Z5:$Z1004,$R104,Trips!$D5:$D1004,$A104))</f>
        <v/>
      </c>
      <c r="H104" s="108">
        <f>IF(AND($C104="",$I104="",$J104=""),"",N($E104)+N($F104)+N($G104))</f>
        <v/>
      </c>
      <c r="I104" s="109">
        <f>IF($A104="","",IFERROR(1/(1/SUMIFS(Expenses!$F5:$F1004,Expenses!$L5:$L1004,"ADV",Expenses!$J5:$J1004,$R104,Expenses!$E5:$E1004,$A104)),""))</f>
        <v/>
      </c>
      <c r="J104" s="109">
        <f>IF($A104="","",IFERROR(1/(1/SUMIFS(Expenses!$F5:$F1004,Expenses!$L5:$L1004,"PAY",Expenses!$J5:$J1004,$R104,Expenses!$E5:$E1004,$A104)),""))</f>
        <v/>
      </c>
      <c r="K104" s="110">
        <f>IF($H104="","",N($H104)-N($I104)-N($J104))</f>
        <v/>
      </c>
      <c r="L104" s="111">
        <f>IF($K104="","",IF($K104&gt;0.5,"TO PAY",IF($K104&lt;-0.5,"ADVANCE / OWES","SETTLED")))</f>
        <v/>
      </c>
      <c r="R104" s="112" t="n">
        <v>46235</v>
      </c>
    </row>
    <row r="105">
      <c r="A105" s="104">
        <f>IF(Setup!$A77="","",Setup!$A77)</f>
        <v/>
      </c>
      <c r="B105" s="105">
        <f>IF($A105="","",Setup!$B77)</f>
        <v/>
      </c>
      <c r="C105" s="106">
        <f>IF($A105="","",IF(COUNTIFS(Trips!$Z5:$Z1004,$R105,Trips!$D5:$D1004,$A105)+COUNTIFS(Trips!$Z5:$Z1004,$R105,Trips!$E5:$E1004,$A105)=0,"",COUNTIFS(Trips!$Z5:$Z1004,$R105,Trips!$D5:$D1004,$A105)+COUNTIFS(Trips!$Z5:$Z1004,$R105,Trips!$E5:$E1004,$A105)))</f>
        <v/>
      </c>
      <c r="D105" s="107">
        <f>IF($C105="","",SUMIFS(Trips!$K5:$K1004,Trips!$Z5:$Z1004,$R105,Trips!$D5:$D1004,$A105)+SUMIFS(Trips!$K5:$K1004,Trips!$Z5:$Z1004,$R105,Trips!$E5:$E1004,$A105))</f>
        <v/>
      </c>
      <c r="E105" s="108">
        <f>IF($C105="","",SUMIFS(Trips!$N5:$N1004,Trips!$Z5:$Z1004,$R105,Trips!$D5:$D1004,$A105)+SUMIFS(Trips!$O5:$O1004,Trips!$Z5:$Z1004,$R105,Trips!$E5:$E1004,$A105))</f>
        <v/>
      </c>
      <c r="F105" s="109">
        <f>IF($C105="","",SUMIFS(Trips!$P5:$P1004,Trips!$Z5:$Z1004,$R105,Trips!$D5:$D1004,$A105))</f>
        <v/>
      </c>
      <c r="G105" s="109">
        <f>IF($C105="","",SUMIFS(Trips!$Q5:$Q1004,Trips!$Z5:$Z1004,$R105,Trips!$D5:$D1004,$A105))</f>
        <v/>
      </c>
      <c r="H105" s="108">
        <f>IF(AND($C105="",$I105="",$J105=""),"",N($E105)+N($F105)+N($G105))</f>
        <v/>
      </c>
      <c r="I105" s="109">
        <f>IF($A105="","",IFERROR(1/(1/SUMIFS(Expenses!$F5:$F1004,Expenses!$L5:$L1004,"ADV",Expenses!$J5:$J1004,$R105,Expenses!$E5:$E1004,$A105)),""))</f>
        <v/>
      </c>
      <c r="J105" s="109">
        <f>IF($A105="","",IFERROR(1/(1/SUMIFS(Expenses!$F5:$F1004,Expenses!$L5:$L1004,"PAY",Expenses!$J5:$J1004,$R105,Expenses!$E5:$E1004,$A105)),""))</f>
        <v/>
      </c>
      <c r="K105" s="110">
        <f>IF($H105="","",N($H105)-N($I105)-N($J105))</f>
        <v/>
      </c>
      <c r="L105" s="111">
        <f>IF($K105="","",IF($K105&gt;0.5,"TO PAY",IF($K105&lt;-0.5,"ADVANCE / OWES","SETTLED")))</f>
        <v/>
      </c>
      <c r="R105" s="112" t="n">
        <v>46235</v>
      </c>
    </row>
    <row r="106">
      <c r="A106" s="104">
        <f>IF(Setup!$A78="","",Setup!$A78)</f>
        <v/>
      </c>
      <c r="B106" s="105">
        <f>IF($A106="","",Setup!$B78)</f>
        <v/>
      </c>
      <c r="C106" s="106">
        <f>IF($A106="","",IF(COUNTIFS(Trips!$Z5:$Z1004,$R106,Trips!$D5:$D1004,$A106)+COUNTIFS(Trips!$Z5:$Z1004,$R106,Trips!$E5:$E1004,$A106)=0,"",COUNTIFS(Trips!$Z5:$Z1004,$R106,Trips!$D5:$D1004,$A106)+COUNTIFS(Trips!$Z5:$Z1004,$R106,Trips!$E5:$E1004,$A106)))</f>
        <v/>
      </c>
      <c r="D106" s="107">
        <f>IF($C106="","",SUMIFS(Trips!$K5:$K1004,Trips!$Z5:$Z1004,$R106,Trips!$D5:$D1004,$A106)+SUMIFS(Trips!$K5:$K1004,Trips!$Z5:$Z1004,$R106,Trips!$E5:$E1004,$A106))</f>
        <v/>
      </c>
      <c r="E106" s="108">
        <f>IF($C106="","",SUMIFS(Trips!$N5:$N1004,Trips!$Z5:$Z1004,$R106,Trips!$D5:$D1004,$A106)+SUMIFS(Trips!$O5:$O1004,Trips!$Z5:$Z1004,$R106,Trips!$E5:$E1004,$A106))</f>
        <v/>
      </c>
      <c r="F106" s="109">
        <f>IF($C106="","",SUMIFS(Trips!$P5:$P1004,Trips!$Z5:$Z1004,$R106,Trips!$D5:$D1004,$A106))</f>
        <v/>
      </c>
      <c r="G106" s="109">
        <f>IF($C106="","",SUMIFS(Trips!$Q5:$Q1004,Trips!$Z5:$Z1004,$R106,Trips!$D5:$D1004,$A106))</f>
        <v/>
      </c>
      <c r="H106" s="108">
        <f>IF(AND($C106="",$I106="",$J106=""),"",N($E106)+N($F106)+N($G106))</f>
        <v/>
      </c>
      <c r="I106" s="109">
        <f>IF($A106="","",IFERROR(1/(1/SUMIFS(Expenses!$F5:$F1004,Expenses!$L5:$L1004,"ADV",Expenses!$J5:$J1004,$R106,Expenses!$E5:$E1004,$A106)),""))</f>
        <v/>
      </c>
      <c r="J106" s="109">
        <f>IF($A106="","",IFERROR(1/(1/SUMIFS(Expenses!$F5:$F1004,Expenses!$L5:$L1004,"PAY",Expenses!$J5:$J1004,$R106,Expenses!$E5:$E1004,$A106)),""))</f>
        <v/>
      </c>
      <c r="K106" s="110">
        <f>IF($H106="","",N($H106)-N($I106)-N($J106))</f>
        <v/>
      </c>
      <c r="L106" s="111">
        <f>IF($K106="","",IF($K106&gt;0.5,"TO PAY",IF($K106&lt;-0.5,"ADVANCE / OWES","SETTLED")))</f>
        <v/>
      </c>
      <c r="R106" s="112" t="n">
        <v>46235</v>
      </c>
    </row>
    <row r="107">
      <c r="A107" s="104">
        <f>IF(Setup!$A79="","",Setup!$A79)</f>
        <v/>
      </c>
      <c r="B107" s="105">
        <f>IF($A107="","",Setup!$B79)</f>
        <v/>
      </c>
      <c r="C107" s="106">
        <f>IF($A107="","",IF(COUNTIFS(Trips!$Z5:$Z1004,$R107,Trips!$D5:$D1004,$A107)+COUNTIFS(Trips!$Z5:$Z1004,$R107,Trips!$E5:$E1004,$A107)=0,"",COUNTIFS(Trips!$Z5:$Z1004,$R107,Trips!$D5:$D1004,$A107)+COUNTIFS(Trips!$Z5:$Z1004,$R107,Trips!$E5:$E1004,$A107)))</f>
        <v/>
      </c>
      <c r="D107" s="107">
        <f>IF($C107="","",SUMIFS(Trips!$K5:$K1004,Trips!$Z5:$Z1004,$R107,Trips!$D5:$D1004,$A107)+SUMIFS(Trips!$K5:$K1004,Trips!$Z5:$Z1004,$R107,Trips!$E5:$E1004,$A107))</f>
        <v/>
      </c>
      <c r="E107" s="108">
        <f>IF($C107="","",SUMIFS(Trips!$N5:$N1004,Trips!$Z5:$Z1004,$R107,Trips!$D5:$D1004,$A107)+SUMIFS(Trips!$O5:$O1004,Trips!$Z5:$Z1004,$R107,Trips!$E5:$E1004,$A107))</f>
        <v/>
      </c>
      <c r="F107" s="109">
        <f>IF($C107="","",SUMIFS(Trips!$P5:$P1004,Trips!$Z5:$Z1004,$R107,Trips!$D5:$D1004,$A107))</f>
        <v/>
      </c>
      <c r="G107" s="109">
        <f>IF($C107="","",SUMIFS(Trips!$Q5:$Q1004,Trips!$Z5:$Z1004,$R107,Trips!$D5:$D1004,$A107))</f>
        <v/>
      </c>
      <c r="H107" s="108">
        <f>IF(AND($C107="",$I107="",$J107=""),"",N($E107)+N($F107)+N($G107))</f>
        <v/>
      </c>
      <c r="I107" s="109">
        <f>IF($A107="","",IFERROR(1/(1/SUMIFS(Expenses!$F5:$F1004,Expenses!$L5:$L1004,"ADV",Expenses!$J5:$J1004,$R107,Expenses!$E5:$E1004,$A107)),""))</f>
        <v/>
      </c>
      <c r="J107" s="109">
        <f>IF($A107="","",IFERROR(1/(1/SUMIFS(Expenses!$F5:$F1004,Expenses!$L5:$L1004,"PAY",Expenses!$J5:$J1004,$R107,Expenses!$E5:$E1004,$A107)),""))</f>
        <v/>
      </c>
      <c r="K107" s="110">
        <f>IF($H107="","",N($H107)-N($I107)-N($J107))</f>
        <v/>
      </c>
      <c r="L107" s="111">
        <f>IF($K107="","",IF($K107&gt;0.5,"TO PAY",IF($K107&lt;-0.5,"ADVANCE / OWES","SETTLED")))</f>
        <v/>
      </c>
      <c r="R107" s="112" t="n">
        <v>46235</v>
      </c>
    </row>
    <row r="108">
      <c r="A108" s="104">
        <f>IF(Setup!$A80="","",Setup!$A80)</f>
        <v/>
      </c>
      <c r="B108" s="105">
        <f>IF($A108="","",Setup!$B80)</f>
        <v/>
      </c>
      <c r="C108" s="106">
        <f>IF($A108="","",IF(COUNTIFS(Trips!$Z5:$Z1004,$R108,Trips!$D5:$D1004,$A108)+COUNTIFS(Trips!$Z5:$Z1004,$R108,Trips!$E5:$E1004,$A108)=0,"",COUNTIFS(Trips!$Z5:$Z1004,$R108,Trips!$D5:$D1004,$A108)+COUNTIFS(Trips!$Z5:$Z1004,$R108,Trips!$E5:$E1004,$A108)))</f>
        <v/>
      </c>
      <c r="D108" s="107">
        <f>IF($C108="","",SUMIFS(Trips!$K5:$K1004,Trips!$Z5:$Z1004,$R108,Trips!$D5:$D1004,$A108)+SUMIFS(Trips!$K5:$K1004,Trips!$Z5:$Z1004,$R108,Trips!$E5:$E1004,$A108))</f>
        <v/>
      </c>
      <c r="E108" s="108">
        <f>IF($C108="","",SUMIFS(Trips!$N5:$N1004,Trips!$Z5:$Z1004,$R108,Trips!$D5:$D1004,$A108)+SUMIFS(Trips!$O5:$O1004,Trips!$Z5:$Z1004,$R108,Trips!$E5:$E1004,$A108))</f>
        <v/>
      </c>
      <c r="F108" s="109">
        <f>IF($C108="","",SUMIFS(Trips!$P5:$P1004,Trips!$Z5:$Z1004,$R108,Trips!$D5:$D1004,$A108))</f>
        <v/>
      </c>
      <c r="G108" s="109">
        <f>IF($C108="","",SUMIFS(Trips!$Q5:$Q1004,Trips!$Z5:$Z1004,$R108,Trips!$D5:$D1004,$A108))</f>
        <v/>
      </c>
      <c r="H108" s="108">
        <f>IF(AND($C108="",$I108="",$J108=""),"",N($E108)+N($F108)+N($G108))</f>
        <v/>
      </c>
      <c r="I108" s="109">
        <f>IF($A108="","",IFERROR(1/(1/SUMIFS(Expenses!$F5:$F1004,Expenses!$L5:$L1004,"ADV",Expenses!$J5:$J1004,$R108,Expenses!$E5:$E1004,$A108)),""))</f>
        <v/>
      </c>
      <c r="J108" s="109">
        <f>IF($A108="","",IFERROR(1/(1/SUMIFS(Expenses!$F5:$F1004,Expenses!$L5:$L1004,"PAY",Expenses!$J5:$J1004,$R108,Expenses!$E5:$E1004,$A108)),""))</f>
        <v/>
      </c>
      <c r="K108" s="110">
        <f>IF($H108="","",N($H108)-N($I108)-N($J108))</f>
        <v/>
      </c>
      <c r="L108" s="111">
        <f>IF($K108="","",IF($K108&gt;0.5,"TO PAY",IF($K108&lt;-0.5,"ADVANCE / OWES","SETTLED")))</f>
        <v/>
      </c>
      <c r="R108" s="112" t="n">
        <v>46235</v>
      </c>
    </row>
    <row r="109">
      <c r="A109" s="104">
        <f>IF(Setup!$A81="","",Setup!$A81)</f>
        <v/>
      </c>
      <c r="B109" s="105">
        <f>IF($A109="","",Setup!$B81)</f>
        <v/>
      </c>
      <c r="C109" s="106">
        <f>IF($A109="","",IF(COUNTIFS(Trips!$Z5:$Z1004,$R109,Trips!$D5:$D1004,$A109)+COUNTIFS(Trips!$Z5:$Z1004,$R109,Trips!$E5:$E1004,$A109)=0,"",COUNTIFS(Trips!$Z5:$Z1004,$R109,Trips!$D5:$D1004,$A109)+COUNTIFS(Trips!$Z5:$Z1004,$R109,Trips!$E5:$E1004,$A109)))</f>
        <v/>
      </c>
      <c r="D109" s="107">
        <f>IF($C109="","",SUMIFS(Trips!$K5:$K1004,Trips!$Z5:$Z1004,$R109,Trips!$D5:$D1004,$A109)+SUMIFS(Trips!$K5:$K1004,Trips!$Z5:$Z1004,$R109,Trips!$E5:$E1004,$A109))</f>
        <v/>
      </c>
      <c r="E109" s="108">
        <f>IF($C109="","",SUMIFS(Trips!$N5:$N1004,Trips!$Z5:$Z1004,$R109,Trips!$D5:$D1004,$A109)+SUMIFS(Trips!$O5:$O1004,Trips!$Z5:$Z1004,$R109,Trips!$E5:$E1004,$A109))</f>
        <v/>
      </c>
      <c r="F109" s="109">
        <f>IF($C109="","",SUMIFS(Trips!$P5:$P1004,Trips!$Z5:$Z1004,$R109,Trips!$D5:$D1004,$A109))</f>
        <v/>
      </c>
      <c r="G109" s="109">
        <f>IF($C109="","",SUMIFS(Trips!$Q5:$Q1004,Trips!$Z5:$Z1004,$R109,Trips!$D5:$D1004,$A109))</f>
        <v/>
      </c>
      <c r="H109" s="108">
        <f>IF(AND($C109="",$I109="",$J109=""),"",N($E109)+N($F109)+N($G109))</f>
        <v/>
      </c>
      <c r="I109" s="109">
        <f>IF($A109="","",IFERROR(1/(1/SUMIFS(Expenses!$F5:$F1004,Expenses!$L5:$L1004,"ADV",Expenses!$J5:$J1004,$R109,Expenses!$E5:$E1004,$A109)),""))</f>
        <v/>
      </c>
      <c r="J109" s="109">
        <f>IF($A109="","",IFERROR(1/(1/SUMIFS(Expenses!$F5:$F1004,Expenses!$L5:$L1004,"PAY",Expenses!$J5:$J1004,$R109,Expenses!$E5:$E1004,$A109)),""))</f>
        <v/>
      </c>
      <c r="K109" s="110">
        <f>IF($H109="","",N($H109)-N($I109)-N($J109))</f>
        <v/>
      </c>
      <c r="L109" s="111">
        <f>IF($K109="","",IF($K109&gt;0.5,"TO PAY",IF($K109&lt;-0.5,"ADVANCE / OWES","SETTLED")))</f>
        <v/>
      </c>
      <c r="R109" s="112" t="n">
        <v>46235</v>
      </c>
    </row>
    <row r="110">
      <c r="A110" s="104">
        <f>IF(Setup!$A82="","",Setup!$A82)</f>
        <v/>
      </c>
      <c r="B110" s="105">
        <f>IF($A110="","",Setup!$B82)</f>
        <v/>
      </c>
      <c r="C110" s="106">
        <f>IF($A110="","",IF(COUNTIFS(Trips!$Z5:$Z1004,$R110,Trips!$D5:$D1004,$A110)+COUNTIFS(Trips!$Z5:$Z1004,$R110,Trips!$E5:$E1004,$A110)=0,"",COUNTIFS(Trips!$Z5:$Z1004,$R110,Trips!$D5:$D1004,$A110)+COUNTIFS(Trips!$Z5:$Z1004,$R110,Trips!$E5:$E1004,$A110)))</f>
        <v/>
      </c>
      <c r="D110" s="107">
        <f>IF($C110="","",SUMIFS(Trips!$K5:$K1004,Trips!$Z5:$Z1004,$R110,Trips!$D5:$D1004,$A110)+SUMIFS(Trips!$K5:$K1004,Trips!$Z5:$Z1004,$R110,Trips!$E5:$E1004,$A110))</f>
        <v/>
      </c>
      <c r="E110" s="108">
        <f>IF($C110="","",SUMIFS(Trips!$N5:$N1004,Trips!$Z5:$Z1004,$R110,Trips!$D5:$D1004,$A110)+SUMIFS(Trips!$O5:$O1004,Trips!$Z5:$Z1004,$R110,Trips!$E5:$E1004,$A110))</f>
        <v/>
      </c>
      <c r="F110" s="109">
        <f>IF($C110="","",SUMIFS(Trips!$P5:$P1004,Trips!$Z5:$Z1004,$R110,Trips!$D5:$D1004,$A110))</f>
        <v/>
      </c>
      <c r="G110" s="109">
        <f>IF($C110="","",SUMIFS(Trips!$Q5:$Q1004,Trips!$Z5:$Z1004,$R110,Trips!$D5:$D1004,$A110))</f>
        <v/>
      </c>
      <c r="H110" s="108">
        <f>IF(AND($C110="",$I110="",$J110=""),"",N($E110)+N($F110)+N($G110))</f>
        <v/>
      </c>
      <c r="I110" s="109">
        <f>IF($A110="","",IFERROR(1/(1/SUMIFS(Expenses!$F5:$F1004,Expenses!$L5:$L1004,"ADV",Expenses!$J5:$J1004,$R110,Expenses!$E5:$E1004,$A110)),""))</f>
        <v/>
      </c>
      <c r="J110" s="109">
        <f>IF($A110="","",IFERROR(1/(1/SUMIFS(Expenses!$F5:$F1004,Expenses!$L5:$L1004,"PAY",Expenses!$J5:$J1004,$R110,Expenses!$E5:$E1004,$A110)),""))</f>
        <v/>
      </c>
      <c r="K110" s="110">
        <f>IF($H110="","",N($H110)-N($I110)-N($J110))</f>
        <v/>
      </c>
      <c r="L110" s="111">
        <f>IF($K110="","",IF($K110&gt;0.5,"TO PAY",IF($K110&lt;-0.5,"ADVANCE / OWES","SETTLED")))</f>
        <v/>
      </c>
      <c r="R110" s="112" t="n">
        <v>46235</v>
      </c>
    </row>
    <row r="111">
      <c r="A111" s="104">
        <f>IF(Setup!$A83="","",Setup!$A83)</f>
        <v/>
      </c>
      <c r="B111" s="105">
        <f>IF($A111="","",Setup!$B83)</f>
        <v/>
      </c>
      <c r="C111" s="106">
        <f>IF($A111="","",IF(COUNTIFS(Trips!$Z5:$Z1004,$R111,Trips!$D5:$D1004,$A111)+COUNTIFS(Trips!$Z5:$Z1004,$R111,Trips!$E5:$E1004,$A111)=0,"",COUNTIFS(Trips!$Z5:$Z1004,$R111,Trips!$D5:$D1004,$A111)+COUNTIFS(Trips!$Z5:$Z1004,$R111,Trips!$E5:$E1004,$A111)))</f>
        <v/>
      </c>
      <c r="D111" s="107">
        <f>IF($C111="","",SUMIFS(Trips!$K5:$K1004,Trips!$Z5:$Z1004,$R111,Trips!$D5:$D1004,$A111)+SUMIFS(Trips!$K5:$K1004,Trips!$Z5:$Z1004,$R111,Trips!$E5:$E1004,$A111))</f>
        <v/>
      </c>
      <c r="E111" s="108">
        <f>IF($C111="","",SUMIFS(Trips!$N5:$N1004,Trips!$Z5:$Z1004,$R111,Trips!$D5:$D1004,$A111)+SUMIFS(Trips!$O5:$O1004,Trips!$Z5:$Z1004,$R111,Trips!$E5:$E1004,$A111))</f>
        <v/>
      </c>
      <c r="F111" s="109">
        <f>IF($C111="","",SUMIFS(Trips!$P5:$P1004,Trips!$Z5:$Z1004,$R111,Trips!$D5:$D1004,$A111))</f>
        <v/>
      </c>
      <c r="G111" s="109">
        <f>IF($C111="","",SUMIFS(Trips!$Q5:$Q1004,Trips!$Z5:$Z1004,$R111,Trips!$D5:$D1004,$A111))</f>
        <v/>
      </c>
      <c r="H111" s="108">
        <f>IF(AND($C111="",$I111="",$J111=""),"",N($E111)+N($F111)+N($G111))</f>
        <v/>
      </c>
      <c r="I111" s="109">
        <f>IF($A111="","",IFERROR(1/(1/SUMIFS(Expenses!$F5:$F1004,Expenses!$L5:$L1004,"ADV",Expenses!$J5:$J1004,$R111,Expenses!$E5:$E1004,$A111)),""))</f>
        <v/>
      </c>
      <c r="J111" s="109">
        <f>IF($A111="","",IFERROR(1/(1/SUMIFS(Expenses!$F5:$F1004,Expenses!$L5:$L1004,"PAY",Expenses!$J5:$J1004,$R111,Expenses!$E5:$E1004,$A111)),""))</f>
        <v/>
      </c>
      <c r="K111" s="110">
        <f>IF($H111="","",N($H111)-N($I111)-N($J111))</f>
        <v/>
      </c>
      <c r="L111" s="111">
        <f>IF($K111="","",IF($K111&gt;0.5,"TO PAY",IF($K111&lt;-0.5,"ADVANCE / OWES","SETTLED")))</f>
        <v/>
      </c>
      <c r="R111" s="112" t="n">
        <v>46235</v>
      </c>
    </row>
    <row r="112">
      <c r="A112" s="104">
        <f>IF(Setup!$A84="","",Setup!$A84)</f>
        <v/>
      </c>
      <c r="B112" s="105">
        <f>IF($A112="","",Setup!$B84)</f>
        <v/>
      </c>
      <c r="C112" s="106">
        <f>IF($A112="","",IF(COUNTIFS(Trips!$Z5:$Z1004,$R112,Trips!$D5:$D1004,$A112)+COUNTIFS(Trips!$Z5:$Z1004,$R112,Trips!$E5:$E1004,$A112)=0,"",COUNTIFS(Trips!$Z5:$Z1004,$R112,Trips!$D5:$D1004,$A112)+COUNTIFS(Trips!$Z5:$Z1004,$R112,Trips!$E5:$E1004,$A112)))</f>
        <v/>
      </c>
      <c r="D112" s="107">
        <f>IF($C112="","",SUMIFS(Trips!$K5:$K1004,Trips!$Z5:$Z1004,$R112,Trips!$D5:$D1004,$A112)+SUMIFS(Trips!$K5:$K1004,Trips!$Z5:$Z1004,$R112,Trips!$E5:$E1004,$A112))</f>
        <v/>
      </c>
      <c r="E112" s="108">
        <f>IF($C112="","",SUMIFS(Trips!$N5:$N1004,Trips!$Z5:$Z1004,$R112,Trips!$D5:$D1004,$A112)+SUMIFS(Trips!$O5:$O1004,Trips!$Z5:$Z1004,$R112,Trips!$E5:$E1004,$A112))</f>
        <v/>
      </c>
      <c r="F112" s="109">
        <f>IF($C112="","",SUMIFS(Trips!$P5:$P1004,Trips!$Z5:$Z1004,$R112,Trips!$D5:$D1004,$A112))</f>
        <v/>
      </c>
      <c r="G112" s="109">
        <f>IF($C112="","",SUMIFS(Trips!$Q5:$Q1004,Trips!$Z5:$Z1004,$R112,Trips!$D5:$D1004,$A112))</f>
        <v/>
      </c>
      <c r="H112" s="108">
        <f>IF(AND($C112="",$I112="",$J112=""),"",N($E112)+N($F112)+N($G112))</f>
        <v/>
      </c>
      <c r="I112" s="109">
        <f>IF($A112="","",IFERROR(1/(1/SUMIFS(Expenses!$F5:$F1004,Expenses!$L5:$L1004,"ADV",Expenses!$J5:$J1004,$R112,Expenses!$E5:$E1004,$A112)),""))</f>
        <v/>
      </c>
      <c r="J112" s="109">
        <f>IF($A112="","",IFERROR(1/(1/SUMIFS(Expenses!$F5:$F1004,Expenses!$L5:$L1004,"PAY",Expenses!$J5:$J1004,$R112,Expenses!$E5:$E1004,$A112)),""))</f>
        <v/>
      </c>
      <c r="K112" s="110">
        <f>IF($H112="","",N($H112)-N($I112)-N($J112))</f>
        <v/>
      </c>
      <c r="L112" s="111">
        <f>IF($K112="","",IF($K112&gt;0.5,"TO PAY",IF($K112&lt;-0.5,"ADVANCE / OWES","SETTLED")))</f>
        <v/>
      </c>
      <c r="R112" s="112" t="n">
        <v>46235</v>
      </c>
    </row>
    <row r="113">
      <c r="A113" s="104">
        <f>IF(Setup!$A85="","",Setup!$A85)</f>
        <v/>
      </c>
      <c r="B113" s="105">
        <f>IF($A113="","",Setup!$B85)</f>
        <v/>
      </c>
      <c r="C113" s="106">
        <f>IF($A113="","",IF(COUNTIFS(Trips!$Z5:$Z1004,$R113,Trips!$D5:$D1004,$A113)+COUNTIFS(Trips!$Z5:$Z1004,$R113,Trips!$E5:$E1004,$A113)=0,"",COUNTIFS(Trips!$Z5:$Z1004,$R113,Trips!$D5:$D1004,$A113)+COUNTIFS(Trips!$Z5:$Z1004,$R113,Trips!$E5:$E1004,$A113)))</f>
        <v/>
      </c>
      <c r="D113" s="107">
        <f>IF($C113="","",SUMIFS(Trips!$K5:$K1004,Trips!$Z5:$Z1004,$R113,Trips!$D5:$D1004,$A113)+SUMIFS(Trips!$K5:$K1004,Trips!$Z5:$Z1004,$R113,Trips!$E5:$E1004,$A113))</f>
        <v/>
      </c>
      <c r="E113" s="108">
        <f>IF($C113="","",SUMIFS(Trips!$N5:$N1004,Trips!$Z5:$Z1004,$R113,Trips!$D5:$D1004,$A113)+SUMIFS(Trips!$O5:$O1004,Trips!$Z5:$Z1004,$R113,Trips!$E5:$E1004,$A113))</f>
        <v/>
      </c>
      <c r="F113" s="109">
        <f>IF($C113="","",SUMIFS(Trips!$P5:$P1004,Trips!$Z5:$Z1004,$R113,Trips!$D5:$D1004,$A113))</f>
        <v/>
      </c>
      <c r="G113" s="109">
        <f>IF($C113="","",SUMIFS(Trips!$Q5:$Q1004,Trips!$Z5:$Z1004,$R113,Trips!$D5:$D1004,$A113))</f>
        <v/>
      </c>
      <c r="H113" s="108">
        <f>IF(AND($C113="",$I113="",$J113=""),"",N($E113)+N($F113)+N($G113))</f>
        <v/>
      </c>
      <c r="I113" s="109">
        <f>IF($A113="","",IFERROR(1/(1/SUMIFS(Expenses!$F5:$F1004,Expenses!$L5:$L1004,"ADV",Expenses!$J5:$J1004,$R113,Expenses!$E5:$E1004,$A113)),""))</f>
        <v/>
      </c>
      <c r="J113" s="109">
        <f>IF($A113="","",IFERROR(1/(1/SUMIFS(Expenses!$F5:$F1004,Expenses!$L5:$L1004,"PAY",Expenses!$J5:$J1004,$R113,Expenses!$E5:$E1004,$A113)),""))</f>
        <v/>
      </c>
      <c r="K113" s="110">
        <f>IF($H113="","",N($H113)-N($I113)-N($J113))</f>
        <v/>
      </c>
      <c r="L113" s="111">
        <f>IF($K113="","",IF($K113&gt;0.5,"TO PAY",IF($K113&lt;-0.5,"ADVANCE / OWES","SETTLED")))</f>
        <v/>
      </c>
      <c r="R113" s="112" t="n">
        <v>46235</v>
      </c>
    </row>
    <row r="114">
      <c r="A114" s="104">
        <f>IF(Setup!$A86="","",Setup!$A86)</f>
        <v/>
      </c>
      <c r="B114" s="105">
        <f>IF($A114="","",Setup!$B86)</f>
        <v/>
      </c>
      <c r="C114" s="106">
        <f>IF($A114="","",IF(COUNTIFS(Trips!$Z5:$Z1004,$R114,Trips!$D5:$D1004,$A114)+COUNTIFS(Trips!$Z5:$Z1004,$R114,Trips!$E5:$E1004,$A114)=0,"",COUNTIFS(Trips!$Z5:$Z1004,$R114,Trips!$D5:$D1004,$A114)+COUNTIFS(Trips!$Z5:$Z1004,$R114,Trips!$E5:$E1004,$A114)))</f>
        <v/>
      </c>
      <c r="D114" s="107">
        <f>IF($C114="","",SUMIFS(Trips!$K5:$K1004,Trips!$Z5:$Z1004,$R114,Trips!$D5:$D1004,$A114)+SUMIFS(Trips!$K5:$K1004,Trips!$Z5:$Z1004,$R114,Trips!$E5:$E1004,$A114))</f>
        <v/>
      </c>
      <c r="E114" s="108">
        <f>IF($C114="","",SUMIFS(Trips!$N5:$N1004,Trips!$Z5:$Z1004,$R114,Trips!$D5:$D1004,$A114)+SUMIFS(Trips!$O5:$O1004,Trips!$Z5:$Z1004,$R114,Trips!$E5:$E1004,$A114))</f>
        <v/>
      </c>
      <c r="F114" s="109">
        <f>IF($C114="","",SUMIFS(Trips!$P5:$P1004,Trips!$Z5:$Z1004,$R114,Trips!$D5:$D1004,$A114))</f>
        <v/>
      </c>
      <c r="G114" s="109">
        <f>IF($C114="","",SUMIFS(Trips!$Q5:$Q1004,Trips!$Z5:$Z1004,$R114,Trips!$D5:$D1004,$A114))</f>
        <v/>
      </c>
      <c r="H114" s="108">
        <f>IF(AND($C114="",$I114="",$J114=""),"",N($E114)+N($F114)+N($G114))</f>
        <v/>
      </c>
      <c r="I114" s="109">
        <f>IF($A114="","",IFERROR(1/(1/SUMIFS(Expenses!$F5:$F1004,Expenses!$L5:$L1004,"ADV",Expenses!$J5:$J1004,$R114,Expenses!$E5:$E1004,$A114)),""))</f>
        <v/>
      </c>
      <c r="J114" s="109">
        <f>IF($A114="","",IFERROR(1/(1/SUMIFS(Expenses!$F5:$F1004,Expenses!$L5:$L1004,"PAY",Expenses!$J5:$J1004,$R114,Expenses!$E5:$E1004,$A114)),""))</f>
        <v/>
      </c>
      <c r="K114" s="110">
        <f>IF($H114="","",N($H114)-N($I114)-N($J114))</f>
        <v/>
      </c>
      <c r="L114" s="111">
        <f>IF($K114="","",IF($K114&gt;0.5,"TO PAY",IF($K114&lt;-0.5,"ADVANCE / OWES","SETTLED")))</f>
        <v/>
      </c>
      <c r="R114" s="112" t="n">
        <v>46235</v>
      </c>
    </row>
    <row r="115">
      <c r="A115" s="104">
        <f>IF(Setup!$A87="","",Setup!$A87)</f>
        <v/>
      </c>
      <c r="B115" s="105">
        <f>IF($A115="","",Setup!$B87)</f>
        <v/>
      </c>
      <c r="C115" s="106">
        <f>IF($A115="","",IF(COUNTIFS(Trips!$Z5:$Z1004,$R115,Trips!$D5:$D1004,$A115)+COUNTIFS(Trips!$Z5:$Z1004,$R115,Trips!$E5:$E1004,$A115)=0,"",COUNTIFS(Trips!$Z5:$Z1004,$R115,Trips!$D5:$D1004,$A115)+COUNTIFS(Trips!$Z5:$Z1004,$R115,Trips!$E5:$E1004,$A115)))</f>
        <v/>
      </c>
      <c r="D115" s="107">
        <f>IF($C115="","",SUMIFS(Trips!$K5:$K1004,Trips!$Z5:$Z1004,$R115,Trips!$D5:$D1004,$A115)+SUMIFS(Trips!$K5:$K1004,Trips!$Z5:$Z1004,$R115,Trips!$E5:$E1004,$A115))</f>
        <v/>
      </c>
      <c r="E115" s="108">
        <f>IF($C115="","",SUMIFS(Trips!$N5:$N1004,Trips!$Z5:$Z1004,$R115,Trips!$D5:$D1004,$A115)+SUMIFS(Trips!$O5:$O1004,Trips!$Z5:$Z1004,$R115,Trips!$E5:$E1004,$A115))</f>
        <v/>
      </c>
      <c r="F115" s="109">
        <f>IF($C115="","",SUMIFS(Trips!$P5:$P1004,Trips!$Z5:$Z1004,$R115,Trips!$D5:$D1004,$A115))</f>
        <v/>
      </c>
      <c r="G115" s="109">
        <f>IF($C115="","",SUMIFS(Trips!$Q5:$Q1004,Trips!$Z5:$Z1004,$R115,Trips!$D5:$D1004,$A115))</f>
        <v/>
      </c>
      <c r="H115" s="108">
        <f>IF(AND($C115="",$I115="",$J115=""),"",N($E115)+N($F115)+N($G115))</f>
        <v/>
      </c>
      <c r="I115" s="109">
        <f>IF($A115="","",IFERROR(1/(1/SUMIFS(Expenses!$F5:$F1004,Expenses!$L5:$L1004,"ADV",Expenses!$J5:$J1004,$R115,Expenses!$E5:$E1004,$A115)),""))</f>
        <v/>
      </c>
      <c r="J115" s="109">
        <f>IF($A115="","",IFERROR(1/(1/SUMIFS(Expenses!$F5:$F1004,Expenses!$L5:$L1004,"PAY",Expenses!$J5:$J1004,$R115,Expenses!$E5:$E1004,$A115)),""))</f>
        <v/>
      </c>
      <c r="K115" s="110">
        <f>IF($H115="","",N($H115)-N($I115)-N($J115))</f>
        <v/>
      </c>
      <c r="L115" s="111">
        <f>IF($K115="","",IF($K115&gt;0.5,"TO PAY",IF($K115&lt;-0.5,"ADVANCE / OWES","SETTLED")))</f>
        <v/>
      </c>
      <c r="R115" s="112" t="n">
        <v>46235</v>
      </c>
    </row>
    <row r="116">
      <c r="A116" s="113" t="inlineStr">
        <is>
          <t>MONTH TOTAL</t>
        </is>
      </c>
      <c r="B116" s="114" t="n"/>
      <c r="C116" s="115">
        <f>IF(COUNT(C104:C115)=0,"",SUM(C104:C115))</f>
        <v/>
      </c>
      <c r="D116" s="116">
        <f>IF(COUNT(D104:D115)=0,"",SUM(D104:D115))</f>
        <v/>
      </c>
      <c r="E116" s="117">
        <f>IF(COUNT(E104:E115)=0,"",SUM(E104:E115))</f>
        <v/>
      </c>
      <c r="F116" s="117">
        <f>IF(COUNT(F104:F115)=0,"",SUM(F104:F115))</f>
        <v/>
      </c>
      <c r="G116" s="117">
        <f>IF(COUNT(G104:G115)=0,"",SUM(G104:G115))</f>
        <v/>
      </c>
      <c r="H116" s="117">
        <f>IF(COUNT(H104:H115)=0,"",SUM(H104:H115))</f>
        <v/>
      </c>
      <c r="I116" s="117">
        <f>IF(COUNT(I104:I115)=0,"",SUM(I104:I115))</f>
        <v/>
      </c>
      <c r="J116" s="117">
        <f>IF(COUNT(J104:J115)=0,"",SUM(J104:J115))</f>
        <v/>
      </c>
      <c r="K116" s="117">
        <f>IF(COUNT(K104:K115)=0,"",SUM(K104:K115))</f>
        <v/>
      </c>
      <c r="L116" s="118" t="n"/>
    </row>
    <row r="117" ht="24" customHeight="1">
      <c r="A117" s="103" t="inlineStr">
        <is>
          <t>SEPTEMBER 2026   ·   crew earnings &amp; settlement</t>
        </is>
      </c>
    </row>
    <row r="118">
      <c r="A118" s="104">
        <f>IF(Setup!$A76="","",Setup!$A76)</f>
        <v/>
      </c>
      <c r="B118" s="105">
        <f>IF($A118="","",Setup!$B76)</f>
        <v/>
      </c>
      <c r="C118" s="106">
        <f>IF($A118="","",IF(COUNTIFS(Trips!$Z5:$Z1004,$R118,Trips!$D5:$D1004,$A118)+COUNTIFS(Trips!$Z5:$Z1004,$R118,Trips!$E5:$E1004,$A118)=0,"",COUNTIFS(Trips!$Z5:$Z1004,$R118,Trips!$D5:$D1004,$A118)+COUNTIFS(Trips!$Z5:$Z1004,$R118,Trips!$E5:$E1004,$A118)))</f>
        <v/>
      </c>
      <c r="D118" s="107">
        <f>IF($C118="","",SUMIFS(Trips!$K5:$K1004,Trips!$Z5:$Z1004,$R118,Trips!$D5:$D1004,$A118)+SUMIFS(Trips!$K5:$K1004,Trips!$Z5:$Z1004,$R118,Trips!$E5:$E1004,$A118))</f>
        <v/>
      </c>
      <c r="E118" s="108">
        <f>IF($C118="","",SUMIFS(Trips!$N5:$N1004,Trips!$Z5:$Z1004,$R118,Trips!$D5:$D1004,$A118)+SUMIFS(Trips!$O5:$O1004,Trips!$Z5:$Z1004,$R118,Trips!$E5:$E1004,$A118))</f>
        <v/>
      </c>
      <c r="F118" s="109">
        <f>IF($C118="","",SUMIFS(Trips!$P5:$P1004,Trips!$Z5:$Z1004,$R118,Trips!$D5:$D1004,$A118))</f>
        <v/>
      </c>
      <c r="G118" s="109">
        <f>IF($C118="","",SUMIFS(Trips!$Q5:$Q1004,Trips!$Z5:$Z1004,$R118,Trips!$D5:$D1004,$A118))</f>
        <v/>
      </c>
      <c r="H118" s="108">
        <f>IF(AND($C118="",$I118="",$J118=""),"",N($E118)+N($F118)+N($G118))</f>
        <v/>
      </c>
      <c r="I118" s="109">
        <f>IF($A118="","",IFERROR(1/(1/SUMIFS(Expenses!$F5:$F1004,Expenses!$L5:$L1004,"ADV",Expenses!$J5:$J1004,$R118,Expenses!$E5:$E1004,$A118)),""))</f>
        <v/>
      </c>
      <c r="J118" s="109">
        <f>IF($A118="","",IFERROR(1/(1/SUMIFS(Expenses!$F5:$F1004,Expenses!$L5:$L1004,"PAY",Expenses!$J5:$J1004,$R118,Expenses!$E5:$E1004,$A118)),""))</f>
        <v/>
      </c>
      <c r="K118" s="110">
        <f>IF($H118="","",N($H118)-N($I118)-N($J118))</f>
        <v/>
      </c>
      <c r="L118" s="111">
        <f>IF($K118="","",IF($K118&gt;0.5,"TO PAY",IF($K118&lt;-0.5,"ADVANCE / OWES","SETTLED")))</f>
        <v/>
      </c>
      <c r="R118" s="112" t="n">
        <v>46266</v>
      </c>
    </row>
    <row r="119">
      <c r="A119" s="104">
        <f>IF(Setup!$A77="","",Setup!$A77)</f>
        <v/>
      </c>
      <c r="B119" s="105">
        <f>IF($A119="","",Setup!$B77)</f>
        <v/>
      </c>
      <c r="C119" s="106">
        <f>IF($A119="","",IF(COUNTIFS(Trips!$Z5:$Z1004,$R119,Trips!$D5:$D1004,$A119)+COUNTIFS(Trips!$Z5:$Z1004,$R119,Trips!$E5:$E1004,$A119)=0,"",COUNTIFS(Trips!$Z5:$Z1004,$R119,Trips!$D5:$D1004,$A119)+COUNTIFS(Trips!$Z5:$Z1004,$R119,Trips!$E5:$E1004,$A119)))</f>
        <v/>
      </c>
      <c r="D119" s="107">
        <f>IF($C119="","",SUMIFS(Trips!$K5:$K1004,Trips!$Z5:$Z1004,$R119,Trips!$D5:$D1004,$A119)+SUMIFS(Trips!$K5:$K1004,Trips!$Z5:$Z1004,$R119,Trips!$E5:$E1004,$A119))</f>
        <v/>
      </c>
      <c r="E119" s="108">
        <f>IF($C119="","",SUMIFS(Trips!$N5:$N1004,Trips!$Z5:$Z1004,$R119,Trips!$D5:$D1004,$A119)+SUMIFS(Trips!$O5:$O1004,Trips!$Z5:$Z1004,$R119,Trips!$E5:$E1004,$A119))</f>
        <v/>
      </c>
      <c r="F119" s="109">
        <f>IF($C119="","",SUMIFS(Trips!$P5:$P1004,Trips!$Z5:$Z1004,$R119,Trips!$D5:$D1004,$A119))</f>
        <v/>
      </c>
      <c r="G119" s="109">
        <f>IF($C119="","",SUMIFS(Trips!$Q5:$Q1004,Trips!$Z5:$Z1004,$R119,Trips!$D5:$D1004,$A119))</f>
        <v/>
      </c>
      <c r="H119" s="108">
        <f>IF(AND($C119="",$I119="",$J119=""),"",N($E119)+N($F119)+N($G119))</f>
        <v/>
      </c>
      <c r="I119" s="109">
        <f>IF($A119="","",IFERROR(1/(1/SUMIFS(Expenses!$F5:$F1004,Expenses!$L5:$L1004,"ADV",Expenses!$J5:$J1004,$R119,Expenses!$E5:$E1004,$A119)),""))</f>
        <v/>
      </c>
      <c r="J119" s="109">
        <f>IF($A119="","",IFERROR(1/(1/SUMIFS(Expenses!$F5:$F1004,Expenses!$L5:$L1004,"PAY",Expenses!$J5:$J1004,$R119,Expenses!$E5:$E1004,$A119)),""))</f>
        <v/>
      </c>
      <c r="K119" s="110">
        <f>IF($H119="","",N($H119)-N($I119)-N($J119))</f>
        <v/>
      </c>
      <c r="L119" s="111">
        <f>IF($K119="","",IF($K119&gt;0.5,"TO PAY",IF($K119&lt;-0.5,"ADVANCE / OWES","SETTLED")))</f>
        <v/>
      </c>
      <c r="R119" s="112" t="n">
        <v>46266</v>
      </c>
    </row>
    <row r="120">
      <c r="A120" s="104">
        <f>IF(Setup!$A78="","",Setup!$A78)</f>
        <v/>
      </c>
      <c r="B120" s="105">
        <f>IF($A120="","",Setup!$B78)</f>
        <v/>
      </c>
      <c r="C120" s="106">
        <f>IF($A120="","",IF(COUNTIFS(Trips!$Z5:$Z1004,$R120,Trips!$D5:$D1004,$A120)+COUNTIFS(Trips!$Z5:$Z1004,$R120,Trips!$E5:$E1004,$A120)=0,"",COUNTIFS(Trips!$Z5:$Z1004,$R120,Trips!$D5:$D1004,$A120)+COUNTIFS(Trips!$Z5:$Z1004,$R120,Trips!$E5:$E1004,$A120)))</f>
        <v/>
      </c>
      <c r="D120" s="107">
        <f>IF($C120="","",SUMIFS(Trips!$K5:$K1004,Trips!$Z5:$Z1004,$R120,Trips!$D5:$D1004,$A120)+SUMIFS(Trips!$K5:$K1004,Trips!$Z5:$Z1004,$R120,Trips!$E5:$E1004,$A120))</f>
        <v/>
      </c>
      <c r="E120" s="108">
        <f>IF($C120="","",SUMIFS(Trips!$N5:$N1004,Trips!$Z5:$Z1004,$R120,Trips!$D5:$D1004,$A120)+SUMIFS(Trips!$O5:$O1004,Trips!$Z5:$Z1004,$R120,Trips!$E5:$E1004,$A120))</f>
        <v/>
      </c>
      <c r="F120" s="109">
        <f>IF($C120="","",SUMIFS(Trips!$P5:$P1004,Trips!$Z5:$Z1004,$R120,Trips!$D5:$D1004,$A120))</f>
        <v/>
      </c>
      <c r="G120" s="109">
        <f>IF($C120="","",SUMIFS(Trips!$Q5:$Q1004,Trips!$Z5:$Z1004,$R120,Trips!$D5:$D1004,$A120))</f>
        <v/>
      </c>
      <c r="H120" s="108">
        <f>IF(AND($C120="",$I120="",$J120=""),"",N($E120)+N($F120)+N($G120))</f>
        <v/>
      </c>
      <c r="I120" s="109">
        <f>IF($A120="","",IFERROR(1/(1/SUMIFS(Expenses!$F5:$F1004,Expenses!$L5:$L1004,"ADV",Expenses!$J5:$J1004,$R120,Expenses!$E5:$E1004,$A120)),""))</f>
        <v/>
      </c>
      <c r="J120" s="109">
        <f>IF($A120="","",IFERROR(1/(1/SUMIFS(Expenses!$F5:$F1004,Expenses!$L5:$L1004,"PAY",Expenses!$J5:$J1004,$R120,Expenses!$E5:$E1004,$A120)),""))</f>
        <v/>
      </c>
      <c r="K120" s="110">
        <f>IF($H120="","",N($H120)-N($I120)-N($J120))</f>
        <v/>
      </c>
      <c r="L120" s="111">
        <f>IF($K120="","",IF($K120&gt;0.5,"TO PAY",IF($K120&lt;-0.5,"ADVANCE / OWES","SETTLED")))</f>
        <v/>
      </c>
      <c r="R120" s="112" t="n">
        <v>46266</v>
      </c>
    </row>
    <row r="121">
      <c r="A121" s="104">
        <f>IF(Setup!$A79="","",Setup!$A79)</f>
        <v/>
      </c>
      <c r="B121" s="105">
        <f>IF($A121="","",Setup!$B79)</f>
        <v/>
      </c>
      <c r="C121" s="106">
        <f>IF($A121="","",IF(COUNTIFS(Trips!$Z5:$Z1004,$R121,Trips!$D5:$D1004,$A121)+COUNTIFS(Trips!$Z5:$Z1004,$R121,Trips!$E5:$E1004,$A121)=0,"",COUNTIFS(Trips!$Z5:$Z1004,$R121,Trips!$D5:$D1004,$A121)+COUNTIFS(Trips!$Z5:$Z1004,$R121,Trips!$E5:$E1004,$A121)))</f>
        <v/>
      </c>
      <c r="D121" s="107">
        <f>IF($C121="","",SUMIFS(Trips!$K5:$K1004,Trips!$Z5:$Z1004,$R121,Trips!$D5:$D1004,$A121)+SUMIFS(Trips!$K5:$K1004,Trips!$Z5:$Z1004,$R121,Trips!$E5:$E1004,$A121))</f>
        <v/>
      </c>
      <c r="E121" s="108">
        <f>IF($C121="","",SUMIFS(Trips!$N5:$N1004,Trips!$Z5:$Z1004,$R121,Trips!$D5:$D1004,$A121)+SUMIFS(Trips!$O5:$O1004,Trips!$Z5:$Z1004,$R121,Trips!$E5:$E1004,$A121))</f>
        <v/>
      </c>
      <c r="F121" s="109">
        <f>IF($C121="","",SUMIFS(Trips!$P5:$P1004,Trips!$Z5:$Z1004,$R121,Trips!$D5:$D1004,$A121))</f>
        <v/>
      </c>
      <c r="G121" s="109">
        <f>IF($C121="","",SUMIFS(Trips!$Q5:$Q1004,Trips!$Z5:$Z1004,$R121,Trips!$D5:$D1004,$A121))</f>
        <v/>
      </c>
      <c r="H121" s="108">
        <f>IF(AND($C121="",$I121="",$J121=""),"",N($E121)+N($F121)+N($G121))</f>
        <v/>
      </c>
      <c r="I121" s="109">
        <f>IF($A121="","",IFERROR(1/(1/SUMIFS(Expenses!$F5:$F1004,Expenses!$L5:$L1004,"ADV",Expenses!$J5:$J1004,$R121,Expenses!$E5:$E1004,$A121)),""))</f>
        <v/>
      </c>
      <c r="J121" s="109">
        <f>IF($A121="","",IFERROR(1/(1/SUMIFS(Expenses!$F5:$F1004,Expenses!$L5:$L1004,"PAY",Expenses!$J5:$J1004,$R121,Expenses!$E5:$E1004,$A121)),""))</f>
        <v/>
      </c>
      <c r="K121" s="110">
        <f>IF($H121="","",N($H121)-N($I121)-N($J121))</f>
        <v/>
      </c>
      <c r="L121" s="111">
        <f>IF($K121="","",IF($K121&gt;0.5,"TO PAY",IF($K121&lt;-0.5,"ADVANCE / OWES","SETTLED")))</f>
        <v/>
      </c>
      <c r="R121" s="112" t="n">
        <v>46266</v>
      </c>
    </row>
    <row r="122">
      <c r="A122" s="104">
        <f>IF(Setup!$A80="","",Setup!$A80)</f>
        <v/>
      </c>
      <c r="B122" s="105">
        <f>IF($A122="","",Setup!$B80)</f>
        <v/>
      </c>
      <c r="C122" s="106">
        <f>IF($A122="","",IF(COUNTIFS(Trips!$Z5:$Z1004,$R122,Trips!$D5:$D1004,$A122)+COUNTIFS(Trips!$Z5:$Z1004,$R122,Trips!$E5:$E1004,$A122)=0,"",COUNTIFS(Trips!$Z5:$Z1004,$R122,Trips!$D5:$D1004,$A122)+COUNTIFS(Trips!$Z5:$Z1004,$R122,Trips!$E5:$E1004,$A122)))</f>
        <v/>
      </c>
      <c r="D122" s="107">
        <f>IF($C122="","",SUMIFS(Trips!$K5:$K1004,Trips!$Z5:$Z1004,$R122,Trips!$D5:$D1004,$A122)+SUMIFS(Trips!$K5:$K1004,Trips!$Z5:$Z1004,$R122,Trips!$E5:$E1004,$A122))</f>
        <v/>
      </c>
      <c r="E122" s="108">
        <f>IF($C122="","",SUMIFS(Trips!$N5:$N1004,Trips!$Z5:$Z1004,$R122,Trips!$D5:$D1004,$A122)+SUMIFS(Trips!$O5:$O1004,Trips!$Z5:$Z1004,$R122,Trips!$E5:$E1004,$A122))</f>
        <v/>
      </c>
      <c r="F122" s="109">
        <f>IF($C122="","",SUMIFS(Trips!$P5:$P1004,Trips!$Z5:$Z1004,$R122,Trips!$D5:$D1004,$A122))</f>
        <v/>
      </c>
      <c r="G122" s="109">
        <f>IF($C122="","",SUMIFS(Trips!$Q5:$Q1004,Trips!$Z5:$Z1004,$R122,Trips!$D5:$D1004,$A122))</f>
        <v/>
      </c>
      <c r="H122" s="108">
        <f>IF(AND($C122="",$I122="",$J122=""),"",N($E122)+N($F122)+N($G122))</f>
        <v/>
      </c>
      <c r="I122" s="109">
        <f>IF($A122="","",IFERROR(1/(1/SUMIFS(Expenses!$F5:$F1004,Expenses!$L5:$L1004,"ADV",Expenses!$J5:$J1004,$R122,Expenses!$E5:$E1004,$A122)),""))</f>
        <v/>
      </c>
      <c r="J122" s="109">
        <f>IF($A122="","",IFERROR(1/(1/SUMIFS(Expenses!$F5:$F1004,Expenses!$L5:$L1004,"PAY",Expenses!$J5:$J1004,$R122,Expenses!$E5:$E1004,$A122)),""))</f>
        <v/>
      </c>
      <c r="K122" s="110">
        <f>IF($H122="","",N($H122)-N($I122)-N($J122))</f>
        <v/>
      </c>
      <c r="L122" s="111">
        <f>IF($K122="","",IF($K122&gt;0.5,"TO PAY",IF($K122&lt;-0.5,"ADVANCE / OWES","SETTLED")))</f>
        <v/>
      </c>
      <c r="R122" s="112" t="n">
        <v>46266</v>
      </c>
    </row>
    <row r="123">
      <c r="A123" s="104">
        <f>IF(Setup!$A81="","",Setup!$A81)</f>
        <v/>
      </c>
      <c r="B123" s="105">
        <f>IF($A123="","",Setup!$B81)</f>
        <v/>
      </c>
      <c r="C123" s="106">
        <f>IF($A123="","",IF(COUNTIFS(Trips!$Z5:$Z1004,$R123,Trips!$D5:$D1004,$A123)+COUNTIFS(Trips!$Z5:$Z1004,$R123,Trips!$E5:$E1004,$A123)=0,"",COUNTIFS(Trips!$Z5:$Z1004,$R123,Trips!$D5:$D1004,$A123)+COUNTIFS(Trips!$Z5:$Z1004,$R123,Trips!$E5:$E1004,$A123)))</f>
        <v/>
      </c>
      <c r="D123" s="107">
        <f>IF($C123="","",SUMIFS(Trips!$K5:$K1004,Trips!$Z5:$Z1004,$R123,Trips!$D5:$D1004,$A123)+SUMIFS(Trips!$K5:$K1004,Trips!$Z5:$Z1004,$R123,Trips!$E5:$E1004,$A123))</f>
        <v/>
      </c>
      <c r="E123" s="108">
        <f>IF($C123="","",SUMIFS(Trips!$N5:$N1004,Trips!$Z5:$Z1004,$R123,Trips!$D5:$D1004,$A123)+SUMIFS(Trips!$O5:$O1004,Trips!$Z5:$Z1004,$R123,Trips!$E5:$E1004,$A123))</f>
        <v/>
      </c>
      <c r="F123" s="109">
        <f>IF($C123="","",SUMIFS(Trips!$P5:$P1004,Trips!$Z5:$Z1004,$R123,Trips!$D5:$D1004,$A123))</f>
        <v/>
      </c>
      <c r="G123" s="109">
        <f>IF($C123="","",SUMIFS(Trips!$Q5:$Q1004,Trips!$Z5:$Z1004,$R123,Trips!$D5:$D1004,$A123))</f>
        <v/>
      </c>
      <c r="H123" s="108">
        <f>IF(AND($C123="",$I123="",$J123=""),"",N($E123)+N($F123)+N($G123))</f>
        <v/>
      </c>
      <c r="I123" s="109">
        <f>IF($A123="","",IFERROR(1/(1/SUMIFS(Expenses!$F5:$F1004,Expenses!$L5:$L1004,"ADV",Expenses!$J5:$J1004,$R123,Expenses!$E5:$E1004,$A123)),""))</f>
        <v/>
      </c>
      <c r="J123" s="109">
        <f>IF($A123="","",IFERROR(1/(1/SUMIFS(Expenses!$F5:$F1004,Expenses!$L5:$L1004,"PAY",Expenses!$J5:$J1004,$R123,Expenses!$E5:$E1004,$A123)),""))</f>
        <v/>
      </c>
      <c r="K123" s="110">
        <f>IF($H123="","",N($H123)-N($I123)-N($J123))</f>
        <v/>
      </c>
      <c r="L123" s="111">
        <f>IF($K123="","",IF($K123&gt;0.5,"TO PAY",IF($K123&lt;-0.5,"ADVANCE / OWES","SETTLED")))</f>
        <v/>
      </c>
      <c r="R123" s="112" t="n">
        <v>46266</v>
      </c>
    </row>
    <row r="124">
      <c r="A124" s="104">
        <f>IF(Setup!$A82="","",Setup!$A82)</f>
        <v/>
      </c>
      <c r="B124" s="105">
        <f>IF($A124="","",Setup!$B82)</f>
        <v/>
      </c>
      <c r="C124" s="106">
        <f>IF($A124="","",IF(COUNTIFS(Trips!$Z5:$Z1004,$R124,Trips!$D5:$D1004,$A124)+COUNTIFS(Trips!$Z5:$Z1004,$R124,Trips!$E5:$E1004,$A124)=0,"",COUNTIFS(Trips!$Z5:$Z1004,$R124,Trips!$D5:$D1004,$A124)+COUNTIFS(Trips!$Z5:$Z1004,$R124,Trips!$E5:$E1004,$A124)))</f>
        <v/>
      </c>
      <c r="D124" s="107">
        <f>IF($C124="","",SUMIFS(Trips!$K5:$K1004,Trips!$Z5:$Z1004,$R124,Trips!$D5:$D1004,$A124)+SUMIFS(Trips!$K5:$K1004,Trips!$Z5:$Z1004,$R124,Trips!$E5:$E1004,$A124))</f>
        <v/>
      </c>
      <c r="E124" s="108">
        <f>IF($C124="","",SUMIFS(Trips!$N5:$N1004,Trips!$Z5:$Z1004,$R124,Trips!$D5:$D1004,$A124)+SUMIFS(Trips!$O5:$O1004,Trips!$Z5:$Z1004,$R124,Trips!$E5:$E1004,$A124))</f>
        <v/>
      </c>
      <c r="F124" s="109">
        <f>IF($C124="","",SUMIFS(Trips!$P5:$P1004,Trips!$Z5:$Z1004,$R124,Trips!$D5:$D1004,$A124))</f>
        <v/>
      </c>
      <c r="G124" s="109">
        <f>IF($C124="","",SUMIFS(Trips!$Q5:$Q1004,Trips!$Z5:$Z1004,$R124,Trips!$D5:$D1004,$A124))</f>
        <v/>
      </c>
      <c r="H124" s="108">
        <f>IF(AND($C124="",$I124="",$J124=""),"",N($E124)+N($F124)+N($G124))</f>
        <v/>
      </c>
      <c r="I124" s="109">
        <f>IF($A124="","",IFERROR(1/(1/SUMIFS(Expenses!$F5:$F1004,Expenses!$L5:$L1004,"ADV",Expenses!$J5:$J1004,$R124,Expenses!$E5:$E1004,$A124)),""))</f>
        <v/>
      </c>
      <c r="J124" s="109">
        <f>IF($A124="","",IFERROR(1/(1/SUMIFS(Expenses!$F5:$F1004,Expenses!$L5:$L1004,"PAY",Expenses!$J5:$J1004,$R124,Expenses!$E5:$E1004,$A124)),""))</f>
        <v/>
      </c>
      <c r="K124" s="110">
        <f>IF($H124="","",N($H124)-N($I124)-N($J124))</f>
        <v/>
      </c>
      <c r="L124" s="111">
        <f>IF($K124="","",IF($K124&gt;0.5,"TO PAY",IF($K124&lt;-0.5,"ADVANCE / OWES","SETTLED")))</f>
        <v/>
      </c>
      <c r="R124" s="112" t="n">
        <v>46266</v>
      </c>
    </row>
    <row r="125">
      <c r="A125" s="104">
        <f>IF(Setup!$A83="","",Setup!$A83)</f>
        <v/>
      </c>
      <c r="B125" s="105">
        <f>IF($A125="","",Setup!$B83)</f>
        <v/>
      </c>
      <c r="C125" s="106">
        <f>IF($A125="","",IF(COUNTIFS(Trips!$Z5:$Z1004,$R125,Trips!$D5:$D1004,$A125)+COUNTIFS(Trips!$Z5:$Z1004,$R125,Trips!$E5:$E1004,$A125)=0,"",COUNTIFS(Trips!$Z5:$Z1004,$R125,Trips!$D5:$D1004,$A125)+COUNTIFS(Trips!$Z5:$Z1004,$R125,Trips!$E5:$E1004,$A125)))</f>
        <v/>
      </c>
      <c r="D125" s="107">
        <f>IF($C125="","",SUMIFS(Trips!$K5:$K1004,Trips!$Z5:$Z1004,$R125,Trips!$D5:$D1004,$A125)+SUMIFS(Trips!$K5:$K1004,Trips!$Z5:$Z1004,$R125,Trips!$E5:$E1004,$A125))</f>
        <v/>
      </c>
      <c r="E125" s="108">
        <f>IF($C125="","",SUMIFS(Trips!$N5:$N1004,Trips!$Z5:$Z1004,$R125,Trips!$D5:$D1004,$A125)+SUMIFS(Trips!$O5:$O1004,Trips!$Z5:$Z1004,$R125,Trips!$E5:$E1004,$A125))</f>
        <v/>
      </c>
      <c r="F125" s="109">
        <f>IF($C125="","",SUMIFS(Trips!$P5:$P1004,Trips!$Z5:$Z1004,$R125,Trips!$D5:$D1004,$A125))</f>
        <v/>
      </c>
      <c r="G125" s="109">
        <f>IF($C125="","",SUMIFS(Trips!$Q5:$Q1004,Trips!$Z5:$Z1004,$R125,Trips!$D5:$D1004,$A125))</f>
        <v/>
      </c>
      <c r="H125" s="108">
        <f>IF(AND($C125="",$I125="",$J125=""),"",N($E125)+N($F125)+N($G125))</f>
        <v/>
      </c>
      <c r="I125" s="109">
        <f>IF($A125="","",IFERROR(1/(1/SUMIFS(Expenses!$F5:$F1004,Expenses!$L5:$L1004,"ADV",Expenses!$J5:$J1004,$R125,Expenses!$E5:$E1004,$A125)),""))</f>
        <v/>
      </c>
      <c r="J125" s="109">
        <f>IF($A125="","",IFERROR(1/(1/SUMIFS(Expenses!$F5:$F1004,Expenses!$L5:$L1004,"PAY",Expenses!$J5:$J1004,$R125,Expenses!$E5:$E1004,$A125)),""))</f>
        <v/>
      </c>
      <c r="K125" s="110">
        <f>IF($H125="","",N($H125)-N($I125)-N($J125))</f>
        <v/>
      </c>
      <c r="L125" s="111">
        <f>IF($K125="","",IF($K125&gt;0.5,"TO PAY",IF($K125&lt;-0.5,"ADVANCE / OWES","SETTLED")))</f>
        <v/>
      </c>
      <c r="R125" s="112" t="n">
        <v>46266</v>
      </c>
    </row>
    <row r="126">
      <c r="A126" s="104">
        <f>IF(Setup!$A84="","",Setup!$A84)</f>
        <v/>
      </c>
      <c r="B126" s="105">
        <f>IF($A126="","",Setup!$B84)</f>
        <v/>
      </c>
      <c r="C126" s="106">
        <f>IF($A126="","",IF(COUNTIFS(Trips!$Z5:$Z1004,$R126,Trips!$D5:$D1004,$A126)+COUNTIFS(Trips!$Z5:$Z1004,$R126,Trips!$E5:$E1004,$A126)=0,"",COUNTIFS(Trips!$Z5:$Z1004,$R126,Trips!$D5:$D1004,$A126)+COUNTIFS(Trips!$Z5:$Z1004,$R126,Trips!$E5:$E1004,$A126)))</f>
        <v/>
      </c>
      <c r="D126" s="107">
        <f>IF($C126="","",SUMIFS(Trips!$K5:$K1004,Trips!$Z5:$Z1004,$R126,Trips!$D5:$D1004,$A126)+SUMIFS(Trips!$K5:$K1004,Trips!$Z5:$Z1004,$R126,Trips!$E5:$E1004,$A126))</f>
        <v/>
      </c>
      <c r="E126" s="108">
        <f>IF($C126="","",SUMIFS(Trips!$N5:$N1004,Trips!$Z5:$Z1004,$R126,Trips!$D5:$D1004,$A126)+SUMIFS(Trips!$O5:$O1004,Trips!$Z5:$Z1004,$R126,Trips!$E5:$E1004,$A126))</f>
        <v/>
      </c>
      <c r="F126" s="109">
        <f>IF($C126="","",SUMIFS(Trips!$P5:$P1004,Trips!$Z5:$Z1004,$R126,Trips!$D5:$D1004,$A126))</f>
        <v/>
      </c>
      <c r="G126" s="109">
        <f>IF($C126="","",SUMIFS(Trips!$Q5:$Q1004,Trips!$Z5:$Z1004,$R126,Trips!$D5:$D1004,$A126))</f>
        <v/>
      </c>
      <c r="H126" s="108">
        <f>IF(AND($C126="",$I126="",$J126=""),"",N($E126)+N($F126)+N($G126))</f>
        <v/>
      </c>
      <c r="I126" s="109">
        <f>IF($A126="","",IFERROR(1/(1/SUMIFS(Expenses!$F5:$F1004,Expenses!$L5:$L1004,"ADV",Expenses!$J5:$J1004,$R126,Expenses!$E5:$E1004,$A126)),""))</f>
        <v/>
      </c>
      <c r="J126" s="109">
        <f>IF($A126="","",IFERROR(1/(1/SUMIFS(Expenses!$F5:$F1004,Expenses!$L5:$L1004,"PAY",Expenses!$J5:$J1004,$R126,Expenses!$E5:$E1004,$A126)),""))</f>
        <v/>
      </c>
      <c r="K126" s="110">
        <f>IF($H126="","",N($H126)-N($I126)-N($J126))</f>
        <v/>
      </c>
      <c r="L126" s="111">
        <f>IF($K126="","",IF($K126&gt;0.5,"TO PAY",IF($K126&lt;-0.5,"ADVANCE / OWES","SETTLED")))</f>
        <v/>
      </c>
      <c r="R126" s="112" t="n">
        <v>46266</v>
      </c>
    </row>
    <row r="127">
      <c r="A127" s="104">
        <f>IF(Setup!$A85="","",Setup!$A85)</f>
        <v/>
      </c>
      <c r="B127" s="105">
        <f>IF($A127="","",Setup!$B85)</f>
        <v/>
      </c>
      <c r="C127" s="106">
        <f>IF($A127="","",IF(COUNTIFS(Trips!$Z5:$Z1004,$R127,Trips!$D5:$D1004,$A127)+COUNTIFS(Trips!$Z5:$Z1004,$R127,Trips!$E5:$E1004,$A127)=0,"",COUNTIFS(Trips!$Z5:$Z1004,$R127,Trips!$D5:$D1004,$A127)+COUNTIFS(Trips!$Z5:$Z1004,$R127,Trips!$E5:$E1004,$A127)))</f>
        <v/>
      </c>
      <c r="D127" s="107">
        <f>IF($C127="","",SUMIFS(Trips!$K5:$K1004,Trips!$Z5:$Z1004,$R127,Trips!$D5:$D1004,$A127)+SUMIFS(Trips!$K5:$K1004,Trips!$Z5:$Z1004,$R127,Trips!$E5:$E1004,$A127))</f>
        <v/>
      </c>
      <c r="E127" s="108">
        <f>IF($C127="","",SUMIFS(Trips!$N5:$N1004,Trips!$Z5:$Z1004,$R127,Trips!$D5:$D1004,$A127)+SUMIFS(Trips!$O5:$O1004,Trips!$Z5:$Z1004,$R127,Trips!$E5:$E1004,$A127))</f>
        <v/>
      </c>
      <c r="F127" s="109">
        <f>IF($C127="","",SUMIFS(Trips!$P5:$P1004,Trips!$Z5:$Z1004,$R127,Trips!$D5:$D1004,$A127))</f>
        <v/>
      </c>
      <c r="G127" s="109">
        <f>IF($C127="","",SUMIFS(Trips!$Q5:$Q1004,Trips!$Z5:$Z1004,$R127,Trips!$D5:$D1004,$A127))</f>
        <v/>
      </c>
      <c r="H127" s="108">
        <f>IF(AND($C127="",$I127="",$J127=""),"",N($E127)+N($F127)+N($G127))</f>
        <v/>
      </c>
      <c r="I127" s="109">
        <f>IF($A127="","",IFERROR(1/(1/SUMIFS(Expenses!$F5:$F1004,Expenses!$L5:$L1004,"ADV",Expenses!$J5:$J1004,$R127,Expenses!$E5:$E1004,$A127)),""))</f>
        <v/>
      </c>
      <c r="J127" s="109">
        <f>IF($A127="","",IFERROR(1/(1/SUMIFS(Expenses!$F5:$F1004,Expenses!$L5:$L1004,"PAY",Expenses!$J5:$J1004,$R127,Expenses!$E5:$E1004,$A127)),""))</f>
        <v/>
      </c>
      <c r="K127" s="110">
        <f>IF($H127="","",N($H127)-N($I127)-N($J127))</f>
        <v/>
      </c>
      <c r="L127" s="111">
        <f>IF($K127="","",IF($K127&gt;0.5,"TO PAY",IF($K127&lt;-0.5,"ADVANCE / OWES","SETTLED")))</f>
        <v/>
      </c>
      <c r="R127" s="112" t="n">
        <v>46266</v>
      </c>
    </row>
    <row r="128">
      <c r="A128" s="104">
        <f>IF(Setup!$A86="","",Setup!$A86)</f>
        <v/>
      </c>
      <c r="B128" s="105">
        <f>IF($A128="","",Setup!$B86)</f>
        <v/>
      </c>
      <c r="C128" s="106">
        <f>IF($A128="","",IF(COUNTIFS(Trips!$Z5:$Z1004,$R128,Trips!$D5:$D1004,$A128)+COUNTIFS(Trips!$Z5:$Z1004,$R128,Trips!$E5:$E1004,$A128)=0,"",COUNTIFS(Trips!$Z5:$Z1004,$R128,Trips!$D5:$D1004,$A128)+COUNTIFS(Trips!$Z5:$Z1004,$R128,Trips!$E5:$E1004,$A128)))</f>
        <v/>
      </c>
      <c r="D128" s="107">
        <f>IF($C128="","",SUMIFS(Trips!$K5:$K1004,Trips!$Z5:$Z1004,$R128,Trips!$D5:$D1004,$A128)+SUMIFS(Trips!$K5:$K1004,Trips!$Z5:$Z1004,$R128,Trips!$E5:$E1004,$A128))</f>
        <v/>
      </c>
      <c r="E128" s="108">
        <f>IF($C128="","",SUMIFS(Trips!$N5:$N1004,Trips!$Z5:$Z1004,$R128,Trips!$D5:$D1004,$A128)+SUMIFS(Trips!$O5:$O1004,Trips!$Z5:$Z1004,$R128,Trips!$E5:$E1004,$A128))</f>
        <v/>
      </c>
      <c r="F128" s="109">
        <f>IF($C128="","",SUMIFS(Trips!$P5:$P1004,Trips!$Z5:$Z1004,$R128,Trips!$D5:$D1004,$A128))</f>
        <v/>
      </c>
      <c r="G128" s="109">
        <f>IF($C128="","",SUMIFS(Trips!$Q5:$Q1004,Trips!$Z5:$Z1004,$R128,Trips!$D5:$D1004,$A128))</f>
        <v/>
      </c>
      <c r="H128" s="108">
        <f>IF(AND($C128="",$I128="",$J128=""),"",N($E128)+N($F128)+N($G128))</f>
        <v/>
      </c>
      <c r="I128" s="109">
        <f>IF($A128="","",IFERROR(1/(1/SUMIFS(Expenses!$F5:$F1004,Expenses!$L5:$L1004,"ADV",Expenses!$J5:$J1004,$R128,Expenses!$E5:$E1004,$A128)),""))</f>
        <v/>
      </c>
      <c r="J128" s="109">
        <f>IF($A128="","",IFERROR(1/(1/SUMIFS(Expenses!$F5:$F1004,Expenses!$L5:$L1004,"PAY",Expenses!$J5:$J1004,$R128,Expenses!$E5:$E1004,$A128)),""))</f>
        <v/>
      </c>
      <c r="K128" s="110">
        <f>IF($H128="","",N($H128)-N($I128)-N($J128))</f>
        <v/>
      </c>
      <c r="L128" s="111">
        <f>IF($K128="","",IF($K128&gt;0.5,"TO PAY",IF($K128&lt;-0.5,"ADVANCE / OWES","SETTLED")))</f>
        <v/>
      </c>
      <c r="R128" s="112" t="n">
        <v>46266</v>
      </c>
    </row>
    <row r="129">
      <c r="A129" s="104">
        <f>IF(Setup!$A87="","",Setup!$A87)</f>
        <v/>
      </c>
      <c r="B129" s="105">
        <f>IF($A129="","",Setup!$B87)</f>
        <v/>
      </c>
      <c r="C129" s="106">
        <f>IF($A129="","",IF(COUNTIFS(Trips!$Z5:$Z1004,$R129,Trips!$D5:$D1004,$A129)+COUNTIFS(Trips!$Z5:$Z1004,$R129,Trips!$E5:$E1004,$A129)=0,"",COUNTIFS(Trips!$Z5:$Z1004,$R129,Trips!$D5:$D1004,$A129)+COUNTIFS(Trips!$Z5:$Z1004,$R129,Trips!$E5:$E1004,$A129)))</f>
        <v/>
      </c>
      <c r="D129" s="107">
        <f>IF($C129="","",SUMIFS(Trips!$K5:$K1004,Trips!$Z5:$Z1004,$R129,Trips!$D5:$D1004,$A129)+SUMIFS(Trips!$K5:$K1004,Trips!$Z5:$Z1004,$R129,Trips!$E5:$E1004,$A129))</f>
        <v/>
      </c>
      <c r="E129" s="108">
        <f>IF($C129="","",SUMIFS(Trips!$N5:$N1004,Trips!$Z5:$Z1004,$R129,Trips!$D5:$D1004,$A129)+SUMIFS(Trips!$O5:$O1004,Trips!$Z5:$Z1004,$R129,Trips!$E5:$E1004,$A129))</f>
        <v/>
      </c>
      <c r="F129" s="109">
        <f>IF($C129="","",SUMIFS(Trips!$P5:$P1004,Trips!$Z5:$Z1004,$R129,Trips!$D5:$D1004,$A129))</f>
        <v/>
      </c>
      <c r="G129" s="109">
        <f>IF($C129="","",SUMIFS(Trips!$Q5:$Q1004,Trips!$Z5:$Z1004,$R129,Trips!$D5:$D1004,$A129))</f>
        <v/>
      </c>
      <c r="H129" s="108">
        <f>IF(AND($C129="",$I129="",$J129=""),"",N($E129)+N($F129)+N($G129))</f>
        <v/>
      </c>
      <c r="I129" s="109">
        <f>IF($A129="","",IFERROR(1/(1/SUMIFS(Expenses!$F5:$F1004,Expenses!$L5:$L1004,"ADV",Expenses!$J5:$J1004,$R129,Expenses!$E5:$E1004,$A129)),""))</f>
        <v/>
      </c>
      <c r="J129" s="109">
        <f>IF($A129="","",IFERROR(1/(1/SUMIFS(Expenses!$F5:$F1004,Expenses!$L5:$L1004,"PAY",Expenses!$J5:$J1004,$R129,Expenses!$E5:$E1004,$A129)),""))</f>
        <v/>
      </c>
      <c r="K129" s="110">
        <f>IF($H129="","",N($H129)-N($I129)-N($J129))</f>
        <v/>
      </c>
      <c r="L129" s="111">
        <f>IF($K129="","",IF($K129&gt;0.5,"TO PAY",IF($K129&lt;-0.5,"ADVANCE / OWES","SETTLED")))</f>
        <v/>
      </c>
      <c r="R129" s="112" t="n">
        <v>46266</v>
      </c>
    </row>
    <row r="130">
      <c r="A130" s="113" t="inlineStr">
        <is>
          <t>MONTH TOTAL</t>
        </is>
      </c>
      <c r="B130" s="114" t="n"/>
      <c r="C130" s="115">
        <f>IF(COUNT(C118:C129)=0,"",SUM(C118:C129))</f>
        <v/>
      </c>
      <c r="D130" s="116">
        <f>IF(COUNT(D118:D129)=0,"",SUM(D118:D129))</f>
        <v/>
      </c>
      <c r="E130" s="117">
        <f>IF(COUNT(E118:E129)=0,"",SUM(E118:E129))</f>
        <v/>
      </c>
      <c r="F130" s="117">
        <f>IF(COUNT(F118:F129)=0,"",SUM(F118:F129))</f>
        <v/>
      </c>
      <c r="G130" s="117">
        <f>IF(COUNT(G118:G129)=0,"",SUM(G118:G129))</f>
        <v/>
      </c>
      <c r="H130" s="117">
        <f>IF(COUNT(H118:H129)=0,"",SUM(H118:H129))</f>
        <v/>
      </c>
      <c r="I130" s="117">
        <f>IF(COUNT(I118:I129)=0,"",SUM(I118:I129))</f>
        <v/>
      </c>
      <c r="J130" s="117">
        <f>IF(COUNT(J118:J129)=0,"",SUM(J118:J129))</f>
        <v/>
      </c>
      <c r="K130" s="117">
        <f>IF(COUNT(K118:K129)=0,"",SUM(K118:K129))</f>
        <v/>
      </c>
      <c r="L130" s="118" t="n"/>
    </row>
    <row r="131" ht="24" customHeight="1">
      <c r="A131" s="103" t="inlineStr">
        <is>
          <t>OCTOBER 2026   ·   crew earnings &amp; settlement</t>
        </is>
      </c>
    </row>
    <row r="132">
      <c r="A132" s="104">
        <f>IF(Setup!$A76="","",Setup!$A76)</f>
        <v/>
      </c>
      <c r="B132" s="105">
        <f>IF($A132="","",Setup!$B76)</f>
        <v/>
      </c>
      <c r="C132" s="106">
        <f>IF($A132="","",IF(COUNTIFS(Trips!$Z5:$Z1004,$R132,Trips!$D5:$D1004,$A132)+COUNTIFS(Trips!$Z5:$Z1004,$R132,Trips!$E5:$E1004,$A132)=0,"",COUNTIFS(Trips!$Z5:$Z1004,$R132,Trips!$D5:$D1004,$A132)+COUNTIFS(Trips!$Z5:$Z1004,$R132,Trips!$E5:$E1004,$A132)))</f>
        <v/>
      </c>
      <c r="D132" s="107">
        <f>IF($C132="","",SUMIFS(Trips!$K5:$K1004,Trips!$Z5:$Z1004,$R132,Trips!$D5:$D1004,$A132)+SUMIFS(Trips!$K5:$K1004,Trips!$Z5:$Z1004,$R132,Trips!$E5:$E1004,$A132))</f>
        <v/>
      </c>
      <c r="E132" s="108">
        <f>IF($C132="","",SUMIFS(Trips!$N5:$N1004,Trips!$Z5:$Z1004,$R132,Trips!$D5:$D1004,$A132)+SUMIFS(Trips!$O5:$O1004,Trips!$Z5:$Z1004,$R132,Trips!$E5:$E1004,$A132))</f>
        <v/>
      </c>
      <c r="F132" s="109">
        <f>IF($C132="","",SUMIFS(Trips!$P5:$P1004,Trips!$Z5:$Z1004,$R132,Trips!$D5:$D1004,$A132))</f>
        <v/>
      </c>
      <c r="G132" s="109">
        <f>IF($C132="","",SUMIFS(Trips!$Q5:$Q1004,Trips!$Z5:$Z1004,$R132,Trips!$D5:$D1004,$A132))</f>
        <v/>
      </c>
      <c r="H132" s="108">
        <f>IF(AND($C132="",$I132="",$J132=""),"",N($E132)+N($F132)+N($G132))</f>
        <v/>
      </c>
      <c r="I132" s="109">
        <f>IF($A132="","",IFERROR(1/(1/SUMIFS(Expenses!$F5:$F1004,Expenses!$L5:$L1004,"ADV",Expenses!$J5:$J1004,$R132,Expenses!$E5:$E1004,$A132)),""))</f>
        <v/>
      </c>
      <c r="J132" s="109">
        <f>IF($A132="","",IFERROR(1/(1/SUMIFS(Expenses!$F5:$F1004,Expenses!$L5:$L1004,"PAY",Expenses!$J5:$J1004,$R132,Expenses!$E5:$E1004,$A132)),""))</f>
        <v/>
      </c>
      <c r="K132" s="110">
        <f>IF($H132="","",N($H132)-N($I132)-N($J132))</f>
        <v/>
      </c>
      <c r="L132" s="111">
        <f>IF($K132="","",IF($K132&gt;0.5,"TO PAY",IF($K132&lt;-0.5,"ADVANCE / OWES","SETTLED")))</f>
        <v/>
      </c>
      <c r="R132" s="112" t="n">
        <v>46296</v>
      </c>
    </row>
    <row r="133">
      <c r="A133" s="104">
        <f>IF(Setup!$A77="","",Setup!$A77)</f>
        <v/>
      </c>
      <c r="B133" s="105">
        <f>IF($A133="","",Setup!$B77)</f>
        <v/>
      </c>
      <c r="C133" s="106">
        <f>IF($A133="","",IF(COUNTIFS(Trips!$Z5:$Z1004,$R133,Trips!$D5:$D1004,$A133)+COUNTIFS(Trips!$Z5:$Z1004,$R133,Trips!$E5:$E1004,$A133)=0,"",COUNTIFS(Trips!$Z5:$Z1004,$R133,Trips!$D5:$D1004,$A133)+COUNTIFS(Trips!$Z5:$Z1004,$R133,Trips!$E5:$E1004,$A133)))</f>
        <v/>
      </c>
      <c r="D133" s="107">
        <f>IF($C133="","",SUMIFS(Trips!$K5:$K1004,Trips!$Z5:$Z1004,$R133,Trips!$D5:$D1004,$A133)+SUMIFS(Trips!$K5:$K1004,Trips!$Z5:$Z1004,$R133,Trips!$E5:$E1004,$A133))</f>
        <v/>
      </c>
      <c r="E133" s="108">
        <f>IF($C133="","",SUMIFS(Trips!$N5:$N1004,Trips!$Z5:$Z1004,$R133,Trips!$D5:$D1004,$A133)+SUMIFS(Trips!$O5:$O1004,Trips!$Z5:$Z1004,$R133,Trips!$E5:$E1004,$A133))</f>
        <v/>
      </c>
      <c r="F133" s="109">
        <f>IF($C133="","",SUMIFS(Trips!$P5:$P1004,Trips!$Z5:$Z1004,$R133,Trips!$D5:$D1004,$A133))</f>
        <v/>
      </c>
      <c r="G133" s="109">
        <f>IF($C133="","",SUMIFS(Trips!$Q5:$Q1004,Trips!$Z5:$Z1004,$R133,Trips!$D5:$D1004,$A133))</f>
        <v/>
      </c>
      <c r="H133" s="108">
        <f>IF(AND($C133="",$I133="",$J133=""),"",N($E133)+N($F133)+N($G133))</f>
        <v/>
      </c>
      <c r="I133" s="109">
        <f>IF($A133="","",IFERROR(1/(1/SUMIFS(Expenses!$F5:$F1004,Expenses!$L5:$L1004,"ADV",Expenses!$J5:$J1004,$R133,Expenses!$E5:$E1004,$A133)),""))</f>
        <v/>
      </c>
      <c r="J133" s="109">
        <f>IF($A133="","",IFERROR(1/(1/SUMIFS(Expenses!$F5:$F1004,Expenses!$L5:$L1004,"PAY",Expenses!$J5:$J1004,$R133,Expenses!$E5:$E1004,$A133)),""))</f>
        <v/>
      </c>
      <c r="K133" s="110">
        <f>IF($H133="","",N($H133)-N($I133)-N($J133))</f>
        <v/>
      </c>
      <c r="L133" s="111">
        <f>IF($K133="","",IF($K133&gt;0.5,"TO PAY",IF($K133&lt;-0.5,"ADVANCE / OWES","SETTLED")))</f>
        <v/>
      </c>
      <c r="R133" s="112" t="n">
        <v>46296</v>
      </c>
    </row>
    <row r="134">
      <c r="A134" s="104">
        <f>IF(Setup!$A78="","",Setup!$A78)</f>
        <v/>
      </c>
      <c r="B134" s="105">
        <f>IF($A134="","",Setup!$B78)</f>
        <v/>
      </c>
      <c r="C134" s="106">
        <f>IF($A134="","",IF(COUNTIFS(Trips!$Z5:$Z1004,$R134,Trips!$D5:$D1004,$A134)+COUNTIFS(Trips!$Z5:$Z1004,$R134,Trips!$E5:$E1004,$A134)=0,"",COUNTIFS(Trips!$Z5:$Z1004,$R134,Trips!$D5:$D1004,$A134)+COUNTIFS(Trips!$Z5:$Z1004,$R134,Trips!$E5:$E1004,$A134)))</f>
        <v/>
      </c>
      <c r="D134" s="107">
        <f>IF($C134="","",SUMIFS(Trips!$K5:$K1004,Trips!$Z5:$Z1004,$R134,Trips!$D5:$D1004,$A134)+SUMIFS(Trips!$K5:$K1004,Trips!$Z5:$Z1004,$R134,Trips!$E5:$E1004,$A134))</f>
        <v/>
      </c>
      <c r="E134" s="108">
        <f>IF($C134="","",SUMIFS(Trips!$N5:$N1004,Trips!$Z5:$Z1004,$R134,Trips!$D5:$D1004,$A134)+SUMIFS(Trips!$O5:$O1004,Trips!$Z5:$Z1004,$R134,Trips!$E5:$E1004,$A134))</f>
        <v/>
      </c>
      <c r="F134" s="109">
        <f>IF($C134="","",SUMIFS(Trips!$P5:$P1004,Trips!$Z5:$Z1004,$R134,Trips!$D5:$D1004,$A134))</f>
        <v/>
      </c>
      <c r="G134" s="109">
        <f>IF($C134="","",SUMIFS(Trips!$Q5:$Q1004,Trips!$Z5:$Z1004,$R134,Trips!$D5:$D1004,$A134))</f>
        <v/>
      </c>
      <c r="H134" s="108">
        <f>IF(AND($C134="",$I134="",$J134=""),"",N($E134)+N($F134)+N($G134))</f>
        <v/>
      </c>
      <c r="I134" s="109">
        <f>IF($A134="","",IFERROR(1/(1/SUMIFS(Expenses!$F5:$F1004,Expenses!$L5:$L1004,"ADV",Expenses!$J5:$J1004,$R134,Expenses!$E5:$E1004,$A134)),""))</f>
        <v/>
      </c>
      <c r="J134" s="109">
        <f>IF($A134="","",IFERROR(1/(1/SUMIFS(Expenses!$F5:$F1004,Expenses!$L5:$L1004,"PAY",Expenses!$J5:$J1004,$R134,Expenses!$E5:$E1004,$A134)),""))</f>
        <v/>
      </c>
      <c r="K134" s="110">
        <f>IF($H134="","",N($H134)-N($I134)-N($J134))</f>
        <v/>
      </c>
      <c r="L134" s="111">
        <f>IF($K134="","",IF($K134&gt;0.5,"TO PAY",IF($K134&lt;-0.5,"ADVANCE / OWES","SETTLED")))</f>
        <v/>
      </c>
      <c r="R134" s="112" t="n">
        <v>46296</v>
      </c>
    </row>
    <row r="135">
      <c r="A135" s="104">
        <f>IF(Setup!$A79="","",Setup!$A79)</f>
        <v/>
      </c>
      <c r="B135" s="105">
        <f>IF($A135="","",Setup!$B79)</f>
        <v/>
      </c>
      <c r="C135" s="106">
        <f>IF($A135="","",IF(COUNTIFS(Trips!$Z5:$Z1004,$R135,Trips!$D5:$D1004,$A135)+COUNTIFS(Trips!$Z5:$Z1004,$R135,Trips!$E5:$E1004,$A135)=0,"",COUNTIFS(Trips!$Z5:$Z1004,$R135,Trips!$D5:$D1004,$A135)+COUNTIFS(Trips!$Z5:$Z1004,$R135,Trips!$E5:$E1004,$A135)))</f>
        <v/>
      </c>
      <c r="D135" s="107">
        <f>IF($C135="","",SUMIFS(Trips!$K5:$K1004,Trips!$Z5:$Z1004,$R135,Trips!$D5:$D1004,$A135)+SUMIFS(Trips!$K5:$K1004,Trips!$Z5:$Z1004,$R135,Trips!$E5:$E1004,$A135))</f>
        <v/>
      </c>
      <c r="E135" s="108">
        <f>IF($C135="","",SUMIFS(Trips!$N5:$N1004,Trips!$Z5:$Z1004,$R135,Trips!$D5:$D1004,$A135)+SUMIFS(Trips!$O5:$O1004,Trips!$Z5:$Z1004,$R135,Trips!$E5:$E1004,$A135))</f>
        <v/>
      </c>
      <c r="F135" s="109">
        <f>IF($C135="","",SUMIFS(Trips!$P5:$P1004,Trips!$Z5:$Z1004,$R135,Trips!$D5:$D1004,$A135))</f>
        <v/>
      </c>
      <c r="G135" s="109">
        <f>IF($C135="","",SUMIFS(Trips!$Q5:$Q1004,Trips!$Z5:$Z1004,$R135,Trips!$D5:$D1004,$A135))</f>
        <v/>
      </c>
      <c r="H135" s="108">
        <f>IF(AND($C135="",$I135="",$J135=""),"",N($E135)+N($F135)+N($G135))</f>
        <v/>
      </c>
      <c r="I135" s="109">
        <f>IF($A135="","",IFERROR(1/(1/SUMIFS(Expenses!$F5:$F1004,Expenses!$L5:$L1004,"ADV",Expenses!$J5:$J1004,$R135,Expenses!$E5:$E1004,$A135)),""))</f>
        <v/>
      </c>
      <c r="J135" s="109">
        <f>IF($A135="","",IFERROR(1/(1/SUMIFS(Expenses!$F5:$F1004,Expenses!$L5:$L1004,"PAY",Expenses!$J5:$J1004,$R135,Expenses!$E5:$E1004,$A135)),""))</f>
        <v/>
      </c>
      <c r="K135" s="110">
        <f>IF($H135="","",N($H135)-N($I135)-N($J135))</f>
        <v/>
      </c>
      <c r="L135" s="111">
        <f>IF($K135="","",IF($K135&gt;0.5,"TO PAY",IF($K135&lt;-0.5,"ADVANCE / OWES","SETTLED")))</f>
        <v/>
      </c>
      <c r="R135" s="112" t="n">
        <v>46296</v>
      </c>
    </row>
    <row r="136">
      <c r="A136" s="104">
        <f>IF(Setup!$A80="","",Setup!$A80)</f>
        <v/>
      </c>
      <c r="B136" s="105">
        <f>IF($A136="","",Setup!$B80)</f>
        <v/>
      </c>
      <c r="C136" s="106">
        <f>IF($A136="","",IF(COUNTIFS(Trips!$Z5:$Z1004,$R136,Trips!$D5:$D1004,$A136)+COUNTIFS(Trips!$Z5:$Z1004,$R136,Trips!$E5:$E1004,$A136)=0,"",COUNTIFS(Trips!$Z5:$Z1004,$R136,Trips!$D5:$D1004,$A136)+COUNTIFS(Trips!$Z5:$Z1004,$R136,Trips!$E5:$E1004,$A136)))</f>
        <v/>
      </c>
      <c r="D136" s="107">
        <f>IF($C136="","",SUMIFS(Trips!$K5:$K1004,Trips!$Z5:$Z1004,$R136,Trips!$D5:$D1004,$A136)+SUMIFS(Trips!$K5:$K1004,Trips!$Z5:$Z1004,$R136,Trips!$E5:$E1004,$A136))</f>
        <v/>
      </c>
      <c r="E136" s="108">
        <f>IF($C136="","",SUMIFS(Trips!$N5:$N1004,Trips!$Z5:$Z1004,$R136,Trips!$D5:$D1004,$A136)+SUMIFS(Trips!$O5:$O1004,Trips!$Z5:$Z1004,$R136,Trips!$E5:$E1004,$A136))</f>
        <v/>
      </c>
      <c r="F136" s="109">
        <f>IF($C136="","",SUMIFS(Trips!$P5:$P1004,Trips!$Z5:$Z1004,$R136,Trips!$D5:$D1004,$A136))</f>
        <v/>
      </c>
      <c r="G136" s="109">
        <f>IF($C136="","",SUMIFS(Trips!$Q5:$Q1004,Trips!$Z5:$Z1004,$R136,Trips!$D5:$D1004,$A136))</f>
        <v/>
      </c>
      <c r="H136" s="108">
        <f>IF(AND($C136="",$I136="",$J136=""),"",N($E136)+N($F136)+N($G136))</f>
        <v/>
      </c>
      <c r="I136" s="109">
        <f>IF($A136="","",IFERROR(1/(1/SUMIFS(Expenses!$F5:$F1004,Expenses!$L5:$L1004,"ADV",Expenses!$J5:$J1004,$R136,Expenses!$E5:$E1004,$A136)),""))</f>
        <v/>
      </c>
      <c r="J136" s="109">
        <f>IF($A136="","",IFERROR(1/(1/SUMIFS(Expenses!$F5:$F1004,Expenses!$L5:$L1004,"PAY",Expenses!$J5:$J1004,$R136,Expenses!$E5:$E1004,$A136)),""))</f>
        <v/>
      </c>
      <c r="K136" s="110">
        <f>IF($H136="","",N($H136)-N($I136)-N($J136))</f>
        <v/>
      </c>
      <c r="L136" s="111">
        <f>IF($K136="","",IF($K136&gt;0.5,"TO PAY",IF($K136&lt;-0.5,"ADVANCE / OWES","SETTLED")))</f>
        <v/>
      </c>
      <c r="R136" s="112" t="n">
        <v>46296</v>
      </c>
    </row>
    <row r="137">
      <c r="A137" s="104">
        <f>IF(Setup!$A81="","",Setup!$A81)</f>
        <v/>
      </c>
      <c r="B137" s="105">
        <f>IF($A137="","",Setup!$B81)</f>
        <v/>
      </c>
      <c r="C137" s="106">
        <f>IF($A137="","",IF(COUNTIFS(Trips!$Z5:$Z1004,$R137,Trips!$D5:$D1004,$A137)+COUNTIFS(Trips!$Z5:$Z1004,$R137,Trips!$E5:$E1004,$A137)=0,"",COUNTIFS(Trips!$Z5:$Z1004,$R137,Trips!$D5:$D1004,$A137)+COUNTIFS(Trips!$Z5:$Z1004,$R137,Trips!$E5:$E1004,$A137)))</f>
        <v/>
      </c>
      <c r="D137" s="107">
        <f>IF($C137="","",SUMIFS(Trips!$K5:$K1004,Trips!$Z5:$Z1004,$R137,Trips!$D5:$D1004,$A137)+SUMIFS(Trips!$K5:$K1004,Trips!$Z5:$Z1004,$R137,Trips!$E5:$E1004,$A137))</f>
        <v/>
      </c>
      <c r="E137" s="108">
        <f>IF($C137="","",SUMIFS(Trips!$N5:$N1004,Trips!$Z5:$Z1004,$R137,Trips!$D5:$D1004,$A137)+SUMIFS(Trips!$O5:$O1004,Trips!$Z5:$Z1004,$R137,Trips!$E5:$E1004,$A137))</f>
        <v/>
      </c>
      <c r="F137" s="109">
        <f>IF($C137="","",SUMIFS(Trips!$P5:$P1004,Trips!$Z5:$Z1004,$R137,Trips!$D5:$D1004,$A137))</f>
        <v/>
      </c>
      <c r="G137" s="109">
        <f>IF($C137="","",SUMIFS(Trips!$Q5:$Q1004,Trips!$Z5:$Z1004,$R137,Trips!$D5:$D1004,$A137))</f>
        <v/>
      </c>
      <c r="H137" s="108">
        <f>IF(AND($C137="",$I137="",$J137=""),"",N($E137)+N($F137)+N($G137))</f>
        <v/>
      </c>
      <c r="I137" s="109">
        <f>IF($A137="","",IFERROR(1/(1/SUMIFS(Expenses!$F5:$F1004,Expenses!$L5:$L1004,"ADV",Expenses!$J5:$J1004,$R137,Expenses!$E5:$E1004,$A137)),""))</f>
        <v/>
      </c>
      <c r="J137" s="109">
        <f>IF($A137="","",IFERROR(1/(1/SUMIFS(Expenses!$F5:$F1004,Expenses!$L5:$L1004,"PAY",Expenses!$J5:$J1004,$R137,Expenses!$E5:$E1004,$A137)),""))</f>
        <v/>
      </c>
      <c r="K137" s="110">
        <f>IF($H137="","",N($H137)-N($I137)-N($J137))</f>
        <v/>
      </c>
      <c r="L137" s="111">
        <f>IF($K137="","",IF($K137&gt;0.5,"TO PAY",IF($K137&lt;-0.5,"ADVANCE / OWES","SETTLED")))</f>
        <v/>
      </c>
      <c r="R137" s="112" t="n">
        <v>46296</v>
      </c>
    </row>
    <row r="138">
      <c r="A138" s="104">
        <f>IF(Setup!$A82="","",Setup!$A82)</f>
        <v/>
      </c>
      <c r="B138" s="105">
        <f>IF($A138="","",Setup!$B82)</f>
        <v/>
      </c>
      <c r="C138" s="106">
        <f>IF($A138="","",IF(COUNTIFS(Trips!$Z5:$Z1004,$R138,Trips!$D5:$D1004,$A138)+COUNTIFS(Trips!$Z5:$Z1004,$R138,Trips!$E5:$E1004,$A138)=0,"",COUNTIFS(Trips!$Z5:$Z1004,$R138,Trips!$D5:$D1004,$A138)+COUNTIFS(Trips!$Z5:$Z1004,$R138,Trips!$E5:$E1004,$A138)))</f>
        <v/>
      </c>
      <c r="D138" s="107">
        <f>IF($C138="","",SUMIFS(Trips!$K5:$K1004,Trips!$Z5:$Z1004,$R138,Trips!$D5:$D1004,$A138)+SUMIFS(Trips!$K5:$K1004,Trips!$Z5:$Z1004,$R138,Trips!$E5:$E1004,$A138))</f>
        <v/>
      </c>
      <c r="E138" s="108">
        <f>IF($C138="","",SUMIFS(Trips!$N5:$N1004,Trips!$Z5:$Z1004,$R138,Trips!$D5:$D1004,$A138)+SUMIFS(Trips!$O5:$O1004,Trips!$Z5:$Z1004,$R138,Trips!$E5:$E1004,$A138))</f>
        <v/>
      </c>
      <c r="F138" s="109">
        <f>IF($C138="","",SUMIFS(Trips!$P5:$P1004,Trips!$Z5:$Z1004,$R138,Trips!$D5:$D1004,$A138))</f>
        <v/>
      </c>
      <c r="G138" s="109">
        <f>IF($C138="","",SUMIFS(Trips!$Q5:$Q1004,Trips!$Z5:$Z1004,$R138,Trips!$D5:$D1004,$A138))</f>
        <v/>
      </c>
      <c r="H138" s="108">
        <f>IF(AND($C138="",$I138="",$J138=""),"",N($E138)+N($F138)+N($G138))</f>
        <v/>
      </c>
      <c r="I138" s="109">
        <f>IF($A138="","",IFERROR(1/(1/SUMIFS(Expenses!$F5:$F1004,Expenses!$L5:$L1004,"ADV",Expenses!$J5:$J1004,$R138,Expenses!$E5:$E1004,$A138)),""))</f>
        <v/>
      </c>
      <c r="J138" s="109">
        <f>IF($A138="","",IFERROR(1/(1/SUMIFS(Expenses!$F5:$F1004,Expenses!$L5:$L1004,"PAY",Expenses!$J5:$J1004,$R138,Expenses!$E5:$E1004,$A138)),""))</f>
        <v/>
      </c>
      <c r="K138" s="110">
        <f>IF($H138="","",N($H138)-N($I138)-N($J138))</f>
        <v/>
      </c>
      <c r="L138" s="111">
        <f>IF($K138="","",IF($K138&gt;0.5,"TO PAY",IF($K138&lt;-0.5,"ADVANCE / OWES","SETTLED")))</f>
        <v/>
      </c>
      <c r="R138" s="112" t="n">
        <v>46296</v>
      </c>
    </row>
    <row r="139">
      <c r="A139" s="104">
        <f>IF(Setup!$A83="","",Setup!$A83)</f>
        <v/>
      </c>
      <c r="B139" s="105">
        <f>IF($A139="","",Setup!$B83)</f>
        <v/>
      </c>
      <c r="C139" s="106">
        <f>IF($A139="","",IF(COUNTIFS(Trips!$Z5:$Z1004,$R139,Trips!$D5:$D1004,$A139)+COUNTIFS(Trips!$Z5:$Z1004,$R139,Trips!$E5:$E1004,$A139)=0,"",COUNTIFS(Trips!$Z5:$Z1004,$R139,Trips!$D5:$D1004,$A139)+COUNTIFS(Trips!$Z5:$Z1004,$R139,Trips!$E5:$E1004,$A139)))</f>
        <v/>
      </c>
      <c r="D139" s="107">
        <f>IF($C139="","",SUMIFS(Trips!$K5:$K1004,Trips!$Z5:$Z1004,$R139,Trips!$D5:$D1004,$A139)+SUMIFS(Trips!$K5:$K1004,Trips!$Z5:$Z1004,$R139,Trips!$E5:$E1004,$A139))</f>
        <v/>
      </c>
      <c r="E139" s="108">
        <f>IF($C139="","",SUMIFS(Trips!$N5:$N1004,Trips!$Z5:$Z1004,$R139,Trips!$D5:$D1004,$A139)+SUMIFS(Trips!$O5:$O1004,Trips!$Z5:$Z1004,$R139,Trips!$E5:$E1004,$A139))</f>
        <v/>
      </c>
      <c r="F139" s="109">
        <f>IF($C139="","",SUMIFS(Trips!$P5:$P1004,Trips!$Z5:$Z1004,$R139,Trips!$D5:$D1004,$A139))</f>
        <v/>
      </c>
      <c r="G139" s="109">
        <f>IF($C139="","",SUMIFS(Trips!$Q5:$Q1004,Trips!$Z5:$Z1004,$R139,Trips!$D5:$D1004,$A139))</f>
        <v/>
      </c>
      <c r="H139" s="108">
        <f>IF(AND($C139="",$I139="",$J139=""),"",N($E139)+N($F139)+N($G139))</f>
        <v/>
      </c>
      <c r="I139" s="109">
        <f>IF($A139="","",IFERROR(1/(1/SUMIFS(Expenses!$F5:$F1004,Expenses!$L5:$L1004,"ADV",Expenses!$J5:$J1004,$R139,Expenses!$E5:$E1004,$A139)),""))</f>
        <v/>
      </c>
      <c r="J139" s="109">
        <f>IF($A139="","",IFERROR(1/(1/SUMIFS(Expenses!$F5:$F1004,Expenses!$L5:$L1004,"PAY",Expenses!$J5:$J1004,$R139,Expenses!$E5:$E1004,$A139)),""))</f>
        <v/>
      </c>
      <c r="K139" s="110">
        <f>IF($H139="","",N($H139)-N($I139)-N($J139))</f>
        <v/>
      </c>
      <c r="L139" s="111">
        <f>IF($K139="","",IF($K139&gt;0.5,"TO PAY",IF($K139&lt;-0.5,"ADVANCE / OWES","SETTLED")))</f>
        <v/>
      </c>
      <c r="R139" s="112" t="n">
        <v>46296</v>
      </c>
    </row>
    <row r="140">
      <c r="A140" s="104">
        <f>IF(Setup!$A84="","",Setup!$A84)</f>
        <v/>
      </c>
      <c r="B140" s="105">
        <f>IF($A140="","",Setup!$B84)</f>
        <v/>
      </c>
      <c r="C140" s="106">
        <f>IF($A140="","",IF(COUNTIFS(Trips!$Z5:$Z1004,$R140,Trips!$D5:$D1004,$A140)+COUNTIFS(Trips!$Z5:$Z1004,$R140,Trips!$E5:$E1004,$A140)=0,"",COUNTIFS(Trips!$Z5:$Z1004,$R140,Trips!$D5:$D1004,$A140)+COUNTIFS(Trips!$Z5:$Z1004,$R140,Trips!$E5:$E1004,$A140)))</f>
        <v/>
      </c>
      <c r="D140" s="107">
        <f>IF($C140="","",SUMIFS(Trips!$K5:$K1004,Trips!$Z5:$Z1004,$R140,Trips!$D5:$D1004,$A140)+SUMIFS(Trips!$K5:$K1004,Trips!$Z5:$Z1004,$R140,Trips!$E5:$E1004,$A140))</f>
        <v/>
      </c>
      <c r="E140" s="108">
        <f>IF($C140="","",SUMIFS(Trips!$N5:$N1004,Trips!$Z5:$Z1004,$R140,Trips!$D5:$D1004,$A140)+SUMIFS(Trips!$O5:$O1004,Trips!$Z5:$Z1004,$R140,Trips!$E5:$E1004,$A140))</f>
        <v/>
      </c>
      <c r="F140" s="109">
        <f>IF($C140="","",SUMIFS(Trips!$P5:$P1004,Trips!$Z5:$Z1004,$R140,Trips!$D5:$D1004,$A140))</f>
        <v/>
      </c>
      <c r="G140" s="109">
        <f>IF($C140="","",SUMIFS(Trips!$Q5:$Q1004,Trips!$Z5:$Z1004,$R140,Trips!$D5:$D1004,$A140))</f>
        <v/>
      </c>
      <c r="H140" s="108">
        <f>IF(AND($C140="",$I140="",$J140=""),"",N($E140)+N($F140)+N($G140))</f>
        <v/>
      </c>
      <c r="I140" s="109">
        <f>IF($A140="","",IFERROR(1/(1/SUMIFS(Expenses!$F5:$F1004,Expenses!$L5:$L1004,"ADV",Expenses!$J5:$J1004,$R140,Expenses!$E5:$E1004,$A140)),""))</f>
        <v/>
      </c>
      <c r="J140" s="109">
        <f>IF($A140="","",IFERROR(1/(1/SUMIFS(Expenses!$F5:$F1004,Expenses!$L5:$L1004,"PAY",Expenses!$J5:$J1004,$R140,Expenses!$E5:$E1004,$A140)),""))</f>
        <v/>
      </c>
      <c r="K140" s="110">
        <f>IF($H140="","",N($H140)-N($I140)-N($J140))</f>
        <v/>
      </c>
      <c r="L140" s="111">
        <f>IF($K140="","",IF($K140&gt;0.5,"TO PAY",IF($K140&lt;-0.5,"ADVANCE / OWES","SETTLED")))</f>
        <v/>
      </c>
      <c r="R140" s="112" t="n">
        <v>46296</v>
      </c>
    </row>
    <row r="141">
      <c r="A141" s="104">
        <f>IF(Setup!$A85="","",Setup!$A85)</f>
        <v/>
      </c>
      <c r="B141" s="105">
        <f>IF($A141="","",Setup!$B85)</f>
        <v/>
      </c>
      <c r="C141" s="106">
        <f>IF($A141="","",IF(COUNTIFS(Trips!$Z5:$Z1004,$R141,Trips!$D5:$D1004,$A141)+COUNTIFS(Trips!$Z5:$Z1004,$R141,Trips!$E5:$E1004,$A141)=0,"",COUNTIFS(Trips!$Z5:$Z1004,$R141,Trips!$D5:$D1004,$A141)+COUNTIFS(Trips!$Z5:$Z1004,$R141,Trips!$E5:$E1004,$A141)))</f>
        <v/>
      </c>
      <c r="D141" s="107">
        <f>IF($C141="","",SUMIFS(Trips!$K5:$K1004,Trips!$Z5:$Z1004,$R141,Trips!$D5:$D1004,$A141)+SUMIFS(Trips!$K5:$K1004,Trips!$Z5:$Z1004,$R141,Trips!$E5:$E1004,$A141))</f>
        <v/>
      </c>
      <c r="E141" s="108">
        <f>IF($C141="","",SUMIFS(Trips!$N5:$N1004,Trips!$Z5:$Z1004,$R141,Trips!$D5:$D1004,$A141)+SUMIFS(Trips!$O5:$O1004,Trips!$Z5:$Z1004,$R141,Trips!$E5:$E1004,$A141))</f>
        <v/>
      </c>
      <c r="F141" s="109">
        <f>IF($C141="","",SUMIFS(Trips!$P5:$P1004,Trips!$Z5:$Z1004,$R141,Trips!$D5:$D1004,$A141))</f>
        <v/>
      </c>
      <c r="G141" s="109">
        <f>IF($C141="","",SUMIFS(Trips!$Q5:$Q1004,Trips!$Z5:$Z1004,$R141,Trips!$D5:$D1004,$A141))</f>
        <v/>
      </c>
      <c r="H141" s="108">
        <f>IF(AND($C141="",$I141="",$J141=""),"",N($E141)+N($F141)+N($G141))</f>
        <v/>
      </c>
      <c r="I141" s="109">
        <f>IF($A141="","",IFERROR(1/(1/SUMIFS(Expenses!$F5:$F1004,Expenses!$L5:$L1004,"ADV",Expenses!$J5:$J1004,$R141,Expenses!$E5:$E1004,$A141)),""))</f>
        <v/>
      </c>
      <c r="J141" s="109">
        <f>IF($A141="","",IFERROR(1/(1/SUMIFS(Expenses!$F5:$F1004,Expenses!$L5:$L1004,"PAY",Expenses!$J5:$J1004,$R141,Expenses!$E5:$E1004,$A141)),""))</f>
        <v/>
      </c>
      <c r="K141" s="110">
        <f>IF($H141="","",N($H141)-N($I141)-N($J141))</f>
        <v/>
      </c>
      <c r="L141" s="111">
        <f>IF($K141="","",IF($K141&gt;0.5,"TO PAY",IF($K141&lt;-0.5,"ADVANCE / OWES","SETTLED")))</f>
        <v/>
      </c>
      <c r="R141" s="112" t="n">
        <v>46296</v>
      </c>
    </row>
    <row r="142">
      <c r="A142" s="104">
        <f>IF(Setup!$A86="","",Setup!$A86)</f>
        <v/>
      </c>
      <c r="B142" s="105">
        <f>IF($A142="","",Setup!$B86)</f>
        <v/>
      </c>
      <c r="C142" s="106">
        <f>IF($A142="","",IF(COUNTIFS(Trips!$Z5:$Z1004,$R142,Trips!$D5:$D1004,$A142)+COUNTIFS(Trips!$Z5:$Z1004,$R142,Trips!$E5:$E1004,$A142)=0,"",COUNTIFS(Trips!$Z5:$Z1004,$R142,Trips!$D5:$D1004,$A142)+COUNTIFS(Trips!$Z5:$Z1004,$R142,Trips!$E5:$E1004,$A142)))</f>
        <v/>
      </c>
      <c r="D142" s="107">
        <f>IF($C142="","",SUMIFS(Trips!$K5:$K1004,Trips!$Z5:$Z1004,$R142,Trips!$D5:$D1004,$A142)+SUMIFS(Trips!$K5:$K1004,Trips!$Z5:$Z1004,$R142,Trips!$E5:$E1004,$A142))</f>
        <v/>
      </c>
      <c r="E142" s="108">
        <f>IF($C142="","",SUMIFS(Trips!$N5:$N1004,Trips!$Z5:$Z1004,$R142,Trips!$D5:$D1004,$A142)+SUMIFS(Trips!$O5:$O1004,Trips!$Z5:$Z1004,$R142,Trips!$E5:$E1004,$A142))</f>
        <v/>
      </c>
      <c r="F142" s="109">
        <f>IF($C142="","",SUMIFS(Trips!$P5:$P1004,Trips!$Z5:$Z1004,$R142,Trips!$D5:$D1004,$A142))</f>
        <v/>
      </c>
      <c r="G142" s="109">
        <f>IF($C142="","",SUMIFS(Trips!$Q5:$Q1004,Trips!$Z5:$Z1004,$R142,Trips!$D5:$D1004,$A142))</f>
        <v/>
      </c>
      <c r="H142" s="108">
        <f>IF(AND($C142="",$I142="",$J142=""),"",N($E142)+N($F142)+N($G142))</f>
        <v/>
      </c>
      <c r="I142" s="109">
        <f>IF($A142="","",IFERROR(1/(1/SUMIFS(Expenses!$F5:$F1004,Expenses!$L5:$L1004,"ADV",Expenses!$J5:$J1004,$R142,Expenses!$E5:$E1004,$A142)),""))</f>
        <v/>
      </c>
      <c r="J142" s="109">
        <f>IF($A142="","",IFERROR(1/(1/SUMIFS(Expenses!$F5:$F1004,Expenses!$L5:$L1004,"PAY",Expenses!$J5:$J1004,$R142,Expenses!$E5:$E1004,$A142)),""))</f>
        <v/>
      </c>
      <c r="K142" s="110">
        <f>IF($H142="","",N($H142)-N($I142)-N($J142))</f>
        <v/>
      </c>
      <c r="L142" s="111">
        <f>IF($K142="","",IF($K142&gt;0.5,"TO PAY",IF($K142&lt;-0.5,"ADVANCE / OWES","SETTLED")))</f>
        <v/>
      </c>
      <c r="R142" s="112" t="n">
        <v>46296</v>
      </c>
    </row>
    <row r="143">
      <c r="A143" s="104">
        <f>IF(Setup!$A87="","",Setup!$A87)</f>
        <v/>
      </c>
      <c r="B143" s="105">
        <f>IF($A143="","",Setup!$B87)</f>
        <v/>
      </c>
      <c r="C143" s="106">
        <f>IF($A143="","",IF(COUNTIFS(Trips!$Z5:$Z1004,$R143,Trips!$D5:$D1004,$A143)+COUNTIFS(Trips!$Z5:$Z1004,$R143,Trips!$E5:$E1004,$A143)=0,"",COUNTIFS(Trips!$Z5:$Z1004,$R143,Trips!$D5:$D1004,$A143)+COUNTIFS(Trips!$Z5:$Z1004,$R143,Trips!$E5:$E1004,$A143)))</f>
        <v/>
      </c>
      <c r="D143" s="107">
        <f>IF($C143="","",SUMIFS(Trips!$K5:$K1004,Trips!$Z5:$Z1004,$R143,Trips!$D5:$D1004,$A143)+SUMIFS(Trips!$K5:$K1004,Trips!$Z5:$Z1004,$R143,Trips!$E5:$E1004,$A143))</f>
        <v/>
      </c>
      <c r="E143" s="108">
        <f>IF($C143="","",SUMIFS(Trips!$N5:$N1004,Trips!$Z5:$Z1004,$R143,Trips!$D5:$D1004,$A143)+SUMIFS(Trips!$O5:$O1004,Trips!$Z5:$Z1004,$R143,Trips!$E5:$E1004,$A143))</f>
        <v/>
      </c>
      <c r="F143" s="109">
        <f>IF($C143="","",SUMIFS(Trips!$P5:$P1004,Trips!$Z5:$Z1004,$R143,Trips!$D5:$D1004,$A143))</f>
        <v/>
      </c>
      <c r="G143" s="109">
        <f>IF($C143="","",SUMIFS(Trips!$Q5:$Q1004,Trips!$Z5:$Z1004,$R143,Trips!$D5:$D1004,$A143))</f>
        <v/>
      </c>
      <c r="H143" s="108">
        <f>IF(AND($C143="",$I143="",$J143=""),"",N($E143)+N($F143)+N($G143))</f>
        <v/>
      </c>
      <c r="I143" s="109">
        <f>IF($A143="","",IFERROR(1/(1/SUMIFS(Expenses!$F5:$F1004,Expenses!$L5:$L1004,"ADV",Expenses!$J5:$J1004,$R143,Expenses!$E5:$E1004,$A143)),""))</f>
        <v/>
      </c>
      <c r="J143" s="109">
        <f>IF($A143="","",IFERROR(1/(1/SUMIFS(Expenses!$F5:$F1004,Expenses!$L5:$L1004,"PAY",Expenses!$J5:$J1004,$R143,Expenses!$E5:$E1004,$A143)),""))</f>
        <v/>
      </c>
      <c r="K143" s="110">
        <f>IF($H143="","",N($H143)-N($I143)-N($J143))</f>
        <v/>
      </c>
      <c r="L143" s="111">
        <f>IF($K143="","",IF($K143&gt;0.5,"TO PAY",IF($K143&lt;-0.5,"ADVANCE / OWES","SETTLED")))</f>
        <v/>
      </c>
      <c r="R143" s="112" t="n">
        <v>46296</v>
      </c>
    </row>
    <row r="144">
      <c r="A144" s="113" t="inlineStr">
        <is>
          <t>MONTH TOTAL</t>
        </is>
      </c>
      <c r="B144" s="114" t="n"/>
      <c r="C144" s="115">
        <f>IF(COUNT(C132:C143)=0,"",SUM(C132:C143))</f>
        <v/>
      </c>
      <c r="D144" s="116">
        <f>IF(COUNT(D132:D143)=0,"",SUM(D132:D143))</f>
        <v/>
      </c>
      <c r="E144" s="117">
        <f>IF(COUNT(E132:E143)=0,"",SUM(E132:E143))</f>
        <v/>
      </c>
      <c r="F144" s="117">
        <f>IF(COUNT(F132:F143)=0,"",SUM(F132:F143))</f>
        <v/>
      </c>
      <c r="G144" s="117">
        <f>IF(COUNT(G132:G143)=0,"",SUM(G132:G143))</f>
        <v/>
      </c>
      <c r="H144" s="117">
        <f>IF(COUNT(H132:H143)=0,"",SUM(H132:H143))</f>
        <v/>
      </c>
      <c r="I144" s="117">
        <f>IF(COUNT(I132:I143)=0,"",SUM(I132:I143))</f>
        <v/>
      </c>
      <c r="J144" s="117">
        <f>IF(COUNT(J132:J143)=0,"",SUM(J132:J143))</f>
        <v/>
      </c>
      <c r="K144" s="117">
        <f>IF(COUNT(K132:K143)=0,"",SUM(K132:K143))</f>
        <v/>
      </c>
      <c r="L144" s="118" t="n"/>
    </row>
    <row r="145" ht="24" customHeight="1">
      <c r="A145" s="103" t="inlineStr">
        <is>
          <t>NOVEMBER 2026   ·   crew earnings &amp; settlement</t>
        </is>
      </c>
    </row>
    <row r="146">
      <c r="A146" s="104">
        <f>IF(Setup!$A76="","",Setup!$A76)</f>
        <v/>
      </c>
      <c r="B146" s="105">
        <f>IF($A146="","",Setup!$B76)</f>
        <v/>
      </c>
      <c r="C146" s="106">
        <f>IF($A146="","",IF(COUNTIFS(Trips!$Z5:$Z1004,$R146,Trips!$D5:$D1004,$A146)+COUNTIFS(Trips!$Z5:$Z1004,$R146,Trips!$E5:$E1004,$A146)=0,"",COUNTIFS(Trips!$Z5:$Z1004,$R146,Trips!$D5:$D1004,$A146)+COUNTIFS(Trips!$Z5:$Z1004,$R146,Trips!$E5:$E1004,$A146)))</f>
        <v/>
      </c>
      <c r="D146" s="107">
        <f>IF($C146="","",SUMIFS(Trips!$K5:$K1004,Trips!$Z5:$Z1004,$R146,Trips!$D5:$D1004,$A146)+SUMIFS(Trips!$K5:$K1004,Trips!$Z5:$Z1004,$R146,Trips!$E5:$E1004,$A146))</f>
        <v/>
      </c>
      <c r="E146" s="108">
        <f>IF($C146="","",SUMIFS(Trips!$N5:$N1004,Trips!$Z5:$Z1004,$R146,Trips!$D5:$D1004,$A146)+SUMIFS(Trips!$O5:$O1004,Trips!$Z5:$Z1004,$R146,Trips!$E5:$E1004,$A146))</f>
        <v/>
      </c>
      <c r="F146" s="109">
        <f>IF($C146="","",SUMIFS(Trips!$P5:$P1004,Trips!$Z5:$Z1004,$R146,Trips!$D5:$D1004,$A146))</f>
        <v/>
      </c>
      <c r="G146" s="109">
        <f>IF($C146="","",SUMIFS(Trips!$Q5:$Q1004,Trips!$Z5:$Z1004,$R146,Trips!$D5:$D1004,$A146))</f>
        <v/>
      </c>
      <c r="H146" s="108">
        <f>IF(AND($C146="",$I146="",$J146=""),"",N($E146)+N($F146)+N($G146))</f>
        <v/>
      </c>
      <c r="I146" s="109">
        <f>IF($A146="","",IFERROR(1/(1/SUMIFS(Expenses!$F5:$F1004,Expenses!$L5:$L1004,"ADV",Expenses!$J5:$J1004,$R146,Expenses!$E5:$E1004,$A146)),""))</f>
        <v/>
      </c>
      <c r="J146" s="109">
        <f>IF($A146="","",IFERROR(1/(1/SUMIFS(Expenses!$F5:$F1004,Expenses!$L5:$L1004,"PAY",Expenses!$J5:$J1004,$R146,Expenses!$E5:$E1004,$A146)),""))</f>
        <v/>
      </c>
      <c r="K146" s="110">
        <f>IF($H146="","",N($H146)-N($I146)-N($J146))</f>
        <v/>
      </c>
      <c r="L146" s="111">
        <f>IF($K146="","",IF($K146&gt;0.5,"TO PAY",IF($K146&lt;-0.5,"ADVANCE / OWES","SETTLED")))</f>
        <v/>
      </c>
      <c r="R146" s="112" t="n">
        <v>46327</v>
      </c>
    </row>
    <row r="147">
      <c r="A147" s="104">
        <f>IF(Setup!$A77="","",Setup!$A77)</f>
        <v/>
      </c>
      <c r="B147" s="105">
        <f>IF($A147="","",Setup!$B77)</f>
        <v/>
      </c>
      <c r="C147" s="106">
        <f>IF($A147="","",IF(COUNTIFS(Trips!$Z5:$Z1004,$R147,Trips!$D5:$D1004,$A147)+COUNTIFS(Trips!$Z5:$Z1004,$R147,Trips!$E5:$E1004,$A147)=0,"",COUNTIFS(Trips!$Z5:$Z1004,$R147,Trips!$D5:$D1004,$A147)+COUNTIFS(Trips!$Z5:$Z1004,$R147,Trips!$E5:$E1004,$A147)))</f>
        <v/>
      </c>
      <c r="D147" s="107">
        <f>IF($C147="","",SUMIFS(Trips!$K5:$K1004,Trips!$Z5:$Z1004,$R147,Trips!$D5:$D1004,$A147)+SUMIFS(Trips!$K5:$K1004,Trips!$Z5:$Z1004,$R147,Trips!$E5:$E1004,$A147))</f>
        <v/>
      </c>
      <c r="E147" s="108">
        <f>IF($C147="","",SUMIFS(Trips!$N5:$N1004,Trips!$Z5:$Z1004,$R147,Trips!$D5:$D1004,$A147)+SUMIFS(Trips!$O5:$O1004,Trips!$Z5:$Z1004,$R147,Trips!$E5:$E1004,$A147))</f>
        <v/>
      </c>
      <c r="F147" s="109">
        <f>IF($C147="","",SUMIFS(Trips!$P5:$P1004,Trips!$Z5:$Z1004,$R147,Trips!$D5:$D1004,$A147))</f>
        <v/>
      </c>
      <c r="G147" s="109">
        <f>IF($C147="","",SUMIFS(Trips!$Q5:$Q1004,Trips!$Z5:$Z1004,$R147,Trips!$D5:$D1004,$A147))</f>
        <v/>
      </c>
      <c r="H147" s="108">
        <f>IF(AND($C147="",$I147="",$J147=""),"",N($E147)+N($F147)+N($G147))</f>
        <v/>
      </c>
      <c r="I147" s="109">
        <f>IF($A147="","",IFERROR(1/(1/SUMIFS(Expenses!$F5:$F1004,Expenses!$L5:$L1004,"ADV",Expenses!$J5:$J1004,$R147,Expenses!$E5:$E1004,$A147)),""))</f>
        <v/>
      </c>
      <c r="J147" s="109">
        <f>IF($A147="","",IFERROR(1/(1/SUMIFS(Expenses!$F5:$F1004,Expenses!$L5:$L1004,"PAY",Expenses!$J5:$J1004,$R147,Expenses!$E5:$E1004,$A147)),""))</f>
        <v/>
      </c>
      <c r="K147" s="110">
        <f>IF($H147="","",N($H147)-N($I147)-N($J147))</f>
        <v/>
      </c>
      <c r="L147" s="111">
        <f>IF($K147="","",IF($K147&gt;0.5,"TO PAY",IF($K147&lt;-0.5,"ADVANCE / OWES","SETTLED")))</f>
        <v/>
      </c>
      <c r="R147" s="112" t="n">
        <v>46327</v>
      </c>
    </row>
    <row r="148">
      <c r="A148" s="104">
        <f>IF(Setup!$A78="","",Setup!$A78)</f>
        <v/>
      </c>
      <c r="B148" s="105">
        <f>IF($A148="","",Setup!$B78)</f>
        <v/>
      </c>
      <c r="C148" s="106">
        <f>IF($A148="","",IF(COUNTIFS(Trips!$Z5:$Z1004,$R148,Trips!$D5:$D1004,$A148)+COUNTIFS(Trips!$Z5:$Z1004,$R148,Trips!$E5:$E1004,$A148)=0,"",COUNTIFS(Trips!$Z5:$Z1004,$R148,Trips!$D5:$D1004,$A148)+COUNTIFS(Trips!$Z5:$Z1004,$R148,Trips!$E5:$E1004,$A148)))</f>
        <v/>
      </c>
      <c r="D148" s="107">
        <f>IF($C148="","",SUMIFS(Trips!$K5:$K1004,Trips!$Z5:$Z1004,$R148,Trips!$D5:$D1004,$A148)+SUMIFS(Trips!$K5:$K1004,Trips!$Z5:$Z1004,$R148,Trips!$E5:$E1004,$A148))</f>
        <v/>
      </c>
      <c r="E148" s="108">
        <f>IF($C148="","",SUMIFS(Trips!$N5:$N1004,Trips!$Z5:$Z1004,$R148,Trips!$D5:$D1004,$A148)+SUMIFS(Trips!$O5:$O1004,Trips!$Z5:$Z1004,$R148,Trips!$E5:$E1004,$A148))</f>
        <v/>
      </c>
      <c r="F148" s="109">
        <f>IF($C148="","",SUMIFS(Trips!$P5:$P1004,Trips!$Z5:$Z1004,$R148,Trips!$D5:$D1004,$A148))</f>
        <v/>
      </c>
      <c r="G148" s="109">
        <f>IF($C148="","",SUMIFS(Trips!$Q5:$Q1004,Trips!$Z5:$Z1004,$R148,Trips!$D5:$D1004,$A148))</f>
        <v/>
      </c>
      <c r="H148" s="108">
        <f>IF(AND($C148="",$I148="",$J148=""),"",N($E148)+N($F148)+N($G148))</f>
        <v/>
      </c>
      <c r="I148" s="109">
        <f>IF($A148="","",IFERROR(1/(1/SUMIFS(Expenses!$F5:$F1004,Expenses!$L5:$L1004,"ADV",Expenses!$J5:$J1004,$R148,Expenses!$E5:$E1004,$A148)),""))</f>
        <v/>
      </c>
      <c r="J148" s="109">
        <f>IF($A148="","",IFERROR(1/(1/SUMIFS(Expenses!$F5:$F1004,Expenses!$L5:$L1004,"PAY",Expenses!$J5:$J1004,$R148,Expenses!$E5:$E1004,$A148)),""))</f>
        <v/>
      </c>
      <c r="K148" s="110">
        <f>IF($H148="","",N($H148)-N($I148)-N($J148))</f>
        <v/>
      </c>
      <c r="L148" s="111">
        <f>IF($K148="","",IF($K148&gt;0.5,"TO PAY",IF($K148&lt;-0.5,"ADVANCE / OWES","SETTLED")))</f>
        <v/>
      </c>
      <c r="R148" s="112" t="n">
        <v>46327</v>
      </c>
    </row>
    <row r="149">
      <c r="A149" s="104">
        <f>IF(Setup!$A79="","",Setup!$A79)</f>
        <v/>
      </c>
      <c r="B149" s="105">
        <f>IF($A149="","",Setup!$B79)</f>
        <v/>
      </c>
      <c r="C149" s="106">
        <f>IF($A149="","",IF(COUNTIFS(Trips!$Z5:$Z1004,$R149,Trips!$D5:$D1004,$A149)+COUNTIFS(Trips!$Z5:$Z1004,$R149,Trips!$E5:$E1004,$A149)=0,"",COUNTIFS(Trips!$Z5:$Z1004,$R149,Trips!$D5:$D1004,$A149)+COUNTIFS(Trips!$Z5:$Z1004,$R149,Trips!$E5:$E1004,$A149)))</f>
        <v/>
      </c>
      <c r="D149" s="107">
        <f>IF($C149="","",SUMIFS(Trips!$K5:$K1004,Trips!$Z5:$Z1004,$R149,Trips!$D5:$D1004,$A149)+SUMIFS(Trips!$K5:$K1004,Trips!$Z5:$Z1004,$R149,Trips!$E5:$E1004,$A149))</f>
        <v/>
      </c>
      <c r="E149" s="108">
        <f>IF($C149="","",SUMIFS(Trips!$N5:$N1004,Trips!$Z5:$Z1004,$R149,Trips!$D5:$D1004,$A149)+SUMIFS(Trips!$O5:$O1004,Trips!$Z5:$Z1004,$R149,Trips!$E5:$E1004,$A149))</f>
        <v/>
      </c>
      <c r="F149" s="109">
        <f>IF($C149="","",SUMIFS(Trips!$P5:$P1004,Trips!$Z5:$Z1004,$R149,Trips!$D5:$D1004,$A149))</f>
        <v/>
      </c>
      <c r="G149" s="109">
        <f>IF($C149="","",SUMIFS(Trips!$Q5:$Q1004,Trips!$Z5:$Z1004,$R149,Trips!$D5:$D1004,$A149))</f>
        <v/>
      </c>
      <c r="H149" s="108">
        <f>IF(AND($C149="",$I149="",$J149=""),"",N($E149)+N($F149)+N($G149))</f>
        <v/>
      </c>
      <c r="I149" s="109">
        <f>IF($A149="","",IFERROR(1/(1/SUMIFS(Expenses!$F5:$F1004,Expenses!$L5:$L1004,"ADV",Expenses!$J5:$J1004,$R149,Expenses!$E5:$E1004,$A149)),""))</f>
        <v/>
      </c>
      <c r="J149" s="109">
        <f>IF($A149="","",IFERROR(1/(1/SUMIFS(Expenses!$F5:$F1004,Expenses!$L5:$L1004,"PAY",Expenses!$J5:$J1004,$R149,Expenses!$E5:$E1004,$A149)),""))</f>
        <v/>
      </c>
      <c r="K149" s="110">
        <f>IF($H149="","",N($H149)-N($I149)-N($J149))</f>
        <v/>
      </c>
      <c r="L149" s="111">
        <f>IF($K149="","",IF($K149&gt;0.5,"TO PAY",IF($K149&lt;-0.5,"ADVANCE / OWES","SETTLED")))</f>
        <v/>
      </c>
      <c r="R149" s="112" t="n">
        <v>46327</v>
      </c>
    </row>
    <row r="150">
      <c r="A150" s="104">
        <f>IF(Setup!$A80="","",Setup!$A80)</f>
        <v/>
      </c>
      <c r="B150" s="105">
        <f>IF($A150="","",Setup!$B80)</f>
        <v/>
      </c>
      <c r="C150" s="106">
        <f>IF($A150="","",IF(COUNTIFS(Trips!$Z5:$Z1004,$R150,Trips!$D5:$D1004,$A150)+COUNTIFS(Trips!$Z5:$Z1004,$R150,Trips!$E5:$E1004,$A150)=0,"",COUNTIFS(Trips!$Z5:$Z1004,$R150,Trips!$D5:$D1004,$A150)+COUNTIFS(Trips!$Z5:$Z1004,$R150,Trips!$E5:$E1004,$A150)))</f>
        <v/>
      </c>
      <c r="D150" s="107">
        <f>IF($C150="","",SUMIFS(Trips!$K5:$K1004,Trips!$Z5:$Z1004,$R150,Trips!$D5:$D1004,$A150)+SUMIFS(Trips!$K5:$K1004,Trips!$Z5:$Z1004,$R150,Trips!$E5:$E1004,$A150))</f>
        <v/>
      </c>
      <c r="E150" s="108">
        <f>IF($C150="","",SUMIFS(Trips!$N5:$N1004,Trips!$Z5:$Z1004,$R150,Trips!$D5:$D1004,$A150)+SUMIFS(Trips!$O5:$O1004,Trips!$Z5:$Z1004,$R150,Trips!$E5:$E1004,$A150))</f>
        <v/>
      </c>
      <c r="F150" s="109">
        <f>IF($C150="","",SUMIFS(Trips!$P5:$P1004,Trips!$Z5:$Z1004,$R150,Trips!$D5:$D1004,$A150))</f>
        <v/>
      </c>
      <c r="G150" s="109">
        <f>IF($C150="","",SUMIFS(Trips!$Q5:$Q1004,Trips!$Z5:$Z1004,$R150,Trips!$D5:$D1004,$A150))</f>
        <v/>
      </c>
      <c r="H150" s="108">
        <f>IF(AND($C150="",$I150="",$J150=""),"",N($E150)+N($F150)+N($G150))</f>
        <v/>
      </c>
      <c r="I150" s="109">
        <f>IF($A150="","",IFERROR(1/(1/SUMIFS(Expenses!$F5:$F1004,Expenses!$L5:$L1004,"ADV",Expenses!$J5:$J1004,$R150,Expenses!$E5:$E1004,$A150)),""))</f>
        <v/>
      </c>
      <c r="J150" s="109">
        <f>IF($A150="","",IFERROR(1/(1/SUMIFS(Expenses!$F5:$F1004,Expenses!$L5:$L1004,"PAY",Expenses!$J5:$J1004,$R150,Expenses!$E5:$E1004,$A150)),""))</f>
        <v/>
      </c>
      <c r="K150" s="110">
        <f>IF($H150="","",N($H150)-N($I150)-N($J150))</f>
        <v/>
      </c>
      <c r="L150" s="111">
        <f>IF($K150="","",IF($K150&gt;0.5,"TO PAY",IF($K150&lt;-0.5,"ADVANCE / OWES","SETTLED")))</f>
        <v/>
      </c>
      <c r="R150" s="112" t="n">
        <v>46327</v>
      </c>
    </row>
    <row r="151">
      <c r="A151" s="104">
        <f>IF(Setup!$A81="","",Setup!$A81)</f>
        <v/>
      </c>
      <c r="B151" s="105">
        <f>IF($A151="","",Setup!$B81)</f>
        <v/>
      </c>
      <c r="C151" s="106">
        <f>IF($A151="","",IF(COUNTIFS(Trips!$Z5:$Z1004,$R151,Trips!$D5:$D1004,$A151)+COUNTIFS(Trips!$Z5:$Z1004,$R151,Trips!$E5:$E1004,$A151)=0,"",COUNTIFS(Trips!$Z5:$Z1004,$R151,Trips!$D5:$D1004,$A151)+COUNTIFS(Trips!$Z5:$Z1004,$R151,Trips!$E5:$E1004,$A151)))</f>
        <v/>
      </c>
      <c r="D151" s="107">
        <f>IF($C151="","",SUMIFS(Trips!$K5:$K1004,Trips!$Z5:$Z1004,$R151,Trips!$D5:$D1004,$A151)+SUMIFS(Trips!$K5:$K1004,Trips!$Z5:$Z1004,$R151,Trips!$E5:$E1004,$A151))</f>
        <v/>
      </c>
      <c r="E151" s="108">
        <f>IF($C151="","",SUMIFS(Trips!$N5:$N1004,Trips!$Z5:$Z1004,$R151,Trips!$D5:$D1004,$A151)+SUMIFS(Trips!$O5:$O1004,Trips!$Z5:$Z1004,$R151,Trips!$E5:$E1004,$A151))</f>
        <v/>
      </c>
      <c r="F151" s="109">
        <f>IF($C151="","",SUMIFS(Trips!$P5:$P1004,Trips!$Z5:$Z1004,$R151,Trips!$D5:$D1004,$A151))</f>
        <v/>
      </c>
      <c r="G151" s="109">
        <f>IF($C151="","",SUMIFS(Trips!$Q5:$Q1004,Trips!$Z5:$Z1004,$R151,Trips!$D5:$D1004,$A151))</f>
        <v/>
      </c>
      <c r="H151" s="108">
        <f>IF(AND($C151="",$I151="",$J151=""),"",N($E151)+N($F151)+N($G151))</f>
        <v/>
      </c>
      <c r="I151" s="109">
        <f>IF($A151="","",IFERROR(1/(1/SUMIFS(Expenses!$F5:$F1004,Expenses!$L5:$L1004,"ADV",Expenses!$J5:$J1004,$R151,Expenses!$E5:$E1004,$A151)),""))</f>
        <v/>
      </c>
      <c r="J151" s="109">
        <f>IF($A151="","",IFERROR(1/(1/SUMIFS(Expenses!$F5:$F1004,Expenses!$L5:$L1004,"PAY",Expenses!$J5:$J1004,$R151,Expenses!$E5:$E1004,$A151)),""))</f>
        <v/>
      </c>
      <c r="K151" s="110">
        <f>IF($H151="","",N($H151)-N($I151)-N($J151))</f>
        <v/>
      </c>
      <c r="L151" s="111">
        <f>IF($K151="","",IF($K151&gt;0.5,"TO PAY",IF($K151&lt;-0.5,"ADVANCE / OWES","SETTLED")))</f>
        <v/>
      </c>
      <c r="R151" s="112" t="n">
        <v>46327</v>
      </c>
    </row>
    <row r="152">
      <c r="A152" s="104">
        <f>IF(Setup!$A82="","",Setup!$A82)</f>
        <v/>
      </c>
      <c r="B152" s="105">
        <f>IF($A152="","",Setup!$B82)</f>
        <v/>
      </c>
      <c r="C152" s="106">
        <f>IF($A152="","",IF(COUNTIFS(Trips!$Z5:$Z1004,$R152,Trips!$D5:$D1004,$A152)+COUNTIFS(Trips!$Z5:$Z1004,$R152,Trips!$E5:$E1004,$A152)=0,"",COUNTIFS(Trips!$Z5:$Z1004,$R152,Trips!$D5:$D1004,$A152)+COUNTIFS(Trips!$Z5:$Z1004,$R152,Trips!$E5:$E1004,$A152)))</f>
        <v/>
      </c>
      <c r="D152" s="107">
        <f>IF($C152="","",SUMIFS(Trips!$K5:$K1004,Trips!$Z5:$Z1004,$R152,Trips!$D5:$D1004,$A152)+SUMIFS(Trips!$K5:$K1004,Trips!$Z5:$Z1004,$R152,Trips!$E5:$E1004,$A152))</f>
        <v/>
      </c>
      <c r="E152" s="108">
        <f>IF($C152="","",SUMIFS(Trips!$N5:$N1004,Trips!$Z5:$Z1004,$R152,Trips!$D5:$D1004,$A152)+SUMIFS(Trips!$O5:$O1004,Trips!$Z5:$Z1004,$R152,Trips!$E5:$E1004,$A152))</f>
        <v/>
      </c>
      <c r="F152" s="109">
        <f>IF($C152="","",SUMIFS(Trips!$P5:$P1004,Trips!$Z5:$Z1004,$R152,Trips!$D5:$D1004,$A152))</f>
        <v/>
      </c>
      <c r="G152" s="109">
        <f>IF($C152="","",SUMIFS(Trips!$Q5:$Q1004,Trips!$Z5:$Z1004,$R152,Trips!$D5:$D1004,$A152))</f>
        <v/>
      </c>
      <c r="H152" s="108">
        <f>IF(AND($C152="",$I152="",$J152=""),"",N($E152)+N($F152)+N($G152))</f>
        <v/>
      </c>
      <c r="I152" s="109">
        <f>IF($A152="","",IFERROR(1/(1/SUMIFS(Expenses!$F5:$F1004,Expenses!$L5:$L1004,"ADV",Expenses!$J5:$J1004,$R152,Expenses!$E5:$E1004,$A152)),""))</f>
        <v/>
      </c>
      <c r="J152" s="109">
        <f>IF($A152="","",IFERROR(1/(1/SUMIFS(Expenses!$F5:$F1004,Expenses!$L5:$L1004,"PAY",Expenses!$J5:$J1004,$R152,Expenses!$E5:$E1004,$A152)),""))</f>
        <v/>
      </c>
      <c r="K152" s="110">
        <f>IF($H152="","",N($H152)-N($I152)-N($J152))</f>
        <v/>
      </c>
      <c r="L152" s="111">
        <f>IF($K152="","",IF($K152&gt;0.5,"TO PAY",IF($K152&lt;-0.5,"ADVANCE / OWES","SETTLED")))</f>
        <v/>
      </c>
      <c r="R152" s="112" t="n">
        <v>46327</v>
      </c>
    </row>
    <row r="153">
      <c r="A153" s="104">
        <f>IF(Setup!$A83="","",Setup!$A83)</f>
        <v/>
      </c>
      <c r="B153" s="105">
        <f>IF($A153="","",Setup!$B83)</f>
        <v/>
      </c>
      <c r="C153" s="106">
        <f>IF($A153="","",IF(COUNTIFS(Trips!$Z5:$Z1004,$R153,Trips!$D5:$D1004,$A153)+COUNTIFS(Trips!$Z5:$Z1004,$R153,Trips!$E5:$E1004,$A153)=0,"",COUNTIFS(Trips!$Z5:$Z1004,$R153,Trips!$D5:$D1004,$A153)+COUNTIFS(Trips!$Z5:$Z1004,$R153,Trips!$E5:$E1004,$A153)))</f>
        <v/>
      </c>
      <c r="D153" s="107">
        <f>IF($C153="","",SUMIFS(Trips!$K5:$K1004,Trips!$Z5:$Z1004,$R153,Trips!$D5:$D1004,$A153)+SUMIFS(Trips!$K5:$K1004,Trips!$Z5:$Z1004,$R153,Trips!$E5:$E1004,$A153))</f>
        <v/>
      </c>
      <c r="E153" s="108">
        <f>IF($C153="","",SUMIFS(Trips!$N5:$N1004,Trips!$Z5:$Z1004,$R153,Trips!$D5:$D1004,$A153)+SUMIFS(Trips!$O5:$O1004,Trips!$Z5:$Z1004,$R153,Trips!$E5:$E1004,$A153))</f>
        <v/>
      </c>
      <c r="F153" s="109">
        <f>IF($C153="","",SUMIFS(Trips!$P5:$P1004,Trips!$Z5:$Z1004,$R153,Trips!$D5:$D1004,$A153))</f>
        <v/>
      </c>
      <c r="G153" s="109">
        <f>IF($C153="","",SUMIFS(Trips!$Q5:$Q1004,Trips!$Z5:$Z1004,$R153,Trips!$D5:$D1004,$A153))</f>
        <v/>
      </c>
      <c r="H153" s="108">
        <f>IF(AND($C153="",$I153="",$J153=""),"",N($E153)+N($F153)+N($G153))</f>
        <v/>
      </c>
      <c r="I153" s="109">
        <f>IF($A153="","",IFERROR(1/(1/SUMIFS(Expenses!$F5:$F1004,Expenses!$L5:$L1004,"ADV",Expenses!$J5:$J1004,$R153,Expenses!$E5:$E1004,$A153)),""))</f>
        <v/>
      </c>
      <c r="J153" s="109">
        <f>IF($A153="","",IFERROR(1/(1/SUMIFS(Expenses!$F5:$F1004,Expenses!$L5:$L1004,"PAY",Expenses!$J5:$J1004,$R153,Expenses!$E5:$E1004,$A153)),""))</f>
        <v/>
      </c>
      <c r="K153" s="110">
        <f>IF($H153="","",N($H153)-N($I153)-N($J153))</f>
        <v/>
      </c>
      <c r="L153" s="111">
        <f>IF($K153="","",IF($K153&gt;0.5,"TO PAY",IF($K153&lt;-0.5,"ADVANCE / OWES","SETTLED")))</f>
        <v/>
      </c>
      <c r="R153" s="112" t="n">
        <v>46327</v>
      </c>
    </row>
    <row r="154">
      <c r="A154" s="104">
        <f>IF(Setup!$A84="","",Setup!$A84)</f>
        <v/>
      </c>
      <c r="B154" s="105">
        <f>IF($A154="","",Setup!$B84)</f>
        <v/>
      </c>
      <c r="C154" s="106">
        <f>IF($A154="","",IF(COUNTIFS(Trips!$Z5:$Z1004,$R154,Trips!$D5:$D1004,$A154)+COUNTIFS(Trips!$Z5:$Z1004,$R154,Trips!$E5:$E1004,$A154)=0,"",COUNTIFS(Trips!$Z5:$Z1004,$R154,Trips!$D5:$D1004,$A154)+COUNTIFS(Trips!$Z5:$Z1004,$R154,Trips!$E5:$E1004,$A154)))</f>
        <v/>
      </c>
      <c r="D154" s="107">
        <f>IF($C154="","",SUMIFS(Trips!$K5:$K1004,Trips!$Z5:$Z1004,$R154,Trips!$D5:$D1004,$A154)+SUMIFS(Trips!$K5:$K1004,Trips!$Z5:$Z1004,$R154,Trips!$E5:$E1004,$A154))</f>
        <v/>
      </c>
      <c r="E154" s="108">
        <f>IF($C154="","",SUMIFS(Trips!$N5:$N1004,Trips!$Z5:$Z1004,$R154,Trips!$D5:$D1004,$A154)+SUMIFS(Trips!$O5:$O1004,Trips!$Z5:$Z1004,$R154,Trips!$E5:$E1004,$A154))</f>
        <v/>
      </c>
      <c r="F154" s="109">
        <f>IF($C154="","",SUMIFS(Trips!$P5:$P1004,Trips!$Z5:$Z1004,$R154,Trips!$D5:$D1004,$A154))</f>
        <v/>
      </c>
      <c r="G154" s="109">
        <f>IF($C154="","",SUMIFS(Trips!$Q5:$Q1004,Trips!$Z5:$Z1004,$R154,Trips!$D5:$D1004,$A154))</f>
        <v/>
      </c>
      <c r="H154" s="108">
        <f>IF(AND($C154="",$I154="",$J154=""),"",N($E154)+N($F154)+N($G154))</f>
        <v/>
      </c>
      <c r="I154" s="109">
        <f>IF($A154="","",IFERROR(1/(1/SUMIFS(Expenses!$F5:$F1004,Expenses!$L5:$L1004,"ADV",Expenses!$J5:$J1004,$R154,Expenses!$E5:$E1004,$A154)),""))</f>
        <v/>
      </c>
      <c r="J154" s="109">
        <f>IF($A154="","",IFERROR(1/(1/SUMIFS(Expenses!$F5:$F1004,Expenses!$L5:$L1004,"PAY",Expenses!$J5:$J1004,$R154,Expenses!$E5:$E1004,$A154)),""))</f>
        <v/>
      </c>
      <c r="K154" s="110">
        <f>IF($H154="","",N($H154)-N($I154)-N($J154))</f>
        <v/>
      </c>
      <c r="L154" s="111">
        <f>IF($K154="","",IF($K154&gt;0.5,"TO PAY",IF($K154&lt;-0.5,"ADVANCE / OWES","SETTLED")))</f>
        <v/>
      </c>
      <c r="R154" s="112" t="n">
        <v>46327</v>
      </c>
    </row>
    <row r="155">
      <c r="A155" s="104">
        <f>IF(Setup!$A85="","",Setup!$A85)</f>
        <v/>
      </c>
      <c r="B155" s="105">
        <f>IF($A155="","",Setup!$B85)</f>
        <v/>
      </c>
      <c r="C155" s="106">
        <f>IF($A155="","",IF(COUNTIFS(Trips!$Z5:$Z1004,$R155,Trips!$D5:$D1004,$A155)+COUNTIFS(Trips!$Z5:$Z1004,$R155,Trips!$E5:$E1004,$A155)=0,"",COUNTIFS(Trips!$Z5:$Z1004,$R155,Trips!$D5:$D1004,$A155)+COUNTIFS(Trips!$Z5:$Z1004,$R155,Trips!$E5:$E1004,$A155)))</f>
        <v/>
      </c>
      <c r="D155" s="107">
        <f>IF($C155="","",SUMIFS(Trips!$K5:$K1004,Trips!$Z5:$Z1004,$R155,Trips!$D5:$D1004,$A155)+SUMIFS(Trips!$K5:$K1004,Trips!$Z5:$Z1004,$R155,Trips!$E5:$E1004,$A155))</f>
        <v/>
      </c>
      <c r="E155" s="108">
        <f>IF($C155="","",SUMIFS(Trips!$N5:$N1004,Trips!$Z5:$Z1004,$R155,Trips!$D5:$D1004,$A155)+SUMIFS(Trips!$O5:$O1004,Trips!$Z5:$Z1004,$R155,Trips!$E5:$E1004,$A155))</f>
        <v/>
      </c>
      <c r="F155" s="109">
        <f>IF($C155="","",SUMIFS(Trips!$P5:$P1004,Trips!$Z5:$Z1004,$R155,Trips!$D5:$D1004,$A155))</f>
        <v/>
      </c>
      <c r="G155" s="109">
        <f>IF($C155="","",SUMIFS(Trips!$Q5:$Q1004,Trips!$Z5:$Z1004,$R155,Trips!$D5:$D1004,$A155))</f>
        <v/>
      </c>
      <c r="H155" s="108">
        <f>IF(AND($C155="",$I155="",$J155=""),"",N($E155)+N($F155)+N($G155))</f>
        <v/>
      </c>
      <c r="I155" s="109">
        <f>IF($A155="","",IFERROR(1/(1/SUMIFS(Expenses!$F5:$F1004,Expenses!$L5:$L1004,"ADV",Expenses!$J5:$J1004,$R155,Expenses!$E5:$E1004,$A155)),""))</f>
        <v/>
      </c>
      <c r="J155" s="109">
        <f>IF($A155="","",IFERROR(1/(1/SUMIFS(Expenses!$F5:$F1004,Expenses!$L5:$L1004,"PAY",Expenses!$J5:$J1004,$R155,Expenses!$E5:$E1004,$A155)),""))</f>
        <v/>
      </c>
      <c r="K155" s="110">
        <f>IF($H155="","",N($H155)-N($I155)-N($J155))</f>
        <v/>
      </c>
      <c r="L155" s="111">
        <f>IF($K155="","",IF($K155&gt;0.5,"TO PAY",IF($K155&lt;-0.5,"ADVANCE / OWES","SETTLED")))</f>
        <v/>
      </c>
      <c r="R155" s="112" t="n">
        <v>46327</v>
      </c>
    </row>
    <row r="156">
      <c r="A156" s="104">
        <f>IF(Setup!$A86="","",Setup!$A86)</f>
        <v/>
      </c>
      <c r="B156" s="105">
        <f>IF($A156="","",Setup!$B86)</f>
        <v/>
      </c>
      <c r="C156" s="106">
        <f>IF($A156="","",IF(COUNTIFS(Trips!$Z5:$Z1004,$R156,Trips!$D5:$D1004,$A156)+COUNTIFS(Trips!$Z5:$Z1004,$R156,Trips!$E5:$E1004,$A156)=0,"",COUNTIFS(Trips!$Z5:$Z1004,$R156,Trips!$D5:$D1004,$A156)+COUNTIFS(Trips!$Z5:$Z1004,$R156,Trips!$E5:$E1004,$A156)))</f>
        <v/>
      </c>
      <c r="D156" s="107">
        <f>IF($C156="","",SUMIFS(Trips!$K5:$K1004,Trips!$Z5:$Z1004,$R156,Trips!$D5:$D1004,$A156)+SUMIFS(Trips!$K5:$K1004,Trips!$Z5:$Z1004,$R156,Trips!$E5:$E1004,$A156))</f>
        <v/>
      </c>
      <c r="E156" s="108">
        <f>IF($C156="","",SUMIFS(Trips!$N5:$N1004,Trips!$Z5:$Z1004,$R156,Trips!$D5:$D1004,$A156)+SUMIFS(Trips!$O5:$O1004,Trips!$Z5:$Z1004,$R156,Trips!$E5:$E1004,$A156))</f>
        <v/>
      </c>
      <c r="F156" s="109">
        <f>IF($C156="","",SUMIFS(Trips!$P5:$P1004,Trips!$Z5:$Z1004,$R156,Trips!$D5:$D1004,$A156))</f>
        <v/>
      </c>
      <c r="G156" s="109">
        <f>IF($C156="","",SUMIFS(Trips!$Q5:$Q1004,Trips!$Z5:$Z1004,$R156,Trips!$D5:$D1004,$A156))</f>
        <v/>
      </c>
      <c r="H156" s="108">
        <f>IF(AND($C156="",$I156="",$J156=""),"",N($E156)+N($F156)+N($G156))</f>
        <v/>
      </c>
      <c r="I156" s="109">
        <f>IF($A156="","",IFERROR(1/(1/SUMIFS(Expenses!$F5:$F1004,Expenses!$L5:$L1004,"ADV",Expenses!$J5:$J1004,$R156,Expenses!$E5:$E1004,$A156)),""))</f>
        <v/>
      </c>
      <c r="J156" s="109">
        <f>IF($A156="","",IFERROR(1/(1/SUMIFS(Expenses!$F5:$F1004,Expenses!$L5:$L1004,"PAY",Expenses!$J5:$J1004,$R156,Expenses!$E5:$E1004,$A156)),""))</f>
        <v/>
      </c>
      <c r="K156" s="110">
        <f>IF($H156="","",N($H156)-N($I156)-N($J156))</f>
        <v/>
      </c>
      <c r="L156" s="111">
        <f>IF($K156="","",IF($K156&gt;0.5,"TO PAY",IF($K156&lt;-0.5,"ADVANCE / OWES","SETTLED")))</f>
        <v/>
      </c>
      <c r="R156" s="112" t="n">
        <v>46327</v>
      </c>
    </row>
    <row r="157">
      <c r="A157" s="104">
        <f>IF(Setup!$A87="","",Setup!$A87)</f>
        <v/>
      </c>
      <c r="B157" s="105">
        <f>IF($A157="","",Setup!$B87)</f>
        <v/>
      </c>
      <c r="C157" s="106">
        <f>IF($A157="","",IF(COUNTIFS(Trips!$Z5:$Z1004,$R157,Trips!$D5:$D1004,$A157)+COUNTIFS(Trips!$Z5:$Z1004,$R157,Trips!$E5:$E1004,$A157)=0,"",COUNTIFS(Trips!$Z5:$Z1004,$R157,Trips!$D5:$D1004,$A157)+COUNTIFS(Trips!$Z5:$Z1004,$R157,Trips!$E5:$E1004,$A157)))</f>
        <v/>
      </c>
      <c r="D157" s="107">
        <f>IF($C157="","",SUMIFS(Trips!$K5:$K1004,Trips!$Z5:$Z1004,$R157,Trips!$D5:$D1004,$A157)+SUMIFS(Trips!$K5:$K1004,Trips!$Z5:$Z1004,$R157,Trips!$E5:$E1004,$A157))</f>
        <v/>
      </c>
      <c r="E157" s="108">
        <f>IF($C157="","",SUMIFS(Trips!$N5:$N1004,Trips!$Z5:$Z1004,$R157,Trips!$D5:$D1004,$A157)+SUMIFS(Trips!$O5:$O1004,Trips!$Z5:$Z1004,$R157,Trips!$E5:$E1004,$A157))</f>
        <v/>
      </c>
      <c r="F157" s="109">
        <f>IF($C157="","",SUMIFS(Trips!$P5:$P1004,Trips!$Z5:$Z1004,$R157,Trips!$D5:$D1004,$A157))</f>
        <v/>
      </c>
      <c r="G157" s="109">
        <f>IF($C157="","",SUMIFS(Trips!$Q5:$Q1004,Trips!$Z5:$Z1004,$R157,Trips!$D5:$D1004,$A157))</f>
        <v/>
      </c>
      <c r="H157" s="108">
        <f>IF(AND($C157="",$I157="",$J157=""),"",N($E157)+N($F157)+N($G157))</f>
        <v/>
      </c>
      <c r="I157" s="109">
        <f>IF($A157="","",IFERROR(1/(1/SUMIFS(Expenses!$F5:$F1004,Expenses!$L5:$L1004,"ADV",Expenses!$J5:$J1004,$R157,Expenses!$E5:$E1004,$A157)),""))</f>
        <v/>
      </c>
      <c r="J157" s="109">
        <f>IF($A157="","",IFERROR(1/(1/SUMIFS(Expenses!$F5:$F1004,Expenses!$L5:$L1004,"PAY",Expenses!$J5:$J1004,$R157,Expenses!$E5:$E1004,$A157)),""))</f>
        <v/>
      </c>
      <c r="K157" s="110">
        <f>IF($H157="","",N($H157)-N($I157)-N($J157))</f>
        <v/>
      </c>
      <c r="L157" s="111">
        <f>IF($K157="","",IF($K157&gt;0.5,"TO PAY",IF($K157&lt;-0.5,"ADVANCE / OWES","SETTLED")))</f>
        <v/>
      </c>
      <c r="R157" s="112" t="n">
        <v>46327</v>
      </c>
    </row>
    <row r="158">
      <c r="A158" s="113" t="inlineStr">
        <is>
          <t>MONTH TOTAL</t>
        </is>
      </c>
      <c r="B158" s="114" t="n"/>
      <c r="C158" s="115">
        <f>IF(COUNT(C146:C157)=0,"",SUM(C146:C157))</f>
        <v/>
      </c>
      <c r="D158" s="116">
        <f>IF(COUNT(D146:D157)=0,"",SUM(D146:D157))</f>
        <v/>
      </c>
      <c r="E158" s="117">
        <f>IF(COUNT(E146:E157)=0,"",SUM(E146:E157))</f>
        <v/>
      </c>
      <c r="F158" s="117">
        <f>IF(COUNT(F146:F157)=0,"",SUM(F146:F157))</f>
        <v/>
      </c>
      <c r="G158" s="117">
        <f>IF(COUNT(G146:G157)=0,"",SUM(G146:G157))</f>
        <v/>
      </c>
      <c r="H158" s="117">
        <f>IF(COUNT(H146:H157)=0,"",SUM(H146:H157))</f>
        <v/>
      </c>
      <c r="I158" s="117">
        <f>IF(COUNT(I146:I157)=0,"",SUM(I146:I157))</f>
        <v/>
      </c>
      <c r="J158" s="117">
        <f>IF(COUNT(J146:J157)=0,"",SUM(J146:J157))</f>
        <v/>
      </c>
      <c r="K158" s="117">
        <f>IF(COUNT(K146:K157)=0,"",SUM(K146:K157))</f>
        <v/>
      </c>
      <c r="L158" s="118" t="n"/>
    </row>
    <row r="159" ht="24" customHeight="1">
      <c r="A159" s="103" t="inlineStr">
        <is>
          <t>DECEMBER 2026   ·   crew earnings &amp; settlement</t>
        </is>
      </c>
    </row>
    <row r="160">
      <c r="A160" s="104">
        <f>IF(Setup!$A76="","",Setup!$A76)</f>
        <v/>
      </c>
      <c r="B160" s="105">
        <f>IF($A160="","",Setup!$B76)</f>
        <v/>
      </c>
      <c r="C160" s="106">
        <f>IF($A160="","",IF(COUNTIFS(Trips!$Z5:$Z1004,$R160,Trips!$D5:$D1004,$A160)+COUNTIFS(Trips!$Z5:$Z1004,$R160,Trips!$E5:$E1004,$A160)=0,"",COUNTIFS(Trips!$Z5:$Z1004,$R160,Trips!$D5:$D1004,$A160)+COUNTIFS(Trips!$Z5:$Z1004,$R160,Trips!$E5:$E1004,$A160)))</f>
        <v/>
      </c>
      <c r="D160" s="107">
        <f>IF($C160="","",SUMIFS(Trips!$K5:$K1004,Trips!$Z5:$Z1004,$R160,Trips!$D5:$D1004,$A160)+SUMIFS(Trips!$K5:$K1004,Trips!$Z5:$Z1004,$R160,Trips!$E5:$E1004,$A160))</f>
        <v/>
      </c>
      <c r="E160" s="108">
        <f>IF($C160="","",SUMIFS(Trips!$N5:$N1004,Trips!$Z5:$Z1004,$R160,Trips!$D5:$D1004,$A160)+SUMIFS(Trips!$O5:$O1004,Trips!$Z5:$Z1004,$R160,Trips!$E5:$E1004,$A160))</f>
        <v/>
      </c>
      <c r="F160" s="109">
        <f>IF($C160="","",SUMIFS(Trips!$P5:$P1004,Trips!$Z5:$Z1004,$R160,Trips!$D5:$D1004,$A160))</f>
        <v/>
      </c>
      <c r="G160" s="109">
        <f>IF($C160="","",SUMIFS(Trips!$Q5:$Q1004,Trips!$Z5:$Z1004,$R160,Trips!$D5:$D1004,$A160))</f>
        <v/>
      </c>
      <c r="H160" s="108">
        <f>IF(AND($C160="",$I160="",$J160=""),"",N($E160)+N($F160)+N($G160))</f>
        <v/>
      </c>
      <c r="I160" s="109">
        <f>IF($A160="","",IFERROR(1/(1/SUMIFS(Expenses!$F5:$F1004,Expenses!$L5:$L1004,"ADV",Expenses!$J5:$J1004,$R160,Expenses!$E5:$E1004,$A160)),""))</f>
        <v/>
      </c>
      <c r="J160" s="109">
        <f>IF($A160="","",IFERROR(1/(1/SUMIFS(Expenses!$F5:$F1004,Expenses!$L5:$L1004,"PAY",Expenses!$J5:$J1004,$R160,Expenses!$E5:$E1004,$A160)),""))</f>
        <v/>
      </c>
      <c r="K160" s="110">
        <f>IF($H160="","",N($H160)-N($I160)-N($J160))</f>
        <v/>
      </c>
      <c r="L160" s="111">
        <f>IF($K160="","",IF($K160&gt;0.5,"TO PAY",IF($K160&lt;-0.5,"ADVANCE / OWES","SETTLED")))</f>
        <v/>
      </c>
      <c r="R160" s="112" t="n">
        <v>46357</v>
      </c>
    </row>
    <row r="161">
      <c r="A161" s="104">
        <f>IF(Setup!$A77="","",Setup!$A77)</f>
        <v/>
      </c>
      <c r="B161" s="105">
        <f>IF($A161="","",Setup!$B77)</f>
        <v/>
      </c>
      <c r="C161" s="106">
        <f>IF($A161="","",IF(COUNTIFS(Trips!$Z5:$Z1004,$R161,Trips!$D5:$D1004,$A161)+COUNTIFS(Trips!$Z5:$Z1004,$R161,Trips!$E5:$E1004,$A161)=0,"",COUNTIFS(Trips!$Z5:$Z1004,$R161,Trips!$D5:$D1004,$A161)+COUNTIFS(Trips!$Z5:$Z1004,$R161,Trips!$E5:$E1004,$A161)))</f>
        <v/>
      </c>
      <c r="D161" s="107">
        <f>IF($C161="","",SUMIFS(Trips!$K5:$K1004,Trips!$Z5:$Z1004,$R161,Trips!$D5:$D1004,$A161)+SUMIFS(Trips!$K5:$K1004,Trips!$Z5:$Z1004,$R161,Trips!$E5:$E1004,$A161))</f>
        <v/>
      </c>
      <c r="E161" s="108">
        <f>IF($C161="","",SUMIFS(Trips!$N5:$N1004,Trips!$Z5:$Z1004,$R161,Trips!$D5:$D1004,$A161)+SUMIFS(Trips!$O5:$O1004,Trips!$Z5:$Z1004,$R161,Trips!$E5:$E1004,$A161))</f>
        <v/>
      </c>
      <c r="F161" s="109">
        <f>IF($C161="","",SUMIFS(Trips!$P5:$P1004,Trips!$Z5:$Z1004,$R161,Trips!$D5:$D1004,$A161))</f>
        <v/>
      </c>
      <c r="G161" s="109">
        <f>IF($C161="","",SUMIFS(Trips!$Q5:$Q1004,Trips!$Z5:$Z1004,$R161,Trips!$D5:$D1004,$A161))</f>
        <v/>
      </c>
      <c r="H161" s="108">
        <f>IF(AND($C161="",$I161="",$J161=""),"",N($E161)+N($F161)+N($G161))</f>
        <v/>
      </c>
      <c r="I161" s="109">
        <f>IF($A161="","",IFERROR(1/(1/SUMIFS(Expenses!$F5:$F1004,Expenses!$L5:$L1004,"ADV",Expenses!$J5:$J1004,$R161,Expenses!$E5:$E1004,$A161)),""))</f>
        <v/>
      </c>
      <c r="J161" s="109">
        <f>IF($A161="","",IFERROR(1/(1/SUMIFS(Expenses!$F5:$F1004,Expenses!$L5:$L1004,"PAY",Expenses!$J5:$J1004,$R161,Expenses!$E5:$E1004,$A161)),""))</f>
        <v/>
      </c>
      <c r="K161" s="110">
        <f>IF($H161="","",N($H161)-N($I161)-N($J161))</f>
        <v/>
      </c>
      <c r="L161" s="111">
        <f>IF($K161="","",IF($K161&gt;0.5,"TO PAY",IF($K161&lt;-0.5,"ADVANCE / OWES","SETTLED")))</f>
        <v/>
      </c>
      <c r="R161" s="112" t="n">
        <v>46357</v>
      </c>
    </row>
    <row r="162">
      <c r="A162" s="104">
        <f>IF(Setup!$A78="","",Setup!$A78)</f>
        <v/>
      </c>
      <c r="B162" s="105">
        <f>IF($A162="","",Setup!$B78)</f>
        <v/>
      </c>
      <c r="C162" s="106">
        <f>IF($A162="","",IF(COUNTIFS(Trips!$Z5:$Z1004,$R162,Trips!$D5:$D1004,$A162)+COUNTIFS(Trips!$Z5:$Z1004,$R162,Trips!$E5:$E1004,$A162)=0,"",COUNTIFS(Trips!$Z5:$Z1004,$R162,Trips!$D5:$D1004,$A162)+COUNTIFS(Trips!$Z5:$Z1004,$R162,Trips!$E5:$E1004,$A162)))</f>
        <v/>
      </c>
      <c r="D162" s="107">
        <f>IF($C162="","",SUMIFS(Trips!$K5:$K1004,Trips!$Z5:$Z1004,$R162,Trips!$D5:$D1004,$A162)+SUMIFS(Trips!$K5:$K1004,Trips!$Z5:$Z1004,$R162,Trips!$E5:$E1004,$A162))</f>
        <v/>
      </c>
      <c r="E162" s="108">
        <f>IF($C162="","",SUMIFS(Trips!$N5:$N1004,Trips!$Z5:$Z1004,$R162,Trips!$D5:$D1004,$A162)+SUMIFS(Trips!$O5:$O1004,Trips!$Z5:$Z1004,$R162,Trips!$E5:$E1004,$A162))</f>
        <v/>
      </c>
      <c r="F162" s="109">
        <f>IF($C162="","",SUMIFS(Trips!$P5:$P1004,Trips!$Z5:$Z1004,$R162,Trips!$D5:$D1004,$A162))</f>
        <v/>
      </c>
      <c r="G162" s="109">
        <f>IF($C162="","",SUMIFS(Trips!$Q5:$Q1004,Trips!$Z5:$Z1004,$R162,Trips!$D5:$D1004,$A162))</f>
        <v/>
      </c>
      <c r="H162" s="108">
        <f>IF(AND($C162="",$I162="",$J162=""),"",N($E162)+N($F162)+N($G162))</f>
        <v/>
      </c>
      <c r="I162" s="109">
        <f>IF($A162="","",IFERROR(1/(1/SUMIFS(Expenses!$F5:$F1004,Expenses!$L5:$L1004,"ADV",Expenses!$J5:$J1004,$R162,Expenses!$E5:$E1004,$A162)),""))</f>
        <v/>
      </c>
      <c r="J162" s="109">
        <f>IF($A162="","",IFERROR(1/(1/SUMIFS(Expenses!$F5:$F1004,Expenses!$L5:$L1004,"PAY",Expenses!$J5:$J1004,$R162,Expenses!$E5:$E1004,$A162)),""))</f>
        <v/>
      </c>
      <c r="K162" s="110">
        <f>IF($H162="","",N($H162)-N($I162)-N($J162))</f>
        <v/>
      </c>
      <c r="L162" s="111">
        <f>IF($K162="","",IF($K162&gt;0.5,"TO PAY",IF($K162&lt;-0.5,"ADVANCE / OWES","SETTLED")))</f>
        <v/>
      </c>
      <c r="R162" s="112" t="n">
        <v>46357</v>
      </c>
    </row>
    <row r="163">
      <c r="A163" s="104">
        <f>IF(Setup!$A79="","",Setup!$A79)</f>
        <v/>
      </c>
      <c r="B163" s="105">
        <f>IF($A163="","",Setup!$B79)</f>
        <v/>
      </c>
      <c r="C163" s="106">
        <f>IF($A163="","",IF(COUNTIFS(Trips!$Z5:$Z1004,$R163,Trips!$D5:$D1004,$A163)+COUNTIFS(Trips!$Z5:$Z1004,$R163,Trips!$E5:$E1004,$A163)=0,"",COUNTIFS(Trips!$Z5:$Z1004,$R163,Trips!$D5:$D1004,$A163)+COUNTIFS(Trips!$Z5:$Z1004,$R163,Trips!$E5:$E1004,$A163)))</f>
        <v/>
      </c>
      <c r="D163" s="107">
        <f>IF($C163="","",SUMIFS(Trips!$K5:$K1004,Trips!$Z5:$Z1004,$R163,Trips!$D5:$D1004,$A163)+SUMIFS(Trips!$K5:$K1004,Trips!$Z5:$Z1004,$R163,Trips!$E5:$E1004,$A163))</f>
        <v/>
      </c>
      <c r="E163" s="108">
        <f>IF($C163="","",SUMIFS(Trips!$N5:$N1004,Trips!$Z5:$Z1004,$R163,Trips!$D5:$D1004,$A163)+SUMIFS(Trips!$O5:$O1004,Trips!$Z5:$Z1004,$R163,Trips!$E5:$E1004,$A163))</f>
        <v/>
      </c>
      <c r="F163" s="109">
        <f>IF($C163="","",SUMIFS(Trips!$P5:$P1004,Trips!$Z5:$Z1004,$R163,Trips!$D5:$D1004,$A163))</f>
        <v/>
      </c>
      <c r="G163" s="109">
        <f>IF($C163="","",SUMIFS(Trips!$Q5:$Q1004,Trips!$Z5:$Z1004,$R163,Trips!$D5:$D1004,$A163))</f>
        <v/>
      </c>
      <c r="H163" s="108">
        <f>IF(AND($C163="",$I163="",$J163=""),"",N($E163)+N($F163)+N($G163))</f>
        <v/>
      </c>
      <c r="I163" s="109">
        <f>IF($A163="","",IFERROR(1/(1/SUMIFS(Expenses!$F5:$F1004,Expenses!$L5:$L1004,"ADV",Expenses!$J5:$J1004,$R163,Expenses!$E5:$E1004,$A163)),""))</f>
        <v/>
      </c>
      <c r="J163" s="109">
        <f>IF($A163="","",IFERROR(1/(1/SUMIFS(Expenses!$F5:$F1004,Expenses!$L5:$L1004,"PAY",Expenses!$J5:$J1004,$R163,Expenses!$E5:$E1004,$A163)),""))</f>
        <v/>
      </c>
      <c r="K163" s="110">
        <f>IF($H163="","",N($H163)-N($I163)-N($J163))</f>
        <v/>
      </c>
      <c r="L163" s="111">
        <f>IF($K163="","",IF($K163&gt;0.5,"TO PAY",IF($K163&lt;-0.5,"ADVANCE / OWES","SETTLED")))</f>
        <v/>
      </c>
      <c r="R163" s="112" t="n">
        <v>46357</v>
      </c>
    </row>
    <row r="164">
      <c r="A164" s="104">
        <f>IF(Setup!$A80="","",Setup!$A80)</f>
        <v/>
      </c>
      <c r="B164" s="105">
        <f>IF($A164="","",Setup!$B80)</f>
        <v/>
      </c>
      <c r="C164" s="106">
        <f>IF($A164="","",IF(COUNTIFS(Trips!$Z5:$Z1004,$R164,Trips!$D5:$D1004,$A164)+COUNTIFS(Trips!$Z5:$Z1004,$R164,Trips!$E5:$E1004,$A164)=0,"",COUNTIFS(Trips!$Z5:$Z1004,$R164,Trips!$D5:$D1004,$A164)+COUNTIFS(Trips!$Z5:$Z1004,$R164,Trips!$E5:$E1004,$A164)))</f>
        <v/>
      </c>
      <c r="D164" s="107">
        <f>IF($C164="","",SUMIFS(Trips!$K5:$K1004,Trips!$Z5:$Z1004,$R164,Trips!$D5:$D1004,$A164)+SUMIFS(Trips!$K5:$K1004,Trips!$Z5:$Z1004,$R164,Trips!$E5:$E1004,$A164))</f>
        <v/>
      </c>
      <c r="E164" s="108">
        <f>IF($C164="","",SUMIFS(Trips!$N5:$N1004,Trips!$Z5:$Z1004,$R164,Trips!$D5:$D1004,$A164)+SUMIFS(Trips!$O5:$O1004,Trips!$Z5:$Z1004,$R164,Trips!$E5:$E1004,$A164))</f>
        <v/>
      </c>
      <c r="F164" s="109">
        <f>IF($C164="","",SUMIFS(Trips!$P5:$P1004,Trips!$Z5:$Z1004,$R164,Trips!$D5:$D1004,$A164))</f>
        <v/>
      </c>
      <c r="G164" s="109">
        <f>IF($C164="","",SUMIFS(Trips!$Q5:$Q1004,Trips!$Z5:$Z1004,$R164,Trips!$D5:$D1004,$A164))</f>
        <v/>
      </c>
      <c r="H164" s="108">
        <f>IF(AND($C164="",$I164="",$J164=""),"",N($E164)+N($F164)+N($G164))</f>
        <v/>
      </c>
      <c r="I164" s="109">
        <f>IF($A164="","",IFERROR(1/(1/SUMIFS(Expenses!$F5:$F1004,Expenses!$L5:$L1004,"ADV",Expenses!$J5:$J1004,$R164,Expenses!$E5:$E1004,$A164)),""))</f>
        <v/>
      </c>
      <c r="J164" s="109">
        <f>IF($A164="","",IFERROR(1/(1/SUMIFS(Expenses!$F5:$F1004,Expenses!$L5:$L1004,"PAY",Expenses!$J5:$J1004,$R164,Expenses!$E5:$E1004,$A164)),""))</f>
        <v/>
      </c>
      <c r="K164" s="110">
        <f>IF($H164="","",N($H164)-N($I164)-N($J164))</f>
        <v/>
      </c>
      <c r="L164" s="111">
        <f>IF($K164="","",IF($K164&gt;0.5,"TO PAY",IF($K164&lt;-0.5,"ADVANCE / OWES","SETTLED")))</f>
        <v/>
      </c>
      <c r="R164" s="112" t="n">
        <v>46357</v>
      </c>
    </row>
    <row r="165">
      <c r="A165" s="104">
        <f>IF(Setup!$A81="","",Setup!$A81)</f>
        <v/>
      </c>
      <c r="B165" s="105">
        <f>IF($A165="","",Setup!$B81)</f>
        <v/>
      </c>
      <c r="C165" s="106">
        <f>IF($A165="","",IF(COUNTIFS(Trips!$Z5:$Z1004,$R165,Trips!$D5:$D1004,$A165)+COUNTIFS(Trips!$Z5:$Z1004,$R165,Trips!$E5:$E1004,$A165)=0,"",COUNTIFS(Trips!$Z5:$Z1004,$R165,Trips!$D5:$D1004,$A165)+COUNTIFS(Trips!$Z5:$Z1004,$R165,Trips!$E5:$E1004,$A165)))</f>
        <v/>
      </c>
      <c r="D165" s="107">
        <f>IF($C165="","",SUMIFS(Trips!$K5:$K1004,Trips!$Z5:$Z1004,$R165,Trips!$D5:$D1004,$A165)+SUMIFS(Trips!$K5:$K1004,Trips!$Z5:$Z1004,$R165,Trips!$E5:$E1004,$A165))</f>
        <v/>
      </c>
      <c r="E165" s="108">
        <f>IF($C165="","",SUMIFS(Trips!$N5:$N1004,Trips!$Z5:$Z1004,$R165,Trips!$D5:$D1004,$A165)+SUMIFS(Trips!$O5:$O1004,Trips!$Z5:$Z1004,$R165,Trips!$E5:$E1004,$A165))</f>
        <v/>
      </c>
      <c r="F165" s="109">
        <f>IF($C165="","",SUMIFS(Trips!$P5:$P1004,Trips!$Z5:$Z1004,$R165,Trips!$D5:$D1004,$A165))</f>
        <v/>
      </c>
      <c r="G165" s="109">
        <f>IF($C165="","",SUMIFS(Trips!$Q5:$Q1004,Trips!$Z5:$Z1004,$R165,Trips!$D5:$D1004,$A165))</f>
        <v/>
      </c>
      <c r="H165" s="108">
        <f>IF(AND($C165="",$I165="",$J165=""),"",N($E165)+N($F165)+N($G165))</f>
        <v/>
      </c>
      <c r="I165" s="109">
        <f>IF($A165="","",IFERROR(1/(1/SUMIFS(Expenses!$F5:$F1004,Expenses!$L5:$L1004,"ADV",Expenses!$J5:$J1004,$R165,Expenses!$E5:$E1004,$A165)),""))</f>
        <v/>
      </c>
      <c r="J165" s="109">
        <f>IF($A165="","",IFERROR(1/(1/SUMIFS(Expenses!$F5:$F1004,Expenses!$L5:$L1004,"PAY",Expenses!$J5:$J1004,$R165,Expenses!$E5:$E1004,$A165)),""))</f>
        <v/>
      </c>
      <c r="K165" s="110">
        <f>IF($H165="","",N($H165)-N($I165)-N($J165))</f>
        <v/>
      </c>
      <c r="L165" s="111">
        <f>IF($K165="","",IF($K165&gt;0.5,"TO PAY",IF($K165&lt;-0.5,"ADVANCE / OWES","SETTLED")))</f>
        <v/>
      </c>
      <c r="R165" s="112" t="n">
        <v>46357</v>
      </c>
    </row>
    <row r="166">
      <c r="A166" s="104">
        <f>IF(Setup!$A82="","",Setup!$A82)</f>
        <v/>
      </c>
      <c r="B166" s="105">
        <f>IF($A166="","",Setup!$B82)</f>
        <v/>
      </c>
      <c r="C166" s="106">
        <f>IF($A166="","",IF(COUNTIFS(Trips!$Z5:$Z1004,$R166,Trips!$D5:$D1004,$A166)+COUNTIFS(Trips!$Z5:$Z1004,$R166,Trips!$E5:$E1004,$A166)=0,"",COUNTIFS(Trips!$Z5:$Z1004,$R166,Trips!$D5:$D1004,$A166)+COUNTIFS(Trips!$Z5:$Z1004,$R166,Trips!$E5:$E1004,$A166)))</f>
        <v/>
      </c>
      <c r="D166" s="107">
        <f>IF($C166="","",SUMIFS(Trips!$K5:$K1004,Trips!$Z5:$Z1004,$R166,Trips!$D5:$D1004,$A166)+SUMIFS(Trips!$K5:$K1004,Trips!$Z5:$Z1004,$R166,Trips!$E5:$E1004,$A166))</f>
        <v/>
      </c>
      <c r="E166" s="108">
        <f>IF($C166="","",SUMIFS(Trips!$N5:$N1004,Trips!$Z5:$Z1004,$R166,Trips!$D5:$D1004,$A166)+SUMIFS(Trips!$O5:$O1004,Trips!$Z5:$Z1004,$R166,Trips!$E5:$E1004,$A166))</f>
        <v/>
      </c>
      <c r="F166" s="109">
        <f>IF($C166="","",SUMIFS(Trips!$P5:$P1004,Trips!$Z5:$Z1004,$R166,Trips!$D5:$D1004,$A166))</f>
        <v/>
      </c>
      <c r="G166" s="109">
        <f>IF($C166="","",SUMIFS(Trips!$Q5:$Q1004,Trips!$Z5:$Z1004,$R166,Trips!$D5:$D1004,$A166))</f>
        <v/>
      </c>
      <c r="H166" s="108">
        <f>IF(AND($C166="",$I166="",$J166=""),"",N($E166)+N($F166)+N($G166))</f>
        <v/>
      </c>
      <c r="I166" s="109">
        <f>IF($A166="","",IFERROR(1/(1/SUMIFS(Expenses!$F5:$F1004,Expenses!$L5:$L1004,"ADV",Expenses!$J5:$J1004,$R166,Expenses!$E5:$E1004,$A166)),""))</f>
        <v/>
      </c>
      <c r="J166" s="109">
        <f>IF($A166="","",IFERROR(1/(1/SUMIFS(Expenses!$F5:$F1004,Expenses!$L5:$L1004,"PAY",Expenses!$J5:$J1004,$R166,Expenses!$E5:$E1004,$A166)),""))</f>
        <v/>
      </c>
      <c r="K166" s="110">
        <f>IF($H166="","",N($H166)-N($I166)-N($J166))</f>
        <v/>
      </c>
      <c r="L166" s="111">
        <f>IF($K166="","",IF($K166&gt;0.5,"TO PAY",IF($K166&lt;-0.5,"ADVANCE / OWES","SETTLED")))</f>
        <v/>
      </c>
      <c r="R166" s="112" t="n">
        <v>46357</v>
      </c>
    </row>
    <row r="167">
      <c r="A167" s="104">
        <f>IF(Setup!$A83="","",Setup!$A83)</f>
        <v/>
      </c>
      <c r="B167" s="105">
        <f>IF($A167="","",Setup!$B83)</f>
        <v/>
      </c>
      <c r="C167" s="106">
        <f>IF($A167="","",IF(COUNTIFS(Trips!$Z5:$Z1004,$R167,Trips!$D5:$D1004,$A167)+COUNTIFS(Trips!$Z5:$Z1004,$R167,Trips!$E5:$E1004,$A167)=0,"",COUNTIFS(Trips!$Z5:$Z1004,$R167,Trips!$D5:$D1004,$A167)+COUNTIFS(Trips!$Z5:$Z1004,$R167,Trips!$E5:$E1004,$A167)))</f>
        <v/>
      </c>
      <c r="D167" s="107">
        <f>IF($C167="","",SUMIFS(Trips!$K5:$K1004,Trips!$Z5:$Z1004,$R167,Trips!$D5:$D1004,$A167)+SUMIFS(Trips!$K5:$K1004,Trips!$Z5:$Z1004,$R167,Trips!$E5:$E1004,$A167))</f>
        <v/>
      </c>
      <c r="E167" s="108">
        <f>IF($C167="","",SUMIFS(Trips!$N5:$N1004,Trips!$Z5:$Z1004,$R167,Trips!$D5:$D1004,$A167)+SUMIFS(Trips!$O5:$O1004,Trips!$Z5:$Z1004,$R167,Trips!$E5:$E1004,$A167))</f>
        <v/>
      </c>
      <c r="F167" s="109">
        <f>IF($C167="","",SUMIFS(Trips!$P5:$P1004,Trips!$Z5:$Z1004,$R167,Trips!$D5:$D1004,$A167))</f>
        <v/>
      </c>
      <c r="G167" s="109">
        <f>IF($C167="","",SUMIFS(Trips!$Q5:$Q1004,Trips!$Z5:$Z1004,$R167,Trips!$D5:$D1004,$A167))</f>
        <v/>
      </c>
      <c r="H167" s="108">
        <f>IF(AND($C167="",$I167="",$J167=""),"",N($E167)+N($F167)+N($G167))</f>
        <v/>
      </c>
      <c r="I167" s="109">
        <f>IF($A167="","",IFERROR(1/(1/SUMIFS(Expenses!$F5:$F1004,Expenses!$L5:$L1004,"ADV",Expenses!$J5:$J1004,$R167,Expenses!$E5:$E1004,$A167)),""))</f>
        <v/>
      </c>
      <c r="J167" s="109">
        <f>IF($A167="","",IFERROR(1/(1/SUMIFS(Expenses!$F5:$F1004,Expenses!$L5:$L1004,"PAY",Expenses!$J5:$J1004,$R167,Expenses!$E5:$E1004,$A167)),""))</f>
        <v/>
      </c>
      <c r="K167" s="110">
        <f>IF($H167="","",N($H167)-N($I167)-N($J167))</f>
        <v/>
      </c>
      <c r="L167" s="111">
        <f>IF($K167="","",IF($K167&gt;0.5,"TO PAY",IF($K167&lt;-0.5,"ADVANCE / OWES","SETTLED")))</f>
        <v/>
      </c>
      <c r="R167" s="112" t="n">
        <v>46357</v>
      </c>
    </row>
    <row r="168">
      <c r="A168" s="104">
        <f>IF(Setup!$A84="","",Setup!$A84)</f>
        <v/>
      </c>
      <c r="B168" s="105">
        <f>IF($A168="","",Setup!$B84)</f>
        <v/>
      </c>
      <c r="C168" s="106">
        <f>IF($A168="","",IF(COUNTIFS(Trips!$Z5:$Z1004,$R168,Trips!$D5:$D1004,$A168)+COUNTIFS(Trips!$Z5:$Z1004,$R168,Trips!$E5:$E1004,$A168)=0,"",COUNTIFS(Trips!$Z5:$Z1004,$R168,Trips!$D5:$D1004,$A168)+COUNTIFS(Trips!$Z5:$Z1004,$R168,Trips!$E5:$E1004,$A168)))</f>
        <v/>
      </c>
      <c r="D168" s="107">
        <f>IF($C168="","",SUMIFS(Trips!$K5:$K1004,Trips!$Z5:$Z1004,$R168,Trips!$D5:$D1004,$A168)+SUMIFS(Trips!$K5:$K1004,Trips!$Z5:$Z1004,$R168,Trips!$E5:$E1004,$A168))</f>
        <v/>
      </c>
      <c r="E168" s="108">
        <f>IF($C168="","",SUMIFS(Trips!$N5:$N1004,Trips!$Z5:$Z1004,$R168,Trips!$D5:$D1004,$A168)+SUMIFS(Trips!$O5:$O1004,Trips!$Z5:$Z1004,$R168,Trips!$E5:$E1004,$A168))</f>
        <v/>
      </c>
      <c r="F168" s="109">
        <f>IF($C168="","",SUMIFS(Trips!$P5:$P1004,Trips!$Z5:$Z1004,$R168,Trips!$D5:$D1004,$A168))</f>
        <v/>
      </c>
      <c r="G168" s="109">
        <f>IF($C168="","",SUMIFS(Trips!$Q5:$Q1004,Trips!$Z5:$Z1004,$R168,Trips!$D5:$D1004,$A168))</f>
        <v/>
      </c>
      <c r="H168" s="108">
        <f>IF(AND($C168="",$I168="",$J168=""),"",N($E168)+N($F168)+N($G168))</f>
        <v/>
      </c>
      <c r="I168" s="109">
        <f>IF($A168="","",IFERROR(1/(1/SUMIFS(Expenses!$F5:$F1004,Expenses!$L5:$L1004,"ADV",Expenses!$J5:$J1004,$R168,Expenses!$E5:$E1004,$A168)),""))</f>
        <v/>
      </c>
      <c r="J168" s="109">
        <f>IF($A168="","",IFERROR(1/(1/SUMIFS(Expenses!$F5:$F1004,Expenses!$L5:$L1004,"PAY",Expenses!$J5:$J1004,$R168,Expenses!$E5:$E1004,$A168)),""))</f>
        <v/>
      </c>
      <c r="K168" s="110">
        <f>IF($H168="","",N($H168)-N($I168)-N($J168))</f>
        <v/>
      </c>
      <c r="L168" s="111">
        <f>IF($K168="","",IF($K168&gt;0.5,"TO PAY",IF($K168&lt;-0.5,"ADVANCE / OWES","SETTLED")))</f>
        <v/>
      </c>
      <c r="R168" s="112" t="n">
        <v>46357</v>
      </c>
    </row>
    <row r="169">
      <c r="A169" s="104">
        <f>IF(Setup!$A85="","",Setup!$A85)</f>
        <v/>
      </c>
      <c r="B169" s="105">
        <f>IF($A169="","",Setup!$B85)</f>
        <v/>
      </c>
      <c r="C169" s="106">
        <f>IF($A169="","",IF(COUNTIFS(Trips!$Z5:$Z1004,$R169,Trips!$D5:$D1004,$A169)+COUNTIFS(Trips!$Z5:$Z1004,$R169,Trips!$E5:$E1004,$A169)=0,"",COUNTIFS(Trips!$Z5:$Z1004,$R169,Trips!$D5:$D1004,$A169)+COUNTIFS(Trips!$Z5:$Z1004,$R169,Trips!$E5:$E1004,$A169)))</f>
        <v/>
      </c>
      <c r="D169" s="107">
        <f>IF($C169="","",SUMIFS(Trips!$K5:$K1004,Trips!$Z5:$Z1004,$R169,Trips!$D5:$D1004,$A169)+SUMIFS(Trips!$K5:$K1004,Trips!$Z5:$Z1004,$R169,Trips!$E5:$E1004,$A169))</f>
        <v/>
      </c>
      <c r="E169" s="108">
        <f>IF($C169="","",SUMIFS(Trips!$N5:$N1004,Trips!$Z5:$Z1004,$R169,Trips!$D5:$D1004,$A169)+SUMIFS(Trips!$O5:$O1004,Trips!$Z5:$Z1004,$R169,Trips!$E5:$E1004,$A169))</f>
        <v/>
      </c>
      <c r="F169" s="109">
        <f>IF($C169="","",SUMIFS(Trips!$P5:$P1004,Trips!$Z5:$Z1004,$R169,Trips!$D5:$D1004,$A169))</f>
        <v/>
      </c>
      <c r="G169" s="109">
        <f>IF($C169="","",SUMIFS(Trips!$Q5:$Q1004,Trips!$Z5:$Z1004,$R169,Trips!$D5:$D1004,$A169))</f>
        <v/>
      </c>
      <c r="H169" s="108">
        <f>IF(AND($C169="",$I169="",$J169=""),"",N($E169)+N($F169)+N($G169))</f>
        <v/>
      </c>
      <c r="I169" s="109">
        <f>IF($A169="","",IFERROR(1/(1/SUMIFS(Expenses!$F5:$F1004,Expenses!$L5:$L1004,"ADV",Expenses!$J5:$J1004,$R169,Expenses!$E5:$E1004,$A169)),""))</f>
        <v/>
      </c>
      <c r="J169" s="109">
        <f>IF($A169="","",IFERROR(1/(1/SUMIFS(Expenses!$F5:$F1004,Expenses!$L5:$L1004,"PAY",Expenses!$J5:$J1004,$R169,Expenses!$E5:$E1004,$A169)),""))</f>
        <v/>
      </c>
      <c r="K169" s="110">
        <f>IF($H169="","",N($H169)-N($I169)-N($J169))</f>
        <v/>
      </c>
      <c r="L169" s="111">
        <f>IF($K169="","",IF($K169&gt;0.5,"TO PAY",IF($K169&lt;-0.5,"ADVANCE / OWES","SETTLED")))</f>
        <v/>
      </c>
      <c r="R169" s="112" t="n">
        <v>46357</v>
      </c>
    </row>
    <row r="170">
      <c r="A170" s="104">
        <f>IF(Setup!$A86="","",Setup!$A86)</f>
        <v/>
      </c>
      <c r="B170" s="105">
        <f>IF($A170="","",Setup!$B86)</f>
        <v/>
      </c>
      <c r="C170" s="106">
        <f>IF($A170="","",IF(COUNTIFS(Trips!$Z5:$Z1004,$R170,Trips!$D5:$D1004,$A170)+COUNTIFS(Trips!$Z5:$Z1004,$R170,Trips!$E5:$E1004,$A170)=0,"",COUNTIFS(Trips!$Z5:$Z1004,$R170,Trips!$D5:$D1004,$A170)+COUNTIFS(Trips!$Z5:$Z1004,$R170,Trips!$E5:$E1004,$A170)))</f>
        <v/>
      </c>
      <c r="D170" s="107">
        <f>IF($C170="","",SUMIFS(Trips!$K5:$K1004,Trips!$Z5:$Z1004,$R170,Trips!$D5:$D1004,$A170)+SUMIFS(Trips!$K5:$K1004,Trips!$Z5:$Z1004,$R170,Trips!$E5:$E1004,$A170))</f>
        <v/>
      </c>
      <c r="E170" s="108">
        <f>IF($C170="","",SUMIFS(Trips!$N5:$N1004,Trips!$Z5:$Z1004,$R170,Trips!$D5:$D1004,$A170)+SUMIFS(Trips!$O5:$O1004,Trips!$Z5:$Z1004,$R170,Trips!$E5:$E1004,$A170))</f>
        <v/>
      </c>
      <c r="F170" s="109">
        <f>IF($C170="","",SUMIFS(Trips!$P5:$P1004,Trips!$Z5:$Z1004,$R170,Trips!$D5:$D1004,$A170))</f>
        <v/>
      </c>
      <c r="G170" s="109">
        <f>IF($C170="","",SUMIFS(Trips!$Q5:$Q1004,Trips!$Z5:$Z1004,$R170,Trips!$D5:$D1004,$A170))</f>
        <v/>
      </c>
      <c r="H170" s="108">
        <f>IF(AND($C170="",$I170="",$J170=""),"",N($E170)+N($F170)+N($G170))</f>
        <v/>
      </c>
      <c r="I170" s="109">
        <f>IF($A170="","",IFERROR(1/(1/SUMIFS(Expenses!$F5:$F1004,Expenses!$L5:$L1004,"ADV",Expenses!$J5:$J1004,$R170,Expenses!$E5:$E1004,$A170)),""))</f>
        <v/>
      </c>
      <c r="J170" s="109">
        <f>IF($A170="","",IFERROR(1/(1/SUMIFS(Expenses!$F5:$F1004,Expenses!$L5:$L1004,"PAY",Expenses!$J5:$J1004,$R170,Expenses!$E5:$E1004,$A170)),""))</f>
        <v/>
      </c>
      <c r="K170" s="110">
        <f>IF($H170="","",N($H170)-N($I170)-N($J170))</f>
        <v/>
      </c>
      <c r="L170" s="111">
        <f>IF($K170="","",IF($K170&gt;0.5,"TO PAY",IF($K170&lt;-0.5,"ADVANCE / OWES","SETTLED")))</f>
        <v/>
      </c>
      <c r="R170" s="112" t="n">
        <v>46357</v>
      </c>
    </row>
    <row r="171">
      <c r="A171" s="104">
        <f>IF(Setup!$A87="","",Setup!$A87)</f>
        <v/>
      </c>
      <c r="B171" s="105">
        <f>IF($A171="","",Setup!$B87)</f>
        <v/>
      </c>
      <c r="C171" s="106">
        <f>IF($A171="","",IF(COUNTIFS(Trips!$Z5:$Z1004,$R171,Trips!$D5:$D1004,$A171)+COUNTIFS(Trips!$Z5:$Z1004,$R171,Trips!$E5:$E1004,$A171)=0,"",COUNTIFS(Trips!$Z5:$Z1004,$R171,Trips!$D5:$D1004,$A171)+COUNTIFS(Trips!$Z5:$Z1004,$R171,Trips!$E5:$E1004,$A171)))</f>
        <v/>
      </c>
      <c r="D171" s="107">
        <f>IF($C171="","",SUMIFS(Trips!$K5:$K1004,Trips!$Z5:$Z1004,$R171,Trips!$D5:$D1004,$A171)+SUMIFS(Trips!$K5:$K1004,Trips!$Z5:$Z1004,$R171,Trips!$E5:$E1004,$A171))</f>
        <v/>
      </c>
      <c r="E171" s="108">
        <f>IF($C171="","",SUMIFS(Trips!$N5:$N1004,Trips!$Z5:$Z1004,$R171,Trips!$D5:$D1004,$A171)+SUMIFS(Trips!$O5:$O1004,Trips!$Z5:$Z1004,$R171,Trips!$E5:$E1004,$A171))</f>
        <v/>
      </c>
      <c r="F171" s="109">
        <f>IF($C171="","",SUMIFS(Trips!$P5:$P1004,Trips!$Z5:$Z1004,$R171,Trips!$D5:$D1004,$A171))</f>
        <v/>
      </c>
      <c r="G171" s="109">
        <f>IF($C171="","",SUMIFS(Trips!$Q5:$Q1004,Trips!$Z5:$Z1004,$R171,Trips!$D5:$D1004,$A171))</f>
        <v/>
      </c>
      <c r="H171" s="108">
        <f>IF(AND($C171="",$I171="",$J171=""),"",N($E171)+N($F171)+N($G171))</f>
        <v/>
      </c>
      <c r="I171" s="109">
        <f>IF($A171="","",IFERROR(1/(1/SUMIFS(Expenses!$F5:$F1004,Expenses!$L5:$L1004,"ADV",Expenses!$J5:$J1004,$R171,Expenses!$E5:$E1004,$A171)),""))</f>
        <v/>
      </c>
      <c r="J171" s="109">
        <f>IF($A171="","",IFERROR(1/(1/SUMIFS(Expenses!$F5:$F1004,Expenses!$L5:$L1004,"PAY",Expenses!$J5:$J1004,$R171,Expenses!$E5:$E1004,$A171)),""))</f>
        <v/>
      </c>
      <c r="K171" s="110">
        <f>IF($H171="","",N($H171)-N($I171)-N($J171))</f>
        <v/>
      </c>
      <c r="L171" s="111">
        <f>IF($K171="","",IF($K171&gt;0.5,"TO PAY",IF($K171&lt;-0.5,"ADVANCE / OWES","SETTLED")))</f>
        <v/>
      </c>
      <c r="R171" s="112" t="n">
        <v>46357</v>
      </c>
    </row>
    <row r="172">
      <c r="A172" s="113" t="inlineStr">
        <is>
          <t>MONTH TOTAL</t>
        </is>
      </c>
      <c r="B172" s="114" t="n"/>
      <c r="C172" s="115">
        <f>IF(COUNT(C160:C171)=0,"",SUM(C160:C171))</f>
        <v/>
      </c>
      <c r="D172" s="116">
        <f>IF(COUNT(D160:D171)=0,"",SUM(D160:D171))</f>
        <v/>
      </c>
      <c r="E172" s="117">
        <f>IF(COUNT(E160:E171)=0,"",SUM(E160:E171))</f>
        <v/>
      </c>
      <c r="F172" s="117">
        <f>IF(COUNT(F160:F171)=0,"",SUM(F160:F171))</f>
        <v/>
      </c>
      <c r="G172" s="117">
        <f>IF(COUNT(G160:G171)=0,"",SUM(G160:G171))</f>
        <v/>
      </c>
      <c r="H172" s="117">
        <f>IF(COUNT(H160:H171)=0,"",SUM(H160:H171))</f>
        <v/>
      </c>
      <c r="I172" s="117">
        <f>IF(COUNT(I160:I171)=0,"",SUM(I160:I171))</f>
        <v/>
      </c>
      <c r="J172" s="117">
        <f>IF(COUNT(J160:J171)=0,"",SUM(J160:J171))</f>
        <v/>
      </c>
      <c r="K172" s="117">
        <f>IF(COUNT(K160:K171)=0,"",SUM(K160:K171))</f>
        <v/>
      </c>
      <c r="L172" s="118" t="n"/>
    </row>
    <row r="173" ht="24" customHeight="1">
      <c r="A173" s="103" t="inlineStr">
        <is>
          <t>JANUARY 2027   ·   crew earnings &amp; settlement</t>
        </is>
      </c>
    </row>
    <row r="174">
      <c r="A174" s="104">
        <f>IF(Setup!$A76="","",Setup!$A76)</f>
        <v/>
      </c>
      <c r="B174" s="105">
        <f>IF($A174="","",Setup!$B76)</f>
        <v/>
      </c>
      <c r="C174" s="106">
        <f>IF($A174="","",IF(COUNTIFS(Trips!$Z5:$Z1004,$R174,Trips!$D5:$D1004,$A174)+COUNTIFS(Trips!$Z5:$Z1004,$R174,Trips!$E5:$E1004,$A174)=0,"",COUNTIFS(Trips!$Z5:$Z1004,$R174,Trips!$D5:$D1004,$A174)+COUNTIFS(Trips!$Z5:$Z1004,$R174,Trips!$E5:$E1004,$A174)))</f>
        <v/>
      </c>
      <c r="D174" s="107">
        <f>IF($C174="","",SUMIFS(Trips!$K5:$K1004,Trips!$Z5:$Z1004,$R174,Trips!$D5:$D1004,$A174)+SUMIFS(Trips!$K5:$K1004,Trips!$Z5:$Z1004,$R174,Trips!$E5:$E1004,$A174))</f>
        <v/>
      </c>
      <c r="E174" s="108">
        <f>IF($C174="","",SUMIFS(Trips!$N5:$N1004,Trips!$Z5:$Z1004,$R174,Trips!$D5:$D1004,$A174)+SUMIFS(Trips!$O5:$O1004,Trips!$Z5:$Z1004,$R174,Trips!$E5:$E1004,$A174))</f>
        <v/>
      </c>
      <c r="F174" s="109">
        <f>IF($C174="","",SUMIFS(Trips!$P5:$P1004,Trips!$Z5:$Z1004,$R174,Trips!$D5:$D1004,$A174))</f>
        <v/>
      </c>
      <c r="G174" s="109">
        <f>IF($C174="","",SUMIFS(Trips!$Q5:$Q1004,Trips!$Z5:$Z1004,$R174,Trips!$D5:$D1004,$A174))</f>
        <v/>
      </c>
      <c r="H174" s="108">
        <f>IF(AND($C174="",$I174="",$J174=""),"",N($E174)+N($F174)+N($G174))</f>
        <v/>
      </c>
      <c r="I174" s="109">
        <f>IF($A174="","",IFERROR(1/(1/SUMIFS(Expenses!$F5:$F1004,Expenses!$L5:$L1004,"ADV",Expenses!$J5:$J1004,$R174,Expenses!$E5:$E1004,$A174)),""))</f>
        <v/>
      </c>
      <c r="J174" s="109">
        <f>IF($A174="","",IFERROR(1/(1/SUMIFS(Expenses!$F5:$F1004,Expenses!$L5:$L1004,"PAY",Expenses!$J5:$J1004,$R174,Expenses!$E5:$E1004,$A174)),""))</f>
        <v/>
      </c>
      <c r="K174" s="110">
        <f>IF($H174="","",N($H174)-N($I174)-N($J174))</f>
        <v/>
      </c>
      <c r="L174" s="111">
        <f>IF($K174="","",IF($K174&gt;0.5,"TO PAY",IF($K174&lt;-0.5,"ADVANCE / OWES","SETTLED")))</f>
        <v/>
      </c>
      <c r="R174" s="112" t="n">
        <v>46388</v>
      </c>
    </row>
    <row r="175">
      <c r="A175" s="104">
        <f>IF(Setup!$A77="","",Setup!$A77)</f>
        <v/>
      </c>
      <c r="B175" s="105">
        <f>IF($A175="","",Setup!$B77)</f>
        <v/>
      </c>
      <c r="C175" s="106">
        <f>IF($A175="","",IF(COUNTIFS(Trips!$Z5:$Z1004,$R175,Trips!$D5:$D1004,$A175)+COUNTIFS(Trips!$Z5:$Z1004,$R175,Trips!$E5:$E1004,$A175)=0,"",COUNTIFS(Trips!$Z5:$Z1004,$R175,Trips!$D5:$D1004,$A175)+COUNTIFS(Trips!$Z5:$Z1004,$R175,Trips!$E5:$E1004,$A175)))</f>
        <v/>
      </c>
      <c r="D175" s="107">
        <f>IF($C175="","",SUMIFS(Trips!$K5:$K1004,Trips!$Z5:$Z1004,$R175,Trips!$D5:$D1004,$A175)+SUMIFS(Trips!$K5:$K1004,Trips!$Z5:$Z1004,$R175,Trips!$E5:$E1004,$A175))</f>
        <v/>
      </c>
      <c r="E175" s="108">
        <f>IF($C175="","",SUMIFS(Trips!$N5:$N1004,Trips!$Z5:$Z1004,$R175,Trips!$D5:$D1004,$A175)+SUMIFS(Trips!$O5:$O1004,Trips!$Z5:$Z1004,$R175,Trips!$E5:$E1004,$A175))</f>
        <v/>
      </c>
      <c r="F175" s="109">
        <f>IF($C175="","",SUMIFS(Trips!$P5:$P1004,Trips!$Z5:$Z1004,$R175,Trips!$D5:$D1004,$A175))</f>
        <v/>
      </c>
      <c r="G175" s="109">
        <f>IF($C175="","",SUMIFS(Trips!$Q5:$Q1004,Trips!$Z5:$Z1004,$R175,Trips!$D5:$D1004,$A175))</f>
        <v/>
      </c>
      <c r="H175" s="108">
        <f>IF(AND($C175="",$I175="",$J175=""),"",N($E175)+N($F175)+N($G175))</f>
        <v/>
      </c>
      <c r="I175" s="109">
        <f>IF($A175="","",IFERROR(1/(1/SUMIFS(Expenses!$F5:$F1004,Expenses!$L5:$L1004,"ADV",Expenses!$J5:$J1004,$R175,Expenses!$E5:$E1004,$A175)),""))</f>
        <v/>
      </c>
      <c r="J175" s="109">
        <f>IF($A175="","",IFERROR(1/(1/SUMIFS(Expenses!$F5:$F1004,Expenses!$L5:$L1004,"PAY",Expenses!$J5:$J1004,$R175,Expenses!$E5:$E1004,$A175)),""))</f>
        <v/>
      </c>
      <c r="K175" s="110">
        <f>IF($H175="","",N($H175)-N($I175)-N($J175))</f>
        <v/>
      </c>
      <c r="L175" s="111">
        <f>IF($K175="","",IF($K175&gt;0.5,"TO PAY",IF($K175&lt;-0.5,"ADVANCE / OWES","SETTLED")))</f>
        <v/>
      </c>
      <c r="R175" s="112" t="n">
        <v>46388</v>
      </c>
    </row>
    <row r="176">
      <c r="A176" s="104">
        <f>IF(Setup!$A78="","",Setup!$A78)</f>
        <v/>
      </c>
      <c r="B176" s="105">
        <f>IF($A176="","",Setup!$B78)</f>
        <v/>
      </c>
      <c r="C176" s="106">
        <f>IF($A176="","",IF(COUNTIFS(Trips!$Z5:$Z1004,$R176,Trips!$D5:$D1004,$A176)+COUNTIFS(Trips!$Z5:$Z1004,$R176,Trips!$E5:$E1004,$A176)=0,"",COUNTIFS(Trips!$Z5:$Z1004,$R176,Trips!$D5:$D1004,$A176)+COUNTIFS(Trips!$Z5:$Z1004,$R176,Trips!$E5:$E1004,$A176)))</f>
        <v/>
      </c>
      <c r="D176" s="107">
        <f>IF($C176="","",SUMIFS(Trips!$K5:$K1004,Trips!$Z5:$Z1004,$R176,Trips!$D5:$D1004,$A176)+SUMIFS(Trips!$K5:$K1004,Trips!$Z5:$Z1004,$R176,Trips!$E5:$E1004,$A176))</f>
        <v/>
      </c>
      <c r="E176" s="108">
        <f>IF($C176="","",SUMIFS(Trips!$N5:$N1004,Trips!$Z5:$Z1004,$R176,Trips!$D5:$D1004,$A176)+SUMIFS(Trips!$O5:$O1004,Trips!$Z5:$Z1004,$R176,Trips!$E5:$E1004,$A176))</f>
        <v/>
      </c>
      <c r="F176" s="109">
        <f>IF($C176="","",SUMIFS(Trips!$P5:$P1004,Trips!$Z5:$Z1004,$R176,Trips!$D5:$D1004,$A176))</f>
        <v/>
      </c>
      <c r="G176" s="109">
        <f>IF($C176="","",SUMIFS(Trips!$Q5:$Q1004,Trips!$Z5:$Z1004,$R176,Trips!$D5:$D1004,$A176))</f>
        <v/>
      </c>
      <c r="H176" s="108">
        <f>IF(AND($C176="",$I176="",$J176=""),"",N($E176)+N($F176)+N($G176))</f>
        <v/>
      </c>
      <c r="I176" s="109">
        <f>IF($A176="","",IFERROR(1/(1/SUMIFS(Expenses!$F5:$F1004,Expenses!$L5:$L1004,"ADV",Expenses!$J5:$J1004,$R176,Expenses!$E5:$E1004,$A176)),""))</f>
        <v/>
      </c>
      <c r="J176" s="109">
        <f>IF($A176="","",IFERROR(1/(1/SUMIFS(Expenses!$F5:$F1004,Expenses!$L5:$L1004,"PAY",Expenses!$J5:$J1004,$R176,Expenses!$E5:$E1004,$A176)),""))</f>
        <v/>
      </c>
      <c r="K176" s="110">
        <f>IF($H176="","",N($H176)-N($I176)-N($J176))</f>
        <v/>
      </c>
      <c r="L176" s="111">
        <f>IF($K176="","",IF($K176&gt;0.5,"TO PAY",IF($K176&lt;-0.5,"ADVANCE / OWES","SETTLED")))</f>
        <v/>
      </c>
      <c r="R176" s="112" t="n">
        <v>46388</v>
      </c>
    </row>
    <row r="177">
      <c r="A177" s="104">
        <f>IF(Setup!$A79="","",Setup!$A79)</f>
        <v/>
      </c>
      <c r="B177" s="105">
        <f>IF($A177="","",Setup!$B79)</f>
        <v/>
      </c>
      <c r="C177" s="106">
        <f>IF($A177="","",IF(COUNTIFS(Trips!$Z5:$Z1004,$R177,Trips!$D5:$D1004,$A177)+COUNTIFS(Trips!$Z5:$Z1004,$R177,Trips!$E5:$E1004,$A177)=0,"",COUNTIFS(Trips!$Z5:$Z1004,$R177,Trips!$D5:$D1004,$A177)+COUNTIFS(Trips!$Z5:$Z1004,$R177,Trips!$E5:$E1004,$A177)))</f>
        <v/>
      </c>
      <c r="D177" s="107">
        <f>IF($C177="","",SUMIFS(Trips!$K5:$K1004,Trips!$Z5:$Z1004,$R177,Trips!$D5:$D1004,$A177)+SUMIFS(Trips!$K5:$K1004,Trips!$Z5:$Z1004,$R177,Trips!$E5:$E1004,$A177))</f>
        <v/>
      </c>
      <c r="E177" s="108">
        <f>IF($C177="","",SUMIFS(Trips!$N5:$N1004,Trips!$Z5:$Z1004,$R177,Trips!$D5:$D1004,$A177)+SUMIFS(Trips!$O5:$O1004,Trips!$Z5:$Z1004,$R177,Trips!$E5:$E1004,$A177))</f>
        <v/>
      </c>
      <c r="F177" s="109">
        <f>IF($C177="","",SUMIFS(Trips!$P5:$P1004,Trips!$Z5:$Z1004,$R177,Trips!$D5:$D1004,$A177))</f>
        <v/>
      </c>
      <c r="G177" s="109">
        <f>IF($C177="","",SUMIFS(Trips!$Q5:$Q1004,Trips!$Z5:$Z1004,$R177,Trips!$D5:$D1004,$A177))</f>
        <v/>
      </c>
      <c r="H177" s="108">
        <f>IF(AND($C177="",$I177="",$J177=""),"",N($E177)+N($F177)+N($G177))</f>
        <v/>
      </c>
      <c r="I177" s="109">
        <f>IF($A177="","",IFERROR(1/(1/SUMIFS(Expenses!$F5:$F1004,Expenses!$L5:$L1004,"ADV",Expenses!$J5:$J1004,$R177,Expenses!$E5:$E1004,$A177)),""))</f>
        <v/>
      </c>
      <c r="J177" s="109">
        <f>IF($A177="","",IFERROR(1/(1/SUMIFS(Expenses!$F5:$F1004,Expenses!$L5:$L1004,"PAY",Expenses!$J5:$J1004,$R177,Expenses!$E5:$E1004,$A177)),""))</f>
        <v/>
      </c>
      <c r="K177" s="110">
        <f>IF($H177="","",N($H177)-N($I177)-N($J177))</f>
        <v/>
      </c>
      <c r="L177" s="111">
        <f>IF($K177="","",IF($K177&gt;0.5,"TO PAY",IF($K177&lt;-0.5,"ADVANCE / OWES","SETTLED")))</f>
        <v/>
      </c>
      <c r="R177" s="112" t="n">
        <v>46388</v>
      </c>
    </row>
    <row r="178">
      <c r="A178" s="104">
        <f>IF(Setup!$A80="","",Setup!$A80)</f>
        <v/>
      </c>
      <c r="B178" s="105">
        <f>IF($A178="","",Setup!$B80)</f>
        <v/>
      </c>
      <c r="C178" s="106">
        <f>IF($A178="","",IF(COUNTIFS(Trips!$Z5:$Z1004,$R178,Trips!$D5:$D1004,$A178)+COUNTIFS(Trips!$Z5:$Z1004,$R178,Trips!$E5:$E1004,$A178)=0,"",COUNTIFS(Trips!$Z5:$Z1004,$R178,Trips!$D5:$D1004,$A178)+COUNTIFS(Trips!$Z5:$Z1004,$R178,Trips!$E5:$E1004,$A178)))</f>
        <v/>
      </c>
      <c r="D178" s="107">
        <f>IF($C178="","",SUMIFS(Trips!$K5:$K1004,Trips!$Z5:$Z1004,$R178,Trips!$D5:$D1004,$A178)+SUMIFS(Trips!$K5:$K1004,Trips!$Z5:$Z1004,$R178,Trips!$E5:$E1004,$A178))</f>
        <v/>
      </c>
      <c r="E178" s="108">
        <f>IF($C178="","",SUMIFS(Trips!$N5:$N1004,Trips!$Z5:$Z1004,$R178,Trips!$D5:$D1004,$A178)+SUMIFS(Trips!$O5:$O1004,Trips!$Z5:$Z1004,$R178,Trips!$E5:$E1004,$A178))</f>
        <v/>
      </c>
      <c r="F178" s="109">
        <f>IF($C178="","",SUMIFS(Trips!$P5:$P1004,Trips!$Z5:$Z1004,$R178,Trips!$D5:$D1004,$A178))</f>
        <v/>
      </c>
      <c r="G178" s="109">
        <f>IF($C178="","",SUMIFS(Trips!$Q5:$Q1004,Trips!$Z5:$Z1004,$R178,Trips!$D5:$D1004,$A178))</f>
        <v/>
      </c>
      <c r="H178" s="108">
        <f>IF(AND($C178="",$I178="",$J178=""),"",N($E178)+N($F178)+N($G178))</f>
        <v/>
      </c>
      <c r="I178" s="109">
        <f>IF($A178="","",IFERROR(1/(1/SUMIFS(Expenses!$F5:$F1004,Expenses!$L5:$L1004,"ADV",Expenses!$J5:$J1004,$R178,Expenses!$E5:$E1004,$A178)),""))</f>
        <v/>
      </c>
      <c r="J178" s="109">
        <f>IF($A178="","",IFERROR(1/(1/SUMIFS(Expenses!$F5:$F1004,Expenses!$L5:$L1004,"PAY",Expenses!$J5:$J1004,$R178,Expenses!$E5:$E1004,$A178)),""))</f>
        <v/>
      </c>
      <c r="K178" s="110">
        <f>IF($H178="","",N($H178)-N($I178)-N($J178))</f>
        <v/>
      </c>
      <c r="L178" s="111">
        <f>IF($K178="","",IF($K178&gt;0.5,"TO PAY",IF($K178&lt;-0.5,"ADVANCE / OWES","SETTLED")))</f>
        <v/>
      </c>
      <c r="R178" s="112" t="n">
        <v>46388</v>
      </c>
    </row>
    <row r="179">
      <c r="A179" s="104">
        <f>IF(Setup!$A81="","",Setup!$A81)</f>
        <v/>
      </c>
      <c r="B179" s="105">
        <f>IF($A179="","",Setup!$B81)</f>
        <v/>
      </c>
      <c r="C179" s="106">
        <f>IF($A179="","",IF(COUNTIFS(Trips!$Z5:$Z1004,$R179,Trips!$D5:$D1004,$A179)+COUNTIFS(Trips!$Z5:$Z1004,$R179,Trips!$E5:$E1004,$A179)=0,"",COUNTIFS(Trips!$Z5:$Z1004,$R179,Trips!$D5:$D1004,$A179)+COUNTIFS(Trips!$Z5:$Z1004,$R179,Trips!$E5:$E1004,$A179)))</f>
        <v/>
      </c>
      <c r="D179" s="107">
        <f>IF($C179="","",SUMIFS(Trips!$K5:$K1004,Trips!$Z5:$Z1004,$R179,Trips!$D5:$D1004,$A179)+SUMIFS(Trips!$K5:$K1004,Trips!$Z5:$Z1004,$R179,Trips!$E5:$E1004,$A179))</f>
        <v/>
      </c>
      <c r="E179" s="108">
        <f>IF($C179="","",SUMIFS(Trips!$N5:$N1004,Trips!$Z5:$Z1004,$R179,Trips!$D5:$D1004,$A179)+SUMIFS(Trips!$O5:$O1004,Trips!$Z5:$Z1004,$R179,Trips!$E5:$E1004,$A179))</f>
        <v/>
      </c>
      <c r="F179" s="109">
        <f>IF($C179="","",SUMIFS(Trips!$P5:$P1004,Trips!$Z5:$Z1004,$R179,Trips!$D5:$D1004,$A179))</f>
        <v/>
      </c>
      <c r="G179" s="109">
        <f>IF($C179="","",SUMIFS(Trips!$Q5:$Q1004,Trips!$Z5:$Z1004,$R179,Trips!$D5:$D1004,$A179))</f>
        <v/>
      </c>
      <c r="H179" s="108">
        <f>IF(AND($C179="",$I179="",$J179=""),"",N($E179)+N($F179)+N($G179))</f>
        <v/>
      </c>
      <c r="I179" s="109">
        <f>IF($A179="","",IFERROR(1/(1/SUMIFS(Expenses!$F5:$F1004,Expenses!$L5:$L1004,"ADV",Expenses!$J5:$J1004,$R179,Expenses!$E5:$E1004,$A179)),""))</f>
        <v/>
      </c>
      <c r="J179" s="109">
        <f>IF($A179="","",IFERROR(1/(1/SUMIFS(Expenses!$F5:$F1004,Expenses!$L5:$L1004,"PAY",Expenses!$J5:$J1004,$R179,Expenses!$E5:$E1004,$A179)),""))</f>
        <v/>
      </c>
      <c r="K179" s="110">
        <f>IF($H179="","",N($H179)-N($I179)-N($J179))</f>
        <v/>
      </c>
      <c r="L179" s="111">
        <f>IF($K179="","",IF($K179&gt;0.5,"TO PAY",IF($K179&lt;-0.5,"ADVANCE / OWES","SETTLED")))</f>
        <v/>
      </c>
      <c r="R179" s="112" t="n">
        <v>46388</v>
      </c>
    </row>
    <row r="180">
      <c r="A180" s="104">
        <f>IF(Setup!$A82="","",Setup!$A82)</f>
        <v/>
      </c>
      <c r="B180" s="105">
        <f>IF($A180="","",Setup!$B82)</f>
        <v/>
      </c>
      <c r="C180" s="106">
        <f>IF($A180="","",IF(COUNTIFS(Trips!$Z5:$Z1004,$R180,Trips!$D5:$D1004,$A180)+COUNTIFS(Trips!$Z5:$Z1004,$R180,Trips!$E5:$E1004,$A180)=0,"",COUNTIFS(Trips!$Z5:$Z1004,$R180,Trips!$D5:$D1004,$A180)+COUNTIFS(Trips!$Z5:$Z1004,$R180,Trips!$E5:$E1004,$A180)))</f>
        <v/>
      </c>
      <c r="D180" s="107">
        <f>IF($C180="","",SUMIFS(Trips!$K5:$K1004,Trips!$Z5:$Z1004,$R180,Trips!$D5:$D1004,$A180)+SUMIFS(Trips!$K5:$K1004,Trips!$Z5:$Z1004,$R180,Trips!$E5:$E1004,$A180))</f>
        <v/>
      </c>
      <c r="E180" s="108">
        <f>IF($C180="","",SUMIFS(Trips!$N5:$N1004,Trips!$Z5:$Z1004,$R180,Trips!$D5:$D1004,$A180)+SUMIFS(Trips!$O5:$O1004,Trips!$Z5:$Z1004,$R180,Trips!$E5:$E1004,$A180))</f>
        <v/>
      </c>
      <c r="F180" s="109">
        <f>IF($C180="","",SUMIFS(Trips!$P5:$P1004,Trips!$Z5:$Z1004,$R180,Trips!$D5:$D1004,$A180))</f>
        <v/>
      </c>
      <c r="G180" s="109">
        <f>IF($C180="","",SUMIFS(Trips!$Q5:$Q1004,Trips!$Z5:$Z1004,$R180,Trips!$D5:$D1004,$A180))</f>
        <v/>
      </c>
      <c r="H180" s="108">
        <f>IF(AND($C180="",$I180="",$J180=""),"",N($E180)+N($F180)+N($G180))</f>
        <v/>
      </c>
      <c r="I180" s="109">
        <f>IF($A180="","",IFERROR(1/(1/SUMIFS(Expenses!$F5:$F1004,Expenses!$L5:$L1004,"ADV",Expenses!$J5:$J1004,$R180,Expenses!$E5:$E1004,$A180)),""))</f>
        <v/>
      </c>
      <c r="J180" s="109">
        <f>IF($A180="","",IFERROR(1/(1/SUMIFS(Expenses!$F5:$F1004,Expenses!$L5:$L1004,"PAY",Expenses!$J5:$J1004,$R180,Expenses!$E5:$E1004,$A180)),""))</f>
        <v/>
      </c>
      <c r="K180" s="110">
        <f>IF($H180="","",N($H180)-N($I180)-N($J180))</f>
        <v/>
      </c>
      <c r="L180" s="111">
        <f>IF($K180="","",IF($K180&gt;0.5,"TO PAY",IF($K180&lt;-0.5,"ADVANCE / OWES","SETTLED")))</f>
        <v/>
      </c>
      <c r="R180" s="112" t="n">
        <v>46388</v>
      </c>
    </row>
    <row r="181">
      <c r="A181" s="104">
        <f>IF(Setup!$A83="","",Setup!$A83)</f>
        <v/>
      </c>
      <c r="B181" s="105">
        <f>IF($A181="","",Setup!$B83)</f>
        <v/>
      </c>
      <c r="C181" s="106">
        <f>IF($A181="","",IF(COUNTIFS(Trips!$Z5:$Z1004,$R181,Trips!$D5:$D1004,$A181)+COUNTIFS(Trips!$Z5:$Z1004,$R181,Trips!$E5:$E1004,$A181)=0,"",COUNTIFS(Trips!$Z5:$Z1004,$R181,Trips!$D5:$D1004,$A181)+COUNTIFS(Trips!$Z5:$Z1004,$R181,Trips!$E5:$E1004,$A181)))</f>
        <v/>
      </c>
      <c r="D181" s="107">
        <f>IF($C181="","",SUMIFS(Trips!$K5:$K1004,Trips!$Z5:$Z1004,$R181,Trips!$D5:$D1004,$A181)+SUMIFS(Trips!$K5:$K1004,Trips!$Z5:$Z1004,$R181,Trips!$E5:$E1004,$A181))</f>
        <v/>
      </c>
      <c r="E181" s="108">
        <f>IF($C181="","",SUMIFS(Trips!$N5:$N1004,Trips!$Z5:$Z1004,$R181,Trips!$D5:$D1004,$A181)+SUMIFS(Trips!$O5:$O1004,Trips!$Z5:$Z1004,$R181,Trips!$E5:$E1004,$A181))</f>
        <v/>
      </c>
      <c r="F181" s="109">
        <f>IF($C181="","",SUMIFS(Trips!$P5:$P1004,Trips!$Z5:$Z1004,$R181,Trips!$D5:$D1004,$A181))</f>
        <v/>
      </c>
      <c r="G181" s="109">
        <f>IF($C181="","",SUMIFS(Trips!$Q5:$Q1004,Trips!$Z5:$Z1004,$R181,Trips!$D5:$D1004,$A181))</f>
        <v/>
      </c>
      <c r="H181" s="108">
        <f>IF(AND($C181="",$I181="",$J181=""),"",N($E181)+N($F181)+N($G181))</f>
        <v/>
      </c>
      <c r="I181" s="109">
        <f>IF($A181="","",IFERROR(1/(1/SUMIFS(Expenses!$F5:$F1004,Expenses!$L5:$L1004,"ADV",Expenses!$J5:$J1004,$R181,Expenses!$E5:$E1004,$A181)),""))</f>
        <v/>
      </c>
      <c r="J181" s="109">
        <f>IF($A181="","",IFERROR(1/(1/SUMIFS(Expenses!$F5:$F1004,Expenses!$L5:$L1004,"PAY",Expenses!$J5:$J1004,$R181,Expenses!$E5:$E1004,$A181)),""))</f>
        <v/>
      </c>
      <c r="K181" s="110">
        <f>IF($H181="","",N($H181)-N($I181)-N($J181))</f>
        <v/>
      </c>
      <c r="L181" s="111">
        <f>IF($K181="","",IF($K181&gt;0.5,"TO PAY",IF($K181&lt;-0.5,"ADVANCE / OWES","SETTLED")))</f>
        <v/>
      </c>
      <c r="R181" s="112" t="n">
        <v>46388</v>
      </c>
    </row>
    <row r="182">
      <c r="A182" s="104">
        <f>IF(Setup!$A84="","",Setup!$A84)</f>
        <v/>
      </c>
      <c r="B182" s="105">
        <f>IF($A182="","",Setup!$B84)</f>
        <v/>
      </c>
      <c r="C182" s="106">
        <f>IF($A182="","",IF(COUNTIFS(Trips!$Z5:$Z1004,$R182,Trips!$D5:$D1004,$A182)+COUNTIFS(Trips!$Z5:$Z1004,$R182,Trips!$E5:$E1004,$A182)=0,"",COUNTIFS(Trips!$Z5:$Z1004,$R182,Trips!$D5:$D1004,$A182)+COUNTIFS(Trips!$Z5:$Z1004,$R182,Trips!$E5:$E1004,$A182)))</f>
        <v/>
      </c>
      <c r="D182" s="107">
        <f>IF($C182="","",SUMIFS(Trips!$K5:$K1004,Trips!$Z5:$Z1004,$R182,Trips!$D5:$D1004,$A182)+SUMIFS(Trips!$K5:$K1004,Trips!$Z5:$Z1004,$R182,Trips!$E5:$E1004,$A182))</f>
        <v/>
      </c>
      <c r="E182" s="108">
        <f>IF($C182="","",SUMIFS(Trips!$N5:$N1004,Trips!$Z5:$Z1004,$R182,Trips!$D5:$D1004,$A182)+SUMIFS(Trips!$O5:$O1004,Trips!$Z5:$Z1004,$R182,Trips!$E5:$E1004,$A182))</f>
        <v/>
      </c>
      <c r="F182" s="109">
        <f>IF($C182="","",SUMIFS(Trips!$P5:$P1004,Trips!$Z5:$Z1004,$R182,Trips!$D5:$D1004,$A182))</f>
        <v/>
      </c>
      <c r="G182" s="109">
        <f>IF($C182="","",SUMIFS(Trips!$Q5:$Q1004,Trips!$Z5:$Z1004,$R182,Trips!$D5:$D1004,$A182))</f>
        <v/>
      </c>
      <c r="H182" s="108">
        <f>IF(AND($C182="",$I182="",$J182=""),"",N($E182)+N($F182)+N($G182))</f>
        <v/>
      </c>
      <c r="I182" s="109">
        <f>IF($A182="","",IFERROR(1/(1/SUMIFS(Expenses!$F5:$F1004,Expenses!$L5:$L1004,"ADV",Expenses!$J5:$J1004,$R182,Expenses!$E5:$E1004,$A182)),""))</f>
        <v/>
      </c>
      <c r="J182" s="109">
        <f>IF($A182="","",IFERROR(1/(1/SUMIFS(Expenses!$F5:$F1004,Expenses!$L5:$L1004,"PAY",Expenses!$J5:$J1004,$R182,Expenses!$E5:$E1004,$A182)),""))</f>
        <v/>
      </c>
      <c r="K182" s="110">
        <f>IF($H182="","",N($H182)-N($I182)-N($J182))</f>
        <v/>
      </c>
      <c r="L182" s="111">
        <f>IF($K182="","",IF($K182&gt;0.5,"TO PAY",IF($K182&lt;-0.5,"ADVANCE / OWES","SETTLED")))</f>
        <v/>
      </c>
      <c r="R182" s="112" t="n">
        <v>46388</v>
      </c>
    </row>
    <row r="183">
      <c r="A183" s="104">
        <f>IF(Setup!$A85="","",Setup!$A85)</f>
        <v/>
      </c>
      <c r="B183" s="105">
        <f>IF($A183="","",Setup!$B85)</f>
        <v/>
      </c>
      <c r="C183" s="106">
        <f>IF($A183="","",IF(COUNTIFS(Trips!$Z5:$Z1004,$R183,Trips!$D5:$D1004,$A183)+COUNTIFS(Trips!$Z5:$Z1004,$R183,Trips!$E5:$E1004,$A183)=0,"",COUNTIFS(Trips!$Z5:$Z1004,$R183,Trips!$D5:$D1004,$A183)+COUNTIFS(Trips!$Z5:$Z1004,$R183,Trips!$E5:$E1004,$A183)))</f>
        <v/>
      </c>
      <c r="D183" s="107">
        <f>IF($C183="","",SUMIFS(Trips!$K5:$K1004,Trips!$Z5:$Z1004,$R183,Trips!$D5:$D1004,$A183)+SUMIFS(Trips!$K5:$K1004,Trips!$Z5:$Z1004,$R183,Trips!$E5:$E1004,$A183))</f>
        <v/>
      </c>
      <c r="E183" s="108">
        <f>IF($C183="","",SUMIFS(Trips!$N5:$N1004,Trips!$Z5:$Z1004,$R183,Trips!$D5:$D1004,$A183)+SUMIFS(Trips!$O5:$O1004,Trips!$Z5:$Z1004,$R183,Trips!$E5:$E1004,$A183))</f>
        <v/>
      </c>
      <c r="F183" s="109">
        <f>IF($C183="","",SUMIFS(Trips!$P5:$P1004,Trips!$Z5:$Z1004,$R183,Trips!$D5:$D1004,$A183))</f>
        <v/>
      </c>
      <c r="G183" s="109">
        <f>IF($C183="","",SUMIFS(Trips!$Q5:$Q1004,Trips!$Z5:$Z1004,$R183,Trips!$D5:$D1004,$A183))</f>
        <v/>
      </c>
      <c r="H183" s="108">
        <f>IF(AND($C183="",$I183="",$J183=""),"",N($E183)+N($F183)+N($G183))</f>
        <v/>
      </c>
      <c r="I183" s="109">
        <f>IF($A183="","",IFERROR(1/(1/SUMIFS(Expenses!$F5:$F1004,Expenses!$L5:$L1004,"ADV",Expenses!$J5:$J1004,$R183,Expenses!$E5:$E1004,$A183)),""))</f>
        <v/>
      </c>
      <c r="J183" s="109">
        <f>IF($A183="","",IFERROR(1/(1/SUMIFS(Expenses!$F5:$F1004,Expenses!$L5:$L1004,"PAY",Expenses!$J5:$J1004,$R183,Expenses!$E5:$E1004,$A183)),""))</f>
        <v/>
      </c>
      <c r="K183" s="110">
        <f>IF($H183="","",N($H183)-N($I183)-N($J183))</f>
        <v/>
      </c>
      <c r="L183" s="111">
        <f>IF($K183="","",IF($K183&gt;0.5,"TO PAY",IF($K183&lt;-0.5,"ADVANCE / OWES","SETTLED")))</f>
        <v/>
      </c>
      <c r="R183" s="112" t="n">
        <v>46388</v>
      </c>
    </row>
    <row r="184">
      <c r="A184" s="104">
        <f>IF(Setup!$A86="","",Setup!$A86)</f>
        <v/>
      </c>
      <c r="B184" s="105">
        <f>IF($A184="","",Setup!$B86)</f>
        <v/>
      </c>
      <c r="C184" s="106">
        <f>IF($A184="","",IF(COUNTIFS(Trips!$Z5:$Z1004,$R184,Trips!$D5:$D1004,$A184)+COUNTIFS(Trips!$Z5:$Z1004,$R184,Trips!$E5:$E1004,$A184)=0,"",COUNTIFS(Trips!$Z5:$Z1004,$R184,Trips!$D5:$D1004,$A184)+COUNTIFS(Trips!$Z5:$Z1004,$R184,Trips!$E5:$E1004,$A184)))</f>
        <v/>
      </c>
      <c r="D184" s="107">
        <f>IF($C184="","",SUMIFS(Trips!$K5:$K1004,Trips!$Z5:$Z1004,$R184,Trips!$D5:$D1004,$A184)+SUMIFS(Trips!$K5:$K1004,Trips!$Z5:$Z1004,$R184,Trips!$E5:$E1004,$A184))</f>
        <v/>
      </c>
      <c r="E184" s="108">
        <f>IF($C184="","",SUMIFS(Trips!$N5:$N1004,Trips!$Z5:$Z1004,$R184,Trips!$D5:$D1004,$A184)+SUMIFS(Trips!$O5:$O1004,Trips!$Z5:$Z1004,$R184,Trips!$E5:$E1004,$A184))</f>
        <v/>
      </c>
      <c r="F184" s="109">
        <f>IF($C184="","",SUMIFS(Trips!$P5:$P1004,Trips!$Z5:$Z1004,$R184,Trips!$D5:$D1004,$A184))</f>
        <v/>
      </c>
      <c r="G184" s="109">
        <f>IF($C184="","",SUMIFS(Trips!$Q5:$Q1004,Trips!$Z5:$Z1004,$R184,Trips!$D5:$D1004,$A184))</f>
        <v/>
      </c>
      <c r="H184" s="108">
        <f>IF(AND($C184="",$I184="",$J184=""),"",N($E184)+N($F184)+N($G184))</f>
        <v/>
      </c>
      <c r="I184" s="109">
        <f>IF($A184="","",IFERROR(1/(1/SUMIFS(Expenses!$F5:$F1004,Expenses!$L5:$L1004,"ADV",Expenses!$J5:$J1004,$R184,Expenses!$E5:$E1004,$A184)),""))</f>
        <v/>
      </c>
      <c r="J184" s="109">
        <f>IF($A184="","",IFERROR(1/(1/SUMIFS(Expenses!$F5:$F1004,Expenses!$L5:$L1004,"PAY",Expenses!$J5:$J1004,$R184,Expenses!$E5:$E1004,$A184)),""))</f>
        <v/>
      </c>
      <c r="K184" s="110">
        <f>IF($H184="","",N($H184)-N($I184)-N($J184))</f>
        <v/>
      </c>
      <c r="L184" s="111">
        <f>IF($K184="","",IF($K184&gt;0.5,"TO PAY",IF($K184&lt;-0.5,"ADVANCE / OWES","SETTLED")))</f>
        <v/>
      </c>
      <c r="R184" s="112" t="n">
        <v>46388</v>
      </c>
    </row>
    <row r="185">
      <c r="A185" s="104">
        <f>IF(Setup!$A87="","",Setup!$A87)</f>
        <v/>
      </c>
      <c r="B185" s="105">
        <f>IF($A185="","",Setup!$B87)</f>
        <v/>
      </c>
      <c r="C185" s="106">
        <f>IF($A185="","",IF(COUNTIFS(Trips!$Z5:$Z1004,$R185,Trips!$D5:$D1004,$A185)+COUNTIFS(Trips!$Z5:$Z1004,$R185,Trips!$E5:$E1004,$A185)=0,"",COUNTIFS(Trips!$Z5:$Z1004,$R185,Trips!$D5:$D1004,$A185)+COUNTIFS(Trips!$Z5:$Z1004,$R185,Trips!$E5:$E1004,$A185)))</f>
        <v/>
      </c>
      <c r="D185" s="107">
        <f>IF($C185="","",SUMIFS(Trips!$K5:$K1004,Trips!$Z5:$Z1004,$R185,Trips!$D5:$D1004,$A185)+SUMIFS(Trips!$K5:$K1004,Trips!$Z5:$Z1004,$R185,Trips!$E5:$E1004,$A185))</f>
        <v/>
      </c>
      <c r="E185" s="108">
        <f>IF($C185="","",SUMIFS(Trips!$N5:$N1004,Trips!$Z5:$Z1004,$R185,Trips!$D5:$D1004,$A185)+SUMIFS(Trips!$O5:$O1004,Trips!$Z5:$Z1004,$R185,Trips!$E5:$E1004,$A185))</f>
        <v/>
      </c>
      <c r="F185" s="109">
        <f>IF($C185="","",SUMIFS(Trips!$P5:$P1004,Trips!$Z5:$Z1004,$R185,Trips!$D5:$D1004,$A185))</f>
        <v/>
      </c>
      <c r="G185" s="109">
        <f>IF($C185="","",SUMIFS(Trips!$Q5:$Q1004,Trips!$Z5:$Z1004,$R185,Trips!$D5:$D1004,$A185))</f>
        <v/>
      </c>
      <c r="H185" s="108">
        <f>IF(AND($C185="",$I185="",$J185=""),"",N($E185)+N($F185)+N($G185))</f>
        <v/>
      </c>
      <c r="I185" s="109">
        <f>IF($A185="","",IFERROR(1/(1/SUMIFS(Expenses!$F5:$F1004,Expenses!$L5:$L1004,"ADV",Expenses!$J5:$J1004,$R185,Expenses!$E5:$E1004,$A185)),""))</f>
        <v/>
      </c>
      <c r="J185" s="109">
        <f>IF($A185="","",IFERROR(1/(1/SUMIFS(Expenses!$F5:$F1004,Expenses!$L5:$L1004,"PAY",Expenses!$J5:$J1004,$R185,Expenses!$E5:$E1004,$A185)),""))</f>
        <v/>
      </c>
      <c r="K185" s="110">
        <f>IF($H185="","",N($H185)-N($I185)-N($J185))</f>
        <v/>
      </c>
      <c r="L185" s="111">
        <f>IF($K185="","",IF($K185&gt;0.5,"TO PAY",IF($K185&lt;-0.5,"ADVANCE / OWES","SETTLED")))</f>
        <v/>
      </c>
      <c r="R185" s="112" t="n">
        <v>46388</v>
      </c>
    </row>
    <row r="186">
      <c r="A186" s="113" t="inlineStr">
        <is>
          <t>MONTH TOTAL</t>
        </is>
      </c>
      <c r="B186" s="114" t="n"/>
      <c r="C186" s="115">
        <f>IF(COUNT(C174:C185)=0,"",SUM(C174:C185))</f>
        <v/>
      </c>
      <c r="D186" s="116">
        <f>IF(COUNT(D174:D185)=0,"",SUM(D174:D185))</f>
        <v/>
      </c>
      <c r="E186" s="117">
        <f>IF(COUNT(E174:E185)=0,"",SUM(E174:E185))</f>
        <v/>
      </c>
      <c r="F186" s="117">
        <f>IF(COUNT(F174:F185)=0,"",SUM(F174:F185))</f>
        <v/>
      </c>
      <c r="G186" s="117">
        <f>IF(COUNT(G174:G185)=0,"",SUM(G174:G185))</f>
        <v/>
      </c>
      <c r="H186" s="117">
        <f>IF(COUNT(H174:H185)=0,"",SUM(H174:H185))</f>
        <v/>
      </c>
      <c r="I186" s="117">
        <f>IF(COUNT(I174:I185)=0,"",SUM(I174:I185))</f>
        <v/>
      </c>
      <c r="J186" s="117">
        <f>IF(COUNT(J174:J185)=0,"",SUM(J174:J185))</f>
        <v/>
      </c>
      <c r="K186" s="117">
        <f>IF(COUNT(K174:K185)=0,"",SUM(K174:K185))</f>
        <v/>
      </c>
      <c r="L186" s="118" t="n"/>
    </row>
    <row r="187" ht="24" customHeight="1">
      <c r="A187" s="103" t="inlineStr">
        <is>
          <t>FEBRUARY 2027   ·   crew earnings &amp; settlement</t>
        </is>
      </c>
    </row>
    <row r="188">
      <c r="A188" s="104">
        <f>IF(Setup!$A76="","",Setup!$A76)</f>
        <v/>
      </c>
      <c r="B188" s="105">
        <f>IF($A188="","",Setup!$B76)</f>
        <v/>
      </c>
      <c r="C188" s="106">
        <f>IF($A188="","",IF(COUNTIFS(Trips!$Z5:$Z1004,$R188,Trips!$D5:$D1004,$A188)+COUNTIFS(Trips!$Z5:$Z1004,$R188,Trips!$E5:$E1004,$A188)=0,"",COUNTIFS(Trips!$Z5:$Z1004,$R188,Trips!$D5:$D1004,$A188)+COUNTIFS(Trips!$Z5:$Z1004,$R188,Trips!$E5:$E1004,$A188)))</f>
        <v/>
      </c>
      <c r="D188" s="107">
        <f>IF($C188="","",SUMIFS(Trips!$K5:$K1004,Trips!$Z5:$Z1004,$R188,Trips!$D5:$D1004,$A188)+SUMIFS(Trips!$K5:$K1004,Trips!$Z5:$Z1004,$R188,Trips!$E5:$E1004,$A188))</f>
        <v/>
      </c>
      <c r="E188" s="108">
        <f>IF($C188="","",SUMIFS(Trips!$N5:$N1004,Trips!$Z5:$Z1004,$R188,Trips!$D5:$D1004,$A188)+SUMIFS(Trips!$O5:$O1004,Trips!$Z5:$Z1004,$R188,Trips!$E5:$E1004,$A188))</f>
        <v/>
      </c>
      <c r="F188" s="109">
        <f>IF($C188="","",SUMIFS(Trips!$P5:$P1004,Trips!$Z5:$Z1004,$R188,Trips!$D5:$D1004,$A188))</f>
        <v/>
      </c>
      <c r="G188" s="109">
        <f>IF($C188="","",SUMIFS(Trips!$Q5:$Q1004,Trips!$Z5:$Z1004,$R188,Trips!$D5:$D1004,$A188))</f>
        <v/>
      </c>
      <c r="H188" s="108">
        <f>IF(AND($C188="",$I188="",$J188=""),"",N($E188)+N($F188)+N($G188))</f>
        <v/>
      </c>
      <c r="I188" s="109">
        <f>IF($A188="","",IFERROR(1/(1/SUMIFS(Expenses!$F5:$F1004,Expenses!$L5:$L1004,"ADV",Expenses!$J5:$J1004,$R188,Expenses!$E5:$E1004,$A188)),""))</f>
        <v/>
      </c>
      <c r="J188" s="109">
        <f>IF($A188="","",IFERROR(1/(1/SUMIFS(Expenses!$F5:$F1004,Expenses!$L5:$L1004,"PAY",Expenses!$J5:$J1004,$R188,Expenses!$E5:$E1004,$A188)),""))</f>
        <v/>
      </c>
      <c r="K188" s="110">
        <f>IF($H188="","",N($H188)-N($I188)-N($J188))</f>
        <v/>
      </c>
      <c r="L188" s="111">
        <f>IF($K188="","",IF($K188&gt;0.5,"TO PAY",IF($K188&lt;-0.5,"ADVANCE / OWES","SETTLED")))</f>
        <v/>
      </c>
      <c r="R188" s="112" t="n">
        <v>46419</v>
      </c>
    </row>
    <row r="189">
      <c r="A189" s="104">
        <f>IF(Setup!$A77="","",Setup!$A77)</f>
        <v/>
      </c>
      <c r="B189" s="105">
        <f>IF($A189="","",Setup!$B77)</f>
        <v/>
      </c>
      <c r="C189" s="106">
        <f>IF($A189="","",IF(COUNTIFS(Trips!$Z5:$Z1004,$R189,Trips!$D5:$D1004,$A189)+COUNTIFS(Trips!$Z5:$Z1004,$R189,Trips!$E5:$E1004,$A189)=0,"",COUNTIFS(Trips!$Z5:$Z1004,$R189,Trips!$D5:$D1004,$A189)+COUNTIFS(Trips!$Z5:$Z1004,$R189,Trips!$E5:$E1004,$A189)))</f>
        <v/>
      </c>
      <c r="D189" s="107">
        <f>IF($C189="","",SUMIFS(Trips!$K5:$K1004,Trips!$Z5:$Z1004,$R189,Trips!$D5:$D1004,$A189)+SUMIFS(Trips!$K5:$K1004,Trips!$Z5:$Z1004,$R189,Trips!$E5:$E1004,$A189))</f>
        <v/>
      </c>
      <c r="E189" s="108">
        <f>IF($C189="","",SUMIFS(Trips!$N5:$N1004,Trips!$Z5:$Z1004,$R189,Trips!$D5:$D1004,$A189)+SUMIFS(Trips!$O5:$O1004,Trips!$Z5:$Z1004,$R189,Trips!$E5:$E1004,$A189))</f>
        <v/>
      </c>
      <c r="F189" s="109">
        <f>IF($C189="","",SUMIFS(Trips!$P5:$P1004,Trips!$Z5:$Z1004,$R189,Trips!$D5:$D1004,$A189))</f>
        <v/>
      </c>
      <c r="G189" s="109">
        <f>IF($C189="","",SUMIFS(Trips!$Q5:$Q1004,Trips!$Z5:$Z1004,$R189,Trips!$D5:$D1004,$A189))</f>
        <v/>
      </c>
      <c r="H189" s="108">
        <f>IF(AND($C189="",$I189="",$J189=""),"",N($E189)+N($F189)+N($G189))</f>
        <v/>
      </c>
      <c r="I189" s="109">
        <f>IF($A189="","",IFERROR(1/(1/SUMIFS(Expenses!$F5:$F1004,Expenses!$L5:$L1004,"ADV",Expenses!$J5:$J1004,$R189,Expenses!$E5:$E1004,$A189)),""))</f>
        <v/>
      </c>
      <c r="J189" s="109">
        <f>IF($A189="","",IFERROR(1/(1/SUMIFS(Expenses!$F5:$F1004,Expenses!$L5:$L1004,"PAY",Expenses!$J5:$J1004,$R189,Expenses!$E5:$E1004,$A189)),""))</f>
        <v/>
      </c>
      <c r="K189" s="110">
        <f>IF($H189="","",N($H189)-N($I189)-N($J189))</f>
        <v/>
      </c>
      <c r="L189" s="111">
        <f>IF($K189="","",IF($K189&gt;0.5,"TO PAY",IF($K189&lt;-0.5,"ADVANCE / OWES","SETTLED")))</f>
        <v/>
      </c>
      <c r="R189" s="112" t="n">
        <v>46419</v>
      </c>
    </row>
    <row r="190">
      <c r="A190" s="104">
        <f>IF(Setup!$A78="","",Setup!$A78)</f>
        <v/>
      </c>
      <c r="B190" s="105">
        <f>IF($A190="","",Setup!$B78)</f>
        <v/>
      </c>
      <c r="C190" s="106">
        <f>IF($A190="","",IF(COUNTIFS(Trips!$Z5:$Z1004,$R190,Trips!$D5:$D1004,$A190)+COUNTIFS(Trips!$Z5:$Z1004,$R190,Trips!$E5:$E1004,$A190)=0,"",COUNTIFS(Trips!$Z5:$Z1004,$R190,Trips!$D5:$D1004,$A190)+COUNTIFS(Trips!$Z5:$Z1004,$R190,Trips!$E5:$E1004,$A190)))</f>
        <v/>
      </c>
      <c r="D190" s="107">
        <f>IF($C190="","",SUMIFS(Trips!$K5:$K1004,Trips!$Z5:$Z1004,$R190,Trips!$D5:$D1004,$A190)+SUMIFS(Trips!$K5:$K1004,Trips!$Z5:$Z1004,$R190,Trips!$E5:$E1004,$A190))</f>
        <v/>
      </c>
      <c r="E190" s="108">
        <f>IF($C190="","",SUMIFS(Trips!$N5:$N1004,Trips!$Z5:$Z1004,$R190,Trips!$D5:$D1004,$A190)+SUMIFS(Trips!$O5:$O1004,Trips!$Z5:$Z1004,$R190,Trips!$E5:$E1004,$A190))</f>
        <v/>
      </c>
      <c r="F190" s="109">
        <f>IF($C190="","",SUMIFS(Trips!$P5:$P1004,Trips!$Z5:$Z1004,$R190,Trips!$D5:$D1004,$A190))</f>
        <v/>
      </c>
      <c r="G190" s="109">
        <f>IF($C190="","",SUMIFS(Trips!$Q5:$Q1004,Trips!$Z5:$Z1004,$R190,Trips!$D5:$D1004,$A190))</f>
        <v/>
      </c>
      <c r="H190" s="108">
        <f>IF(AND($C190="",$I190="",$J190=""),"",N($E190)+N($F190)+N($G190))</f>
        <v/>
      </c>
      <c r="I190" s="109">
        <f>IF($A190="","",IFERROR(1/(1/SUMIFS(Expenses!$F5:$F1004,Expenses!$L5:$L1004,"ADV",Expenses!$J5:$J1004,$R190,Expenses!$E5:$E1004,$A190)),""))</f>
        <v/>
      </c>
      <c r="J190" s="109">
        <f>IF($A190="","",IFERROR(1/(1/SUMIFS(Expenses!$F5:$F1004,Expenses!$L5:$L1004,"PAY",Expenses!$J5:$J1004,$R190,Expenses!$E5:$E1004,$A190)),""))</f>
        <v/>
      </c>
      <c r="K190" s="110">
        <f>IF($H190="","",N($H190)-N($I190)-N($J190))</f>
        <v/>
      </c>
      <c r="L190" s="111">
        <f>IF($K190="","",IF($K190&gt;0.5,"TO PAY",IF($K190&lt;-0.5,"ADVANCE / OWES","SETTLED")))</f>
        <v/>
      </c>
      <c r="R190" s="112" t="n">
        <v>46419</v>
      </c>
    </row>
    <row r="191">
      <c r="A191" s="104">
        <f>IF(Setup!$A79="","",Setup!$A79)</f>
        <v/>
      </c>
      <c r="B191" s="105">
        <f>IF($A191="","",Setup!$B79)</f>
        <v/>
      </c>
      <c r="C191" s="106">
        <f>IF($A191="","",IF(COUNTIFS(Trips!$Z5:$Z1004,$R191,Trips!$D5:$D1004,$A191)+COUNTIFS(Trips!$Z5:$Z1004,$R191,Trips!$E5:$E1004,$A191)=0,"",COUNTIFS(Trips!$Z5:$Z1004,$R191,Trips!$D5:$D1004,$A191)+COUNTIFS(Trips!$Z5:$Z1004,$R191,Trips!$E5:$E1004,$A191)))</f>
        <v/>
      </c>
      <c r="D191" s="107">
        <f>IF($C191="","",SUMIFS(Trips!$K5:$K1004,Trips!$Z5:$Z1004,$R191,Trips!$D5:$D1004,$A191)+SUMIFS(Trips!$K5:$K1004,Trips!$Z5:$Z1004,$R191,Trips!$E5:$E1004,$A191))</f>
        <v/>
      </c>
      <c r="E191" s="108">
        <f>IF($C191="","",SUMIFS(Trips!$N5:$N1004,Trips!$Z5:$Z1004,$R191,Trips!$D5:$D1004,$A191)+SUMIFS(Trips!$O5:$O1004,Trips!$Z5:$Z1004,$R191,Trips!$E5:$E1004,$A191))</f>
        <v/>
      </c>
      <c r="F191" s="109">
        <f>IF($C191="","",SUMIFS(Trips!$P5:$P1004,Trips!$Z5:$Z1004,$R191,Trips!$D5:$D1004,$A191))</f>
        <v/>
      </c>
      <c r="G191" s="109">
        <f>IF($C191="","",SUMIFS(Trips!$Q5:$Q1004,Trips!$Z5:$Z1004,$R191,Trips!$D5:$D1004,$A191))</f>
        <v/>
      </c>
      <c r="H191" s="108">
        <f>IF(AND($C191="",$I191="",$J191=""),"",N($E191)+N($F191)+N($G191))</f>
        <v/>
      </c>
      <c r="I191" s="109">
        <f>IF($A191="","",IFERROR(1/(1/SUMIFS(Expenses!$F5:$F1004,Expenses!$L5:$L1004,"ADV",Expenses!$J5:$J1004,$R191,Expenses!$E5:$E1004,$A191)),""))</f>
        <v/>
      </c>
      <c r="J191" s="109">
        <f>IF($A191="","",IFERROR(1/(1/SUMIFS(Expenses!$F5:$F1004,Expenses!$L5:$L1004,"PAY",Expenses!$J5:$J1004,$R191,Expenses!$E5:$E1004,$A191)),""))</f>
        <v/>
      </c>
      <c r="K191" s="110">
        <f>IF($H191="","",N($H191)-N($I191)-N($J191))</f>
        <v/>
      </c>
      <c r="L191" s="111">
        <f>IF($K191="","",IF($K191&gt;0.5,"TO PAY",IF($K191&lt;-0.5,"ADVANCE / OWES","SETTLED")))</f>
        <v/>
      </c>
      <c r="R191" s="112" t="n">
        <v>46419</v>
      </c>
    </row>
    <row r="192">
      <c r="A192" s="104">
        <f>IF(Setup!$A80="","",Setup!$A80)</f>
        <v/>
      </c>
      <c r="B192" s="105">
        <f>IF($A192="","",Setup!$B80)</f>
        <v/>
      </c>
      <c r="C192" s="106">
        <f>IF($A192="","",IF(COUNTIFS(Trips!$Z5:$Z1004,$R192,Trips!$D5:$D1004,$A192)+COUNTIFS(Trips!$Z5:$Z1004,$R192,Trips!$E5:$E1004,$A192)=0,"",COUNTIFS(Trips!$Z5:$Z1004,$R192,Trips!$D5:$D1004,$A192)+COUNTIFS(Trips!$Z5:$Z1004,$R192,Trips!$E5:$E1004,$A192)))</f>
        <v/>
      </c>
      <c r="D192" s="107">
        <f>IF($C192="","",SUMIFS(Trips!$K5:$K1004,Trips!$Z5:$Z1004,$R192,Trips!$D5:$D1004,$A192)+SUMIFS(Trips!$K5:$K1004,Trips!$Z5:$Z1004,$R192,Trips!$E5:$E1004,$A192))</f>
        <v/>
      </c>
      <c r="E192" s="108">
        <f>IF($C192="","",SUMIFS(Trips!$N5:$N1004,Trips!$Z5:$Z1004,$R192,Trips!$D5:$D1004,$A192)+SUMIFS(Trips!$O5:$O1004,Trips!$Z5:$Z1004,$R192,Trips!$E5:$E1004,$A192))</f>
        <v/>
      </c>
      <c r="F192" s="109">
        <f>IF($C192="","",SUMIFS(Trips!$P5:$P1004,Trips!$Z5:$Z1004,$R192,Trips!$D5:$D1004,$A192))</f>
        <v/>
      </c>
      <c r="G192" s="109">
        <f>IF($C192="","",SUMIFS(Trips!$Q5:$Q1004,Trips!$Z5:$Z1004,$R192,Trips!$D5:$D1004,$A192))</f>
        <v/>
      </c>
      <c r="H192" s="108">
        <f>IF(AND($C192="",$I192="",$J192=""),"",N($E192)+N($F192)+N($G192))</f>
        <v/>
      </c>
      <c r="I192" s="109">
        <f>IF($A192="","",IFERROR(1/(1/SUMIFS(Expenses!$F5:$F1004,Expenses!$L5:$L1004,"ADV",Expenses!$J5:$J1004,$R192,Expenses!$E5:$E1004,$A192)),""))</f>
        <v/>
      </c>
      <c r="J192" s="109">
        <f>IF($A192="","",IFERROR(1/(1/SUMIFS(Expenses!$F5:$F1004,Expenses!$L5:$L1004,"PAY",Expenses!$J5:$J1004,$R192,Expenses!$E5:$E1004,$A192)),""))</f>
        <v/>
      </c>
      <c r="K192" s="110">
        <f>IF($H192="","",N($H192)-N($I192)-N($J192))</f>
        <v/>
      </c>
      <c r="L192" s="111">
        <f>IF($K192="","",IF($K192&gt;0.5,"TO PAY",IF($K192&lt;-0.5,"ADVANCE / OWES","SETTLED")))</f>
        <v/>
      </c>
      <c r="R192" s="112" t="n">
        <v>46419</v>
      </c>
    </row>
    <row r="193">
      <c r="A193" s="104">
        <f>IF(Setup!$A81="","",Setup!$A81)</f>
        <v/>
      </c>
      <c r="B193" s="105">
        <f>IF($A193="","",Setup!$B81)</f>
        <v/>
      </c>
      <c r="C193" s="106">
        <f>IF($A193="","",IF(COUNTIFS(Trips!$Z5:$Z1004,$R193,Trips!$D5:$D1004,$A193)+COUNTIFS(Trips!$Z5:$Z1004,$R193,Trips!$E5:$E1004,$A193)=0,"",COUNTIFS(Trips!$Z5:$Z1004,$R193,Trips!$D5:$D1004,$A193)+COUNTIFS(Trips!$Z5:$Z1004,$R193,Trips!$E5:$E1004,$A193)))</f>
        <v/>
      </c>
      <c r="D193" s="107">
        <f>IF($C193="","",SUMIFS(Trips!$K5:$K1004,Trips!$Z5:$Z1004,$R193,Trips!$D5:$D1004,$A193)+SUMIFS(Trips!$K5:$K1004,Trips!$Z5:$Z1004,$R193,Trips!$E5:$E1004,$A193))</f>
        <v/>
      </c>
      <c r="E193" s="108">
        <f>IF($C193="","",SUMIFS(Trips!$N5:$N1004,Trips!$Z5:$Z1004,$R193,Trips!$D5:$D1004,$A193)+SUMIFS(Trips!$O5:$O1004,Trips!$Z5:$Z1004,$R193,Trips!$E5:$E1004,$A193))</f>
        <v/>
      </c>
      <c r="F193" s="109">
        <f>IF($C193="","",SUMIFS(Trips!$P5:$P1004,Trips!$Z5:$Z1004,$R193,Trips!$D5:$D1004,$A193))</f>
        <v/>
      </c>
      <c r="G193" s="109">
        <f>IF($C193="","",SUMIFS(Trips!$Q5:$Q1004,Trips!$Z5:$Z1004,$R193,Trips!$D5:$D1004,$A193))</f>
        <v/>
      </c>
      <c r="H193" s="108">
        <f>IF(AND($C193="",$I193="",$J193=""),"",N($E193)+N($F193)+N($G193))</f>
        <v/>
      </c>
      <c r="I193" s="109">
        <f>IF($A193="","",IFERROR(1/(1/SUMIFS(Expenses!$F5:$F1004,Expenses!$L5:$L1004,"ADV",Expenses!$J5:$J1004,$R193,Expenses!$E5:$E1004,$A193)),""))</f>
        <v/>
      </c>
      <c r="J193" s="109">
        <f>IF($A193="","",IFERROR(1/(1/SUMIFS(Expenses!$F5:$F1004,Expenses!$L5:$L1004,"PAY",Expenses!$J5:$J1004,$R193,Expenses!$E5:$E1004,$A193)),""))</f>
        <v/>
      </c>
      <c r="K193" s="110">
        <f>IF($H193="","",N($H193)-N($I193)-N($J193))</f>
        <v/>
      </c>
      <c r="L193" s="111">
        <f>IF($K193="","",IF($K193&gt;0.5,"TO PAY",IF($K193&lt;-0.5,"ADVANCE / OWES","SETTLED")))</f>
        <v/>
      </c>
      <c r="R193" s="112" t="n">
        <v>46419</v>
      </c>
    </row>
    <row r="194">
      <c r="A194" s="104">
        <f>IF(Setup!$A82="","",Setup!$A82)</f>
        <v/>
      </c>
      <c r="B194" s="105">
        <f>IF($A194="","",Setup!$B82)</f>
        <v/>
      </c>
      <c r="C194" s="106">
        <f>IF($A194="","",IF(COUNTIFS(Trips!$Z5:$Z1004,$R194,Trips!$D5:$D1004,$A194)+COUNTIFS(Trips!$Z5:$Z1004,$R194,Trips!$E5:$E1004,$A194)=0,"",COUNTIFS(Trips!$Z5:$Z1004,$R194,Trips!$D5:$D1004,$A194)+COUNTIFS(Trips!$Z5:$Z1004,$R194,Trips!$E5:$E1004,$A194)))</f>
        <v/>
      </c>
      <c r="D194" s="107">
        <f>IF($C194="","",SUMIFS(Trips!$K5:$K1004,Trips!$Z5:$Z1004,$R194,Trips!$D5:$D1004,$A194)+SUMIFS(Trips!$K5:$K1004,Trips!$Z5:$Z1004,$R194,Trips!$E5:$E1004,$A194))</f>
        <v/>
      </c>
      <c r="E194" s="108">
        <f>IF($C194="","",SUMIFS(Trips!$N5:$N1004,Trips!$Z5:$Z1004,$R194,Trips!$D5:$D1004,$A194)+SUMIFS(Trips!$O5:$O1004,Trips!$Z5:$Z1004,$R194,Trips!$E5:$E1004,$A194))</f>
        <v/>
      </c>
      <c r="F194" s="109">
        <f>IF($C194="","",SUMIFS(Trips!$P5:$P1004,Trips!$Z5:$Z1004,$R194,Trips!$D5:$D1004,$A194))</f>
        <v/>
      </c>
      <c r="G194" s="109">
        <f>IF($C194="","",SUMIFS(Trips!$Q5:$Q1004,Trips!$Z5:$Z1004,$R194,Trips!$D5:$D1004,$A194))</f>
        <v/>
      </c>
      <c r="H194" s="108">
        <f>IF(AND($C194="",$I194="",$J194=""),"",N($E194)+N($F194)+N($G194))</f>
        <v/>
      </c>
      <c r="I194" s="109">
        <f>IF($A194="","",IFERROR(1/(1/SUMIFS(Expenses!$F5:$F1004,Expenses!$L5:$L1004,"ADV",Expenses!$J5:$J1004,$R194,Expenses!$E5:$E1004,$A194)),""))</f>
        <v/>
      </c>
      <c r="J194" s="109">
        <f>IF($A194="","",IFERROR(1/(1/SUMIFS(Expenses!$F5:$F1004,Expenses!$L5:$L1004,"PAY",Expenses!$J5:$J1004,$R194,Expenses!$E5:$E1004,$A194)),""))</f>
        <v/>
      </c>
      <c r="K194" s="110">
        <f>IF($H194="","",N($H194)-N($I194)-N($J194))</f>
        <v/>
      </c>
      <c r="L194" s="111">
        <f>IF($K194="","",IF($K194&gt;0.5,"TO PAY",IF($K194&lt;-0.5,"ADVANCE / OWES","SETTLED")))</f>
        <v/>
      </c>
      <c r="R194" s="112" t="n">
        <v>46419</v>
      </c>
    </row>
    <row r="195">
      <c r="A195" s="104">
        <f>IF(Setup!$A83="","",Setup!$A83)</f>
        <v/>
      </c>
      <c r="B195" s="105">
        <f>IF($A195="","",Setup!$B83)</f>
        <v/>
      </c>
      <c r="C195" s="106">
        <f>IF($A195="","",IF(COUNTIFS(Trips!$Z5:$Z1004,$R195,Trips!$D5:$D1004,$A195)+COUNTIFS(Trips!$Z5:$Z1004,$R195,Trips!$E5:$E1004,$A195)=0,"",COUNTIFS(Trips!$Z5:$Z1004,$R195,Trips!$D5:$D1004,$A195)+COUNTIFS(Trips!$Z5:$Z1004,$R195,Trips!$E5:$E1004,$A195)))</f>
        <v/>
      </c>
      <c r="D195" s="107">
        <f>IF($C195="","",SUMIFS(Trips!$K5:$K1004,Trips!$Z5:$Z1004,$R195,Trips!$D5:$D1004,$A195)+SUMIFS(Trips!$K5:$K1004,Trips!$Z5:$Z1004,$R195,Trips!$E5:$E1004,$A195))</f>
        <v/>
      </c>
      <c r="E195" s="108">
        <f>IF($C195="","",SUMIFS(Trips!$N5:$N1004,Trips!$Z5:$Z1004,$R195,Trips!$D5:$D1004,$A195)+SUMIFS(Trips!$O5:$O1004,Trips!$Z5:$Z1004,$R195,Trips!$E5:$E1004,$A195))</f>
        <v/>
      </c>
      <c r="F195" s="109">
        <f>IF($C195="","",SUMIFS(Trips!$P5:$P1004,Trips!$Z5:$Z1004,$R195,Trips!$D5:$D1004,$A195))</f>
        <v/>
      </c>
      <c r="G195" s="109">
        <f>IF($C195="","",SUMIFS(Trips!$Q5:$Q1004,Trips!$Z5:$Z1004,$R195,Trips!$D5:$D1004,$A195))</f>
        <v/>
      </c>
      <c r="H195" s="108">
        <f>IF(AND($C195="",$I195="",$J195=""),"",N($E195)+N($F195)+N($G195))</f>
        <v/>
      </c>
      <c r="I195" s="109">
        <f>IF($A195="","",IFERROR(1/(1/SUMIFS(Expenses!$F5:$F1004,Expenses!$L5:$L1004,"ADV",Expenses!$J5:$J1004,$R195,Expenses!$E5:$E1004,$A195)),""))</f>
        <v/>
      </c>
      <c r="J195" s="109">
        <f>IF($A195="","",IFERROR(1/(1/SUMIFS(Expenses!$F5:$F1004,Expenses!$L5:$L1004,"PAY",Expenses!$J5:$J1004,$R195,Expenses!$E5:$E1004,$A195)),""))</f>
        <v/>
      </c>
      <c r="K195" s="110">
        <f>IF($H195="","",N($H195)-N($I195)-N($J195))</f>
        <v/>
      </c>
      <c r="L195" s="111">
        <f>IF($K195="","",IF($K195&gt;0.5,"TO PAY",IF($K195&lt;-0.5,"ADVANCE / OWES","SETTLED")))</f>
        <v/>
      </c>
      <c r="R195" s="112" t="n">
        <v>46419</v>
      </c>
    </row>
    <row r="196">
      <c r="A196" s="104">
        <f>IF(Setup!$A84="","",Setup!$A84)</f>
        <v/>
      </c>
      <c r="B196" s="105">
        <f>IF($A196="","",Setup!$B84)</f>
        <v/>
      </c>
      <c r="C196" s="106">
        <f>IF($A196="","",IF(COUNTIFS(Trips!$Z5:$Z1004,$R196,Trips!$D5:$D1004,$A196)+COUNTIFS(Trips!$Z5:$Z1004,$R196,Trips!$E5:$E1004,$A196)=0,"",COUNTIFS(Trips!$Z5:$Z1004,$R196,Trips!$D5:$D1004,$A196)+COUNTIFS(Trips!$Z5:$Z1004,$R196,Trips!$E5:$E1004,$A196)))</f>
        <v/>
      </c>
      <c r="D196" s="107">
        <f>IF($C196="","",SUMIFS(Trips!$K5:$K1004,Trips!$Z5:$Z1004,$R196,Trips!$D5:$D1004,$A196)+SUMIFS(Trips!$K5:$K1004,Trips!$Z5:$Z1004,$R196,Trips!$E5:$E1004,$A196))</f>
        <v/>
      </c>
      <c r="E196" s="108">
        <f>IF($C196="","",SUMIFS(Trips!$N5:$N1004,Trips!$Z5:$Z1004,$R196,Trips!$D5:$D1004,$A196)+SUMIFS(Trips!$O5:$O1004,Trips!$Z5:$Z1004,$R196,Trips!$E5:$E1004,$A196))</f>
        <v/>
      </c>
      <c r="F196" s="109">
        <f>IF($C196="","",SUMIFS(Trips!$P5:$P1004,Trips!$Z5:$Z1004,$R196,Trips!$D5:$D1004,$A196))</f>
        <v/>
      </c>
      <c r="G196" s="109">
        <f>IF($C196="","",SUMIFS(Trips!$Q5:$Q1004,Trips!$Z5:$Z1004,$R196,Trips!$D5:$D1004,$A196))</f>
        <v/>
      </c>
      <c r="H196" s="108">
        <f>IF(AND($C196="",$I196="",$J196=""),"",N($E196)+N($F196)+N($G196))</f>
        <v/>
      </c>
      <c r="I196" s="109">
        <f>IF($A196="","",IFERROR(1/(1/SUMIFS(Expenses!$F5:$F1004,Expenses!$L5:$L1004,"ADV",Expenses!$J5:$J1004,$R196,Expenses!$E5:$E1004,$A196)),""))</f>
        <v/>
      </c>
      <c r="J196" s="109">
        <f>IF($A196="","",IFERROR(1/(1/SUMIFS(Expenses!$F5:$F1004,Expenses!$L5:$L1004,"PAY",Expenses!$J5:$J1004,$R196,Expenses!$E5:$E1004,$A196)),""))</f>
        <v/>
      </c>
      <c r="K196" s="110">
        <f>IF($H196="","",N($H196)-N($I196)-N($J196))</f>
        <v/>
      </c>
      <c r="L196" s="111">
        <f>IF($K196="","",IF($K196&gt;0.5,"TO PAY",IF($K196&lt;-0.5,"ADVANCE / OWES","SETTLED")))</f>
        <v/>
      </c>
      <c r="R196" s="112" t="n">
        <v>46419</v>
      </c>
    </row>
    <row r="197">
      <c r="A197" s="104">
        <f>IF(Setup!$A85="","",Setup!$A85)</f>
        <v/>
      </c>
      <c r="B197" s="105">
        <f>IF($A197="","",Setup!$B85)</f>
        <v/>
      </c>
      <c r="C197" s="106">
        <f>IF($A197="","",IF(COUNTIFS(Trips!$Z5:$Z1004,$R197,Trips!$D5:$D1004,$A197)+COUNTIFS(Trips!$Z5:$Z1004,$R197,Trips!$E5:$E1004,$A197)=0,"",COUNTIFS(Trips!$Z5:$Z1004,$R197,Trips!$D5:$D1004,$A197)+COUNTIFS(Trips!$Z5:$Z1004,$R197,Trips!$E5:$E1004,$A197)))</f>
        <v/>
      </c>
      <c r="D197" s="107">
        <f>IF($C197="","",SUMIFS(Trips!$K5:$K1004,Trips!$Z5:$Z1004,$R197,Trips!$D5:$D1004,$A197)+SUMIFS(Trips!$K5:$K1004,Trips!$Z5:$Z1004,$R197,Trips!$E5:$E1004,$A197))</f>
        <v/>
      </c>
      <c r="E197" s="108">
        <f>IF($C197="","",SUMIFS(Trips!$N5:$N1004,Trips!$Z5:$Z1004,$R197,Trips!$D5:$D1004,$A197)+SUMIFS(Trips!$O5:$O1004,Trips!$Z5:$Z1004,$R197,Trips!$E5:$E1004,$A197))</f>
        <v/>
      </c>
      <c r="F197" s="109">
        <f>IF($C197="","",SUMIFS(Trips!$P5:$P1004,Trips!$Z5:$Z1004,$R197,Trips!$D5:$D1004,$A197))</f>
        <v/>
      </c>
      <c r="G197" s="109">
        <f>IF($C197="","",SUMIFS(Trips!$Q5:$Q1004,Trips!$Z5:$Z1004,$R197,Trips!$D5:$D1004,$A197))</f>
        <v/>
      </c>
      <c r="H197" s="108">
        <f>IF(AND($C197="",$I197="",$J197=""),"",N($E197)+N($F197)+N($G197))</f>
        <v/>
      </c>
      <c r="I197" s="109">
        <f>IF($A197="","",IFERROR(1/(1/SUMIFS(Expenses!$F5:$F1004,Expenses!$L5:$L1004,"ADV",Expenses!$J5:$J1004,$R197,Expenses!$E5:$E1004,$A197)),""))</f>
        <v/>
      </c>
      <c r="J197" s="109">
        <f>IF($A197="","",IFERROR(1/(1/SUMIFS(Expenses!$F5:$F1004,Expenses!$L5:$L1004,"PAY",Expenses!$J5:$J1004,$R197,Expenses!$E5:$E1004,$A197)),""))</f>
        <v/>
      </c>
      <c r="K197" s="110">
        <f>IF($H197="","",N($H197)-N($I197)-N($J197))</f>
        <v/>
      </c>
      <c r="L197" s="111">
        <f>IF($K197="","",IF($K197&gt;0.5,"TO PAY",IF($K197&lt;-0.5,"ADVANCE / OWES","SETTLED")))</f>
        <v/>
      </c>
      <c r="R197" s="112" t="n">
        <v>46419</v>
      </c>
    </row>
    <row r="198">
      <c r="A198" s="104">
        <f>IF(Setup!$A86="","",Setup!$A86)</f>
        <v/>
      </c>
      <c r="B198" s="105">
        <f>IF($A198="","",Setup!$B86)</f>
        <v/>
      </c>
      <c r="C198" s="106">
        <f>IF($A198="","",IF(COUNTIFS(Trips!$Z5:$Z1004,$R198,Trips!$D5:$D1004,$A198)+COUNTIFS(Trips!$Z5:$Z1004,$R198,Trips!$E5:$E1004,$A198)=0,"",COUNTIFS(Trips!$Z5:$Z1004,$R198,Trips!$D5:$D1004,$A198)+COUNTIFS(Trips!$Z5:$Z1004,$R198,Trips!$E5:$E1004,$A198)))</f>
        <v/>
      </c>
      <c r="D198" s="107">
        <f>IF($C198="","",SUMIFS(Trips!$K5:$K1004,Trips!$Z5:$Z1004,$R198,Trips!$D5:$D1004,$A198)+SUMIFS(Trips!$K5:$K1004,Trips!$Z5:$Z1004,$R198,Trips!$E5:$E1004,$A198))</f>
        <v/>
      </c>
      <c r="E198" s="108">
        <f>IF($C198="","",SUMIFS(Trips!$N5:$N1004,Trips!$Z5:$Z1004,$R198,Trips!$D5:$D1004,$A198)+SUMIFS(Trips!$O5:$O1004,Trips!$Z5:$Z1004,$R198,Trips!$E5:$E1004,$A198))</f>
        <v/>
      </c>
      <c r="F198" s="109">
        <f>IF($C198="","",SUMIFS(Trips!$P5:$P1004,Trips!$Z5:$Z1004,$R198,Trips!$D5:$D1004,$A198))</f>
        <v/>
      </c>
      <c r="G198" s="109">
        <f>IF($C198="","",SUMIFS(Trips!$Q5:$Q1004,Trips!$Z5:$Z1004,$R198,Trips!$D5:$D1004,$A198))</f>
        <v/>
      </c>
      <c r="H198" s="108">
        <f>IF(AND($C198="",$I198="",$J198=""),"",N($E198)+N($F198)+N($G198))</f>
        <v/>
      </c>
      <c r="I198" s="109">
        <f>IF($A198="","",IFERROR(1/(1/SUMIFS(Expenses!$F5:$F1004,Expenses!$L5:$L1004,"ADV",Expenses!$J5:$J1004,$R198,Expenses!$E5:$E1004,$A198)),""))</f>
        <v/>
      </c>
      <c r="J198" s="109">
        <f>IF($A198="","",IFERROR(1/(1/SUMIFS(Expenses!$F5:$F1004,Expenses!$L5:$L1004,"PAY",Expenses!$J5:$J1004,$R198,Expenses!$E5:$E1004,$A198)),""))</f>
        <v/>
      </c>
      <c r="K198" s="110">
        <f>IF($H198="","",N($H198)-N($I198)-N($J198))</f>
        <v/>
      </c>
      <c r="L198" s="111">
        <f>IF($K198="","",IF($K198&gt;0.5,"TO PAY",IF($K198&lt;-0.5,"ADVANCE / OWES","SETTLED")))</f>
        <v/>
      </c>
      <c r="R198" s="112" t="n">
        <v>46419</v>
      </c>
    </row>
    <row r="199">
      <c r="A199" s="104">
        <f>IF(Setup!$A87="","",Setup!$A87)</f>
        <v/>
      </c>
      <c r="B199" s="105">
        <f>IF($A199="","",Setup!$B87)</f>
        <v/>
      </c>
      <c r="C199" s="106">
        <f>IF($A199="","",IF(COUNTIFS(Trips!$Z5:$Z1004,$R199,Trips!$D5:$D1004,$A199)+COUNTIFS(Trips!$Z5:$Z1004,$R199,Trips!$E5:$E1004,$A199)=0,"",COUNTIFS(Trips!$Z5:$Z1004,$R199,Trips!$D5:$D1004,$A199)+COUNTIFS(Trips!$Z5:$Z1004,$R199,Trips!$E5:$E1004,$A199)))</f>
        <v/>
      </c>
      <c r="D199" s="107">
        <f>IF($C199="","",SUMIFS(Trips!$K5:$K1004,Trips!$Z5:$Z1004,$R199,Trips!$D5:$D1004,$A199)+SUMIFS(Trips!$K5:$K1004,Trips!$Z5:$Z1004,$R199,Trips!$E5:$E1004,$A199))</f>
        <v/>
      </c>
      <c r="E199" s="108">
        <f>IF($C199="","",SUMIFS(Trips!$N5:$N1004,Trips!$Z5:$Z1004,$R199,Trips!$D5:$D1004,$A199)+SUMIFS(Trips!$O5:$O1004,Trips!$Z5:$Z1004,$R199,Trips!$E5:$E1004,$A199))</f>
        <v/>
      </c>
      <c r="F199" s="109">
        <f>IF($C199="","",SUMIFS(Trips!$P5:$P1004,Trips!$Z5:$Z1004,$R199,Trips!$D5:$D1004,$A199))</f>
        <v/>
      </c>
      <c r="G199" s="109">
        <f>IF($C199="","",SUMIFS(Trips!$Q5:$Q1004,Trips!$Z5:$Z1004,$R199,Trips!$D5:$D1004,$A199))</f>
        <v/>
      </c>
      <c r="H199" s="108">
        <f>IF(AND($C199="",$I199="",$J199=""),"",N($E199)+N($F199)+N($G199))</f>
        <v/>
      </c>
      <c r="I199" s="109">
        <f>IF($A199="","",IFERROR(1/(1/SUMIFS(Expenses!$F5:$F1004,Expenses!$L5:$L1004,"ADV",Expenses!$J5:$J1004,$R199,Expenses!$E5:$E1004,$A199)),""))</f>
        <v/>
      </c>
      <c r="J199" s="109">
        <f>IF($A199="","",IFERROR(1/(1/SUMIFS(Expenses!$F5:$F1004,Expenses!$L5:$L1004,"PAY",Expenses!$J5:$J1004,$R199,Expenses!$E5:$E1004,$A199)),""))</f>
        <v/>
      </c>
      <c r="K199" s="110">
        <f>IF($H199="","",N($H199)-N($I199)-N($J199))</f>
        <v/>
      </c>
      <c r="L199" s="111">
        <f>IF($K199="","",IF($K199&gt;0.5,"TO PAY",IF($K199&lt;-0.5,"ADVANCE / OWES","SETTLED")))</f>
        <v/>
      </c>
      <c r="R199" s="112" t="n">
        <v>46419</v>
      </c>
    </row>
    <row r="200">
      <c r="A200" s="113" t="inlineStr">
        <is>
          <t>MONTH TOTAL</t>
        </is>
      </c>
      <c r="B200" s="114" t="n"/>
      <c r="C200" s="115">
        <f>IF(COUNT(C188:C199)=0,"",SUM(C188:C199))</f>
        <v/>
      </c>
      <c r="D200" s="116">
        <f>IF(COUNT(D188:D199)=0,"",SUM(D188:D199))</f>
        <v/>
      </c>
      <c r="E200" s="117">
        <f>IF(COUNT(E188:E199)=0,"",SUM(E188:E199))</f>
        <v/>
      </c>
      <c r="F200" s="117">
        <f>IF(COUNT(F188:F199)=0,"",SUM(F188:F199))</f>
        <v/>
      </c>
      <c r="G200" s="117">
        <f>IF(COUNT(G188:G199)=0,"",SUM(G188:G199))</f>
        <v/>
      </c>
      <c r="H200" s="117">
        <f>IF(COUNT(H188:H199)=0,"",SUM(H188:H199))</f>
        <v/>
      </c>
      <c r="I200" s="117">
        <f>IF(COUNT(I188:I199)=0,"",SUM(I188:I199))</f>
        <v/>
      </c>
      <c r="J200" s="117">
        <f>IF(COUNT(J188:J199)=0,"",SUM(J188:J199))</f>
        <v/>
      </c>
      <c r="K200" s="117">
        <f>IF(COUNT(K188:K199)=0,"",SUM(K188:K199))</f>
        <v/>
      </c>
      <c r="L200" s="118" t="n"/>
    </row>
    <row r="201" ht="24" customHeight="1">
      <c r="A201" s="103" t="inlineStr">
        <is>
          <t>MARCH 2027   ·   crew earnings &amp; settlement</t>
        </is>
      </c>
    </row>
    <row r="202">
      <c r="A202" s="104">
        <f>IF(Setup!$A76="","",Setup!$A76)</f>
        <v/>
      </c>
      <c r="B202" s="105">
        <f>IF($A202="","",Setup!$B76)</f>
        <v/>
      </c>
      <c r="C202" s="106">
        <f>IF($A202="","",IF(COUNTIFS(Trips!$Z5:$Z1004,$R202,Trips!$D5:$D1004,$A202)+COUNTIFS(Trips!$Z5:$Z1004,$R202,Trips!$E5:$E1004,$A202)=0,"",COUNTIFS(Trips!$Z5:$Z1004,$R202,Trips!$D5:$D1004,$A202)+COUNTIFS(Trips!$Z5:$Z1004,$R202,Trips!$E5:$E1004,$A202)))</f>
        <v/>
      </c>
      <c r="D202" s="107">
        <f>IF($C202="","",SUMIFS(Trips!$K5:$K1004,Trips!$Z5:$Z1004,$R202,Trips!$D5:$D1004,$A202)+SUMIFS(Trips!$K5:$K1004,Trips!$Z5:$Z1004,$R202,Trips!$E5:$E1004,$A202))</f>
        <v/>
      </c>
      <c r="E202" s="108">
        <f>IF($C202="","",SUMIFS(Trips!$N5:$N1004,Trips!$Z5:$Z1004,$R202,Trips!$D5:$D1004,$A202)+SUMIFS(Trips!$O5:$O1004,Trips!$Z5:$Z1004,$R202,Trips!$E5:$E1004,$A202))</f>
        <v/>
      </c>
      <c r="F202" s="109">
        <f>IF($C202="","",SUMIFS(Trips!$P5:$P1004,Trips!$Z5:$Z1004,$R202,Trips!$D5:$D1004,$A202))</f>
        <v/>
      </c>
      <c r="G202" s="109">
        <f>IF($C202="","",SUMIFS(Trips!$Q5:$Q1004,Trips!$Z5:$Z1004,$R202,Trips!$D5:$D1004,$A202))</f>
        <v/>
      </c>
      <c r="H202" s="108">
        <f>IF(AND($C202="",$I202="",$J202=""),"",N($E202)+N($F202)+N($G202))</f>
        <v/>
      </c>
      <c r="I202" s="109">
        <f>IF($A202="","",IFERROR(1/(1/SUMIFS(Expenses!$F5:$F1004,Expenses!$L5:$L1004,"ADV",Expenses!$J5:$J1004,$R202,Expenses!$E5:$E1004,$A202)),""))</f>
        <v/>
      </c>
      <c r="J202" s="109">
        <f>IF($A202="","",IFERROR(1/(1/SUMIFS(Expenses!$F5:$F1004,Expenses!$L5:$L1004,"PAY",Expenses!$J5:$J1004,$R202,Expenses!$E5:$E1004,$A202)),""))</f>
        <v/>
      </c>
      <c r="K202" s="110">
        <f>IF($H202="","",N($H202)-N($I202)-N($J202))</f>
        <v/>
      </c>
      <c r="L202" s="111">
        <f>IF($K202="","",IF($K202&gt;0.5,"TO PAY",IF($K202&lt;-0.5,"ADVANCE / OWES","SETTLED")))</f>
        <v/>
      </c>
      <c r="R202" s="112" t="n">
        <v>46447</v>
      </c>
    </row>
    <row r="203">
      <c r="A203" s="104">
        <f>IF(Setup!$A77="","",Setup!$A77)</f>
        <v/>
      </c>
      <c r="B203" s="105">
        <f>IF($A203="","",Setup!$B77)</f>
        <v/>
      </c>
      <c r="C203" s="106">
        <f>IF($A203="","",IF(COUNTIFS(Trips!$Z5:$Z1004,$R203,Trips!$D5:$D1004,$A203)+COUNTIFS(Trips!$Z5:$Z1004,$R203,Trips!$E5:$E1004,$A203)=0,"",COUNTIFS(Trips!$Z5:$Z1004,$R203,Trips!$D5:$D1004,$A203)+COUNTIFS(Trips!$Z5:$Z1004,$R203,Trips!$E5:$E1004,$A203)))</f>
        <v/>
      </c>
      <c r="D203" s="107">
        <f>IF($C203="","",SUMIFS(Trips!$K5:$K1004,Trips!$Z5:$Z1004,$R203,Trips!$D5:$D1004,$A203)+SUMIFS(Trips!$K5:$K1004,Trips!$Z5:$Z1004,$R203,Trips!$E5:$E1004,$A203))</f>
        <v/>
      </c>
      <c r="E203" s="108">
        <f>IF($C203="","",SUMIFS(Trips!$N5:$N1004,Trips!$Z5:$Z1004,$R203,Trips!$D5:$D1004,$A203)+SUMIFS(Trips!$O5:$O1004,Trips!$Z5:$Z1004,$R203,Trips!$E5:$E1004,$A203))</f>
        <v/>
      </c>
      <c r="F203" s="109">
        <f>IF($C203="","",SUMIFS(Trips!$P5:$P1004,Trips!$Z5:$Z1004,$R203,Trips!$D5:$D1004,$A203))</f>
        <v/>
      </c>
      <c r="G203" s="109">
        <f>IF($C203="","",SUMIFS(Trips!$Q5:$Q1004,Trips!$Z5:$Z1004,$R203,Trips!$D5:$D1004,$A203))</f>
        <v/>
      </c>
      <c r="H203" s="108">
        <f>IF(AND($C203="",$I203="",$J203=""),"",N($E203)+N($F203)+N($G203))</f>
        <v/>
      </c>
      <c r="I203" s="109">
        <f>IF($A203="","",IFERROR(1/(1/SUMIFS(Expenses!$F5:$F1004,Expenses!$L5:$L1004,"ADV",Expenses!$J5:$J1004,$R203,Expenses!$E5:$E1004,$A203)),""))</f>
        <v/>
      </c>
      <c r="J203" s="109">
        <f>IF($A203="","",IFERROR(1/(1/SUMIFS(Expenses!$F5:$F1004,Expenses!$L5:$L1004,"PAY",Expenses!$J5:$J1004,$R203,Expenses!$E5:$E1004,$A203)),""))</f>
        <v/>
      </c>
      <c r="K203" s="110">
        <f>IF($H203="","",N($H203)-N($I203)-N($J203))</f>
        <v/>
      </c>
      <c r="L203" s="111">
        <f>IF($K203="","",IF($K203&gt;0.5,"TO PAY",IF($K203&lt;-0.5,"ADVANCE / OWES","SETTLED")))</f>
        <v/>
      </c>
      <c r="R203" s="112" t="n">
        <v>46447</v>
      </c>
    </row>
    <row r="204">
      <c r="A204" s="104">
        <f>IF(Setup!$A78="","",Setup!$A78)</f>
        <v/>
      </c>
      <c r="B204" s="105">
        <f>IF($A204="","",Setup!$B78)</f>
        <v/>
      </c>
      <c r="C204" s="106">
        <f>IF($A204="","",IF(COUNTIFS(Trips!$Z5:$Z1004,$R204,Trips!$D5:$D1004,$A204)+COUNTIFS(Trips!$Z5:$Z1004,$R204,Trips!$E5:$E1004,$A204)=0,"",COUNTIFS(Trips!$Z5:$Z1004,$R204,Trips!$D5:$D1004,$A204)+COUNTIFS(Trips!$Z5:$Z1004,$R204,Trips!$E5:$E1004,$A204)))</f>
        <v/>
      </c>
      <c r="D204" s="107">
        <f>IF($C204="","",SUMIFS(Trips!$K5:$K1004,Trips!$Z5:$Z1004,$R204,Trips!$D5:$D1004,$A204)+SUMIFS(Trips!$K5:$K1004,Trips!$Z5:$Z1004,$R204,Trips!$E5:$E1004,$A204))</f>
        <v/>
      </c>
      <c r="E204" s="108">
        <f>IF($C204="","",SUMIFS(Trips!$N5:$N1004,Trips!$Z5:$Z1004,$R204,Trips!$D5:$D1004,$A204)+SUMIFS(Trips!$O5:$O1004,Trips!$Z5:$Z1004,$R204,Trips!$E5:$E1004,$A204))</f>
        <v/>
      </c>
      <c r="F204" s="109">
        <f>IF($C204="","",SUMIFS(Trips!$P5:$P1004,Trips!$Z5:$Z1004,$R204,Trips!$D5:$D1004,$A204))</f>
        <v/>
      </c>
      <c r="G204" s="109">
        <f>IF($C204="","",SUMIFS(Trips!$Q5:$Q1004,Trips!$Z5:$Z1004,$R204,Trips!$D5:$D1004,$A204))</f>
        <v/>
      </c>
      <c r="H204" s="108">
        <f>IF(AND($C204="",$I204="",$J204=""),"",N($E204)+N($F204)+N($G204))</f>
        <v/>
      </c>
      <c r="I204" s="109">
        <f>IF($A204="","",IFERROR(1/(1/SUMIFS(Expenses!$F5:$F1004,Expenses!$L5:$L1004,"ADV",Expenses!$J5:$J1004,$R204,Expenses!$E5:$E1004,$A204)),""))</f>
        <v/>
      </c>
      <c r="J204" s="109">
        <f>IF($A204="","",IFERROR(1/(1/SUMIFS(Expenses!$F5:$F1004,Expenses!$L5:$L1004,"PAY",Expenses!$J5:$J1004,$R204,Expenses!$E5:$E1004,$A204)),""))</f>
        <v/>
      </c>
      <c r="K204" s="110">
        <f>IF($H204="","",N($H204)-N($I204)-N($J204))</f>
        <v/>
      </c>
      <c r="L204" s="111">
        <f>IF($K204="","",IF($K204&gt;0.5,"TO PAY",IF($K204&lt;-0.5,"ADVANCE / OWES","SETTLED")))</f>
        <v/>
      </c>
      <c r="R204" s="112" t="n">
        <v>46447</v>
      </c>
    </row>
    <row r="205">
      <c r="A205" s="104">
        <f>IF(Setup!$A79="","",Setup!$A79)</f>
        <v/>
      </c>
      <c r="B205" s="105">
        <f>IF($A205="","",Setup!$B79)</f>
        <v/>
      </c>
      <c r="C205" s="106">
        <f>IF($A205="","",IF(COUNTIFS(Trips!$Z5:$Z1004,$R205,Trips!$D5:$D1004,$A205)+COUNTIFS(Trips!$Z5:$Z1004,$R205,Trips!$E5:$E1004,$A205)=0,"",COUNTIFS(Trips!$Z5:$Z1004,$R205,Trips!$D5:$D1004,$A205)+COUNTIFS(Trips!$Z5:$Z1004,$R205,Trips!$E5:$E1004,$A205)))</f>
        <v/>
      </c>
      <c r="D205" s="107">
        <f>IF($C205="","",SUMIFS(Trips!$K5:$K1004,Trips!$Z5:$Z1004,$R205,Trips!$D5:$D1004,$A205)+SUMIFS(Trips!$K5:$K1004,Trips!$Z5:$Z1004,$R205,Trips!$E5:$E1004,$A205))</f>
        <v/>
      </c>
      <c r="E205" s="108">
        <f>IF($C205="","",SUMIFS(Trips!$N5:$N1004,Trips!$Z5:$Z1004,$R205,Trips!$D5:$D1004,$A205)+SUMIFS(Trips!$O5:$O1004,Trips!$Z5:$Z1004,$R205,Trips!$E5:$E1004,$A205))</f>
        <v/>
      </c>
      <c r="F205" s="109">
        <f>IF($C205="","",SUMIFS(Trips!$P5:$P1004,Trips!$Z5:$Z1004,$R205,Trips!$D5:$D1004,$A205))</f>
        <v/>
      </c>
      <c r="G205" s="109">
        <f>IF($C205="","",SUMIFS(Trips!$Q5:$Q1004,Trips!$Z5:$Z1004,$R205,Trips!$D5:$D1004,$A205))</f>
        <v/>
      </c>
      <c r="H205" s="108">
        <f>IF(AND($C205="",$I205="",$J205=""),"",N($E205)+N($F205)+N($G205))</f>
        <v/>
      </c>
      <c r="I205" s="109">
        <f>IF($A205="","",IFERROR(1/(1/SUMIFS(Expenses!$F5:$F1004,Expenses!$L5:$L1004,"ADV",Expenses!$J5:$J1004,$R205,Expenses!$E5:$E1004,$A205)),""))</f>
        <v/>
      </c>
      <c r="J205" s="109">
        <f>IF($A205="","",IFERROR(1/(1/SUMIFS(Expenses!$F5:$F1004,Expenses!$L5:$L1004,"PAY",Expenses!$J5:$J1004,$R205,Expenses!$E5:$E1004,$A205)),""))</f>
        <v/>
      </c>
      <c r="K205" s="110">
        <f>IF($H205="","",N($H205)-N($I205)-N($J205))</f>
        <v/>
      </c>
      <c r="L205" s="111">
        <f>IF($K205="","",IF($K205&gt;0.5,"TO PAY",IF($K205&lt;-0.5,"ADVANCE / OWES","SETTLED")))</f>
        <v/>
      </c>
      <c r="R205" s="112" t="n">
        <v>46447</v>
      </c>
    </row>
    <row r="206">
      <c r="A206" s="104">
        <f>IF(Setup!$A80="","",Setup!$A80)</f>
        <v/>
      </c>
      <c r="B206" s="105">
        <f>IF($A206="","",Setup!$B80)</f>
        <v/>
      </c>
      <c r="C206" s="106">
        <f>IF($A206="","",IF(COUNTIFS(Trips!$Z5:$Z1004,$R206,Trips!$D5:$D1004,$A206)+COUNTIFS(Trips!$Z5:$Z1004,$R206,Trips!$E5:$E1004,$A206)=0,"",COUNTIFS(Trips!$Z5:$Z1004,$R206,Trips!$D5:$D1004,$A206)+COUNTIFS(Trips!$Z5:$Z1004,$R206,Trips!$E5:$E1004,$A206)))</f>
        <v/>
      </c>
      <c r="D206" s="107">
        <f>IF($C206="","",SUMIFS(Trips!$K5:$K1004,Trips!$Z5:$Z1004,$R206,Trips!$D5:$D1004,$A206)+SUMIFS(Trips!$K5:$K1004,Trips!$Z5:$Z1004,$R206,Trips!$E5:$E1004,$A206))</f>
        <v/>
      </c>
      <c r="E206" s="108">
        <f>IF($C206="","",SUMIFS(Trips!$N5:$N1004,Trips!$Z5:$Z1004,$R206,Trips!$D5:$D1004,$A206)+SUMIFS(Trips!$O5:$O1004,Trips!$Z5:$Z1004,$R206,Trips!$E5:$E1004,$A206))</f>
        <v/>
      </c>
      <c r="F206" s="109">
        <f>IF($C206="","",SUMIFS(Trips!$P5:$P1004,Trips!$Z5:$Z1004,$R206,Trips!$D5:$D1004,$A206))</f>
        <v/>
      </c>
      <c r="G206" s="109">
        <f>IF($C206="","",SUMIFS(Trips!$Q5:$Q1004,Trips!$Z5:$Z1004,$R206,Trips!$D5:$D1004,$A206))</f>
        <v/>
      </c>
      <c r="H206" s="108">
        <f>IF(AND($C206="",$I206="",$J206=""),"",N($E206)+N($F206)+N($G206))</f>
        <v/>
      </c>
      <c r="I206" s="109">
        <f>IF($A206="","",IFERROR(1/(1/SUMIFS(Expenses!$F5:$F1004,Expenses!$L5:$L1004,"ADV",Expenses!$J5:$J1004,$R206,Expenses!$E5:$E1004,$A206)),""))</f>
        <v/>
      </c>
      <c r="J206" s="109">
        <f>IF($A206="","",IFERROR(1/(1/SUMIFS(Expenses!$F5:$F1004,Expenses!$L5:$L1004,"PAY",Expenses!$J5:$J1004,$R206,Expenses!$E5:$E1004,$A206)),""))</f>
        <v/>
      </c>
      <c r="K206" s="110">
        <f>IF($H206="","",N($H206)-N($I206)-N($J206))</f>
        <v/>
      </c>
      <c r="L206" s="111">
        <f>IF($K206="","",IF($K206&gt;0.5,"TO PAY",IF($K206&lt;-0.5,"ADVANCE / OWES","SETTLED")))</f>
        <v/>
      </c>
      <c r="R206" s="112" t="n">
        <v>46447</v>
      </c>
    </row>
    <row r="207">
      <c r="A207" s="104">
        <f>IF(Setup!$A81="","",Setup!$A81)</f>
        <v/>
      </c>
      <c r="B207" s="105">
        <f>IF($A207="","",Setup!$B81)</f>
        <v/>
      </c>
      <c r="C207" s="106">
        <f>IF($A207="","",IF(COUNTIFS(Trips!$Z5:$Z1004,$R207,Trips!$D5:$D1004,$A207)+COUNTIFS(Trips!$Z5:$Z1004,$R207,Trips!$E5:$E1004,$A207)=0,"",COUNTIFS(Trips!$Z5:$Z1004,$R207,Trips!$D5:$D1004,$A207)+COUNTIFS(Trips!$Z5:$Z1004,$R207,Trips!$E5:$E1004,$A207)))</f>
        <v/>
      </c>
      <c r="D207" s="107">
        <f>IF($C207="","",SUMIFS(Trips!$K5:$K1004,Trips!$Z5:$Z1004,$R207,Trips!$D5:$D1004,$A207)+SUMIFS(Trips!$K5:$K1004,Trips!$Z5:$Z1004,$R207,Trips!$E5:$E1004,$A207))</f>
        <v/>
      </c>
      <c r="E207" s="108">
        <f>IF($C207="","",SUMIFS(Trips!$N5:$N1004,Trips!$Z5:$Z1004,$R207,Trips!$D5:$D1004,$A207)+SUMIFS(Trips!$O5:$O1004,Trips!$Z5:$Z1004,$R207,Trips!$E5:$E1004,$A207))</f>
        <v/>
      </c>
      <c r="F207" s="109">
        <f>IF($C207="","",SUMIFS(Trips!$P5:$P1004,Trips!$Z5:$Z1004,$R207,Trips!$D5:$D1004,$A207))</f>
        <v/>
      </c>
      <c r="G207" s="109">
        <f>IF($C207="","",SUMIFS(Trips!$Q5:$Q1004,Trips!$Z5:$Z1004,$R207,Trips!$D5:$D1004,$A207))</f>
        <v/>
      </c>
      <c r="H207" s="108">
        <f>IF(AND($C207="",$I207="",$J207=""),"",N($E207)+N($F207)+N($G207))</f>
        <v/>
      </c>
      <c r="I207" s="109">
        <f>IF($A207="","",IFERROR(1/(1/SUMIFS(Expenses!$F5:$F1004,Expenses!$L5:$L1004,"ADV",Expenses!$J5:$J1004,$R207,Expenses!$E5:$E1004,$A207)),""))</f>
        <v/>
      </c>
      <c r="J207" s="109">
        <f>IF($A207="","",IFERROR(1/(1/SUMIFS(Expenses!$F5:$F1004,Expenses!$L5:$L1004,"PAY",Expenses!$J5:$J1004,$R207,Expenses!$E5:$E1004,$A207)),""))</f>
        <v/>
      </c>
      <c r="K207" s="110">
        <f>IF($H207="","",N($H207)-N($I207)-N($J207))</f>
        <v/>
      </c>
      <c r="L207" s="111">
        <f>IF($K207="","",IF($K207&gt;0.5,"TO PAY",IF($K207&lt;-0.5,"ADVANCE / OWES","SETTLED")))</f>
        <v/>
      </c>
      <c r="R207" s="112" t="n">
        <v>46447</v>
      </c>
    </row>
    <row r="208">
      <c r="A208" s="104">
        <f>IF(Setup!$A82="","",Setup!$A82)</f>
        <v/>
      </c>
      <c r="B208" s="105">
        <f>IF($A208="","",Setup!$B82)</f>
        <v/>
      </c>
      <c r="C208" s="106">
        <f>IF($A208="","",IF(COUNTIFS(Trips!$Z5:$Z1004,$R208,Trips!$D5:$D1004,$A208)+COUNTIFS(Trips!$Z5:$Z1004,$R208,Trips!$E5:$E1004,$A208)=0,"",COUNTIFS(Trips!$Z5:$Z1004,$R208,Trips!$D5:$D1004,$A208)+COUNTIFS(Trips!$Z5:$Z1004,$R208,Trips!$E5:$E1004,$A208)))</f>
        <v/>
      </c>
      <c r="D208" s="107">
        <f>IF($C208="","",SUMIFS(Trips!$K5:$K1004,Trips!$Z5:$Z1004,$R208,Trips!$D5:$D1004,$A208)+SUMIFS(Trips!$K5:$K1004,Trips!$Z5:$Z1004,$R208,Trips!$E5:$E1004,$A208))</f>
        <v/>
      </c>
      <c r="E208" s="108">
        <f>IF($C208="","",SUMIFS(Trips!$N5:$N1004,Trips!$Z5:$Z1004,$R208,Trips!$D5:$D1004,$A208)+SUMIFS(Trips!$O5:$O1004,Trips!$Z5:$Z1004,$R208,Trips!$E5:$E1004,$A208))</f>
        <v/>
      </c>
      <c r="F208" s="109">
        <f>IF($C208="","",SUMIFS(Trips!$P5:$P1004,Trips!$Z5:$Z1004,$R208,Trips!$D5:$D1004,$A208))</f>
        <v/>
      </c>
      <c r="G208" s="109">
        <f>IF($C208="","",SUMIFS(Trips!$Q5:$Q1004,Trips!$Z5:$Z1004,$R208,Trips!$D5:$D1004,$A208))</f>
        <v/>
      </c>
      <c r="H208" s="108">
        <f>IF(AND($C208="",$I208="",$J208=""),"",N($E208)+N($F208)+N($G208))</f>
        <v/>
      </c>
      <c r="I208" s="109">
        <f>IF($A208="","",IFERROR(1/(1/SUMIFS(Expenses!$F5:$F1004,Expenses!$L5:$L1004,"ADV",Expenses!$J5:$J1004,$R208,Expenses!$E5:$E1004,$A208)),""))</f>
        <v/>
      </c>
      <c r="J208" s="109">
        <f>IF($A208="","",IFERROR(1/(1/SUMIFS(Expenses!$F5:$F1004,Expenses!$L5:$L1004,"PAY",Expenses!$J5:$J1004,$R208,Expenses!$E5:$E1004,$A208)),""))</f>
        <v/>
      </c>
      <c r="K208" s="110">
        <f>IF($H208="","",N($H208)-N($I208)-N($J208))</f>
        <v/>
      </c>
      <c r="L208" s="111">
        <f>IF($K208="","",IF($K208&gt;0.5,"TO PAY",IF($K208&lt;-0.5,"ADVANCE / OWES","SETTLED")))</f>
        <v/>
      </c>
      <c r="R208" s="112" t="n">
        <v>46447</v>
      </c>
    </row>
    <row r="209">
      <c r="A209" s="104">
        <f>IF(Setup!$A83="","",Setup!$A83)</f>
        <v/>
      </c>
      <c r="B209" s="105">
        <f>IF($A209="","",Setup!$B83)</f>
        <v/>
      </c>
      <c r="C209" s="106">
        <f>IF($A209="","",IF(COUNTIFS(Trips!$Z5:$Z1004,$R209,Trips!$D5:$D1004,$A209)+COUNTIFS(Trips!$Z5:$Z1004,$R209,Trips!$E5:$E1004,$A209)=0,"",COUNTIFS(Trips!$Z5:$Z1004,$R209,Trips!$D5:$D1004,$A209)+COUNTIFS(Trips!$Z5:$Z1004,$R209,Trips!$E5:$E1004,$A209)))</f>
        <v/>
      </c>
      <c r="D209" s="107">
        <f>IF($C209="","",SUMIFS(Trips!$K5:$K1004,Trips!$Z5:$Z1004,$R209,Trips!$D5:$D1004,$A209)+SUMIFS(Trips!$K5:$K1004,Trips!$Z5:$Z1004,$R209,Trips!$E5:$E1004,$A209))</f>
        <v/>
      </c>
      <c r="E209" s="108">
        <f>IF($C209="","",SUMIFS(Trips!$N5:$N1004,Trips!$Z5:$Z1004,$R209,Trips!$D5:$D1004,$A209)+SUMIFS(Trips!$O5:$O1004,Trips!$Z5:$Z1004,$R209,Trips!$E5:$E1004,$A209))</f>
        <v/>
      </c>
      <c r="F209" s="109">
        <f>IF($C209="","",SUMIFS(Trips!$P5:$P1004,Trips!$Z5:$Z1004,$R209,Trips!$D5:$D1004,$A209))</f>
        <v/>
      </c>
      <c r="G209" s="109">
        <f>IF($C209="","",SUMIFS(Trips!$Q5:$Q1004,Trips!$Z5:$Z1004,$R209,Trips!$D5:$D1004,$A209))</f>
        <v/>
      </c>
      <c r="H209" s="108">
        <f>IF(AND($C209="",$I209="",$J209=""),"",N($E209)+N($F209)+N($G209))</f>
        <v/>
      </c>
      <c r="I209" s="109">
        <f>IF($A209="","",IFERROR(1/(1/SUMIFS(Expenses!$F5:$F1004,Expenses!$L5:$L1004,"ADV",Expenses!$J5:$J1004,$R209,Expenses!$E5:$E1004,$A209)),""))</f>
        <v/>
      </c>
      <c r="J209" s="109">
        <f>IF($A209="","",IFERROR(1/(1/SUMIFS(Expenses!$F5:$F1004,Expenses!$L5:$L1004,"PAY",Expenses!$J5:$J1004,$R209,Expenses!$E5:$E1004,$A209)),""))</f>
        <v/>
      </c>
      <c r="K209" s="110">
        <f>IF($H209="","",N($H209)-N($I209)-N($J209))</f>
        <v/>
      </c>
      <c r="L209" s="111">
        <f>IF($K209="","",IF($K209&gt;0.5,"TO PAY",IF($K209&lt;-0.5,"ADVANCE / OWES","SETTLED")))</f>
        <v/>
      </c>
      <c r="R209" s="112" t="n">
        <v>46447</v>
      </c>
    </row>
    <row r="210">
      <c r="A210" s="104">
        <f>IF(Setup!$A84="","",Setup!$A84)</f>
        <v/>
      </c>
      <c r="B210" s="105">
        <f>IF($A210="","",Setup!$B84)</f>
        <v/>
      </c>
      <c r="C210" s="106">
        <f>IF($A210="","",IF(COUNTIFS(Trips!$Z5:$Z1004,$R210,Trips!$D5:$D1004,$A210)+COUNTIFS(Trips!$Z5:$Z1004,$R210,Trips!$E5:$E1004,$A210)=0,"",COUNTIFS(Trips!$Z5:$Z1004,$R210,Trips!$D5:$D1004,$A210)+COUNTIFS(Trips!$Z5:$Z1004,$R210,Trips!$E5:$E1004,$A210)))</f>
        <v/>
      </c>
      <c r="D210" s="107">
        <f>IF($C210="","",SUMIFS(Trips!$K5:$K1004,Trips!$Z5:$Z1004,$R210,Trips!$D5:$D1004,$A210)+SUMIFS(Trips!$K5:$K1004,Trips!$Z5:$Z1004,$R210,Trips!$E5:$E1004,$A210))</f>
        <v/>
      </c>
      <c r="E210" s="108">
        <f>IF($C210="","",SUMIFS(Trips!$N5:$N1004,Trips!$Z5:$Z1004,$R210,Trips!$D5:$D1004,$A210)+SUMIFS(Trips!$O5:$O1004,Trips!$Z5:$Z1004,$R210,Trips!$E5:$E1004,$A210))</f>
        <v/>
      </c>
      <c r="F210" s="109">
        <f>IF($C210="","",SUMIFS(Trips!$P5:$P1004,Trips!$Z5:$Z1004,$R210,Trips!$D5:$D1004,$A210))</f>
        <v/>
      </c>
      <c r="G210" s="109">
        <f>IF($C210="","",SUMIFS(Trips!$Q5:$Q1004,Trips!$Z5:$Z1004,$R210,Trips!$D5:$D1004,$A210))</f>
        <v/>
      </c>
      <c r="H210" s="108">
        <f>IF(AND($C210="",$I210="",$J210=""),"",N($E210)+N($F210)+N($G210))</f>
        <v/>
      </c>
      <c r="I210" s="109">
        <f>IF($A210="","",IFERROR(1/(1/SUMIFS(Expenses!$F5:$F1004,Expenses!$L5:$L1004,"ADV",Expenses!$J5:$J1004,$R210,Expenses!$E5:$E1004,$A210)),""))</f>
        <v/>
      </c>
      <c r="J210" s="109">
        <f>IF($A210="","",IFERROR(1/(1/SUMIFS(Expenses!$F5:$F1004,Expenses!$L5:$L1004,"PAY",Expenses!$J5:$J1004,$R210,Expenses!$E5:$E1004,$A210)),""))</f>
        <v/>
      </c>
      <c r="K210" s="110">
        <f>IF($H210="","",N($H210)-N($I210)-N($J210))</f>
        <v/>
      </c>
      <c r="L210" s="111">
        <f>IF($K210="","",IF($K210&gt;0.5,"TO PAY",IF($K210&lt;-0.5,"ADVANCE / OWES","SETTLED")))</f>
        <v/>
      </c>
      <c r="R210" s="112" t="n">
        <v>46447</v>
      </c>
    </row>
    <row r="211">
      <c r="A211" s="104">
        <f>IF(Setup!$A85="","",Setup!$A85)</f>
        <v/>
      </c>
      <c r="B211" s="105">
        <f>IF($A211="","",Setup!$B85)</f>
        <v/>
      </c>
      <c r="C211" s="106">
        <f>IF($A211="","",IF(COUNTIFS(Trips!$Z5:$Z1004,$R211,Trips!$D5:$D1004,$A211)+COUNTIFS(Trips!$Z5:$Z1004,$R211,Trips!$E5:$E1004,$A211)=0,"",COUNTIFS(Trips!$Z5:$Z1004,$R211,Trips!$D5:$D1004,$A211)+COUNTIFS(Trips!$Z5:$Z1004,$R211,Trips!$E5:$E1004,$A211)))</f>
        <v/>
      </c>
      <c r="D211" s="107">
        <f>IF($C211="","",SUMIFS(Trips!$K5:$K1004,Trips!$Z5:$Z1004,$R211,Trips!$D5:$D1004,$A211)+SUMIFS(Trips!$K5:$K1004,Trips!$Z5:$Z1004,$R211,Trips!$E5:$E1004,$A211))</f>
        <v/>
      </c>
      <c r="E211" s="108">
        <f>IF($C211="","",SUMIFS(Trips!$N5:$N1004,Trips!$Z5:$Z1004,$R211,Trips!$D5:$D1004,$A211)+SUMIFS(Trips!$O5:$O1004,Trips!$Z5:$Z1004,$R211,Trips!$E5:$E1004,$A211))</f>
        <v/>
      </c>
      <c r="F211" s="109">
        <f>IF($C211="","",SUMIFS(Trips!$P5:$P1004,Trips!$Z5:$Z1004,$R211,Trips!$D5:$D1004,$A211))</f>
        <v/>
      </c>
      <c r="G211" s="109">
        <f>IF($C211="","",SUMIFS(Trips!$Q5:$Q1004,Trips!$Z5:$Z1004,$R211,Trips!$D5:$D1004,$A211))</f>
        <v/>
      </c>
      <c r="H211" s="108">
        <f>IF(AND($C211="",$I211="",$J211=""),"",N($E211)+N($F211)+N($G211))</f>
        <v/>
      </c>
      <c r="I211" s="109">
        <f>IF($A211="","",IFERROR(1/(1/SUMIFS(Expenses!$F5:$F1004,Expenses!$L5:$L1004,"ADV",Expenses!$J5:$J1004,$R211,Expenses!$E5:$E1004,$A211)),""))</f>
        <v/>
      </c>
      <c r="J211" s="109">
        <f>IF($A211="","",IFERROR(1/(1/SUMIFS(Expenses!$F5:$F1004,Expenses!$L5:$L1004,"PAY",Expenses!$J5:$J1004,$R211,Expenses!$E5:$E1004,$A211)),""))</f>
        <v/>
      </c>
      <c r="K211" s="110">
        <f>IF($H211="","",N($H211)-N($I211)-N($J211))</f>
        <v/>
      </c>
      <c r="L211" s="111">
        <f>IF($K211="","",IF($K211&gt;0.5,"TO PAY",IF($K211&lt;-0.5,"ADVANCE / OWES","SETTLED")))</f>
        <v/>
      </c>
      <c r="R211" s="112" t="n">
        <v>46447</v>
      </c>
    </row>
    <row r="212">
      <c r="A212" s="104">
        <f>IF(Setup!$A86="","",Setup!$A86)</f>
        <v/>
      </c>
      <c r="B212" s="105">
        <f>IF($A212="","",Setup!$B86)</f>
        <v/>
      </c>
      <c r="C212" s="106">
        <f>IF($A212="","",IF(COUNTIFS(Trips!$Z5:$Z1004,$R212,Trips!$D5:$D1004,$A212)+COUNTIFS(Trips!$Z5:$Z1004,$R212,Trips!$E5:$E1004,$A212)=0,"",COUNTIFS(Trips!$Z5:$Z1004,$R212,Trips!$D5:$D1004,$A212)+COUNTIFS(Trips!$Z5:$Z1004,$R212,Trips!$E5:$E1004,$A212)))</f>
        <v/>
      </c>
      <c r="D212" s="107">
        <f>IF($C212="","",SUMIFS(Trips!$K5:$K1004,Trips!$Z5:$Z1004,$R212,Trips!$D5:$D1004,$A212)+SUMIFS(Trips!$K5:$K1004,Trips!$Z5:$Z1004,$R212,Trips!$E5:$E1004,$A212))</f>
        <v/>
      </c>
      <c r="E212" s="108">
        <f>IF($C212="","",SUMIFS(Trips!$N5:$N1004,Trips!$Z5:$Z1004,$R212,Trips!$D5:$D1004,$A212)+SUMIFS(Trips!$O5:$O1004,Trips!$Z5:$Z1004,$R212,Trips!$E5:$E1004,$A212))</f>
        <v/>
      </c>
      <c r="F212" s="109">
        <f>IF($C212="","",SUMIFS(Trips!$P5:$P1004,Trips!$Z5:$Z1004,$R212,Trips!$D5:$D1004,$A212))</f>
        <v/>
      </c>
      <c r="G212" s="109">
        <f>IF($C212="","",SUMIFS(Trips!$Q5:$Q1004,Trips!$Z5:$Z1004,$R212,Trips!$D5:$D1004,$A212))</f>
        <v/>
      </c>
      <c r="H212" s="108">
        <f>IF(AND($C212="",$I212="",$J212=""),"",N($E212)+N($F212)+N($G212))</f>
        <v/>
      </c>
      <c r="I212" s="109">
        <f>IF($A212="","",IFERROR(1/(1/SUMIFS(Expenses!$F5:$F1004,Expenses!$L5:$L1004,"ADV",Expenses!$J5:$J1004,$R212,Expenses!$E5:$E1004,$A212)),""))</f>
        <v/>
      </c>
      <c r="J212" s="109">
        <f>IF($A212="","",IFERROR(1/(1/SUMIFS(Expenses!$F5:$F1004,Expenses!$L5:$L1004,"PAY",Expenses!$J5:$J1004,$R212,Expenses!$E5:$E1004,$A212)),""))</f>
        <v/>
      </c>
      <c r="K212" s="110">
        <f>IF($H212="","",N($H212)-N($I212)-N($J212))</f>
        <v/>
      </c>
      <c r="L212" s="111">
        <f>IF($K212="","",IF($K212&gt;0.5,"TO PAY",IF($K212&lt;-0.5,"ADVANCE / OWES","SETTLED")))</f>
        <v/>
      </c>
      <c r="R212" s="112" t="n">
        <v>46447</v>
      </c>
    </row>
    <row r="213">
      <c r="A213" s="104">
        <f>IF(Setup!$A87="","",Setup!$A87)</f>
        <v/>
      </c>
      <c r="B213" s="105">
        <f>IF($A213="","",Setup!$B87)</f>
        <v/>
      </c>
      <c r="C213" s="106">
        <f>IF($A213="","",IF(COUNTIFS(Trips!$Z5:$Z1004,$R213,Trips!$D5:$D1004,$A213)+COUNTIFS(Trips!$Z5:$Z1004,$R213,Trips!$E5:$E1004,$A213)=0,"",COUNTIFS(Trips!$Z5:$Z1004,$R213,Trips!$D5:$D1004,$A213)+COUNTIFS(Trips!$Z5:$Z1004,$R213,Trips!$E5:$E1004,$A213)))</f>
        <v/>
      </c>
      <c r="D213" s="107">
        <f>IF($C213="","",SUMIFS(Trips!$K5:$K1004,Trips!$Z5:$Z1004,$R213,Trips!$D5:$D1004,$A213)+SUMIFS(Trips!$K5:$K1004,Trips!$Z5:$Z1004,$R213,Trips!$E5:$E1004,$A213))</f>
        <v/>
      </c>
      <c r="E213" s="108">
        <f>IF($C213="","",SUMIFS(Trips!$N5:$N1004,Trips!$Z5:$Z1004,$R213,Trips!$D5:$D1004,$A213)+SUMIFS(Trips!$O5:$O1004,Trips!$Z5:$Z1004,$R213,Trips!$E5:$E1004,$A213))</f>
        <v/>
      </c>
      <c r="F213" s="109">
        <f>IF($C213="","",SUMIFS(Trips!$P5:$P1004,Trips!$Z5:$Z1004,$R213,Trips!$D5:$D1004,$A213))</f>
        <v/>
      </c>
      <c r="G213" s="109">
        <f>IF($C213="","",SUMIFS(Trips!$Q5:$Q1004,Trips!$Z5:$Z1004,$R213,Trips!$D5:$D1004,$A213))</f>
        <v/>
      </c>
      <c r="H213" s="108">
        <f>IF(AND($C213="",$I213="",$J213=""),"",N($E213)+N($F213)+N($G213))</f>
        <v/>
      </c>
      <c r="I213" s="109">
        <f>IF($A213="","",IFERROR(1/(1/SUMIFS(Expenses!$F5:$F1004,Expenses!$L5:$L1004,"ADV",Expenses!$J5:$J1004,$R213,Expenses!$E5:$E1004,$A213)),""))</f>
        <v/>
      </c>
      <c r="J213" s="109">
        <f>IF($A213="","",IFERROR(1/(1/SUMIFS(Expenses!$F5:$F1004,Expenses!$L5:$L1004,"PAY",Expenses!$J5:$J1004,$R213,Expenses!$E5:$E1004,$A213)),""))</f>
        <v/>
      </c>
      <c r="K213" s="110">
        <f>IF($H213="","",N($H213)-N($I213)-N($J213))</f>
        <v/>
      </c>
      <c r="L213" s="111">
        <f>IF($K213="","",IF($K213&gt;0.5,"TO PAY",IF($K213&lt;-0.5,"ADVANCE / OWES","SETTLED")))</f>
        <v/>
      </c>
      <c r="R213" s="112" t="n">
        <v>46447</v>
      </c>
    </row>
    <row r="214">
      <c r="A214" s="113" t="inlineStr">
        <is>
          <t>MONTH TOTAL</t>
        </is>
      </c>
      <c r="B214" s="114" t="n"/>
      <c r="C214" s="115">
        <f>IF(COUNT(C202:C213)=0,"",SUM(C202:C213))</f>
        <v/>
      </c>
      <c r="D214" s="116">
        <f>IF(COUNT(D202:D213)=0,"",SUM(D202:D213))</f>
        <v/>
      </c>
      <c r="E214" s="117">
        <f>IF(COUNT(E202:E213)=0,"",SUM(E202:E213))</f>
        <v/>
      </c>
      <c r="F214" s="117">
        <f>IF(COUNT(F202:F213)=0,"",SUM(F202:F213))</f>
        <v/>
      </c>
      <c r="G214" s="117">
        <f>IF(COUNT(G202:G213)=0,"",SUM(G202:G213))</f>
        <v/>
      </c>
      <c r="H214" s="117">
        <f>IF(COUNT(H202:H213)=0,"",SUM(H202:H213))</f>
        <v/>
      </c>
      <c r="I214" s="117">
        <f>IF(COUNT(I202:I213)=0,"",SUM(I202:I213))</f>
        <v/>
      </c>
      <c r="J214" s="117">
        <f>IF(COUNT(J202:J213)=0,"",SUM(J202:J213))</f>
        <v/>
      </c>
      <c r="K214" s="117">
        <f>IF(COUNT(K202:K213)=0,"",SUM(K202:K213))</f>
        <v/>
      </c>
      <c r="L214" s="118" t="n"/>
    </row>
    <row r="215" ht="24" customHeight="1">
      <c r="A215" s="103" t="inlineStr">
        <is>
          <t>APRIL 2027   ·   crew earnings &amp; settlement</t>
        </is>
      </c>
    </row>
    <row r="216">
      <c r="A216" s="104">
        <f>IF(Setup!$A76="","",Setup!$A76)</f>
        <v/>
      </c>
      <c r="B216" s="105">
        <f>IF($A216="","",Setup!$B76)</f>
        <v/>
      </c>
      <c r="C216" s="106">
        <f>IF($A216="","",IF(COUNTIFS(Trips!$Z5:$Z1004,$R216,Trips!$D5:$D1004,$A216)+COUNTIFS(Trips!$Z5:$Z1004,$R216,Trips!$E5:$E1004,$A216)=0,"",COUNTIFS(Trips!$Z5:$Z1004,$R216,Trips!$D5:$D1004,$A216)+COUNTIFS(Trips!$Z5:$Z1004,$R216,Trips!$E5:$E1004,$A216)))</f>
        <v/>
      </c>
      <c r="D216" s="107">
        <f>IF($C216="","",SUMIFS(Trips!$K5:$K1004,Trips!$Z5:$Z1004,$R216,Trips!$D5:$D1004,$A216)+SUMIFS(Trips!$K5:$K1004,Trips!$Z5:$Z1004,$R216,Trips!$E5:$E1004,$A216))</f>
        <v/>
      </c>
      <c r="E216" s="108">
        <f>IF($C216="","",SUMIFS(Trips!$N5:$N1004,Trips!$Z5:$Z1004,$R216,Trips!$D5:$D1004,$A216)+SUMIFS(Trips!$O5:$O1004,Trips!$Z5:$Z1004,$R216,Trips!$E5:$E1004,$A216))</f>
        <v/>
      </c>
      <c r="F216" s="109">
        <f>IF($C216="","",SUMIFS(Trips!$P5:$P1004,Trips!$Z5:$Z1004,$R216,Trips!$D5:$D1004,$A216))</f>
        <v/>
      </c>
      <c r="G216" s="109">
        <f>IF($C216="","",SUMIFS(Trips!$Q5:$Q1004,Trips!$Z5:$Z1004,$R216,Trips!$D5:$D1004,$A216))</f>
        <v/>
      </c>
      <c r="H216" s="108">
        <f>IF(AND($C216="",$I216="",$J216=""),"",N($E216)+N($F216)+N($G216))</f>
        <v/>
      </c>
      <c r="I216" s="109">
        <f>IF($A216="","",IFERROR(1/(1/SUMIFS(Expenses!$F5:$F1004,Expenses!$L5:$L1004,"ADV",Expenses!$J5:$J1004,$R216,Expenses!$E5:$E1004,$A216)),""))</f>
        <v/>
      </c>
      <c r="J216" s="109">
        <f>IF($A216="","",IFERROR(1/(1/SUMIFS(Expenses!$F5:$F1004,Expenses!$L5:$L1004,"PAY",Expenses!$J5:$J1004,$R216,Expenses!$E5:$E1004,$A216)),""))</f>
        <v/>
      </c>
      <c r="K216" s="110">
        <f>IF($H216="","",N($H216)-N($I216)-N($J216))</f>
        <v/>
      </c>
      <c r="L216" s="111">
        <f>IF($K216="","",IF($K216&gt;0.5,"TO PAY",IF($K216&lt;-0.5,"ADVANCE / OWES","SETTLED")))</f>
        <v/>
      </c>
      <c r="R216" s="112" t="n">
        <v>46478</v>
      </c>
    </row>
    <row r="217">
      <c r="A217" s="104">
        <f>IF(Setup!$A77="","",Setup!$A77)</f>
        <v/>
      </c>
      <c r="B217" s="105">
        <f>IF($A217="","",Setup!$B77)</f>
        <v/>
      </c>
      <c r="C217" s="106">
        <f>IF($A217="","",IF(COUNTIFS(Trips!$Z5:$Z1004,$R217,Trips!$D5:$D1004,$A217)+COUNTIFS(Trips!$Z5:$Z1004,$R217,Trips!$E5:$E1004,$A217)=0,"",COUNTIFS(Trips!$Z5:$Z1004,$R217,Trips!$D5:$D1004,$A217)+COUNTIFS(Trips!$Z5:$Z1004,$R217,Trips!$E5:$E1004,$A217)))</f>
        <v/>
      </c>
      <c r="D217" s="107">
        <f>IF($C217="","",SUMIFS(Trips!$K5:$K1004,Trips!$Z5:$Z1004,$R217,Trips!$D5:$D1004,$A217)+SUMIFS(Trips!$K5:$K1004,Trips!$Z5:$Z1004,$R217,Trips!$E5:$E1004,$A217))</f>
        <v/>
      </c>
      <c r="E217" s="108">
        <f>IF($C217="","",SUMIFS(Trips!$N5:$N1004,Trips!$Z5:$Z1004,$R217,Trips!$D5:$D1004,$A217)+SUMIFS(Trips!$O5:$O1004,Trips!$Z5:$Z1004,$R217,Trips!$E5:$E1004,$A217))</f>
        <v/>
      </c>
      <c r="F217" s="109">
        <f>IF($C217="","",SUMIFS(Trips!$P5:$P1004,Trips!$Z5:$Z1004,$R217,Trips!$D5:$D1004,$A217))</f>
        <v/>
      </c>
      <c r="G217" s="109">
        <f>IF($C217="","",SUMIFS(Trips!$Q5:$Q1004,Trips!$Z5:$Z1004,$R217,Trips!$D5:$D1004,$A217))</f>
        <v/>
      </c>
      <c r="H217" s="108">
        <f>IF(AND($C217="",$I217="",$J217=""),"",N($E217)+N($F217)+N($G217))</f>
        <v/>
      </c>
      <c r="I217" s="109">
        <f>IF($A217="","",IFERROR(1/(1/SUMIFS(Expenses!$F5:$F1004,Expenses!$L5:$L1004,"ADV",Expenses!$J5:$J1004,$R217,Expenses!$E5:$E1004,$A217)),""))</f>
        <v/>
      </c>
      <c r="J217" s="109">
        <f>IF($A217="","",IFERROR(1/(1/SUMIFS(Expenses!$F5:$F1004,Expenses!$L5:$L1004,"PAY",Expenses!$J5:$J1004,$R217,Expenses!$E5:$E1004,$A217)),""))</f>
        <v/>
      </c>
      <c r="K217" s="110">
        <f>IF($H217="","",N($H217)-N($I217)-N($J217))</f>
        <v/>
      </c>
      <c r="L217" s="111">
        <f>IF($K217="","",IF($K217&gt;0.5,"TO PAY",IF($K217&lt;-0.5,"ADVANCE / OWES","SETTLED")))</f>
        <v/>
      </c>
      <c r="R217" s="112" t="n">
        <v>46478</v>
      </c>
    </row>
    <row r="218">
      <c r="A218" s="104">
        <f>IF(Setup!$A78="","",Setup!$A78)</f>
        <v/>
      </c>
      <c r="B218" s="105">
        <f>IF($A218="","",Setup!$B78)</f>
        <v/>
      </c>
      <c r="C218" s="106">
        <f>IF($A218="","",IF(COUNTIFS(Trips!$Z5:$Z1004,$R218,Trips!$D5:$D1004,$A218)+COUNTIFS(Trips!$Z5:$Z1004,$R218,Trips!$E5:$E1004,$A218)=0,"",COUNTIFS(Trips!$Z5:$Z1004,$R218,Trips!$D5:$D1004,$A218)+COUNTIFS(Trips!$Z5:$Z1004,$R218,Trips!$E5:$E1004,$A218)))</f>
        <v/>
      </c>
      <c r="D218" s="107">
        <f>IF($C218="","",SUMIFS(Trips!$K5:$K1004,Trips!$Z5:$Z1004,$R218,Trips!$D5:$D1004,$A218)+SUMIFS(Trips!$K5:$K1004,Trips!$Z5:$Z1004,$R218,Trips!$E5:$E1004,$A218))</f>
        <v/>
      </c>
      <c r="E218" s="108">
        <f>IF($C218="","",SUMIFS(Trips!$N5:$N1004,Trips!$Z5:$Z1004,$R218,Trips!$D5:$D1004,$A218)+SUMIFS(Trips!$O5:$O1004,Trips!$Z5:$Z1004,$R218,Trips!$E5:$E1004,$A218))</f>
        <v/>
      </c>
      <c r="F218" s="109">
        <f>IF($C218="","",SUMIFS(Trips!$P5:$P1004,Trips!$Z5:$Z1004,$R218,Trips!$D5:$D1004,$A218))</f>
        <v/>
      </c>
      <c r="G218" s="109">
        <f>IF($C218="","",SUMIFS(Trips!$Q5:$Q1004,Trips!$Z5:$Z1004,$R218,Trips!$D5:$D1004,$A218))</f>
        <v/>
      </c>
      <c r="H218" s="108">
        <f>IF(AND($C218="",$I218="",$J218=""),"",N($E218)+N($F218)+N($G218))</f>
        <v/>
      </c>
      <c r="I218" s="109">
        <f>IF($A218="","",IFERROR(1/(1/SUMIFS(Expenses!$F5:$F1004,Expenses!$L5:$L1004,"ADV",Expenses!$J5:$J1004,$R218,Expenses!$E5:$E1004,$A218)),""))</f>
        <v/>
      </c>
      <c r="J218" s="109">
        <f>IF($A218="","",IFERROR(1/(1/SUMIFS(Expenses!$F5:$F1004,Expenses!$L5:$L1004,"PAY",Expenses!$J5:$J1004,$R218,Expenses!$E5:$E1004,$A218)),""))</f>
        <v/>
      </c>
      <c r="K218" s="110">
        <f>IF($H218="","",N($H218)-N($I218)-N($J218))</f>
        <v/>
      </c>
      <c r="L218" s="111">
        <f>IF($K218="","",IF($K218&gt;0.5,"TO PAY",IF($K218&lt;-0.5,"ADVANCE / OWES","SETTLED")))</f>
        <v/>
      </c>
      <c r="R218" s="112" t="n">
        <v>46478</v>
      </c>
    </row>
    <row r="219">
      <c r="A219" s="104">
        <f>IF(Setup!$A79="","",Setup!$A79)</f>
        <v/>
      </c>
      <c r="B219" s="105">
        <f>IF($A219="","",Setup!$B79)</f>
        <v/>
      </c>
      <c r="C219" s="106">
        <f>IF($A219="","",IF(COUNTIFS(Trips!$Z5:$Z1004,$R219,Trips!$D5:$D1004,$A219)+COUNTIFS(Trips!$Z5:$Z1004,$R219,Trips!$E5:$E1004,$A219)=0,"",COUNTIFS(Trips!$Z5:$Z1004,$R219,Trips!$D5:$D1004,$A219)+COUNTIFS(Trips!$Z5:$Z1004,$R219,Trips!$E5:$E1004,$A219)))</f>
        <v/>
      </c>
      <c r="D219" s="107">
        <f>IF($C219="","",SUMIFS(Trips!$K5:$K1004,Trips!$Z5:$Z1004,$R219,Trips!$D5:$D1004,$A219)+SUMIFS(Trips!$K5:$K1004,Trips!$Z5:$Z1004,$R219,Trips!$E5:$E1004,$A219))</f>
        <v/>
      </c>
      <c r="E219" s="108">
        <f>IF($C219="","",SUMIFS(Trips!$N5:$N1004,Trips!$Z5:$Z1004,$R219,Trips!$D5:$D1004,$A219)+SUMIFS(Trips!$O5:$O1004,Trips!$Z5:$Z1004,$R219,Trips!$E5:$E1004,$A219))</f>
        <v/>
      </c>
      <c r="F219" s="109">
        <f>IF($C219="","",SUMIFS(Trips!$P5:$P1004,Trips!$Z5:$Z1004,$R219,Trips!$D5:$D1004,$A219))</f>
        <v/>
      </c>
      <c r="G219" s="109">
        <f>IF($C219="","",SUMIFS(Trips!$Q5:$Q1004,Trips!$Z5:$Z1004,$R219,Trips!$D5:$D1004,$A219))</f>
        <v/>
      </c>
      <c r="H219" s="108">
        <f>IF(AND($C219="",$I219="",$J219=""),"",N($E219)+N($F219)+N($G219))</f>
        <v/>
      </c>
      <c r="I219" s="109">
        <f>IF($A219="","",IFERROR(1/(1/SUMIFS(Expenses!$F5:$F1004,Expenses!$L5:$L1004,"ADV",Expenses!$J5:$J1004,$R219,Expenses!$E5:$E1004,$A219)),""))</f>
        <v/>
      </c>
      <c r="J219" s="109">
        <f>IF($A219="","",IFERROR(1/(1/SUMIFS(Expenses!$F5:$F1004,Expenses!$L5:$L1004,"PAY",Expenses!$J5:$J1004,$R219,Expenses!$E5:$E1004,$A219)),""))</f>
        <v/>
      </c>
      <c r="K219" s="110">
        <f>IF($H219="","",N($H219)-N($I219)-N($J219))</f>
        <v/>
      </c>
      <c r="L219" s="111">
        <f>IF($K219="","",IF($K219&gt;0.5,"TO PAY",IF($K219&lt;-0.5,"ADVANCE / OWES","SETTLED")))</f>
        <v/>
      </c>
      <c r="R219" s="112" t="n">
        <v>46478</v>
      </c>
    </row>
    <row r="220">
      <c r="A220" s="104">
        <f>IF(Setup!$A80="","",Setup!$A80)</f>
        <v/>
      </c>
      <c r="B220" s="105">
        <f>IF($A220="","",Setup!$B80)</f>
        <v/>
      </c>
      <c r="C220" s="106">
        <f>IF($A220="","",IF(COUNTIFS(Trips!$Z5:$Z1004,$R220,Trips!$D5:$D1004,$A220)+COUNTIFS(Trips!$Z5:$Z1004,$R220,Trips!$E5:$E1004,$A220)=0,"",COUNTIFS(Trips!$Z5:$Z1004,$R220,Trips!$D5:$D1004,$A220)+COUNTIFS(Trips!$Z5:$Z1004,$R220,Trips!$E5:$E1004,$A220)))</f>
        <v/>
      </c>
      <c r="D220" s="107">
        <f>IF($C220="","",SUMIFS(Trips!$K5:$K1004,Trips!$Z5:$Z1004,$R220,Trips!$D5:$D1004,$A220)+SUMIFS(Trips!$K5:$K1004,Trips!$Z5:$Z1004,$R220,Trips!$E5:$E1004,$A220))</f>
        <v/>
      </c>
      <c r="E220" s="108">
        <f>IF($C220="","",SUMIFS(Trips!$N5:$N1004,Trips!$Z5:$Z1004,$R220,Trips!$D5:$D1004,$A220)+SUMIFS(Trips!$O5:$O1004,Trips!$Z5:$Z1004,$R220,Trips!$E5:$E1004,$A220))</f>
        <v/>
      </c>
      <c r="F220" s="109">
        <f>IF($C220="","",SUMIFS(Trips!$P5:$P1004,Trips!$Z5:$Z1004,$R220,Trips!$D5:$D1004,$A220))</f>
        <v/>
      </c>
      <c r="G220" s="109">
        <f>IF($C220="","",SUMIFS(Trips!$Q5:$Q1004,Trips!$Z5:$Z1004,$R220,Trips!$D5:$D1004,$A220))</f>
        <v/>
      </c>
      <c r="H220" s="108">
        <f>IF(AND($C220="",$I220="",$J220=""),"",N($E220)+N($F220)+N($G220))</f>
        <v/>
      </c>
      <c r="I220" s="109">
        <f>IF($A220="","",IFERROR(1/(1/SUMIFS(Expenses!$F5:$F1004,Expenses!$L5:$L1004,"ADV",Expenses!$J5:$J1004,$R220,Expenses!$E5:$E1004,$A220)),""))</f>
        <v/>
      </c>
      <c r="J220" s="109">
        <f>IF($A220="","",IFERROR(1/(1/SUMIFS(Expenses!$F5:$F1004,Expenses!$L5:$L1004,"PAY",Expenses!$J5:$J1004,$R220,Expenses!$E5:$E1004,$A220)),""))</f>
        <v/>
      </c>
      <c r="K220" s="110">
        <f>IF($H220="","",N($H220)-N($I220)-N($J220))</f>
        <v/>
      </c>
      <c r="L220" s="111">
        <f>IF($K220="","",IF($K220&gt;0.5,"TO PAY",IF($K220&lt;-0.5,"ADVANCE / OWES","SETTLED")))</f>
        <v/>
      </c>
      <c r="R220" s="112" t="n">
        <v>46478</v>
      </c>
    </row>
    <row r="221">
      <c r="A221" s="104">
        <f>IF(Setup!$A81="","",Setup!$A81)</f>
        <v/>
      </c>
      <c r="B221" s="105">
        <f>IF($A221="","",Setup!$B81)</f>
        <v/>
      </c>
      <c r="C221" s="106">
        <f>IF($A221="","",IF(COUNTIFS(Trips!$Z5:$Z1004,$R221,Trips!$D5:$D1004,$A221)+COUNTIFS(Trips!$Z5:$Z1004,$R221,Trips!$E5:$E1004,$A221)=0,"",COUNTIFS(Trips!$Z5:$Z1004,$R221,Trips!$D5:$D1004,$A221)+COUNTIFS(Trips!$Z5:$Z1004,$R221,Trips!$E5:$E1004,$A221)))</f>
        <v/>
      </c>
      <c r="D221" s="107">
        <f>IF($C221="","",SUMIFS(Trips!$K5:$K1004,Trips!$Z5:$Z1004,$R221,Trips!$D5:$D1004,$A221)+SUMIFS(Trips!$K5:$K1004,Trips!$Z5:$Z1004,$R221,Trips!$E5:$E1004,$A221))</f>
        <v/>
      </c>
      <c r="E221" s="108">
        <f>IF($C221="","",SUMIFS(Trips!$N5:$N1004,Trips!$Z5:$Z1004,$R221,Trips!$D5:$D1004,$A221)+SUMIFS(Trips!$O5:$O1004,Trips!$Z5:$Z1004,$R221,Trips!$E5:$E1004,$A221))</f>
        <v/>
      </c>
      <c r="F221" s="109">
        <f>IF($C221="","",SUMIFS(Trips!$P5:$P1004,Trips!$Z5:$Z1004,$R221,Trips!$D5:$D1004,$A221))</f>
        <v/>
      </c>
      <c r="G221" s="109">
        <f>IF($C221="","",SUMIFS(Trips!$Q5:$Q1004,Trips!$Z5:$Z1004,$R221,Trips!$D5:$D1004,$A221))</f>
        <v/>
      </c>
      <c r="H221" s="108">
        <f>IF(AND($C221="",$I221="",$J221=""),"",N($E221)+N($F221)+N($G221))</f>
        <v/>
      </c>
      <c r="I221" s="109">
        <f>IF($A221="","",IFERROR(1/(1/SUMIFS(Expenses!$F5:$F1004,Expenses!$L5:$L1004,"ADV",Expenses!$J5:$J1004,$R221,Expenses!$E5:$E1004,$A221)),""))</f>
        <v/>
      </c>
      <c r="J221" s="109">
        <f>IF($A221="","",IFERROR(1/(1/SUMIFS(Expenses!$F5:$F1004,Expenses!$L5:$L1004,"PAY",Expenses!$J5:$J1004,$R221,Expenses!$E5:$E1004,$A221)),""))</f>
        <v/>
      </c>
      <c r="K221" s="110">
        <f>IF($H221="","",N($H221)-N($I221)-N($J221))</f>
        <v/>
      </c>
      <c r="L221" s="111">
        <f>IF($K221="","",IF($K221&gt;0.5,"TO PAY",IF($K221&lt;-0.5,"ADVANCE / OWES","SETTLED")))</f>
        <v/>
      </c>
      <c r="R221" s="112" t="n">
        <v>46478</v>
      </c>
    </row>
    <row r="222">
      <c r="A222" s="104">
        <f>IF(Setup!$A82="","",Setup!$A82)</f>
        <v/>
      </c>
      <c r="B222" s="105">
        <f>IF($A222="","",Setup!$B82)</f>
        <v/>
      </c>
      <c r="C222" s="106">
        <f>IF($A222="","",IF(COUNTIFS(Trips!$Z5:$Z1004,$R222,Trips!$D5:$D1004,$A222)+COUNTIFS(Trips!$Z5:$Z1004,$R222,Trips!$E5:$E1004,$A222)=0,"",COUNTIFS(Trips!$Z5:$Z1004,$R222,Trips!$D5:$D1004,$A222)+COUNTIFS(Trips!$Z5:$Z1004,$R222,Trips!$E5:$E1004,$A222)))</f>
        <v/>
      </c>
      <c r="D222" s="107">
        <f>IF($C222="","",SUMIFS(Trips!$K5:$K1004,Trips!$Z5:$Z1004,$R222,Trips!$D5:$D1004,$A222)+SUMIFS(Trips!$K5:$K1004,Trips!$Z5:$Z1004,$R222,Trips!$E5:$E1004,$A222))</f>
        <v/>
      </c>
      <c r="E222" s="108">
        <f>IF($C222="","",SUMIFS(Trips!$N5:$N1004,Trips!$Z5:$Z1004,$R222,Trips!$D5:$D1004,$A222)+SUMIFS(Trips!$O5:$O1004,Trips!$Z5:$Z1004,$R222,Trips!$E5:$E1004,$A222))</f>
        <v/>
      </c>
      <c r="F222" s="109">
        <f>IF($C222="","",SUMIFS(Trips!$P5:$P1004,Trips!$Z5:$Z1004,$R222,Trips!$D5:$D1004,$A222))</f>
        <v/>
      </c>
      <c r="G222" s="109">
        <f>IF($C222="","",SUMIFS(Trips!$Q5:$Q1004,Trips!$Z5:$Z1004,$R222,Trips!$D5:$D1004,$A222))</f>
        <v/>
      </c>
      <c r="H222" s="108">
        <f>IF(AND($C222="",$I222="",$J222=""),"",N($E222)+N($F222)+N($G222))</f>
        <v/>
      </c>
      <c r="I222" s="109">
        <f>IF($A222="","",IFERROR(1/(1/SUMIFS(Expenses!$F5:$F1004,Expenses!$L5:$L1004,"ADV",Expenses!$J5:$J1004,$R222,Expenses!$E5:$E1004,$A222)),""))</f>
        <v/>
      </c>
      <c r="J222" s="109">
        <f>IF($A222="","",IFERROR(1/(1/SUMIFS(Expenses!$F5:$F1004,Expenses!$L5:$L1004,"PAY",Expenses!$J5:$J1004,$R222,Expenses!$E5:$E1004,$A222)),""))</f>
        <v/>
      </c>
      <c r="K222" s="110">
        <f>IF($H222="","",N($H222)-N($I222)-N($J222))</f>
        <v/>
      </c>
      <c r="L222" s="111">
        <f>IF($K222="","",IF($K222&gt;0.5,"TO PAY",IF($K222&lt;-0.5,"ADVANCE / OWES","SETTLED")))</f>
        <v/>
      </c>
      <c r="R222" s="112" t="n">
        <v>46478</v>
      </c>
    </row>
    <row r="223">
      <c r="A223" s="104">
        <f>IF(Setup!$A83="","",Setup!$A83)</f>
        <v/>
      </c>
      <c r="B223" s="105">
        <f>IF($A223="","",Setup!$B83)</f>
        <v/>
      </c>
      <c r="C223" s="106">
        <f>IF($A223="","",IF(COUNTIFS(Trips!$Z5:$Z1004,$R223,Trips!$D5:$D1004,$A223)+COUNTIFS(Trips!$Z5:$Z1004,$R223,Trips!$E5:$E1004,$A223)=0,"",COUNTIFS(Trips!$Z5:$Z1004,$R223,Trips!$D5:$D1004,$A223)+COUNTIFS(Trips!$Z5:$Z1004,$R223,Trips!$E5:$E1004,$A223)))</f>
        <v/>
      </c>
      <c r="D223" s="107">
        <f>IF($C223="","",SUMIFS(Trips!$K5:$K1004,Trips!$Z5:$Z1004,$R223,Trips!$D5:$D1004,$A223)+SUMIFS(Trips!$K5:$K1004,Trips!$Z5:$Z1004,$R223,Trips!$E5:$E1004,$A223))</f>
        <v/>
      </c>
      <c r="E223" s="108">
        <f>IF($C223="","",SUMIFS(Trips!$N5:$N1004,Trips!$Z5:$Z1004,$R223,Trips!$D5:$D1004,$A223)+SUMIFS(Trips!$O5:$O1004,Trips!$Z5:$Z1004,$R223,Trips!$E5:$E1004,$A223))</f>
        <v/>
      </c>
      <c r="F223" s="109">
        <f>IF($C223="","",SUMIFS(Trips!$P5:$P1004,Trips!$Z5:$Z1004,$R223,Trips!$D5:$D1004,$A223))</f>
        <v/>
      </c>
      <c r="G223" s="109">
        <f>IF($C223="","",SUMIFS(Trips!$Q5:$Q1004,Trips!$Z5:$Z1004,$R223,Trips!$D5:$D1004,$A223))</f>
        <v/>
      </c>
      <c r="H223" s="108">
        <f>IF(AND($C223="",$I223="",$J223=""),"",N($E223)+N($F223)+N($G223))</f>
        <v/>
      </c>
      <c r="I223" s="109">
        <f>IF($A223="","",IFERROR(1/(1/SUMIFS(Expenses!$F5:$F1004,Expenses!$L5:$L1004,"ADV",Expenses!$J5:$J1004,$R223,Expenses!$E5:$E1004,$A223)),""))</f>
        <v/>
      </c>
      <c r="J223" s="109">
        <f>IF($A223="","",IFERROR(1/(1/SUMIFS(Expenses!$F5:$F1004,Expenses!$L5:$L1004,"PAY",Expenses!$J5:$J1004,$R223,Expenses!$E5:$E1004,$A223)),""))</f>
        <v/>
      </c>
      <c r="K223" s="110">
        <f>IF($H223="","",N($H223)-N($I223)-N($J223))</f>
        <v/>
      </c>
      <c r="L223" s="111">
        <f>IF($K223="","",IF($K223&gt;0.5,"TO PAY",IF($K223&lt;-0.5,"ADVANCE / OWES","SETTLED")))</f>
        <v/>
      </c>
      <c r="R223" s="112" t="n">
        <v>46478</v>
      </c>
    </row>
    <row r="224">
      <c r="A224" s="104">
        <f>IF(Setup!$A84="","",Setup!$A84)</f>
        <v/>
      </c>
      <c r="B224" s="105">
        <f>IF($A224="","",Setup!$B84)</f>
        <v/>
      </c>
      <c r="C224" s="106">
        <f>IF($A224="","",IF(COUNTIFS(Trips!$Z5:$Z1004,$R224,Trips!$D5:$D1004,$A224)+COUNTIFS(Trips!$Z5:$Z1004,$R224,Trips!$E5:$E1004,$A224)=0,"",COUNTIFS(Trips!$Z5:$Z1004,$R224,Trips!$D5:$D1004,$A224)+COUNTIFS(Trips!$Z5:$Z1004,$R224,Trips!$E5:$E1004,$A224)))</f>
        <v/>
      </c>
      <c r="D224" s="107">
        <f>IF($C224="","",SUMIFS(Trips!$K5:$K1004,Trips!$Z5:$Z1004,$R224,Trips!$D5:$D1004,$A224)+SUMIFS(Trips!$K5:$K1004,Trips!$Z5:$Z1004,$R224,Trips!$E5:$E1004,$A224))</f>
        <v/>
      </c>
      <c r="E224" s="108">
        <f>IF($C224="","",SUMIFS(Trips!$N5:$N1004,Trips!$Z5:$Z1004,$R224,Trips!$D5:$D1004,$A224)+SUMIFS(Trips!$O5:$O1004,Trips!$Z5:$Z1004,$R224,Trips!$E5:$E1004,$A224))</f>
        <v/>
      </c>
      <c r="F224" s="109">
        <f>IF($C224="","",SUMIFS(Trips!$P5:$P1004,Trips!$Z5:$Z1004,$R224,Trips!$D5:$D1004,$A224))</f>
        <v/>
      </c>
      <c r="G224" s="109">
        <f>IF($C224="","",SUMIFS(Trips!$Q5:$Q1004,Trips!$Z5:$Z1004,$R224,Trips!$D5:$D1004,$A224))</f>
        <v/>
      </c>
      <c r="H224" s="108">
        <f>IF(AND($C224="",$I224="",$J224=""),"",N($E224)+N($F224)+N($G224))</f>
        <v/>
      </c>
      <c r="I224" s="109">
        <f>IF($A224="","",IFERROR(1/(1/SUMIFS(Expenses!$F5:$F1004,Expenses!$L5:$L1004,"ADV",Expenses!$J5:$J1004,$R224,Expenses!$E5:$E1004,$A224)),""))</f>
        <v/>
      </c>
      <c r="J224" s="109">
        <f>IF($A224="","",IFERROR(1/(1/SUMIFS(Expenses!$F5:$F1004,Expenses!$L5:$L1004,"PAY",Expenses!$J5:$J1004,$R224,Expenses!$E5:$E1004,$A224)),""))</f>
        <v/>
      </c>
      <c r="K224" s="110">
        <f>IF($H224="","",N($H224)-N($I224)-N($J224))</f>
        <v/>
      </c>
      <c r="L224" s="111">
        <f>IF($K224="","",IF($K224&gt;0.5,"TO PAY",IF($K224&lt;-0.5,"ADVANCE / OWES","SETTLED")))</f>
        <v/>
      </c>
      <c r="R224" s="112" t="n">
        <v>46478</v>
      </c>
    </row>
    <row r="225">
      <c r="A225" s="104">
        <f>IF(Setup!$A85="","",Setup!$A85)</f>
        <v/>
      </c>
      <c r="B225" s="105">
        <f>IF($A225="","",Setup!$B85)</f>
        <v/>
      </c>
      <c r="C225" s="106">
        <f>IF($A225="","",IF(COUNTIFS(Trips!$Z5:$Z1004,$R225,Trips!$D5:$D1004,$A225)+COUNTIFS(Trips!$Z5:$Z1004,$R225,Trips!$E5:$E1004,$A225)=0,"",COUNTIFS(Trips!$Z5:$Z1004,$R225,Trips!$D5:$D1004,$A225)+COUNTIFS(Trips!$Z5:$Z1004,$R225,Trips!$E5:$E1004,$A225)))</f>
        <v/>
      </c>
      <c r="D225" s="107">
        <f>IF($C225="","",SUMIFS(Trips!$K5:$K1004,Trips!$Z5:$Z1004,$R225,Trips!$D5:$D1004,$A225)+SUMIFS(Trips!$K5:$K1004,Trips!$Z5:$Z1004,$R225,Trips!$E5:$E1004,$A225))</f>
        <v/>
      </c>
      <c r="E225" s="108">
        <f>IF($C225="","",SUMIFS(Trips!$N5:$N1004,Trips!$Z5:$Z1004,$R225,Trips!$D5:$D1004,$A225)+SUMIFS(Trips!$O5:$O1004,Trips!$Z5:$Z1004,$R225,Trips!$E5:$E1004,$A225))</f>
        <v/>
      </c>
      <c r="F225" s="109">
        <f>IF($C225="","",SUMIFS(Trips!$P5:$P1004,Trips!$Z5:$Z1004,$R225,Trips!$D5:$D1004,$A225))</f>
        <v/>
      </c>
      <c r="G225" s="109">
        <f>IF($C225="","",SUMIFS(Trips!$Q5:$Q1004,Trips!$Z5:$Z1004,$R225,Trips!$D5:$D1004,$A225))</f>
        <v/>
      </c>
      <c r="H225" s="108">
        <f>IF(AND($C225="",$I225="",$J225=""),"",N($E225)+N($F225)+N($G225))</f>
        <v/>
      </c>
      <c r="I225" s="109">
        <f>IF($A225="","",IFERROR(1/(1/SUMIFS(Expenses!$F5:$F1004,Expenses!$L5:$L1004,"ADV",Expenses!$J5:$J1004,$R225,Expenses!$E5:$E1004,$A225)),""))</f>
        <v/>
      </c>
      <c r="J225" s="109">
        <f>IF($A225="","",IFERROR(1/(1/SUMIFS(Expenses!$F5:$F1004,Expenses!$L5:$L1004,"PAY",Expenses!$J5:$J1004,$R225,Expenses!$E5:$E1004,$A225)),""))</f>
        <v/>
      </c>
      <c r="K225" s="110">
        <f>IF($H225="","",N($H225)-N($I225)-N($J225))</f>
        <v/>
      </c>
      <c r="L225" s="111">
        <f>IF($K225="","",IF($K225&gt;0.5,"TO PAY",IF($K225&lt;-0.5,"ADVANCE / OWES","SETTLED")))</f>
        <v/>
      </c>
      <c r="R225" s="112" t="n">
        <v>46478</v>
      </c>
    </row>
    <row r="226">
      <c r="A226" s="104">
        <f>IF(Setup!$A86="","",Setup!$A86)</f>
        <v/>
      </c>
      <c r="B226" s="105">
        <f>IF($A226="","",Setup!$B86)</f>
        <v/>
      </c>
      <c r="C226" s="106">
        <f>IF($A226="","",IF(COUNTIFS(Trips!$Z5:$Z1004,$R226,Trips!$D5:$D1004,$A226)+COUNTIFS(Trips!$Z5:$Z1004,$R226,Trips!$E5:$E1004,$A226)=0,"",COUNTIFS(Trips!$Z5:$Z1004,$R226,Trips!$D5:$D1004,$A226)+COUNTIFS(Trips!$Z5:$Z1004,$R226,Trips!$E5:$E1004,$A226)))</f>
        <v/>
      </c>
      <c r="D226" s="107">
        <f>IF($C226="","",SUMIFS(Trips!$K5:$K1004,Trips!$Z5:$Z1004,$R226,Trips!$D5:$D1004,$A226)+SUMIFS(Trips!$K5:$K1004,Trips!$Z5:$Z1004,$R226,Trips!$E5:$E1004,$A226))</f>
        <v/>
      </c>
      <c r="E226" s="108">
        <f>IF($C226="","",SUMIFS(Trips!$N5:$N1004,Trips!$Z5:$Z1004,$R226,Trips!$D5:$D1004,$A226)+SUMIFS(Trips!$O5:$O1004,Trips!$Z5:$Z1004,$R226,Trips!$E5:$E1004,$A226))</f>
        <v/>
      </c>
      <c r="F226" s="109">
        <f>IF($C226="","",SUMIFS(Trips!$P5:$P1004,Trips!$Z5:$Z1004,$R226,Trips!$D5:$D1004,$A226))</f>
        <v/>
      </c>
      <c r="G226" s="109">
        <f>IF($C226="","",SUMIFS(Trips!$Q5:$Q1004,Trips!$Z5:$Z1004,$R226,Trips!$D5:$D1004,$A226))</f>
        <v/>
      </c>
      <c r="H226" s="108">
        <f>IF(AND($C226="",$I226="",$J226=""),"",N($E226)+N($F226)+N($G226))</f>
        <v/>
      </c>
      <c r="I226" s="109">
        <f>IF($A226="","",IFERROR(1/(1/SUMIFS(Expenses!$F5:$F1004,Expenses!$L5:$L1004,"ADV",Expenses!$J5:$J1004,$R226,Expenses!$E5:$E1004,$A226)),""))</f>
        <v/>
      </c>
      <c r="J226" s="109">
        <f>IF($A226="","",IFERROR(1/(1/SUMIFS(Expenses!$F5:$F1004,Expenses!$L5:$L1004,"PAY",Expenses!$J5:$J1004,$R226,Expenses!$E5:$E1004,$A226)),""))</f>
        <v/>
      </c>
      <c r="K226" s="110">
        <f>IF($H226="","",N($H226)-N($I226)-N($J226))</f>
        <v/>
      </c>
      <c r="L226" s="111">
        <f>IF($K226="","",IF($K226&gt;0.5,"TO PAY",IF($K226&lt;-0.5,"ADVANCE / OWES","SETTLED")))</f>
        <v/>
      </c>
      <c r="R226" s="112" t="n">
        <v>46478</v>
      </c>
    </row>
    <row r="227">
      <c r="A227" s="104">
        <f>IF(Setup!$A87="","",Setup!$A87)</f>
        <v/>
      </c>
      <c r="B227" s="105">
        <f>IF($A227="","",Setup!$B87)</f>
        <v/>
      </c>
      <c r="C227" s="106">
        <f>IF($A227="","",IF(COUNTIFS(Trips!$Z5:$Z1004,$R227,Trips!$D5:$D1004,$A227)+COUNTIFS(Trips!$Z5:$Z1004,$R227,Trips!$E5:$E1004,$A227)=0,"",COUNTIFS(Trips!$Z5:$Z1004,$R227,Trips!$D5:$D1004,$A227)+COUNTIFS(Trips!$Z5:$Z1004,$R227,Trips!$E5:$E1004,$A227)))</f>
        <v/>
      </c>
      <c r="D227" s="107">
        <f>IF($C227="","",SUMIFS(Trips!$K5:$K1004,Trips!$Z5:$Z1004,$R227,Trips!$D5:$D1004,$A227)+SUMIFS(Trips!$K5:$K1004,Trips!$Z5:$Z1004,$R227,Trips!$E5:$E1004,$A227))</f>
        <v/>
      </c>
      <c r="E227" s="108">
        <f>IF($C227="","",SUMIFS(Trips!$N5:$N1004,Trips!$Z5:$Z1004,$R227,Trips!$D5:$D1004,$A227)+SUMIFS(Trips!$O5:$O1004,Trips!$Z5:$Z1004,$R227,Trips!$E5:$E1004,$A227))</f>
        <v/>
      </c>
      <c r="F227" s="109">
        <f>IF($C227="","",SUMIFS(Trips!$P5:$P1004,Trips!$Z5:$Z1004,$R227,Trips!$D5:$D1004,$A227))</f>
        <v/>
      </c>
      <c r="G227" s="109">
        <f>IF($C227="","",SUMIFS(Trips!$Q5:$Q1004,Trips!$Z5:$Z1004,$R227,Trips!$D5:$D1004,$A227))</f>
        <v/>
      </c>
      <c r="H227" s="108">
        <f>IF(AND($C227="",$I227="",$J227=""),"",N($E227)+N($F227)+N($G227))</f>
        <v/>
      </c>
      <c r="I227" s="109">
        <f>IF($A227="","",IFERROR(1/(1/SUMIFS(Expenses!$F5:$F1004,Expenses!$L5:$L1004,"ADV",Expenses!$J5:$J1004,$R227,Expenses!$E5:$E1004,$A227)),""))</f>
        <v/>
      </c>
      <c r="J227" s="109">
        <f>IF($A227="","",IFERROR(1/(1/SUMIFS(Expenses!$F5:$F1004,Expenses!$L5:$L1004,"PAY",Expenses!$J5:$J1004,$R227,Expenses!$E5:$E1004,$A227)),""))</f>
        <v/>
      </c>
      <c r="K227" s="110">
        <f>IF($H227="","",N($H227)-N($I227)-N($J227))</f>
        <v/>
      </c>
      <c r="L227" s="111">
        <f>IF($K227="","",IF($K227&gt;0.5,"TO PAY",IF($K227&lt;-0.5,"ADVANCE / OWES","SETTLED")))</f>
        <v/>
      </c>
      <c r="R227" s="112" t="n">
        <v>46478</v>
      </c>
    </row>
    <row r="228">
      <c r="A228" s="113" t="inlineStr">
        <is>
          <t>MONTH TOTAL</t>
        </is>
      </c>
      <c r="B228" s="114" t="n"/>
      <c r="C228" s="115">
        <f>IF(COUNT(C216:C227)=0,"",SUM(C216:C227))</f>
        <v/>
      </c>
      <c r="D228" s="116">
        <f>IF(COUNT(D216:D227)=0,"",SUM(D216:D227))</f>
        <v/>
      </c>
      <c r="E228" s="117">
        <f>IF(COUNT(E216:E227)=0,"",SUM(E216:E227))</f>
        <v/>
      </c>
      <c r="F228" s="117">
        <f>IF(COUNT(F216:F227)=0,"",SUM(F216:F227))</f>
        <v/>
      </c>
      <c r="G228" s="117">
        <f>IF(COUNT(G216:G227)=0,"",SUM(G216:G227))</f>
        <v/>
      </c>
      <c r="H228" s="117">
        <f>IF(COUNT(H216:H227)=0,"",SUM(H216:H227))</f>
        <v/>
      </c>
      <c r="I228" s="117">
        <f>IF(COUNT(I216:I227)=0,"",SUM(I216:I227))</f>
        <v/>
      </c>
      <c r="J228" s="117">
        <f>IF(COUNT(J216:J227)=0,"",SUM(J216:J227))</f>
        <v/>
      </c>
      <c r="K228" s="117">
        <f>IF(COUNT(K216:K227)=0,"",SUM(K216:K227))</f>
        <v/>
      </c>
      <c r="L228" s="118" t="n"/>
    </row>
    <row r="229" ht="24" customHeight="1">
      <c r="A229" s="103" t="inlineStr">
        <is>
          <t>MAY 2027   ·   crew earnings &amp; settlement</t>
        </is>
      </c>
    </row>
    <row r="230">
      <c r="A230" s="104">
        <f>IF(Setup!$A76="","",Setup!$A76)</f>
        <v/>
      </c>
      <c r="B230" s="105">
        <f>IF($A230="","",Setup!$B76)</f>
        <v/>
      </c>
      <c r="C230" s="106">
        <f>IF($A230="","",IF(COUNTIFS(Trips!$Z5:$Z1004,$R230,Trips!$D5:$D1004,$A230)+COUNTIFS(Trips!$Z5:$Z1004,$R230,Trips!$E5:$E1004,$A230)=0,"",COUNTIFS(Trips!$Z5:$Z1004,$R230,Trips!$D5:$D1004,$A230)+COUNTIFS(Trips!$Z5:$Z1004,$R230,Trips!$E5:$E1004,$A230)))</f>
        <v/>
      </c>
      <c r="D230" s="107">
        <f>IF($C230="","",SUMIFS(Trips!$K5:$K1004,Trips!$Z5:$Z1004,$R230,Trips!$D5:$D1004,$A230)+SUMIFS(Trips!$K5:$K1004,Trips!$Z5:$Z1004,$R230,Trips!$E5:$E1004,$A230))</f>
        <v/>
      </c>
      <c r="E230" s="108">
        <f>IF($C230="","",SUMIFS(Trips!$N5:$N1004,Trips!$Z5:$Z1004,$R230,Trips!$D5:$D1004,$A230)+SUMIFS(Trips!$O5:$O1004,Trips!$Z5:$Z1004,$R230,Trips!$E5:$E1004,$A230))</f>
        <v/>
      </c>
      <c r="F230" s="109">
        <f>IF($C230="","",SUMIFS(Trips!$P5:$P1004,Trips!$Z5:$Z1004,$R230,Trips!$D5:$D1004,$A230))</f>
        <v/>
      </c>
      <c r="G230" s="109">
        <f>IF($C230="","",SUMIFS(Trips!$Q5:$Q1004,Trips!$Z5:$Z1004,$R230,Trips!$D5:$D1004,$A230))</f>
        <v/>
      </c>
      <c r="H230" s="108">
        <f>IF(AND($C230="",$I230="",$J230=""),"",N($E230)+N($F230)+N($G230))</f>
        <v/>
      </c>
      <c r="I230" s="109">
        <f>IF($A230="","",IFERROR(1/(1/SUMIFS(Expenses!$F5:$F1004,Expenses!$L5:$L1004,"ADV",Expenses!$J5:$J1004,$R230,Expenses!$E5:$E1004,$A230)),""))</f>
        <v/>
      </c>
      <c r="J230" s="109">
        <f>IF($A230="","",IFERROR(1/(1/SUMIFS(Expenses!$F5:$F1004,Expenses!$L5:$L1004,"PAY",Expenses!$J5:$J1004,$R230,Expenses!$E5:$E1004,$A230)),""))</f>
        <v/>
      </c>
      <c r="K230" s="110">
        <f>IF($H230="","",N($H230)-N($I230)-N($J230))</f>
        <v/>
      </c>
      <c r="L230" s="111">
        <f>IF($K230="","",IF($K230&gt;0.5,"TO PAY",IF($K230&lt;-0.5,"ADVANCE / OWES","SETTLED")))</f>
        <v/>
      </c>
      <c r="R230" s="112" t="n">
        <v>46508</v>
      </c>
    </row>
    <row r="231">
      <c r="A231" s="104">
        <f>IF(Setup!$A77="","",Setup!$A77)</f>
        <v/>
      </c>
      <c r="B231" s="105">
        <f>IF($A231="","",Setup!$B77)</f>
        <v/>
      </c>
      <c r="C231" s="106">
        <f>IF($A231="","",IF(COUNTIFS(Trips!$Z5:$Z1004,$R231,Trips!$D5:$D1004,$A231)+COUNTIFS(Trips!$Z5:$Z1004,$R231,Trips!$E5:$E1004,$A231)=0,"",COUNTIFS(Trips!$Z5:$Z1004,$R231,Trips!$D5:$D1004,$A231)+COUNTIFS(Trips!$Z5:$Z1004,$R231,Trips!$E5:$E1004,$A231)))</f>
        <v/>
      </c>
      <c r="D231" s="107">
        <f>IF($C231="","",SUMIFS(Trips!$K5:$K1004,Trips!$Z5:$Z1004,$R231,Trips!$D5:$D1004,$A231)+SUMIFS(Trips!$K5:$K1004,Trips!$Z5:$Z1004,$R231,Trips!$E5:$E1004,$A231))</f>
        <v/>
      </c>
      <c r="E231" s="108">
        <f>IF($C231="","",SUMIFS(Trips!$N5:$N1004,Trips!$Z5:$Z1004,$R231,Trips!$D5:$D1004,$A231)+SUMIFS(Trips!$O5:$O1004,Trips!$Z5:$Z1004,$R231,Trips!$E5:$E1004,$A231))</f>
        <v/>
      </c>
      <c r="F231" s="109">
        <f>IF($C231="","",SUMIFS(Trips!$P5:$P1004,Trips!$Z5:$Z1004,$R231,Trips!$D5:$D1004,$A231))</f>
        <v/>
      </c>
      <c r="G231" s="109">
        <f>IF($C231="","",SUMIFS(Trips!$Q5:$Q1004,Trips!$Z5:$Z1004,$R231,Trips!$D5:$D1004,$A231))</f>
        <v/>
      </c>
      <c r="H231" s="108">
        <f>IF(AND($C231="",$I231="",$J231=""),"",N($E231)+N($F231)+N($G231))</f>
        <v/>
      </c>
      <c r="I231" s="109">
        <f>IF($A231="","",IFERROR(1/(1/SUMIFS(Expenses!$F5:$F1004,Expenses!$L5:$L1004,"ADV",Expenses!$J5:$J1004,$R231,Expenses!$E5:$E1004,$A231)),""))</f>
        <v/>
      </c>
      <c r="J231" s="109">
        <f>IF($A231="","",IFERROR(1/(1/SUMIFS(Expenses!$F5:$F1004,Expenses!$L5:$L1004,"PAY",Expenses!$J5:$J1004,$R231,Expenses!$E5:$E1004,$A231)),""))</f>
        <v/>
      </c>
      <c r="K231" s="110">
        <f>IF($H231="","",N($H231)-N($I231)-N($J231))</f>
        <v/>
      </c>
      <c r="L231" s="111">
        <f>IF($K231="","",IF($K231&gt;0.5,"TO PAY",IF($K231&lt;-0.5,"ADVANCE / OWES","SETTLED")))</f>
        <v/>
      </c>
      <c r="R231" s="112" t="n">
        <v>46508</v>
      </c>
    </row>
    <row r="232">
      <c r="A232" s="104">
        <f>IF(Setup!$A78="","",Setup!$A78)</f>
        <v/>
      </c>
      <c r="B232" s="105">
        <f>IF($A232="","",Setup!$B78)</f>
        <v/>
      </c>
      <c r="C232" s="106">
        <f>IF($A232="","",IF(COUNTIFS(Trips!$Z5:$Z1004,$R232,Trips!$D5:$D1004,$A232)+COUNTIFS(Trips!$Z5:$Z1004,$R232,Trips!$E5:$E1004,$A232)=0,"",COUNTIFS(Trips!$Z5:$Z1004,$R232,Trips!$D5:$D1004,$A232)+COUNTIFS(Trips!$Z5:$Z1004,$R232,Trips!$E5:$E1004,$A232)))</f>
        <v/>
      </c>
      <c r="D232" s="107">
        <f>IF($C232="","",SUMIFS(Trips!$K5:$K1004,Trips!$Z5:$Z1004,$R232,Trips!$D5:$D1004,$A232)+SUMIFS(Trips!$K5:$K1004,Trips!$Z5:$Z1004,$R232,Trips!$E5:$E1004,$A232))</f>
        <v/>
      </c>
      <c r="E232" s="108">
        <f>IF($C232="","",SUMIFS(Trips!$N5:$N1004,Trips!$Z5:$Z1004,$R232,Trips!$D5:$D1004,$A232)+SUMIFS(Trips!$O5:$O1004,Trips!$Z5:$Z1004,$R232,Trips!$E5:$E1004,$A232))</f>
        <v/>
      </c>
      <c r="F232" s="109">
        <f>IF($C232="","",SUMIFS(Trips!$P5:$P1004,Trips!$Z5:$Z1004,$R232,Trips!$D5:$D1004,$A232))</f>
        <v/>
      </c>
      <c r="G232" s="109">
        <f>IF($C232="","",SUMIFS(Trips!$Q5:$Q1004,Trips!$Z5:$Z1004,$R232,Trips!$D5:$D1004,$A232))</f>
        <v/>
      </c>
      <c r="H232" s="108">
        <f>IF(AND($C232="",$I232="",$J232=""),"",N($E232)+N($F232)+N($G232))</f>
        <v/>
      </c>
      <c r="I232" s="109">
        <f>IF($A232="","",IFERROR(1/(1/SUMIFS(Expenses!$F5:$F1004,Expenses!$L5:$L1004,"ADV",Expenses!$J5:$J1004,$R232,Expenses!$E5:$E1004,$A232)),""))</f>
        <v/>
      </c>
      <c r="J232" s="109">
        <f>IF($A232="","",IFERROR(1/(1/SUMIFS(Expenses!$F5:$F1004,Expenses!$L5:$L1004,"PAY",Expenses!$J5:$J1004,$R232,Expenses!$E5:$E1004,$A232)),""))</f>
        <v/>
      </c>
      <c r="K232" s="110">
        <f>IF($H232="","",N($H232)-N($I232)-N($J232))</f>
        <v/>
      </c>
      <c r="L232" s="111">
        <f>IF($K232="","",IF($K232&gt;0.5,"TO PAY",IF($K232&lt;-0.5,"ADVANCE / OWES","SETTLED")))</f>
        <v/>
      </c>
      <c r="R232" s="112" t="n">
        <v>46508</v>
      </c>
    </row>
    <row r="233">
      <c r="A233" s="104">
        <f>IF(Setup!$A79="","",Setup!$A79)</f>
        <v/>
      </c>
      <c r="B233" s="105">
        <f>IF($A233="","",Setup!$B79)</f>
        <v/>
      </c>
      <c r="C233" s="106">
        <f>IF($A233="","",IF(COUNTIFS(Trips!$Z5:$Z1004,$R233,Trips!$D5:$D1004,$A233)+COUNTIFS(Trips!$Z5:$Z1004,$R233,Trips!$E5:$E1004,$A233)=0,"",COUNTIFS(Trips!$Z5:$Z1004,$R233,Trips!$D5:$D1004,$A233)+COUNTIFS(Trips!$Z5:$Z1004,$R233,Trips!$E5:$E1004,$A233)))</f>
        <v/>
      </c>
      <c r="D233" s="107">
        <f>IF($C233="","",SUMIFS(Trips!$K5:$K1004,Trips!$Z5:$Z1004,$R233,Trips!$D5:$D1004,$A233)+SUMIFS(Trips!$K5:$K1004,Trips!$Z5:$Z1004,$R233,Trips!$E5:$E1004,$A233))</f>
        <v/>
      </c>
      <c r="E233" s="108">
        <f>IF($C233="","",SUMIFS(Trips!$N5:$N1004,Trips!$Z5:$Z1004,$R233,Trips!$D5:$D1004,$A233)+SUMIFS(Trips!$O5:$O1004,Trips!$Z5:$Z1004,$R233,Trips!$E5:$E1004,$A233))</f>
        <v/>
      </c>
      <c r="F233" s="109">
        <f>IF($C233="","",SUMIFS(Trips!$P5:$P1004,Trips!$Z5:$Z1004,$R233,Trips!$D5:$D1004,$A233))</f>
        <v/>
      </c>
      <c r="G233" s="109">
        <f>IF($C233="","",SUMIFS(Trips!$Q5:$Q1004,Trips!$Z5:$Z1004,$R233,Trips!$D5:$D1004,$A233))</f>
        <v/>
      </c>
      <c r="H233" s="108">
        <f>IF(AND($C233="",$I233="",$J233=""),"",N($E233)+N($F233)+N($G233))</f>
        <v/>
      </c>
      <c r="I233" s="109">
        <f>IF($A233="","",IFERROR(1/(1/SUMIFS(Expenses!$F5:$F1004,Expenses!$L5:$L1004,"ADV",Expenses!$J5:$J1004,$R233,Expenses!$E5:$E1004,$A233)),""))</f>
        <v/>
      </c>
      <c r="J233" s="109">
        <f>IF($A233="","",IFERROR(1/(1/SUMIFS(Expenses!$F5:$F1004,Expenses!$L5:$L1004,"PAY",Expenses!$J5:$J1004,$R233,Expenses!$E5:$E1004,$A233)),""))</f>
        <v/>
      </c>
      <c r="K233" s="110">
        <f>IF($H233="","",N($H233)-N($I233)-N($J233))</f>
        <v/>
      </c>
      <c r="L233" s="111">
        <f>IF($K233="","",IF($K233&gt;0.5,"TO PAY",IF($K233&lt;-0.5,"ADVANCE / OWES","SETTLED")))</f>
        <v/>
      </c>
      <c r="R233" s="112" t="n">
        <v>46508</v>
      </c>
    </row>
    <row r="234">
      <c r="A234" s="104">
        <f>IF(Setup!$A80="","",Setup!$A80)</f>
        <v/>
      </c>
      <c r="B234" s="105">
        <f>IF($A234="","",Setup!$B80)</f>
        <v/>
      </c>
      <c r="C234" s="106">
        <f>IF($A234="","",IF(COUNTIFS(Trips!$Z5:$Z1004,$R234,Trips!$D5:$D1004,$A234)+COUNTIFS(Trips!$Z5:$Z1004,$R234,Trips!$E5:$E1004,$A234)=0,"",COUNTIFS(Trips!$Z5:$Z1004,$R234,Trips!$D5:$D1004,$A234)+COUNTIFS(Trips!$Z5:$Z1004,$R234,Trips!$E5:$E1004,$A234)))</f>
        <v/>
      </c>
      <c r="D234" s="107">
        <f>IF($C234="","",SUMIFS(Trips!$K5:$K1004,Trips!$Z5:$Z1004,$R234,Trips!$D5:$D1004,$A234)+SUMIFS(Trips!$K5:$K1004,Trips!$Z5:$Z1004,$R234,Trips!$E5:$E1004,$A234))</f>
        <v/>
      </c>
      <c r="E234" s="108">
        <f>IF($C234="","",SUMIFS(Trips!$N5:$N1004,Trips!$Z5:$Z1004,$R234,Trips!$D5:$D1004,$A234)+SUMIFS(Trips!$O5:$O1004,Trips!$Z5:$Z1004,$R234,Trips!$E5:$E1004,$A234))</f>
        <v/>
      </c>
      <c r="F234" s="109">
        <f>IF($C234="","",SUMIFS(Trips!$P5:$P1004,Trips!$Z5:$Z1004,$R234,Trips!$D5:$D1004,$A234))</f>
        <v/>
      </c>
      <c r="G234" s="109">
        <f>IF($C234="","",SUMIFS(Trips!$Q5:$Q1004,Trips!$Z5:$Z1004,$R234,Trips!$D5:$D1004,$A234))</f>
        <v/>
      </c>
      <c r="H234" s="108">
        <f>IF(AND($C234="",$I234="",$J234=""),"",N($E234)+N($F234)+N($G234))</f>
        <v/>
      </c>
      <c r="I234" s="109">
        <f>IF($A234="","",IFERROR(1/(1/SUMIFS(Expenses!$F5:$F1004,Expenses!$L5:$L1004,"ADV",Expenses!$J5:$J1004,$R234,Expenses!$E5:$E1004,$A234)),""))</f>
        <v/>
      </c>
      <c r="J234" s="109">
        <f>IF($A234="","",IFERROR(1/(1/SUMIFS(Expenses!$F5:$F1004,Expenses!$L5:$L1004,"PAY",Expenses!$J5:$J1004,$R234,Expenses!$E5:$E1004,$A234)),""))</f>
        <v/>
      </c>
      <c r="K234" s="110">
        <f>IF($H234="","",N($H234)-N($I234)-N($J234))</f>
        <v/>
      </c>
      <c r="L234" s="111">
        <f>IF($K234="","",IF($K234&gt;0.5,"TO PAY",IF($K234&lt;-0.5,"ADVANCE / OWES","SETTLED")))</f>
        <v/>
      </c>
      <c r="R234" s="112" t="n">
        <v>46508</v>
      </c>
    </row>
    <row r="235">
      <c r="A235" s="104">
        <f>IF(Setup!$A81="","",Setup!$A81)</f>
        <v/>
      </c>
      <c r="B235" s="105">
        <f>IF($A235="","",Setup!$B81)</f>
        <v/>
      </c>
      <c r="C235" s="106">
        <f>IF($A235="","",IF(COUNTIFS(Trips!$Z5:$Z1004,$R235,Trips!$D5:$D1004,$A235)+COUNTIFS(Trips!$Z5:$Z1004,$R235,Trips!$E5:$E1004,$A235)=0,"",COUNTIFS(Trips!$Z5:$Z1004,$R235,Trips!$D5:$D1004,$A235)+COUNTIFS(Trips!$Z5:$Z1004,$R235,Trips!$E5:$E1004,$A235)))</f>
        <v/>
      </c>
      <c r="D235" s="107">
        <f>IF($C235="","",SUMIFS(Trips!$K5:$K1004,Trips!$Z5:$Z1004,$R235,Trips!$D5:$D1004,$A235)+SUMIFS(Trips!$K5:$K1004,Trips!$Z5:$Z1004,$R235,Trips!$E5:$E1004,$A235))</f>
        <v/>
      </c>
      <c r="E235" s="108">
        <f>IF($C235="","",SUMIFS(Trips!$N5:$N1004,Trips!$Z5:$Z1004,$R235,Trips!$D5:$D1004,$A235)+SUMIFS(Trips!$O5:$O1004,Trips!$Z5:$Z1004,$R235,Trips!$E5:$E1004,$A235))</f>
        <v/>
      </c>
      <c r="F235" s="109">
        <f>IF($C235="","",SUMIFS(Trips!$P5:$P1004,Trips!$Z5:$Z1004,$R235,Trips!$D5:$D1004,$A235))</f>
        <v/>
      </c>
      <c r="G235" s="109">
        <f>IF($C235="","",SUMIFS(Trips!$Q5:$Q1004,Trips!$Z5:$Z1004,$R235,Trips!$D5:$D1004,$A235))</f>
        <v/>
      </c>
      <c r="H235" s="108">
        <f>IF(AND($C235="",$I235="",$J235=""),"",N($E235)+N($F235)+N($G235))</f>
        <v/>
      </c>
      <c r="I235" s="109">
        <f>IF($A235="","",IFERROR(1/(1/SUMIFS(Expenses!$F5:$F1004,Expenses!$L5:$L1004,"ADV",Expenses!$J5:$J1004,$R235,Expenses!$E5:$E1004,$A235)),""))</f>
        <v/>
      </c>
      <c r="J235" s="109">
        <f>IF($A235="","",IFERROR(1/(1/SUMIFS(Expenses!$F5:$F1004,Expenses!$L5:$L1004,"PAY",Expenses!$J5:$J1004,$R235,Expenses!$E5:$E1004,$A235)),""))</f>
        <v/>
      </c>
      <c r="K235" s="110">
        <f>IF($H235="","",N($H235)-N($I235)-N($J235))</f>
        <v/>
      </c>
      <c r="L235" s="111">
        <f>IF($K235="","",IF($K235&gt;0.5,"TO PAY",IF($K235&lt;-0.5,"ADVANCE / OWES","SETTLED")))</f>
        <v/>
      </c>
      <c r="R235" s="112" t="n">
        <v>46508</v>
      </c>
    </row>
    <row r="236">
      <c r="A236" s="104">
        <f>IF(Setup!$A82="","",Setup!$A82)</f>
        <v/>
      </c>
      <c r="B236" s="105">
        <f>IF($A236="","",Setup!$B82)</f>
        <v/>
      </c>
      <c r="C236" s="106">
        <f>IF($A236="","",IF(COUNTIFS(Trips!$Z5:$Z1004,$R236,Trips!$D5:$D1004,$A236)+COUNTIFS(Trips!$Z5:$Z1004,$R236,Trips!$E5:$E1004,$A236)=0,"",COUNTIFS(Trips!$Z5:$Z1004,$R236,Trips!$D5:$D1004,$A236)+COUNTIFS(Trips!$Z5:$Z1004,$R236,Trips!$E5:$E1004,$A236)))</f>
        <v/>
      </c>
      <c r="D236" s="107">
        <f>IF($C236="","",SUMIFS(Trips!$K5:$K1004,Trips!$Z5:$Z1004,$R236,Trips!$D5:$D1004,$A236)+SUMIFS(Trips!$K5:$K1004,Trips!$Z5:$Z1004,$R236,Trips!$E5:$E1004,$A236))</f>
        <v/>
      </c>
      <c r="E236" s="108">
        <f>IF($C236="","",SUMIFS(Trips!$N5:$N1004,Trips!$Z5:$Z1004,$R236,Trips!$D5:$D1004,$A236)+SUMIFS(Trips!$O5:$O1004,Trips!$Z5:$Z1004,$R236,Trips!$E5:$E1004,$A236))</f>
        <v/>
      </c>
      <c r="F236" s="109">
        <f>IF($C236="","",SUMIFS(Trips!$P5:$P1004,Trips!$Z5:$Z1004,$R236,Trips!$D5:$D1004,$A236))</f>
        <v/>
      </c>
      <c r="G236" s="109">
        <f>IF($C236="","",SUMIFS(Trips!$Q5:$Q1004,Trips!$Z5:$Z1004,$R236,Trips!$D5:$D1004,$A236))</f>
        <v/>
      </c>
      <c r="H236" s="108">
        <f>IF(AND($C236="",$I236="",$J236=""),"",N($E236)+N($F236)+N($G236))</f>
        <v/>
      </c>
      <c r="I236" s="109">
        <f>IF($A236="","",IFERROR(1/(1/SUMIFS(Expenses!$F5:$F1004,Expenses!$L5:$L1004,"ADV",Expenses!$J5:$J1004,$R236,Expenses!$E5:$E1004,$A236)),""))</f>
        <v/>
      </c>
      <c r="J236" s="109">
        <f>IF($A236="","",IFERROR(1/(1/SUMIFS(Expenses!$F5:$F1004,Expenses!$L5:$L1004,"PAY",Expenses!$J5:$J1004,$R236,Expenses!$E5:$E1004,$A236)),""))</f>
        <v/>
      </c>
      <c r="K236" s="110">
        <f>IF($H236="","",N($H236)-N($I236)-N($J236))</f>
        <v/>
      </c>
      <c r="L236" s="111">
        <f>IF($K236="","",IF($K236&gt;0.5,"TO PAY",IF($K236&lt;-0.5,"ADVANCE / OWES","SETTLED")))</f>
        <v/>
      </c>
      <c r="R236" s="112" t="n">
        <v>46508</v>
      </c>
    </row>
    <row r="237">
      <c r="A237" s="104">
        <f>IF(Setup!$A83="","",Setup!$A83)</f>
        <v/>
      </c>
      <c r="B237" s="105">
        <f>IF($A237="","",Setup!$B83)</f>
        <v/>
      </c>
      <c r="C237" s="106">
        <f>IF($A237="","",IF(COUNTIFS(Trips!$Z5:$Z1004,$R237,Trips!$D5:$D1004,$A237)+COUNTIFS(Trips!$Z5:$Z1004,$R237,Trips!$E5:$E1004,$A237)=0,"",COUNTIFS(Trips!$Z5:$Z1004,$R237,Trips!$D5:$D1004,$A237)+COUNTIFS(Trips!$Z5:$Z1004,$R237,Trips!$E5:$E1004,$A237)))</f>
        <v/>
      </c>
      <c r="D237" s="107">
        <f>IF($C237="","",SUMIFS(Trips!$K5:$K1004,Trips!$Z5:$Z1004,$R237,Trips!$D5:$D1004,$A237)+SUMIFS(Trips!$K5:$K1004,Trips!$Z5:$Z1004,$R237,Trips!$E5:$E1004,$A237))</f>
        <v/>
      </c>
      <c r="E237" s="108">
        <f>IF($C237="","",SUMIFS(Trips!$N5:$N1004,Trips!$Z5:$Z1004,$R237,Trips!$D5:$D1004,$A237)+SUMIFS(Trips!$O5:$O1004,Trips!$Z5:$Z1004,$R237,Trips!$E5:$E1004,$A237))</f>
        <v/>
      </c>
      <c r="F237" s="109">
        <f>IF($C237="","",SUMIFS(Trips!$P5:$P1004,Trips!$Z5:$Z1004,$R237,Trips!$D5:$D1004,$A237))</f>
        <v/>
      </c>
      <c r="G237" s="109">
        <f>IF($C237="","",SUMIFS(Trips!$Q5:$Q1004,Trips!$Z5:$Z1004,$R237,Trips!$D5:$D1004,$A237))</f>
        <v/>
      </c>
      <c r="H237" s="108">
        <f>IF(AND($C237="",$I237="",$J237=""),"",N($E237)+N($F237)+N($G237))</f>
        <v/>
      </c>
      <c r="I237" s="109">
        <f>IF($A237="","",IFERROR(1/(1/SUMIFS(Expenses!$F5:$F1004,Expenses!$L5:$L1004,"ADV",Expenses!$J5:$J1004,$R237,Expenses!$E5:$E1004,$A237)),""))</f>
        <v/>
      </c>
      <c r="J237" s="109">
        <f>IF($A237="","",IFERROR(1/(1/SUMIFS(Expenses!$F5:$F1004,Expenses!$L5:$L1004,"PAY",Expenses!$J5:$J1004,$R237,Expenses!$E5:$E1004,$A237)),""))</f>
        <v/>
      </c>
      <c r="K237" s="110">
        <f>IF($H237="","",N($H237)-N($I237)-N($J237))</f>
        <v/>
      </c>
      <c r="L237" s="111">
        <f>IF($K237="","",IF($K237&gt;0.5,"TO PAY",IF($K237&lt;-0.5,"ADVANCE / OWES","SETTLED")))</f>
        <v/>
      </c>
      <c r="R237" s="112" t="n">
        <v>46508</v>
      </c>
    </row>
    <row r="238">
      <c r="A238" s="104">
        <f>IF(Setup!$A84="","",Setup!$A84)</f>
        <v/>
      </c>
      <c r="B238" s="105">
        <f>IF($A238="","",Setup!$B84)</f>
        <v/>
      </c>
      <c r="C238" s="106">
        <f>IF($A238="","",IF(COUNTIFS(Trips!$Z5:$Z1004,$R238,Trips!$D5:$D1004,$A238)+COUNTIFS(Trips!$Z5:$Z1004,$R238,Trips!$E5:$E1004,$A238)=0,"",COUNTIFS(Trips!$Z5:$Z1004,$R238,Trips!$D5:$D1004,$A238)+COUNTIFS(Trips!$Z5:$Z1004,$R238,Trips!$E5:$E1004,$A238)))</f>
        <v/>
      </c>
      <c r="D238" s="107">
        <f>IF($C238="","",SUMIFS(Trips!$K5:$K1004,Trips!$Z5:$Z1004,$R238,Trips!$D5:$D1004,$A238)+SUMIFS(Trips!$K5:$K1004,Trips!$Z5:$Z1004,$R238,Trips!$E5:$E1004,$A238))</f>
        <v/>
      </c>
      <c r="E238" s="108">
        <f>IF($C238="","",SUMIFS(Trips!$N5:$N1004,Trips!$Z5:$Z1004,$R238,Trips!$D5:$D1004,$A238)+SUMIFS(Trips!$O5:$O1004,Trips!$Z5:$Z1004,$R238,Trips!$E5:$E1004,$A238))</f>
        <v/>
      </c>
      <c r="F238" s="109">
        <f>IF($C238="","",SUMIFS(Trips!$P5:$P1004,Trips!$Z5:$Z1004,$R238,Trips!$D5:$D1004,$A238))</f>
        <v/>
      </c>
      <c r="G238" s="109">
        <f>IF($C238="","",SUMIFS(Trips!$Q5:$Q1004,Trips!$Z5:$Z1004,$R238,Trips!$D5:$D1004,$A238))</f>
        <v/>
      </c>
      <c r="H238" s="108">
        <f>IF(AND($C238="",$I238="",$J238=""),"",N($E238)+N($F238)+N($G238))</f>
        <v/>
      </c>
      <c r="I238" s="109">
        <f>IF($A238="","",IFERROR(1/(1/SUMIFS(Expenses!$F5:$F1004,Expenses!$L5:$L1004,"ADV",Expenses!$J5:$J1004,$R238,Expenses!$E5:$E1004,$A238)),""))</f>
        <v/>
      </c>
      <c r="J238" s="109">
        <f>IF($A238="","",IFERROR(1/(1/SUMIFS(Expenses!$F5:$F1004,Expenses!$L5:$L1004,"PAY",Expenses!$J5:$J1004,$R238,Expenses!$E5:$E1004,$A238)),""))</f>
        <v/>
      </c>
      <c r="K238" s="110">
        <f>IF($H238="","",N($H238)-N($I238)-N($J238))</f>
        <v/>
      </c>
      <c r="L238" s="111">
        <f>IF($K238="","",IF($K238&gt;0.5,"TO PAY",IF($K238&lt;-0.5,"ADVANCE / OWES","SETTLED")))</f>
        <v/>
      </c>
      <c r="R238" s="112" t="n">
        <v>46508</v>
      </c>
    </row>
    <row r="239">
      <c r="A239" s="104">
        <f>IF(Setup!$A85="","",Setup!$A85)</f>
        <v/>
      </c>
      <c r="B239" s="105">
        <f>IF($A239="","",Setup!$B85)</f>
        <v/>
      </c>
      <c r="C239" s="106">
        <f>IF($A239="","",IF(COUNTIFS(Trips!$Z5:$Z1004,$R239,Trips!$D5:$D1004,$A239)+COUNTIFS(Trips!$Z5:$Z1004,$R239,Trips!$E5:$E1004,$A239)=0,"",COUNTIFS(Trips!$Z5:$Z1004,$R239,Trips!$D5:$D1004,$A239)+COUNTIFS(Trips!$Z5:$Z1004,$R239,Trips!$E5:$E1004,$A239)))</f>
        <v/>
      </c>
      <c r="D239" s="107">
        <f>IF($C239="","",SUMIFS(Trips!$K5:$K1004,Trips!$Z5:$Z1004,$R239,Trips!$D5:$D1004,$A239)+SUMIFS(Trips!$K5:$K1004,Trips!$Z5:$Z1004,$R239,Trips!$E5:$E1004,$A239))</f>
        <v/>
      </c>
      <c r="E239" s="108">
        <f>IF($C239="","",SUMIFS(Trips!$N5:$N1004,Trips!$Z5:$Z1004,$R239,Trips!$D5:$D1004,$A239)+SUMIFS(Trips!$O5:$O1004,Trips!$Z5:$Z1004,$R239,Trips!$E5:$E1004,$A239))</f>
        <v/>
      </c>
      <c r="F239" s="109">
        <f>IF($C239="","",SUMIFS(Trips!$P5:$P1004,Trips!$Z5:$Z1004,$R239,Trips!$D5:$D1004,$A239))</f>
        <v/>
      </c>
      <c r="G239" s="109">
        <f>IF($C239="","",SUMIFS(Trips!$Q5:$Q1004,Trips!$Z5:$Z1004,$R239,Trips!$D5:$D1004,$A239))</f>
        <v/>
      </c>
      <c r="H239" s="108">
        <f>IF(AND($C239="",$I239="",$J239=""),"",N($E239)+N($F239)+N($G239))</f>
        <v/>
      </c>
      <c r="I239" s="109">
        <f>IF($A239="","",IFERROR(1/(1/SUMIFS(Expenses!$F5:$F1004,Expenses!$L5:$L1004,"ADV",Expenses!$J5:$J1004,$R239,Expenses!$E5:$E1004,$A239)),""))</f>
        <v/>
      </c>
      <c r="J239" s="109">
        <f>IF($A239="","",IFERROR(1/(1/SUMIFS(Expenses!$F5:$F1004,Expenses!$L5:$L1004,"PAY",Expenses!$J5:$J1004,$R239,Expenses!$E5:$E1004,$A239)),""))</f>
        <v/>
      </c>
      <c r="K239" s="110">
        <f>IF($H239="","",N($H239)-N($I239)-N($J239))</f>
        <v/>
      </c>
      <c r="L239" s="111">
        <f>IF($K239="","",IF($K239&gt;0.5,"TO PAY",IF($K239&lt;-0.5,"ADVANCE / OWES","SETTLED")))</f>
        <v/>
      </c>
      <c r="R239" s="112" t="n">
        <v>46508</v>
      </c>
    </row>
    <row r="240">
      <c r="A240" s="104">
        <f>IF(Setup!$A86="","",Setup!$A86)</f>
        <v/>
      </c>
      <c r="B240" s="105">
        <f>IF($A240="","",Setup!$B86)</f>
        <v/>
      </c>
      <c r="C240" s="106">
        <f>IF($A240="","",IF(COUNTIFS(Trips!$Z5:$Z1004,$R240,Trips!$D5:$D1004,$A240)+COUNTIFS(Trips!$Z5:$Z1004,$R240,Trips!$E5:$E1004,$A240)=0,"",COUNTIFS(Trips!$Z5:$Z1004,$R240,Trips!$D5:$D1004,$A240)+COUNTIFS(Trips!$Z5:$Z1004,$R240,Trips!$E5:$E1004,$A240)))</f>
        <v/>
      </c>
      <c r="D240" s="107">
        <f>IF($C240="","",SUMIFS(Trips!$K5:$K1004,Trips!$Z5:$Z1004,$R240,Trips!$D5:$D1004,$A240)+SUMIFS(Trips!$K5:$K1004,Trips!$Z5:$Z1004,$R240,Trips!$E5:$E1004,$A240))</f>
        <v/>
      </c>
      <c r="E240" s="108">
        <f>IF($C240="","",SUMIFS(Trips!$N5:$N1004,Trips!$Z5:$Z1004,$R240,Trips!$D5:$D1004,$A240)+SUMIFS(Trips!$O5:$O1004,Trips!$Z5:$Z1004,$R240,Trips!$E5:$E1004,$A240))</f>
        <v/>
      </c>
      <c r="F240" s="109">
        <f>IF($C240="","",SUMIFS(Trips!$P5:$P1004,Trips!$Z5:$Z1004,$R240,Trips!$D5:$D1004,$A240))</f>
        <v/>
      </c>
      <c r="G240" s="109">
        <f>IF($C240="","",SUMIFS(Trips!$Q5:$Q1004,Trips!$Z5:$Z1004,$R240,Trips!$D5:$D1004,$A240))</f>
        <v/>
      </c>
      <c r="H240" s="108">
        <f>IF(AND($C240="",$I240="",$J240=""),"",N($E240)+N($F240)+N($G240))</f>
        <v/>
      </c>
      <c r="I240" s="109">
        <f>IF($A240="","",IFERROR(1/(1/SUMIFS(Expenses!$F5:$F1004,Expenses!$L5:$L1004,"ADV",Expenses!$J5:$J1004,$R240,Expenses!$E5:$E1004,$A240)),""))</f>
        <v/>
      </c>
      <c r="J240" s="109">
        <f>IF($A240="","",IFERROR(1/(1/SUMIFS(Expenses!$F5:$F1004,Expenses!$L5:$L1004,"PAY",Expenses!$J5:$J1004,$R240,Expenses!$E5:$E1004,$A240)),""))</f>
        <v/>
      </c>
      <c r="K240" s="110">
        <f>IF($H240="","",N($H240)-N($I240)-N($J240))</f>
        <v/>
      </c>
      <c r="L240" s="111">
        <f>IF($K240="","",IF($K240&gt;0.5,"TO PAY",IF($K240&lt;-0.5,"ADVANCE / OWES","SETTLED")))</f>
        <v/>
      </c>
      <c r="R240" s="112" t="n">
        <v>46508</v>
      </c>
    </row>
    <row r="241">
      <c r="A241" s="104">
        <f>IF(Setup!$A87="","",Setup!$A87)</f>
        <v/>
      </c>
      <c r="B241" s="105">
        <f>IF($A241="","",Setup!$B87)</f>
        <v/>
      </c>
      <c r="C241" s="106">
        <f>IF($A241="","",IF(COUNTIFS(Trips!$Z5:$Z1004,$R241,Trips!$D5:$D1004,$A241)+COUNTIFS(Trips!$Z5:$Z1004,$R241,Trips!$E5:$E1004,$A241)=0,"",COUNTIFS(Trips!$Z5:$Z1004,$R241,Trips!$D5:$D1004,$A241)+COUNTIFS(Trips!$Z5:$Z1004,$R241,Trips!$E5:$E1004,$A241)))</f>
        <v/>
      </c>
      <c r="D241" s="107">
        <f>IF($C241="","",SUMIFS(Trips!$K5:$K1004,Trips!$Z5:$Z1004,$R241,Trips!$D5:$D1004,$A241)+SUMIFS(Trips!$K5:$K1004,Trips!$Z5:$Z1004,$R241,Trips!$E5:$E1004,$A241))</f>
        <v/>
      </c>
      <c r="E241" s="108">
        <f>IF($C241="","",SUMIFS(Trips!$N5:$N1004,Trips!$Z5:$Z1004,$R241,Trips!$D5:$D1004,$A241)+SUMIFS(Trips!$O5:$O1004,Trips!$Z5:$Z1004,$R241,Trips!$E5:$E1004,$A241))</f>
        <v/>
      </c>
      <c r="F241" s="109">
        <f>IF($C241="","",SUMIFS(Trips!$P5:$P1004,Trips!$Z5:$Z1004,$R241,Trips!$D5:$D1004,$A241))</f>
        <v/>
      </c>
      <c r="G241" s="109">
        <f>IF($C241="","",SUMIFS(Trips!$Q5:$Q1004,Trips!$Z5:$Z1004,$R241,Trips!$D5:$D1004,$A241))</f>
        <v/>
      </c>
      <c r="H241" s="108">
        <f>IF(AND($C241="",$I241="",$J241=""),"",N($E241)+N($F241)+N($G241))</f>
        <v/>
      </c>
      <c r="I241" s="109">
        <f>IF($A241="","",IFERROR(1/(1/SUMIFS(Expenses!$F5:$F1004,Expenses!$L5:$L1004,"ADV",Expenses!$J5:$J1004,$R241,Expenses!$E5:$E1004,$A241)),""))</f>
        <v/>
      </c>
      <c r="J241" s="109">
        <f>IF($A241="","",IFERROR(1/(1/SUMIFS(Expenses!$F5:$F1004,Expenses!$L5:$L1004,"PAY",Expenses!$J5:$J1004,$R241,Expenses!$E5:$E1004,$A241)),""))</f>
        <v/>
      </c>
      <c r="K241" s="110">
        <f>IF($H241="","",N($H241)-N($I241)-N($J241))</f>
        <v/>
      </c>
      <c r="L241" s="111">
        <f>IF($K241="","",IF($K241&gt;0.5,"TO PAY",IF($K241&lt;-0.5,"ADVANCE / OWES","SETTLED")))</f>
        <v/>
      </c>
      <c r="R241" s="112" t="n">
        <v>46508</v>
      </c>
    </row>
    <row r="242">
      <c r="A242" s="113" t="inlineStr">
        <is>
          <t>MONTH TOTAL</t>
        </is>
      </c>
      <c r="B242" s="114" t="n"/>
      <c r="C242" s="115">
        <f>IF(COUNT(C230:C241)=0,"",SUM(C230:C241))</f>
        <v/>
      </c>
      <c r="D242" s="116">
        <f>IF(COUNT(D230:D241)=0,"",SUM(D230:D241))</f>
        <v/>
      </c>
      <c r="E242" s="117">
        <f>IF(COUNT(E230:E241)=0,"",SUM(E230:E241))</f>
        <v/>
      </c>
      <c r="F242" s="117">
        <f>IF(COUNT(F230:F241)=0,"",SUM(F230:F241))</f>
        <v/>
      </c>
      <c r="G242" s="117">
        <f>IF(COUNT(G230:G241)=0,"",SUM(G230:G241))</f>
        <v/>
      </c>
      <c r="H242" s="117">
        <f>IF(COUNT(H230:H241)=0,"",SUM(H230:H241))</f>
        <v/>
      </c>
      <c r="I242" s="117">
        <f>IF(COUNT(I230:I241)=0,"",SUM(I230:I241))</f>
        <v/>
      </c>
      <c r="J242" s="117">
        <f>IF(COUNT(J230:J241)=0,"",SUM(J230:J241))</f>
        <v/>
      </c>
      <c r="K242" s="117">
        <f>IF(COUNT(K230:K241)=0,"",SUM(K230:K241))</f>
        <v/>
      </c>
      <c r="L242" s="118" t="n"/>
    </row>
    <row r="243" ht="24" customHeight="1">
      <c r="A243" s="103" t="inlineStr">
        <is>
          <t>JUNE 2027   ·   crew earnings &amp; settlement</t>
        </is>
      </c>
    </row>
    <row r="244">
      <c r="A244" s="104">
        <f>IF(Setup!$A76="","",Setup!$A76)</f>
        <v/>
      </c>
      <c r="B244" s="105">
        <f>IF($A244="","",Setup!$B76)</f>
        <v/>
      </c>
      <c r="C244" s="106">
        <f>IF($A244="","",IF(COUNTIFS(Trips!$Z5:$Z1004,$R244,Trips!$D5:$D1004,$A244)+COUNTIFS(Trips!$Z5:$Z1004,$R244,Trips!$E5:$E1004,$A244)=0,"",COUNTIFS(Trips!$Z5:$Z1004,$R244,Trips!$D5:$D1004,$A244)+COUNTIFS(Trips!$Z5:$Z1004,$R244,Trips!$E5:$E1004,$A244)))</f>
        <v/>
      </c>
      <c r="D244" s="107">
        <f>IF($C244="","",SUMIFS(Trips!$K5:$K1004,Trips!$Z5:$Z1004,$R244,Trips!$D5:$D1004,$A244)+SUMIFS(Trips!$K5:$K1004,Trips!$Z5:$Z1004,$R244,Trips!$E5:$E1004,$A244))</f>
        <v/>
      </c>
      <c r="E244" s="108">
        <f>IF($C244="","",SUMIFS(Trips!$N5:$N1004,Trips!$Z5:$Z1004,$R244,Trips!$D5:$D1004,$A244)+SUMIFS(Trips!$O5:$O1004,Trips!$Z5:$Z1004,$R244,Trips!$E5:$E1004,$A244))</f>
        <v/>
      </c>
      <c r="F244" s="109">
        <f>IF($C244="","",SUMIFS(Trips!$P5:$P1004,Trips!$Z5:$Z1004,$R244,Trips!$D5:$D1004,$A244))</f>
        <v/>
      </c>
      <c r="G244" s="109">
        <f>IF($C244="","",SUMIFS(Trips!$Q5:$Q1004,Trips!$Z5:$Z1004,$R244,Trips!$D5:$D1004,$A244))</f>
        <v/>
      </c>
      <c r="H244" s="108">
        <f>IF(AND($C244="",$I244="",$J244=""),"",N($E244)+N($F244)+N($G244))</f>
        <v/>
      </c>
      <c r="I244" s="109">
        <f>IF($A244="","",IFERROR(1/(1/SUMIFS(Expenses!$F5:$F1004,Expenses!$L5:$L1004,"ADV",Expenses!$J5:$J1004,$R244,Expenses!$E5:$E1004,$A244)),""))</f>
        <v/>
      </c>
      <c r="J244" s="109">
        <f>IF($A244="","",IFERROR(1/(1/SUMIFS(Expenses!$F5:$F1004,Expenses!$L5:$L1004,"PAY",Expenses!$J5:$J1004,$R244,Expenses!$E5:$E1004,$A244)),""))</f>
        <v/>
      </c>
      <c r="K244" s="110">
        <f>IF($H244="","",N($H244)-N($I244)-N($J244))</f>
        <v/>
      </c>
      <c r="L244" s="111">
        <f>IF($K244="","",IF($K244&gt;0.5,"TO PAY",IF($K244&lt;-0.5,"ADVANCE / OWES","SETTLED")))</f>
        <v/>
      </c>
      <c r="R244" s="112" t="n">
        <v>46539</v>
      </c>
    </row>
    <row r="245">
      <c r="A245" s="104">
        <f>IF(Setup!$A77="","",Setup!$A77)</f>
        <v/>
      </c>
      <c r="B245" s="105">
        <f>IF($A245="","",Setup!$B77)</f>
        <v/>
      </c>
      <c r="C245" s="106">
        <f>IF($A245="","",IF(COUNTIFS(Trips!$Z5:$Z1004,$R245,Trips!$D5:$D1004,$A245)+COUNTIFS(Trips!$Z5:$Z1004,$R245,Trips!$E5:$E1004,$A245)=0,"",COUNTIFS(Trips!$Z5:$Z1004,$R245,Trips!$D5:$D1004,$A245)+COUNTIFS(Trips!$Z5:$Z1004,$R245,Trips!$E5:$E1004,$A245)))</f>
        <v/>
      </c>
      <c r="D245" s="107">
        <f>IF($C245="","",SUMIFS(Trips!$K5:$K1004,Trips!$Z5:$Z1004,$R245,Trips!$D5:$D1004,$A245)+SUMIFS(Trips!$K5:$K1004,Trips!$Z5:$Z1004,$R245,Trips!$E5:$E1004,$A245))</f>
        <v/>
      </c>
      <c r="E245" s="108">
        <f>IF($C245="","",SUMIFS(Trips!$N5:$N1004,Trips!$Z5:$Z1004,$R245,Trips!$D5:$D1004,$A245)+SUMIFS(Trips!$O5:$O1004,Trips!$Z5:$Z1004,$R245,Trips!$E5:$E1004,$A245))</f>
        <v/>
      </c>
      <c r="F245" s="109">
        <f>IF($C245="","",SUMIFS(Trips!$P5:$P1004,Trips!$Z5:$Z1004,$R245,Trips!$D5:$D1004,$A245))</f>
        <v/>
      </c>
      <c r="G245" s="109">
        <f>IF($C245="","",SUMIFS(Trips!$Q5:$Q1004,Trips!$Z5:$Z1004,$R245,Trips!$D5:$D1004,$A245))</f>
        <v/>
      </c>
      <c r="H245" s="108">
        <f>IF(AND($C245="",$I245="",$J245=""),"",N($E245)+N($F245)+N($G245))</f>
        <v/>
      </c>
      <c r="I245" s="109">
        <f>IF($A245="","",IFERROR(1/(1/SUMIFS(Expenses!$F5:$F1004,Expenses!$L5:$L1004,"ADV",Expenses!$J5:$J1004,$R245,Expenses!$E5:$E1004,$A245)),""))</f>
        <v/>
      </c>
      <c r="J245" s="109">
        <f>IF($A245="","",IFERROR(1/(1/SUMIFS(Expenses!$F5:$F1004,Expenses!$L5:$L1004,"PAY",Expenses!$J5:$J1004,$R245,Expenses!$E5:$E1004,$A245)),""))</f>
        <v/>
      </c>
      <c r="K245" s="110">
        <f>IF($H245="","",N($H245)-N($I245)-N($J245))</f>
        <v/>
      </c>
      <c r="L245" s="111">
        <f>IF($K245="","",IF($K245&gt;0.5,"TO PAY",IF($K245&lt;-0.5,"ADVANCE / OWES","SETTLED")))</f>
        <v/>
      </c>
      <c r="R245" s="112" t="n">
        <v>46539</v>
      </c>
    </row>
    <row r="246">
      <c r="A246" s="104">
        <f>IF(Setup!$A78="","",Setup!$A78)</f>
        <v/>
      </c>
      <c r="B246" s="105">
        <f>IF($A246="","",Setup!$B78)</f>
        <v/>
      </c>
      <c r="C246" s="106">
        <f>IF($A246="","",IF(COUNTIFS(Trips!$Z5:$Z1004,$R246,Trips!$D5:$D1004,$A246)+COUNTIFS(Trips!$Z5:$Z1004,$R246,Trips!$E5:$E1004,$A246)=0,"",COUNTIFS(Trips!$Z5:$Z1004,$R246,Trips!$D5:$D1004,$A246)+COUNTIFS(Trips!$Z5:$Z1004,$R246,Trips!$E5:$E1004,$A246)))</f>
        <v/>
      </c>
      <c r="D246" s="107">
        <f>IF($C246="","",SUMIFS(Trips!$K5:$K1004,Trips!$Z5:$Z1004,$R246,Trips!$D5:$D1004,$A246)+SUMIFS(Trips!$K5:$K1004,Trips!$Z5:$Z1004,$R246,Trips!$E5:$E1004,$A246))</f>
        <v/>
      </c>
      <c r="E246" s="108">
        <f>IF($C246="","",SUMIFS(Trips!$N5:$N1004,Trips!$Z5:$Z1004,$R246,Trips!$D5:$D1004,$A246)+SUMIFS(Trips!$O5:$O1004,Trips!$Z5:$Z1004,$R246,Trips!$E5:$E1004,$A246))</f>
        <v/>
      </c>
      <c r="F246" s="109">
        <f>IF($C246="","",SUMIFS(Trips!$P5:$P1004,Trips!$Z5:$Z1004,$R246,Trips!$D5:$D1004,$A246))</f>
        <v/>
      </c>
      <c r="G246" s="109">
        <f>IF($C246="","",SUMIFS(Trips!$Q5:$Q1004,Trips!$Z5:$Z1004,$R246,Trips!$D5:$D1004,$A246))</f>
        <v/>
      </c>
      <c r="H246" s="108">
        <f>IF(AND($C246="",$I246="",$J246=""),"",N($E246)+N($F246)+N($G246))</f>
        <v/>
      </c>
      <c r="I246" s="109">
        <f>IF($A246="","",IFERROR(1/(1/SUMIFS(Expenses!$F5:$F1004,Expenses!$L5:$L1004,"ADV",Expenses!$J5:$J1004,$R246,Expenses!$E5:$E1004,$A246)),""))</f>
        <v/>
      </c>
      <c r="J246" s="109">
        <f>IF($A246="","",IFERROR(1/(1/SUMIFS(Expenses!$F5:$F1004,Expenses!$L5:$L1004,"PAY",Expenses!$J5:$J1004,$R246,Expenses!$E5:$E1004,$A246)),""))</f>
        <v/>
      </c>
      <c r="K246" s="110">
        <f>IF($H246="","",N($H246)-N($I246)-N($J246))</f>
        <v/>
      </c>
      <c r="L246" s="111">
        <f>IF($K246="","",IF($K246&gt;0.5,"TO PAY",IF($K246&lt;-0.5,"ADVANCE / OWES","SETTLED")))</f>
        <v/>
      </c>
      <c r="R246" s="112" t="n">
        <v>46539</v>
      </c>
    </row>
    <row r="247">
      <c r="A247" s="104">
        <f>IF(Setup!$A79="","",Setup!$A79)</f>
        <v/>
      </c>
      <c r="B247" s="105">
        <f>IF($A247="","",Setup!$B79)</f>
        <v/>
      </c>
      <c r="C247" s="106">
        <f>IF($A247="","",IF(COUNTIFS(Trips!$Z5:$Z1004,$R247,Trips!$D5:$D1004,$A247)+COUNTIFS(Trips!$Z5:$Z1004,$R247,Trips!$E5:$E1004,$A247)=0,"",COUNTIFS(Trips!$Z5:$Z1004,$R247,Trips!$D5:$D1004,$A247)+COUNTIFS(Trips!$Z5:$Z1004,$R247,Trips!$E5:$E1004,$A247)))</f>
        <v/>
      </c>
      <c r="D247" s="107">
        <f>IF($C247="","",SUMIFS(Trips!$K5:$K1004,Trips!$Z5:$Z1004,$R247,Trips!$D5:$D1004,$A247)+SUMIFS(Trips!$K5:$K1004,Trips!$Z5:$Z1004,$R247,Trips!$E5:$E1004,$A247))</f>
        <v/>
      </c>
      <c r="E247" s="108">
        <f>IF($C247="","",SUMIFS(Trips!$N5:$N1004,Trips!$Z5:$Z1004,$R247,Trips!$D5:$D1004,$A247)+SUMIFS(Trips!$O5:$O1004,Trips!$Z5:$Z1004,$R247,Trips!$E5:$E1004,$A247))</f>
        <v/>
      </c>
      <c r="F247" s="109">
        <f>IF($C247="","",SUMIFS(Trips!$P5:$P1004,Trips!$Z5:$Z1004,$R247,Trips!$D5:$D1004,$A247))</f>
        <v/>
      </c>
      <c r="G247" s="109">
        <f>IF($C247="","",SUMIFS(Trips!$Q5:$Q1004,Trips!$Z5:$Z1004,$R247,Trips!$D5:$D1004,$A247))</f>
        <v/>
      </c>
      <c r="H247" s="108">
        <f>IF(AND($C247="",$I247="",$J247=""),"",N($E247)+N($F247)+N($G247))</f>
        <v/>
      </c>
      <c r="I247" s="109">
        <f>IF($A247="","",IFERROR(1/(1/SUMIFS(Expenses!$F5:$F1004,Expenses!$L5:$L1004,"ADV",Expenses!$J5:$J1004,$R247,Expenses!$E5:$E1004,$A247)),""))</f>
        <v/>
      </c>
      <c r="J247" s="109">
        <f>IF($A247="","",IFERROR(1/(1/SUMIFS(Expenses!$F5:$F1004,Expenses!$L5:$L1004,"PAY",Expenses!$J5:$J1004,$R247,Expenses!$E5:$E1004,$A247)),""))</f>
        <v/>
      </c>
      <c r="K247" s="110">
        <f>IF($H247="","",N($H247)-N($I247)-N($J247))</f>
        <v/>
      </c>
      <c r="L247" s="111">
        <f>IF($K247="","",IF($K247&gt;0.5,"TO PAY",IF($K247&lt;-0.5,"ADVANCE / OWES","SETTLED")))</f>
        <v/>
      </c>
      <c r="R247" s="112" t="n">
        <v>46539</v>
      </c>
    </row>
    <row r="248">
      <c r="A248" s="104">
        <f>IF(Setup!$A80="","",Setup!$A80)</f>
        <v/>
      </c>
      <c r="B248" s="105">
        <f>IF($A248="","",Setup!$B80)</f>
        <v/>
      </c>
      <c r="C248" s="106">
        <f>IF($A248="","",IF(COUNTIFS(Trips!$Z5:$Z1004,$R248,Trips!$D5:$D1004,$A248)+COUNTIFS(Trips!$Z5:$Z1004,$R248,Trips!$E5:$E1004,$A248)=0,"",COUNTIFS(Trips!$Z5:$Z1004,$R248,Trips!$D5:$D1004,$A248)+COUNTIFS(Trips!$Z5:$Z1004,$R248,Trips!$E5:$E1004,$A248)))</f>
        <v/>
      </c>
      <c r="D248" s="107">
        <f>IF($C248="","",SUMIFS(Trips!$K5:$K1004,Trips!$Z5:$Z1004,$R248,Trips!$D5:$D1004,$A248)+SUMIFS(Trips!$K5:$K1004,Trips!$Z5:$Z1004,$R248,Trips!$E5:$E1004,$A248))</f>
        <v/>
      </c>
      <c r="E248" s="108">
        <f>IF($C248="","",SUMIFS(Trips!$N5:$N1004,Trips!$Z5:$Z1004,$R248,Trips!$D5:$D1004,$A248)+SUMIFS(Trips!$O5:$O1004,Trips!$Z5:$Z1004,$R248,Trips!$E5:$E1004,$A248))</f>
        <v/>
      </c>
      <c r="F248" s="109">
        <f>IF($C248="","",SUMIFS(Trips!$P5:$P1004,Trips!$Z5:$Z1004,$R248,Trips!$D5:$D1004,$A248))</f>
        <v/>
      </c>
      <c r="G248" s="109">
        <f>IF($C248="","",SUMIFS(Trips!$Q5:$Q1004,Trips!$Z5:$Z1004,$R248,Trips!$D5:$D1004,$A248))</f>
        <v/>
      </c>
      <c r="H248" s="108">
        <f>IF(AND($C248="",$I248="",$J248=""),"",N($E248)+N($F248)+N($G248))</f>
        <v/>
      </c>
      <c r="I248" s="109">
        <f>IF($A248="","",IFERROR(1/(1/SUMIFS(Expenses!$F5:$F1004,Expenses!$L5:$L1004,"ADV",Expenses!$J5:$J1004,$R248,Expenses!$E5:$E1004,$A248)),""))</f>
        <v/>
      </c>
      <c r="J248" s="109">
        <f>IF($A248="","",IFERROR(1/(1/SUMIFS(Expenses!$F5:$F1004,Expenses!$L5:$L1004,"PAY",Expenses!$J5:$J1004,$R248,Expenses!$E5:$E1004,$A248)),""))</f>
        <v/>
      </c>
      <c r="K248" s="110">
        <f>IF($H248="","",N($H248)-N($I248)-N($J248))</f>
        <v/>
      </c>
      <c r="L248" s="111">
        <f>IF($K248="","",IF($K248&gt;0.5,"TO PAY",IF($K248&lt;-0.5,"ADVANCE / OWES","SETTLED")))</f>
        <v/>
      </c>
      <c r="R248" s="112" t="n">
        <v>46539</v>
      </c>
    </row>
    <row r="249">
      <c r="A249" s="104">
        <f>IF(Setup!$A81="","",Setup!$A81)</f>
        <v/>
      </c>
      <c r="B249" s="105">
        <f>IF($A249="","",Setup!$B81)</f>
        <v/>
      </c>
      <c r="C249" s="106">
        <f>IF($A249="","",IF(COUNTIFS(Trips!$Z5:$Z1004,$R249,Trips!$D5:$D1004,$A249)+COUNTIFS(Trips!$Z5:$Z1004,$R249,Trips!$E5:$E1004,$A249)=0,"",COUNTIFS(Trips!$Z5:$Z1004,$R249,Trips!$D5:$D1004,$A249)+COUNTIFS(Trips!$Z5:$Z1004,$R249,Trips!$E5:$E1004,$A249)))</f>
        <v/>
      </c>
      <c r="D249" s="107">
        <f>IF($C249="","",SUMIFS(Trips!$K5:$K1004,Trips!$Z5:$Z1004,$R249,Trips!$D5:$D1004,$A249)+SUMIFS(Trips!$K5:$K1004,Trips!$Z5:$Z1004,$R249,Trips!$E5:$E1004,$A249))</f>
        <v/>
      </c>
      <c r="E249" s="108">
        <f>IF($C249="","",SUMIFS(Trips!$N5:$N1004,Trips!$Z5:$Z1004,$R249,Trips!$D5:$D1004,$A249)+SUMIFS(Trips!$O5:$O1004,Trips!$Z5:$Z1004,$R249,Trips!$E5:$E1004,$A249))</f>
        <v/>
      </c>
      <c r="F249" s="109">
        <f>IF($C249="","",SUMIFS(Trips!$P5:$P1004,Trips!$Z5:$Z1004,$R249,Trips!$D5:$D1004,$A249))</f>
        <v/>
      </c>
      <c r="G249" s="109">
        <f>IF($C249="","",SUMIFS(Trips!$Q5:$Q1004,Trips!$Z5:$Z1004,$R249,Trips!$D5:$D1004,$A249))</f>
        <v/>
      </c>
      <c r="H249" s="108">
        <f>IF(AND($C249="",$I249="",$J249=""),"",N($E249)+N($F249)+N($G249))</f>
        <v/>
      </c>
      <c r="I249" s="109">
        <f>IF($A249="","",IFERROR(1/(1/SUMIFS(Expenses!$F5:$F1004,Expenses!$L5:$L1004,"ADV",Expenses!$J5:$J1004,$R249,Expenses!$E5:$E1004,$A249)),""))</f>
        <v/>
      </c>
      <c r="J249" s="109">
        <f>IF($A249="","",IFERROR(1/(1/SUMIFS(Expenses!$F5:$F1004,Expenses!$L5:$L1004,"PAY",Expenses!$J5:$J1004,$R249,Expenses!$E5:$E1004,$A249)),""))</f>
        <v/>
      </c>
      <c r="K249" s="110">
        <f>IF($H249="","",N($H249)-N($I249)-N($J249))</f>
        <v/>
      </c>
      <c r="L249" s="111">
        <f>IF($K249="","",IF($K249&gt;0.5,"TO PAY",IF($K249&lt;-0.5,"ADVANCE / OWES","SETTLED")))</f>
        <v/>
      </c>
      <c r="R249" s="112" t="n">
        <v>46539</v>
      </c>
    </row>
    <row r="250">
      <c r="A250" s="104">
        <f>IF(Setup!$A82="","",Setup!$A82)</f>
        <v/>
      </c>
      <c r="B250" s="105">
        <f>IF($A250="","",Setup!$B82)</f>
        <v/>
      </c>
      <c r="C250" s="106">
        <f>IF($A250="","",IF(COUNTIFS(Trips!$Z5:$Z1004,$R250,Trips!$D5:$D1004,$A250)+COUNTIFS(Trips!$Z5:$Z1004,$R250,Trips!$E5:$E1004,$A250)=0,"",COUNTIFS(Trips!$Z5:$Z1004,$R250,Trips!$D5:$D1004,$A250)+COUNTIFS(Trips!$Z5:$Z1004,$R250,Trips!$E5:$E1004,$A250)))</f>
        <v/>
      </c>
      <c r="D250" s="107">
        <f>IF($C250="","",SUMIFS(Trips!$K5:$K1004,Trips!$Z5:$Z1004,$R250,Trips!$D5:$D1004,$A250)+SUMIFS(Trips!$K5:$K1004,Trips!$Z5:$Z1004,$R250,Trips!$E5:$E1004,$A250))</f>
        <v/>
      </c>
      <c r="E250" s="108">
        <f>IF($C250="","",SUMIFS(Trips!$N5:$N1004,Trips!$Z5:$Z1004,$R250,Trips!$D5:$D1004,$A250)+SUMIFS(Trips!$O5:$O1004,Trips!$Z5:$Z1004,$R250,Trips!$E5:$E1004,$A250))</f>
        <v/>
      </c>
      <c r="F250" s="109">
        <f>IF($C250="","",SUMIFS(Trips!$P5:$P1004,Trips!$Z5:$Z1004,$R250,Trips!$D5:$D1004,$A250))</f>
        <v/>
      </c>
      <c r="G250" s="109">
        <f>IF($C250="","",SUMIFS(Trips!$Q5:$Q1004,Trips!$Z5:$Z1004,$R250,Trips!$D5:$D1004,$A250))</f>
        <v/>
      </c>
      <c r="H250" s="108">
        <f>IF(AND($C250="",$I250="",$J250=""),"",N($E250)+N($F250)+N($G250))</f>
        <v/>
      </c>
      <c r="I250" s="109">
        <f>IF($A250="","",IFERROR(1/(1/SUMIFS(Expenses!$F5:$F1004,Expenses!$L5:$L1004,"ADV",Expenses!$J5:$J1004,$R250,Expenses!$E5:$E1004,$A250)),""))</f>
        <v/>
      </c>
      <c r="J250" s="109">
        <f>IF($A250="","",IFERROR(1/(1/SUMIFS(Expenses!$F5:$F1004,Expenses!$L5:$L1004,"PAY",Expenses!$J5:$J1004,$R250,Expenses!$E5:$E1004,$A250)),""))</f>
        <v/>
      </c>
      <c r="K250" s="110">
        <f>IF($H250="","",N($H250)-N($I250)-N($J250))</f>
        <v/>
      </c>
      <c r="L250" s="111">
        <f>IF($K250="","",IF($K250&gt;0.5,"TO PAY",IF($K250&lt;-0.5,"ADVANCE / OWES","SETTLED")))</f>
        <v/>
      </c>
      <c r="R250" s="112" t="n">
        <v>46539</v>
      </c>
    </row>
    <row r="251">
      <c r="A251" s="104">
        <f>IF(Setup!$A83="","",Setup!$A83)</f>
        <v/>
      </c>
      <c r="B251" s="105">
        <f>IF($A251="","",Setup!$B83)</f>
        <v/>
      </c>
      <c r="C251" s="106">
        <f>IF($A251="","",IF(COUNTIFS(Trips!$Z5:$Z1004,$R251,Trips!$D5:$D1004,$A251)+COUNTIFS(Trips!$Z5:$Z1004,$R251,Trips!$E5:$E1004,$A251)=0,"",COUNTIFS(Trips!$Z5:$Z1004,$R251,Trips!$D5:$D1004,$A251)+COUNTIFS(Trips!$Z5:$Z1004,$R251,Trips!$E5:$E1004,$A251)))</f>
        <v/>
      </c>
      <c r="D251" s="107">
        <f>IF($C251="","",SUMIFS(Trips!$K5:$K1004,Trips!$Z5:$Z1004,$R251,Trips!$D5:$D1004,$A251)+SUMIFS(Trips!$K5:$K1004,Trips!$Z5:$Z1004,$R251,Trips!$E5:$E1004,$A251))</f>
        <v/>
      </c>
      <c r="E251" s="108">
        <f>IF($C251="","",SUMIFS(Trips!$N5:$N1004,Trips!$Z5:$Z1004,$R251,Trips!$D5:$D1004,$A251)+SUMIFS(Trips!$O5:$O1004,Trips!$Z5:$Z1004,$R251,Trips!$E5:$E1004,$A251))</f>
        <v/>
      </c>
      <c r="F251" s="109">
        <f>IF($C251="","",SUMIFS(Trips!$P5:$P1004,Trips!$Z5:$Z1004,$R251,Trips!$D5:$D1004,$A251))</f>
        <v/>
      </c>
      <c r="G251" s="109">
        <f>IF($C251="","",SUMIFS(Trips!$Q5:$Q1004,Trips!$Z5:$Z1004,$R251,Trips!$D5:$D1004,$A251))</f>
        <v/>
      </c>
      <c r="H251" s="108">
        <f>IF(AND($C251="",$I251="",$J251=""),"",N($E251)+N($F251)+N($G251))</f>
        <v/>
      </c>
      <c r="I251" s="109">
        <f>IF($A251="","",IFERROR(1/(1/SUMIFS(Expenses!$F5:$F1004,Expenses!$L5:$L1004,"ADV",Expenses!$J5:$J1004,$R251,Expenses!$E5:$E1004,$A251)),""))</f>
        <v/>
      </c>
      <c r="J251" s="109">
        <f>IF($A251="","",IFERROR(1/(1/SUMIFS(Expenses!$F5:$F1004,Expenses!$L5:$L1004,"PAY",Expenses!$J5:$J1004,$R251,Expenses!$E5:$E1004,$A251)),""))</f>
        <v/>
      </c>
      <c r="K251" s="110">
        <f>IF($H251="","",N($H251)-N($I251)-N($J251))</f>
        <v/>
      </c>
      <c r="L251" s="111">
        <f>IF($K251="","",IF($K251&gt;0.5,"TO PAY",IF($K251&lt;-0.5,"ADVANCE / OWES","SETTLED")))</f>
        <v/>
      </c>
      <c r="R251" s="112" t="n">
        <v>46539</v>
      </c>
    </row>
    <row r="252">
      <c r="A252" s="104">
        <f>IF(Setup!$A84="","",Setup!$A84)</f>
        <v/>
      </c>
      <c r="B252" s="105">
        <f>IF($A252="","",Setup!$B84)</f>
        <v/>
      </c>
      <c r="C252" s="106">
        <f>IF($A252="","",IF(COUNTIFS(Trips!$Z5:$Z1004,$R252,Trips!$D5:$D1004,$A252)+COUNTIFS(Trips!$Z5:$Z1004,$R252,Trips!$E5:$E1004,$A252)=0,"",COUNTIFS(Trips!$Z5:$Z1004,$R252,Trips!$D5:$D1004,$A252)+COUNTIFS(Trips!$Z5:$Z1004,$R252,Trips!$E5:$E1004,$A252)))</f>
        <v/>
      </c>
      <c r="D252" s="107">
        <f>IF($C252="","",SUMIFS(Trips!$K5:$K1004,Trips!$Z5:$Z1004,$R252,Trips!$D5:$D1004,$A252)+SUMIFS(Trips!$K5:$K1004,Trips!$Z5:$Z1004,$R252,Trips!$E5:$E1004,$A252))</f>
        <v/>
      </c>
      <c r="E252" s="108">
        <f>IF($C252="","",SUMIFS(Trips!$N5:$N1004,Trips!$Z5:$Z1004,$R252,Trips!$D5:$D1004,$A252)+SUMIFS(Trips!$O5:$O1004,Trips!$Z5:$Z1004,$R252,Trips!$E5:$E1004,$A252))</f>
        <v/>
      </c>
      <c r="F252" s="109">
        <f>IF($C252="","",SUMIFS(Trips!$P5:$P1004,Trips!$Z5:$Z1004,$R252,Trips!$D5:$D1004,$A252))</f>
        <v/>
      </c>
      <c r="G252" s="109">
        <f>IF($C252="","",SUMIFS(Trips!$Q5:$Q1004,Trips!$Z5:$Z1004,$R252,Trips!$D5:$D1004,$A252))</f>
        <v/>
      </c>
      <c r="H252" s="108">
        <f>IF(AND($C252="",$I252="",$J252=""),"",N($E252)+N($F252)+N($G252))</f>
        <v/>
      </c>
      <c r="I252" s="109">
        <f>IF($A252="","",IFERROR(1/(1/SUMIFS(Expenses!$F5:$F1004,Expenses!$L5:$L1004,"ADV",Expenses!$J5:$J1004,$R252,Expenses!$E5:$E1004,$A252)),""))</f>
        <v/>
      </c>
      <c r="J252" s="109">
        <f>IF($A252="","",IFERROR(1/(1/SUMIFS(Expenses!$F5:$F1004,Expenses!$L5:$L1004,"PAY",Expenses!$J5:$J1004,$R252,Expenses!$E5:$E1004,$A252)),""))</f>
        <v/>
      </c>
      <c r="K252" s="110">
        <f>IF($H252="","",N($H252)-N($I252)-N($J252))</f>
        <v/>
      </c>
      <c r="L252" s="111">
        <f>IF($K252="","",IF($K252&gt;0.5,"TO PAY",IF($K252&lt;-0.5,"ADVANCE / OWES","SETTLED")))</f>
        <v/>
      </c>
      <c r="R252" s="112" t="n">
        <v>46539</v>
      </c>
    </row>
    <row r="253">
      <c r="A253" s="104">
        <f>IF(Setup!$A85="","",Setup!$A85)</f>
        <v/>
      </c>
      <c r="B253" s="105">
        <f>IF($A253="","",Setup!$B85)</f>
        <v/>
      </c>
      <c r="C253" s="106">
        <f>IF($A253="","",IF(COUNTIFS(Trips!$Z5:$Z1004,$R253,Trips!$D5:$D1004,$A253)+COUNTIFS(Trips!$Z5:$Z1004,$R253,Trips!$E5:$E1004,$A253)=0,"",COUNTIFS(Trips!$Z5:$Z1004,$R253,Trips!$D5:$D1004,$A253)+COUNTIFS(Trips!$Z5:$Z1004,$R253,Trips!$E5:$E1004,$A253)))</f>
        <v/>
      </c>
      <c r="D253" s="107">
        <f>IF($C253="","",SUMIFS(Trips!$K5:$K1004,Trips!$Z5:$Z1004,$R253,Trips!$D5:$D1004,$A253)+SUMIFS(Trips!$K5:$K1004,Trips!$Z5:$Z1004,$R253,Trips!$E5:$E1004,$A253))</f>
        <v/>
      </c>
      <c r="E253" s="108">
        <f>IF($C253="","",SUMIFS(Trips!$N5:$N1004,Trips!$Z5:$Z1004,$R253,Trips!$D5:$D1004,$A253)+SUMIFS(Trips!$O5:$O1004,Trips!$Z5:$Z1004,$R253,Trips!$E5:$E1004,$A253))</f>
        <v/>
      </c>
      <c r="F253" s="109">
        <f>IF($C253="","",SUMIFS(Trips!$P5:$P1004,Trips!$Z5:$Z1004,$R253,Trips!$D5:$D1004,$A253))</f>
        <v/>
      </c>
      <c r="G253" s="109">
        <f>IF($C253="","",SUMIFS(Trips!$Q5:$Q1004,Trips!$Z5:$Z1004,$R253,Trips!$D5:$D1004,$A253))</f>
        <v/>
      </c>
      <c r="H253" s="108">
        <f>IF(AND($C253="",$I253="",$J253=""),"",N($E253)+N($F253)+N($G253))</f>
        <v/>
      </c>
      <c r="I253" s="109">
        <f>IF($A253="","",IFERROR(1/(1/SUMIFS(Expenses!$F5:$F1004,Expenses!$L5:$L1004,"ADV",Expenses!$J5:$J1004,$R253,Expenses!$E5:$E1004,$A253)),""))</f>
        <v/>
      </c>
      <c r="J253" s="109">
        <f>IF($A253="","",IFERROR(1/(1/SUMIFS(Expenses!$F5:$F1004,Expenses!$L5:$L1004,"PAY",Expenses!$J5:$J1004,$R253,Expenses!$E5:$E1004,$A253)),""))</f>
        <v/>
      </c>
      <c r="K253" s="110">
        <f>IF($H253="","",N($H253)-N($I253)-N($J253))</f>
        <v/>
      </c>
      <c r="L253" s="111">
        <f>IF($K253="","",IF($K253&gt;0.5,"TO PAY",IF($K253&lt;-0.5,"ADVANCE / OWES","SETTLED")))</f>
        <v/>
      </c>
      <c r="R253" s="112" t="n">
        <v>46539</v>
      </c>
    </row>
    <row r="254">
      <c r="A254" s="104">
        <f>IF(Setup!$A86="","",Setup!$A86)</f>
        <v/>
      </c>
      <c r="B254" s="105">
        <f>IF($A254="","",Setup!$B86)</f>
        <v/>
      </c>
      <c r="C254" s="106">
        <f>IF($A254="","",IF(COUNTIFS(Trips!$Z5:$Z1004,$R254,Trips!$D5:$D1004,$A254)+COUNTIFS(Trips!$Z5:$Z1004,$R254,Trips!$E5:$E1004,$A254)=0,"",COUNTIFS(Trips!$Z5:$Z1004,$R254,Trips!$D5:$D1004,$A254)+COUNTIFS(Trips!$Z5:$Z1004,$R254,Trips!$E5:$E1004,$A254)))</f>
        <v/>
      </c>
      <c r="D254" s="107">
        <f>IF($C254="","",SUMIFS(Trips!$K5:$K1004,Trips!$Z5:$Z1004,$R254,Trips!$D5:$D1004,$A254)+SUMIFS(Trips!$K5:$K1004,Trips!$Z5:$Z1004,$R254,Trips!$E5:$E1004,$A254))</f>
        <v/>
      </c>
      <c r="E254" s="108">
        <f>IF($C254="","",SUMIFS(Trips!$N5:$N1004,Trips!$Z5:$Z1004,$R254,Trips!$D5:$D1004,$A254)+SUMIFS(Trips!$O5:$O1004,Trips!$Z5:$Z1004,$R254,Trips!$E5:$E1004,$A254))</f>
        <v/>
      </c>
      <c r="F254" s="109">
        <f>IF($C254="","",SUMIFS(Trips!$P5:$P1004,Trips!$Z5:$Z1004,$R254,Trips!$D5:$D1004,$A254))</f>
        <v/>
      </c>
      <c r="G254" s="109">
        <f>IF($C254="","",SUMIFS(Trips!$Q5:$Q1004,Trips!$Z5:$Z1004,$R254,Trips!$D5:$D1004,$A254))</f>
        <v/>
      </c>
      <c r="H254" s="108">
        <f>IF(AND($C254="",$I254="",$J254=""),"",N($E254)+N($F254)+N($G254))</f>
        <v/>
      </c>
      <c r="I254" s="109">
        <f>IF($A254="","",IFERROR(1/(1/SUMIFS(Expenses!$F5:$F1004,Expenses!$L5:$L1004,"ADV",Expenses!$J5:$J1004,$R254,Expenses!$E5:$E1004,$A254)),""))</f>
        <v/>
      </c>
      <c r="J254" s="109">
        <f>IF($A254="","",IFERROR(1/(1/SUMIFS(Expenses!$F5:$F1004,Expenses!$L5:$L1004,"PAY",Expenses!$J5:$J1004,$R254,Expenses!$E5:$E1004,$A254)),""))</f>
        <v/>
      </c>
      <c r="K254" s="110">
        <f>IF($H254="","",N($H254)-N($I254)-N($J254))</f>
        <v/>
      </c>
      <c r="L254" s="111">
        <f>IF($K254="","",IF($K254&gt;0.5,"TO PAY",IF($K254&lt;-0.5,"ADVANCE / OWES","SETTLED")))</f>
        <v/>
      </c>
      <c r="R254" s="112" t="n">
        <v>46539</v>
      </c>
    </row>
    <row r="255">
      <c r="A255" s="104">
        <f>IF(Setup!$A87="","",Setup!$A87)</f>
        <v/>
      </c>
      <c r="B255" s="105">
        <f>IF($A255="","",Setup!$B87)</f>
        <v/>
      </c>
      <c r="C255" s="106">
        <f>IF($A255="","",IF(COUNTIFS(Trips!$Z5:$Z1004,$R255,Trips!$D5:$D1004,$A255)+COUNTIFS(Trips!$Z5:$Z1004,$R255,Trips!$E5:$E1004,$A255)=0,"",COUNTIFS(Trips!$Z5:$Z1004,$R255,Trips!$D5:$D1004,$A255)+COUNTIFS(Trips!$Z5:$Z1004,$R255,Trips!$E5:$E1004,$A255)))</f>
        <v/>
      </c>
      <c r="D255" s="107">
        <f>IF($C255="","",SUMIFS(Trips!$K5:$K1004,Trips!$Z5:$Z1004,$R255,Trips!$D5:$D1004,$A255)+SUMIFS(Trips!$K5:$K1004,Trips!$Z5:$Z1004,$R255,Trips!$E5:$E1004,$A255))</f>
        <v/>
      </c>
      <c r="E255" s="108">
        <f>IF($C255="","",SUMIFS(Trips!$N5:$N1004,Trips!$Z5:$Z1004,$R255,Trips!$D5:$D1004,$A255)+SUMIFS(Trips!$O5:$O1004,Trips!$Z5:$Z1004,$R255,Trips!$E5:$E1004,$A255))</f>
        <v/>
      </c>
      <c r="F255" s="109">
        <f>IF($C255="","",SUMIFS(Trips!$P5:$P1004,Trips!$Z5:$Z1004,$R255,Trips!$D5:$D1004,$A255))</f>
        <v/>
      </c>
      <c r="G255" s="109">
        <f>IF($C255="","",SUMIFS(Trips!$Q5:$Q1004,Trips!$Z5:$Z1004,$R255,Trips!$D5:$D1004,$A255))</f>
        <v/>
      </c>
      <c r="H255" s="108">
        <f>IF(AND($C255="",$I255="",$J255=""),"",N($E255)+N($F255)+N($G255))</f>
        <v/>
      </c>
      <c r="I255" s="109">
        <f>IF($A255="","",IFERROR(1/(1/SUMIFS(Expenses!$F5:$F1004,Expenses!$L5:$L1004,"ADV",Expenses!$J5:$J1004,$R255,Expenses!$E5:$E1004,$A255)),""))</f>
        <v/>
      </c>
      <c r="J255" s="109">
        <f>IF($A255="","",IFERROR(1/(1/SUMIFS(Expenses!$F5:$F1004,Expenses!$L5:$L1004,"PAY",Expenses!$J5:$J1004,$R255,Expenses!$E5:$E1004,$A255)),""))</f>
        <v/>
      </c>
      <c r="K255" s="110">
        <f>IF($H255="","",N($H255)-N($I255)-N($J255))</f>
        <v/>
      </c>
      <c r="L255" s="111">
        <f>IF($K255="","",IF($K255&gt;0.5,"TO PAY",IF($K255&lt;-0.5,"ADVANCE / OWES","SETTLED")))</f>
        <v/>
      </c>
      <c r="R255" s="112" t="n">
        <v>46539</v>
      </c>
    </row>
    <row r="256">
      <c r="A256" s="113" t="inlineStr">
        <is>
          <t>MONTH TOTAL</t>
        </is>
      </c>
      <c r="B256" s="114" t="n"/>
      <c r="C256" s="115">
        <f>IF(COUNT(C244:C255)=0,"",SUM(C244:C255))</f>
        <v/>
      </c>
      <c r="D256" s="116">
        <f>IF(COUNT(D244:D255)=0,"",SUM(D244:D255))</f>
        <v/>
      </c>
      <c r="E256" s="117">
        <f>IF(COUNT(E244:E255)=0,"",SUM(E244:E255))</f>
        <v/>
      </c>
      <c r="F256" s="117">
        <f>IF(COUNT(F244:F255)=0,"",SUM(F244:F255))</f>
        <v/>
      </c>
      <c r="G256" s="117">
        <f>IF(COUNT(G244:G255)=0,"",SUM(G244:G255))</f>
        <v/>
      </c>
      <c r="H256" s="117">
        <f>IF(COUNT(H244:H255)=0,"",SUM(H244:H255))</f>
        <v/>
      </c>
      <c r="I256" s="117">
        <f>IF(COUNT(I244:I255)=0,"",SUM(I244:I255))</f>
        <v/>
      </c>
      <c r="J256" s="117">
        <f>IF(COUNT(J244:J255)=0,"",SUM(J244:J255))</f>
        <v/>
      </c>
      <c r="K256" s="117">
        <f>IF(COUNT(K244:K255)=0,"",SUM(K244:K255))</f>
        <v/>
      </c>
      <c r="L256" s="118" t="n"/>
    </row>
    <row r="257" ht="24" customHeight="1">
      <c r="A257" s="103" t="inlineStr">
        <is>
          <t>JULY 2027   ·   crew earnings &amp; settlement</t>
        </is>
      </c>
    </row>
    <row r="258">
      <c r="A258" s="104">
        <f>IF(Setup!$A76="","",Setup!$A76)</f>
        <v/>
      </c>
      <c r="B258" s="105">
        <f>IF($A258="","",Setup!$B76)</f>
        <v/>
      </c>
      <c r="C258" s="106">
        <f>IF($A258="","",IF(COUNTIFS(Trips!$Z5:$Z1004,$R258,Trips!$D5:$D1004,$A258)+COUNTIFS(Trips!$Z5:$Z1004,$R258,Trips!$E5:$E1004,$A258)=0,"",COUNTIFS(Trips!$Z5:$Z1004,$R258,Trips!$D5:$D1004,$A258)+COUNTIFS(Trips!$Z5:$Z1004,$R258,Trips!$E5:$E1004,$A258)))</f>
        <v/>
      </c>
      <c r="D258" s="107">
        <f>IF($C258="","",SUMIFS(Trips!$K5:$K1004,Trips!$Z5:$Z1004,$R258,Trips!$D5:$D1004,$A258)+SUMIFS(Trips!$K5:$K1004,Trips!$Z5:$Z1004,$R258,Trips!$E5:$E1004,$A258))</f>
        <v/>
      </c>
      <c r="E258" s="108">
        <f>IF($C258="","",SUMIFS(Trips!$N5:$N1004,Trips!$Z5:$Z1004,$R258,Trips!$D5:$D1004,$A258)+SUMIFS(Trips!$O5:$O1004,Trips!$Z5:$Z1004,$R258,Trips!$E5:$E1004,$A258))</f>
        <v/>
      </c>
      <c r="F258" s="109">
        <f>IF($C258="","",SUMIFS(Trips!$P5:$P1004,Trips!$Z5:$Z1004,$R258,Trips!$D5:$D1004,$A258))</f>
        <v/>
      </c>
      <c r="G258" s="109">
        <f>IF($C258="","",SUMIFS(Trips!$Q5:$Q1004,Trips!$Z5:$Z1004,$R258,Trips!$D5:$D1004,$A258))</f>
        <v/>
      </c>
      <c r="H258" s="108">
        <f>IF(AND($C258="",$I258="",$J258=""),"",N($E258)+N($F258)+N($G258))</f>
        <v/>
      </c>
      <c r="I258" s="109">
        <f>IF($A258="","",IFERROR(1/(1/SUMIFS(Expenses!$F5:$F1004,Expenses!$L5:$L1004,"ADV",Expenses!$J5:$J1004,$R258,Expenses!$E5:$E1004,$A258)),""))</f>
        <v/>
      </c>
      <c r="J258" s="109">
        <f>IF($A258="","",IFERROR(1/(1/SUMIFS(Expenses!$F5:$F1004,Expenses!$L5:$L1004,"PAY",Expenses!$J5:$J1004,$R258,Expenses!$E5:$E1004,$A258)),""))</f>
        <v/>
      </c>
      <c r="K258" s="110">
        <f>IF($H258="","",N($H258)-N($I258)-N($J258))</f>
        <v/>
      </c>
      <c r="L258" s="111">
        <f>IF($K258="","",IF($K258&gt;0.5,"TO PAY",IF($K258&lt;-0.5,"ADVANCE / OWES","SETTLED")))</f>
        <v/>
      </c>
      <c r="R258" s="112" t="n">
        <v>46569</v>
      </c>
    </row>
    <row r="259">
      <c r="A259" s="104">
        <f>IF(Setup!$A77="","",Setup!$A77)</f>
        <v/>
      </c>
      <c r="B259" s="105">
        <f>IF($A259="","",Setup!$B77)</f>
        <v/>
      </c>
      <c r="C259" s="106">
        <f>IF($A259="","",IF(COUNTIFS(Trips!$Z5:$Z1004,$R259,Trips!$D5:$D1004,$A259)+COUNTIFS(Trips!$Z5:$Z1004,$R259,Trips!$E5:$E1004,$A259)=0,"",COUNTIFS(Trips!$Z5:$Z1004,$R259,Trips!$D5:$D1004,$A259)+COUNTIFS(Trips!$Z5:$Z1004,$R259,Trips!$E5:$E1004,$A259)))</f>
        <v/>
      </c>
      <c r="D259" s="107">
        <f>IF($C259="","",SUMIFS(Trips!$K5:$K1004,Trips!$Z5:$Z1004,$R259,Trips!$D5:$D1004,$A259)+SUMIFS(Trips!$K5:$K1004,Trips!$Z5:$Z1004,$R259,Trips!$E5:$E1004,$A259))</f>
        <v/>
      </c>
      <c r="E259" s="108">
        <f>IF($C259="","",SUMIFS(Trips!$N5:$N1004,Trips!$Z5:$Z1004,$R259,Trips!$D5:$D1004,$A259)+SUMIFS(Trips!$O5:$O1004,Trips!$Z5:$Z1004,$R259,Trips!$E5:$E1004,$A259))</f>
        <v/>
      </c>
      <c r="F259" s="109">
        <f>IF($C259="","",SUMIFS(Trips!$P5:$P1004,Trips!$Z5:$Z1004,$R259,Trips!$D5:$D1004,$A259))</f>
        <v/>
      </c>
      <c r="G259" s="109">
        <f>IF($C259="","",SUMIFS(Trips!$Q5:$Q1004,Trips!$Z5:$Z1004,$R259,Trips!$D5:$D1004,$A259))</f>
        <v/>
      </c>
      <c r="H259" s="108">
        <f>IF(AND($C259="",$I259="",$J259=""),"",N($E259)+N($F259)+N($G259))</f>
        <v/>
      </c>
      <c r="I259" s="109">
        <f>IF($A259="","",IFERROR(1/(1/SUMIFS(Expenses!$F5:$F1004,Expenses!$L5:$L1004,"ADV",Expenses!$J5:$J1004,$R259,Expenses!$E5:$E1004,$A259)),""))</f>
        <v/>
      </c>
      <c r="J259" s="109">
        <f>IF($A259="","",IFERROR(1/(1/SUMIFS(Expenses!$F5:$F1004,Expenses!$L5:$L1004,"PAY",Expenses!$J5:$J1004,$R259,Expenses!$E5:$E1004,$A259)),""))</f>
        <v/>
      </c>
      <c r="K259" s="110">
        <f>IF($H259="","",N($H259)-N($I259)-N($J259))</f>
        <v/>
      </c>
      <c r="L259" s="111">
        <f>IF($K259="","",IF($K259&gt;0.5,"TO PAY",IF($K259&lt;-0.5,"ADVANCE / OWES","SETTLED")))</f>
        <v/>
      </c>
      <c r="R259" s="112" t="n">
        <v>46569</v>
      </c>
    </row>
    <row r="260">
      <c r="A260" s="104">
        <f>IF(Setup!$A78="","",Setup!$A78)</f>
        <v/>
      </c>
      <c r="B260" s="105">
        <f>IF($A260="","",Setup!$B78)</f>
        <v/>
      </c>
      <c r="C260" s="106">
        <f>IF($A260="","",IF(COUNTIFS(Trips!$Z5:$Z1004,$R260,Trips!$D5:$D1004,$A260)+COUNTIFS(Trips!$Z5:$Z1004,$R260,Trips!$E5:$E1004,$A260)=0,"",COUNTIFS(Trips!$Z5:$Z1004,$R260,Trips!$D5:$D1004,$A260)+COUNTIFS(Trips!$Z5:$Z1004,$R260,Trips!$E5:$E1004,$A260)))</f>
        <v/>
      </c>
      <c r="D260" s="107">
        <f>IF($C260="","",SUMIFS(Trips!$K5:$K1004,Trips!$Z5:$Z1004,$R260,Trips!$D5:$D1004,$A260)+SUMIFS(Trips!$K5:$K1004,Trips!$Z5:$Z1004,$R260,Trips!$E5:$E1004,$A260))</f>
        <v/>
      </c>
      <c r="E260" s="108">
        <f>IF($C260="","",SUMIFS(Trips!$N5:$N1004,Trips!$Z5:$Z1004,$R260,Trips!$D5:$D1004,$A260)+SUMIFS(Trips!$O5:$O1004,Trips!$Z5:$Z1004,$R260,Trips!$E5:$E1004,$A260))</f>
        <v/>
      </c>
      <c r="F260" s="109">
        <f>IF($C260="","",SUMIFS(Trips!$P5:$P1004,Trips!$Z5:$Z1004,$R260,Trips!$D5:$D1004,$A260))</f>
        <v/>
      </c>
      <c r="G260" s="109">
        <f>IF($C260="","",SUMIFS(Trips!$Q5:$Q1004,Trips!$Z5:$Z1004,$R260,Trips!$D5:$D1004,$A260))</f>
        <v/>
      </c>
      <c r="H260" s="108">
        <f>IF(AND($C260="",$I260="",$J260=""),"",N($E260)+N($F260)+N($G260))</f>
        <v/>
      </c>
      <c r="I260" s="109">
        <f>IF($A260="","",IFERROR(1/(1/SUMIFS(Expenses!$F5:$F1004,Expenses!$L5:$L1004,"ADV",Expenses!$J5:$J1004,$R260,Expenses!$E5:$E1004,$A260)),""))</f>
        <v/>
      </c>
      <c r="J260" s="109">
        <f>IF($A260="","",IFERROR(1/(1/SUMIFS(Expenses!$F5:$F1004,Expenses!$L5:$L1004,"PAY",Expenses!$J5:$J1004,$R260,Expenses!$E5:$E1004,$A260)),""))</f>
        <v/>
      </c>
      <c r="K260" s="110">
        <f>IF($H260="","",N($H260)-N($I260)-N($J260))</f>
        <v/>
      </c>
      <c r="L260" s="111">
        <f>IF($K260="","",IF($K260&gt;0.5,"TO PAY",IF($K260&lt;-0.5,"ADVANCE / OWES","SETTLED")))</f>
        <v/>
      </c>
      <c r="R260" s="112" t="n">
        <v>46569</v>
      </c>
    </row>
    <row r="261">
      <c r="A261" s="104">
        <f>IF(Setup!$A79="","",Setup!$A79)</f>
        <v/>
      </c>
      <c r="B261" s="105">
        <f>IF($A261="","",Setup!$B79)</f>
        <v/>
      </c>
      <c r="C261" s="106">
        <f>IF($A261="","",IF(COUNTIFS(Trips!$Z5:$Z1004,$R261,Trips!$D5:$D1004,$A261)+COUNTIFS(Trips!$Z5:$Z1004,$R261,Trips!$E5:$E1004,$A261)=0,"",COUNTIFS(Trips!$Z5:$Z1004,$R261,Trips!$D5:$D1004,$A261)+COUNTIFS(Trips!$Z5:$Z1004,$R261,Trips!$E5:$E1004,$A261)))</f>
        <v/>
      </c>
      <c r="D261" s="107">
        <f>IF($C261="","",SUMIFS(Trips!$K5:$K1004,Trips!$Z5:$Z1004,$R261,Trips!$D5:$D1004,$A261)+SUMIFS(Trips!$K5:$K1004,Trips!$Z5:$Z1004,$R261,Trips!$E5:$E1004,$A261))</f>
        <v/>
      </c>
      <c r="E261" s="108">
        <f>IF($C261="","",SUMIFS(Trips!$N5:$N1004,Trips!$Z5:$Z1004,$R261,Trips!$D5:$D1004,$A261)+SUMIFS(Trips!$O5:$O1004,Trips!$Z5:$Z1004,$R261,Trips!$E5:$E1004,$A261))</f>
        <v/>
      </c>
      <c r="F261" s="109">
        <f>IF($C261="","",SUMIFS(Trips!$P5:$P1004,Trips!$Z5:$Z1004,$R261,Trips!$D5:$D1004,$A261))</f>
        <v/>
      </c>
      <c r="G261" s="109">
        <f>IF($C261="","",SUMIFS(Trips!$Q5:$Q1004,Trips!$Z5:$Z1004,$R261,Trips!$D5:$D1004,$A261))</f>
        <v/>
      </c>
      <c r="H261" s="108">
        <f>IF(AND($C261="",$I261="",$J261=""),"",N($E261)+N($F261)+N($G261))</f>
        <v/>
      </c>
      <c r="I261" s="109">
        <f>IF($A261="","",IFERROR(1/(1/SUMIFS(Expenses!$F5:$F1004,Expenses!$L5:$L1004,"ADV",Expenses!$J5:$J1004,$R261,Expenses!$E5:$E1004,$A261)),""))</f>
        <v/>
      </c>
      <c r="J261" s="109">
        <f>IF($A261="","",IFERROR(1/(1/SUMIFS(Expenses!$F5:$F1004,Expenses!$L5:$L1004,"PAY",Expenses!$J5:$J1004,$R261,Expenses!$E5:$E1004,$A261)),""))</f>
        <v/>
      </c>
      <c r="K261" s="110">
        <f>IF($H261="","",N($H261)-N($I261)-N($J261))</f>
        <v/>
      </c>
      <c r="L261" s="111">
        <f>IF($K261="","",IF($K261&gt;0.5,"TO PAY",IF($K261&lt;-0.5,"ADVANCE / OWES","SETTLED")))</f>
        <v/>
      </c>
      <c r="R261" s="112" t="n">
        <v>46569</v>
      </c>
    </row>
    <row r="262">
      <c r="A262" s="104">
        <f>IF(Setup!$A80="","",Setup!$A80)</f>
        <v/>
      </c>
      <c r="B262" s="105">
        <f>IF($A262="","",Setup!$B80)</f>
        <v/>
      </c>
      <c r="C262" s="106">
        <f>IF($A262="","",IF(COUNTIFS(Trips!$Z5:$Z1004,$R262,Trips!$D5:$D1004,$A262)+COUNTIFS(Trips!$Z5:$Z1004,$R262,Trips!$E5:$E1004,$A262)=0,"",COUNTIFS(Trips!$Z5:$Z1004,$R262,Trips!$D5:$D1004,$A262)+COUNTIFS(Trips!$Z5:$Z1004,$R262,Trips!$E5:$E1004,$A262)))</f>
        <v/>
      </c>
      <c r="D262" s="107">
        <f>IF($C262="","",SUMIFS(Trips!$K5:$K1004,Trips!$Z5:$Z1004,$R262,Trips!$D5:$D1004,$A262)+SUMIFS(Trips!$K5:$K1004,Trips!$Z5:$Z1004,$R262,Trips!$E5:$E1004,$A262))</f>
        <v/>
      </c>
      <c r="E262" s="108">
        <f>IF($C262="","",SUMIFS(Trips!$N5:$N1004,Trips!$Z5:$Z1004,$R262,Trips!$D5:$D1004,$A262)+SUMIFS(Trips!$O5:$O1004,Trips!$Z5:$Z1004,$R262,Trips!$E5:$E1004,$A262))</f>
        <v/>
      </c>
      <c r="F262" s="109">
        <f>IF($C262="","",SUMIFS(Trips!$P5:$P1004,Trips!$Z5:$Z1004,$R262,Trips!$D5:$D1004,$A262))</f>
        <v/>
      </c>
      <c r="G262" s="109">
        <f>IF($C262="","",SUMIFS(Trips!$Q5:$Q1004,Trips!$Z5:$Z1004,$R262,Trips!$D5:$D1004,$A262))</f>
        <v/>
      </c>
      <c r="H262" s="108">
        <f>IF(AND($C262="",$I262="",$J262=""),"",N($E262)+N($F262)+N($G262))</f>
        <v/>
      </c>
      <c r="I262" s="109">
        <f>IF($A262="","",IFERROR(1/(1/SUMIFS(Expenses!$F5:$F1004,Expenses!$L5:$L1004,"ADV",Expenses!$J5:$J1004,$R262,Expenses!$E5:$E1004,$A262)),""))</f>
        <v/>
      </c>
      <c r="J262" s="109">
        <f>IF($A262="","",IFERROR(1/(1/SUMIFS(Expenses!$F5:$F1004,Expenses!$L5:$L1004,"PAY",Expenses!$J5:$J1004,$R262,Expenses!$E5:$E1004,$A262)),""))</f>
        <v/>
      </c>
      <c r="K262" s="110">
        <f>IF($H262="","",N($H262)-N($I262)-N($J262))</f>
        <v/>
      </c>
      <c r="L262" s="111">
        <f>IF($K262="","",IF($K262&gt;0.5,"TO PAY",IF($K262&lt;-0.5,"ADVANCE / OWES","SETTLED")))</f>
        <v/>
      </c>
      <c r="R262" s="112" t="n">
        <v>46569</v>
      </c>
    </row>
    <row r="263">
      <c r="A263" s="104">
        <f>IF(Setup!$A81="","",Setup!$A81)</f>
        <v/>
      </c>
      <c r="B263" s="105">
        <f>IF($A263="","",Setup!$B81)</f>
        <v/>
      </c>
      <c r="C263" s="106">
        <f>IF($A263="","",IF(COUNTIFS(Trips!$Z5:$Z1004,$R263,Trips!$D5:$D1004,$A263)+COUNTIFS(Trips!$Z5:$Z1004,$R263,Trips!$E5:$E1004,$A263)=0,"",COUNTIFS(Trips!$Z5:$Z1004,$R263,Trips!$D5:$D1004,$A263)+COUNTIFS(Trips!$Z5:$Z1004,$R263,Trips!$E5:$E1004,$A263)))</f>
        <v/>
      </c>
      <c r="D263" s="107">
        <f>IF($C263="","",SUMIFS(Trips!$K5:$K1004,Trips!$Z5:$Z1004,$R263,Trips!$D5:$D1004,$A263)+SUMIFS(Trips!$K5:$K1004,Trips!$Z5:$Z1004,$R263,Trips!$E5:$E1004,$A263))</f>
        <v/>
      </c>
      <c r="E263" s="108">
        <f>IF($C263="","",SUMIFS(Trips!$N5:$N1004,Trips!$Z5:$Z1004,$R263,Trips!$D5:$D1004,$A263)+SUMIFS(Trips!$O5:$O1004,Trips!$Z5:$Z1004,$R263,Trips!$E5:$E1004,$A263))</f>
        <v/>
      </c>
      <c r="F263" s="109">
        <f>IF($C263="","",SUMIFS(Trips!$P5:$P1004,Trips!$Z5:$Z1004,$R263,Trips!$D5:$D1004,$A263))</f>
        <v/>
      </c>
      <c r="G263" s="109">
        <f>IF($C263="","",SUMIFS(Trips!$Q5:$Q1004,Trips!$Z5:$Z1004,$R263,Trips!$D5:$D1004,$A263))</f>
        <v/>
      </c>
      <c r="H263" s="108">
        <f>IF(AND($C263="",$I263="",$J263=""),"",N($E263)+N($F263)+N($G263))</f>
        <v/>
      </c>
      <c r="I263" s="109">
        <f>IF($A263="","",IFERROR(1/(1/SUMIFS(Expenses!$F5:$F1004,Expenses!$L5:$L1004,"ADV",Expenses!$J5:$J1004,$R263,Expenses!$E5:$E1004,$A263)),""))</f>
        <v/>
      </c>
      <c r="J263" s="109">
        <f>IF($A263="","",IFERROR(1/(1/SUMIFS(Expenses!$F5:$F1004,Expenses!$L5:$L1004,"PAY",Expenses!$J5:$J1004,$R263,Expenses!$E5:$E1004,$A263)),""))</f>
        <v/>
      </c>
      <c r="K263" s="110">
        <f>IF($H263="","",N($H263)-N($I263)-N($J263))</f>
        <v/>
      </c>
      <c r="L263" s="111">
        <f>IF($K263="","",IF($K263&gt;0.5,"TO PAY",IF($K263&lt;-0.5,"ADVANCE / OWES","SETTLED")))</f>
        <v/>
      </c>
      <c r="R263" s="112" t="n">
        <v>46569</v>
      </c>
    </row>
    <row r="264">
      <c r="A264" s="104">
        <f>IF(Setup!$A82="","",Setup!$A82)</f>
        <v/>
      </c>
      <c r="B264" s="105">
        <f>IF($A264="","",Setup!$B82)</f>
        <v/>
      </c>
      <c r="C264" s="106">
        <f>IF($A264="","",IF(COUNTIFS(Trips!$Z5:$Z1004,$R264,Trips!$D5:$D1004,$A264)+COUNTIFS(Trips!$Z5:$Z1004,$R264,Trips!$E5:$E1004,$A264)=0,"",COUNTIFS(Trips!$Z5:$Z1004,$R264,Trips!$D5:$D1004,$A264)+COUNTIFS(Trips!$Z5:$Z1004,$R264,Trips!$E5:$E1004,$A264)))</f>
        <v/>
      </c>
      <c r="D264" s="107">
        <f>IF($C264="","",SUMIFS(Trips!$K5:$K1004,Trips!$Z5:$Z1004,$R264,Trips!$D5:$D1004,$A264)+SUMIFS(Trips!$K5:$K1004,Trips!$Z5:$Z1004,$R264,Trips!$E5:$E1004,$A264))</f>
        <v/>
      </c>
      <c r="E264" s="108">
        <f>IF($C264="","",SUMIFS(Trips!$N5:$N1004,Trips!$Z5:$Z1004,$R264,Trips!$D5:$D1004,$A264)+SUMIFS(Trips!$O5:$O1004,Trips!$Z5:$Z1004,$R264,Trips!$E5:$E1004,$A264))</f>
        <v/>
      </c>
      <c r="F264" s="109">
        <f>IF($C264="","",SUMIFS(Trips!$P5:$P1004,Trips!$Z5:$Z1004,$R264,Trips!$D5:$D1004,$A264))</f>
        <v/>
      </c>
      <c r="G264" s="109">
        <f>IF($C264="","",SUMIFS(Trips!$Q5:$Q1004,Trips!$Z5:$Z1004,$R264,Trips!$D5:$D1004,$A264))</f>
        <v/>
      </c>
      <c r="H264" s="108">
        <f>IF(AND($C264="",$I264="",$J264=""),"",N($E264)+N($F264)+N($G264))</f>
        <v/>
      </c>
      <c r="I264" s="109">
        <f>IF($A264="","",IFERROR(1/(1/SUMIFS(Expenses!$F5:$F1004,Expenses!$L5:$L1004,"ADV",Expenses!$J5:$J1004,$R264,Expenses!$E5:$E1004,$A264)),""))</f>
        <v/>
      </c>
      <c r="J264" s="109">
        <f>IF($A264="","",IFERROR(1/(1/SUMIFS(Expenses!$F5:$F1004,Expenses!$L5:$L1004,"PAY",Expenses!$J5:$J1004,$R264,Expenses!$E5:$E1004,$A264)),""))</f>
        <v/>
      </c>
      <c r="K264" s="110">
        <f>IF($H264="","",N($H264)-N($I264)-N($J264))</f>
        <v/>
      </c>
      <c r="L264" s="111">
        <f>IF($K264="","",IF($K264&gt;0.5,"TO PAY",IF($K264&lt;-0.5,"ADVANCE / OWES","SETTLED")))</f>
        <v/>
      </c>
      <c r="R264" s="112" t="n">
        <v>46569</v>
      </c>
    </row>
    <row r="265">
      <c r="A265" s="104">
        <f>IF(Setup!$A83="","",Setup!$A83)</f>
        <v/>
      </c>
      <c r="B265" s="105">
        <f>IF($A265="","",Setup!$B83)</f>
        <v/>
      </c>
      <c r="C265" s="106">
        <f>IF($A265="","",IF(COUNTIFS(Trips!$Z5:$Z1004,$R265,Trips!$D5:$D1004,$A265)+COUNTIFS(Trips!$Z5:$Z1004,$R265,Trips!$E5:$E1004,$A265)=0,"",COUNTIFS(Trips!$Z5:$Z1004,$R265,Trips!$D5:$D1004,$A265)+COUNTIFS(Trips!$Z5:$Z1004,$R265,Trips!$E5:$E1004,$A265)))</f>
        <v/>
      </c>
      <c r="D265" s="107">
        <f>IF($C265="","",SUMIFS(Trips!$K5:$K1004,Trips!$Z5:$Z1004,$R265,Trips!$D5:$D1004,$A265)+SUMIFS(Trips!$K5:$K1004,Trips!$Z5:$Z1004,$R265,Trips!$E5:$E1004,$A265))</f>
        <v/>
      </c>
      <c r="E265" s="108">
        <f>IF($C265="","",SUMIFS(Trips!$N5:$N1004,Trips!$Z5:$Z1004,$R265,Trips!$D5:$D1004,$A265)+SUMIFS(Trips!$O5:$O1004,Trips!$Z5:$Z1004,$R265,Trips!$E5:$E1004,$A265))</f>
        <v/>
      </c>
      <c r="F265" s="109">
        <f>IF($C265="","",SUMIFS(Trips!$P5:$P1004,Trips!$Z5:$Z1004,$R265,Trips!$D5:$D1004,$A265))</f>
        <v/>
      </c>
      <c r="G265" s="109">
        <f>IF($C265="","",SUMIFS(Trips!$Q5:$Q1004,Trips!$Z5:$Z1004,$R265,Trips!$D5:$D1004,$A265))</f>
        <v/>
      </c>
      <c r="H265" s="108">
        <f>IF(AND($C265="",$I265="",$J265=""),"",N($E265)+N($F265)+N($G265))</f>
        <v/>
      </c>
      <c r="I265" s="109">
        <f>IF($A265="","",IFERROR(1/(1/SUMIFS(Expenses!$F5:$F1004,Expenses!$L5:$L1004,"ADV",Expenses!$J5:$J1004,$R265,Expenses!$E5:$E1004,$A265)),""))</f>
        <v/>
      </c>
      <c r="J265" s="109">
        <f>IF($A265="","",IFERROR(1/(1/SUMIFS(Expenses!$F5:$F1004,Expenses!$L5:$L1004,"PAY",Expenses!$J5:$J1004,$R265,Expenses!$E5:$E1004,$A265)),""))</f>
        <v/>
      </c>
      <c r="K265" s="110">
        <f>IF($H265="","",N($H265)-N($I265)-N($J265))</f>
        <v/>
      </c>
      <c r="L265" s="111">
        <f>IF($K265="","",IF($K265&gt;0.5,"TO PAY",IF($K265&lt;-0.5,"ADVANCE / OWES","SETTLED")))</f>
        <v/>
      </c>
      <c r="R265" s="112" t="n">
        <v>46569</v>
      </c>
    </row>
    <row r="266">
      <c r="A266" s="104">
        <f>IF(Setup!$A84="","",Setup!$A84)</f>
        <v/>
      </c>
      <c r="B266" s="105">
        <f>IF($A266="","",Setup!$B84)</f>
        <v/>
      </c>
      <c r="C266" s="106">
        <f>IF($A266="","",IF(COUNTIFS(Trips!$Z5:$Z1004,$R266,Trips!$D5:$D1004,$A266)+COUNTIFS(Trips!$Z5:$Z1004,$R266,Trips!$E5:$E1004,$A266)=0,"",COUNTIFS(Trips!$Z5:$Z1004,$R266,Trips!$D5:$D1004,$A266)+COUNTIFS(Trips!$Z5:$Z1004,$R266,Trips!$E5:$E1004,$A266)))</f>
        <v/>
      </c>
      <c r="D266" s="107">
        <f>IF($C266="","",SUMIFS(Trips!$K5:$K1004,Trips!$Z5:$Z1004,$R266,Trips!$D5:$D1004,$A266)+SUMIFS(Trips!$K5:$K1004,Trips!$Z5:$Z1004,$R266,Trips!$E5:$E1004,$A266))</f>
        <v/>
      </c>
      <c r="E266" s="108">
        <f>IF($C266="","",SUMIFS(Trips!$N5:$N1004,Trips!$Z5:$Z1004,$R266,Trips!$D5:$D1004,$A266)+SUMIFS(Trips!$O5:$O1004,Trips!$Z5:$Z1004,$R266,Trips!$E5:$E1004,$A266))</f>
        <v/>
      </c>
      <c r="F266" s="109">
        <f>IF($C266="","",SUMIFS(Trips!$P5:$P1004,Trips!$Z5:$Z1004,$R266,Trips!$D5:$D1004,$A266))</f>
        <v/>
      </c>
      <c r="G266" s="109">
        <f>IF($C266="","",SUMIFS(Trips!$Q5:$Q1004,Trips!$Z5:$Z1004,$R266,Trips!$D5:$D1004,$A266))</f>
        <v/>
      </c>
      <c r="H266" s="108">
        <f>IF(AND($C266="",$I266="",$J266=""),"",N($E266)+N($F266)+N($G266))</f>
        <v/>
      </c>
      <c r="I266" s="109">
        <f>IF($A266="","",IFERROR(1/(1/SUMIFS(Expenses!$F5:$F1004,Expenses!$L5:$L1004,"ADV",Expenses!$J5:$J1004,$R266,Expenses!$E5:$E1004,$A266)),""))</f>
        <v/>
      </c>
      <c r="J266" s="109">
        <f>IF($A266="","",IFERROR(1/(1/SUMIFS(Expenses!$F5:$F1004,Expenses!$L5:$L1004,"PAY",Expenses!$J5:$J1004,$R266,Expenses!$E5:$E1004,$A266)),""))</f>
        <v/>
      </c>
      <c r="K266" s="110">
        <f>IF($H266="","",N($H266)-N($I266)-N($J266))</f>
        <v/>
      </c>
      <c r="L266" s="111">
        <f>IF($K266="","",IF($K266&gt;0.5,"TO PAY",IF($K266&lt;-0.5,"ADVANCE / OWES","SETTLED")))</f>
        <v/>
      </c>
      <c r="R266" s="112" t="n">
        <v>46569</v>
      </c>
    </row>
    <row r="267">
      <c r="A267" s="104">
        <f>IF(Setup!$A85="","",Setup!$A85)</f>
        <v/>
      </c>
      <c r="B267" s="105">
        <f>IF($A267="","",Setup!$B85)</f>
        <v/>
      </c>
      <c r="C267" s="106">
        <f>IF($A267="","",IF(COUNTIFS(Trips!$Z5:$Z1004,$R267,Trips!$D5:$D1004,$A267)+COUNTIFS(Trips!$Z5:$Z1004,$R267,Trips!$E5:$E1004,$A267)=0,"",COUNTIFS(Trips!$Z5:$Z1004,$R267,Trips!$D5:$D1004,$A267)+COUNTIFS(Trips!$Z5:$Z1004,$R267,Trips!$E5:$E1004,$A267)))</f>
        <v/>
      </c>
      <c r="D267" s="107">
        <f>IF($C267="","",SUMIFS(Trips!$K5:$K1004,Trips!$Z5:$Z1004,$R267,Trips!$D5:$D1004,$A267)+SUMIFS(Trips!$K5:$K1004,Trips!$Z5:$Z1004,$R267,Trips!$E5:$E1004,$A267))</f>
        <v/>
      </c>
      <c r="E267" s="108">
        <f>IF($C267="","",SUMIFS(Trips!$N5:$N1004,Trips!$Z5:$Z1004,$R267,Trips!$D5:$D1004,$A267)+SUMIFS(Trips!$O5:$O1004,Trips!$Z5:$Z1004,$R267,Trips!$E5:$E1004,$A267))</f>
        <v/>
      </c>
      <c r="F267" s="109">
        <f>IF($C267="","",SUMIFS(Trips!$P5:$P1004,Trips!$Z5:$Z1004,$R267,Trips!$D5:$D1004,$A267))</f>
        <v/>
      </c>
      <c r="G267" s="109">
        <f>IF($C267="","",SUMIFS(Trips!$Q5:$Q1004,Trips!$Z5:$Z1004,$R267,Trips!$D5:$D1004,$A267))</f>
        <v/>
      </c>
      <c r="H267" s="108">
        <f>IF(AND($C267="",$I267="",$J267=""),"",N($E267)+N($F267)+N($G267))</f>
        <v/>
      </c>
      <c r="I267" s="109">
        <f>IF($A267="","",IFERROR(1/(1/SUMIFS(Expenses!$F5:$F1004,Expenses!$L5:$L1004,"ADV",Expenses!$J5:$J1004,$R267,Expenses!$E5:$E1004,$A267)),""))</f>
        <v/>
      </c>
      <c r="J267" s="109">
        <f>IF($A267="","",IFERROR(1/(1/SUMIFS(Expenses!$F5:$F1004,Expenses!$L5:$L1004,"PAY",Expenses!$J5:$J1004,$R267,Expenses!$E5:$E1004,$A267)),""))</f>
        <v/>
      </c>
      <c r="K267" s="110">
        <f>IF($H267="","",N($H267)-N($I267)-N($J267))</f>
        <v/>
      </c>
      <c r="L267" s="111">
        <f>IF($K267="","",IF($K267&gt;0.5,"TO PAY",IF($K267&lt;-0.5,"ADVANCE / OWES","SETTLED")))</f>
        <v/>
      </c>
      <c r="R267" s="112" t="n">
        <v>46569</v>
      </c>
    </row>
    <row r="268">
      <c r="A268" s="104">
        <f>IF(Setup!$A86="","",Setup!$A86)</f>
        <v/>
      </c>
      <c r="B268" s="105">
        <f>IF($A268="","",Setup!$B86)</f>
        <v/>
      </c>
      <c r="C268" s="106">
        <f>IF($A268="","",IF(COUNTIFS(Trips!$Z5:$Z1004,$R268,Trips!$D5:$D1004,$A268)+COUNTIFS(Trips!$Z5:$Z1004,$R268,Trips!$E5:$E1004,$A268)=0,"",COUNTIFS(Trips!$Z5:$Z1004,$R268,Trips!$D5:$D1004,$A268)+COUNTIFS(Trips!$Z5:$Z1004,$R268,Trips!$E5:$E1004,$A268)))</f>
        <v/>
      </c>
      <c r="D268" s="107">
        <f>IF($C268="","",SUMIFS(Trips!$K5:$K1004,Trips!$Z5:$Z1004,$R268,Trips!$D5:$D1004,$A268)+SUMIFS(Trips!$K5:$K1004,Trips!$Z5:$Z1004,$R268,Trips!$E5:$E1004,$A268))</f>
        <v/>
      </c>
      <c r="E268" s="108">
        <f>IF($C268="","",SUMIFS(Trips!$N5:$N1004,Trips!$Z5:$Z1004,$R268,Trips!$D5:$D1004,$A268)+SUMIFS(Trips!$O5:$O1004,Trips!$Z5:$Z1004,$R268,Trips!$E5:$E1004,$A268))</f>
        <v/>
      </c>
      <c r="F268" s="109">
        <f>IF($C268="","",SUMIFS(Trips!$P5:$P1004,Trips!$Z5:$Z1004,$R268,Trips!$D5:$D1004,$A268))</f>
        <v/>
      </c>
      <c r="G268" s="109">
        <f>IF($C268="","",SUMIFS(Trips!$Q5:$Q1004,Trips!$Z5:$Z1004,$R268,Trips!$D5:$D1004,$A268))</f>
        <v/>
      </c>
      <c r="H268" s="108">
        <f>IF(AND($C268="",$I268="",$J268=""),"",N($E268)+N($F268)+N($G268))</f>
        <v/>
      </c>
      <c r="I268" s="109">
        <f>IF($A268="","",IFERROR(1/(1/SUMIFS(Expenses!$F5:$F1004,Expenses!$L5:$L1004,"ADV",Expenses!$J5:$J1004,$R268,Expenses!$E5:$E1004,$A268)),""))</f>
        <v/>
      </c>
      <c r="J268" s="109">
        <f>IF($A268="","",IFERROR(1/(1/SUMIFS(Expenses!$F5:$F1004,Expenses!$L5:$L1004,"PAY",Expenses!$J5:$J1004,$R268,Expenses!$E5:$E1004,$A268)),""))</f>
        <v/>
      </c>
      <c r="K268" s="110">
        <f>IF($H268="","",N($H268)-N($I268)-N($J268))</f>
        <v/>
      </c>
      <c r="L268" s="111">
        <f>IF($K268="","",IF($K268&gt;0.5,"TO PAY",IF($K268&lt;-0.5,"ADVANCE / OWES","SETTLED")))</f>
        <v/>
      </c>
      <c r="R268" s="112" t="n">
        <v>46569</v>
      </c>
    </row>
    <row r="269">
      <c r="A269" s="104">
        <f>IF(Setup!$A87="","",Setup!$A87)</f>
        <v/>
      </c>
      <c r="B269" s="105">
        <f>IF($A269="","",Setup!$B87)</f>
        <v/>
      </c>
      <c r="C269" s="106">
        <f>IF($A269="","",IF(COUNTIFS(Trips!$Z5:$Z1004,$R269,Trips!$D5:$D1004,$A269)+COUNTIFS(Trips!$Z5:$Z1004,$R269,Trips!$E5:$E1004,$A269)=0,"",COUNTIFS(Trips!$Z5:$Z1004,$R269,Trips!$D5:$D1004,$A269)+COUNTIFS(Trips!$Z5:$Z1004,$R269,Trips!$E5:$E1004,$A269)))</f>
        <v/>
      </c>
      <c r="D269" s="107">
        <f>IF($C269="","",SUMIFS(Trips!$K5:$K1004,Trips!$Z5:$Z1004,$R269,Trips!$D5:$D1004,$A269)+SUMIFS(Trips!$K5:$K1004,Trips!$Z5:$Z1004,$R269,Trips!$E5:$E1004,$A269))</f>
        <v/>
      </c>
      <c r="E269" s="108">
        <f>IF($C269="","",SUMIFS(Trips!$N5:$N1004,Trips!$Z5:$Z1004,$R269,Trips!$D5:$D1004,$A269)+SUMIFS(Trips!$O5:$O1004,Trips!$Z5:$Z1004,$R269,Trips!$E5:$E1004,$A269))</f>
        <v/>
      </c>
      <c r="F269" s="109">
        <f>IF($C269="","",SUMIFS(Trips!$P5:$P1004,Trips!$Z5:$Z1004,$R269,Trips!$D5:$D1004,$A269))</f>
        <v/>
      </c>
      <c r="G269" s="109">
        <f>IF($C269="","",SUMIFS(Trips!$Q5:$Q1004,Trips!$Z5:$Z1004,$R269,Trips!$D5:$D1004,$A269))</f>
        <v/>
      </c>
      <c r="H269" s="108">
        <f>IF(AND($C269="",$I269="",$J269=""),"",N($E269)+N($F269)+N($G269))</f>
        <v/>
      </c>
      <c r="I269" s="109">
        <f>IF($A269="","",IFERROR(1/(1/SUMIFS(Expenses!$F5:$F1004,Expenses!$L5:$L1004,"ADV",Expenses!$J5:$J1004,$R269,Expenses!$E5:$E1004,$A269)),""))</f>
        <v/>
      </c>
      <c r="J269" s="109">
        <f>IF($A269="","",IFERROR(1/(1/SUMIFS(Expenses!$F5:$F1004,Expenses!$L5:$L1004,"PAY",Expenses!$J5:$J1004,$R269,Expenses!$E5:$E1004,$A269)),""))</f>
        <v/>
      </c>
      <c r="K269" s="110">
        <f>IF($H269="","",N($H269)-N($I269)-N($J269))</f>
        <v/>
      </c>
      <c r="L269" s="111">
        <f>IF($K269="","",IF($K269&gt;0.5,"TO PAY",IF($K269&lt;-0.5,"ADVANCE / OWES","SETTLED")))</f>
        <v/>
      </c>
      <c r="R269" s="112" t="n">
        <v>46569</v>
      </c>
    </row>
    <row r="270">
      <c r="A270" s="113" t="inlineStr">
        <is>
          <t>MONTH TOTAL</t>
        </is>
      </c>
      <c r="B270" s="114" t="n"/>
      <c r="C270" s="115">
        <f>IF(COUNT(C258:C269)=0,"",SUM(C258:C269))</f>
        <v/>
      </c>
      <c r="D270" s="116">
        <f>IF(COUNT(D258:D269)=0,"",SUM(D258:D269))</f>
        <v/>
      </c>
      <c r="E270" s="117">
        <f>IF(COUNT(E258:E269)=0,"",SUM(E258:E269))</f>
        <v/>
      </c>
      <c r="F270" s="117">
        <f>IF(COUNT(F258:F269)=0,"",SUM(F258:F269))</f>
        <v/>
      </c>
      <c r="G270" s="117">
        <f>IF(COUNT(G258:G269)=0,"",SUM(G258:G269))</f>
        <v/>
      </c>
      <c r="H270" s="117">
        <f>IF(COUNT(H258:H269)=0,"",SUM(H258:H269))</f>
        <v/>
      </c>
      <c r="I270" s="117">
        <f>IF(COUNT(I258:I269)=0,"",SUM(I258:I269))</f>
        <v/>
      </c>
      <c r="J270" s="117">
        <f>IF(COUNT(J258:J269)=0,"",SUM(J258:J269))</f>
        <v/>
      </c>
      <c r="K270" s="117">
        <f>IF(COUNT(K258:K269)=0,"",SUM(K258:K269))</f>
        <v/>
      </c>
      <c r="L270" s="118" t="n"/>
    </row>
    <row r="271" ht="24" customHeight="1">
      <c r="A271" s="103" t="inlineStr">
        <is>
          <t>AUGUST 2027   ·   crew earnings &amp; settlement</t>
        </is>
      </c>
    </row>
    <row r="272">
      <c r="A272" s="104">
        <f>IF(Setup!$A76="","",Setup!$A76)</f>
        <v/>
      </c>
      <c r="B272" s="105">
        <f>IF($A272="","",Setup!$B76)</f>
        <v/>
      </c>
      <c r="C272" s="106">
        <f>IF($A272="","",IF(COUNTIFS(Trips!$Z5:$Z1004,$R272,Trips!$D5:$D1004,$A272)+COUNTIFS(Trips!$Z5:$Z1004,$R272,Trips!$E5:$E1004,$A272)=0,"",COUNTIFS(Trips!$Z5:$Z1004,$R272,Trips!$D5:$D1004,$A272)+COUNTIFS(Trips!$Z5:$Z1004,$R272,Trips!$E5:$E1004,$A272)))</f>
        <v/>
      </c>
      <c r="D272" s="107">
        <f>IF($C272="","",SUMIFS(Trips!$K5:$K1004,Trips!$Z5:$Z1004,$R272,Trips!$D5:$D1004,$A272)+SUMIFS(Trips!$K5:$K1004,Trips!$Z5:$Z1004,$R272,Trips!$E5:$E1004,$A272))</f>
        <v/>
      </c>
      <c r="E272" s="108">
        <f>IF($C272="","",SUMIFS(Trips!$N5:$N1004,Trips!$Z5:$Z1004,$R272,Trips!$D5:$D1004,$A272)+SUMIFS(Trips!$O5:$O1004,Trips!$Z5:$Z1004,$R272,Trips!$E5:$E1004,$A272))</f>
        <v/>
      </c>
      <c r="F272" s="109">
        <f>IF($C272="","",SUMIFS(Trips!$P5:$P1004,Trips!$Z5:$Z1004,$R272,Trips!$D5:$D1004,$A272))</f>
        <v/>
      </c>
      <c r="G272" s="109">
        <f>IF($C272="","",SUMIFS(Trips!$Q5:$Q1004,Trips!$Z5:$Z1004,$R272,Trips!$D5:$D1004,$A272))</f>
        <v/>
      </c>
      <c r="H272" s="108">
        <f>IF(AND($C272="",$I272="",$J272=""),"",N($E272)+N($F272)+N($G272))</f>
        <v/>
      </c>
      <c r="I272" s="109">
        <f>IF($A272="","",IFERROR(1/(1/SUMIFS(Expenses!$F5:$F1004,Expenses!$L5:$L1004,"ADV",Expenses!$J5:$J1004,$R272,Expenses!$E5:$E1004,$A272)),""))</f>
        <v/>
      </c>
      <c r="J272" s="109">
        <f>IF($A272="","",IFERROR(1/(1/SUMIFS(Expenses!$F5:$F1004,Expenses!$L5:$L1004,"PAY",Expenses!$J5:$J1004,$R272,Expenses!$E5:$E1004,$A272)),""))</f>
        <v/>
      </c>
      <c r="K272" s="110">
        <f>IF($H272="","",N($H272)-N($I272)-N($J272))</f>
        <v/>
      </c>
      <c r="L272" s="111">
        <f>IF($K272="","",IF($K272&gt;0.5,"TO PAY",IF($K272&lt;-0.5,"ADVANCE / OWES","SETTLED")))</f>
        <v/>
      </c>
      <c r="R272" s="112" t="n">
        <v>46600</v>
      </c>
    </row>
    <row r="273">
      <c r="A273" s="104">
        <f>IF(Setup!$A77="","",Setup!$A77)</f>
        <v/>
      </c>
      <c r="B273" s="105">
        <f>IF($A273="","",Setup!$B77)</f>
        <v/>
      </c>
      <c r="C273" s="106">
        <f>IF($A273="","",IF(COUNTIFS(Trips!$Z5:$Z1004,$R273,Trips!$D5:$D1004,$A273)+COUNTIFS(Trips!$Z5:$Z1004,$R273,Trips!$E5:$E1004,$A273)=0,"",COUNTIFS(Trips!$Z5:$Z1004,$R273,Trips!$D5:$D1004,$A273)+COUNTIFS(Trips!$Z5:$Z1004,$R273,Trips!$E5:$E1004,$A273)))</f>
        <v/>
      </c>
      <c r="D273" s="107">
        <f>IF($C273="","",SUMIFS(Trips!$K5:$K1004,Trips!$Z5:$Z1004,$R273,Trips!$D5:$D1004,$A273)+SUMIFS(Trips!$K5:$K1004,Trips!$Z5:$Z1004,$R273,Trips!$E5:$E1004,$A273))</f>
        <v/>
      </c>
      <c r="E273" s="108">
        <f>IF($C273="","",SUMIFS(Trips!$N5:$N1004,Trips!$Z5:$Z1004,$R273,Trips!$D5:$D1004,$A273)+SUMIFS(Trips!$O5:$O1004,Trips!$Z5:$Z1004,$R273,Trips!$E5:$E1004,$A273))</f>
        <v/>
      </c>
      <c r="F273" s="109">
        <f>IF($C273="","",SUMIFS(Trips!$P5:$P1004,Trips!$Z5:$Z1004,$R273,Trips!$D5:$D1004,$A273))</f>
        <v/>
      </c>
      <c r="G273" s="109">
        <f>IF($C273="","",SUMIFS(Trips!$Q5:$Q1004,Trips!$Z5:$Z1004,$R273,Trips!$D5:$D1004,$A273))</f>
        <v/>
      </c>
      <c r="H273" s="108">
        <f>IF(AND($C273="",$I273="",$J273=""),"",N($E273)+N($F273)+N($G273))</f>
        <v/>
      </c>
      <c r="I273" s="109">
        <f>IF($A273="","",IFERROR(1/(1/SUMIFS(Expenses!$F5:$F1004,Expenses!$L5:$L1004,"ADV",Expenses!$J5:$J1004,$R273,Expenses!$E5:$E1004,$A273)),""))</f>
        <v/>
      </c>
      <c r="J273" s="109">
        <f>IF($A273="","",IFERROR(1/(1/SUMIFS(Expenses!$F5:$F1004,Expenses!$L5:$L1004,"PAY",Expenses!$J5:$J1004,$R273,Expenses!$E5:$E1004,$A273)),""))</f>
        <v/>
      </c>
      <c r="K273" s="110">
        <f>IF($H273="","",N($H273)-N($I273)-N($J273))</f>
        <v/>
      </c>
      <c r="L273" s="111">
        <f>IF($K273="","",IF($K273&gt;0.5,"TO PAY",IF($K273&lt;-0.5,"ADVANCE / OWES","SETTLED")))</f>
        <v/>
      </c>
      <c r="R273" s="112" t="n">
        <v>46600</v>
      </c>
    </row>
    <row r="274">
      <c r="A274" s="104">
        <f>IF(Setup!$A78="","",Setup!$A78)</f>
        <v/>
      </c>
      <c r="B274" s="105">
        <f>IF($A274="","",Setup!$B78)</f>
        <v/>
      </c>
      <c r="C274" s="106">
        <f>IF($A274="","",IF(COUNTIFS(Trips!$Z5:$Z1004,$R274,Trips!$D5:$D1004,$A274)+COUNTIFS(Trips!$Z5:$Z1004,$R274,Trips!$E5:$E1004,$A274)=0,"",COUNTIFS(Trips!$Z5:$Z1004,$R274,Trips!$D5:$D1004,$A274)+COUNTIFS(Trips!$Z5:$Z1004,$R274,Trips!$E5:$E1004,$A274)))</f>
        <v/>
      </c>
      <c r="D274" s="107">
        <f>IF($C274="","",SUMIFS(Trips!$K5:$K1004,Trips!$Z5:$Z1004,$R274,Trips!$D5:$D1004,$A274)+SUMIFS(Trips!$K5:$K1004,Trips!$Z5:$Z1004,$R274,Trips!$E5:$E1004,$A274))</f>
        <v/>
      </c>
      <c r="E274" s="108">
        <f>IF($C274="","",SUMIFS(Trips!$N5:$N1004,Trips!$Z5:$Z1004,$R274,Trips!$D5:$D1004,$A274)+SUMIFS(Trips!$O5:$O1004,Trips!$Z5:$Z1004,$R274,Trips!$E5:$E1004,$A274))</f>
        <v/>
      </c>
      <c r="F274" s="109">
        <f>IF($C274="","",SUMIFS(Trips!$P5:$P1004,Trips!$Z5:$Z1004,$R274,Trips!$D5:$D1004,$A274))</f>
        <v/>
      </c>
      <c r="G274" s="109">
        <f>IF($C274="","",SUMIFS(Trips!$Q5:$Q1004,Trips!$Z5:$Z1004,$R274,Trips!$D5:$D1004,$A274))</f>
        <v/>
      </c>
      <c r="H274" s="108">
        <f>IF(AND($C274="",$I274="",$J274=""),"",N($E274)+N($F274)+N($G274))</f>
        <v/>
      </c>
      <c r="I274" s="109">
        <f>IF($A274="","",IFERROR(1/(1/SUMIFS(Expenses!$F5:$F1004,Expenses!$L5:$L1004,"ADV",Expenses!$J5:$J1004,$R274,Expenses!$E5:$E1004,$A274)),""))</f>
        <v/>
      </c>
      <c r="J274" s="109">
        <f>IF($A274="","",IFERROR(1/(1/SUMIFS(Expenses!$F5:$F1004,Expenses!$L5:$L1004,"PAY",Expenses!$J5:$J1004,$R274,Expenses!$E5:$E1004,$A274)),""))</f>
        <v/>
      </c>
      <c r="K274" s="110">
        <f>IF($H274="","",N($H274)-N($I274)-N($J274))</f>
        <v/>
      </c>
      <c r="L274" s="111">
        <f>IF($K274="","",IF($K274&gt;0.5,"TO PAY",IF($K274&lt;-0.5,"ADVANCE / OWES","SETTLED")))</f>
        <v/>
      </c>
      <c r="R274" s="112" t="n">
        <v>46600</v>
      </c>
    </row>
    <row r="275">
      <c r="A275" s="104">
        <f>IF(Setup!$A79="","",Setup!$A79)</f>
        <v/>
      </c>
      <c r="B275" s="105">
        <f>IF($A275="","",Setup!$B79)</f>
        <v/>
      </c>
      <c r="C275" s="106">
        <f>IF($A275="","",IF(COUNTIFS(Trips!$Z5:$Z1004,$R275,Trips!$D5:$D1004,$A275)+COUNTIFS(Trips!$Z5:$Z1004,$R275,Trips!$E5:$E1004,$A275)=0,"",COUNTIFS(Trips!$Z5:$Z1004,$R275,Trips!$D5:$D1004,$A275)+COUNTIFS(Trips!$Z5:$Z1004,$R275,Trips!$E5:$E1004,$A275)))</f>
        <v/>
      </c>
      <c r="D275" s="107">
        <f>IF($C275="","",SUMIFS(Trips!$K5:$K1004,Trips!$Z5:$Z1004,$R275,Trips!$D5:$D1004,$A275)+SUMIFS(Trips!$K5:$K1004,Trips!$Z5:$Z1004,$R275,Trips!$E5:$E1004,$A275))</f>
        <v/>
      </c>
      <c r="E275" s="108">
        <f>IF($C275="","",SUMIFS(Trips!$N5:$N1004,Trips!$Z5:$Z1004,$R275,Trips!$D5:$D1004,$A275)+SUMIFS(Trips!$O5:$O1004,Trips!$Z5:$Z1004,$R275,Trips!$E5:$E1004,$A275))</f>
        <v/>
      </c>
      <c r="F275" s="109">
        <f>IF($C275="","",SUMIFS(Trips!$P5:$P1004,Trips!$Z5:$Z1004,$R275,Trips!$D5:$D1004,$A275))</f>
        <v/>
      </c>
      <c r="G275" s="109">
        <f>IF($C275="","",SUMIFS(Trips!$Q5:$Q1004,Trips!$Z5:$Z1004,$R275,Trips!$D5:$D1004,$A275))</f>
        <v/>
      </c>
      <c r="H275" s="108">
        <f>IF(AND($C275="",$I275="",$J275=""),"",N($E275)+N($F275)+N($G275))</f>
        <v/>
      </c>
      <c r="I275" s="109">
        <f>IF($A275="","",IFERROR(1/(1/SUMIFS(Expenses!$F5:$F1004,Expenses!$L5:$L1004,"ADV",Expenses!$J5:$J1004,$R275,Expenses!$E5:$E1004,$A275)),""))</f>
        <v/>
      </c>
      <c r="J275" s="109">
        <f>IF($A275="","",IFERROR(1/(1/SUMIFS(Expenses!$F5:$F1004,Expenses!$L5:$L1004,"PAY",Expenses!$J5:$J1004,$R275,Expenses!$E5:$E1004,$A275)),""))</f>
        <v/>
      </c>
      <c r="K275" s="110">
        <f>IF($H275="","",N($H275)-N($I275)-N($J275))</f>
        <v/>
      </c>
      <c r="L275" s="111">
        <f>IF($K275="","",IF($K275&gt;0.5,"TO PAY",IF($K275&lt;-0.5,"ADVANCE / OWES","SETTLED")))</f>
        <v/>
      </c>
      <c r="R275" s="112" t="n">
        <v>46600</v>
      </c>
    </row>
    <row r="276">
      <c r="A276" s="104">
        <f>IF(Setup!$A80="","",Setup!$A80)</f>
        <v/>
      </c>
      <c r="B276" s="105">
        <f>IF($A276="","",Setup!$B80)</f>
        <v/>
      </c>
      <c r="C276" s="106">
        <f>IF($A276="","",IF(COUNTIFS(Trips!$Z5:$Z1004,$R276,Trips!$D5:$D1004,$A276)+COUNTIFS(Trips!$Z5:$Z1004,$R276,Trips!$E5:$E1004,$A276)=0,"",COUNTIFS(Trips!$Z5:$Z1004,$R276,Trips!$D5:$D1004,$A276)+COUNTIFS(Trips!$Z5:$Z1004,$R276,Trips!$E5:$E1004,$A276)))</f>
        <v/>
      </c>
      <c r="D276" s="107">
        <f>IF($C276="","",SUMIFS(Trips!$K5:$K1004,Trips!$Z5:$Z1004,$R276,Trips!$D5:$D1004,$A276)+SUMIFS(Trips!$K5:$K1004,Trips!$Z5:$Z1004,$R276,Trips!$E5:$E1004,$A276))</f>
        <v/>
      </c>
      <c r="E276" s="108">
        <f>IF($C276="","",SUMIFS(Trips!$N5:$N1004,Trips!$Z5:$Z1004,$R276,Trips!$D5:$D1004,$A276)+SUMIFS(Trips!$O5:$O1004,Trips!$Z5:$Z1004,$R276,Trips!$E5:$E1004,$A276))</f>
        <v/>
      </c>
      <c r="F276" s="109">
        <f>IF($C276="","",SUMIFS(Trips!$P5:$P1004,Trips!$Z5:$Z1004,$R276,Trips!$D5:$D1004,$A276))</f>
        <v/>
      </c>
      <c r="G276" s="109">
        <f>IF($C276="","",SUMIFS(Trips!$Q5:$Q1004,Trips!$Z5:$Z1004,$R276,Trips!$D5:$D1004,$A276))</f>
        <v/>
      </c>
      <c r="H276" s="108">
        <f>IF(AND($C276="",$I276="",$J276=""),"",N($E276)+N($F276)+N($G276))</f>
        <v/>
      </c>
      <c r="I276" s="109">
        <f>IF($A276="","",IFERROR(1/(1/SUMIFS(Expenses!$F5:$F1004,Expenses!$L5:$L1004,"ADV",Expenses!$J5:$J1004,$R276,Expenses!$E5:$E1004,$A276)),""))</f>
        <v/>
      </c>
      <c r="J276" s="109">
        <f>IF($A276="","",IFERROR(1/(1/SUMIFS(Expenses!$F5:$F1004,Expenses!$L5:$L1004,"PAY",Expenses!$J5:$J1004,$R276,Expenses!$E5:$E1004,$A276)),""))</f>
        <v/>
      </c>
      <c r="K276" s="110">
        <f>IF($H276="","",N($H276)-N($I276)-N($J276))</f>
        <v/>
      </c>
      <c r="L276" s="111">
        <f>IF($K276="","",IF($K276&gt;0.5,"TO PAY",IF($K276&lt;-0.5,"ADVANCE / OWES","SETTLED")))</f>
        <v/>
      </c>
      <c r="R276" s="112" t="n">
        <v>46600</v>
      </c>
    </row>
    <row r="277">
      <c r="A277" s="104">
        <f>IF(Setup!$A81="","",Setup!$A81)</f>
        <v/>
      </c>
      <c r="B277" s="105">
        <f>IF($A277="","",Setup!$B81)</f>
        <v/>
      </c>
      <c r="C277" s="106">
        <f>IF($A277="","",IF(COUNTIFS(Trips!$Z5:$Z1004,$R277,Trips!$D5:$D1004,$A277)+COUNTIFS(Trips!$Z5:$Z1004,$R277,Trips!$E5:$E1004,$A277)=0,"",COUNTIFS(Trips!$Z5:$Z1004,$R277,Trips!$D5:$D1004,$A277)+COUNTIFS(Trips!$Z5:$Z1004,$R277,Trips!$E5:$E1004,$A277)))</f>
        <v/>
      </c>
      <c r="D277" s="107">
        <f>IF($C277="","",SUMIFS(Trips!$K5:$K1004,Trips!$Z5:$Z1004,$R277,Trips!$D5:$D1004,$A277)+SUMIFS(Trips!$K5:$K1004,Trips!$Z5:$Z1004,$R277,Trips!$E5:$E1004,$A277))</f>
        <v/>
      </c>
      <c r="E277" s="108">
        <f>IF($C277="","",SUMIFS(Trips!$N5:$N1004,Trips!$Z5:$Z1004,$R277,Trips!$D5:$D1004,$A277)+SUMIFS(Trips!$O5:$O1004,Trips!$Z5:$Z1004,$R277,Trips!$E5:$E1004,$A277))</f>
        <v/>
      </c>
      <c r="F277" s="109">
        <f>IF($C277="","",SUMIFS(Trips!$P5:$P1004,Trips!$Z5:$Z1004,$R277,Trips!$D5:$D1004,$A277))</f>
        <v/>
      </c>
      <c r="G277" s="109">
        <f>IF($C277="","",SUMIFS(Trips!$Q5:$Q1004,Trips!$Z5:$Z1004,$R277,Trips!$D5:$D1004,$A277))</f>
        <v/>
      </c>
      <c r="H277" s="108">
        <f>IF(AND($C277="",$I277="",$J277=""),"",N($E277)+N($F277)+N($G277))</f>
        <v/>
      </c>
      <c r="I277" s="109">
        <f>IF($A277="","",IFERROR(1/(1/SUMIFS(Expenses!$F5:$F1004,Expenses!$L5:$L1004,"ADV",Expenses!$J5:$J1004,$R277,Expenses!$E5:$E1004,$A277)),""))</f>
        <v/>
      </c>
      <c r="J277" s="109">
        <f>IF($A277="","",IFERROR(1/(1/SUMIFS(Expenses!$F5:$F1004,Expenses!$L5:$L1004,"PAY",Expenses!$J5:$J1004,$R277,Expenses!$E5:$E1004,$A277)),""))</f>
        <v/>
      </c>
      <c r="K277" s="110">
        <f>IF($H277="","",N($H277)-N($I277)-N($J277))</f>
        <v/>
      </c>
      <c r="L277" s="111">
        <f>IF($K277="","",IF($K277&gt;0.5,"TO PAY",IF($K277&lt;-0.5,"ADVANCE / OWES","SETTLED")))</f>
        <v/>
      </c>
      <c r="R277" s="112" t="n">
        <v>46600</v>
      </c>
    </row>
    <row r="278">
      <c r="A278" s="104">
        <f>IF(Setup!$A82="","",Setup!$A82)</f>
        <v/>
      </c>
      <c r="B278" s="105">
        <f>IF($A278="","",Setup!$B82)</f>
        <v/>
      </c>
      <c r="C278" s="106">
        <f>IF($A278="","",IF(COUNTIFS(Trips!$Z5:$Z1004,$R278,Trips!$D5:$D1004,$A278)+COUNTIFS(Trips!$Z5:$Z1004,$R278,Trips!$E5:$E1004,$A278)=0,"",COUNTIFS(Trips!$Z5:$Z1004,$R278,Trips!$D5:$D1004,$A278)+COUNTIFS(Trips!$Z5:$Z1004,$R278,Trips!$E5:$E1004,$A278)))</f>
        <v/>
      </c>
      <c r="D278" s="107">
        <f>IF($C278="","",SUMIFS(Trips!$K5:$K1004,Trips!$Z5:$Z1004,$R278,Trips!$D5:$D1004,$A278)+SUMIFS(Trips!$K5:$K1004,Trips!$Z5:$Z1004,$R278,Trips!$E5:$E1004,$A278))</f>
        <v/>
      </c>
      <c r="E278" s="108">
        <f>IF($C278="","",SUMIFS(Trips!$N5:$N1004,Trips!$Z5:$Z1004,$R278,Trips!$D5:$D1004,$A278)+SUMIFS(Trips!$O5:$O1004,Trips!$Z5:$Z1004,$R278,Trips!$E5:$E1004,$A278))</f>
        <v/>
      </c>
      <c r="F278" s="109">
        <f>IF($C278="","",SUMIFS(Trips!$P5:$P1004,Trips!$Z5:$Z1004,$R278,Trips!$D5:$D1004,$A278))</f>
        <v/>
      </c>
      <c r="G278" s="109">
        <f>IF($C278="","",SUMIFS(Trips!$Q5:$Q1004,Trips!$Z5:$Z1004,$R278,Trips!$D5:$D1004,$A278))</f>
        <v/>
      </c>
      <c r="H278" s="108">
        <f>IF(AND($C278="",$I278="",$J278=""),"",N($E278)+N($F278)+N($G278))</f>
        <v/>
      </c>
      <c r="I278" s="109">
        <f>IF($A278="","",IFERROR(1/(1/SUMIFS(Expenses!$F5:$F1004,Expenses!$L5:$L1004,"ADV",Expenses!$J5:$J1004,$R278,Expenses!$E5:$E1004,$A278)),""))</f>
        <v/>
      </c>
      <c r="J278" s="109">
        <f>IF($A278="","",IFERROR(1/(1/SUMIFS(Expenses!$F5:$F1004,Expenses!$L5:$L1004,"PAY",Expenses!$J5:$J1004,$R278,Expenses!$E5:$E1004,$A278)),""))</f>
        <v/>
      </c>
      <c r="K278" s="110">
        <f>IF($H278="","",N($H278)-N($I278)-N($J278))</f>
        <v/>
      </c>
      <c r="L278" s="111">
        <f>IF($K278="","",IF($K278&gt;0.5,"TO PAY",IF($K278&lt;-0.5,"ADVANCE / OWES","SETTLED")))</f>
        <v/>
      </c>
      <c r="R278" s="112" t="n">
        <v>46600</v>
      </c>
    </row>
    <row r="279">
      <c r="A279" s="104">
        <f>IF(Setup!$A83="","",Setup!$A83)</f>
        <v/>
      </c>
      <c r="B279" s="105">
        <f>IF($A279="","",Setup!$B83)</f>
        <v/>
      </c>
      <c r="C279" s="106">
        <f>IF($A279="","",IF(COUNTIFS(Trips!$Z5:$Z1004,$R279,Trips!$D5:$D1004,$A279)+COUNTIFS(Trips!$Z5:$Z1004,$R279,Trips!$E5:$E1004,$A279)=0,"",COUNTIFS(Trips!$Z5:$Z1004,$R279,Trips!$D5:$D1004,$A279)+COUNTIFS(Trips!$Z5:$Z1004,$R279,Trips!$E5:$E1004,$A279)))</f>
        <v/>
      </c>
      <c r="D279" s="107">
        <f>IF($C279="","",SUMIFS(Trips!$K5:$K1004,Trips!$Z5:$Z1004,$R279,Trips!$D5:$D1004,$A279)+SUMIFS(Trips!$K5:$K1004,Trips!$Z5:$Z1004,$R279,Trips!$E5:$E1004,$A279))</f>
        <v/>
      </c>
      <c r="E279" s="108">
        <f>IF($C279="","",SUMIFS(Trips!$N5:$N1004,Trips!$Z5:$Z1004,$R279,Trips!$D5:$D1004,$A279)+SUMIFS(Trips!$O5:$O1004,Trips!$Z5:$Z1004,$R279,Trips!$E5:$E1004,$A279))</f>
        <v/>
      </c>
      <c r="F279" s="109">
        <f>IF($C279="","",SUMIFS(Trips!$P5:$P1004,Trips!$Z5:$Z1004,$R279,Trips!$D5:$D1004,$A279))</f>
        <v/>
      </c>
      <c r="G279" s="109">
        <f>IF($C279="","",SUMIFS(Trips!$Q5:$Q1004,Trips!$Z5:$Z1004,$R279,Trips!$D5:$D1004,$A279))</f>
        <v/>
      </c>
      <c r="H279" s="108">
        <f>IF(AND($C279="",$I279="",$J279=""),"",N($E279)+N($F279)+N($G279))</f>
        <v/>
      </c>
      <c r="I279" s="109">
        <f>IF($A279="","",IFERROR(1/(1/SUMIFS(Expenses!$F5:$F1004,Expenses!$L5:$L1004,"ADV",Expenses!$J5:$J1004,$R279,Expenses!$E5:$E1004,$A279)),""))</f>
        <v/>
      </c>
      <c r="J279" s="109">
        <f>IF($A279="","",IFERROR(1/(1/SUMIFS(Expenses!$F5:$F1004,Expenses!$L5:$L1004,"PAY",Expenses!$J5:$J1004,$R279,Expenses!$E5:$E1004,$A279)),""))</f>
        <v/>
      </c>
      <c r="K279" s="110">
        <f>IF($H279="","",N($H279)-N($I279)-N($J279))</f>
        <v/>
      </c>
      <c r="L279" s="111">
        <f>IF($K279="","",IF($K279&gt;0.5,"TO PAY",IF($K279&lt;-0.5,"ADVANCE / OWES","SETTLED")))</f>
        <v/>
      </c>
      <c r="R279" s="112" t="n">
        <v>46600</v>
      </c>
    </row>
    <row r="280">
      <c r="A280" s="104">
        <f>IF(Setup!$A84="","",Setup!$A84)</f>
        <v/>
      </c>
      <c r="B280" s="105">
        <f>IF($A280="","",Setup!$B84)</f>
        <v/>
      </c>
      <c r="C280" s="106">
        <f>IF($A280="","",IF(COUNTIFS(Trips!$Z5:$Z1004,$R280,Trips!$D5:$D1004,$A280)+COUNTIFS(Trips!$Z5:$Z1004,$R280,Trips!$E5:$E1004,$A280)=0,"",COUNTIFS(Trips!$Z5:$Z1004,$R280,Trips!$D5:$D1004,$A280)+COUNTIFS(Trips!$Z5:$Z1004,$R280,Trips!$E5:$E1004,$A280)))</f>
        <v/>
      </c>
      <c r="D280" s="107">
        <f>IF($C280="","",SUMIFS(Trips!$K5:$K1004,Trips!$Z5:$Z1004,$R280,Trips!$D5:$D1004,$A280)+SUMIFS(Trips!$K5:$K1004,Trips!$Z5:$Z1004,$R280,Trips!$E5:$E1004,$A280))</f>
        <v/>
      </c>
      <c r="E280" s="108">
        <f>IF($C280="","",SUMIFS(Trips!$N5:$N1004,Trips!$Z5:$Z1004,$R280,Trips!$D5:$D1004,$A280)+SUMIFS(Trips!$O5:$O1004,Trips!$Z5:$Z1004,$R280,Trips!$E5:$E1004,$A280))</f>
        <v/>
      </c>
      <c r="F280" s="109">
        <f>IF($C280="","",SUMIFS(Trips!$P5:$P1004,Trips!$Z5:$Z1004,$R280,Trips!$D5:$D1004,$A280))</f>
        <v/>
      </c>
      <c r="G280" s="109">
        <f>IF($C280="","",SUMIFS(Trips!$Q5:$Q1004,Trips!$Z5:$Z1004,$R280,Trips!$D5:$D1004,$A280))</f>
        <v/>
      </c>
      <c r="H280" s="108">
        <f>IF(AND($C280="",$I280="",$J280=""),"",N($E280)+N($F280)+N($G280))</f>
        <v/>
      </c>
      <c r="I280" s="109">
        <f>IF($A280="","",IFERROR(1/(1/SUMIFS(Expenses!$F5:$F1004,Expenses!$L5:$L1004,"ADV",Expenses!$J5:$J1004,$R280,Expenses!$E5:$E1004,$A280)),""))</f>
        <v/>
      </c>
      <c r="J280" s="109">
        <f>IF($A280="","",IFERROR(1/(1/SUMIFS(Expenses!$F5:$F1004,Expenses!$L5:$L1004,"PAY",Expenses!$J5:$J1004,$R280,Expenses!$E5:$E1004,$A280)),""))</f>
        <v/>
      </c>
      <c r="K280" s="110">
        <f>IF($H280="","",N($H280)-N($I280)-N($J280))</f>
        <v/>
      </c>
      <c r="L280" s="111">
        <f>IF($K280="","",IF($K280&gt;0.5,"TO PAY",IF($K280&lt;-0.5,"ADVANCE / OWES","SETTLED")))</f>
        <v/>
      </c>
      <c r="R280" s="112" t="n">
        <v>46600</v>
      </c>
    </row>
    <row r="281">
      <c r="A281" s="104">
        <f>IF(Setup!$A85="","",Setup!$A85)</f>
        <v/>
      </c>
      <c r="B281" s="105">
        <f>IF($A281="","",Setup!$B85)</f>
        <v/>
      </c>
      <c r="C281" s="106">
        <f>IF($A281="","",IF(COUNTIFS(Trips!$Z5:$Z1004,$R281,Trips!$D5:$D1004,$A281)+COUNTIFS(Trips!$Z5:$Z1004,$R281,Trips!$E5:$E1004,$A281)=0,"",COUNTIFS(Trips!$Z5:$Z1004,$R281,Trips!$D5:$D1004,$A281)+COUNTIFS(Trips!$Z5:$Z1004,$R281,Trips!$E5:$E1004,$A281)))</f>
        <v/>
      </c>
      <c r="D281" s="107">
        <f>IF($C281="","",SUMIFS(Trips!$K5:$K1004,Trips!$Z5:$Z1004,$R281,Trips!$D5:$D1004,$A281)+SUMIFS(Trips!$K5:$K1004,Trips!$Z5:$Z1004,$R281,Trips!$E5:$E1004,$A281))</f>
        <v/>
      </c>
      <c r="E281" s="108">
        <f>IF($C281="","",SUMIFS(Trips!$N5:$N1004,Trips!$Z5:$Z1004,$R281,Trips!$D5:$D1004,$A281)+SUMIFS(Trips!$O5:$O1004,Trips!$Z5:$Z1004,$R281,Trips!$E5:$E1004,$A281))</f>
        <v/>
      </c>
      <c r="F281" s="109">
        <f>IF($C281="","",SUMIFS(Trips!$P5:$P1004,Trips!$Z5:$Z1004,$R281,Trips!$D5:$D1004,$A281))</f>
        <v/>
      </c>
      <c r="G281" s="109">
        <f>IF($C281="","",SUMIFS(Trips!$Q5:$Q1004,Trips!$Z5:$Z1004,$R281,Trips!$D5:$D1004,$A281))</f>
        <v/>
      </c>
      <c r="H281" s="108">
        <f>IF(AND($C281="",$I281="",$J281=""),"",N($E281)+N($F281)+N($G281))</f>
        <v/>
      </c>
      <c r="I281" s="109">
        <f>IF($A281="","",IFERROR(1/(1/SUMIFS(Expenses!$F5:$F1004,Expenses!$L5:$L1004,"ADV",Expenses!$J5:$J1004,$R281,Expenses!$E5:$E1004,$A281)),""))</f>
        <v/>
      </c>
      <c r="J281" s="109">
        <f>IF($A281="","",IFERROR(1/(1/SUMIFS(Expenses!$F5:$F1004,Expenses!$L5:$L1004,"PAY",Expenses!$J5:$J1004,$R281,Expenses!$E5:$E1004,$A281)),""))</f>
        <v/>
      </c>
      <c r="K281" s="110">
        <f>IF($H281="","",N($H281)-N($I281)-N($J281))</f>
        <v/>
      </c>
      <c r="L281" s="111">
        <f>IF($K281="","",IF($K281&gt;0.5,"TO PAY",IF($K281&lt;-0.5,"ADVANCE / OWES","SETTLED")))</f>
        <v/>
      </c>
      <c r="R281" s="112" t="n">
        <v>46600</v>
      </c>
    </row>
    <row r="282">
      <c r="A282" s="104">
        <f>IF(Setup!$A86="","",Setup!$A86)</f>
        <v/>
      </c>
      <c r="B282" s="105">
        <f>IF($A282="","",Setup!$B86)</f>
        <v/>
      </c>
      <c r="C282" s="106">
        <f>IF($A282="","",IF(COUNTIFS(Trips!$Z5:$Z1004,$R282,Trips!$D5:$D1004,$A282)+COUNTIFS(Trips!$Z5:$Z1004,$R282,Trips!$E5:$E1004,$A282)=0,"",COUNTIFS(Trips!$Z5:$Z1004,$R282,Trips!$D5:$D1004,$A282)+COUNTIFS(Trips!$Z5:$Z1004,$R282,Trips!$E5:$E1004,$A282)))</f>
        <v/>
      </c>
      <c r="D282" s="107">
        <f>IF($C282="","",SUMIFS(Trips!$K5:$K1004,Trips!$Z5:$Z1004,$R282,Trips!$D5:$D1004,$A282)+SUMIFS(Trips!$K5:$K1004,Trips!$Z5:$Z1004,$R282,Trips!$E5:$E1004,$A282))</f>
        <v/>
      </c>
      <c r="E282" s="108">
        <f>IF($C282="","",SUMIFS(Trips!$N5:$N1004,Trips!$Z5:$Z1004,$R282,Trips!$D5:$D1004,$A282)+SUMIFS(Trips!$O5:$O1004,Trips!$Z5:$Z1004,$R282,Trips!$E5:$E1004,$A282))</f>
        <v/>
      </c>
      <c r="F282" s="109">
        <f>IF($C282="","",SUMIFS(Trips!$P5:$P1004,Trips!$Z5:$Z1004,$R282,Trips!$D5:$D1004,$A282))</f>
        <v/>
      </c>
      <c r="G282" s="109">
        <f>IF($C282="","",SUMIFS(Trips!$Q5:$Q1004,Trips!$Z5:$Z1004,$R282,Trips!$D5:$D1004,$A282))</f>
        <v/>
      </c>
      <c r="H282" s="108">
        <f>IF(AND($C282="",$I282="",$J282=""),"",N($E282)+N($F282)+N($G282))</f>
        <v/>
      </c>
      <c r="I282" s="109">
        <f>IF($A282="","",IFERROR(1/(1/SUMIFS(Expenses!$F5:$F1004,Expenses!$L5:$L1004,"ADV",Expenses!$J5:$J1004,$R282,Expenses!$E5:$E1004,$A282)),""))</f>
        <v/>
      </c>
      <c r="J282" s="109">
        <f>IF($A282="","",IFERROR(1/(1/SUMIFS(Expenses!$F5:$F1004,Expenses!$L5:$L1004,"PAY",Expenses!$J5:$J1004,$R282,Expenses!$E5:$E1004,$A282)),""))</f>
        <v/>
      </c>
      <c r="K282" s="110">
        <f>IF($H282="","",N($H282)-N($I282)-N($J282))</f>
        <v/>
      </c>
      <c r="L282" s="111">
        <f>IF($K282="","",IF($K282&gt;0.5,"TO PAY",IF($K282&lt;-0.5,"ADVANCE / OWES","SETTLED")))</f>
        <v/>
      </c>
      <c r="R282" s="112" t="n">
        <v>46600</v>
      </c>
    </row>
    <row r="283">
      <c r="A283" s="104">
        <f>IF(Setup!$A87="","",Setup!$A87)</f>
        <v/>
      </c>
      <c r="B283" s="105">
        <f>IF($A283="","",Setup!$B87)</f>
        <v/>
      </c>
      <c r="C283" s="106">
        <f>IF($A283="","",IF(COUNTIFS(Trips!$Z5:$Z1004,$R283,Trips!$D5:$D1004,$A283)+COUNTIFS(Trips!$Z5:$Z1004,$R283,Trips!$E5:$E1004,$A283)=0,"",COUNTIFS(Trips!$Z5:$Z1004,$R283,Trips!$D5:$D1004,$A283)+COUNTIFS(Trips!$Z5:$Z1004,$R283,Trips!$E5:$E1004,$A283)))</f>
        <v/>
      </c>
      <c r="D283" s="107">
        <f>IF($C283="","",SUMIFS(Trips!$K5:$K1004,Trips!$Z5:$Z1004,$R283,Trips!$D5:$D1004,$A283)+SUMIFS(Trips!$K5:$K1004,Trips!$Z5:$Z1004,$R283,Trips!$E5:$E1004,$A283))</f>
        <v/>
      </c>
      <c r="E283" s="108">
        <f>IF($C283="","",SUMIFS(Trips!$N5:$N1004,Trips!$Z5:$Z1004,$R283,Trips!$D5:$D1004,$A283)+SUMIFS(Trips!$O5:$O1004,Trips!$Z5:$Z1004,$R283,Trips!$E5:$E1004,$A283))</f>
        <v/>
      </c>
      <c r="F283" s="109">
        <f>IF($C283="","",SUMIFS(Trips!$P5:$P1004,Trips!$Z5:$Z1004,$R283,Trips!$D5:$D1004,$A283))</f>
        <v/>
      </c>
      <c r="G283" s="109">
        <f>IF($C283="","",SUMIFS(Trips!$Q5:$Q1004,Trips!$Z5:$Z1004,$R283,Trips!$D5:$D1004,$A283))</f>
        <v/>
      </c>
      <c r="H283" s="108">
        <f>IF(AND($C283="",$I283="",$J283=""),"",N($E283)+N($F283)+N($G283))</f>
        <v/>
      </c>
      <c r="I283" s="109">
        <f>IF($A283="","",IFERROR(1/(1/SUMIFS(Expenses!$F5:$F1004,Expenses!$L5:$L1004,"ADV",Expenses!$J5:$J1004,$R283,Expenses!$E5:$E1004,$A283)),""))</f>
        <v/>
      </c>
      <c r="J283" s="109">
        <f>IF($A283="","",IFERROR(1/(1/SUMIFS(Expenses!$F5:$F1004,Expenses!$L5:$L1004,"PAY",Expenses!$J5:$J1004,$R283,Expenses!$E5:$E1004,$A283)),""))</f>
        <v/>
      </c>
      <c r="K283" s="110">
        <f>IF($H283="","",N($H283)-N($I283)-N($J283))</f>
        <v/>
      </c>
      <c r="L283" s="111">
        <f>IF($K283="","",IF($K283&gt;0.5,"TO PAY",IF($K283&lt;-0.5,"ADVANCE / OWES","SETTLED")))</f>
        <v/>
      </c>
      <c r="R283" s="112" t="n">
        <v>46600</v>
      </c>
    </row>
    <row r="284">
      <c r="A284" s="113" t="inlineStr">
        <is>
          <t>MONTH TOTAL</t>
        </is>
      </c>
      <c r="B284" s="114" t="n"/>
      <c r="C284" s="115">
        <f>IF(COUNT(C272:C283)=0,"",SUM(C272:C283))</f>
        <v/>
      </c>
      <c r="D284" s="116">
        <f>IF(COUNT(D272:D283)=0,"",SUM(D272:D283))</f>
        <v/>
      </c>
      <c r="E284" s="117">
        <f>IF(COUNT(E272:E283)=0,"",SUM(E272:E283))</f>
        <v/>
      </c>
      <c r="F284" s="117">
        <f>IF(COUNT(F272:F283)=0,"",SUM(F272:F283))</f>
        <v/>
      </c>
      <c r="G284" s="117">
        <f>IF(COUNT(G272:G283)=0,"",SUM(G272:G283))</f>
        <v/>
      </c>
      <c r="H284" s="117">
        <f>IF(COUNT(H272:H283)=0,"",SUM(H272:H283))</f>
        <v/>
      </c>
      <c r="I284" s="117">
        <f>IF(COUNT(I272:I283)=0,"",SUM(I272:I283))</f>
        <v/>
      </c>
      <c r="J284" s="117">
        <f>IF(COUNT(J272:J283)=0,"",SUM(J272:J283))</f>
        <v/>
      </c>
      <c r="K284" s="117">
        <f>IF(COUNT(K272:K283)=0,"",SUM(K272:K283))</f>
        <v/>
      </c>
      <c r="L284" s="118" t="n"/>
    </row>
    <row r="285" ht="24" customHeight="1">
      <c r="A285" s="103" t="inlineStr">
        <is>
          <t>SEPTEMBER 2027   ·   crew earnings &amp; settlement</t>
        </is>
      </c>
    </row>
    <row r="286">
      <c r="A286" s="104">
        <f>IF(Setup!$A76="","",Setup!$A76)</f>
        <v/>
      </c>
      <c r="B286" s="105">
        <f>IF($A286="","",Setup!$B76)</f>
        <v/>
      </c>
      <c r="C286" s="106">
        <f>IF($A286="","",IF(COUNTIFS(Trips!$Z5:$Z1004,$R286,Trips!$D5:$D1004,$A286)+COUNTIFS(Trips!$Z5:$Z1004,$R286,Trips!$E5:$E1004,$A286)=0,"",COUNTIFS(Trips!$Z5:$Z1004,$R286,Trips!$D5:$D1004,$A286)+COUNTIFS(Trips!$Z5:$Z1004,$R286,Trips!$E5:$E1004,$A286)))</f>
        <v/>
      </c>
      <c r="D286" s="107">
        <f>IF($C286="","",SUMIFS(Trips!$K5:$K1004,Trips!$Z5:$Z1004,$R286,Trips!$D5:$D1004,$A286)+SUMIFS(Trips!$K5:$K1004,Trips!$Z5:$Z1004,$R286,Trips!$E5:$E1004,$A286))</f>
        <v/>
      </c>
      <c r="E286" s="108">
        <f>IF($C286="","",SUMIFS(Trips!$N5:$N1004,Trips!$Z5:$Z1004,$R286,Trips!$D5:$D1004,$A286)+SUMIFS(Trips!$O5:$O1004,Trips!$Z5:$Z1004,$R286,Trips!$E5:$E1004,$A286))</f>
        <v/>
      </c>
      <c r="F286" s="109">
        <f>IF($C286="","",SUMIFS(Trips!$P5:$P1004,Trips!$Z5:$Z1004,$R286,Trips!$D5:$D1004,$A286))</f>
        <v/>
      </c>
      <c r="G286" s="109">
        <f>IF($C286="","",SUMIFS(Trips!$Q5:$Q1004,Trips!$Z5:$Z1004,$R286,Trips!$D5:$D1004,$A286))</f>
        <v/>
      </c>
      <c r="H286" s="108">
        <f>IF(AND($C286="",$I286="",$J286=""),"",N($E286)+N($F286)+N($G286))</f>
        <v/>
      </c>
      <c r="I286" s="109">
        <f>IF($A286="","",IFERROR(1/(1/SUMIFS(Expenses!$F5:$F1004,Expenses!$L5:$L1004,"ADV",Expenses!$J5:$J1004,$R286,Expenses!$E5:$E1004,$A286)),""))</f>
        <v/>
      </c>
      <c r="J286" s="109">
        <f>IF($A286="","",IFERROR(1/(1/SUMIFS(Expenses!$F5:$F1004,Expenses!$L5:$L1004,"PAY",Expenses!$J5:$J1004,$R286,Expenses!$E5:$E1004,$A286)),""))</f>
        <v/>
      </c>
      <c r="K286" s="110">
        <f>IF($H286="","",N($H286)-N($I286)-N($J286))</f>
        <v/>
      </c>
      <c r="L286" s="111">
        <f>IF($K286="","",IF($K286&gt;0.5,"TO PAY",IF($K286&lt;-0.5,"ADVANCE / OWES","SETTLED")))</f>
        <v/>
      </c>
      <c r="R286" s="112" t="n">
        <v>46631</v>
      </c>
    </row>
    <row r="287">
      <c r="A287" s="104">
        <f>IF(Setup!$A77="","",Setup!$A77)</f>
        <v/>
      </c>
      <c r="B287" s="105">
        <f>IF($A287="","",Setup!$B77)</f>
        <v/>
      </c>
      <c r="C287" s="106">
        <f>IF($A287="","",IF(COUNTIFS(Trips!$Z5:$Z1004,$R287,Trips!$D5:$D1004,$A287)+COUNTIFS(Trips!$Z5:$Z1004,$R287,Trips!$E5:$E1004,$A287)=0,"",COUNTIFS(Trips!$Z5:$Z1004,$R287,Trips!$D5:$D1004,$A287)+COUNTIFS(Trips!$Z5:$Z1004,$R287,Trips!$E5:$E1004,$A287)))</f>
        <v/>
      </c>
      <c r="D287" s="107">
        <f>IF($C287="","",SUMIFS(Trips!$K5:$K1004,Trips!$Z5:$Z1004,$R287,Trips!$D5:$D1004,$A287)+SUMIFS(Trips!$K5:$K1004,Trips!$Z5:$Z1004,$R287,Trips!$E5:$E1004,$A287))</f>
        <v/>
      </c>
      <c r="E287" s="108">
        <f>IF($C287="","",SUMIFS(Trips!$N5:$N1004,Trips!$Z5:$Z1004,$R287,Trips!$D5:$D1004,$A287)+SUMIFS(Trips!$O5:$O1004,Trips!$Z5:$Z1004,$R287,Trips!$E5:$E1004,$A287))</f>
        <v/>
      </c>
      <c r="F287" s="109">
        <f>IF($C287="","",SUMIFS(Trips!$P5:$P1004,Trips!$Z5:$Z1004,$R287,Trips!$D5:$D1004,$A287))</f>
        <v/>
      </c>
      <c r="G287" s="109">
        <f>IF($C287="","",SUMIFS(Trips!$Q5:$Q1004,Trips!$Z5:$Z1004,$R287,Trips!$D5:$D1004,$A287))</f>
        <v/>
      </c>
      <c r="H287" s="108">
        <f>IF(AND($C287="",$I287="",$J287=""),"",N($E287)+N($F287)+N($G287))</f>
        <v/>
      </c>
      <c r="I287" s="109">
        <f>IF($A287="","",IFERROR(1/(1/SUMIFS(Expenses!$F5:$F1004,Expenses!$L5:$L1004,"ADV",Expenses!$J5:$J1004,$R287,Expenses!$E5:$E1004,$A287)),""))</f>
        <v/>
      </c>
      <c r="J287" s="109">
        <f>IF($A287="","",IFERROR(1/(1/SUMIFS(Expenses!$F5:$F1004,Expenses!$L5:$L1004,"PAY",Expenses!$J5:$J1004,$R287,Expenses!$E5:$E1004,$A287)),""))</f>
        <v/>
      </c>
      <c r="K287" s="110">
        <f>IF($H287="","",N($H287)-N($I287)-N($J287))</f>
        <v/>
      </c>
      <c r="L287" s="111">
        <f>IF($K287="","",IF($K287&gt;0.5,"TO PAY",IF($K287&lt;-0.5,"ADVANCE / OWES","SETTLED")))</f>
        <v/>
      </c>
      <c r="R287" s="112" t="n">
        <v>46631</v>
      </c>
    </row>
    <row r="288">
      <c r="A288" s="104">
        <f>IF(Setup!$A78="","",Setup!$A78)</f>
        <v/>
      </c>
      <c r="B288" s="105">
        <f>IF($A288="","",Setup!$B78)</f>
        <v/>
      </c>
      <c r="C288" s="106">
        <f>IF($A288="","",IF(COUNTIFS(Trips!$Z5:$Z1004,$R288,Trips!$D5:$D1004,$A288)+COUNTIFS(Trips!$Z5:$Z1004,$R288,Trips!$E5:$E1004,$A288)=0,"",COUNTIFS(Trips!$Z5:$Z1004,$R288,Trips!$D5:$D1004,$A288)+COUNTIFS(Trips!$Z5:$Z1004,$R288,Trips!$E5:$E1004,$A288)))</f>
        <v/>
      </c>
      <c r="D288" s="107">
        <f>IF($C288="","",SUMIFS(Trips!$K5:$K1004,Trips!$Z5:$Z1004,$R288,Trips!$D5:$D1004,$A288)+SUMIFS(Trips!$K5:$K1004,Trips!$Z5:$Z1004,$R288,Trips!$E5:$E1004,$A288))</f>
        <v/>
      </c>
      <c r="E288" s="108">
        <f>IF($C288="","",SUMIFS(Trips!$N5:$N1004,Trips!$Z5:$Z1004,$R288,Trips!$D5:$D1004,$A288)+SUMIFS(Trips!$O5:$O1004,Trips!$Z5:$Z1004,$R288,Trips!$E5:$E1004,$A288))</f>
        <v/>
      </c>
      <c r="F288" s="109">
        <f>IF($C288="","",SUMIFS(Trips!$P5:$P1004,Trips!$Z5:$Z1004,$R288,Trips!$D5:$D1004,$A288))</f>
        <v/>
      </c>
      <c r="G288" s="109">
        <f>IF($C288="","",SUMIFS(Trips!$Q5:$Q1004,Trips!$Z5:$Z1004,$R288,Trips!$D5:$D1004,$A288))</f>
        <v/>
      </c>
      <c r="H288" s="108">
        <f>IF(AND($C288="",$I288="",$J288=""),"",N($E288)+N($F288)+N($G288))</f>
        <v/>
      </c>
      <c r="I288" s="109">
        <f>IF($A288="","",IFERROR(1/(1/SUMIFS(Expenses!$F5:$F1004,Expenses!$L5:$L1004,"ADV",Expenses!$J5:$J1004,$R288,Expenses!$E5:$E1004,$A288)),""))</f>
        <v/>
      </c>
      <c r="J288" s="109">
        <f>IF($A288="","",IFERROR(1/(1/SUMIFS(Expenses!$F5:$F1004,Expenses!$L5:$L1004,"PAY",Expenses!$J5:$J1004,$R288,Expenses!$E5:$E1004,$A288)),""))</f>
        <v/>
      </c>
      <c r="K288" s="110">
        <f>IF($H288="","",N($H288)-N($I288)-N($J288))</f>
        <v/>
      </c>
      <c r="L288" s="111">
        <f>IF($K288="","",IF($K288&gt;0.5,"TO PAY",IF($K288&lt;-0.5,"ADVANCE / OWES","SETTLED")))</f>
        <v/>
      </c>
      <c r="R288" s="112" t="n">
        <v>46631</v>
      </c>
    </row>
    <row r="289">
      <c r="A289" s="104">
        <f>IF(Setup!$A79="","",Setup!$A79)</f>
        <v/>
      </c>
      <c r="B289" s="105">
        <f>IF($A289="","",Setup!$B79)</f>
        <v/>
      </c>
      <c r="C289" s="106">
        <f>IF($A289="","",IF(COUNTIFS(Trips!$Z5:$Z1004,$R289,Trips!$D5:$D1004,$A289)+COUNTIFS(Trips!$Z5:$Z1004,$R289,Trips!$E5:$E1004,$A289)=0,"",COUNTIFS(Trips!$Z5:$Z1004,$R289,Trips!$D5:$D1004,$A289)+COUNTIFS(Trips!$Z5:$Z1004,$R289,Trips!$E5:$E1004,$A289)))</f>
        <v/>
      </c>
      <c r="D289" s="107">
        <f>IF($C289="","",SUMIFS(Trips!$K5:$K1004,Trips!$Z5:$Z1004,$R289,Trips!$D5:$D1004,$A289)+SUMIFS(Trips!$K5:$K1004,Trips!$Z5:$Z1004,$R289,Trips!$E5:$E1004,$A289))</f>
        <v/>
      </c>
      <c r="E289" s="108">
        <f>IF($C289="","",SUMIFS(Trips!$N5:$N1004,Trips!$Z5:$Z1004,$R289,Trips!$D5:$D1004,$A289)+SUMIFS(Trips!$O5:$O1004,Trips!$Z5:$Z1004,$R289,Trips!$E5:$E1004,$A289))</f>
        <v/>
      </c>
      <c r="F289" s="109">
        <f>IF($C289="","",SUMIFS(Trips!$P5:$P1004,Trips!$Z5:$Z1004,$R289,Trips!$D5:$D1004,$A289))</f>
        <v/>
      </c>
      <c r="G289" s="109">
        <f>IF($C289="","",SUMIFS(Trips!$Q5:$Q1004,Trips!$Z5:$Z1004,$R289,Trips!$D5:$D1004,$A289))</f>
        <v/>
      </c>
      <c r="H289" s="108">
        <f>IF(AND($C289="",$I289="",$J289=""),"",N($E289)+N($F289)+N($G289))</f>
        <v/>
      </c>
      <c r="I289" s="109">
        <f>IF($A289="","",IFERROR(1/(1/SUMIFS(Expenses!$F5:$F1004,Expenses!$L5:$L1004,"ADV",Expenses!$J5:$J1004,$R289,Expenses!$E5:$E1004,$A289)),""))</f>
        <v/>
      </c>
      <c r="J289" s="109">
        <f>IF($A289="","",IFERROR(1/(1/SUMIFS(Expenses!$F5:$F1004,Expenses!$L5:$L1004,"PAY",Expenses!$J5:$J1004,$R289,Expenses!$E5:$E1004,$A289)),""))</f>
        <v/>
      </c>
      <c r="K289" s="110">
        <f>IF($H289="","",N($H289)-N($I289)-N($J289))</f>
        <v/>
      </c>
      <c r="L289" s="111">
        <f>IF($K289="","",IF($K289&gt;0.5,"TO PAY",IF($K289&lt;-0.5,"ADVANCE / OWES","SETTLED")))</f>
        <v/>
      </c>
      <c r="R289" s="112" t="n">
        <v>46631</v>
      </c>
    </row>
    <row r="290">
      <c r="A290" s="104">
        <f>IF(Setup!$A80="","",Setup!$A80)</f>
        <v/>
      </c>
      <c r="B290" s="105">
        <f>IF($A290="","",Setup!$B80)</f>
        <v/>
      </c>
      <c r="C290" s="106">
        <f>IF($A290="","",IF(COUNTIFS(Trips!$Z5:$Z1004,$R290,Trips!$D5:$D1004,$A290)+COUNTIFS(Trips!$Z5:$Z1004,$R290,Trips!$E5:$E1004,$A290)=0,"",COUNTIFS(Trips!$Z5:$Z1004,$R290,Trips!$D5:$D1004,$A290)+COUNTIFS(Trips!$Z5:$Z1004,$R290,Trips!$E5:$E1004,$A290)))</f>
        <v/>
      </c>
      <c r="D290" s="107">
        <f>IF($C290="","",SUMIFS(Trips!$K5:$K1004,Trips!$Z5:$Z1004,$R290,Trips!$D5:$D1004,$A290)+SUMIFS(Trips!$K5:$K1004,Trips!$Z5:$Z1004,$R290,Trips!$E5:$E1004,$A290))</f>
        <v/>
      </c>
      <c r="E290" s="108">
        <f>IF($C290="","",SUMIFS(Trips!$N5:$N1004,Trips!$Z5:$Z1004,$R290,Trips!$D5:$D1004,$A290)+SUMIFS(Trips!$O5:$O1004,Trips!$Z5:$Z1004,$R290,Trips!$E5:$E1004,$A290))</f>
        <v/>
      </c>
      <c r="F290" s="109">
        <f>IF($C290="","",SUMIFS(Trips!$P5:$P1004,Trips!$Z5:$Z1004,$R290,Trips!$D5:$D1004,$A290))</f>
        <v/>
      </c>
      <c r="G290" s="109">
        <f>IF($C290="","",SUMIFS(Trips!$Q5:$Q1004,Trips!$Z5:$Z1004,$R290,Trips!$D5:$D1004,$A290))</f>
        <v/>
      </c>
      <c r="H290" s="108">
        <f>IF(AND($C290="",$I290="",$J290=""),"",N($E290)+N($F290)+N($G290))</f>
        <v/>
      </c>
      <c r="I290" s="109">
        <f>IF($A290="","",IFERROR(1/(1/SUMIFS(Expenses!$F5:$F1004,Expenses!$L5:$L1004,"ADV",Expenses!$J5:$J1004,$R290,Expenses!$E5:$E1004,$A290)),""))</f>
        <v/>
      </c>
      <c r="J290" s="109">
        <f>IF($A290="","",IFERROR(1/(1/SUMIFS(Expenses!$F5:$F1004,Expenses!$L5:$L1004,"PAY",Expenses!$J5:$J1004,$R290,Expenses!$E5:$E1004,$A290)),""))</f>
        <v/>
      </c>
      <c r="K290" s="110">
        <f>IF($H290="","",N($H290)-N($I290)-N($J290))</f>
        <v/>
      </c>
      <c r="L290" s="111">
        <f>IF($K290="","",IF($K290&gt;0.5,"TO PAY",IF($K290&lt;-0.5,"ADVANCE / OWES","SETTLED")))</f>
        <v/>
      </c>
      <c r="R290" s="112" t="n">
        <v>46631</v>
      </c>
    </row>
    <row r="291">
      <c r="A291" s="104">
        <f>IF(Setup!$A81="","",Setup!$A81)</f>
        <v/>
      </c>
      <c r="B291" s="105">
        <f>IF($A291="","",Setup!$B81)</f>
        <v/>
      </c>
      <c r="C291" s="106">
        <f>IF($A291="","",IF(COUNTIFS(Trips!$Z5:$Z1004,$R291,Trips!$D5:$D1004,$A291)+COUNTIFS(Trips!$Z5:$Z1004,$R291,Trips!$E5:$E1004,$A291)=0,"",COUNTIFS(Trips!$Z5:$Z1004,$R291,Trips!$D5:$D1004,$A291)+COUNTIFS(Trips!$Z5:$Z1004,$R291,Trips!$E5:$E1004,$A291)))</f>
        <v/>
      </c>
      <c r="D291" s="107">
        <f>IF($C291="","",SUMIFS(Trips!$K5:$K1004,Trips!$Z5:$Z1004,$R291,Trips!$D5:$D1004,$A291)+SUMIFS(Trips!$K5:$K1004,Trips!$Z5:$Z1004,$R291,Trips!$E5:$E1004,$A291))</f>
        <v/>
      </c>
      <c r="E291" s="108">
        <f>IF($C291="","",SUMIFS(Trips!$N5:$N1004,Trips!$Z5:$Z1004,$R291,Trips!$D5:$D1004,$A291)+SUMIFS(Trips!$O5:$O1004,Trips!$Z5:$Z1004,$R291,Trips!$E5:$E1004,$A291))</f>
        <v/>
      </c>
      <c r="F291" s="109">
        <f>IF($C291="","",SUMIFS(Trips!$P5:$P1004,Trips!$Z5:$Z1004,$R291,Trips!$D5:$D1004,$A291))</f>
        <v/>
      </c>
      <c r="G291" s="109">
        <f>IF($C291="","",SUMIFS(Trips!$Q5:$Q1004,Trips!$Z5:$Z1004,$R291,Trips!$D5:$D1004,$A291))</f>
        <v/>
      </c>
      <c r="H291" s="108">
        <f>IF(AND($C291="",$I291="",$J291=""),"",N($E291)+N($F291)+N($G291))</f>
        <v/>
      </c>
      <c r="I291" s="109">
        <f>IF($A291="","",IFERROR(1/(1/SUMIFS(Expenses!$F5:$F1004,Expenses!$L5:$L1004,"ADV",Expenses!$J5:$J1004,$R291,Expenses!$E5:$E1004,$A291)),""))</f>
        <v/>
      </c>
      <c r="J291" s="109">
        <f>IF($A291="","",IFERROR(1/(1/SUMIFS(Expenses!$F5:$F1004,Expenses!$L5:$L1004,"PAY",Expenses!$J5:$J1004,$R291,Expenses!$E5:$E1004,$A291)),""))</f>
        <v/>
      </c>
      <c r="K291" s="110">
        <f>IF($H291="","",N($H291)-N($I291)-N($J291))</f>
        <v/>
      </c>
      <c r="L291" s="111">
        <f>IF($K291="","",IF($K291&gt;0.5,"TO PAY",IF($K291&lt;-0.5,"ADVANCE / OWES","SETTLED")))</f>
        <v/>
      </c>
      <c r="R291" s="112" t="n">
        <v>46631</v>
      </c>
    </row>
    <row r="292">
      <c r="A292" s="104">
        <f>IF(Setup!$A82="","",Setup!$A82)</f>
        <v/>
      </c>
      <c r="B292" s="105">
        <f>IF($A292="","",Setup!$B82)</f>
        <v/>
      </c>
      <c r="C292" s="106">
        <f>IF($A292="","",IF(COUNTIFS(Trips!$Z5:$Z1004,$R292,Trips!$D5:$D1004,$A292)+COUNTIFS(Trips!$Z5:$Z1004,$R292,Trips!$E5:$E1004,$A292)=0,"",COUNTIFS(Trips!$Z5:$Z1004,$R292,Trips!$D5:$D1004,$A292)+COUNTIFS(Trips!$Z5:$Z1004,$R292,Trips!$E5:$E1004,$A292)))</f>
        <v/>
      </c>
      <c r="D292" s="107">
        <f>IF($C292="","",SUMIFS(Trips!$K5:$K1004,Trips!$Z5:$Z1004,$R292,Trips!$D5:$D1004,$A292)+SUMIFS(Trips!$K5:$K1004,Trips!$Z5:$Z1004,$R292,Trips!$E5:$E1004,$A292))</f>
        <v/>
      </c>
      <c r="E292" s="108">
        <f>IF($C292="","",SUMIFS(Trips!$N5:$N1004,Trips!$Z5:$Z1004,$R292,Trips!$D5:$D1004,$A292)+SUMIFS(Trips!$O5:$O1004,Trips!$Z5:$Z1004,$R292,Trips!$E5:$E1004,$A292))</f>
        <v/>
      </c>
      <c r="F292" s="109">
        <f>IF($C292="","",SUMIFS(Trips!$P5:$P1004,Trips!$Z5:$Z1004,$R292,Trips!$D5:$D1004,$A292))</f>
        <v/>
      </c>
      <c r="G292" s="109">
        <f>IF($C292="","",SUMIFS(Trips!$Q5:$Q1004,Trips!$Z5:$Z1004,$R292,Trips!$D5:$D1004,$A292))</f>
        <v/>
      </c>
      <c r="H292" s="108">
        <f>IF(AND($C292="",$I292="",$J292=""),"",N($E292)+N($F292)+N($G292))</f>
        <v/>
      </c>
      <c r="I292" s="109">
        <f>IF($A292="","",IFERROR(1/(1/SUMIFS(Expenses!$F5:$F1004,Expenses!$L5:$L1004,"ADV",Expenses!$J5:$J1004,$R292,Expenses!$E5:$E1004,$A292)),""))</f>
        <v/>
      </c>
      <c r="J292" s="109">
        <f>IF($A292="","",IFERROR(1/(1/SUMIFS(Expenses!$F5:$F1004,Expenses!$L5:$L1004,"PAY",Expenses!$J5:$J1004,$R292,Expenses!$E5:$E1004,$A292)),""))</f>
        <v/>
      </c>
      <c r="K292" s="110">
        <f>IF($H292="","",N($H292)-N($I292)-N($J292))</f>
        <v/>
      </c>
      <c r="L292" s="111">
        <f>IF($K292="","",IF($K292&gt;0.5,"TO PAY",IF($K292&lt;-0.5,"ADVANCE / OWES","SETTLED")))</f>
        <v/>
      </c>
      <c r="R292" s="112" t="n">
        <v>46631</v>
      </c>
    </row>
    <row r="293">
      <c r="A293" s="104">
        <f>IF(Setup!$A83="","",Setup!$A83)</f>
        <v/>
      </c>
      <c r="B293" s="105">
        <f>IF($A293="","",Setup!$B83)</f>
        <v/>
      </c>
      <c r="C293" s="106">
        <f>IF($A293="","",IF(COUNTIFS(Trips!$Z5:$Z1004,$R293,Trips!$D5:$D1004,$A293)+COUNTIFS(Trips!$Z5:$Z1004,$R293,Trips!$E5:$E1004,$A293)=0,"",COUNTIFS(Trips!$Z5:$Z1004,$R293,Trips!$D5:$D1004,$A293)+COUNTIFS(Trips!$Z5:$Z1004,$R293,Trips!$E5:$E1004,$A293)))</f>
        <v/>
      </c>
      <c r="D293" s="107">
        <f>IF($C293="","",SUMIFS(Trips!$K5:$K1004,Trips!$Z5:$Z1004,$R293,Trips!$D5:$D1004,$A293)+SUMIFS(Trips!$K5:$K1004,Trips!$Z5:$Z1004,$R293,Trips!$E5:$E1004,$A293))</f>
        <v/>
      </c>
      <c r="E293" s="108">
        <f>IF($C293="","",SUMIFS(Trips!$N5:$N1004,Trips!$Z5:$Z1004,$R293,Trips!$D5:$D1004,$A293)+SUMIFS(Trips!$O5:$O1004,Trips!$Z5:$Z1004,$R293,Trips!$E5:$E1004,$A293))</f>
        <v/>
      </c>
      <c r="F293" s="109">
        <f>IF($C293="","",SUMIFS(Trips!$P5:$P1004,Trips!$Z5:$Z1004,$R293,Trips!$D5:$D1004,$A293))</f>
        <v/>
      </c>
      <c r="G293" s="109">
        <f>IF($C293="","",SUMIFS(Trips!$Q5:$Q1004,Trips!$Z5:$Z1004,$R293,Trips!$D5:$D1004,$A293))</f>
        <v/>
      </c>
      <c r="H293" s="108">
        <f>IF(AND($C293="",$I293="",$J293=""),"",N($E293)+N($F293)+N($G293))</f>
        <v/>
      </c>
      <c r="I293" s="109">
        <f>IF($A293="","",IFERROR(1/(1/SUMIFS(Expenses!$F5:$F1004,Expenses!$L5:$L1004,"ADV",Expenses!$J5:$J1004,$R293,Expenses!$E5:$E1004,$A293)),""))</f>
        <v/>
      </c>
      <c r="J293" s="109">
        <f>IF($A293="","",IFERROR(1/(1/SUMIFS(Expenses!$F5:$F1004,Expenses!$L5:$L1004,"PAY",Expenses!$J5:$J1004,$R293,Expenses!$E5:$E1004,$A293)),""))</f>
        <v/>
      </c>
      <c r="K293" s="110">
        <f>IF($H293="","",N($H293)-N($I293)-N($J293))</f>
        <v/>
      </c>
      <c r="L293" s="111">
        <f>IF($K293="","",IF($K293&gt;0.5,"TO PAY",IF($K293&lt;-0.5,"ADVANCE / OWES","SETTLED")))</f>
        <v/>
      </c>
      <c r="R293" s="112" t="n">
        <v>46631</v>
      </c>
    </row>
    <row r="294">
      <c r="A294" s="104">
        <f>IF(Setup!$A84="","",Setup!$A84)</f>
        <v/>
      </c>
      <c r="B294" s="105">
        <f>IF($A294="","",Setup!$B84)</f>
        <v/>
      </c>
      <c r="C294" s="106">
        <f>IF($A294="","",IF(COUNTIFS(Trips!$Z5:$Z1004,$R294,Trips!$D5:$D1004,$A294)+COUNTIFS(Trips!$Z5:$Z1004,$R294,Trips!$E5:$E1004,$A294)=0,"",COUNTIFS(Trips!$Z5:$Z1004,$R294,Trips!$D5:$D1004,$A294)+COUNTIFS(Trips!$Z5:$Z1004,$R294,Trips!$E5:$E1004,$A294)))</f>
        <v/>
      </c>
      <c r="D294" s="107">
        <f>IF($C294="","",SUMIFS(Trips!$K5:$K1004,Trips!$Z5:$Z1004,$R294,Trips!$D5:$D1004,$A294)+SUMIFS(Trips!$K5:$K1004,Trips!$Z5:$Z1004,$R294,Trips!$E5:$E1004,$A294))</f>
        <v/>
      </c>
      <c r="E294" s="108">
        <f>IF($C294="","",SUMIFS(Trips!$N5:$N1004,Trips!$Z5:$Z1004,$R294,Trips!$D5:$D1004,$A294)+SUMIFS(Trips!$O5:$O1004,Trips!$Z5:$Z1004,$R294,Trips!$E5:$E1004,$A294))</f>
        <v/>
      </c>
      <c r="F294" s="109">
        <f>IF($C294="","",SUMIFS(Trips!$P5:$P1004,Trips!$Z5:$Z1004,$R294,Trips!$D5:$D1004,$A294))</f>
        <v/>
      </c>
      <c r="G294" s="109">
        <f>IF($C294="","",SUMIFS(Trips!$Q5:$Q1004,Trips!$Z5:$Z1004,$R294,Trips!$D5:$D1004,$A294))</f>
        <v/>
      </c>
      <c r="H294" s="108">
        <f>IF(AND($C294="",$I294="",$J294=""),"",N($E294)+N($F294)+N($G294))</f>
        <v/>
      </c>
      <c r="I294" s="109">
        <f>IF($A294="","",IFERROR(1/(1/SUMIFS(Expenses!$F5:$F1004,Expenses!$L5:$L1004,"ADV",Expenses!$J5:$J1004,$R294,Expenses!$E5:$E1004,$A294)),""))</f>
        <v/>
      </c>
      <c r="J294" s="109">
        <f>IF($A294="","",IFERROR(1/(1/SUMIFS(Expenses!$F5:$F1004,Expenses!$L5:$L1004,"PAY",Expenses!$J5:$J1004,$R294,Expenses!$E5:$E1004,$A294)),""))</f>
        <v/>
      </c>
      <c r="K294" s="110">
        <f>IF($H294="","",N($H294)-N($I294)-N($J294))</f>
        <v/>
      </c>
      <c r="L294" s="111">
        <f>IF($K294="","",IF($K294&gt;0.5,"TO PAY",IF($K294&lt;-0.5,"ADVANCE / OWES","SETTLED")))</f>
        <v/>
      </c>
      <c r="R294" s="112" t="n">
        <v>46631</v>
      </c>
    </row>
    <row r="295">
      <c r="A295" s="104">
        <f>IF(Setup!$A85="","",Setup!$A85)</f>
        <v/>
      </c>
      <c r="B295" s="105">
        <f>IF($A295="","",Setup!$B85)</f>
        <v/>
      </c>
      <c r="C295" s="106">
        <f>IF($A295="","",IF(COUNTIFS(Trips!$Z5:$Z1004,$R295,Trips!$D5:$D1004,$A295)+COUNTIFS(Trips!$Z5:$Z1004,$R295,Trips!$E5:$E1004,$A295)=0,"",COUNTIFS(Trips!$Z5:$Z1004,$R295,Trips!$D5:$D1004,$A295)+COUNTIFS(Trips!$Z5:$Z1004,$R295,Trips!$E5:$E1004,$A295)))</f>
        <v/>
      </c>
      <c r="D295" s="107">
        <f>IF($C295="","",SUMIFS(Trips!$K5:$K1004,Trips!$Z5:$Z1004,$R295,Trips!$D5:$D1004,$A295)+SUMIFS(Trips!$K5:$K1004,Trips!$Z5:$Z1004,$R295,Trips!$E5:$E1004,$A295))</f>
        <v/>
      </c>
      <c r="E295" s="108">
        <f>IF($C295="","",SUMIFS(Trips!$N5:$N1004,Trips!$Z5:$Z1004,$R295,Trips!$D5:$D1004,$A295)+SUMIFS(Trips!$O5:$O1004,Trips!$Z5:$Z1004,$R295,Trips!$E5:$E1004,$A295))</f>
        <v/>
      </c>
      <c r="F295" s="109">
        <f>IF($C295="","",SUMIFS(Trips!$P5:$P1004,Trips!$Z5:$Z1004,$R295,Trips!$D5:$D1004,$A295))</f>
        <v/>
      </c>
      <c r="G295" s="109">
        <f>IF($C295="","",SUMIFS(Trips!$Q5:$Q1004,Trips!$Z5:$Z1004,$R295,Trips!$D5:$D1004,$A295))</f>
        <v/>
      </c>
      <c r="H295" s="108">
        <f>IF(AND($C295="",$I295="",$J295=""),"",N($E295)+N($F295)+N($G295))</f>
        <v/>
      </c>
      <c r="I295" s="109">
        <f>IF($A295="","",IFERROR(1/(1/SUMIFS(Expenses!$F5:$F1004,Expenses!$L5:$L1004,"ADV",Expenses!$J5:$J1004,$R295,Expenses!$E5:$E1004,$A295)),""))</f>
        <v/>
      </c>
      <c r="J295" s="109">
        <f>IF($A295="","",IFERROR(1/(1/SUMIFS(Expenses!$F5:$F1004,Expenses!$L5:$L1004,"PAY",Expenses!$J5:$J1004,$R295,Expenses!$E5:$E1004,$A295)),""))</f>
        <v/>
      </c>
      <c r="K295" s="110">
        <f>IF($H295="","",N($H295)-N($I295)-N($J295))</f>
        <v/>
      </c>
      <c r="L295" s="111">
        <f>IF($K295="","",IF($K295&gt;0.5,"TO PAY",IF($K295&lt;-0.5,"ADVANCE / OWES","SETTLED")))</f>
        <v/>
      </c>
      <c r="R295" s="112" t="n">
        <v>46631</v>
      </c>
    </row>
    <row r="296">
      <c r="A296" s="104">
        <f>IF(Setup!$A86="","",Setup!$A86)</f>
        <v/>
      </c>
      <c r="B296" s="105">
        <f>IF($A296="","",Setup!$B86)</f>
        <v/>
      </c>
      <c r="C296" s="106">
        <f>IF($A296="","",IF(COUNTIFS(Trips!$Z5:$Z1004,$R296,Trips!$D5:$D1004,$A296)+COUNTIFS(Trips!$Z5:$Z1004,$R296,Trips!$E5:$E1004,$A296)=0,"",COUNTIFS(Trips!$Z5:$Z1004,$R296,Trips!$D5:$D1004,$A296)+COUNTIFS(Trips!$Z5:$Z1004,$R296,Trips!$E5:$E1004,$A296)))</f>
        <v/>
      </c>
      <c r="D296" s="107">
        <f>IF($C296="","",SUMIFS(Trips!$K5:$K1004,Trips!$Z5:$Z1004,$R296,Trips!$D5:$D1004,$A296)+SUMIFS(Trips!$K5:$K1004,Trips!$Z5:$Z1004,$R296,Trips!$E5:$E1004,$A296))</f>
        <v/>
      </c>
      <c r="E296" s="108">
        <f>IF($C296="","",SUMIFS(Trips!$N5:$N1004,Trips!$Z5:$Z1004,$R296,Trips!$D5:$D1004,$A296)+SUMIFS(Trips!$O5:$O1004,Trips!$Z5:$Z1004,$R296,Trips!$E5:$E1004,$A296))</f>
        <v/>
      </c>
      <c r="F296" s="109">
        <f>IF($C296="","",SUMIFS(Trips!$P5:$P1004,Trips!$Z5:$Z1004,$R296,Trips!$D5:$D1004,$A296))</f>
        <v/>
      </c>
      <c r="G296" s="109">
        <f>IF($C296="","",SUMIFS(Trips!$Q5:$Q1004,Trips!$Z5:$Z1004,$R296,Trips!$D5:$D1004,$A296))</f>
        <v/>
      </c>
      <c r="H296" s="108">
        <f>IF(AND($C296="",$I296="",$J296=""),"",N($E296)+N($F296)+N($G296))</f>
        <v/>
      </c>
      <c r="I296" s="109">
        <f>IF($A296="","",IFERROR(1/(1/SUMIFS(Expenses!$F5:$F1004,Expenses!$L5:$L1004,"ADV",Expenses!$J5:$J1004,$R296,Expenses!$E5:$E1004,$A296)),""))</f>
        <v/>
      </c>
      <c r="J296" s="109">
        <f>IF($A296="","",IFERROR(1/(1/SUMIFS(Expenses!$F5:$F1004,Expenses!$L5:$L1004,"PAY",Expenses!$J5:$J1004,$R296,Expenses!$E5:$E1004,$A296)),""))</f>
        <v/>
      </c>
      <c r="K296" s="110">
        <f>IF($H296="","",N($H296)-N($I296)-N($J296))</f>
        <v/>
      </c>
      <c r="L296" s="111">
        <f>IF($K296="","",IF($K296&gt;0.5,"TO PAY",IF($K296&lt;-0.5,"ADVANCE / OWES","SETTLED")))</f>
        <v/>
      </c>
      <c r="R296" s="112" t="n">
        <v>46631</v>
      </c>
    </row>
    <row r="297">
      <c r="A297" s="104">
        <f>IF(Setup!$A87="","",Setup!$A87)</f>
        <v/>
      </c>
      <c r="B297" s="105">
        <f>IF($A297="","",Setup!$B87)</f>
        <v/>
      </c>
      <c r="C297" s="106">
        <f>IF($A297="","",IF(COUNTIFS(Trips!$Z5:$Z1004,$R297,Trips!$D5:$D1004,$A297)+COUNTIFS(Trips!$Z5:$Z1004,$R297,Trips!$E5:$E1004,$A297)=0,"",COUNTIFS(Trips!$Z5:$Z1004,$R297,Trips!$D5:$D1004,$A297)+COUNTIFS(Trips!$Z5:$Z1004,$R297,Trips!$E5:$E1004,$A297)))</f>
        <v/>
      </c>
      <c r="D297" s="107">
        <f>IF($C297="","",SUMIFS(Trips!$K5:$K1004,Trips!$Z5:$Z1004,$R297,Trips!$D5:$D1004,$A297)+SUMIFS(Trips!$K5:$K1004,Trips!$Z5:$Z1004,$R297,Trips!$E5:$E1004,$A297))</f>
        <v/>
      </c>
      <c r="E297" s="108">
        <f>IF($C297="","",SUMIFS(Trips!$N5:$N1004,Trips!$Z5:$Z1004,$R297,Trips!$D5:$D1004,$A297)+SUMIFS(Trips!$O5:$O1004,Trips!$Z5:$Z1004,$R297,Trips!$E5:$E1004,$A297))</f>
        <v/>
      </c>
      <c r="F297" s="109">
        <f>IF($C297="","",SUMIFS(Trips!$P5:$P1004,Trips!$Z5:$Z1004,$R297,Trips!$D5:$D1004,$A297))</f>
        <v/>
      </c>
      <c r="G297" s="109">
        <f>IF($C297="","",SUMIFS(Trips!$Q5:$Q1004,Trips!$Z5:$Z1004,$R297,Trips!$D5:$D1004,$A297))</f>
        <v/>
      </c>
      <c r="H297" s="108">
        <f>IF(AND($C297="",$I297="",$J297=""),"",N($E297)+N($F297)+N($G297))</f>
        <v/>
      </c>
      <c r="I297" s="109">
        <f>IF($A297="","",IFERROR(1/(1/SUMIFS(Expenses!$F5:$F1004,Expenses!$L5:$L1004,"ADV",Expenses!$J5:$J1004,$R297,Expenses!$E5:$E1004,$A297)),""))</f>
        <v/>
      </c>
      <c r="J297" s="109">
        <f>IF($A297="","",IFERROR(1/(1/SUMIFS(Expenses!$F5:$F1004,Expenses!$L5:$L1004,"PAY",Expenses!$J5:$J1004,$R297,Expenses!$E5:$E1004,$A297)),""))</f>
        <v/>
      </c>
      <c r="K297" s="110">
        <f>IF($H297="","",N($H297)-N($I297)-N($J297))</f>
        <v/>
      </c>
      <c r="L297" s="111">
        <f>IF($K297="","",IF($K297&gt;0.5,"TO PAY",IF($K297&lt;-0.5,"ADVANCE / OWES","SETTLED")))</f>
        <v/>
      </c>
      <c r="R297" s="112" t="n">
        <v>46631</v>
      </c>
    </row>
    <row r="298">
      <c r="A298" s="113" t="inlineStr">
        <is>
          <t>MONTH TOTAL</t>
        </is>
      </c>
      <c r="B298" s="114" t="n"/>
      <c r="C298" s="115">
        <f>IF(COUNT(C286:C297)=0,"",SUM(C286:C297))</f>
        <v/>
      </c>
      <c r="D298" s="116">
        <f>IF(COUNT(D286:D297)=0,"",SUM(D286:D297))</f>
        <v/>
      </c>
      <c r="E298" s="117">
        <f>IF(COUNT(E286:E297)=0,"",SUM(E286:E297))</f>
        <v/>
      </c>
      <c r="F298" s="117">
        <f>IF(COUNT(F286:F297)=0,"",SUM(F286:F297))</f>
        <v/>
      </c>
      <c r="G298" s="117">
        <f>IF(COUNT(G286:G297)=0,"",SUM(G286:G297))</f>
        <v/>
      </c>
      <c r="H298" s="117">
        <f>IF(COUNT(H286:H297)=0,"",SUM(H286:H297))</f>
        <v/>
      </c>
      <c r="I298" s="117">
        <f>IF(COUNT(I286:I297)=0,"",SUM(I286:I297))</f>
        <v/>
      </c>
      <c r="J298" s="117">
        <f>IF(COUNT(J286:J297)=0,"",SUM(J286:J297))</f>
        <v/>
      </c>
      <c r="K298" s="117">
        <f>IF(COUNT(K286:K297)=0,"",SUM(K286:K297))</f>
        <v/>
      </c>
      <c r="L298" s="118" t="n"/>
    </row>
    <row r="299" ht="24" customHeight="1">
      <c r="A299" s="103" t="inlineStr">
        <is>
          <t>OCTOBER 2027   ·   crew earnings &amp; settlement</t>
        </is>
      </c>
    </row>
    <row r="300">
      <c r="A300" s="104">
        <f>IF(Setup!$A76="","",Setup!$A76)</f>
        <v/>
      </c>
      <c r="B300" s="105">
        <f>IF($A300="","",Setup!$B76)</f>
        <v/>
      </c>
      <c r="C300" s="106">
        <f>IF($A300="","",IF(COUNTIFS(Trips!$Z5:$Z1004,$R300,Trips!$D5:$D1004,$A300)+COUNTIFS(Trips!$Z5:$Z1004,$R300,Trips!$E5:$E1004,$A300)=0,"",COUNTIFS(Trips!$Z5:$Z1004,$R300,Trips!$D5:$D1004,$A300)+COUNTIFS(Trips!$Z5:$Z1004,$R300,Trips!$E5:$E1004,$A300)))</f>
        <v/>
      </c>
      <c r="D300" s="107">
        <f>IF($C300="","",SUMIFS(Trips!$K5:$K1004,Trips!$Z5:$Z1004,$R300,Trips!$D5:$D1004,$A300)+SUMIFS(Trips!$K5:$K1004,Trips!$Z5:$Z1004,$R300,Trips!$E5:$E1004,$A300))</f>
        <v/>
      </c>
      <c r="E300" s="108">
        <f>IF($C300="","",SUMIFS(Trips!$N5:$N1004,Trips!$Z5:$Z1004,$R300,Trips!$D5:$D1004,$A300)+SUMIFS(Trips!$O5:$O1004,Trips!$Z5:$Z1004,$R300,Trips!$E5:$E1004,$A300))</f>
        <v/>
      </c>
      <c r="F300" s="109">
        <f>IF($C300="","",SUMIFS(Trips!$P5:$P1004,Trips!$Z5:$Z1004,$R300,Trips!$D5:$D1004,$A300))</f>
        <v/>
      </c>
      <c r="G300" s="109">
        <f>IF($C300="","",SUMIFS(Trips!$Q5:$Q1004,Trips!$Z5:$Z1004,$R300,Trips!$D5:$D1004,$A300))</f>
        <v/>
      </c>
      <c r="H300" s="108">
        <f>IF(AND($C300="",$I300="",$J300=""),"",N($E300)+N($F300)+N($G300))</f>
        <v/>
      </c>
      <c r="I300" s="109">
        <f>IF($A300="","",IFERROR(1/(1/SUMIFS(Expenses!$F5:$F1004,Expenses!$L5:$L1004,"ADV",Expenses!$J5:$J1004,$R300,Expenses!$E5:$E1004,$A300)),""))</f>
        <v/>
      </c>
      <c r="J300" s="109">
        <f>IF($A300="","",IFERROR(1/(1/SUMIFS(Expenses!$F5:$F1004,Expenses!$L5:$L1004,"PAY",Expenses!$J5:$J1004,$R300,Expenses!$E5:$E1004,$A300)),""))</f>
        <v/>
      </c>
      <c r="K300" s="110">
        <f>IF($H300="","",N($H300)-N($I300)-N($J300))</f>
        <v/>
      </c>
      <c r="L300" s="111">
        <f>IF($K300="","",IF($K300&gt;0.5,"TO PAY",IF($K300&lt;-0.5,"ADVANCE / OWES","SETTLED")))</f>
        <v/>
      </c>
      <c r="R300" s="112" t="n">
        <v>46661</v>
      </c>
    </row>
    <row r="301">
      <c r="A301" s="104">
        <f>IF(Setup!$A77="","",Setup!$A77)</f>
        <v/>
      </c>
      <c r="B301" s="105">
        <f>IF($A301="","",Setup!$B77)</f>
        <v/>
      </c>
      <c r="C301" s="106">
        <f>IF($A301="","",IF(COUNTIFS(Trips!$Z5:$Z1004,$R301,Trips!$D5:$D1004,$A301)+COUNTIFS(Trips!$Z5:$Z1004,$R301,Trips!$E5:$E1004,$A301)=0,"",COUNTIFS(Trips!$Z5:$Z1004,$R301,Trips!$D5:$D1004,$A301)+COUNTIFS(Trips!$Z5:$Z1004,$R301,Trips!$E5:$E1004,$A301)))</f>
        <v/>
      </c>
      <c r="D301" s="107">
        <f>IF($C301="","",SUMIFS(Trips!$K5:$K1004,Trips!$Z5:$Z1004,$R301,Trips!$D5:$D1004,$A301)+SUMIFS(Trips!$K5:$K1004,Trips!$Z5:$Z1004,$R301,Trips!$E5:$E1004,$A301))</f>
        <v/>
      </c>
      <c r="E301" s="108">
        <f>IF($C301="","",SUMIFS(Trips!$N5:$N1004,Trips!$Z5:$Z1004,$R301,Trips!$D5:$D1004,$A301)+SUMIFS(Trips!$O5:$O1004,Trips!$Z5:$Z1004,$R301,Trips!$E5:$E1004,$A301))</f>
        <v/>
      </c>
      <c r="F301" s="109">
        <f>IF($C301="","",SUMIFS(Trips!$P5:$P1004,Trips!$Z5:$Z1004,$R301,Trips!$D5:$D1004,$A301))</f>
        <v/>
      </c>
      <c r="G301" s="109">
        <f>IF($C301="","",SUMIFS(Trips!$Q5:$Q1004,Trips!$Z5:$Z1004,$R301,Trips!$D5:$D1004,$A301))</f>
        <v/>
      </c>
      <c r="H301" s="108">
        <f>IF(AND($C301="",$I301="",$J301=""),"",N($E301)+N($F301)+N($G301))</f>
        <v/>
      </c>
      <c r="I301" s="109">
        <f>IF($A301="","",IFERROR(1/(1/SUMIFS(Expenses!$F5:$F1004,Expenses!$L5:$L1004,"ADV",Expenses!$J5:$J1004,$R301,Expenses!$E5:$E1004,$A301)),""))</f>
        <v/>
      </c>
      <c r="J301" s="109">
        <f>IF($A301="","",IFERROR(1/(1/SUMIFS(Expenses!$F5:$F1004,Expenses!$L5:$L1004,"PAY",Expenses!$J5:$J1004,$R301,Expenses!$E5:$E1004,$A301)),""))</f>
        <v/>
      </c>
      <c r="K301" s="110">
        <f>IF($H301="","",N($H301)-N($I301)-N($J301))</f>
        <v/>
      </c>
      <c r="L301" s="111">
        <f>IF($K301="","",IF($K301&gt;0.5,"TO PAY",IF($K301&lt;-0.5,"ADVANCE / OWES","SETTLED")))</f>
        <v/>
      </c>
      <c r="R301" s="112" t="n">
        <v>46661</v>
      </c>
    </row>
    <row r="302">
      <c r="A302" s="104">
        <f>IF(Setup!$A78="","",Setup!$A78)</f>
        <v/>
      </c>
      <c r="B302" s="105">
        <f>IF($A302="","",Setup!$B78)</f>
        <v/>
      </c>
      <c r="C302" s="106">
        <f>IF($A302="","",IF(COUNTIFS(Trips!$Z5:$Z1004,$R302,Trips!$D5:$D1004,$A302)+COUNTIFS(Trips!$Z5:$Z1004,$R302,Trips!$E5:$E1004,$A302)=0,"",COUNTIFS(Trips!$Z5:$Z1004,$R302,Trips!$D5:$D1004,$A302)+COUNTIFS(Trips!$Z5:$Z1004,$R302,Trips!$E5:$E1004,$A302)))</f>
        <v/>
      </c>
      <c r="D302" s="107">
        <f>IF($C302="","",SUMIFS(Trips!$K5:$K1004,Trips!$Z5:$Z1004,$R302,Trips!$D5:$D1004,$A302)+SUMIFS(Trips!$K5:$K1004,Trips!$Z5:$Z1004,$R302,Trips!$E5:$E1004,$A302))</f>
        <v/>
      </c>
      <c r="E302" s="108">
        <f>IF($C302="","",SUMIFS(Trips!$N5:$N1004,Trips!$Z5:$Z1004,$R302,Trips!$D5:$D1004,$A302)+SUMIFS(Trips!$O5:$O1004,Trips!$Z5:$Z1004,$R302,Trips!$E5:$E1004,$A302))</f>
        <v/>
      </c>
      <c r="F302" s="109">
        <f>IF($C302="","",SUMIFS(Trips!$P5:$P1004,Trips!$Z5:$Z1004,$R302,Trips!$D5:$D1004,$A302))</f>
        <v/>
      </c>
      <c r="G302" s="109">
        <f>IF($C302="","",SUMIFS(Trips!$Q5:$Q1004,Trips!$Z5:$Z1004,$R302,Trips!$D5:$D1004,$A302))</f>
        <v/>
      </c>
      <c r="H302" s="108">
        <f>IF(AND($C302="",$I302="",$J302=""),"",N($E302)+N($F302)+N($G302))</f>
        <v/>
      </c>
      <c r="I302" s="109">
        <f>IF($A302="","",IFERROR(1/(1/SUMIFS(Expenses!$F5:$F1004,Expenses!$L5:$L1004,"ADV",Expenses!$J5:$J1004,$R302,Expenses!$E5:$E1004,$A302)),""))</f>
        <v/>
      </c>
      <c r="J302" s="109">
        <f>IF($A302="","",IFERROR(1/(1/SUMIFS(Expenses!$F5:$F1004,Expenses!$L5:$L1004,"PAY",Expenses!$J5:$J1004,$R302,Expenses!$E5:$E1004,$A302)),""))</f>
        <v/>
      </c>
      <c r="K302" s="110">
        <f>IF($H302="","",N($H302)-N($I302)-N($J302))</f>
        <v/>
      </c>
      <c r="L302" s="111">
        <f>IF($K302="","",IF($K302&gt;0.5,"TO PAY",IF($K302&lt;-0.5,"ADVANCE / OWES","SETTLED")))</f>
        <v/>
      </c>
      <c r="R302" s="112" t="n">
        <v>46661</v>
      </c>
    </row>
    <row r="303">
      <c r="A303" s="104">
        <f>IF(Setup!$A79="","",Setup!$A79)</f>
        <v/>
      </c>
      <c r="B303" s="105">
        <f>IF($A303="","",Setup!$B79)</f>
        <v/>
      </c>
      <c r="C303" s="106">
        <f>IF($A303="","",IF(COUNTIFS(Trips!$Z5:$Z1004,$R303,Trips!$D5:$D1004,$A303)+COUNTIFS(Trips!$Z5:$Z1004,$R303,Trips!$E5:$E1004,$A303)=0,"",COUNTIFS(Trips!$Z5:$Z1004,$R303,Trips!$D5:$D1004,$A303)+COUNTIFS(Trips!$Z5:$Z1004,$R303,Trips!$E5:$E1004,$A303)))</f>
        <v/>
      </c>
      <c r="D303" s="107">
        <f>IF($C303="","",SUMIFS(Trips!$K5:$K1004,Trips!$Z5:$Z1004,$R303,Trips!$D5:$D1004,$A303)+SUMIFS(Trips!$K5:$K1004,Trips!$Z5:$Z1004,$R303,Trips!$E5:$E1004,$A303))</f>
        <v/>
      </c>
      <c r="E303" s="108">
        <f>IF($C303="","",SUMIFS(Trips!$N5:$N1004,Trips!$Z5:$Z1004,$R303,Trips!$D5:$D1004,$A303)+SUMIFS(Trips!$O5:$O1004,Trips!$Z5:$Z1004,$R303,Trips!$E5:$E1004,$A303))</f>
        <v/>
      </c>
      <c r="F303" s="109">
        <f>IF($C303="","",SUMIFS(Trips!$P5:$P1004,Trips!$Z5:$Z1004,$R303,Trips!$D5:$D1004,$A303))</f>
        <v/>
      </c>
      <c r="G303" s="109">
        <f>IF($C303="","",SUMIFS(Trips!$Q5:$Q1004,Trips!$Z5:$Z1004,$R303,Trips!$D5:$D1004,$A303))</f>
        <v/>
      </c>
      <c r="H303" s="108">
        <f>IF(AND($C303="",$I303="",$J303=""),"",N($E303)+N($F303)+N($G303))</f>
        <v/>
      </c>
      <c r="I303" s="109">
        <f>IF($A303="","",IFERROR(1/(1/SUMIFS(Expenses!$F5:$F1004,Expenses!$L5:$L1004,"ADV",Expenses!$J5:$J1004,$R303,Expenses!$E5:$E1004,$A303)),""))</f>
        <v/>
      </c>
      <c r="J303" s="109">
        <f>IF($A303="","",IFERROR(1/(1/SUMIFS(Expenses!$F5:$F1004,Expenses!$L5:$L1004,"PAY",Expenses!$J5:$J1004,$R303,Expenses!$E5:$E1004,$A303)),""))</f>
        <v/>
      </c>
      <c r="K303" s="110">
        <f>IF($H303="","",N($H303)-N($I303)-N($J303))</f>
        <v/>
      </c>
      <c r="L303" s="111">
        <f>IF($K303="","",IF($K303&gt;0.5,"TO PAY",IF($K303&lt;-0.5,"ADVANCE / OWES","SETTLED")))</f>
        <v/>
      </c>
      <c r="R303" s="112" t="n">
        <v>46661</v>
      </c>
    </row>
    <row r="304">
      <c r="A304" s="104">
        <f>IF(Setup!$A80="","",Setup!$A80)</f>
        <v/>
      </c>
      <c r="B304" s="105">
        <f>IF($A304="","",Setup!$B80)</f>
        <v/>
      </c>
      <c r="C304" s="106">
        <f>IF($A304="","",IF(COUNTIFS(Trips!$Z5:$Z1004,$R304,Trips!$D5:$D1004,$A304)+COUNTIFS(Trips!$Z5:$Z1004,$R304,Trips!$E5:$E1004,$A304)=0,"",COUNTIFS(Trips!$Z5:$Z1004,$R304,Trips!$D5:$D1004,$A304)+COUNTIFS(Trips!$Z5:$Z1004,$R304,Trips!$E5:$E1004,$A304)))</f>
        <v/>
      </c>
      <c r="D304" s="107">
        <f>IF($C304="","",SUMIFS(Trips!$K5:$K1004,Trips!$Z5:$Z1004,$R304,Trips!$D5:$D1004,$A304)+SUMIFS(Trips!$K5:$K1004,Trips!$Z5:$Z1004,$R304,Trips!$E5:$E1004,$A304))</f>
        <v/>
      </c>
      <c r="E304" s="108">
        <f>IF($C304="","",SUMIFS(Trips!$N5:$N1004,Trips!$Z5:$Z1004,$R304,Trips!$D5:$D1004,$A304)+SUMIFS(Trips!$O5:$O1004,Trips!$Z5:$Z1004,$R304,Trips!$E5:$E1004,$A304))</f>
        <v/>
      </c>
      <c r="F304" s="109">
        <f>IF($C304="","",SUMIFS(Trips!$P5:$P1004,Trips!$Z5:$Z1004,$R304,Trips!$D5:$D1004,$A304))</f>
        <v/>
      </c>
      <c r="G304" s="109">
        <f>IF($C304="","",SUMIFS(Trips!$Q5:$Q1004,Trips!$Z5:$Z1004,$R304,Trips!$D5:$D1004,$A304))</f>
        <v/>
      </c>
      <c r="H304" s="108">
        <f>IF(AND($C304="",$I304="",$J304=""),"",N($E304)+N($F304)+N($G304))</f>
        <v/>
      </c>
      <c r="I304" s="109">
        <f>IF($A304="","",IFERROR(1/(1/SUMIFS(Expenses!$F5:$F1004,Expenses!$L5:$L1004,"ADV",Expenses!$J5:$J1004,$R304,Expenses!$E5:$E1004,$A304)),""))</f>
        <v/>
      </c>
      <c r="J304" s="109">
        <f>IF($A304="","",IFERROR(1/(1/SUMIFS(Expenses!$F5:$F1004,Expenses!$L5:$L1004,"PAY",Expenses!$J5:$J1004,$R304,Expenses!$E5:$E1004,$A304)),""))</f>
        <v/>
      </c>
      <c r="K304" s="110">
        <f>IF($H304="","",N($H304)-N($I304)-N($J304))</f>
        <v/>
      </c>
      <c r="L304" s="111">
        <f>IF($K304="","",IF($K304&gt;0.5,"TO PAY",IF($K304&lt;-0.5,"ADVANCE / OWES","SETTLED")))</f>
        <v/>
      </c>
      <c r="R304" s="112" t="n">
        <v>46661</v>
      </c>
    </row>
    <row r="305">
      <c r="A305" s="104">
        <f>IF(Setup!$A81="","",Setup!$A81)</f>
        <v/>
      </c>
      <c r="B305" s="105">
        <f>IF($A305="","",Setup!$B81)</f>
        <v/>
      </c>
      <c r="C305" s="106">
        <f>IF($A305="","",IF(COUNTIFS(Trips!$Z5:$Z1004,$R305,Trips!$D5:$D1004,$A305)+COUNTIFS(Trips!$Z5:$Z1004,$R305,Trips!$E5:$E1004,$A305)=0,"",COUNTIFS(Trips!$Z5:$Z1004,$R305,Trips!$D5:$D1004,$A305)+COUNTIFS(Trips!$Z5:$Z1004,$R305,Trips!$E5:$E1004,$A305)))</f>
        <v/>
      </c>
      <c r="D305" s="107">
        <f>IF($C305="","",SUMIFS(Trips!$K5:$K1004,Trips!$Z5:$Z1004,$R305,Trips!$D5:$D1004,$A305)+SUMIFS(Trips!$K5:$K1004,Trips!$Z5:$Z1004,$R305,Trips!$E5:$E1004,$A305))</f>
        <v/>
      </c>
      <c r="E305" s="108">
        <f>IF($C305="","",SUMIFS(Trips!$N5:$N1004,Trips!$Z5:$Z1004,$R305,Trips!$D5:$D1004,$A305)+SUMIFS(Trips!$O5:$O1004,Trips!$Z5:$Z1004,$R305,Trips!$E5:$E1004,$A305))</f>
        <v/>
      </c>
      <c r="F305" s="109">
        <f>IF($C305="","",SUMIFS(Trips!$P5:$P1004,Trips!$Z5:$Z1004,$R305,Trips!$D5:$D1004,$A305))</f>
        <v/>
      </c>
      <c r="G305" s="109">
        <f>IF($C305="","",SUMIFS(Trips!$Q5:$Q1004,Trips!$Z5:$Z1004,$R305,Trips!$D5:$D1004,$A305))</f>
        <v/>
      </c>
      <c r="H305" s="108">
        <f>IF(AND($C305="",$I305="",$J305=""),"",N($E305)+N($F305)+N($G305))</f>
        <v/>
      </c>
      <c r="I305" s="109">
        <f>IF($A305="","",IFERROR(1/(1/SUMIFS(Expenses!$F5:$F1004,Expenses!$L5:$L1004,"ADV",Expenses!$J5:$J1004,$R305,Expenses!$E5:$E1004,$A305)),""))</f>
        <v/>
      </c>
      <c r="J305" s="109">
        <f>IF($A305="","",IFERROR(1/(1/SUMIFS(Expenses!$F5:$F1004,Expenses!$L5:$L1004,"PAY",Expenses!$J5:$J1004,$R305,Expenses!$E5:$E1004,$A305)),""))</f>
        <v/>
      </c>
      <c r="K305" s="110">
        <f>IF($H305="","",N($H305)-N($I305)-N($J305))</f>
        <v/>
      </c>
      <c r="L305" s="111">
        <f>IF($K305="","",IF($K305&gt;0.5,"TO PAY",IF($K305&lt;-0.5,"ADVANCE / OWES","SETTLED")))</f>
        <v/>
      </c>
      <c r="R305" s="112" t="n">
        <v>46661</v>
      </c>
    </row>
    <row r="306">
      <c r="A306" s="104">
        <f>IF(Setup!$A82="","",Setup!$A82)</f>
        <v/>
      </c>
      <c r="B306" s="105">
        <f>IF($A306="","",Setup!$B82)</f>
        <v/>
      </c>
      <c r="C306" s="106">
        <f>IF($A306="","",IF(COUNTIFS(Trips!$Z5:$Z1004,$R306,Trips!$D5:$D1004,$A306)+COUNTIFS(Trips!$Z5:$Z1004,$R306,Trips!$E5:$E1004,$A306)=0,"",COUNTIFS(Trips!$Z5:$Z1004,$R306,Trips!$D5:$D1004,$A306)+COUNTIFS(Trips!$Z5:$Z1004,$R306,Trips!$E5:$E1004,$A306)))</f>
        <v/>
      </c>
      <c r="D306" s="107">
        <f>IF($C306="","",SUMIFS(Trips!$K5:$K1004,Trips!$Z5:$Z1004,$R306,Trips!$D5:$D1004,$A306)+SUMIFS(Trips!$K5:$K1004,Trips!$Z5:$Z1004,$R306,Trips!$E5:$E1004,$A306))</f>
        <v/>
      </c>
      <c r="E306" s="108">
        <f>IF($C306="","",SUMIFS(Trips!$N5:$N1004,Trips!$Z5:$Z1004,$R306,Trips!$D5:$D1004,$A306)+SUMIFS(Trips!$O5:$O1004,Trips!$Z5:$Z1004,$R306,Trips!$E5:$E1004,$A306))</f>
        <v/>
      </c>
      <c r="F306" s="109">
        <f>IF($C306="","",SUMIFS(Trips!$P5:$P1004,Trips!$Z5:$Z1004,$R306,Trips!$D5:$D1004,$A306))</f>
        <v/>
      </c>
      <c r="G306" s="109">
        <f>IF($C306="","",SUMIFS(Trips!$Q5:$Q1004,Trips!$Z5:$Z1004,$R306,Trips!$D5:$D1004,$A306))</f>
        <v/>
      </c>
      <c r="H306" s="108">
        <f>IF(AND($C306="",$I306="",$J306=""),"",N($E306)+N($F306)+N($G306))</f>
        <v/>
      </c>
      <c r="I306" s="109">
        <f>IF($A306="","",IFERROR(1/(1/SUMIFS(Expenses!$F5:$F1004,Expenses!$L5:$L1004,"ADV",Expenses!$J5:$J1004,$R306,Expenses!$E5:$E1004,$A306)),""))</f>
        <v/>
      </c>
      <c r="J306" s="109">
        <f>IF($A306="","",IFERROR(1/(1/SUMIFS(Expenses!$F5:$F1004,Expenses!$L5:$L1004,"PAY",Expenses!$J5:$J1004,$R306,Expenses!$E5:$E1004,$A306)),""))</f>
        <v/>
      </c>
      <c r="K306" s="110">
        <f>IF($H306="","",N($H306)-N($I306)-N($J306))</f>
        <v/>
      </c>
      <c r="L306" s="111">
        <f>IF($K306="","",IF($K306&gt;0.5,"TO PAY",IF($K306&lt;-0.5,"ADVANCE / OWES","SETTLED")))</f>
        <v/>
      </c>
      <c r="R306" s="112" t="n">
        <v>46661</v>
      </c>
    </row>
    <row r="307">
      <c r="A307" s="104">
        <f>IF(Setup!$A83="","",Setup!$A83)</f>
        <v/>
      </c>
      <c r="B307" s="105">
        <f>IF($A307="","",Setup!$B83)</f>
        <v/>
      </c>
      <c r="C307" s="106">
        <f>IF($A307="","",IF(COUNTIFS(Trips!$Z5:$Z1004,$R307,Trips!$D5:$D1004,$A307)+COUNTIFS(Trips!$Z5:$Z1004,$R307,Trips!$E5:$E1004,$A307)=0,"",COUNTIFS(Trips!$Z5:$Z1004,$R307,Trips!$D5:$D1004,$A307)+COUNTIFS(Trips!$Z5:$Z1004,$R307,Trips!$E5:$E1004,$A307)))</f>
        <v/>
      </c>
      <c r="D307" s="107">
        <f>IF($C307="","",SUMIFS(Trips!$K5:$K1004,Trips!$Z5:$Z1004,$R307,Trips!$D5:$D1004,$A307)+SUMIFS(Trips!$K5:$K1004,Trips!$Z5:$Z1004,$R307,Trips!$E5:$E1004,$A307))</f>
        <v/>
      </c>
      <c r="E307" s="108">
        <f>IF($C307="","",SUMIFS(Trips!$N5:$N1004,Trips!$Z5:$Z1004,$R307,Trips!$D5:$D1004,$A307)+SUMIFS(Trips!$O5:$O1004,Trips!$Z5:$Z1004,$R307,Trips!$E5:$E1004,$A307))</f>
        <v/>
      </c>
      <c r="F307" s="109">
        <f>IF($C307="","",SUMIFS(Trips!$P5:$P1004,Trips!$Z5:$Z1004,$R307,Trips!$D5:$D1004,$A307))</f>
        <v/>
      </c>
      <c r="G307" s="109">
        <f>IF($C307="","",SUMIFS(Trips!$Q5:$Q1004,Trips!$Z5:$Z1004,$R307,Trips!$D5:$D1004,$A307))</f>
        <v/>
      </c>
      <c r="H307" s="108">
        <f>IF(AND($C307="",$I307="",$J307=""),"",N($E307)+N($F307)+N($G307))</f>
        <v/>
      </c>
      <c r="I307" s="109">
        <f>IF($A307="","",IFERROR(1/(1/SUMIFS(Expenses!$F5:$F1004,Expenses!$L5:$L1004,"ADV",Expenses!$J5:$J1004,$R307,Expenses!$E5:$E1004,$A307)),""))</f>
        <v/>
      </c>
      <c r="J307" s="109">
        <f>IF($A307="","",IFERROR(1/(1/SUMIFS(Expenses!$F5:$F1004,Expenses!$L5:$L1004,"PAY",Expenses!$J5:$J1004,$R307,Expenses!$E5:$E1004,$A307)),""))</f>
        <v/>
      </c>
      <c r="K307" s="110">
        <f>IF($H307="","",N($H307)-N($I307)-N($J307))</f>
        <v/>
      </c>
      <c r="L307" s="111">
        <f>IF($K307="","",IF($K307&gt;0.5,"TO PAY",IF($K307&lt;-0.5,"ADVANCE / OWES","SETTLED")))</f>
        <v/>
      </c>
      <c r="R307" s="112" t="n">
        <v>46661</v>
      </c>
    </row>
    <row r="308">
      <c r="A308" s="104">
        <f>IF(Setup!$A84="","",Setup!$A84)</f>
        <v/>
      </c>
      <c r="B308" s="105">
        <f>IF($A308="","",Setup!$B84)</f>
        <v/>
      </c>
      <c r="C308" s="106">
        <f>IF($A308="","",IF(COUNTIFS(Trips!$Z5:$Z1004,$R308,Trips!$D5:$D1004,$A308)+COUNTIFS(Trips!$Z5:$Z1004,$R308,Trips!$E5:$E1004,$A308)=0,"",COUNTIFS(Trips!$Z5:$Z1004,$R308,Trips!$D5:$D1004,$A308)+COUNTIFS(Trips!$Z5:$Z1004,$R308,Trips!$E5:$E1004,$A308)))</f>
        <v/>
      </c>
      <c r="D308" s="107">
        <f>IF($C308="","",SUMIFS(Trips!$K5:$K1004,Trips!$Z5:$Z1004,$R308,Trips!$D5:$D1004,$A308)+SUMIFS(Trips!$K5:$K1004,Trips!$Z5:$Z1004,$R308,Trips!$E5:$E1004,$A308))</f>
        <v/>
      </c>
      <c r="E308" s="108">
        <f>IF($C308="","",SUMIFS(Trips!$N5:$N1004,Trips!$Z5:$Z1004,$R308,Trips!$D5:$D1004,$A308)+SUMIFS(Trips!$O5:$O1004,Trips!$Z5:$Z1004,$R308,Trips!$E5:$E1004,$A308))</f>
        <v/>
      </c>
      <c r="F308" s="109">
        <f>IF($C308="","",SUMIFS(Trips!$P5:$P1004,Trips!$Z5:$Z1004,$R308,Trips!$D5:$D1004,$A308))</f>
        <v/>
      </c>
      <c r="G308" s="109">
        <f>IF($C308="","",SUMIFS(Trips!$Q5:$Q1004,Trips!$Z5:$Z1004,$R308,Trips!$D5:$D1004,$A308))</f>
        <v/>
      </c>
      <c r="H308" s="108">
        <f>IF(AND($C308="",$I308="",$J308=""),"",N($E308)+N($F308)+N($G308))</f>
        <v/>
      </c>
      <c r="I308" s="109">
        <f>IF($A308="","",IFERROR(1/(1/SUMIFS(Expenses!$F5:$F1004,Expenses!$L5:$L1004,"ADV",Expenses!$J5:$J1004,$R308,Expenses!$E5:$E1004,$A308)),""))</f>
        <v/>
      </c>
      <c r="J308" s="109">
        <f>IF($A308="","",IFERROR(1/(1/SUMIFS(Expenses!$F5:$F1004,Expenses!$L5:$L1004,"PAY",Expenses!$J5:$J1004,$R308,Expenses!$E5:$E1004,$A308)),""))</f>
        <v/>
      </c>
      <c r="K308" s="110">
        <f>IF($H308="","",N($H308)-N($I308)-N($J308))</f>
        <v/>
      </c>
      <c r="L308" s="111">
        <f>IF($K308="","",IF($K308&gt;0.5,"TO PAY",IF($K308&lt;-0.5,"ADVANCE / OWES","SETTLED")))</f>
        <v/>
      </c>
      <c r="R308" s="112" t="n">
        <v>46661</v>
      </c>
    </row>
    <row r="309">
      <c r="A309" s="104">
        <f>IF(Setup!$A85="","",Setup!$A85)</f>
        <v/>
      </c>
      <c r="B309" s="105">
        <f>IF($A309="","",Setup!$B85)</f>
        <v/>
      </c>
      <c r="C309" s="106">
        <f>IF($A309="","",IF(COUNTIFS(Trips!$Z5:$Z1004,$R309,Trips!$D5:$D1004,$A309)+COUNTIFS(Trips!$Z5:$Z1004,$R309,Trips!$E5:$E1004,$A309)=0,"",COUNTIFS(Trips!$Z5:$Z1004,$R309,Trips!$D5:$D1004,$A309)+COUNTIFS(Trips!$Z5:$Z1004,$R309,Trips!$E5:$E1004,$A309)))</f>
        <v/>
      </c>
      <c r="D309" s="107">
        <f>IF($C309="","",SUMIFS(Trips!$K5:$K1004,Trips!$Z5:$Z1004,$R309,Trips!$D5:$D1004,$A309)+SUMIFS(Trips!$K5:$K1004,Trips!$Z5:$Z1004,$R309,Trips!$E5:$E1004,$A309))</f>
        <v/>
      </c>
      <c r="E309" s="108">
        <f>IF($C309="","",SUMIFS(Trips!$N5:$N1004,Trips!$Z5:$Z1004,$R309,Trips!$D5:$D1004,$A309)+SUMIFS(Trips!$O5:$O1004,Trips!$Z5:$Z1004,$R309,Trips!$E5:$E1004,$A309))</f>
        <v/>
      </c>
      <c r="F309" s="109">
        <f>IF($C309="","",SUMIFS(Trips!$P5:$P1004,Trips!$Z5:$Z1004,$R309,Trips!$D5:$D1004,$A309))</f>
        <v/>
      </c>
      <c r="G309" s="109">
        <f>IF($C309="","",SUMIFS(Trips!$Q5:$Q1004,Trips!$Z5:$Z1004,$R309,Trips!$D5:$D1004,$A309))</f>
        <v/>
      </c>
      <c r="H309" s="108">
        <f>IF(AND($C309="",$I309="",$J309=""),"",N($E309)+N($F309)+N($G309))</f>
        <v/>
      </c>
      <c r="I309" s="109">
        <f>IF($A309="","",IFERROR(1/(1/SUMIFS(Expenses!$F5:$F1004,Expenses!$L5:$L1004,"ADV",Expenses!$J5:$J1004,$R309,Expenses!$E5:$E1004,$A309)),""))</f>
        <v/>
      </c>
      <c r="J309" s="109">
        <f>IF($A309="","",IFERROR(1/(1/SUMIFS(Expenses!$F5:$F1004,Expenses!$L5:$L1004,"PAY",Expenses!$J5:$J1004,$R309,Expenses!$E5:$E1004,$A309)),""))</f>
        <v/>
      </c>
      <c r="K309" s="110">
        <f>IF($H309="","",N($H309)-N($I309)-N($J309))</f>
        <v/>
      </c>
      <c r="L309" s="111">
        <f>IF($K309="","",IF($K309&gt;0.5,"TO PAY",IF($K309&lt;-0.5,"ADVANCE / OWES","SETTLED")))</f>
        <v/>
      </c>
      <c r="R309" s="112" t="n">
        <v>46661</v>
      </c>
    </row>
    <row r="310">
      <c r="A310" s="104">
        <f>IF(Setup!$A86="","",Setup!$A86)</f>
        <v/>
      </c>
      <c r="B310" s="105">
        <f>IF($A310="","",Setup!$B86)</f>
        <v/>
      </c>
      <c r="C310" s="106">
        <f>IF($A310="","",IF(COUNTIFS(Trips!$Z5:$Z1004,$R310,Trips!$D5:$D1004,$A310)+COUNTIFS(Trips!$Z5:$Z1004,$R310,Trips!$E5:$E1004,$A310)=0,"",COUNTIFS(Trips!$Z5:$Z1004,$R310,Trips!$D5:$D1004,$A310)+COUNTIFS(Trips!$Z5:$Z1004,$R310,Trips!$E5:$E1004,$A310)))</f>
        <v/>
      </c>
      <c r="D310" s="107">
        <f>IF($C310="","",SUMIFS(Trips!$K5:$K1004,Trips!$Z5:$Z1004,$R310,Trips!$D5:$D1004,$A310)+SUMIFS(Trips!$K5:$K1004,Trips!$Z5:$Z1004,$R310,Trips!$E5:$E1004,$A310))</f>
        <v/>
      </c>
      <c r="E310" s="108">
        <f>IF($C310="","",SUMIFS(Trips!$N5:$N1004,Trips!$Z5:$Z1004,$R310,Trips!$D5:$D1004,$A310)+SUMIFS(Trips!$O5:$O1004,Trips!$Z5:$Z1004,$R310,Trips!$E5:$E1004,$A310))</f>
        <v/>
      </c>
      <c r="F310" s="109">
        <f>IF($C310="","",SUMIFS(Trips!$P5:$P1004,Trips!$Z5:$Z1004,$R310,Trips!$D5:$D1004,$A310))</f>
        <v/>
      </c>
      <c r="G310" s="109">
        <f>IF($C310="","",SUMIFS(Trips!$Q5:$Q1004,Trips!$Z5:$Z1004,$R310,Trips!$D5:$D1004,$A310))</f>
        <v/>
      </c>
      <c r="H310" s="108">
        <f>IF(AND($C310="",$I310="",$J310=""),"",N($E310)+N($F310)+N($G310))</f>
        <v/>
      </c>
      <c r="I310" s="109">
        <f>IF($A310="","",IFERROR(1/(1/SUMIFS(Expenses!$F5:$F1004,Expenses!$L5:$L1004,"ADV",Expenses!$J5:$J1004,$R310,Expenses!$E5:$E1004,$A310)),""))</f>
        <v/>
      </c>
      <c r="J310" s="109">
        <f>IF($A310="","",IFERROR(1/(1/SUMIFS(Expenses!$F5:$F1004,Expenses!$L5:$L1004,"PAY",Expenses!$J5:$J1004,$R310,Expenses!$E5:$E1004,$A310)),""))</f>
        <v/>
      </c>
      <c r="K310" s="110">
        <f>IF($H310="","",N($H310)-N($I310)-N($J310))</f>
        <v/>
      </c>
      <c r="L310" s="111">
        <f>IF($K310="","",IF($K310&gt;0.5,"TO PAY",IF($K310&lt;-0.5,"ADVANCE / OWES","SETTLED")))</f>
        <v/>
      </c>
      <c r="R310" s="112" t="n">
        <v>46661</v>
      </c>
    </row>
    <row r="311">
      <c r="A311" s="104">
        <f>IF(Setup!$A87="","",Setup!$A87)</f>
        <v/>
      </c>
      <c r="B311" s="105">
        <f>IF($A311="","",Setup!$B87)</f>
        <v/>
      </c>
      <c r="C311" s="106">
        <f>IF($A311="","",IF(COUNTIFS(Trips!$Z5:$Z1004,$R311,Trips!$D5:$D1004,$A311)+COUNTIFS(Trips!$Z5:$Z1004,$R311,Trips!$E5:$E1004,$A311)=0,"",COUNTIFS(Trips!$Z5:$Z1004,$R311,Trips!$D5:$D1004,$A311)+COUNTIFS(Trips!$Z5:$Z1004,$R311,Trips!$E5:$E1004,$A311)))</f>
        <v/>
      </c>
      <c r="D311" s="107">
        <f>IF($C311="","",SUMIFS(Trips!$K5:$K1004,Trips!$Z5:$Z1004,$R311,Trips!$D5:$D1004,$A311)+SUMIFS(Trips!$K5:$K1004,Trips!$Z5:$Z1004,$R311,Trips!$E5:$E1004,$A311))</f>
        <v/>
      </c>
      <c r="E311" s="108">
        <f>IF($C311="","",SUMIFS(Trips!$N5:$N1004,Trips!$Z5:$Z1004,$R311,Trips!$D5:$D1004,$A311)+SUMIFS(Trips!$O5:$O1004,Trips!$Z5:$Z1004,$R311,Trips!$E5:$E1004,$A311))</f>
        <v/>
      </c>
      <c r="F311" s="109">
        <f>IF($C311="","",SUMIFS(Trips!$P5:$P1004,Trips!$Z5:$Z1004,$R311,Trips!$D5:$D1004,$A311))</f>
        <v/>
      </c>
      <c r="G311" s="109">
        <f>IF($C311="","",SUMIFS(Trips!$Q5:$Q1004,Trips!$Z5:$Z1004,$R311,Trips!$D5:$D1004,$A311))</f>
        <v/>
      </c>
      <c r="H311" s="108">
        <f>IF(AND($C311="",$I311="",$J311=""),"",N($E311)+N($F311)+N($G311))</f>
        <v/>
      </c>
      <c r="I311" s="109">
        <f>IF($A311="","",IFERROR(1/(1/SUMIFS(Expenses!$F5:$F1004,Expenses!$L5:$L1004,"ADV",Expenses!$J5:$J1004,$R311,Expenses!$E5:$E1004,$A311)),""))</f>
        <v/>
      </c>
      <c r="J311" s="109">
        <f>IF($A311="","",IFERROR(1/(1/SUMIFS(Expenses!$F5:$F1004,Expenses!$L5:$L1004,"PAY",Expenses!$J5:$J1004,$R311,Expenses!$E5:$E1004,$A311)),""))</f>
        <v/>
      </c>
      <c r="K311" s="110">
        <f>IF($H311="","",N($H311)-N($I311)-N($J311))</f>
        <v/>
      </c>
      <c r="L311" s="111">
        <f>IF($K311="","",IF($K311&gt;0.5,"TO PAY",IF($K311&lt;-0.5,"ADVANCE / OWES","SETTLED")))</f>
        <v/>
      </c>
      <c r="R311" s="112" t="n">
        <v>46661</v>
      </c>
    </row>
    <row r="312">
      <c r="A312" s="113" t="inlineStr">
        <is>
          <t>MONTH TOTAL</t>
        </is>
      </c>
      <c r="B312" s="114" t="n"/>
      <c r="C312" s="115">
        <f>IF(COUNT(C300:C311)=0,"",SUM(C300:C311))</f>
        <v/>
      </c>
      <c r="D312" s="116">
        <f>IF(COUNT(D300:D311)=0,"",SUM(D300:D311))</f>
        <v/>
      </c>
      <c r="E312" s="117">
        <f>IF(COUNT(E300:E311)=0,"",SUM(E300:E311))</f>
        <v/>
      </c>
      <c r="F312" s="117">
        <f>IF(COUNT(F300:F311)=0,"",SUM(F300:F311))</f>
        <v/>
      </c>
      <c r="G312" s="117">
        <f>IF(COUNT(G300:G311)=0,"",SUM(G300:G311))</f>
        <v/>
      </c>
      <c r="H312" s="117">
        <f>IF(COUNT(H300:H311)=0,"",SUM(H300:H311))</f>
        <v/>
      </c>
      <c r="I312" s="117">
        <f>IF(COUNT(I300:I311)=0,"",SUM(I300:I311))</f>
        <v/>
      </c>
      <c r="J312" s="117">
        <f>IF(COUNT(J300:J311)=0,"",SUM(J300:J311))</f>
        <v/>
      </c>
      <c r="K312" s="117">
        <f>IF(COUNT(K300:K311)=0,"",SUM(K300:K311))</f>
        <v/>
      </c>
      <c r="L312" s="118" t="n"/>
    </row>
    <row r="313" ht="24" customHeight="1">
      <c r="A313" s="103" t="inlineStr">
        <is>
          <t>NOVEMBER 2027   ·   crew earnings &amp; settlement</t>
        </is>
      </c>
    </row>
    <row r="314">
      <c r="A314" s="104">
        <f>IF(Setup!$A76="","",Setup!$A76)</f>
        <v/>
      </c>
      <c r="B314" s="105">
        <f>IF($A314="","",Setup!$B76)</f>
        <v/>
      </c>
      <c r="C314" s="106">
        <f>IF($A314="","",IF(COUNTIFS(Trips!$Z5:$Z1004,$R314,Trips!$D5:$D1004,$A314)+COUNTIFS(Trips!$Z5:$Z1004,$R314,Trips!$E5:$E1004,$A314)=0,"",COUNTIFS(Trips!$Z5:$Z1004,$R314,Trips!$D5:$D1004,$A314)+COUNTIFS(Trips!$Z5:$Z1004,$R314,Trips!$E5:$E1004,$A314)))</f>
        <v/>
      </c>
      <c r="D314" s="107">
        <f>IF($C314="","",SUMIFS(Trips!$K5:$K1004,Trips!$Z5:$Z1004,$R314,Trips!$D5:$D1004,$A314)+SUMIFS(Trips!$K5:$K1004,Trips!$Z5:$Z1004,$R314,Trips!$E5:$E1004,$A314))</f>
        <v/>
      </c>
      <c r="E314" s="108">
        <f>IF($C314="","",SUMIFS(Trips!$N5:$N1004,Trips!$Z5:$Z1004,$R314,Trips!$D5:$D1004,$A314)+SUMIFS(Trips!$O5:$O1004,Trips!$Z5:$Z1004,$R314,Trips!$E5:$E1004,$A314))</f>
        <v/>
      </c>
      <c r="F314" s="109">
        <f>IF($C314="","",SUMIFS(Trips!$P5:$P1004,Trips!$Z5:$Z1004,$R314,Trips!$D5:$D1004,$A314))</f>
        <v/>
      </c>
      <c r="G314" s="109">
        <f>IF($C314="","",SUMIFS(Trips!$Q5:$Q1004,Trips!$Z5:$Z1004,$R314,Trips!$D5:$D1004,$A314))</f>
        <v/>
      </c>
      <c r="H314" s="108">
        <f>IF(AND($C314="",$I314="",$J314=""),"",N($E314)+N($F314)+N($G314))</f>
        <v/>
      </c>
      <c r="I314" s="109">
        <f>IF($A314="","",IFERROR(1/(1/SUMIFS(Expenses!$F5:$F1004,Expenses!$L5:$L1004,"ADV",Expenses!$J5:$J1004,$R314,Expenses!$E5:$E1004,$A314)),""))</f>
        <v/>
      </c>
      <c r="J314" s="109">
        <f>IF($A314="","",IFERROR(1/(1/SUMIFS(Expenses!$F5:$F1004,Expenses!$L5:$L1004,"PAY",Expenses!$J5:$J1004,$R314,Expenses!$E5:$E1004,$A314)),""))</f>
        <v/>
      </c>
      <c r="K314" s="110">
        <f>IF($H314="","",N($H314)-N($I314)-N($J314))</f>
        <v/>
      </c>
      <c r="L314" s="111">
        <f>IF($K314="","",IF($K314&gt;0.5,"TO PAY",IF($K314&lt;-0.5,"ADVANCE / OWES","SETTLED")))</f>
        <v/>
      </c>
      <c r="R314" s="112" t="n">
        <v>46692</v>
      </c>
    </row>
    <row r="315">
      <c r="A315" s="104">
        <f>IF(Setup!$A77="","",Setup!$A77)</f>
        <v/>
      </c>
      <c r="B315" s="105">
        <f>IF($A315="","",Setup!$B77)</f>
        <v/>
      </c>
      <c r="C315" s="106">
        <f>IF($A315="","",IF(COUNTIFS(Trips!$Z5:$Z1004,$R315,Trips!$D5:$D1004,$A315)+COUNTIFS(Trips!$Z5:$Z1004,$R315,Trips!$E5:$E1004,$A315)=0,"",COUNTIFS(Trips!$Z5:$Z1004,$R315,Trips!$D5:$D1004,$A315)+COUNTIFS(Trips!$Z5:$Z1004,$R315,Trips!$E5:$E1004,$A315)))</f>
        <v/>
      </c>
      <c r="D315" s="107">
        <f>IF($C315="","",SUMIFS(Trips!$K5:$K1004,Trips!$Z5:$Z1004,$R315,Trips!$D5:$D1004,$A315)+SUMIFS(Trips!$K5:$K1004,Trips!$Z5:$Z1004,$R315,Trips!$E5:$E1004,$A315))</f>
        <v/>
      </c>
      <c r="E315" s="108">
        <f>IF($C315="","",SUMIFS(Trips!$N5:$N1004,Trips!$Z5:$Z1004,$R315,Trips!$D5:$D1004,$A315)+SUMIFS(Trips!$O5:$O1004,Trips!$Z5:$Z1004,$R315,Trips!$E5:$E1004,$A315))</f>
        <v/>
      </c>
      <c r="F315" s="109">
        <f>IF($C315="","",SUMIFS(Trips!$P5:$P1004,Trips!$Z5:$Z1004,$R315,Trips!$D5:$D1004,$A315))</f>
        <v/>
      </c>
      <c r="G315" s="109">
        <f>IF($C315="","",SUMIFS(Trips!$Q5:$Q1004,Trips!$Z5:$Z1004,$R315,Trips!$D5:$D1004,$A315))</f>
        <v/>
      </c>
      <c r="H315" s="108">
        <f>IF(AND($C315="",$I315="",$J315=""),"",N($E315)+N($F315)+N($G315))</f>
        <v/>
      </c>
      <c r="I315" s="109">
        <f>IF($A315="","",IFERROR(1/(1/SUMIFS(Expenses!$F5:$F1004,Expenses!$L5:$L1004,"ADV",Expenses!$J5:$J1004,$R315,Expenses!$E5:$E1004,$A315)),""))</f>
        <v/>
      </c>
      <c r="J315" s="109">
        <f>IF($A315="","",IFERROR(1/(1/SUMIFS(Expenses!$F5:$F1004,Expenses!$L5:$L1004,"PAY",Expenses!$J5:$J1004,$R315,Expenses!$E5:$E1004,$A315)),""))</f>
        <v/>
      </c>
      <c r="K315" s="110">
        <f>IF($H315="","",N($H315)-N($I315)-N($J315))</f>
        <v/>
      </c>
      <c r="L315" s="111">
        <f>IF($K315="","",IF($K315&gt;0.5,"TO PAY",IF($K315&lt;-0.5,"ADVANCE / OWES","SETTLED")))</f>
        <v/>
      </c>
      <c r="R315" s="112" t="n">
        <v>46692</v>
      </c>
    </row>
    <row r="316">
      <c r="A316" s="104">
        <f>IF(Setup!$A78="","",Setup!$A78)</f>
        <v/>
      </c>
      <c r="B316" s="105">
        <f>IF($A316="","",Setup!$B78)</f>
        <v/>
      </c>
      <c r="C316" s="106">
        <f>IF($A316="","",IF(COUNTIFS(Trips!$Z5:$Z1004,$R316,Trips!$D5:$D1004,$A316)+COUNTIFS(Trips!$Z5:$Z1004,$R316,Trips!$E5:$E1004,$A316)=0,"",COUNTIFS(Trips!$Z5:$Z1004,$R316,Trips!$D5:$D1004,$A316)+COUNTIFS(Trips!$Z5:$Z1004,$R316,Trips!$E5:$E1004,$A316)))</f>
        <v/>
      </c>
      <c r="D316" s="107">
        <f>IF($C316="","",SUMIFS(Trips!$K5:$K1004,Trips!$Z5:$Z1004,$R316,Trips!$D5:$D1004,$A316)+SUMIFS(Trips!$K5:$K1004,Trips!$Z5:$Z1004,$R316,Trips!$E5:$E1004,$A316))</f>
        <v/>
      </c>
      <c r="E316" s="108">
        <f>IF($C316="","",SUMIFS(Trips!$N5:$N1004,Trips!$Z5:$Z1004,$R316,Trips!$D5:$D1004,$A316)+SUMIFS(Trips!$O5:$O1004,Trips!$Z5:$Z1004,$R316,Trips!$E5:$E1004,$A316))</f>
        <v/>
      </c>
      <c r="F316" s="109">
        <f>IF($C316="","",SUMIFS(Trips!$P5:$P1004,Trips!$Z5:$Z1004,$R316,Trips!$D5:$D1004,$A316))</f>
        <v/>
      </c>
      <c r="G316" s="109">
        <f>IF($C316="","",SUMIFS(Trips!$Q5:$Q1004,Trips!$Z5:$Z1004,$R316,Trips!$D5:$D1004,$A316))</f>
        <v/>
      </c>
      <c r="H316" s="108">
        <f>IF(AND($C316="",$I316="",$J316=""),"",N($E316)+N($F316)+N($G316))</f>
        <v/>
      </c>
      <c r="I316" s="109">
        <f>IF($A316="","",IFERROR(1/(1/SUMIFS(Expenses!$F5:$F1004,Expenses!$L5:$L1004,"ADV",Expenses!$J5:$J1004,$R316,Expenses!$E5:$E1004,$A316)),""))</f>
        <v/>
      </c>
      <c r="J316" s="109">
        <f>IF($A316="","",IFERROR(1/(1/SUMIFS(Expenses!$F5:$F1004,Expenses!$L5:$L1004,"PAY",Expenses!$J5:$J1004,$R316,Expenses!$E5:$E1004,$A316)),""))</f>
        <v/>
      </c>
      <c r="K316" s="110">
        <f>IF($H316="","",N($H316)-N($I316)-N($J316))</f>
        <v/>
      </c>
      <c r="L316" s="111">
        <f>IF($K316="","",IF($K316&gt;0.5,"TO PAY",IF($K316&lt;-0.5,"ADVANCE / OWES","SETTLED")))</f>
        <v/>
      </c>
      <c r="R316" s="112" t="n">
        <v>46692</v>
      </c>
    </row>
    <row r="317">
      <c r="A317" s="104">
        <f>IF(Setup!$A79="","",Setup!$A79)</f>
        <v/>
      </c>
      <c r="B317" s="105">
        <f>IF($A317="","",Setup!$B79)</f>
        <v/>
      </c>
      <c r="C317" s="106">
        <f>IF($A317="","",IF(COUNTIFS(Trips!$Z5:$Z1004,$R317,Trips!$D5:$D1004,$A317)+COUNTIFS(Trips!$Z5:$Z1004,$R317,Trips!$E5:$E1004,$A317)=0,"",COUNTIFS(Trips!$Z5:$Z1004,$R317,Trips!$D5:$D1004,$A317)+COUNTIFS(Trips!$Z5:$Z1004,$R317,Trips!$E5:$E1004,$A317)))</f>
        <v/>
      </c>
      <c r="D317" s="107">
        <f>IF($C317="","",SUMIFS(Trips!$K5:$K1004,Trips!$Z5:$Z1004,$R317,Trips!$D5:$D1004,$A317)+SUMIFS(Trips!$K5:$K1004,Trips!$Z5:$Z1004,$R317,Trips!$E5:$E1004,$A317))</f>
        <v/>
      </c>
      <c r="E317" s="108">
        <f>IF($C317="","",SUMIFS(Trips!$N5:$N1004,Trips!$Z5:$Z1004,$R317,Trips!$D5:$D1004,$A317)+SUMIFS(Trips!$O5:$O1004,Trips!$Z5:$Z1004,$R317,Trips!$E5:$E1004,$A317))</f>
        <v/>
      </c>
      <c r="F317" s="109">
        <f>IF($C317="","",SUMIFS(Trips!$P5:$P1004,Trips!$Z5:$Z1004,$R317,Trips!$D5:$D1004,$A317))</f>
        <v/>
      </c>
      <c r="G317" s="109">
        <f>IF($C317="","",SUMIFS(Trips!$Q5:$Q1004,Trips!$Z5:$Z1004,$R317,Trips!$D5:$D1004,$A317))</f>
        <v/>
      </c>
      <c r="H317" s="108">
        <f>IF(AND($C317="",$I317="",$J317=""),"",N($E317)+N($F317)+N($G317))</f>
        <v/>
      </c>
      <c r="I317" s="109">
        <f>IF($A317="","",IFERROR(1/(1/SUMIFS(Expenses!$F5:$F1004,Expenses!$L5:$L1004,"ADV",Expenses!$J5:$J1004,$R317,Expenses!$E5:$E1004,$A317)),""))</f>
        <v/>
      </c>
      <c r="J317" s="109">
        <f>IF($A317="","",IFERROR(1/(1/SUMIFS(Expenses!$F5:$F1004,Expenses!$L5:$L1004,"PAY",Expenses!$J5:$J1004,$R317,Expenses!$E5:$E1004,$A317)),""))</f>
        <v/>
      </c>
      <c r="K317" s="110">
        <f>IF($H317="","",N($H317)-N($I317)-N($J317))</f>
        <v/>
      </c>
      <c r="L317" s="111">
        <f>IF($K317="","",IF($K317&gt;0.5,"TO PAY",IF($K317&lt;-0.5,"ADVANCE / OWES","SETTLED")))</f>
        <v/>
      </c>
      <c r="R317" s="112" t="n">
        <v>46692</v>
      </c>
    </row>
    <row r="318">
      <c r="A318" s="104">
        <f>IF(Setup!$A80="","",Setup!$A80)</f>
        <v/>
      </c>
      <c r="B318" s="105">
        <f>IF($A318="","",Setup!$B80)</f>
        <v/>
      </c>
      <c r="C318" s="106">
        <f>IF($A318="","",IF(COUNTIFS(Trips!$Z5:$Z1004,$R318,Trips!$D5:$D1004,$A318)+COUNTIFS(Trips!$Z5:$Z1004,$R318,Trips!$E5:$E1004,$A318)=0,"",COUNTIFS(Trips!$Z5:$Z1004,$R318,Trips!$D5:$D1004,$A318)+COUNTIFS(Trips!$Z5:$Z1004,$R318,Trips!$E5:$E1004,$A318)))</f>
        <v/>
      </c>
      <c r="D318" s="107">
        <f>IF($C318="","",SUMIFS(Trips!$K5:$K1004,Trips!$Z5:$Z1004,$R318,Trips!$D5:$D1004,$A318)+SUMIFS(Trips!$K5:$K1004,Trips!$Z5:$Z1004,$R318,Trips!$E5:$E1004,$A318))</f>
        <v/>
      </c>
      <c r="E318" s="108">
        <f>IF($C318="","",SUMIFS(Trips!$N5:$N1004,Trips!$Z5:$Z1004,$R318,Trips!$D5:$D1004,$A318)+SUMIFS(Trips!$O5:$O1004,Trips!$Z5:$Z1004,$R318,Trips!$E5:$E1004,$A318))</f>
        <v/>
      </c>
      <c r="F318" s="109">
        <f>IF($C318="","",SUMIFS(Trips!$P5:$P1004,Trips!$Z5:$Z1004,$R318,Trips!$D5:$D1004,$A318))</f>
        <v/>
      </c>
      <c r="G318" s="109">
        <f>IF($C318="","",SUMIFS(Trips!$Q5:$Q1004,Trips!$Z5:$Z1004,$R318,Trips!$D5:$D1004,$A318))</f>
        <v/>
      </c>
      <c r="H318" s="108">
        <f>IF(AND($C318="",$I318="",$J318=""),"",N($E318)+N($F318)+N($G318))</f>
        <v/>
      </c>
      <c r="I318" s="109">
        <f>IF($A318="","",IFERROR(1/(1/SUMIFS(Expenses!$F5:$F1004,Expenses!$L5:$L1004,"ADV",Expenses!$J5:$J1004,$R318,Expenses!$E5:$E1004,$A318)),""))</f>
        <v/>
      </c>
      <c r="J318" s="109">
        <f>IF($A318="","",IFERROR(1/(1/SUMIFS(Expenses!$F5:$F1004,Expenses!$L5:$L1004,"PAY",Expenses!$J5:$J1004,$R318,Expenses!$E5:$E1004,$A318)),""))</f>
        <v/>
      </c>
      <c r="K318" s="110">
        <f>IF($H318="","",N($H318)-N($I318)-N($J318))</f>
        <v/>
      </c>
      <c r="L318" s="111">
        <f>IF($K318="","",IF($K318&gt;0.5,"TO PAY",IF($K318&lt;-0.5,"ADVANCE / OWES","SETTLED")))</f>
        <v/>
      </c>
      <c r="R318" s="112" t="n">
        <v>46692</v>
      </c>
    </row>
    <row r="319">
      <c r="A319" s="104">
        <f>IF(Setup!$A81="","",Setup!$A81)</f>
        <v/>
      </c>
      <c r="B319" s="105">
        <f>IF($A319="","",Setup!$B81)</f>
        <v/>
      </c>
      <c r="C319" s="106">
        <f>IF($A319="","",IF(COUNTIFS(Trips!$Z5:$Z1004,$R319,Trips!$D5:$D1004,$A319)+COUNTIFS(Trips!$Z5:$Z1004,$R319,Trips!$E5:$E1004,$A319)=0,"",COUNTIFS(Trips!$Z5:$Z1004,$R319,Trips!$D5:$D1004,$A319)+COUNTIFS(Trips!$Z5:$Z1004,$R319,Trips!$E5:$E1004,$A319)))</f>
        <v/>
      </c>
      <c r="D319" s="107">
        <f>IF($C319="","",SUMIFS(Trips!$K5:$K1004,Trips!$Z5:$Z1004,$R319,Trips!$D5:$D1004,$A319)+SUMIFS(Trips!$K5:$K1004,Trips!$Z5:$Z1004,$R319,Trips!$E5:$E1004,$A319))</f>
        <v/>
      </c>
      <c r="E319" s="108">
        <f>IF($C319="","",SUMIFS(Trips!$N5:$N1004,Trips!$Z5:$Z1004,$R319,Trips!$D5:$D1004,$A319)+SUMIFS(Trips!$O5:$O1004,Trips!$Z5:$Z1004,$R319,Trips!$E5:$E1004,$A319))</f>
        <v/>
      </c>
      <c r="F319" s="109">
        <f>IF($C319="","",SUMIFS(Trips!$P5:$P1004,Trips!$Z5:$Z1004,$R319,Trips!$D5:$D1004,$A319))</f>
        <v/>
      </c>
      <c r="G319" s="109">
        <f>IF($C319="","",SUMIFS(Trips!$Q5:$Q1004,Trips!$Z5:$Z1004,$R319,Trips!$D5:$D1004,$A319))</f>
        <v/>
      </c>
      <c r="H319" s="108">
        <f>IF(AND($C319="",$I319="",$J319=""),"",N($E319)+N($F319)+N($G319))</f>
        <v/>
      </c>
      <c r="I319" s="109">
        <f>IF($A319="","",IFERROR(1/(1/SUMIFS(Expenses!$F5:$F1004,Expenses!$L5:$L1004,"ADV",Expenses!$J5:$J1004,$R319,Expenses!$E5:$E1004,$A319)),""))</f>
        <v/>
      </c>
      <c r="J319" s="109">
        <f>IF($A319="","",IFERROR(1/(1/SUMIFS(Expenses!$F5:$F1004,Expenses!$L5:$L1004,"PAY",Expenses!$J5:$J1004,$R319,Expenses!$E5:$E1004,$A319)),""))</f>
        <v/>
      </c>
      <c r="K319" s="110">
        <f>IF($H319="","",N($H319)-N($I319)-N($J319))</f>
        <v/>
      </c>
      <c r="L319" s="111">
        <f>IF($K319="","",IF($K319&gt;0.5,"TO PAY",IF($K319&lt;-0.5,"ADVANCE / OWES","SETTLED")))</f>
        <v/>
      </c>
      <c r="R319" s="112" t="n">
        <v>46692</v>
      </c>
    </row>
    <row r="320">
      <c r="A320" s="104">
        <f>IF(Setup!$A82="","",Setup!$A82)</f>
        <v/>
      </c>
      <c r="B320" s="105">
        <f>IF($A320="","",Setup!$B82)</f>
        <v/>
      </c>
      <c r="C320" s="106">
        <f>IF($A320="","",IF(COUNTIFS(Trips!$Z5:$Z1004,$R320,Trips!$D5:$D1004,$A320)+COUNTIFS(Trips!$Z5:$Z1004,$R320,Trips!$E5:$E1004,$A320)=0,"",COUNTIFS(Trips!$Z5:$Z1004,$R320,Trips!$D5:$D1004,$A320)+COUNTIFS(Trips!$Z5:$Z1004,$R320,Trips!$E5:$E1004,$A320)))</f>
        <v/>
      </c>
      <c r="D320" s="107">
        <f>IF($C320="","",SUMIFS(Trips!$K5:$K1004,Trips!$Z5:$Z1004,$R320,Trips!$D5:$D1004,$A320)+SUMIFS(Trips!$K5:$K1004,Trips!$Z5:$Z1004,$R320,Trips!$E5:$E1004,$A320))</f>
        <v/>
      </c>
      <c r="E320" s="108">
        <f>IF($C320="","",SUMIFS(Trips!$N5:$N1004,Trips!$Z5:$Z1004,$R320,Trips!$D5:$D1004,$A320)+SUMIFS(Trips!$O5:$O1004,Trips!$Z5:$Z1004,$R320,Trips!$E5:$E1004,$A320))</f>
        <v/>
      </c>
      <c r="F320" s="109">
        <f>IF($C320="","",SUMIFS(Trips!$P5:$P1004,Trips!$Z5:$Z1004,$R320,Trips!$D5:$D1004,$A320))</f>
        <v/>
      </c>
      <c r="G320" s="109">
        <f>IF($C320="","",SUMIFS(Trips!$Q5:$Q1004,Trips!$Z5:$Z1004,$R320,Trips!$D5:$D1004,$A320))</f>
        <v/>
      </c>
      <c r="H320" s="108">
        <f>IF(AND($C320="",$I320="",$J320=""),"",N($E320)+N($F320)+N($G320))</f>
        <v/>
      </c>
      <c r="I320" s="109">
        <f>IF($A320="","",IFERROR(1/(1/SUMIFS(Expenses!$F5:$F1004,Expenses!$L5:$L1004,"ADV",Expenses!$J5:$J1004,$R320,Expenses!$E5:$E1004,$A320)),""))</f>
        <v/>
      </c>
      <c r="J320" s="109">
        <f>IF($A320="","",IFERROR(1/(1/SUMIFS(Expenses!$F5:$F1004,Expenses!$L5:$L1004,"PAY",Expenses!$J5:$J1004,$R320,Expenses!$E5:$E1004,$A320)),""))</f>
        <v/>
      </c>
      <c r="K320" s="110">
        <f>IF($H320="","",N($H320)-N($I320)-N($J320))</f>
        <v/>
      </c>
      <c r="L320" s="111">
        <f>IF($K320="","",IF($K320&gt;0.5,"TO PAY",IF($K320&lt;-0.5,"ADVANCE / OWES","SETTLED")))</f>
        <v/>
      </c>
      <c r="R320" s="112" t="n">
        <v>46692</v>
      </c>
    </row>
    <row r="321">
      <c r="A321" s="104">
        <f>IF(Setup!$A83="","",Setup!$A83)</f>
        <v/>
      </c>
      <c r="B321" s="105">
        <f>IF($A321="","",Setup!$B83)</f>
        <v/>
      </c>
      <c r="C321" s="106">
        <f>IF($A321="","",IF(COUNTIFS(Trips!$Z5:$Z1004,$R321,Trips!$D5:$D1004,$A321)+COUNTIFS(Trips!$Z5:$Z1004,$R321,Trips!$E5:$E1004,$A321)=0,"",COUNTIFS(Trips!$Z5:$Z1004,$R321,Trips!$D5:$D1004,$A321)+COUNTIFS(Trips!$Z5:$Z1004,$R321,Trips!$E5:$E1004,$A321)))</f>
        <v/>
      </c>
      <c r="D321" s="107">
        <f>IF($C321="","",SUMIFS(Trips!$K5:$K1004,Trips!$Z5:$Z1004,$R321,Trips!$D5:$D1004,$A321)+SUMIFS(Trips!$K5:$K1004,Trips!$Z5:$Z1004,$R321,Trips!$E5:$E1004,$A321))</f>
        <v/>
      </c>
      <c r="E321" s="108">
        <f>IF($C321="","",SUMIFS(Trips!$N5:$N1004,Trips!$Z5:$Z1004,$R321,Trips!$D5:$D1004,$A321)+SUMIFS(Trips!$O5:$O1004,Trips!$Z5:$Z1004,$R321,Trips!$E5:$E1004,$A321))</f>
        <v/>
      </c>
      <c r="F321" s="109">
        <f>IF($C321="","",SUMIFS(Trips!$P5:$P1004,Trips!$Z5:$Z1004,$R321,Trips!$D5:$D1004,$A321))</f>
        <v/>
      </c>
      <c r="G321" s="109">
        <f>IF($C321="","",SUMIFS(Trips!$Q5:$Q1004,Trips!$Z5:$Z1004,$R321,Trips!$D5:$D1004,$A321))</f>
        <v/>
      </c>
      <c r="H321" s="108">
        <f>IF(AND($C321="",$I321="",$J321=""),"",N($E321)+N($F321)+N($G321))</f>
        <v/>
      </c>
      <c r="I321" s="109">
        <f>IF($A321="","",IFERROR(1/(1/SUMIFS(Expenses!$F5:$F1004,Expenses!$L5:$L1004,"ADV",Expenses!$J5:$J1004,$R321,Expenses!$E5:$E1004,$A321)),""))</f>
        <v/>
      </c>
      <c r="J321" s="109">
        <f>IF($A321="","",IFERROR(1/(1/SUMIFS(Expenses!$F5:$F1004,Expenses!$L5:$L1004,"PAY",Expenses!$J5:$J1004,$R321,Expenses!$E5:$E1004,$A321)),""))</f>
        <v/>
      </c>
      <c r="K321" s="110">
        <f>IF($H321="","",N($H321)-N($I321)-N($J321))</f>
        <v/>
      </c>
      <c r="L321" s="111">
        <f>IF($K321="","",IF($K321&gt;0.5,"TO PAY",IF($K321&lt;-0.5,"ADVANCE / OWES","SETTLED")))</f>
        <v/>
      </c>
      <c r="R321" s="112" t="n">
        <v>46692</v>
      </c>
    </row>
    <row r="322">
      <c r="A322" s="104">
        <f>IF(Setup!$A84="","",Setup!$A84)</f>
        <v/>
      </c>
      <c r="B322" s="105">
        <f>IF($A322="","",Setup!$B84)</f>
        <v/>
      </c>
      <c r="C322" s="106">
        <f>IF($A322="","",IF(COUNTIFS(Trips!$Z5:$Z1004,$R322,Trips!$D5:$D1004,$A322)+COUNTIFS(Trips!$Z5:$Z1004,$R322,Trips!$E5:$E1004,$A322)=0,"",COUNTIFS(Trips!$Z5:$Z1004,$R322,Trips!$D5:$D1004,$A322)+COUNTIFS(Trips!$Z5:$Z1004,$R322,Trips!$E5:$E1004,$A322)))</f>
        <v/>
      </c>
      <c r="D322" s="107">
        <f>IF($C322="","",SUMIFS(Trips!$K5:$K1004,Trips!$Z5:$Z1004,$R322,Trips!$D5:$D1004,$A322)+SUMIFS(Trips!$K5:$K1004,Trips!$Z5:$Z1004,$R322,Trips!$E5:$E1004,$A322))</f>
        <v/>
      </c>
      <c r="E322" s="108">
        <f>IF($C322="","",SUMIFS(Trips!$N5:$N1004,Trips!$Z5:$Z1004,$R322,Trips!$D5:$D1004,$A322)+SUMIFS(Trips!$O5:$O1004,Trips!$Z5:$Z1004,$R322,Trips!$E5:$E1004,$A322))</f>
        <v/>
      </c>
      <c r="F322" s="109">
        <f>IF($C322="","",SUMIFS(Trips!$P5:$P1004,Trips!$Z5:$Z1004,$R322,Trips!$D5:$D1004,$A322))</f>
        <v/>
      </c>
      <c r="G322" s="109">
        <f>IF($C322="","",SUMIFS(Trips!$Q5:$Q1004,Trips!$Z5:$Z1004,$R322,Trips!$D5:$D1004,$A322))</f>
        <v/>
      </c>
      <c r="H322" s="108">
        <f>IF(AND($C322="",$I322="",$J322=""),"",N($E322)+N($F322)+N($G322))</f>
        <v/>
      </c>
      <c r="I322" s="109">
        <f>IF($A322="","",IFERROR(1/(1/SUMIFS(Expenses!$F5:$F1004,Expenses!$L5:$L1004,"ADV",Expenses!$J5:$J1004,$R322,Expenses!$E5:$E1004,$A322)),""))</f>
        <v/>
      </c>
      <c r="J322" s="109">
        <f>IF($A322="","",IFERROR(1/(1/SUMIFS(Expenses!$F5:$F1004,Expenses!$L5:$L1004,"PAY",Expenses!$J5:$J1004,$R322,Expenses!$E5:$E1004,$A322)),""))</f>
        <v/>
      </c>
      <c r="K322" s="110">
        <f>IF($H322="","",N($H322)-N($I322)-N($J322))</f>
        <v/>
      </c>
      <c r="L322" s="111">
        <f>IF($K322="","",IF($K322&gt;0.5,"TO PAY",IF($K322&lt;-0.5,"ADVANCE / OWES","SETTLED")))</f>
        <v/>
      </c>
      <c r="R322" s="112" t="n">
        <v>46692</v>
      </c>
    </row>
    <row r="323">
      <c r="A323" s="104">
        <f>IF(Setup!$A85="","",Setup!$A85)</f>
        <v/>
      </c>
      <c r="B323" s="105">
        <f>IF($A323="","",Setup!$B85)</f>
        <v/>
      </c>
      <c r="C323" s="106">
        <f>IF($A323="","",IF(COUNTIFS(Trips!$Z5:$Z1004,$R323,Trips!$D5:$D1004,$A323)+COUNTIFS(Trips!$Z5:$Z1004,$R323,Trips!$E5:$E1004,$A323)=0,"",COUNTIFS(Trips!$Z5:$Z1004,$R323,Trips!$D5:$D1004,$A323)+COUNTIFS(Trips!$Z5:$Z1004,$R323,Trips!$E5:$E1004,$A323)))</f>
        <v/>
      </c>
      <c r="D323" s="107">
        <f>IF($C323="","",SUMIFS(Trips!$K5:$K1004,Trips!$Z5:$Z1004,$R323,Trips!$D5:$D1004,$A323)+SUMIFS(Trips!$K5:$K1004,Trips!$Z5:$Z1004,$R323,Trips!$E5:$E1004,$A323))</f>
        <v/>
      </c>
      <c r="E323" s="108">
        <f>IF($C323="","",SUMIFS(Trips!$N5:$N1004,Trips!$Z5:$Z1004,$R323,Trips!$D5:$D1004,$A323)+SUMIFS(Trips!$O5:$O1004,Trips!$Z5:$Z1004,$R323,Trips!$E5:$E1004,$A323))</f>
        <v/>
      </c>
      <c r="F323" s="109">
        <f>IF($C323="","",SUMIFS(Trips!$P5:$P1004,Trips!$Z5:$Z1004,$R323,Trips!$D5:$D1004,$A323))</f>
        <v/>
      </c>
      <c r="G323" s="109">
        <f>IF($C323="","",SUMIFS(Trips!$Q5:$Q1004,Trips!$Z5:$Z1004,$R323,Trips!$D5:$D1004,$A323))</f>
        <v/>
      </c>
      <c r="H323" s="108">
        <f>IF(AND($C323="",$I323="",$J323=""),"",N($E323)+N($F323)+N($G323))</f>
        <v/>
      </c>
      <c r="I323" s="109">
        <f>IF($A323="","",IFERROR(1/(1/SUMIFS(Expenses!$F5:$F1004,Expenses!$L5:$L1004,"ADV",Expenses!$J5:$J1004,$R323,Expenses!$E5:$E1004,$A323)),""))</f>
        <v/>
      </c>
      <c r="J323" s="109">
        <f>IF($A323="","",IFERROR(1/(1/SUMIFS(Expenses!$F5:$F1004,Expenses!$L5:$L1004,"PAY",Expenses!$J5:$J1004,$R323,Expenses!$E5:$E1004,$A323)),""))</f>
        <v/>
      </c>
      <c r="K323" s="110">
        <f>IF($H323="","",N($H323)-N($I323)-N($J323))</f>
        <v/>
      </c>
      <c r="L323" s="111">
        <f>IF($K323="","",IF($K323&gt;0.5,"TO PAY",IF($K323&lt;-0.5,"ADVANCE / OWES","SETTLED")))</f>
        <v/>
      </c>
      <c r="R323" s="112" t="n">
        <v>46692</v>
      </c>
    </row>
    <row r="324">
      <c r="A324" s="104">
        <f>IF(Setup!$A86="","",Setup!$A86)</f>
        <v/>
      </c>
      <c r="B324" s="105">
        <f>IF($A324="","",Setup!$B86)</f>
        <v/>
      </c>
      <c r="C324" s="106">
        <f>IF($A324="","",IF(COUNTIFS(Trips!$Z5:$Z1004,$R324,Trips!$D5:$D1004,$A324)+COUNTIFS(Trips!$Z5:$Z1004,$R324,Trips!$E5:$E1004,$A324)=0,"",COUNTIFS(Trips!$Z5:$Z1004,$R324,Trips!$D5:$D1004,$A324)+COUNTIFS(Trips!$Z5:$Z1004,$R324,Trips!$E5:$E1004,$A324)))</f>
        <v/>
      </c>
      <c r="D324" s="107">
        <f>IF($C324="","",SUMIFS(Trips!$K5:$K1004,Trips!$Z5:$Z1004,$R324,Trips!$D5:$D1004,$A324)+SUMIFS(Trips!$K5:$K1004,Trips!$Z5:$Z1004,$R324,Trips!$E5:$E1004,$A324))</f>
        <v/>
      </c>
      <c r="E324" s="108">
        <f>IF($C324="","",SUMIFS(Trips!$N5:$N1004,Trips!$Z5:$Z1004,$R324,Trips!$D5:$D1004,$A324)+SUMIFS(Trips!$O5:$O1004,Trips!$Z5:$Z1004,$R324,Trips!$E5:$E1004,$A324))</f>
        <v/>
      </c>
      <c r="F324" s="109">
        <f>IF($C324="","",SUMIFS(Trips!$P5:$P1004,Trips!$Z5:$Z1004,$R324,Trips!$D5:$D1004,$A324))</f>
        <v/>
      </c>
      <c r="G324" s="109">
        <f>IF($C324="","",SUMIFS(Trips!$Q5:$Q1004,Trips!$Z5:$Z1004,$R324,Trips!$D5:$D1004,$A324))</f>
        <v/>
      </c>
      <c r="H324" s="108">
        <f>IF(AND($C324="",$I324="",$J324=""),"",N($E324)+N($F324)+N($G324))</f>
        <v/>
      </c>
      <c r="I324" s="109">
        <f>IF($A324="","",IFERROR(1/(1/SUMIFS(Expenses!$F5:$F1004,Expenses!$L5:$L1004,"ADV",Expenses!$J5:$J1004,$R324,Expenses!$E5:$E1004,$A324)),""))</f>
        <v/>
      </c>
      <c r="J324" s="109">
        <f>IF($A324="","",IFERROR(1/(1/SUMIFS(Expenses!$F5:$F1004,Expenses!$L5:$L1004,"PAY",Expenses!$J5:$J1004,$R324,Expenses!$E5:$E1004,$A324)),""))</f>
        <v/>
      </c>
      <c r="K324" s="110">
        <f>IF($H324="","",N($H324)-N($I324)-N($J324))</f>
        <v/>
      </c>
      <c r="L324" s="111">
        <f>IF($K324="","",IF($K324&gt;0.5,"TO PAY",IF($K324&lt;-0.5,"ADVANCE / OWES","SETTLED")))</f>
        <v/>
      </c>
      <c r="R324" s="112" t="n">
        <v>46692</v>
      </c>
    </row>
    <row r="325">
      <c r="A325" s="104">
        <f>IF(Setup!$A87="","",Setup!$A87)</f>
        <v/>
      </c>
      <c r="B325" s="105">
        <f>IF($A325="","",Setup!$B87)</f>
        <v/>
      </c>
      <c r="C325" s="106">
        <f>IF($A325="","",IF(COUNTIFS(Trips!$Z5:$Z1004,$R325,Trips!$D5:$D1004,$A325)+COUNTIFS(Trips!$Z5:$Z1004,$R325,Trips!$E5:$E1004,$A325)=0,"",COUNTIFS(Trips!$Z5:$Z1004,$R325,Trips!$D5:$D1004,$A325)+COUNTIFS(Trips!$Z5:$Z1004,$R325,Trips!$E5:$E1004,$A325)))</f>
        <v/>
      </c>
      <c r="D325" s="107">
        <f>IF($C325="","",SUMIFS(Trips!$K5:$K1004,Trips!$Z5:$Z1004,$R325,Trips!$D5:$D1004,$A325)+SUMIFS(Trips!$K5:$K1004,Trips!$Z5:$Z1004,$R325,Trips!$E5:$E1004,$A325))</f>
        <v/>
      </c>
      <c r="E325" s="108">
        <f>IF($C325="","",SUMIFS(Trips!$N5:$N1004,Trips!$Z5:$Z1004,$R325,Trips!$D5:$D1004,$A325)+SUMIFS(Trips!$O5:$O1004,Trips!$Z5:$Z1004,$R325,Trips!$E5:$E1004,$A325))</f>
        <v/>
      </c>
      <c r="F325" s="109">
        <f>IF($C325="","",SUMIFS(Trips!$P5:$P1004,Trips!$Z5:$Z1004,$R325,Trips!$D5:$D1004,$A325))</f>
        <v/>
      </c>
      <c r="G325" s="109">
        <f>IF($C325="","",SUMIFS(Trips!$Q5:$Q1004,Trips!$Z5:$Z1004,$R325,Trips!$D5:$D1004,$A325))</f>
        <v/>
      </c>
      <c r="H325" s="108">
        <f>IF(AND($C325="",$I325="",$J325=""),"",N($E325)+N($F325)+N($G325))</f>
        <v/>
      </c>
      <c r="I325" s="109">
        <f>IF($A325="","",IFERROR(1/(1/SUMIFS(Expenses!$F5:$F1004,Expenses!$L5:$L1004,"ADV",Expenses!$J5:$J1004,$R325,Expenses!$E5:$E1004,$A325)),""))</f>
        <v/>
      </c>
      <c r="J325" s="109">
        <f>IF($A325="","",IFERROR(1/(1/SUMIFS(Expenses!$F5:$F1004,Expenses!$L5:$L1004,"PAY",Expenses!$J5:$J1004,$R325,Expenses!$E5:$E1004,$A325)),""))</f>
        <v/>
      </c>
      <c r="K325" s="110">
        <f>IF($H325="","",N($H325)-N($I325)-N($J325))</f>
        <v/>
      </c>
      <c r="L325" s="111">
        <f>IF($K325="","",IF($K325&gt;0.5,"TO PAY",IF($K325&lt;-0.5,"ADVANCE / OWES","SETTLED")))</f>
        <v/>
      </c>
      <c r="R325" s="112" t="n">
        <v>46692</v>
      </c>
    </row>
    <row r="326">
      <c r="A326" s="113" t="inlineStr">
        <is>
          <t>MONTH TOTAL</t>
        </is>
      </c>
      <c r="B326" s="114" t="n"/>
      <c r="C326" s="115">
        <f>IF(COUNT(C314:C325)=0,"",SUM(C314:C325))</f>
        <v/>
      </c>
      <c r="D326" s="116">
        <f>IF(COUNT(D314:D325)=0,"",SUM(D314:D325))</f>
        <v/>
      </c>
      <c r="E326" s="117">
        <f>IF(COUNT(E314:E325)=0,"",SUM(E314:E325))</f>
        <v/>
      </c>
      <c r="F326" s="117">
        <f>IF(COUNT(F314:F325)=0,"",SUM(F314:F325))</f>
        <v/>
      </c>
      <c r="G326" s="117">
        <f>IF(COUNT(G314:G325)=0,"",SUM(G314:G325))</f>
        <v/>
      </c>
      <c r="H326" s="117">
        <f>IF(COUNT(H314:H325)=0,"",SUM(H314:H325))</f>
        <v/>
      </c>
      <c r="I326" s="117">
        <f>IF(COUNT(I314:I325)=0,"",SUM(I314:I325))</f>
        <v/>
      </c>
      <c r="J326" s="117">
        <f>IF(COUNT(J314:J325)=0,"",SUM(J314:J325))</f>
        <v/>
      </c>
      <c r="K326" s="117">
        <f>IF(COUNT(K314:K325)=0,"",SUM(K314:K325))</f>
        <v/>
      </c>
      <c r="L326" s="118" t="n"/>
    </row>
    <row r="327" ht="24" customHeight="1">
      <c r="A327" s="103" t="inlineStr">
        <is>
          <t>DECEMBER 2027   ·   crew earnings &amp; settlement</t>
        </is>
      </c>
    </row>
    <row r="328">
      <c r="A328" s="104">
        <f>IF(Setup!$A76="","",Setup!$A76)</f>
        <v/>
      </c>
      <c r="B328" s="105">
        <f>IF($A328="","",Setup!$B76)</f>
        <v/>
      </c>
      <c r="C328" s="106">
        <f>IF($A328="","",IF(COUNTIFS(Trips!$Z5:$Z1004,$R328,Trips!$D5:$D1004,$A328)+COUNTIFS(Trips!$Z5:$Z1004,$R328,Trips!$E5:$E1004,$A328)=0,"",COUNTIFS(Trips!$Z5:$Z1004,$R328,Trips!$D5:$D1004,$A328)+COUNTIFS(Trips!$Z5:$Z1004,$R328,Trips!$E5:$E1004,$A328)))</f>
        <v/>
      </c>
      <c r="D328" s="107">
        <f>IF($C328="","",SUMIFS(Trips!$K5:$K1004,Trips!$Z5:$Z1004,$R328,Trips!$D5:$D1004,$A328)+SUMIFS(Trips!$K5:$K1004,Trips!$Z5:$Z1004,$R328,Trips!$E5:$E1004,$A328))</f>
        <v/>
      </c>
      <c r="E328" s="108">
        <f>IF($C328="","",SUMIFS(Trips!$N5:$N1004,Trips!$Z5:$Z1004,$R328,Trips!$D5:$D1004,$A328)+SUMIFS(Trips!$O5:$O1004,Trips!$Z5:$Z1004,$R328,Trips!$E5:$E1004,$A328))</f>
        <v/>
      </c>
      <c r="F328" s="109">
        <f>IF($C328="","",SUMIFS(Trips!$P5:$P1004,Trips!$Z5:$Z1004,$R328,Trips!$D5:$D1004,$A328))</f>
        <v/>
      </c>
      <c r="G328" s="109">
        <f>IF($C328="","",SUMIFS(Trips!$Q5:$Q1004,Trips!$Z5:$Z1004,$R328,Trips!$D5:$D1004,$A328))</f>
        <v/>
      </c>
      <c r="H328" s="108">
        <f>IF(AND($C328="",$I328="",$J328=""),"",N($E328)+N($F328)+N($G328))</f>
        <v/>
      </c>
      <c r="I328" s="109">
        <f>IF($A328="","",IFERROR(1/(1/SUMIFS(Expenses!$F5:$F1004,Expenses!$L5:$L1004,"ADV",Expenses!$J5:$J1004,$R328,Expenses!$E5:$E1004,$A328)),""))</f>
        <v/>
      </c>
      <c r="J328" s="109">
        <f>IF($A328="","",IFERROR(1/(1/SUMIFS(Expenses!$F5:$F1004,Expenses!$L5:$L1004,"PAY",Expenses!$J5:$J1004,$R328,Expenses!$E5:$E1004,$A328)),""))</f>
        <v/>
      </c>
      <c r="K328" s="110">
        <f>IF($H328="","",N($H328)-N($I328)-N($J328))</f>
        <v/>
      </c>
      <c r="L328" s="111">
        <f>IF($K328="","",IF($K328&gt;0.5,"TO PAY",IF($K328&lt;-0.5,"ADVANCE / OWES","SETTLED")))</f>
        <v/>
      </c>
      <c r="R328" s="112" t="n">
        <v>46722</v>
      </c>
    </row>
    <row r="329">
      <c r="A329" s="104">
        <f>IF(Setup!$A77="","",Setup!$A77)</f>
        <v/>
      </c>
      <c r="B329" s="105">
        <f>IF($A329="","",Setup!$B77)</f>
        <v/>
      </c>
      <c r="C329" s="106">
        <f>IF($A329="","",IF(COUNTIFS(Trips!$Z5:$Z1004,$R329,Trips!$D5:$D1004,$A329)+COUNTIFS(Trips!$Z5:$Z1004,$R329,Trips!$E5:$E1004,$A329)=0,"",COUNTIFS(Trips!$Z5:$Z1004,$R329,Trips!$D5:$D1004,$A329)+COUNTIFS(Trips!$Z5:$Z1004,$R329,Trips!$E5:$E1004,$A329)))</f>
        <v/>
      </c>
      <c r="D329" s="107">
        <f>IF($C329="","",SUMIFS(Trips!$K5:$K1004,Trips!$Z5:$Z1004,$R329,Trips!$D5:$D1004,$A329)+SUMIFS(Trips!$K5:$K1004,Trips!$Z5:$Z1004,$R329,Trips!$E5:$E1004,$A329))</f>
        <v/>
      </c>
      <c r="E329" s="108">
        <f>IF($C329="","",SUMIFS(Trips!$N5:$N1004,Trips!$Z5:$Z1004,$R329,Trips!$D5:$D1004,$A329)+SUMIFS(Trips!$O5:$O1004,Trips!$Z5:$Z1004,$R329,Trips!$E5:$E1004,$A329))</f>
        <v/>
      </c>
      <c r="F329" s="109">
        <f>IF($C329="","",SUMIFS(Trips!$P5:$P1004,Trips!$Z5:$Z1004,$R329,Trips!$D5:$D1004,$A329))</f>
        <v/>
      </c>
      <c r="G329" s="109">
        <f>IF($C329="","",SUMIFS(Trips!$Q5:$Q1004,Trips!$Z5:$Z1004,$R329,Trips!$D5:$D1004,$A329))</f>
        <v/>
      </c>
      <c r="H329" s="108">
        <f>IF(AND($C329="",$I329="",$J329=""),"",N($E329)+N($F329)+N($G329))</f>
        <v/>
      </c>
      <c r="I329" s="109">
        <f>IF($A329="","",IFERROR(1/(1/SUMIFS(Expenses!$F5:$F1004,Expenses!$L5:$L1004,"ADV",Expenses!$J5:$J1004,$R329,Expenses!$E5:$E1004,$A329)),""))</f>
        <v/>
      </c>
      <c r="J329" s="109">
        <f>IF($A329="","",IFERROR(1/(1/SUMIFS(Expenses!$F5:$F1004,Expenses!$L5:$L1004,"PAY",Expenses!$J5:$J1004,$R329,Expenses!$E5:$E1004,$A329)),""))</f>
        <v/>
      </c>
      <c r="K329" s="110">
        <f>IF($H329="","",N($H329)-N($I329)-N($J329))</f>
        <v/>
      </c>
      <c r="L329" s="111">
        <f>IF($K329="","",IF($K329&gt;0.5,"TO PAY",IF($K329&lt;-0.5,"ADVANCE / OWES","SETTLED")))</f>
        <v/>
      </c>
      <c r="R329" s="112" t="n">
        <v>46722</v>
      </c>
    </row>
    <row r="330">
      <c r="A330" s="104">
        <f>IF(Setup!$A78="","",Setup!$A78)</f>
        <v/>
      </c>
      <c r="B330" s="105">
        <f>IF($A330="","",Setup!$B78)</f>
        <v/>
      </c>
      <c r="C330" s="106">
        <f>IF($A330="","",IF(COUNTIFS(Trips!$Z5:$Z1004,$R330,Trips!$D5:$D1004,$A330)+COUNTIFS(Trips!$Z5:$Z1004,$R330,Trips!$E5:$E1004,$A330)=0,"",COUNTIFS(Trips!$Z5:$Z1004,$R330,Trips!$D5:$D1004,$A330)+COUNTIFS(Trips!$Z5:$Z1004,$R330,Trips!$E5:$E1004,$A330)))</f>
        <v/>
      </c>
      <c r="D330" s="107">
        <f>IF($C330="","",SUMIFS(Trips!$K5:$K1004,Trips!$Z5:$Z1004,$R330,Trips!$D5:$D1004,$A330)+SUMIFS(Trips!$K5:$K1004,Trips!$Z5:$Z1004,$R330,Trips!$E5:$E1004,$A330))</f>
        <v/>
      </c>
      <c r="E330" s="108">
        <f>IF($C330="","",SUMIFS(Trips!$N5:$N1004,Trips!$Z5:$Z1004,$R330,Trips!$D5:$D1004,$A330)+SUMIFS(Trips!$O5:$O1004,Trips!$Z5:$Z1004,$R330,Trips!$E5:$E1004,$A330))</f>
        <v/>
      </c>
      <c r="F330" s="109">
        <f>IF($C330="","",SUMIFS(Trips!$P5:$P1004,Trips!$Z5:$Z1004,$R330,Trips!$D5:$D1004,$A330))</f>
        <v/>
      </c>
      <c r="G330" s="109">
        <f>IF($C330="","",SUMIFS(Trips!$Q5:$Q1004,Trips!$Z5:$Z1004,$R330,Trips!$D5:$D1004,$A330))</f>
        <v/>
      </c>
      <c r="H330" s="108">
        <f>IF(AND($C330="",$I330="",$J330=""),"",N($E330)+N($F330)+N($G330))</f>
        <v/>
      </c>
      <c r="I330" s="109">
        <f>IF($A330="","",IFERROR(1/(1/SUMIFS(Expenses!$F5:$F1004,Expenses!$L5:$L1004,"ADV",Expenses!$J5:$J1004,$R330,Expenses!$E5:$E1004,$A330)),""))</f>
        <v/>
      </c>
      <c r="J330" s="109">
        <f>IF($A330="","",IFERROR(1/(1/SUMIFS(Expenses!$F5:$F1004,Expenses!$L5:$L1004,"PAY",Expenses!$J5:$J1004,$R330,Expenses!$E5:$E1004,$A330)),""))</f>
        <v/>
      </c>
      <c r="K330" s="110">
        <f>IF($H330="","",N($H330)-N($I330)-N($J330))</f>
        <v/>
      </c>
      <c r="L330" s="111">
        <f>IF($K330="","",IF($K330&gt;0.5,"TO PAY",IF($K330&lt;-0.5,"ADVANCE / OWES","SETTLED")))</f>
        <v/>
      </c>
      <c r="R330" s="112" t="n">
        <v>46722</v>
      </c>
    </row>
    <row r="331">
      <c r="A331" s="104">
        <f>IF(Setup!$A79="","",Setup!$A79)</f>
        <v/>
      </c>
      <c r="B331" s="105">
        <f>IF($A331="","",Setup!$B79)</f>
        <v/>
      </c>
      <c r="C331" s="106">
        <f>IF($A331="","",IF(COUNTIFS(Trips!$Z5:$Z1004,$R331,Trips!$D5:$D1004,$A331)+COUNTIFS(Trips!$Z5:$Z1004,$R331,Trips!$E5:$E1004,$A331)=0,"",COUNTIFS(Trips!$Z5:$Z1004,$R331,Trips!$D5:$D1004,$A331)+COUNTIFS(Trips!$Z5:$Z1004,$R331,Trips!$E5:$E1004,$A331)))</f>
        <v/>
      </c>
      <c r="D331" s="107">
        <f>IF($C331="","",SUMIFS(Trips!$K5:$K1004,Trips!$Z5:$Z1004,$R331,Trips!$D5:$D1004,$A331)+SUMIFS(Trips!$K5:$K1004,Trips!$Z5:$Z1004,$R331,Trips!$E5:$E1004,$A331))</f>
        <v/>
      </c>
      <c r="E331" s="108">
        <f>IF($C331="","",SUMIFS(Trips!$N5:$N1004,Trips!$Z5:$Z1004,$R331,Trips!$D5:$D1004,$A331)+SUMIFS(Trips!$O5:$O1004,Trips!$Z5:$Z1004,$R331,Trips!$E5:$E1004,$A331))</f>
        <v/>
      </c>
      <c r="F331" s="109">
        <f>IF($C331="","",SUMIFS(Trips!$P5:$P1004,Trips!$Z5:$Z1004,$R331,Trips!$D5:$D1004,$A331))</f>
        <v/>
      </c>
      <c r="G331" s="109">
        <f>IF($C331="","",SUMIFS(Trips!$Q5:$Q1004,Trips!$Z5:$Z1004,$R331,Trips!$D5:$D1004,$A331))</f>
        <v/>
      </c>
      <c r="H331" s="108">
        <f>IF(AND($C331="",$I331="",$J331=""),"",N($E331)+N($F331)+N($G331))</f>
        <v/>
      </c>
      <c r="I331" s="109">
        <f>IF($A331="","",IFERROR(1/(1/SUMIFS(Expenses!$F5:$F1004,Expenses!$L5:$L1004,"ADV",Expenses!$J5:$J1004,$R331,Expenses!$E5:$E1004,$A331)),""))</f>
        <v/>
      </c>
      <c r="J331" s="109">
        <f>IF($A331="","",IFERROR(1/(1/SUMIFS(Expenses!$F5:$F1004,Expenses!$L5:$L1004,"PAY",Expenses!$J5:$J1004,$R331,Expenses!$E5:$E1004,$A331)),""))</f>
        <v/>
      </c>
      <c r="K331" s="110">
        <f>IF($H331="","",N($H331)-N($I331)-N($J331))</f>
        <v/>
      </c>
      <c r="L331" s="111">
        <f>IF($K331="","",IF($K331&gt;0.5,"TO PAY",IF($K331&lt;-0.5,"ADVANCE / OWES","SETTLED")))</f>
        <v/>
      </c>
      <c r="R331" s="112" t="n">
        <v>46722</v>
      </c>
    </row>
    <row r="332">
      <c r="A332" s="104">
        <f>IF(Setup!$A80="","",Setup!$A80)</f>
        <v/>
      </c>
      <c r="B332" s="105">
        <f>IF($A332="","",Setup!$B80)</f>
        <v/>
      </c>
      <c r="C332" s="106">
        <f>IF($A332="","",IF(COUNTIFS(Trips!$Z5:$Z1004,$R332,Trips!$D5:$D1004,$A332)+COUNTIFS(Trips!$Z5:$Z1004,$R332,Trips!$E5:$E1004,$A332)=0,"",COUNTIFS(Trips!$Z5:$Z1004,$R332,Trips!$D5:$D1004,$A332)+COUNTIFS(Trips!$Z5:$Z1004,$R332,Trips!$E5:$E1004,$A332)))</f>
        <v/>
      </c>
      <c r="D332" s="107">
        <f>IF($C332="","",SUMIFS(Trips!$K5:$K1004,Trips!$Z5:$Z1004,$R332,Trips!$D5:$D1004,$A332)+SUMIFS(Trips!$K5:$K1004,Trips!$Z5:$Z1004,$R332,Trips!$E5:$E1004,$A332))</f>
        <v/>
      </c>
      <c r="E332" s="108">
        <f>IF($C332="","",SUMIFS(Trips!$N5:$N1004,Trips!$Z5:$Z1004,$R332,Trips!$D5:$D1004,$A332)+SUMIFS(Trips!$O5:$O1004,Trips!$Z5:$Z1004,$R332,Trips!$E5:$E1004,$A332))</f>
        <v/>
      </c>
      <c r="F332" s="109">
        <f>IF($C332="","",SUMIFS(Trips!$P5:$P1004,Trips!$Z5:$Z1004,$R332,Trips!$D5:$D1004,$A332))</f>
        <v/>
      </c>
      <c r="G332" s="109">
        <f>IF($C332="","",SUMIFS(Trips!$Q5:$Q1004,Trips!$Z5:$Z1004,$R332,Trips!$D5:$D1004,$A332))</f>
        <v/>
      </c>
      <c r="H332" s="108">
        <f>IF(AND($C332="",$I332="",$J332=""),"",N($E332)+N($F332)+N($G332))</f>
        <v/>
      </c>
      <c r="I332" s="109">
        <f>IF($A332="","",IFERROR(1/(1/SUMIFS(Expenses!$F5:$F1004,Expenses!$L5:$L1004,"ADV",Expenses!$J5:$J1004,$R332,Expenses!$E5:$E1004,$A332)),""))</f>
        <v/>
      </c>
      <c r="J332" s="109">
        <f>IF($A332="","",IFERROR(1/(1/SUMIFS(Expenses!$F5:$F1004,Expenses!$L5:$L1004,"PAY",Expenses!$J5:$J1004,$R332,Expenses!$E5:$E1004,$A332)),""))</f>
        <v/>
      </c>
      <c r="K332" s="110">
        <f>IF($H332="","",N($H332)-N($I332)-N($J332))</f>
        <v/>
      </c>
      <c r="L332" s="111">
        <f>IF($K332="","",IF($K332&gt;0.5,"TO PAY",IF($K332&lt;-0.5,"ADVANCE / OWES","SETTLED")))</f>
        <v/>
      </c>
      <c r="R332" s="112" t="n">
        <v>46722</v>
      </c>
    </row>
    <row r="333">
      <c r="A333" s="104">
        <f>IF(Setup!$A81="","",Setup!$A81)</f>
        <v/>
      </c>
      <c r="B333" s="105">
        <f>IF($A333="","",Setup!$B81)</f>
        <v/>
      </c>
      <c r="C333" s="106">
        <f>IF($A333="","",IF(COUNTIFS(Trips!$Z5:$Z1004,$R333,Trips!$D5:$D1004,$A333)+COUNTIFS(Trips!$Z5:$Z1004,$R333,Trips!$E5:$E1004,$A333)=0,"",COUNTIFS(Trips!$Z5:$Z1004,$R333,Trips!$D5:$D1004,$A333)+COUNTIFS(Trips!$Z5:$Z1004,$R333,Trips!$E5:$E1004,$A333)))</f>
        <v/>
      </c>
      <c r="D333" s="107">
        <f>IF($C333="","",SUMIFS(Trips!$K5:$K1004,Trips!$Z5:$Z1004,$R333,Trips!$D5:$D1004,$A333)+SUMIFS(Trips!$K5:$K1004,Trips!$Z5:$Z1004,$R333,Trips!$E5:$E1004,$A333))</f>
        <v/>
      </c>
      <c r="E333" s="108">
        <f>IF($C333="","",SUMIFS(Trips!$N5:$N1004,Trips!$Z5:$Z1004,$R333,Trips!$D5:$D1004,$A333)+SUMIFS(Trips!$O5:$O1004,Trips!$Z5:$Z1004,$R333,Trips!$E5:$E1004,$A333))</f>
        <v/>
      </c>
      <c r="F333" s="109">
        <f>IF($C333="","",SUMIFS(Trips!$P5:$P1004,Trips!$Z5:$Z1004,$R333,Trips!$D5:$D1004,$A333))</f>
        <v/>
      </c>
      <c r="G333" s="109">
        <f>IF($C333="","",SUMIFS(Trips!$Q5:$Q1004,Trips!$Z5:$Z1004,$R333,Trips!$D5:$D1004,$A333))</f>
        <v/>
      </c>
      <c r="H333" s="108">
        <f>IF(AND($C333="",$I333="",$J333=""),"",N($E333)+N($F333)+N($G333))</f>
        <v/>
      </c>
      <c r="I333" s="109">
        <f>IF($A333="","",IFERROR(1/(1/SUMIFS(Expenses!$F5:$F1004,Expenses!$L5:$L1004,"ADV",Expenses!$J5:$J1004,$R333,Expenses!$E5:$E1004,$A333)),""))</f>
        <v/>
      </c>
      <c r="J333" s="109">
        <f>IF($A333="","",IFERROR(1/(1/SUMIFS(Expenses!$F5:$F1004,Expenses!$L5:$L1004,"PAY",Expenses!$J5:$J1004,$R333,Expenses!$E5:$E1004,$A333)),""))</f>
        <v/>
      </c>
      <c r="K333" s="110">
        <f>IF($H333="","",N($H333)-N($I333)-N($J333))</f>
        <v/>
      </c>
      <c r="L333" s="111">
        <f>IF($K333="","",IF($K333&gt;0.5,"TO PAY",IF($K333&lt;-0.5,"ADVANCE / OWES","SETTLED")))</f>
        <v/>
      </c>
      <c r="R333" s="112" t="n">
        <v>46722</v>
      </c>
    </row>
    <row r="334">
      <c r="A334" s="104">
        <f>IF(Setup!$A82="","",Setup!$A82)</f>
        <v/>
      </c>
      <c r="B334" s="105">
        <f>IF($A334="","",Setup!$B82)</f>
        <v/>
      </c>
      <c r="C334" s="106">
        <f>IF($A334="","",IF(COUNTIFS(Trips!$Z5:$Z1004,$R334,Trips!$D5:$D1004,$A334)+COUNTIFS(Trips!$Z5:$Z1004,$R334,Trips!$E5:$E1004,$A334)=0,"",COUNTIFS(Trips!$Z5:$Z1004,$R334,Trips!$D5:$D1004,$A334)+COUNTIFS(Trips!$Z5:$Z1004,$R334,Trips!$E5:$E1004,$A334)))</f>
        <v/>
      </c>
      <c r="D334" s="107">
        <f>IF($C334="","",SUMIFS(Trips!$K5:$K1004,Trips!$Z5:$Z1004,$R334,Trips!$D5:$D1004,$A334)+SUMIFS(Trips!$K5:$K1004,Trips!$Z5:$Z1004,$R334,Trips!$E5:$E1004,$A334))</f>
        <v/>
      </c>
      <c r="E334" s="108">
        <f>IF($C334="","",SUMIFS(Trips!$N5:$N1004,Trips!$Z5:$Z1004,$R334,Trips!$D5:$D1004,$A334)+SUMIFS(Trips!$O5:$O1004,Trips!$Z5:$Z1004,$R334,Trips!$E5:$E1004,$A334))</f>
        <v/>
      </c>
      <c r="F334" s="109">
        <f>IF($C334="","",SUMIFS(Trips!$P5:$P1004,Trips!$Z5:$Z1004,$R334,Trips!$D5:$D1004,$A334))</f>
        <v/>
      </c>
      <c r="G334" s="109">
        <f>IF($C334="","",SUMIFS(Trips!$Q5:$Q1004,Trips!$Z5:$Z1004,$R334,Trips!$D5:$D1004,$A334))</f>
        <v/>
      </c>
      <c r="H334" s="108">
        <f>IF(AND($C334="",$I334="",$J334=""),"",N($E334)+N($F334)+N($G334))</f>
        <v/>
      </c>
      <c r="I334" s="109">
        <f>IF($A334="","",IFERROR(1/(1/SUMIFS(Expenses!$F5:$F1004,Expenses!$L5:$L1004,"ADV",Expenses!$J5:$J1004,$R334,Expenses!$E5:$E1004,$A334)),""))</f>
        <v/>
      </c>
      <c r="J334" s="109">
        <f>IF($A334="","",IFERROR(1/(1/SUMIFS(Expenses!$F5:$F1004,Expenses!$L5:$L1004,"PAY",Expenses!$J5:$J1004,$R334,Expenses!$E5:$E1004,$A334)),""))</f>
        <v/>
      </c>
      <c r="K334" s="110">
        <f>IF($H334="","",N($H334)-N($I334)-N($J334))</f>
        <v/>
      </c>
      <c r="L334" s="111">
        <f>IF($K334="","",IF($K334&gt;0.5,"TO PAY",IF($K334&lt;-0.5,"ADVANCE / OWES","SETTLED")))</f>
        <v/>
      </c>
      <c r="R334" s="112" t="n">
        <v>46722</v>
      </c>
    </row>
    <row r="335">
      <c r="A335" s="104">
        <f>IF(Setup!$A83="","",Setup!$A83)</f>
        <v/>
      </c>
      <c r="B335" s="105">
        <f>IF($A335="","",Setup!$B83)</f>
        <v/>
      </c>
      <c r="C335" s="106">
        <f>IF($A335="","",IF(COUNTIFS(Trips!$Z5:$Z1004,$R335,Trips!$D5:$D1004,$A335)+COUNTIFS(Trips!$Z5:$Z1004,$R335,Trips!$E5:$E1004,$A335)=0,"",COUNTIFS(Trips!$Z5:$Z1004,$R335,Trips!$D5:$D1004,$A335)+COUNTIFS(Trips!$Z5:$Z1004,$R335,Trips!$E5:$E1004,$A335)))</f>
        <v/>
      </c>
      <c r="D335" s="107">
        <f>IF($C335="","",SUMIFS(Trips!$K5:$K1004,Trips!$Z5:$Z1004,$R335,Trips!$D5:$D1004,$A335)+SUMIFS(Trips!$K5:$K1004,Trips!$Z5:$Z1004,$R335,Trips!$E5:$E1004,$A335))</f>
        <v/>
      </c>
      <c r="E335" s="108">
        <f>IF($C335="","",SUMIFS(Trips!$N5:$N1004,Trips!$Z5:$Z1004,$R335,Trips!$D5:$D1004,$A335)+SUMIFS(Trips!$O5:$O1004,Trips!$Z5:$Z1004,$R335,Trips!$E5:$E1004,$A335))</f>
        <v/>
      </c>
      <c r="F335" s="109">
        <f>IF($C335="","",SUMIFS(Trips!$P5:$P1004,Trips!$Z5:$Z1004,$R335,Trips!$D5:$D1004,$A335))</f>
        <v/>
      </c>
      <c r="G335" s="109">
        <f>IF($C335="","",SUMIFS(Trips!$Q5:$Q1004,Trips!$Z5:$Z1004,$R335,Trips!$D5:$D1004,$A335))</f>
        <v/>
      </c>
      <c r="H335" s="108">
        <f>IF(AND($C335="",$I335="",$J335=""),"",N($E335)+N($F335)+N($G335))</f>
        <v/>
      </c>
      <c r="I335" s="109">
        <f>IF($A335="","",IFERROR(1/(1/SUMIFS(Expenses!$F5:$F1004,Expenses!$L5:$L1004,"ADV",Expenses!$J5:$J1004,$R335,Expenses!$E5:$E1004,$A335)),""))</f>
        <v/>
      </c>
      <c r="J335" s="109">
        <f>IF($A335="","",IFERROR(1/(1/SUMIFS(Expenses!$F5:$F1004,Expenses!$L5:$L1004,"PAY",Expenses!$J5:$J1004,$R335,Expenses!$E5:$E1004,$A335)),""))</f>
        <v/>
      </c>
      <c r="K335" s="110">
        <f>IF($H335="","",N($H335)-N($I335)-N($J335))</f>
        <v/>
      </c>
      <c r="L335" s="111">
        <f>IF($K335="","",IF($K335&gt;0.5,"TO PAY",IF($K335&lt;-0.5,"ADVANCE / OWES","SETTLED")))</f>
        <v/>
      </c>
      <c r="R335" s="112" t="n">
        <v>46722</v>
      </c>
    </row>
    <row r="336">
      <c r="A336" s="104">
        <f>IF(Setup!$A84="","",Setup!$A84)</f>
        <v/>
      </c>
      <c r="B336" s="105">
        <f>IF($A336="","",Setup!$B84)</f>
        <v/>
      </c>
      <c r="C336" s="106">
        <f>IF($A336="","",IF(COUNTIFS(Trips!$Z5:$Z1004,$R336,Trips!$D5:$D1004,$A336)+COUNTIFS(Trips!$Z5:$Z1004,$R336,Trips!$E5:$E1004,$A336)=0,"",COUNTIFS(Trips!$Z5:$Z1004,$R336,Trips!$D5:$D1004,$A336)+COUNTIFS(Trips!$Z5:$Z1004,$R336,Trips!$E5:$E1004,$A336)))</f>
        <v/>
      </c>
      <c r="D336" s="107">
        <f>IF($C336="","",SUMIFS(Trips!$K5:$K1004,Trips!$Z5:$Z1004,$R336,Trips!$D5:$D1004,$A336)+SUMIFS(Trips!$K5:$K1004,Trips!$Z5:$Z1004,$R336,Trips!$E5:$E1004,$A336))</f>
        <v/>
      </c>
      <c r="E336" s="108">
        <f>IF($C336="","",SUMIFS(Trips!$N5:$N1004,Trips!$Z5:$Z1004,$R336,Trips!$D5:$D1004,$A336)+SUMIFS(Trips!$O5:$O1004,Trips!$Z5:$Z1004,$R336,Trips!$E5:$E1004,$A336))</f>
        <v/>
      </c>
      <c r="F336" s="109">
        <f>IF($C336="","",SUMIFS(Trips!$P5:$P1004,Trips!$Z5:$Z1004,$R336,Trips!$D5:$D1004,$A336))</f>
        <v/>
      </c>
      <c r="G336" s="109">
        <f>IF($C336="","",SUMIFS(Trips!$Q5:$Q1004,Trips!$Z5:$Z1004,$R336,Trips!$D5:$D1004,$A336))</f>
        <v/>
      </c>
      <c r="H336" s="108">
        <f>IF(AND($C336="",$I336="",$J336=""),"",N($E336)+N($F336)+N($G336))</f>
        <v/>
      </c>
      <c r="I336" s="109">
        <f>IF($A336="","",IFERROR(1/(1/SUMIFS(Expenses!$F5:$F1004,Expenses!$L5:$L1004,"ADV",Expenses!$J5:$J1004,$R336,Expenses!$E5:$E1004,$A336)),""))</f>
        <v/>
      </c>
      <c r="J336" s="109">
        <f>IF($A336="","",IFERROR(1/(1/SUMIFS(Expenses!$F5:$F1004,Expenses!$L5:$L1004,"PAY",Expenses!$J5:$J1004,$R336,Expenses!$E5:$E1004,$A336)),""))</f>
        <v/>
      </c>
      <c r="K336" s="110">
        <f>IF($H336="","",N($H336)-N($I336)-N($J336))</f>
        <v/>
      </c>
      <c r="L336" s="111">
        <f>IF($K336="","",IF($K336&gt;0.5,"TO PAY",IF($K336&lt;-0.5,"ADVANCE / OWES","SETTLED")))</f>
        <v/>
      </c>
      <c r="R336" s="112" t="n">
        <v>46722</v>
      </c>
    </row>
    <row r="337">
      <c r="A337" s="104">
        <f>IF(Setup!$A85="","",Setup!$A85)</f>
        <v/>
      </c>
      <c r="B337" s="105">
        <f>IF($A337="","",Setup!$B85)</f>
        <v/>
      </c>
      <c r="C337" s="106">
        <f>IF($A337="","",IF(COUNTIFS(Trips!$Z5:$Z1004,$R337,Trips!$D5:$D1004,$A337)+COUNTIFS(Trips!$Z5:$Z1004,$R337,Trips!$E5:$E1004,$A337)=0,"",COUNTIFS(Trips!$Z5:$Z1004,$R337,Trips!$D5:$D1004,$A337)+COUNTIFS(Trips!$Z5:$Z1004,$R337,Trips!$E5:$E1004,$A337)))</f>
        <v/>
      </c>
      <c r="D337" s="107">
        <f>IF($C337="","",SUMIFS(Trips!$K5:$K1004,Trips!$Z5:$Z1004,$R337,Trips!$D5:$D1004,$A337)+SUMIFS(Trips!$K5:$K1004,Trips!$Z5:$Z1004,$R337,Trips!$E5:$E1004,$A337))</f>
        <v/>
      </c>
      <c r="E337" s="108">
        <f>IF($C337="","",SUMIFS(Trips!$N5:$N1004,Trips!$Z5:$Z1004,$R337,Trips!$D5:$D1004,$A337)+SUMIFS(Trips!$O5:$O1004,Trips!$Z5:$Z1004,$R337,Trips!$E5:$E1004,$A337))</f>
        <v/>
      </c>
      <c r="F337" s="109">
        <f>IF($C337="","",SUMIFS(Trips!$P5:$P1004,Trips!$Z5:$Z1004,$R337,Trips!$D5:$D1004,$A337))</f>
        <v/>
      </c>
      <c r="G337" s="109">
        <f>IF($C337="","",SUMIFS(Trips!$Q5:$Q1004,Trips!$Z5:$Z1004,$R337,Trips!$D5:$D1004,$A337))</f>
        <v/>
      </c>
      <c r="H337" s="108">
        <f>IF(AND($C337="",$I337="",$J337=""),"",N($E337)+N($F337)+N($G337))</f>
        <v/>
      </c>
      <c r="I337" s="109">
        <f>IF($A337="","",IFERROR(1/(1/SUMIFS(Expenses!$F5:$F1004,Expenses!$L5:$L1004,"ADV",Expenses!$J5:$J1004,$R337,Expenses!$E5:$E1004,$A337)),""))</f>
        <v/>
      </c>
      <c r="J337" s="109">
        <f>IF($A337="","",IFERROR(1/(1/SUMIFS(Expenses!$F5:$F1004,Expenses!$L5:$L1004,"PAY",Expenses!$J5:$J1004,$R337,Expenses!$E5:$E1004,$A337)),""))</f>
        <v/>
      </c>
      <c r="K337" s="110">
        <f>IF($H337="","",N($H337)-N($I337)-N($J337))</f>
        <v/>
      </c>
      <c r="L337" s="111">
        <f>IF($K337="","",IF($K337&gt;0.5,"TO PAY",IF($K337&lt;-0.5,"ADVANCE / OWES","SETTLED")))</f>
        <v/>
      </c>
      <c r="R337" s="112" t="n">
        <v>46722</v>
      </c>
    </row>
    <row r="338">
      <c r="A338" s="104">
        <f>IF(Setup!$A86="","",Setup!$A86)</f>
        <v/>
      </c>
      <c r="B338" s="105">
        <f>IF($A338="","",Setup!$B86)</f>
        <v/>
      </c>
      <c r="C338" s="106">
        <f>IF($A338="","",IF(COUNTIFS(Trips!$Z5:$Z1004,$R338,Trips!$D5:$D1004,$A338)+COUNTIFS(Trips!$Z5:$Z1004,$R338,Trips!$E5:$E1004,$A338)=0,"",COUNTIFS(Trips!$Z5:$Z1004,$R338,Trips!$D5:$D1004,$A338)+COUNTIFS(Trips!$Z5:$Z1004,$R338,Trips!$E5:$E1004,$A338)))</f>
        <v/>
      </c>
      <c r="D338" s="107">
        <f>IF($C338="","",SUMIFS(Trips!$K5:$K1004,Trips!$Z5:$Z1004,$R338,Trips!$D5:$D1004,$A338)+SUMIFS(Trips!$K5:$K1004,Trips!$Z5:$Z1004,$R338,Trips!$E5:$E1004,$A338))</f>
        <v/>
      </c>
      <c r="E338" s="108">
        <f>IF($C338="","",SUMIFS(Trips!$N5:$N1004,Trips!$Z5:$Z1004,$R338,Trips!$D5:$D1004,$A338)+SUMIFS(Trips!$O5:$O1004,Trips!$Z5:$Z1004,$R338,Trips!$E5:$E1004,$A338))</f>
        <v/>
      </c>
      <c r="F338" s="109">
        <f>IF($C338="","",SUMIFS(Trips!$P5:$P1004,Trips!$Z5:$Z1004,$R338,Trips!$D5:$D1004,$A338))</f>
        <v/>
      </c>
      <c r="G338" s="109">
        <f>IF($C338="","",SUMIFS(Trips!$Q5:$Q1004,Trips!$Z5:$Z1004,$R338,Trips!$D5:$D1004,$A338))</f>
        <v/>
      </c>
      <c r="H338" s="108">
        <f>IF(AND($C338="",$I338="",$J338=""),"",N($E338)+N($F338)+N($G338))</f>
        <v/>
      </c>
      <c r="I338" s="109">
        <f>IF($A338="","",IFERROR(1/(1/SUMIFS(Expenses!$F5:$F1004,Expenses!$L5:$L1004,"ADV",Expenses!$J5:$J1004,$R338,Expenses!$E5:$E1004,$A338)),""))</f>
        <v/>
      </c>
      <c r="J338" s="109">
        <f>IF($A338="","",IFERROR(1/(1/SUMIFS(Expenses!$F5:$F1004,Expenses!$L5:$L1004,"PAY",Expenses!$J5:$J1004,$R338,Expenses!$E5:$E1004,$A338)),""))</f>
        <v/>
      </c>
      <c r="K338" s="110">
        <f>IF($H338="","",N($H338)-N($I338)-N($J338))</f>
        <v/>
      </c>
      <c r="L338" s="111">
        <f>IF($K338="","",IF($K338&gt;0.5,"TO PAY",IF($K338&lt;-0.5,"ADVANCE / OWES","SETTLED")))</f>
        <v/>
      </c>
      <c r="R338" s="112" t="n">
        <v>46722</v>
      </c>
    </row>
    <row r="339">
      <c r="A339" s="104">
        <f>IF(Setup!$A87="","",Setup!$A87)</f>
        <v/>
      </c>
      <c r="B339" s="105">
        <f>IF($A339="","",Setup!$B87)</f>
        <v/>
      </c>
      <c r="C339" s="106">
        <f>IF($A339="","",IF(COUNTIFS(Trips!$Z5:$Z1004,$R339,Trips!$D5:$D1004,$A339)+COUNTIFS(Trips!$Z5:$Z1004,$R339,Trips!$E5:$E1004,$A339)=0,"",COUNTIFS(Trips!$Z5:$Z1004,$R339,Trips!$D5:$D1004,$A339)+COUNTIFS(Trips!$Z5:$Z1004,$R339,Trips!$E5:$E1004,$A339)))</f>
        <v/>
      </c>
      <c r="D339" s="107">
        <f>IF($C339="","",SUMIFS(Trips!$K5:$K1004,Trips!$Z5:$Z1004,$R339,Trips!$D5:$D1004,$A339)+SUMIFS(Trips!$K5:$K1004,Trips!$Z5:$Z1004,$R339,Trips!$E5:$E1004,$A339))</f>
        <v/>
      </c>
      <c r="E339" s="108">
        <f>IF($C339="","",SUMIFS(Trips!$N5:$N1004,Trips!$Z5:$Z1004,$R339,Trips!$D5:$D1004,$A339)+SUMIFS(Trips!$O5:$O1004,Trips!$Z5:$Z1004,$R339,Trips!$E5:$E1004,$A339))</f>
        <v/>
      </c>
      <c r="F339" s="109">
        <f>IF($C339="","",SUMIFS(Trips!$P5:$P1004,Trips!$Z5:$Z1004,$R339,Trips!$D5:$D1004,$A339))</f>
        <v/>
      </c>
      <c r="G339" s="109">
        <f>IF($C339="","",SUMIFS(Trips!$Q5:$Q1004,Trips!$Z5:$Z1004,$R339,Trips!$D5:$D1004,$A339))</f>
        <v/>
      </c>
      <c r="H339" s="108">
        <f>IF(AND($C339="",$I339="",$J339=""),"",N($E339)+N($F339)+N($G339))</f>
        <v/>
      </c>
      <c r="I339" s="109">
        <f>IF($A339="","",IFERROR(1/(1/SUMIFS(Expenses!$F5:$F1004,Expenses!$L5:$L1004,"ADV",Expenses!$J5:$J1004,$R339,Expenses!$E5:$E1004,$A339)),""))</f>
        <v/>
      </c>
      <c r="J339" s="109">
        <f>IF($A339="","",IFERROR(1/(1/SUMIFS(Expenses!$F5:$F1004,Expenses!$L5:$L1004,"PAY",Expenses!$J5:$J1004,$R339,Expenses!$E5:$E1004,$A339)),""))</f>
        <v/>
      </c>
      <c r="K339" s="110">
        <f>IF($H339="","",N($H339)-N($I339)-N($J339))</f>
        <v/>
      </c>
      <c r="L339" s="111">
        <f>IF($K339="","",IF($K339&gt;0.5,"TO PAY",IF($K339&lt;-0.5,"ADVANCE / OWES","SETTLED")))</f>
        <v/>
      </c>
      <c r="R339" s="112" t="n">
        <v>46722</v>
      </c>
    </row>
    <row r="340">
      <c r="A340" s="113" t="inlineStr">
        <is>
          <t>MONTH TOTAL</t>
        </is>
      </c>
      <c r="B340" s="114" t="n"/>
      <c r="C340" s="115">
        <f>IF(COUNT(C328:C339)=0,"",SUM(C328:C339))</f>
        <v/>
      </c>
      <c r="D340" s="116">
        <f>IF(COUNT(D328:D339)=0,"",SUM(D328:D339))</f>
        <v/>
      </c>
      <c r="E340" s="117">
        <f>IF(COUNT(E328:E339)=0,"",SUM(E328:E339))</f>
        <v/>
      </c>
      <c r="F340" s="117">
        <f>IF(COUNT(F328:F339)=0,"",SUM(F328:F339))</f>
        <v/>
      </c>
      <c r="G340" s="117">
        <f>IF(COUNT(G328:G339)=0,"",SUM(G328:G339))</f>
        <v/>
      </c>
      <c r="H340" s="117">
        <f>IF(COUNT(H328:H339)=0,"",SUM(H328:H339))</f>
        <v/>
      </c>
      <c r="I340" s="117">
        <f>IF(COUNT(I328:I339)=0,"",SUM(I328:I339))</f>
        <v/>
      </c>
      <c r="J340" s="117">
        <f>IF(COUNT(J328:J339)=0,"",SUM(J328:J339))</f>
        <v/>
      </c>
      <c r="K340" s="117">
        <f>IF(COUNT(K328:K339)=0,"",SUM(K328:K339))</f>
        <v/>
      </c>
      <c r="L340" s="118" t="n"/>
    </row>
    <row r="342">
      <c r="A342" s="9" t="inlineStr">
        <is>
          <t>BALANCE = total earned – cash advance – payout released. Positive = you still owe the crew. Negative = the crew still owes you (unsettled advance).</t>
        </is>
      </c>
    </row>
    <row r="343">
      <c r="A343" s="9" t="inlineStr">
        <is>
          <t>To cover a new year, copy the last month block (block header + crew rows + total row) and change the month key in the hidden column R.</t>
        </is>
      </c>
    </row>
  </sheetData>
  <mergeCells count="50">
    <mergeCell ref="A130:B130"/>
    <mergeCell ref="A187:L187"/>
    <mergeCell ref="A270:B270"/>
    <mergeCell ref="A186:B186"/>
    <mergeCell ref="A284:B284"/>
    <mergeCell ref="A60:B60"/>
    <mergeCell ref="A243:L243"/>
    <mergeCell ref="A75:L75"/>
    <mergeCell ref="A340:B340"/>
    <mergeCell ref="A89:L89"/>
    <mergeCell ref="A88:B88"/>
    <mergeCell ref="A145:L145"/>
    <mergeCell ref="A228:B228"/>
    <mergeCell ref="A285:L285"/>
    <mergeCell ref="A2:L2"/>
    <mergeCell ref="A256:B256"/>
    <mergeCell ref="A33:L33"/>
    <mergeCell ref="A172:B172"/>
    <mergeCell ref="A313:L313"/>
    <mergeCell ref="A47:L47"/>
    <mergeCell ref="A5:L5"/>
    <mergeCell ref="A46:B46"/>
    <mergeCell ref="A159:L159"/>
    <mergeCell ref="A74:B74"/>
    <mergeCell ref="A326:B326"/>
    <mergeCell ref="A18:B18"/>
    <mergeCell ref="A158:B158"/>
    <mergeCell ref="A215:L215"/>
    <mergeCell ref="A131:L131"/>
    <mergeCell ref="A214:B214"/>
    <mergeCell ref="A327:L327"/>
    <mergeCell ref="A19:L19"/>
    <mergeCell ref="A242:B242"/>
    <mergeCell ref="A298:B298"/>
    <mergeCell ref="A117:L117"/>
    <mergeCell ref="A299:L299"/>
    <mergeCell ref="A32:B32"/>
    <mergeCell ref="A116:B116"/>
    <mergeCell ref="A173:L173"/>
    <mergeCell ref="A229:L229"/>
    <mergeCell ref="A312:B312"/>
    <mergeCell ref="A144:B144"/>
    <mergeCell ref="A200:B200"/>
    <mergeCell ref="A201:L201"/>
    <mergeCell ref="A257:L257"/>
    <mergeCell ref="A1:L1"/>
    <mergeCell ref="A103:L103"/>
    <mergeCell ref="A61:L61"/>
    <mergeCell ref="A102:B102"/>
    <mergeCell ref="A271:L271"/>
  </mergeCells>
  <conditionalFormatting sqref="K5:K340">
    <cfRule type="cellIs" priority="1" operator="greaterThan" dxfId="11">
      <formula>0.5</formula>
    </cfRule>
    <cfRule type="cellIs" priority="2" operator="lessThan" dxfId="8">
      <formula>-0.5</formula>
    </cfRule>
  </conditionalFormatting>
  <conditionalFormatting sqref="L5:L340">
    <cfRule type="expression" priority="3" dxfId="6">
      <formula>$L5="TO PAY"</formula>
    </cfRule>
    <cfRule type="expression" priority="4" dxfId="5">
      <formula>$L5="ADVANCE / OWES"</formula>
    </cfRule>
  </conditionalFormatting>
  <pageMargins left="0.75" right="0.75" top="1" bottom="1" header="0.5" footer="0.5"/>
</worksheet>
</file>

<file path=xl/worksheets/sheet5.xml><?xml version="1.0" encoding="utf-8"?>
<worksheet xmlns="http://schemas.openxmlformats.org/spreadsheetml/2006/main">
  <sheetPr>
    <tabColor rgb="0013315C"/>
    <outlinePr summaryBelow="1" summaryRight="1"/>
    <pageSetUpPr/>
  </sheetPr>
  <dimension ref="A1:Q171"/>
  <sheetViews>
    <sheetView showGridLines="0" workbookViewId="0">
      <selection activeCell="A1" sqref="A1"/>
    </sheetView>
  </sheetViews>
  <sheetFormatPr baseColWidth="8" defaultRowHeight="15"/>
  <cols>
    <col width="34" customWidth="1" min="1" max="1"/>
    <col width="26" customWidth="1" min="2" max="2"/>
    <col width="22" customWidth="1" min="3" max="3"/>
    <col width="14" customWidth="1" min="4" max="4"/>
    <col width="16" customWidth="1" min="5" max="5"/>
    <col width="14" customWidth="1" min="6" max="6"/>
    <col width="13" customWidth="1" min="7" max="7"/>
    <col width="15" customWidth="1" min="8" max="8"/>
    <col width="15" customWidth="1" min="9" max="9"/>
    <col width="17" customWidth="1" min="10" max="10"/>
    <col width="14" customWidth="1" min="11" max="11"/>
    <col width="20" customWidth="1" min="12" max="12"/>
    <col width="12" customWidth="1" min="13" max="13"/>
    <col hidden="1" width="13" customWidth="1" min="16" max="16"/>
    <col hidden="1" width="13" customWidth="1" min="17" max="17"/>
  </cols>
  <sheetData>
    <row r="1" ht="40" customHeight="1">
      <c r="A1" s="78" t="inlineStr">
        <is>
          <t>🚚  SETUP  —  one-time configuration</t>
        </is>
      </c>
    </row>
    <row r="2" ht="20" customHeight="1">
      <c r="A2" s="79" t="inlineStr">
        <is>
          <t>Fill this once. Everything else (rates, crew, loans, expense types) is driven from here.</t>
        </is>
      </c>
    </row>
    <row r="4" ht="22" customHeight="1">
      <c r="A4" s="119" t="inlineStr">
        <is>
          <t>1 · BUSINESS PROFILE</t>
        </is>
      </c>
    </row>
    <row r="5">
      <c r="A5" s="120" t="inlineStr">
        <is>
          <t>Company Name</t>
        </is>
      </c>
      <c r="B5" s="121" t="inlineStr">
        <is>
          <t>J&amp;Z Trucking Services</t>
        </is>
      </c>
      <c r="C5" s="122" t="n"/>
      <c r="D5" s="123" t="n"/>
    </row>
    <row r="6">
      <c r="A6" s="120" t="inlineStr">
        <is>
          <t>Owner / Proprietor</t>
        </is>
      </c>
      <c r="B6" s="121" t="inlineStr"/>
      <c r="C6" s="122" t="n"/>
      <c r="D6" s="123" t="n"/>
    </row>
    <row r="7">
      <c r="A7" s="120" t="inlineStr">
        <is>
          <t>Contact Number</t>
        </is>
      </c>
      <c r="B7" s="121" t="inlineStr"/>
      <c r="C7" s="122" t="n"/>
      <c r="D7" s="123" t="n"/>
    </row>
    <row r="8">
      <c r="A8" s="120" t="inlineStr">
        <is>
          <t>Business Address</t>
        </is>
      </c>
      <c r="B8" s="121" t="inlineStr"/>
      <c r="C8" s="122" t="n"/>
      <c r="D8" s="123" t="n"/>
    </row>
    <row r="9">
      <c r="A9" s="120" t="inlineStr">
        <is>
          <t>TIN (for invoicing)</t>
        </is>
      </c>
      <c r="B9" s="121" t="inlineStr"/>
      <c r="C9" s="122" t="n"/>
      <c r="D9" s="123" t="n"/>
    </row>
    <row r="10">
      <c r="A10" s="120" t="inlineStr">
        <is>
          <t>Currency</t>
        </is>
      </c>
      <c r="B10" s="121" t="inlineStr">
        <is>
          <t>₱ PHP – Philippine Peso</t>
        </is>
      </c>
      <c r="C10" s="122" t="n"/>
      <c r="D10" s="123" t="n"/>
    </row>
    <row r="12" ht="22" customHeight="1">
      <c r="A12" s="119" t="inlineStr">
        <is>
          <t>2 · MONEY RULES  (edit the yellow cells — every trip recalculates)</t>
        </is>
      </c>
    </row>
    <row r="13">
      <c r="A13" s="120" t="inlineStr">
        <is>
          <t>Withholding tax on gross fee</t>
        </is>
      </c>
      <c r="B13" s="124" t="n">
        <v>0.02</v>
      </c>
      <c r="C13" s="125" t="inlineStr">
        <is>
          <t>Deducted from the hauling fee before crew shares.</t>
        </is>
      </c>
    </row>
    <row r="14">
      <c r="A14" s="120" t="inlineStr">
        <is>
          <t>Driver share of NET fee</t>
        </is>
      </c>
      <c r="B14" s="124" t="n">
        <v>0.1</v>
      </c>
      <c r="C14" s="125" t="inlineStr">
        <is>
          <t>Net fee = gross fee less withholding tax.</t>
        </is>
      </c>
    </row>
    <row r="15">
      <c r="A15" s="120" t="inlineStr">
        <is>
          <t>Helper share of NET fee</t>
        </is>
      </c>
      <c r="B15" s="124" t="n">
        <v>0.05</v>
      </c>
      <c r="C15" s="125" t="inlineStr">
        <is>
          <t>Same base as the driver share.</t>
        </is>
      </c>
    </row>
    <row r="16">
      <c r="A16" s="120" t="inlineStr">
        <is>
          <t>Default fuel surcharge</t>
        </is>
      </c>
      <c r="B16" s="124" t="n">
        <v>0.18</v>
      </c>
      <c r="C16" s="125" t="inlineStr">
        <is>
          <t>Added on top of the rate table on every trip (editable per trip).</t>
        </is>
      </c>
    </row>
    <row r="17">
      <c r="A17" s="120" t="inlineStr">
        <is>
          <t>Default allowance per trip</t>
        </is>
      </c>
      <c r="B17" s="126" t="n">
        <v>500</v>
      </c>
      <c r="C17" s="125" t="inlineStr">
        <is>
          <t>Cash given to the driver per trip (editable per trip).</t>
        </is>
      </c>
    </row>
    <row r="19" ht="22" customHeight="1">
      <c r="A19" s="119" t="inlineStr">
        <is>
          <t>3 · RATE TABLE  —  ₱ per TON (from J&amp;Z Bulk Rate sheet, before fuel surcharge)</t>
        </is>
      </c>
    </row>
    <row r="20" ht="28" customHeight="1">
      <c r="A20" s="127" t="inlineStr">
        <is>
          <t>SOURCE (origin)</t>
        </is>
      </c>
      <c r="B20" s="127" t="inlineStr">
        <is>
          <t>DESTINATION</t>
        </is>
      </c>
      <c r="C20" s="127" t="inlineStr">
        <is>
          <t>RATE ₱ / TON</t>
        </is>
      </c>
      <c r="D20" s="127" t="inlineStr">
        <is>
          <t>SURCHARGE</t>
        </is>
      </c>
      <c r="E20" s="127" t="inlineStr">
        <is>
          <t>EFFECTIVE ₱/TON</t>
        </is>
      </c>
      <c r="P20" s="93" t="inlineStr">
        <is>
          <t>KEY (hidden)</t>
        </is>
      </c>
    </row>
    <row r="21">
      <c r="A21" s="128" t="inlineStr">
        <is>
          <t>BATAAN</t>
        </is>
      </c>
      <c r="B21" s="128" t="inlineStr">
        <is>
          <t>TARLAC</t>
        </is>
      </c>
      <c r="C21" s="129" t="n">
        <v>820</v>
      </c>
      <c r="D21" s="130">
        <f>IF($C21="","",Setup!$B$16)</f>
        <v/>
      </c>
      <c r="E21" s="131">
        <f>IF($C21="","",ROUND($C21*(1+$D21),2))</f>
        <v/>
      </c>
      <c r="P21" s="93">
        <f>IF($C21="","",UPPER(TRIM($A21))&amp;"|"&amp;UPPER(TRIM($B21)))</f>
        <v/>
      </c>
      <c r="Q21" s="93">
        <f>IF($C21="","","|"&amp;UPPER(TRIM($B21)))</f>
        <v/>
      </c>
    </row>
    <row r="22">
      <c r="A22" s="132" t="inlineStr">
        <is>
          <t>BATAAN</t>
        </is>
      </c>
      <c r="B22" s="132" t="inlineStr">
        <is>
          <t>BMPP</t>
        </is>
      </c>
      <c r="C22" s="129" t="n">
        <v>950</v>
      </c>
      <c r="D22" s="133">
        <f>IF($C22="","",Setup!$B$16)</f>
        <v/>
      </c>
      <c r="E22" s="134">
        <f>IF($C22="","",ROUND($C22*(1+$D22),2))</f>
        <v/>
      </c>
      <c r="P22" s="93">
        <f>IF($C22="","",UPPER(TRIM($A22))&amp;"|"&amp;UPPER(TRIM($B22)))</f>
        <v/>
      </c>
      <c r="Q22" s="93">
        <f>IF($C22="","","|"&amp;UPPER(TRIM($B22)))</f>
        <v/>
      </c>
    </row>
    <row r="23">
      <c r="A23" s="128" t="inlineStr">
        <is>
          <t>BATAAN</t>
        </is>
      </c>
      <c r="B23" s="128" t="inlineStr">
        <is>
          <t>BULACAN</t>
        </is>
      </c>
      <c r="C23" s="129" t="n">
        <v>870</v>
      </c>
      <c r="D23" s="130">
        <f>IF($C23="","",Setup!$B$16)</f>
        <v/>
      </c>
      <c r="E23" s="131">
        <f>IF($C23="","",ROUND($C23*(1+$D23),2))</f>
        <v/>
      </c>
      <c r="P23" s="93">
        <f>IF($C23="","",UPPER(TRIM($A23))&amp;"|"&amp;UPPER(TRIM($B23)))</f>
        <v/>
      </c>
      <c r="Q23" s="93">
        <f>IF($C23="","","|"&amp;UPPER(TRIM($B23)))</f>
        <v/>
      </c>
    </row>
    <row r="24">
      <c r="A24" s="132" t="inlineStr">
        <is>
          <t>BATAAN</t>
        </is>
      </c>
      <c r="B24" s="132" t="inlineStr">
        <is>
          <t>BMEG BATAAN</t>
        </is>
      </c>
      <c r="C24" s="129" t="n">
        <v>104</v>
      </c>
      <c r="D24" s="133">
        <f>IF($C24="","",Setup!$B$16)</f>
        <v/>
      </c>
      <c r="E24" s="134">
        <f>IF($C24="","",ROUND($C24*(1+$D24),2))</f>
        <v/>
      </c>
      <c r="P24" s="93">
        <f>IF($C24="","",UPPER(TRIM($A24))&amp;"|"&amp;UPPER(TRIM($B24)))</f>
        <v/>
      </c>
      <c r="Q24" s="93">
        <f>IF($C24="","","|"&amp;UPPER(TRIM($B24)))</f>
        <v/>
      </c>
    </row>
    <row r="25">
      <c r="A25" s="128" t="inlineStr">
        <is>
          <t>BATAAN</t>
        </is>
      </c>
      <c r="B25" s="128" t="inlineStr">
        <is>
          <t>BATAAN EXTERNAL WHSE</t>
        </is>
      </c>
      <c r="C25" s="129" t="n">
        <v>104</v>
      </c>
      <c r="D25" s="130">
        <f>IF($C25="","",Setup!$B$16)</f>
        <v/>
      </c>
      <c r="E25" s="131">
        <f>IF($C25="","",ROUND($C25*(1+$D25),2))</f>
        <v/>
      </c>
      <c r="P25" s="93">
        <f>IF($C25="","",UPPER(TRIM($A25))&amp;"|"&amp;UPPER(TRIM($B25)))</f>
        <v/>
      </c>
      <c r="Q25" s="93">
        <f>IF($C25="","","|"&amp;UPPER(TRIM($B25)))</f>
        <v/>
      </c>
    </row>
    <row r="26">
      <c r="A26" s="132" t="inlineStr">
        <is>
          <t>BATAAN</t>
        </is>
      </c>
      <c r="B26" s="132" t="inlineStr">
        <is>
          <t>ISABELA</t>
        </is>
      </c>
      <c r="C26" s="129" t="n">
        <v>2100</v>
      </c>
      <c r="D26" s="133">
        <f>IF($C26="","",Setup!$B$16)</f>
        <v/>
      </c>
      <c r="E26" s="134">
        <f>IF($C26="","",ROUND($C26*(1+$D26),2))</f>
        <v/>
      </c>
      <c r="P26" s="93">
        <f>IF($C26="","",UPPER(TRIM($A26))&amp;"|"&amp;UPPER(TRIM($B26)))</f>
        <v/>
      </c>
      <c r="Q26" s="93">
        <f>IF($C26="","","|"&amp;UPPER(TRIM($B26)))</f>
        <v/>
      </c>
    </row>
    <row r="27">
      <c r="A27" s="128" t="inlineStr">
        <is>
          <t>BATAAN</t>
        </is>
      </c>
      <c r="B27" s="128" t="inlineStr">
        <is>
          <t>ARMOR</t>
        </is>
      </c>
      <c r="C27" s="129" t="n">
        <v>900</v>
      </c>
      <c r="D27" s="130">
        <f>IF($C27="","",Setup!$B$16)</f>
        <v/>
      </c>
      <c r="E27" s="131">
        <f>IF($C27="","",ROUND($C27*(1+$D27),2))</f>
        <v/>
      </c>
      <c r="P27" s="93">
        <f>IF($C27="","",UPPER(TRIM($A27))&amp;"|"&amp;UPPER(TRIM($B27)))</f>
        <v/>
      </c>
      <c r="Q27" s="93">
        <f>IF($C27="","","|"&amp;UPPER(TRIM($B27)))</f>
        <v/>
      </c>
    </row>
    <row r="28">
      <c r="A28" s="132" t="inlineStr">
        <is>
          <t>ORION</t>
        </is>
      </c>
      <c r="B28" s="132" t="inlineStr">
        <is>
          <t>BATAAN</t>
        </is>
      </c>
      <c r="C28" s="129" t="n">
        <v>350</v>
      </c>
      <c r="D28" s="133">
        <f>IF($C28="","",Setup!$B$16)</f>
        <v/>
      </c>
      <c r="E28" s="134">
        <f>IF($C28="","",ROUND($C28*(1+$D28),2))</f>
        <v/>
      </c>
      <c r="P28" s="93">
        <f>IF($C28="","",UPPER(TRIM($A28))&amp;"|"&amp;UPPER(TRIM($B28)))</f>
        <v/>
      </c>
      <c r="Q28" s="93">
        <f>IF($C28="","","|"&amp;UPPER(TRIM($B28)))</f>
        <v/>
      </c>
    </row>
    <row r="29">
      <c r="A29" s="128" t="inlineStr">
        <is>
          <t>ORION</t>
        </is>
      </c>
      <c r="B29" s="128" t="inlineStr">
        <is>
          <t>TARLAC</t>
        </is>
      </c>
      <c r="C29" s="129" t="n">
        <v>730</v>
      </c>
      <c r="D29" s="130">
        <f>IF($C29="","",Setup!$B$16)</f>
        <v/>
      </c>
      <c r="E29" s="131">
        <f>IF($C29="","",ROUND($C29*(1+$D29),2))</f>
        <v/>
      </c>
      <c r="P29" s="93">
        <f>IF($C29="","",UPPER(TRIM($A29))&amp;"|"&amp;UPPER(TRIM($B29)))</f>
        <v/>
      </c>
      <c r="Q29" s="93">
        <f>IF($C29="","","|"&amp;UPPER(TRIM($B29)))</f>
        <v/>
      </c>
    </row>
    <row r="30">
      <c r="A30" s="132" t="inlineStr">
        <is>
          <t>ORION</t>
        </is>
      </c>
      <c r="B30" s="132" t="inlineStr">
        <is>
          <t>BMPP</t>
        </is>
      </c>
      <c r="C30" s="129" t="n">
        <v>900</v>
      </c>
      <c r="D30" s="133">
        <f>IF($C30="","",Setup!$B$16)</f>
        <v/>
      </c>
      <c r="E30" s="134">
        <f>IF($C30="","",ROUND($C30*(1+$D30),2))</f>
        <v/>
      </c>
      <c r="P30" s="93">
        <f>IF($C30="","",UPPER(TRIM($A30))&amp;"|"&amp;UPPER(TRIM($B30)))</f>
        <v/>
      </c>
      <c r="Q30" s="93">
        <f>IF($C30="","","|"&amp;UPPER(TRIM($B30)))</f>
        <v/>
      </c>
    </row>
    <row r="31">
      <c r="A31" s="128" t="inlineStr">
        <is>
          <t>ORION</t>
        </is>
      </c>
      <c r="B31" s="128" t="inlineStr">
        <is>
          <t>ROSALES</t>
        </is>
      </c>
      <c r="C31" s="129" t="n">
        <v>790</v>
      </c>
      <c r="D31" s="130">
        <f>IF($C31="","",Setup!$B$16)</f>
        <v/>
      </c>
      <c r="E31" s="131">
        <f>IF($C31="","",ROUND($C31*(1+$D31),2))</f>
        <v/>
      </c>
      <c r="P31" s="93">
        <f>IF($C31="","",UPPER(TRIM($A31))&amp;"|"&amp;UPPER(TRIM($B31)))</f>
        <v/>
      </c>
      <c r="Q31" s="93">
        <f>IF($C31="","","|"&amp;UPPER(TRIM($B31)))</f>
        <v/>
      </c>
    </row>
    <row r="32">
      <c r="A32" s="132" t="inlineStr">
        <is>
          <t>ORION</t>
        </is>
      </c>
      <c r="B32" s="132" t="inlineStr">
        <is>
          <t>BULACAN</t>
        </is>
      </c>
      <c r="C32" s="129" t="n">
        <v>710</v>
      </c>
      <c r="D32" s="133">
        <f>IF($C32="","",Setup!$B$16)</f>
        <v/>
      </c>
      <c r="E32" s="134">
        <f>IF($C32="","",ROUND($C32*(1+$D32),2))</f>
        <v/>
      </c>
      <c r="P32" s="93">
        <f>IF($C32="","",UPPER(TRIM($A32))&amp;"|"&amp;UPPER(TRIM($B32)))</f>
        <v/>
      </c>
      <c r="Q32" s="93">
        <f>IF($C32="","","|"&amp;UPPER(TRIM($B32)))</f>
        <v/>
      </c>
    </row>
    <row r="33">
      <c r="A33" s="128" t="inlineStr">
        <is>
          <t>ORION</t>
        </is>
      </c>
      <c r="B33" s="128" t="inlineStr">
        <is>
          <t>ISABELA</t>
        </is>
      </c>
      <c r="C33" s="129" t="n">
        <v>1000</v>
      </c>
      <c r="D33" s="130">
        <f>IF($C33="","",Setup!$B$16)</f>
        <v/>
      </c>
      <c r="E33" s="131">
        <f>IF($C33="","",ROUND($C33*(1+$D33),2))</f>
        <v/>
      </c>
      <c r="P33" s="93">
        <f>IF($C33="","",UPPER(TRIM($A33))&amp;"|"&amp;UPPER(TRIM($B33)))</f>
        <v/>
      </c>
      <c r="Q33" s="93">
        <f>IF($C33="","","|"&amp;UPPER(TRIM($B33)))</f>
        <v/>
      </c>
    </row>
    <row r="34">
      <c r="A34" s="132" t="inlineStr">
        <is>
          <t>ORION</t>
        </is>
      </c>
      <c r="B34" s="132" t="inlineStr">
        <is>
          <t>CAPAS</t>
        </is>
      </c>
      <c r="C34" s="129" t="n">
        <v>550</v>
      </c>
      <c r="D34" s="133">
        <f>IF($C34="","",Setup!$B$16)</f>
        <v/>
      </c>
      <c r="E34" s="134">
        <f>IF($C34="","",ROUND($C34*(1+$D34),2))</f>
        <v/>
      </c>
      <c r="P34" s="93">
        <f>IF($C34="","",UPPER(TRIM($A34))&amp;"|"&amp;UPPER(TRIM($B34)))</f>
        <v/>
      </c>
      <c r="Q34" s="93">
        <f>IF($C34="","","|"&amp;UPPER(TRIM($B34)))</f>
        <v/>
      </c>
    </row>
    <row r="35">
      <c r="A35" s="128" t="inlineStr">
        <is>
          <t>MABINI, BATANGAS</t>
        </is>
      </c>
      <c r="B35" s="128" t="inlineStr">
        <is>
          <t>IBAAN EXT.</t>
        </is>
      </c>
      <c r="C35" s="129" t="n">
        <v>320</v>
      </c>
      <c r="D35" s="130">
        <f>IF($C35="","",Setup!$B$16)</f>
        <v/>
      </c>
      <c r="E35" s="131">
        <f>IF($C35="","",ROUND($C35*(1+$D35),2))</f>
        <v/>
      </c>
      <c r="P35" s="93">
        <f>IF($C35="","",UPPER(TRIM($A35))&amp;"|"&amp;UPPER(TRIM($B35)))</f>
        <v/>
      </c>
      <c r="Q35" s="93">
        <f>IF($C35="","","|"&amp;UPPER(TRIM($B35)))</f>
        <v/>
      </c>
    </row>
    <row r="36">
      <c r="A36" s="132" t="inlineStr">
        <is>
          <t>MABINI, BATANGAS</t>
        </is>
      </c>
      <c r="B36" s="132" t="inlineStr">
        <is>
          <t>MASAYA EXT.</t>
        </is>
      </c>
      <c r="C36" s="129" t="n">
        <v>320</v>
      </c>
      <c r="D36" s="133">
        <f>IF($C36="","",Setup!$B$16)</f>
        <v/>
      </c>
      <c r="E36" s="134">
        <f>IF($C36="","",ROUND($C36*(1+$D36),2))</f>
        <v/>
      </c>
      <c r="P36" s="93">
        <f>IF($C36="","",UPPER(TRIM($A36))&amp;"|"&amp;UPPER(TRIM($B36)))</f>
        <v/>
      </c>
      <c r="Q36" s="93">
        <f>IF($C36="","","|"&amp;UPPER(TRIM($B36)))</f>
        <v/>
      </c>
    </row>
    <row r="37">
      <c r="A37" s="128" t="inlineStr">
        <is>
          <t>MABINI, BATANGAS</t>
        </is>
      </c>
      <c r="B37" s="128" t="inlineStr">
        <is>
          <t>ARMOR</t>
        </is>
      </c>
      <c r="C37" s="129" t="n">
        <v>420</v>
      </c>
      <c r="D37" s="130">
        <f>IF($C37="","",Setup!$B$16)</f>
        <v/>
      </c>
      <c r="E37" s="131">
        <f>IF($C37="","",ROUND($C37*(1+$D37),2))</f>
        <v/>
      </c>
      <c r="P37" s="93">
        <f>IF($C37="","",UPPER(TRIM($A37))&amp;"|"&amp;UPPER(TRIM($B37)))</f>
        <v/>
      </c>
      <c r="Q37" s="93">
        <f>IF($C37="","","|"&amp;UPPER(TRIM($B37)))</f>
        <v/>
      </c>
    </row>
    <row r="38">
      <c r="A38" s="132" t="inlineStr">
        <is>
          <t>MABINI, BATANGAS</t>
        </is>
      </c>
      <c r="B38" s="132" t="inlineStr">
        <is>
          <t>TARLAC</t>
        </is>
      </c>
      <c r="C38" s="129" t="n">
        <v>1300</v>
      </c>
      <c r="D38" s="133">
        <f>IF($C38="","",Setup!$B$16)</f>
        <v/>
      </c>
      <c r="E38" s="134">
        <f>IF($C38="","",ROUND($C38*(1+$D38),2))</f>
        <v/>
      </c>
      <c r="P38" s="93">
        <f>IF($C38="","",UPPER(TRIM($A38))&amp;"|"&amp;UPPER(TRIM($B38)))</f>
        <v/>
      </c>
      <c r="Q38" s="93">
        <f>IF($C38="","","|"&amp;UPPER(TRIM($B38)))</f>
        <v/>
      </c>
    </row>
    <row r="39">
      <c r="A39" s="128" t="inlineStr">
        <is>
          <t>MABINI, BATANGAS</t>
        </is>
      </c>
      <c r="B39" s="128" t="inlineStr">
        <is>
          <t>BMPP</t>
        </is>
      </c>
      <c r="C39" s="129" t="n">
        <v>1450</v>
      </c>
      <c r="D39" s="130">
        <f>IF($C39="","",Setup!$B$16)</f>
        <v/>
      </c>
      <c r="E39" s="131">
        <f>IF($C39="","",ROUND($C39*(1+$D39),2))</f>
        <v/>
      </c>
      <c r="P39" s="93">
        <f>IF($C39="","",UPPER(TRIM($A39))&amp;"|"&amp;UPPER(TRIM($B39)))</f>
        <v/>
      </c>
      <c r="Q39" s="93">
        <f>IF($C39="","","|"&amp;UPPER(TRIM($B39)))</f>
        <v/>
      </c>
    </row>
    <row r="40">
      <c r="A40" s="132" t="inlineStr">
        <is>
          <t>MABINI, BATANGAS</t>
        </is>
      </c>
      <c r="B40" s="132" t="inlineStr">
        <is>
          <t>BATAAN</t>
        </is>
      </c>
      <c r="C40" s="129" t="n">
        <v>1460</v>
      </c>
      <c r="D40" s="133">
        <f>IF($C40="","",Setup!$B$16)</f>
        <v/>
      </c>
      <c r="E40" s="134">
        <f>IF($C40="","",ROUND($C40*(1+$D40),2))</f>
        <v/>
      </c>
      <c r="P40" s="93">
        <f>IF($C40="","",UPPER(TRIM($A40))&amp;"|"&amp;UPPER(TRIM($B40)))</f>
        <v/>
      </c>
      <c r="Q40" s="93">
        <f>IF($C40="","","|"&amp;UPPER(TRIM($B40)))</f>
        <v/>
      </c>
    </row>
    <row r="41">
      <c r="A41" s="128" t="inlineStr">
        <is>
          <t>MABINI, BATANGAS</t>
        </is>
      </c>
      <c r="B41" s="128" t="inlineStr">
        <is>
          <t>BULACAN</t>
        </is>
      </c>
      <c r="C41" s="129" t="n">
        <v>920</v>
      </c>
      <c r="D41" s="130">
        <f>IF($C41="","",Setup!$B$16)</f>
        <v/>
      </c>
      <c r="E41" s="131">
        <f>IF($C41="","",ROUND($C41*(1+$D41),2))</f>
        <v/>
      </c>
      <c r="P41" s="93">
        <f>IF($C41="","",UPPER(TRIM($A41))&amp;"|"&amp;UPPER(TRIM($B41)))</f>
        <v/>
      </c>
      <c r="Q41" s="93">
        <f>IF($C41="","","|"&amp;UPPER(TRIM($B41)))</f>
        <v/>
      </c>
    </row>
    <row r="42">
      <c r="A42" s="132" t="inlineStr">
        <is>
          <t>MABINI, BATANGAS</t>
        </is>
      </c>
      <c r="B42" s="132" t="inlineStr">
        <is>
          <t>ISABELA</t>
        </is>
      </c>
      <c r="C42" s="129" t="n">
        <v>1000</v>
      </c>
      <c r="D42" s="133">
        <f>IF($C42="","",Setup!$B$16)</f>
        <v/>
      </c>
      <c r="E42" s="134">
        <f>IF($C42="","",ROUND($C42*(1+$D42),2))</f>
        <v/>
      </c>
      <c r="P42" s="93">
        <f>IF($C42="","",UPPER(TRIM($A42))&amp;"|"&amp;UPPER(TRIM($B42)))</f>
        <v/>
      </c>
      <c r="Q42" s="93">
        <f>IF($C42="","","|"&amp;UPPER(TRIM($B42)))</f>
        <v/>
      </c>
    </row>
    <row r="43">
      <c r="A43" s="128" t="inlineStr">
        <is>
          <t>MABINI, BATANGAS</t>
        </is>
      </c>
      <c r="B43" s="128" t="inlineStr">
        <is>
          <t>MONCADA</t>
        </is>
      </c>
      <c r="C43" s="129" t="n">
        <v>975</v>
      </c>
      <c r="D43" s="130">
        <f>IF($C43="","",Setup!$B$16)</f>
        <v/>
      </c>
      <c r="E43" s="131">
        <f>IF($C43="","",ROUND($C43*(1+$D43),2))</f>
        <v/>
      </c>
      <c r="P43" s="93">
        <f>IF($C43="","",UPPER(TRIM($A43))&amp;"|"&amp;UPPER(TRIM($B43)))</f>
        <v/>
      </c>
      <c r="Q43" s="93">
        <f>IF($C43="","","|"&amp;UPPER(TRIM($B43)))</f>
        <v/>
      </c>
    </row>
    <row r="44">
      <c r="A44" s="132" t="inlineStr"/>
      <c r="B44" s="132" t="inlineStr"/>
      <c r="C44" s="135" t="n"/>
      <c r="D44" s="133">
        <f>IF($C44="","",Setup!$B$16)</f>
        <v/>
      </c>
      <c r="E44" s="134">
        <f>IF($C44="","",ROUND($C44*(1+$D44),2))</f>
        <v/>
      </c>
      <c r="P44" s="93">
        <f>IF($C44="","",UPPER(TRIM($A44))&amp;"|"&amp;UPPER(TRIM($B44)))</f>
        <v/>
      </c>
      <c r="Q44" s="93">
        <f>IF($C44="","","|"&amp;UPPER(TRIM($B44)))</f>
        <v/>
      </c>
    </row>
    <row r="45">
      <c r="A45" s="128" t="inlineStr"/>
      <c r="B45" s="128" t="inlineStr"/>
      <c r="C45" s="136" t="n"/>
      <c r="D45" s="130">
        <f>IF($C45="","",Setup!$B$16)</f>
        <v/>
      </c>
      <c r="E45" s="131">
        <f>IF($C45="","",ROUND($C45*(1+$D45),2))</f>
        <v/>
      </c>
      <c r="P45" s="93">
        <f>IF($C45="","",UPPER(TRIM($A45))&amp;"|"&amp;UPPER(TRIM($B45)))</f>
        <v/>
      </c>
      <c r="Q45" s="93">
        <f>IF($C45="","","|"&amp;UPPER(TRIM($B45)))</f>
        <v/>
      </c>
    </row>
    <row r="46">
      <c r="A46" s="132" t="inlineStr"/>
      <c r="B46" s="132" t="inlineStr"/>
      <c r="C46" s="135" t="n"/>
      <c r="D46" s="133">
        <f>IF($C46="","",Setup!$B$16)</f>
        <v/>
      </c>
      <c r="E46" s="134">
        <f>IF($C46="","",ROUND($C46*(1+$D46),2))</f>
        <v/>
      </c>
      <c r="P46" s="93">
        <f>IF($C46="","",UPPER(TRIM($A46))&amp;"|"&amp;UPPER(TRIM($B46)))</f>
        <v/>
      </c>
      <c r="Q46" s="93">
        <f>IF($C46="","","|"&amp;UPPER(TRIM($B46)))</f>
        <v/>
      </c>
    </row>
    <row r="47">
      <c r="A47" s="128" t="inlineStr"/>
      <c r="B47" s="128" t="inlineStr"/>
      <c r="C47" s="136" t="n"/>
      <c r="D47" s="130">
        <f>IF($C47="","",Setup!$B$16)</f>
        <v/>
      </c>
      <c r="E47" s="131">
        <f>IF($C47="","",ROUND($C47*(1+$D47),2))</f>
        <v/>
      </c>
      <c r="P47" s="93">
        <f>IF($C47="","",UPPER(TRIM($A47))&amp;"|"&amp;UPPER(TRIM($B47)))</f>
        <v/>
      </c>
      <c r="Q47" s="93">
        <f>IF($C47="","","|"&amp;UPPER(TRIM($B47)))</f>
        <v/>
      </c>
    </row>
    <row r="48">
      <c r="A48" s="132" t="inlineStr"/>
      <c r="B48" s="132" t="inlineStr"/>
      <c r="C48" s="135" t="n"/>
      <c r="D48" s="133">
        <f>IF($C48="","",Setup!$B$16)</f>
        <v/>
      </c>
      <c r="E48" s="134">
        <f>IF($C48="","",ROUND($C48*(1+$D48),2))</f>
        <v/>
      </c>
      <c r="P48" s="93">
        <f>IF($C48="","",UPPER(TRIM($A48))&amp;"|"&amp;UPPER(TRIM($B48)))</f>
        <v/>
      </c>
      <c r="Q48" s="93">
        <f>IF($C48="","","|"&amp;UPPER(TRIM($B48)))</f>
        <v/>
      </c>
    </row>
    <row r="49">
      <c r="A49" s="128" t="inlineStr"/>
      <c r="B49" s="128" t="inlineStr"/>
      <c r="C49" s="136" t="n"/>
      <c r="D49" s="130">
        <f>IF($C49="","",Setup!$B$16)</f>
        <v/>
      </c>
      <c r="E49" s="131">
        <f>IF($C49="","",ROUND($C49*(1+$D49),2))</f>
        <v/>
      </c>
      <c r="P49" s="93">
        <f>IF($C49="","",UPPER(TRIM($A49))&amp;"|"&amp;UPPER(TRIM($B49)))</f>
        <v/>
      </c>
      <c r="Q49" s="93">
        <f>IF($C49="","","|"&amp;UPPER(TRIM($B49)))</f>
        <v/>
      </c>
    </row>
    <row r="50">
      <c r="A50" s="132" t="inlineStr"/>
      <c r="B50" s="132" t="inlineStr"/>
      <c r="C50" s="135" t="n"/>
      <c r="D50" s="133">
        <f>IF($C50="","",Setup!$B$16)</f>
        <v/>
      </c>
      <c r="E50" s="134">
        <f>IF($C50="","",ROUND($C50*(1+$D50),2))</f>
        <v/>
      </c>
      <c r="P50" s="93">
        <f>IF($C50="","",UPPER(TRIM($A50))&amp;"|"&amp;UPPER(TRIM($B50)))</f>
        <v/>
      </c>
      <c r="Q50" s="93">
        <f>IF($C50="","","|"&amp;UPPER(TRIM($B50)))</f>
        <v/>
      </c>
    </row>
    <row r="51">
      <c r="A51" s="128" t="inlineStr"/>
      <c r="B51" s="128" t="inlineStr"/>
      <c r="C51" s="136" t="n"/>
      <c r="D51" s="130">
        <f>IF($C51="","",Setup!$B$16)</f>
        <v/>
      </c>
      <c r="E51" s="131">
        <f>IF($C51="","",ROUND($C51*(1+$D51),2))</f>
        <v/>
      </c>
      <c r="P51" s="93">
        <f>IF($C51="","",UPPER(TRIM($A51))&amp;"|"&amp;UPPER(TRIM($B51)))</f>
        <v/>
      </c>
      <c r="Q51" s="93">
        <f>IF($C51="","","|"&amp;UPPER(TRIM($B51)))</f>
        <v/>
      </c>
    </row>
    <row r="52">
      <c r="A52" s="132" t="inlineStr"/>
      <c r="B52" s="132" t="inlineStr"/>
      <c r="C52" s="135" t="n"/>
      <c r="D52" s="133">
        <f>IF($C52="","",Setup!$B$16)</f>
        <v/>
      </c>
      <c r="E52" s="134">
        <f>IF($C52="","",ROUND($C52*(1+$D52),2))</f>
        <v/>
      </c>
      <c r="P52" s="93">
        <f>IF($C52="","",UPPER(TRIM($A52))&amp;"|"&amp;UPPER(TRIM($B52)))</f>
        <v/>
      </c>
      <c r="Q52" s="93">
        <f>IF($C52="","","|"&amp;UPPER(TRIM($B52)))</f>
        <v/>
      </c>
    </row>
    <row r="53">
      <c r="A53" s="128" t="inlineStr"/>
      <c r="B53" s="128" t="inlineStr"/>
      <c r="C53" s="136" t="n"/>
      <c r="D53" s="130">
        <f>IF($C53="","",Setup!$B$16)</f>
        <v/>
      </c>
      <c r="E53" s="131">
        <f>IF($C53="","",ROUND($C53*(1+$D53),2))</f>
        <v/>
      </c>
      <c r="P53" s="93">
        <f>IF($C53="","",UPPER(TRIM($A53))&amp;"|"&amp;UPPER(TRIM($B53)))</f>
        <v/>
      </c>
      <c r="Q53" s="93">
        <f>IF($C53="","","|"&amp;UPPER(TRIM($B53)))</f>
        <v/>
      </c>
    </row>
    <row r="54">
      <c r="A54" s="132" t="inlineStr"/>
      <c r="B54" s="132" t="inlineStr"/>
      <c r="C54" s="135" t="n"/>
      <c r="D54" s="133">
        <f>IF($C54="","",Setup!$B$16)</f>
        <v/>
      </c>
      <c r="E54" s="134">
        <f>IF($C54="","",ROUND($C54*(1+$D54),2))</f>
        <v/>
      </c>
      <c r="P54" s="93">
        <f>IF($C54="","",UPPER(TRIM($A54))&amp;"|"&amp;UPPER(TRIM($B54)))</f>
        <v/>
      </c>
      <c r="Q54" s="93">
        <f>IF($C54="","","|"&amp;UPPER(TRIM($B54)))</f>
        <v/>
      </c>
    </row>
    <row r="55">
      <c r="A55" s="128" t="inlineStr"/>
      <c r="B55" s="128" t="inlineStr"/>
      <c r="C55" s="136" t="n"/>
      <c r="D55" s="130">
        <f>IF($C55="","",Setup!$B$16)</f>
        <v/>
      </c>
      <c r="E55" s="131">
        <f>IF($C55="","",ROUND($C55*(1+$D55),2))</f>
        <v/>
      </c>
      <c r="P55" s="93">
        <f>IF($C55="","",UPPER(TRIM($A55))&amp;"|"&amp;UPPER(TRIM($B55)))</f>
        <v/>
      </c>
      <c r="Q55" s="93">
        <f>IF($C55="","","|"&amp;UPPER(TRIM($B55)))</f>
        <v/>
      </c>
    </row>
    <row r="56">
      <c r="A56" s="132" t="inlineStr"/>
      <c r="B56" s="132" t="inlineStr"/>
      <c r="C56" s="135" t="n"/>
      <c r="D56" s="133">
        <f>IF($C56="","",Setup!$B$16)</f>
        <v/>
      </c>
      <c r="E56" s="134">
        <f>IF($C56="","",ROUND($C56*(1+$D56),2))</f>
        <v/>
      </c>
      <c r="P56" s="93">
        <f>IF($C56="","",UPPER(TRIM($A56))&amp;"|"&amp;UPPER(TRIM($B56)))</f>
        <v/>
      </c>
      <c r="Q56" s="93">
        <f>IF($C56="","","|"&amp;UPPER(TRIM($B56)))</f>
        <v/>
      </c>
    </row>
    <row r="57">
      <c r="A57" s="128" t="inlineStr"/>
      <c r="B57" s="128" t="inlineStr"/>
      <c r="C57" s="136" t="n"/>
      <c r="D57" s="130">
        <f>IF($C57="","",Setup!$B$16)</f>
        <v/>
      </c>
      <c r="E57" s="131">
        <f>IF($C57="","",ROUND($C57*(1+$D57),2))</f>
        <v/>
      </c>
      <c r="P57" s="93">
        <f>IF($C57="","",UPPER(TRIM($A57))&amp;"|"&amp;UPPER(TRIM($B57)))</f>
        <v/>
      </c>
      <c r="Q57" s="93">
        <f>IF($C57="","","|"&amp;UPPER(TRIM($B57)))</f>
        <v/>
      </c>
    </row>
    <row r="58">
      <c r="A58" s="132" t="inlineStr"/>
      <c r="B58" s="132" t="inlineStr"/>
      <c r="C58" s="135" t="n"/>
      <c r="D58" s="133">
        <f>IF($C58="","",Setup!$B$16)</f>
        <v/>
      </c>
      <c r="E58" s="134">
        <f>IF($C58="","",ROUND($C58*(1+$D58),2))</f>
        <v/>
      </c>
      <c r="P58" s="93">
        <f>IF($C58="","",UPPER(TRIM($A58))&amp;"|"&amp;UPPER(TRIM($B58)))</f>
        <v/>
      </c>
      <c r="Q58" s="93">
        <f>IF($C58="","","|"&amp;UPPER(TRIM($B58)))</f>
        <v/>
      </c>
    </row>
    <row r="59">
      <c r="A59" s="128" t="inlineStr"/>
      <c r="B59" s="128" t="inlineStr"/>
      <c r="C59" s="136" t="n"/>
      <c r="D59" s="130">
        <f>IF($C59="","",Setup!$B$16)</f>
        <v/>
      </c>
      <c r="E59" s="131">
        <f>IF($C59="","",ROUND($C59*(1+$D59),2))</f>
        <v/>
      </c>
      <c r="P59" s="93">
        <f>IF($C59="","",UPPER(TRIM($A59))&amp;"|"&amp;UPPER(TRIM($B59)))</f>
        <v/>
      </c>
      <c r="Q59" s="93">
        <f>IF($C59="","","|"&amp;UPPER(TRIM($B59)))</f>
        <v/>
      </c>
    </row>
    <row r="60">
      <c r="A60" s="132" t="inlineStr"/>
      <c r="B60" s="132" t="inlineStr"/>
      <c r="C60" s="135" t="n"/>
      <c r="D60" s="133">
        <f>IF($C60="","",Setup!$B$16)</f>
        <v/>
      </c>
      <c r="E60" s="134">
        <f>IF($C60="","",ROUND($C60*(1+$D60),2))</f>
        <v/>
      </c>
      <c r="P60" s="93">
        <f>IF($C60="","",UPPER(TRIM($A60))&amp;"|"&amp;UPPER(TRIM($B60)))</f>
        <v/>
      </c>
      <c r="Q60" s="93">
        <f>IF($C60="","","|"&amp;UPPER(TRIM($B60)))</f>
        <v/>
      </c>
    </row>
    <row r="61" ht="22" customHeight="1">
      <c r="A61" s="119" t="inlineStr">
        <is>
          <t>4 · TRUCKS / UNITS  (add a row when you buy your next truck)</t>
        </is>
      </c>
    </row>
    <row r="62" ht="28" customHeight="1">
      <c r="A62" s="127" t="inlineStr">
        <is>
          <t>UNIT / TRUCK NAME</t>
        </is>
      </c>
      <c r="B62" s="127" t="inlineStr">
        <is>
          <t>PLATE NO.</t>
        </is>
      </c>
      <c r="C62" s="127" t="inlineStr">
        <is>
          <t>CAPACITY (tons)</t>
        </is>
      </c>
      <c r="D62" s="127" t="inlineStr">
        <is>
          <t>STATUS</t>
        </is>
      </c>
      <c r="E62" s="127" t="inlineStr">
        <is>
          <t>ASSIGNED DRIVER</t>
        </is>
      </c>
      <c r="F62" s="127" t="inlineStr">
        <is>
          <t>LENDER</t>
        </is>
      </c>
    </row>
    <row r="63">
      <c r="A63" s="128" t="inlineStr">
        <is>
          <t>TRUCK 1</t>
        </is>
      </c>
      <c r="B63" s="128" t="inlineStr">
        <is>
          <t>NCR 1234</t>
        </is>
      </c>
      <c r="C63" s="137" t="n">
        <v>20</v>
      </c>
      <c r="D63" s="128" t="inlineStr">
        <is>
          <t>Active</t>
        </is>
      </c>
      <c r="E63" s="128" t="inlineStr">
        <is>
          <t>R. Dela Cruz</t>
        </is>
      </c>
      <c r="F63" s="128" t="inlineStr">
        <is>
          <t>BDO Leasing</t>
        </is>
      </c>
    </row>
    <row r="64">
      <c r="A64" s="132" t="inlineStr"/>
      <c r="B64" s="132" t="inlineStr"/>
      <c r="C64" s="138" t="n"/>
      <c r="D64" s="132" t="inlineStr"/>
      <c r="E64" s="132" t="inlineStr"/>
      <c r="F64" s="132" t="inlineStr"/>
    </row>
    <row r="65">
      <c r="A65" s="128" t="inlineStr"/>
      <c r="B65" s="128" t="inlineStr"/>
      <c r="C65" s="137" t="n"/>
      <c r="D65" s="128" t="inlineStr"/>
      <c r="E65" s="128" t="inlineStr"/>
      <c r="F65" s="128" t="inlineStr"/>
    </row>
    <row r="66">
      <c r="A66" s="132" t="inlineStr"/>
      <c r="B66" s="132" t="inlineStr"/>
      <c r="C66" s="138" t="n"/>
      <c r="D66" s="132" t="inlineStr"/>
      <c r="E66" s="132" t="inlineStr"/>
      <c r="F66" s="132" t="inlineStr"/>
    </row>
    <row r="67">
      <c r="A67" s="128" t="inlineStr"/>
      <c r="B67" s="128" t="inlineStr"/>
      <c r="C67" s="137" t="n"/>
      <c r="D67" s="128" t="inlineStr"/>
      <c r="E67" s="128" t="inlineStr"/>
      <c r="F67" s="128" t="inlineStr"/>
    </row>
    <row r="68">
      <c r="A68" s="132" t="inlineStr"/>
      <c r="B68" s="132" t="inlineStr"/>
      <c r="C68" s="138" t="n"/>
      <c r="D68" s="132" t="inlineStr"/>
      <c r="E68" s="132" t="inlineStr"/>
      <c r="F68" s="132" t="inlineStr"/>
    </row>
    <row r="69">
      <c r="A69" s="128" t="inlineStr"/>
      <c r="B69" s="128" t="inlineStr"/>
      <c r="C69" s="137" t="n"/>
      <c r="D69" s="128" t="inlineStr"/>
      <c r="E69" s="128" t="inlineStr"/>
      <c r="F69" s="128" t="inlineStr"/>
    </row>
    <row r="70">
      <c r="A70" s="132" t="inlineStr"/>
      <c r="B70" s="132" t="inlineStr"/>
      <c r="C70" s="138" t="n"/>
      <c r="D70" s="132" t="inlineStr"/>
      <c r="E70" s="132" t="inlineStr"/>
      <c r="F70" s="132" t="inlineStr"/>
    </row>
    <row r="71">
      <c r="A71" s="128" t="inlineStr"/>
      <c r="B71" s="128" t="inlineStr"/>
      <c r="C71" s="137" t="n"/>
      <c r="D71" s="128" t="inlineStr"/>
      <c r="E71" s="128" t="inlineStr"/>
      <c r="F71" s="128" t="inlineStr"/>
    </row>
    <row r="72">
      <c r="A72" s="132" t="inlineStr"/>
      <c r="B72" s="132" t="inlineStr"/>
      <c r="C72" s="138" t="n"/>
      <c r="D72" s="132" t="inlineStr"/>
      <c r="E72" s="132" t="inlineStr"/>
      <c r="F72" s="132" t="inlineStr"/>
    </row>
    <row r="74" ht="22" customHeight="1">
      <c r="A74" s="119" t="inlineStr">
        <is>
          <t>5 · CREW  (drivers &amp; helpers)  —  share % can differ per person</t>
        </is>
      </c>
    </row>
    <row r="75" ht="28" customHeight="1">
      <c r="A75" s="127" t="inlineStr">
        <is>
          <t>NAME</t>
        </is>
      </c>
      <c r="B75" s="127" t="inlineStr">
        <is>
          <t>ROLE</t>
        </is>
      </c>
      <c r="C75" s="127" t="inlineStr">
        <is>
          <t>SHARE % (blank = default)</t>
        </is>
      </c>
      <c r="D75" s="127" t="inlineStr">
        <is>
          <t>PHONE</t>
        </is>
      </c>
    </row>
    <row r="76">
      <c r="A76" s="128" t="inlineStr">
        <is>
          <t>R. Dela Cruz</t>
        </is>
      </c>
      <c r="B76" s="139" t="inlineStr">
        <is>
          <t>Driver</t>
        </is>
      </c>
      <c r="C76" s="140" t="n">
        <v>0.1</v>
      </c>
      <c r="D76" s="141" t="inlineStr">
        <is>
          <t>0917 000 0001</t>
        </is>
      </c>
    </row>
    <row r="77">
      <c r="A77" s="132" t="inlineStr">
        <is>
          <t>M. Reyes</t>
        </is>
      </c>
      <c r="B77" s="142" t="inlineStr">
        <is>
          <t>Driver</t>
        </is>
      </c>
      <c r="C77" s="143" t="n">
        <v>0.1</v>
      </c>
      <c r="D77" s="144" t="inlineStr">
        <is>
          <t>0917 000 0002</t>
        </is>
      </c>
    </row>
    <row r="78">
      <c r="A78" s="128" t="inlineStr">
        <is>
          <t>J. Santos</t>
        </is>
      </c>
      <c r="B78" s="139" t="inlineStr">
        <is>
          <t>Helper</t>
        </is>
      </c>
      <c r="C78" s="140" t="n">
        <v>0.05</v>
      </c>
      <c r="D78" s="141" t="inlineStr">
        <is>
          <t>0917 000 0003</t>
        </is>
      </c>
    </row>
    <row r="79">
      <c r="A79" s="132" t="inlineStr">
        <is>
          <t>A. Bautista</t>
        </is>
      </c>
      <c r="B79" s="142" t="inlineStr">
        <is>
          <t>Helper</t>
        </is>
      </c>
      <c r="C79" s="143" t="n">
        <v>0.05</v>
      </c>
      <c r="D79" s="144" t="inlineStr">
        <is>
          <t>0917 000 0004</t>
        </is>
      </c>
    </row>
    <row r="80">
      <c r="A80" s="128" t="inlineStr"/>
      <c r="B80" s="139" t="inlineStr"/>
      <c r="C80" s="140" t="n"/>
      <c r="D80" s="141" t="inlineStr"/>
    </row>
    <row r="81">
      <c r="A81" s="132" t="inlineStr"/>
      <c r="B81" s="142" t="inlineStr"/>
      <c r="C81" s="143" t="n"/>
      <c r="D81" s="144" t="inlineStr"/>
    </row>
    <row r="82">
      <c r="A82" s="128" t="inlineStr"/>
      <c r="B82" s="139" t="inlineStr"/>
      <c r="C82" s="140" t="n"/>
      <c r="D82" s="141" t="inlineStr"/>
    </row>
    <row r="83">
      <c r="A83" s="132" t="inlineStr"/>
      <c r="B83" s="142" t="inlineStr"/>
      <c r="C83" s="143" t="n"/>
      <c r="D83" s="144" t="inlineStr"/>
    </row>
    <row r="84">
      <c r="A84" s="128" t="inlineStr"/>
      <c r="B84" s="139" t="inlineStr"/>
      <c r="C84" s="140" t="n"/>
      <c r="D84" s="141" t="inlineStr"/>
    </row>
    <row r="85">
      <c r="A85" s="132" t="inlineStr"/>
      <c r="B85" s="142" t="inlineStr"/>
      <c r="C85" s="143" t="n"/>
      <c r="D85" s="144" t="inlineStr"/>
    </row>
    <row r="86">
      <c r="A86" s="128" t="inlineStr"/>
      <c r="B86" s="139" t="inlineStr"/>
      <c r="C86" s="140" t="n"/>
      <c r="D86" s="141" t="inlineStr"/>
    </row>
    <row r="87">
      <c r="A87" s="132" t="inlineStr"/>
      <c r="B87" s="142" t="inlineStr"/>
      <c r="C87" s="143" t="n"/>
      <c r="D87" s="144" t="inlineStr"/>
    </row>
    <row r="97" ht="22" customHeight="1">
      <c r="A97" s="119" t="inlineStr">
        <is>
          <t>6 · EXPENSE TYPES  →  COST GROUP  (optional: exact wording. Type freely in Expenses — keep the group names as they are)</t>
        </is>
      </c>
    </row>
    <row r="98" ht="28" customHeight="1">
      <c r="A98" s="127" t="inlineStr">
        <is>
          <t>EXPENSE TYPE  (dropdown in Expenses)</t>
        </is>
      </c>
      <c r="B98" s="127" t="inlineStr">
        <is>
          <t>COST GROUP</t>
        </is>
      </c>
      <c r="C98" s="127" t="inlineStr">
        <is>
          <t>WHAT BELONGS HERE</t>
        </is>
      </c>
    </row>
    <row r="99">
      <c r="A99" s="128" t="inlineStr">
        <is>
          <t>Fuel – Bulk Purchase</t>
        </is>
      </c>
      <c r="B99" s="145" t="inlineStr">
        <is>
          <t>Vehicle</t>
        </is>
      </c>
      <c r="C99" s="146" t="inlineStr">
        <is>
          <t>ONLY diesel delivered to your own tank in bulk. Per-trip diesel goes in the Trips sheet — never both</t>
        </is>
      </c>
    </row>
    <row r="100">
      <c r="A100" s="132" t="inlineStr">
        <is>
          <t>Toll &amp; Parking</t>
        </is>
      </c>
      <c r="B100" s="147" t="inlineStr">
        <is>
          <t>Vehicle</t>
        </is>
      </c>
      <c r="C100" s="148" t="inlineStr">
        <is>
          <t>RFID load, expressway tolls, parking</t>
        </is>
      </c>
    </row>
    <row r="101">
      <c r="A101" s="128" t="inlineStr">
        <is>
          <t>Repairs &amp; Maintenance</t>
        </is>
      </c>
      <c r="B101" s="145" t="inlineStr">
        <is>
          <t>Vehicle</t>
        </is>
      </c>
      <c r="C101" s="146" t="inlineStr">
        <is>
          <t>PMS, mechanic, labour, engine repair</t>
        </is>
      </c>
    </row>
    <row r="102">
      <c r="A102" s="132" t="inlineStr">
        <is>
          <t>Tires &amp; Batteries</t>
        </is>
      </c>
      <c r="B102" s="147" t="inlineStr">
        <is>
          <t>Vehicle</t>
        </is>
      </c>
      <c r="C102" s="148" t="inlineStr">
        <is>
          <t>New tires, retread, battery</t>
        </is>
      </c>
    </row>
    <row r="103">
      <c r="A103" s="128" t="inlineStr">
        <is>
          <t>Spare Parts &amp; Lubricants</t>
        </is>
      </c>
      <c r="B103" s="145" t="inlineStr">
        <is>
          <t>Vehicle</t>
        </is>
      </c>
      <c r="C103" s="146" t="inlineStr">
        <is>
          <t>Filters, oil, belts, bulbs</t>
        </is>
      </c>
    </row>
    <row r="104">
      <c r="A104" s="132" t="inlineStr">
        <is>
          <t>Insurance</t>
        </is>
      </c>
      <c r="B104" s="147" t="inlineStr">
        <is>
          <t>Vehicle</t>
        </is>
      </c>
      <c r="C104" s="148" t="inlineStr">
        <is>
          <t>Comprehensive / CTPL premium</t>
        </is>
      </c>
    </row>
    <row r="105">
      <c r="A105" s="128" t="inlineStr">
        <is>
          <t>LTO Registration</t>
        </is>
      </c>
      <c r="B105" s="145" t="inlineStr">
        <is>
          <t>Vehicle</t>
        </is>
      </c>
      <c r="C105" s="146" t="inlineStr">
        <is>
          <t>Registration, emission test, MVIC</t>
        </is>
      </c>
    </row>
    <row r="106">
      <c r="A106" s="132" t="inlineStr">
        <is>
          <t>Truck Washing</t>
        </is>
      </c>
      <c r="B106" s="147" t="inlineStr">
        <is>
          <t>Vehicle</t>
        </is>
      </c>
      <c r="C106" s="148" t="inlineStr">
        <is>
          <t>Carwash, greasing</t>
        </is>
      </c>
    </row>
    <row r="107">
      <c r="A107" s="128" t="inlineStr">
        <is>
          <t>Truck Accessories</t>
        </is>
      </c>
      <c r="B107" s="145" t="inlineStr">
        <is>
          <t>Vehicle</t>
        </is>
      </c>
      <c r="C107" s="146" t="inlineStr">
        <is>
          <t>Tarpaulin, mats, tools, weighing fees</t>
        </is>
      </c>
    </row>
    <row r="108">
      <c r="A108" s="132" t="inlineStr">
        <is>
          <t>Loan Payment</t>
        </is>
      </c>
      <c r="B108" s="147" t="inlineStr">
        <is>
          <t>Financing</t>
        </is>
      </c>
      <c r="C108" s="148" t="inlineStr">
        <is>
          <t>Monthly amortisation to any lender</t>
        </is>
      </c>
    </row>
    <row r="109">
      <c r="A109" s="128" t="inlineStr">
        <is>
          <t>Cash Advance</t>
        </is>
      </c>
      <c r="B109" s="145" t="inlineStr">
        <is>
          <t>Transfer</t>
        </is>
      </c>
      <c r="C109" s="146" t="inlineStr">
        <is>
          <t>Cash given to crew — settled in Payroll (NOT an extra cost)</t>
        </is>
      </c>
    </row>
    <row r="110">
      <c r="A110" s="132" t="inlineStr">
        <is>
          <t>Payroll Payout</t>
        </is>
      </c>
      <c r="B110" s="147" t="inlineStr">
        <is>
          <t>Transfer</t>
        </is>
      </c>
      <c r="C110" s="148" t="inlineStr">
        <is>
          <t>Cash released to crew — settled in Payroll (NOT an extra cost)</t>
        </is>
      </c>
    </row>
    <row r="111">
      <c r="A111" s="128" t="inlineStr">
        <is>
          <t>Reimbursement Payout</t>
        </is>
      </c>
      <c r="B111" s="145" t="inlineStr">
        <is>
          <t>Transfer</t>
        </is>
      </c>
      <c r="C111" s="146" t="inlineStr">
        <is>
          <t>Paying back the driver's receipts already logged in Trips</t>
        </is>
      </c>
    </row>
    <row r="112">
      <c r="A112" s="132" t="inlineStr">
        <is>
          <t>Office / Staff Salary</t>
        </is>
      </c>
      <c r="B112" s="147" t="inlineStr">
        <is>
          <t>Overhead</t>
        </is>
      </c>
      <c r="C112" s="148" t="inlineStr">
        <is>
          <t>Dispatcher, bookkeeper, office staff</t>
        </is>
      </c>
    </row>
    <row r="113">
      <c r="A113" s="128" t="inlineStr">
        <is>
          <t>Rent</t>
        </is>
      </c>
      <c r="B113" s="145" t="inlineStr">
        <is>
          <t>Overhead</t>
        </is>
      </c>
      <c r="C113" s="146" t="inlineStr">
        <is>
          <t>Yard / office / parking rent</t>
        </is>
      </c>
    </row>
    <row r="114">
      <c r="A114" s="132" t="inlineStr">
        <is>
          <t>Utilities</t>
        </is>
      </c>
      <c r="B114" s="147" t="inlineStr">
        <is>
          <t>Overhead</t>
        </is>
      </c>
      <c r="C114" s="148" t="inlineStr">
        <is>
          <t>Electricity, water, internet, phone</t>
        </is>
      </c>
    </row>
    <row r="115">
      <c r="A115" s="128" t="inlineStr">
        <is>
          <t>Office Supplies</t>
        </is>
      </c>
      <c r="B115" s="145" t="inlineStr">
        <is>
          <t>Overhead</t>
        </is>
      </c>
      <c r="C115" s="146" t="inlineStr">
        <is>
          <t>Printer, forms, bond paper</t>
        </is>
      </c>
    </row>
    <row r="116">
      <c r="A116" s="132" t="inlineStr">
        <is>
          <t>Professional Fees</t>
        </is>
      </c>
      <c r="B116" s="147" t="inlineStr">
        <is>
          <t>Overhead</t>
        </is>
      </c>
      <c r="C116" s="148" t="inlineStr">
        <is>
          <t>Accountant, lawyer, broker's fee</t>
        </is>
      </c>
    </row>
    <row r="117">
      <c r="A117" s="128" t="inlineStr">
        <is>
          <t>Bank Charges</t>
        </is>
      </c>
      <c r="B117" s="145" t="inlineStr">
        <is>
          <t>Overhead</t>
        </is>
      </c>
      <c r="C117" s="146" t="inlineStr">
        <is>
          <t>Transfer fees, interest on overdraft</t>
        </is>
      </c>
    </row>
    <row r="118">
      <c r="A118" s="132" t="inlineStr">
        <is>
          <t>Permits &amp; Regulatory</t>
        </is>
      </c>
      <c r="B118" s="147" t="inlineStr">
        <is>
          <t>Overhead</t>
        </is>
      </c>
      <c r="C118" s="148" t="inlineStr">
        <is>
          <t>Mayor's permit, BIR, LTFRB, insurance broker</t>
        </is>
      </c>
    </row>
    <row r="119">
      <c r="A119" s="128" t="inlineStr">
        <is>
          <t>Miscellaneous</t>
        </is>
      </c>
      <c r="B119" s="145" t="inlineStr">
        <is>
          <t>Overhead</t>
        </is>
      </c>
      <c r="C119" s="146" t="inlineStr">
        <is>
          <t>Small costs that fit nowhere else</t>
        </is>
      </c>
    </row>
    <row r="120">
      <c r="A120" s="132" t="inlineStr">
        <is>
          <t>Owner's Draw</t>
        </is>
      </c>
      <c r="B120" s="147" t="inlineStr">
        <is>
          <t>Other</t>
        </is>
      </c>
      <c r="C120" s="148" t="inlineStr">
        <is>
          <t>Owner's personal withdrawal — excluded from P&amp;L</t>
        </is>
      </c>
    </row>
    <row r="121">
      <c r="A121" s="128" t="inlineStr">
        <is>
          <t>Equipment / Asset Purchase</t>
        </is>
      </c>
      <c r="B121" s="145" t="inlineStr">
        <is>
          <t>Other</t>
        </is>
      </c>
      <c r="C121" s="146" t="inlineStr">
        <is>
          <t>Capital outlay — excluded from P&amp;L</t>
        </is>
      </c>
    </row>
    <row r="122">
      <c r="A122" s="132" t="inlineStr"/>
      <c r="B122" s="147" t="inlineStr"/>
      <c r="C122" s="148" t="inlineStr"/>
    </row>
    <row r="123">
      <c r="A123" s="128" t="inlineStr"/>
      <c r="B123" s="145" t="inlineStr"/>
      <c r="C123" s="146" t="inlineStr"/>
    </row>
    <row r="124">
      <c r="A124" s="132" t="inlineStr"/>
      <c r="B124" s="147" t="inlineStr"/>
      <c r="C124" s="148" t="inlineStr"/>
    </row>
    <row r="125">
      <c r="A125" s="128" t="inlineStr"/>
      <c r="B125" s="145" t="inlineStr"/>
      <c r="C125" s="146" t="inlineStr"/>
    </row>
    <row r="126">
      <c r="A126" s="132" t="inlineStr"/>
      <c r="B126" s="147" t="inlineStr"/>
      <c r="C126" s="148" t="inlineStr"/>
    </row>
    <row r="127">
      <c r="A127" s="128" t="inlineStr"/>
      <c r="B127" s="145" t="inlineStr"/>
      <c r="C127" s="146" t="inlineStr"/>
    </row>
    <row r="128">
      <c r="A128" s="132" t="inlineStr"/>
      <c r="B128" s="147" t="inlineStr"/>
      <c r="C128" s="148" t="inlineStr"/>
    </row>
    <row r="131" ht="22" customHeight="1">
      <c r="A131" s="119" t="inlineStr">
        <is>
          <t>7 · LOANS / FINANCING  (every lender for every truck — self-updating balance)</t>
        </is>
      </c>
    </row>
    <row r="132" ht="28" customHeight="1">
      <c r="A132" s="127" t="inlineStr">
        <is>
          <t>LENDER</t>
        </is>
      </c>
      <c r="B132" s="127" t="inlineStr">
        <is>
          <t>FOR TRUCK</t>
        </is>
      </c>
      <c r="C132" s="127" t="inlineStr">
        <is>
          <t>PRINCIPAL BORROWED</t>
        </is>
      </c>
      <c r="D132" s="127" t="inlineStr">
        <is>
          <t>ANNUAL RATE</t>
        </is>
      </c>
      <c r="E132" s="127" t="inlineStr">
        <is>
          <t>MONTHLY AMORT.</t>
        </is>
      </c>
      <c r="F132" s="127" t="inlineStr">
        <is>
          <t>TERM (months)</t>
        </is>
      </c>
      <c r="G132" s="127" t="inlineStr">
        <is>
          <t>START DATE</t>
        </is>
      </c>
      <c r="H132" s="127" t="inlineStr">
        <is>
          <t>PAYMENTS MADE</t>
        </is>
      </c>
      <c r="I132" s="127" t="inlineStr">
        <is>
          <t>TOTAL PAID</t>
        </is>
      </c>
      <c r="J132" s="127" t="inlineStr">
        <is>
          <t>MONTHS LEFT</t>
        </is>
      </c>
      <c r="K132" s="127" t="inlineStr">
        <is>
          <t>REMAINING BALANCE</t>
        </is>
      </c>
      <c r="L132" s="127" t="inlineStr">
        <is>
          <t>REMAINING OBLIGATION</t>
        </is>
      </c>
      <c r="M132" s="127" t="inlineStr">
        <is>
          <t>PROGRESS</t>
        </is>
      </c>
    </row>
    <row r="133">
      <c r="A133" s="149" t="inlineStr">
        <is>
          <t>BDO Leasing</t>
        </is>
      </c>
      <c r="B133" s="139" t="inlineStr">
        <is>
          <t>TRUCK 1</t>
        </is>
      </c>
      <c r="C133" s="150" t="n">
        <v>1200000</v>
      </c>
      <c r="D133" s="140" t="n">
        <v>0.12</v>
      </c>
      <c r="E133" s="150" t="n">
        <v>32000</v>
      </c>
      <c r="F133" s="151" t="n">
        <v>48</v>
      </c>
      <c r="G133" s="152" t="n">
        <v>45809</v>
      </c>
      <c r="H133" s="153">
        <f>IF($A133="","",COUNTIFS(Expenses!$B$5:$B$1004,"Loan Payment",Expenses!$E$5:$E$1004,$A133))</f>
        <v/>
      </c>
      <c r="I133" s="154">
        <f>IF($A133="","",SUMIFS(Expenses!$F$5:$F$1004,Expenses!$B$5:$B$1004,"Loan Payment",Expenses!$E$5:$E$1004,$A133))</f>
        <v/>
      </c>
      <c r="J133" s="153">
        <f>IF($A133="","",MAX(0,$F133-$H133))</f>
        <v/>
      </c>
      <c r="K133" s="155">
        <f>IF($A133="","",MAX(0,$C133-$I133))</f>
        <v/>
      </c>
      <c r="L133" s="156">
        <f>IF($A133="","",MAX(0,$J133*$E133))</f>
        <v/>
      </c>
      <c r="M133" s="157">
        <f>IF($A133="","",IF($C133=0,0,MIN(1,$I133/$C133)))</f>
        <v/>
      </c>
    </row>
    <row r="134">
      <c r="A134" s="158" t="inlineStr">
        <is>
          <t>Security Bank</t>
        </is>
      </c>
      <c r="B134" s="142" t="inlineStr">
        <is>
          <t>TRUCK 1</t>
        </is>
      </c>
      <c r="C134" s="159" t="n">
        <v>600000</v>
      </c>
      <c r="D134" s="143" t="n">
        <v>0.14</v>
      </c>
      <c r="E134" s="159" t="n">
        <v>18500</v>
      </c>
      <c r="F134" s="160" t="n">
        <v>36</v>
      </c>
      <c r="G134" s="161" t="n">
        <v>45901</v>
      </c>
      <c r="H134" s="153">
        <f>IF($A134="","",COUNTIFS(Expenses!$B$5:$B$1004,"Loan Payment",Expenses!$E$5:$E$1004,$A134))</f>
        <v/>
      </c>
      <c r="I134" s="154">
        <f>IF($A134="","",SUMIFS(Expenses!$F$5:$F$1004,Expenses!$B$5:$B$1004,"Loan Payment",Expenses!$E$5:$E$1004,$A134))</f>
        <v/>
      </c>
      <c r="J134" s="153">
        <f>IF($A134="","",MAX(0,$F134-$H134))</f>
        <v/>
      </c>
      <c r="K134" s="155">
        <f>IF($A134="","",MAX(0,$C134-$I134))</f>
        <v/>
      </c>
      <c r="L134" s="156">
        <f>IF($A134="","",MAX(0,$J134*$E134))</f>
        <v/>
      </c>
      <c r="M134" s="157">
        <f>IF($A134="","",IF($C134=0,0,MIN(1,$I134/$C134)))</f>
        <v/>
      </c>
    </row>
    <row r="135">
      <c r="A135" s="149" t="inlineStr">
        <is>
          <t>Private Lender</t>
        </is>
      </c>
      <c r="B135" s="139" t="inlineStr">
        <is>
          <t>TRUCK 1</t>
        </is>
      </c>
      <c r="C135" s="150" t="n">
        <v>300000</v>
      </c>
      <c r="D135" s="140" t="n">
        <v>0</v>
      </c>
      <c r="E135" s="150" t="n">
        <v>12500</v>
      </c>
      <c r="F135" s="151" t="n">
        <v>24</v>
      </c>
      <c r="G135" s="152" t="n">
        <v>46023</v>
      </c>
      <c r="H135" s="153">
        <f>IF($A135="","",COUNTIFS(Expenses!$B$5:$B$1004,"Loan Payment",Expenses!$E$5:$E$1004,$A135))</f>
        <v/>
      </c>
      <c r="I135" s="154">
        <f>IF($A135="","",SUMIFS(Expenses!$F$5:$F$1004,Expenses!$B$5:$B$1004,"Loan Payment",Expenses!$E$5:$E$1004,$A135))</f>
        <v/>
      </c>
      <c r="J135" s="153">
        <f>IF($A135="","",MAX(0,$F135-$H135))</f>
        <v/>
      </c>
      <c r="K135" s="155">
        <f>IF($A135="","",MAX(0,$C135-$I135))</f>
        <v/>
      </c>
      <c r="L135" s="156">
        <f>IF($A135="","",MAX(0,$J135*$E135))</f>
        <v/>
      </c>
      <c r="M135" s="157">
        <f>IF($A135="","",IF($C135=0,0,MIN(1,$I135/$C135)))</f>
        <v/>
      </c>
    </row>
    <row r="136">
      <c r="A136" s="158" t="inlineStr"/>
      <c r="B136" s="142" t="inlineStr"/>
      <c r="C136" s="159" t="n"/>
      <c r="D136" s="143" t="n"/>
      <c r="E136" s="159" t="n"/>
      <c r="F136" s="160" t="n"/>
      <c r="G136" s="161" t="n"/>
      <c r="H136" s="153">
        <f>IF($A136="","",COUNTIFS(Expenses!$B$5:$B$1004,"Loan Payment",Expenses!$E$5:$E$1004,$A136))</f>
        <v/>
      </c>
      <c r="I136" s="154">
        <f>IF($A136="","",SUMIFS(Expenses!$F$5:$F$1004,Expenses!$B$5:$B$1004,"Loan Payment",Expenses!$E$5:$E$1004,$A136))</f>
        <v/>
      </c>
      <c r="J136" s="153">
        <f>IF($A136="","",MAX(0,$F136-$H136))</f>
        <v/>
      </c>
      <c r="K136" s="155">
        <f>IF($A136="","",MAX(0,$C136-$I136))</f>
        <v/>
      </c>
      <c r="L136" s="156">
        <f>IF($A136="","",MAX(0,$J136*$E136))</f>
        <v/>
      </c>
      <c r="M136" s="157">
        <f>IF($A136="","",IF($C136=0,0,MIN(1,$I136/$C136)))</f>
        <v/>
      </c>
    </row>
    <row r="137">
      <c r="A137" s="149" t="inlineStr"/>
      <c r="B137" s="139" t="inlineStr"/>
      <c r="C137" s="150" t="n"/>
      <c r="D137" s="140" t="n"/>
      <c r="E137" s="150" t="n"/>
      <c r="F137" s="151" t="n"/>
      <c r="G137" s="152" t="n"/>
      <c r="H137" s="153">
        <f>IF($A137="","",COUNTIFS(Expenses!$B$5:$B$1004,"Loan Payment",Expenses!$E$5:$E$1004,$A137))</f>
        <v/>
      </c>
      <c r="I137" s="154">
        <f>IF($A137="","",SUMIFS(Expenses!$F$5:$F$1004,Expenses!$B$5:$B$1004,"Loan Payment",Expenses!$E$5:$E$1004,$A137))</f>
        <v/>
      </c>
      <c r="J137" s="153">
        <f>IF($A137="","",MAX(0,$F137-$H137))</f>
        <v/>
      </c>
      <c r="K137" s="155">
        <f>IF($A137="","",MAX(0,$C137-$I137))</f>
        <v/>
      </c>
      <c r="L137" s="156">
        <f>IF($A137="","",MAX(0,$J137*$E137))</f>
        <v/>
      </c>
      <c r="M137" s="157">
        <f>IF($A137="","",IF($C137=0,0,MIN(1,$I137/$C137)))</f>
        <v/>
      </c>
    </row>
    <row r="138">
      <c r="A138" s="158" t="inlineStr"/>
      <c r="B138" s="142" t="inlineStr"/>
      <c r="C138" s="159" t="n"/>
      <c r="D138" s="143" t="n"/>
      <c r="E138" s="159" t="n"/>
      <c r="F138" s="160" t="n"/>
      <c r="G138" s="161" t="n"/>
      <c r="H138" s="153">
        <f>IF($A138="","",COUNTIFS(Expenses!$B$5:$B$1004,"Loan Payment",Expenses!$E$5:$E$1004,$A138))</f>
        <v/>
      </c>
      <c r="I138" s="154">
        <f>IF($A138="","",SUMIFS(Expenses!$F$5:$F$1004,Expenses!$B$5:$B$1004,"Loan Payment",Expenses!$E$5:$E$1004,$A138))</f>
        <v/>
      </c>
      <c r="J138" s="153">
        <f>IF($A138="","",MAX(0,$F138-$H138))</f>
        <v/>
      </c>
      <c r="K138" s="155">
        <f>IF($A138="","",MAX(0,$C138-$I138))</f>
        <v/>
      </c>
      <c r="L138" s="156">
        <f>IF($A138="","",MAX(0,$J138*$E138))</f>
        <v/>
      </c>
      <c r="M138" s="157">
        <f>IF($A138="","",IF($C138=0,0,MIN(1,$I138/$C138)))</f>
        <v/>
      </c>
    </row>
    <row r="139">
      <c r="A139" s="9" t="inlineStr">
        <is>
          <t>Remaining Balance = principal less everything already paid (cash view). Remaining Obligation = months left × amortisation = what you still have to produce in cash.</t>
        </is>
      </c>
    </row>
    <row r="143" ht="22" customHeight="1">
      <c r="A143" s="119" t="inlineStr">
        <is>
          <t>8 · DESTINATION LIST  (feeds the dashboard ranking — add a name when you open a new lane)</t>
        </is>
      </c>
    </row>
    <row r="144" ht="28" customHeight="1">
      <c r="A144" s="127" t="inlineStr">
        <is>
          <t>DESTINATION (as typed in Trips)</t>
        </is>
      </c>
      <c r="B144" s="127" t="inlineStr">
        <is>
          <t>SOURCE (as typed in Trips)</t>
        </is>
      </c>
    </row>
    <row r="145">
      <c r="A145" s="162" t="inlineStr">
        <is>
          <t>ARMOR</t>
        </is>
      </c>
    </row>
    <row r="146">
      <c r="A146" s="163" t="inlineStr">
        <is>
          <t>BATAAN</t>
        </is>
      </c>
    </row>
    <row r="147">
      <c r="A147" s="162" t="inlineStr">
        <is>
          <t>BATAAN EXTERNAL WHSE</t>
        </is>
      </c>
    </row>
    <row r="148">
      <c r="A148" s="163" t="inlineStr">
        <is>
          <t>BMEG BATAAN</t>
        </is>
      </c>
    </row>
    <row r="149">
      <c r="A149" s="162" t="inlineStr">
        <is>
          <t>BMPP</t>
        </is>
      </c>
    </row>
    <row r="150">
      <c r="A150" s="163" t="inlineStr">
        <is>
          <t>BULACAN</t>
        </is>
      </c>
    </row>
    <row r="151">
      <c r="A151" s="162" t="inlineStr">
        <is>
          <t>CAPAS</t>
        </is>
      </c>
    </row>
    <row r="152">
      <c r="A152" s="163" t="inlineStr">
        <is>
          <t>IBAAN EXT.</t>
        </is>
      </c>
    </row>
    <row r="153">
      <c r="A153" s="162" t="inlineStr">
        <is>
          <t>ISABELA</t>
        </is>
      </c>
    </row>
    <row r="154">
      <c r="A154" s="163" t="inlineStr">
        <is>
          <t>MASAYA EXT.</t>
        </is>
      </c>
    </row>
    <row r="155">
      <c r="A155" s="162" t="inlineStr">
        <is>
          <t>MONCADA</t>
        </is>
      </c>
    </row>
    <row r="156">
      <c r="A156" s="163" t="inlineStr">
        <is>
          <t>ROSALES</t>
        </is>
      </c>
    </row>
    <row r="157">
      <c r="A157" s="162" t="inlineStr">
        <is>
          <t>TARLAC</t>
        </is>
      </c>
    </row>
    <row r="158">
      <c r="A158" s="163" t="inlineStr"/>
    </row>
    <row r="159">
      <c r="A159" s="162" t="inlineStr"/>
    </row>
    <row r="160">
      <c r="A160" s="163" t="inlineStr"/>
    </row>
    <row r="161">
      <c r="A161" s="162" t="inlineStr"/>
    </row>
    <row r="162">
      <c r="A162" s="163" t="inlineStr"/>
    </row>
    <row r="163">
      <c r="A163" s="162" t="inlineStr"/>
    </row>
    <row r="164">
      <c r="A164" s="163" t="inlineStr"/>
    </row>
    <row r="166" ht="22" customHeight="1">
      <c r="A166" s="119" t="inlineStr">
        <is>
          <t>9 · OTHER LISTS</t>
        </is>
      </c>
    </row>
    <row r="167" ht="28" customHeight="1">
      <c r="A167" s="127" t="inlineStr">
        <is>
          <t>PAYMENT METHOD</t>
        </is>
      </c>
      <c r="B167" s="127" t="inlineStr">
        <is>
          <t>STATUS</t>
        </is>
      </c>
      <c r="C167" s="127" t="inlineStr">
        <is>
          <t>SOURCE (dropdown on Trips)</t>
        </is>
      </c>
    </row>
    <row r="168">
      <c r="A168" s="164" t="inlineStr">
        <is>
          <t>Cash</t>
        </is>
      </c>
      <c r="B168" s="165" t="inlineStr">
        <is>
          <t>Active</t>
        </is>
      </c>
      <c r="C168" s="164" t="inlineStr">
        <is>
          <t>BATAAN</t>
        </is>
      </c>
    </row>
    <row r="169">
      <c r="A169" s="164" t="inlineStr">
        <is>
          <t>GCash</t>
        </is>
      </c>
      <c r="B169" s="165" t="inlineStr">
        <is>
          <t>Active</t>
        </is>
      </c>
      <c r="C169" s="164" t="inlineStr">
        <is>
          <t>ORION</t>
        </is>
      </c>
    </row>
    <row r="170">
      <c r="A170" s="164" t="inlineStr">
        <is>
          <t>Bank Transfer</t>
        </is>
      </c>
      <c r="B170" s="165" t="inlineStr">
        <is>
          <t>Active</t>
        </is>
      </c>
      <c r="C170" s="164" t="inlineStr">
        <is>
          <t>MABINI, BATANGAS</t>
        </is>
      </c>
    </row>
    <row r="171">
      <c r="A171" s="164" t="inlineStr">
        <is>
          <t>Check</t>
        </is>
      </c>
      <c r="B171" s="165" t="inlineStr">
        <is>
          <t>Active</t>
        </is>
      </c>
      <c r="C171" s="164" t="inlineStr">
        <is>
          <t>OTHER</t>
        </is>
      </c>
    </row>
  </sheetData>
  <mergeCells count="53">
    <mergeCell ref="C110:F110"/>
    <mergeCell ref="C17:F17"/>
    <mergeCell ref="C119:F119"/>
    <mergeCell ref="C106:F106"/>
    <mergeCell ref="C122:F122"/>
    <mergeCell ref="B8:D8"/>
    <mergeCell ref="A74:L74"/>
    <mergeCell ref="C125:F125"/>
    <mergeCell ref="A12:L12"/>
    <mergeCell ref="B10:D10"/>
    <mergeCell ref="C13:F13"/>
    <mergeCell ref="C111:F111"/>
    <mergeCell ref="C102:F102"/>
    <mergeCell ref="A139:L139"/>
    <mergeCell ref="C101:F101"/>
    <mergeCell ref="B9:D9"/>
    <mergeCell ref="C15:F15"/>
    <mergeCell ref="A97:L97"/>
    <mergeCell ref="C108:F108"/>
    <mergeCell ref="C104:F104"/>
    <mergeCell ref="B6:D6"/>
    <mergeCell ref="C107:F107"/>
    <mergeCell ref="C14:F14"/>
    <mergeCell ref="A4:L4"/>
    <mergeCell ref="C116:F116"/>
    <mergeCell ref="A131:L131"/>
    <mergeCell ref="C126:F126"/>
    <mergeCell ref="B5:D5"/>
    <mergeCell ref="A1:M1"/>
    <mergeCell ref="C128:F128"/>
    <mergeCell ref="A19:L19"/>
    <mergeCell ref="C113:F113"/>
    <mergeCell ref="C16:F16"/>
    <mergeCell ref="C100:F100"/>
    <mergeCell ref="C112:F112"/>
    <mergeCell ref="C103:F103"/>
    <mergeCell ref="C109:F109"/>
    <mergeCell ref="C121:F121"/>
    <mergeCell ref="B7:D7"/>
    <mergeCell ref="C117:F117"/>
    <mergeCell ref="C99:F99"/>
    <mergeCell ref="A143:L143"/>
    <mergeCell ref="C127:F127"/>
    <mergeCell ref="C124:F124"/>
    <mergeCell ref="C118:F118"/>
    <mergeCell ref="A166:L166"/>
    <mergeCell ref="C114:F114"/>
    <mergeCell ref="C105:F105"/>
    <mergeCell ref="A61:L61"/>
    <mergeCell ref="C115:F115"/>
    <mergeCell ref="C120:F120"/>
    <mergeCell ref="A2:M2"/>
    <mergeCell ref="C123:F123"/>
  </mergeCells>
  <pageMargins left="0.75" right="0.75" top="1" bottom="1" header="0.5" footer="0.5"/>
</worksheet>
</file>

<file path=xl/worksheets/sheet6.xml><?xml version="1.0" encoding="utf-8"?>
<worksheet xmlns="http://schemas.openxmlformats.org/spreadsheetml/2006/main">
  <sheetPr>
    <tabColor rgb="00667085"/>
    <outlinePr summaryBelow="1" summaryRight="1"/>
    <pageSetUpPr/>
  </sheetPr>
  <dimension ref="A1:D56"/>
  <sheetViews>
    <sheetView showGridLines="0" workbookViewId="0">
      <selection activeCell="A1" sqref="A1"/>
    </sheetView>
  </sheetViews>
  <sheetFormatPr baseColWidth="8" defaultRowHeight="15"/>
  <cols>
    <col width="2" customWidth="1" min="1" max="1"/>
    <col width="3" customWidth="1" min="2" max="2"/>
    <col width="100" customWidth="1" min="3" max="3"/>
    <col width="2" customWidth="1" min="4" max="4"/>
  </cols>
  <sheetData>
    <row r="1" ht="42" customHeight="1">
      <c r="A1" s="78" t="inlineStr">
        <is>
          <t>📘  READ ME  —  how this workbook runs your trucking business</t>
        </is>
      </c>
    </row>
    <row r="2" ht="20" customHeight="1">
      <c r="A2" s="79" t="inlineStr">
        <is>
          <t>5-minute setup, then 30 seconds per trip. Written for one truck today and ten trucks later.</t>
        </is>
      </c>
    </row>
    <row r="4" ht="24" customHeight="1">
      <c r="B4" s="103" t="inlineStr">
        <is>
          <t>1 · WHAT THIS WORKBOOK DOES</t>
        </is>
      </c>
    </row>
    <row r="5" ht="28.4" customHeight="1">
      <c r="B5" s="166" t="inlineStr">
        <is>
          <t>It answers four questions every single day: Did this trip make money? Did this month make money? What do I still owe the crew? What do I still owe the bank?</t>
        </is>
      </c>
    </row>
    <row r="6" ht="40.59999999999999" customHeight="1">
      <c r="B6" s="166" t="inlineStr">
        <is>
          <t>You type trips and receipts. The workbook computes the hauling fee from your rate table, adds the fuel surcharge, withholds the 2% tax, computes the driver's and helper's share, deducts fuel / toll / allowance / reimbursables, and rolls everything up into a profit &amp; loss, a per-truck result, a loan book and payroll.</t>
        </is>
      </c>
    </row>
    <row r="7" ht="6" customHeight="1"/>
    <row r="8" ht="24" customHeight="1">
      <c r="B8" s="103" t="inlineStr">
        <is>
          <t>2 · THE THREE RULES</t>
        </is>
      </c>
    </row>
    <row r="9" ht="113.8" customHeight="1">
      <c r="B9" s="166" t="inlineStr">
        <is>
          <t>①  SETUP is filled once — rates, crew, trucks, loans, expense types.
②  TRIPS = one row per delivery.  EXPENSES = one row per receipt.
③  Never type a number that the workbook can compute. White columns are yours, grey columns are mine.
④  Type in plain words. The dropdowns are only suggestions — nothing is blocked, and an expense is filed by its wording: diesel / krudo / fuel / toll / tire / repair / insurance / lto → VEHICLE; loan / amortization → FINANCING; advance / payout / release / reimbursement → TRANSFER (not a cost); rent / upa / sweldo / kuryente / office / bank → OVERHEAD; draw / owner / asset → OTHER. Anything unrecognised is counted as OVERHEAD and shown amber so no peso goes missing.</t>
        </is>
      </c>
    </row>
    <row r="10" ht="6" customHeight="1"/>
    <row r="11" ht="24" customHeight="1">
      <c r="B11" s="103" t="inlineStr">
        <is>
          <t>3 · THE SHEETS</t>
        </is>
      </c>
    </row>
    <row r="12" ht="40.59999999999999" customHeight="1">
      <c r="B12" s="167" t="inlineStr">
        <is>
          <t>▪  DASHBOARD
Read-only. Two filters at the top (month + truck) drive the whole page: 12 KPI cards, 4 charts, the P&amp;L, per-truck result, loan book, destination ranking and the crew settlement.</t>
        </is>
      </c>
    </row>
    <row r="13" ht="40.59999999999999" customHeight="1">
      <c r="B13" s="167" t="inlineStr">
        <is>
          <t>▪  TRIPS
The only sheet you touch daily. Date, invoice #, truck, driver, helper, source, destination, tons and the actual cash you spent per trip. Everything else in that row is computed.</t>
        </is>
      </c>
    </row>
    <row r="14" ht="40.59999999999999" customHeight="1">
      <c r="B14" s="167" t="inlineStr">
        <is>
          <t>▪  EXPENSES
One row per receipt: fuel, repairs, tires, insurance, LTO, rent, utilities, loan amortisation, cash advances, payroll releases, owner's draw.</t>
        </is>
      </c>
    </row>
    <row r="15" ht="40.59999999999999" customHeight="1">
      <c r="B15" s="167" t="inlineStr">
        <is>
          <t>▪  PAYROLL
Fully automatic, monthly, one block per month, one row per crew member. Salary = the share earned on every trip. It also clears cash advances and payouts so you know the real balance per person.</t>
        </is>
      </c>
    </row>
    <row r="16" ht="40.59999999999999" customHeight="1">
      <c r="B16" s="167" t="inlineStr">
        <is>
          <t>▪  SETUP
Your master data: business profile, tax/surcharge/share percentages, the J&amp;Z rate table, trucks, crew, expense types, loans and the dropdown lists.</t>
        </is>
      </c>
    </row>
    <row r="17" ht="28.4" customHeight="1">
      <c r="B17" s="167" t="inlineStr">
        <is>
          <t>▪  CALC
Hidden engine. Do not edit, do not delete — it holds the totals the dashboard reads.</t>
        </is>
      </c>
    </row>
    <row r="18" ht="6" customHeight="1"/>
    <row r="19" ht="24" customHeight="1">
      <c r="B19" s="103" t="inlineStr">
        <is>
          <t>4 · HOW THE HAULING FEE IS COMPUTED (matches your J&amp;Z rate sheet)</t>
        </is>
      </c>
    </row>
    <row r="20" ht="126" customHeight="1">
      <c r="B20" s="167" t="inlineStr">
        <is>
          <t>RATE  =  the amount on your J&amp;Z Bulk Rate sheet for that source → destination, in ₱ per TON.
GROSS FEE  =  TONS  ×  RATE  ×  ( 1 + FUEL SURCHARGE ).  The surcharge defaults to 18% from Setup §2; type a different % on a single trip (for example 20%) and only that trip changes.
2% TAX  =  GROSS FEE × 2%, withheld by the client.
NET FEE  =  GROSS FEE − 2% TAX.  This is the base for the crew shares.
DRIVER  =  NET FEE × 10%     HELPER  =  NET FEE × 5%
The percentages live in Setup §2 and can be overridden per person in Setup §5 (leave the % blank to use the default).</t>
        </is>
      </c>
    </row>
    <row r="21" ht="28.4" customHeight="1">
      <c r="B21" s="168" t="inlineStr">
        <is>
          <t>Example — BATAAN → BMPP at ₱950/ton, 20 tons:  950 × 20 = 19,000  × 1.18 = ₱22,420 gross.  Tax 2% = ₱448.40  →  net ₱21,971.60.  Driver 10% = ₱2,197.16, helper 5% = ₱1,098.58.</t>
        </is>
      </c>
    </row>
    <row r="22" ht="6" customHeight="1"/>
    <row r="23" ht="24" customHeight="1">
      <c r="B23" s="103" t="inlineStr">
        <is>
          <t>5 · WHAT COUNTS AS A COST (and what does not)</t>
        </is>
      </c>
    </row>
    <row r="24" ht="28.4" customHeight="1">
      <c r="B24" s="166" t="inlineStr">
        <is>
          <t>Trip profit  =  GROSS FEE − 2% TAX − driver share − helper share − allowance − reimbursables − fuel − toll &amp; parking − other trip cost.</t>
        </is>
      </c>
    </row>
    <row r="25" ht="28.4" customHeight="1">
      <c r="B25" s="166" t="inlineStr">
        <is>
          <t>Operating profit  =  trip profit (all trips in the month)  −  booked Vehicle expenses  −  booked Overhead expenses.    Cash profit after loans  =  operating profit  −  loan amortisation actually paid.</t>
        </is>
      </c>
    </row>
    <row r="26" ht="40.59999999999999" customHeight="1">
      <c r="B26" s="167" t="inlineStr">
        <is>
          <t>NOT costs: cash advances, payroll payouts, reimbursable payouts, owner's draw and asset purchases. They are money moving between your pocket and your crew — the real cost was already booked when the trip or the receipt was logged. They are grouped as TRANSFER / OTHER so they never inflate your expenses.</t>
        </is>
      </c>
    </row>
    <row r="27" ht="52.8" customHeight="1">
      <c r="B27" s="169" t="inlineStr">
        <is>
          <t>FUEL — one peso, one place.  Per-trip diesel and toll go in the TRIPS sheet (columns FUEL and TOLL). EXPENSES only ever takes diesel that was delivered in bulk to your own tank, typed as ‘Fuel – Bulk Purchase’. There is no ‘Fuel – Trip’ expense type any more, precisely so the same liters cannot be counted twice. If you ever type fuel into Expenses by hand, the Dashboard shows a red warning above the KPI cards.</t>
        </is>
      </c>
    </row>
    <row r="28" ht="6" customHeight="1"/>
    <row r="29" ht="24" customHeight="1">
      <c r="B29" s="103" t="inlineStr">
        <is>
          <t>6 · YOUR ROUTINE</t>
        </is>
      </c>
    </row>
    <row r="30" ht="126" customHeight="1">
      <c r="B30" s="167" t="inlineStr">
        <is>
          <t>•  EVERY TRIP (30 seconds): Trips → new row → date, invoice #, truck, driver, helper, source, destination, tons, allowance, fuel, toll. Done — fee, tax, shares and profit appear by themselves.
•  EVERY RECEIPT: Expenses → new row → date, type, description, truck, paid to, amount, method, receipt Y/N.
•  EVERY PAYDAY: log the release in Expenses with type ‘Payroll Payout’ and the crew name in PAID TO. Payroll clears the balance automatically. Cash advances work the same way with ‘Cash Advance’.
•  MONTHLY: open the Dashboard, set MONTH, read the P&amp;L, check ‘Cash profit after loans’. If it is positive you can service the loans and still keep money. Then check STILL TO PAY CREW and UNPAID INVOICES, and collect.</t>
        </is>
      </c>
    </row>
    <row r="31" ht="6" customHeight="1"/>
    <row r="32" ht="24" customHeight="1">
      <c r="B32" s="103" t="inlineStr">
        <is>
          <t>7 · GROWING THE BUSINESS</t>
        </is>
      </c>
    </row>
    <row r="33" ht="28.4" customHeight="1">
      <c r="B33" s="167" t="inlineStr">
        <is>
          <t>▪  New truck  —  Setup §4 → add a row (name, plate, capacity, status, driver). It appears in every dropdown, on the dashboard truck table and in the charts — no formula edits.</t>
        </is>
      </c>
    </row>
    <row r="34" ht="28.4" customHeight="1">
      <c r="B34" s="167" t="inlineStr">
        <is>
          <t>▪  New driver / helper  —  Setup §5 → add name + role. Leave SHARE % blank to inherit 10% / 5%. Payroll picks it up for every month automatically.</t>
        </is>
      </c>
    </row>
    <row r="35" ht="40.59999999999999" customHeight="1">
      <c r="B35" s="167" t="inlineStr">
        <is>
          <t>▪  New destination  —  Setup §3 → add one row: SOURCE, DESTINATION, RATE. Also add the destination to Setup §8 so it appears in the ranking. Trips resolves the rate by source + destination; if the lane is one-way it still matches on destination alone.</t>
        </is>
      </c>
    </row>
    <row r="36" ht="28.4" customHeight="1">
      <c r="B36" s="167" t="inlineStr">
        <is>
          <t>▪  Your own expense words  —  Just type them — the keyword map files them automatically. Add the exact wording to Setup §6 when you want a 100% exact match (it also becomes a dropdown suggestion).</t>
        </is>
      </c>
    </row>
    <row r="37" ht="28.4" customHeight="1">
      <c r="B37" s="167" t="inlineStr">
        <is>
          <t>▪  New loan  —  Setup §7 → lender, truck, principal, rate, monthly amortisation, term, start date. Payments are counted from the Expenses sheet the moment you log them as ‘Loan Payment’ with that lender in PAID TO.</t>
        </is>
      </c>
    </row>
    <row r="38" ht="28.4" customHeight="1">
      <c r="B38" s="167" t="inlineStr">
        <is>
          <t>▪  New year  —  Copy the last month block on the Payroll sheet and change the hidden month key in column R. The dashboard month list already covers 24 months.</t>
        </is>
      </c>
    </row>
    <row r="39" ht="6" customHeight="1"/>
    <row r="40" ht="24" customHeight="1">
      <c r="B40" s="103" t="inlineStr">
        <is>
          <t>8 · USING IT IN GOOGLE SHEETS</t>
        </is>
      </c>
    </row>
    <row r="41" ht="28.4" customHeight="1">
      <c r="B41" s="166" t="inlineStr">
        <is>
          <t>File → Import → Upload → select this file → Import location: ‘Replace spreadsheet’. Formulas, dropdowns, conditional colours and the dashboard all convert. Two things behave differently:</t>
        </is>
      </c>
    </row>
    <row r="42" ht="52.8" customHeight="1">
      <c r="B42" s="167" t="inlineStr">
        <is>
          <t>•  Charts: Google Sheets re-draws them on import. If a series arrives empty, click the chart → three dots → Edit chart → re-pick the range on the Calc tab.
•  The month filter: if the dropdown does not survive the import, type the date in the MONTH cell (any day of the month works — it snaps to the 1st).</t>
        </is>
      </c>
    </row>
    <row r="43" ht="16.2" customHeight="1">
      <c r="B43" s="170" t="inlineStr">
        <is>
          <t>Tip: keep the Calc tab hidden (right-click → Hide sheet). Deleting it breaks the dashboard.</t>
        </is>
      </c>
    </row>
    <row r="44" ht="6" customHeight="1"/>
    <row r="45" ht="24" customHeight="1">
      <c r="B45" s="103" t="inlineStr">
        <is>
          <t>9 · IF SOMETHING LOOKS WRONG</t>
        </is>
      </c>
    </row>
    <row r="46" ht="40.59999999999999" customHeight="1">
      <c r="B46" s="167" t="inlineStr">
        <is>
          <t>▪  ‘NO RATE’ in the RATE / TON column
     →  That destination is not in Setup §3, or the spelling differs. Pick the destination from the dropdown, or add the lane to the rate table.</t>
        </is>
      </c>
    </row>
    <row r="47" ht="40.59999999999999" customHeight="1">
      <c r="B47" s="167" t="inlineStr">
        <is>
          <t>▪  A COST GROUP cell is amber
     →  That expense type is not listed in Setup §6, so the group was guessed from the wording (it is still counted). Add the exact wording to Setup §6 to file it precisely.</t>
        </is>
      </c>
    </row>
    <row r="48" ht="28.4" customHeight="1">
      <c r="B48" s="167" t="inlineStr">
        <is>
          <t>▪  A crew member has no pay
     →  The name in the trip must match Setup §5 exactly (use the dropdown).</t>
        </is>
      </c>
    </row>
    <row r="49" ht="28.4" customHeight="1">
      <c r="B49" s="167" t="inlineStr">
        <is>
          <t>▪  A trip shows no allowance
     →  Blank allowance uses the default in Setup §2 — type 0 if no allowance was given.</t>
        </is>
      </c>
    </row>
    <row r="50" ht="40.59999999999999" customHeight="1">
      <c r="B50" s="167" t="inlineStr">
        <is>
          <t>▪  A cost is missing from the P&amp;L
     →  Check its COST GROUP: Transfer and Other are deliberately excluded from profit.</t>
        </is>
      </c>
    </row>
    <row r="51" ht="40.59999999999999" customHeight="1">
      <c r="B51" s="167" t="inlineStr">
        <is>
          <t>▪  A red warning about fuel on the Dashboard
     →  Fuel is booked twice. Per-trip diesel belongs in Trips only; Expenses is for bulk tank deliveries. Delete the duplicate rows and the warning disappears.</t>
        </is>
      </c>
    </row>
    <row r="52" ht="40.59999999999999" customHeight="1">
      <c r="B52" s="167" t="inlineStr">
        <is>
          <t>▪  A crew member still shows a balance
     →  The payout or advance must carry that person's name in PAID TO/CREDITOR.</t>
        </is>
      </c>
    </row>
    <row r="53" ht="6" customHeight="1"/>
    <row r="54" ht="24" customHeight="1">
      <c r="B54" s="103" t="inlineStr">
        <is>
          <t>10 · IMPORTANT</t>
        </is>
      </c>
    </row>
    <row r="55" ht="40.59999999999999" customHeight="1">
      <c r="B55" s="169" t="inlineStr">
        <is>
          <t>The workbook opens with 45 sample trips and 29 sample expenses so you can see the dashboard working. Before you start for real, delete the sample rows (select the filled rows on Trips and on Expenses → right-click → Delete rows / Clear contents) — or keep one month as a reference and delete the rest.</t>
        </is>
      </c>
    </row>
    <row r="56" ht="28.4" customHeight="1">
      <c r="B56" s="171" t="inlineStr">
        <is>
          <t>Log every peso. A trucking business rarely fails because of the rate — it fails because the diesel, the toll and the 5% helper share were never written down.</t>
        </is>
      </c>
    </row>
  </sheetData>
  <mergeCells count="46">
    <mergeCell ref="B11:D11"/>
    <mergeCell ref="B42:D42"/>
    <mergeCell ref="B14:D14"/>
    <mergeCell ref="B23:D23"/>
    <mergeCell ref="B8:D8"/>
    <mergeCell ref="B17:D17"/>
    <mergeCell ref="B13:D13"/>
    <mergeCell ref="B29:D29"/>
    <mergeCell ref="B38:D38"/>
    <mergeCell ref="B34:D34"/>
    <mergeCell ref="B19:D19"/>
    <mergeCell ref="B37:D37"/>
    <mergeCell ref="B49:D49"/>
    <mergeCell ref="B40:D40"/>
    <mergeCell ref="B9:D9"/>
    <mergeCell ref="B30:D30"/>
    <mergeCell ref="B15:D15"/>
    <mergeCell ref="B55:D55"/>
    <mergeCell ref="B6:D6"/>
    <mergeCell ref="B24:D24"/>
    <mergeCell ref="B51:D51"/>
    <mergeCell ref="B20:D20"/>
    <mergeCell ref="B33:D33"/>
    <mergeCell ref="A1:D1"/>
    <mergeCell ref="B5:D5"/>
    <mergeCell ref="B36:D36"/>
    <mergeCell ref="B45:D45"/>
    <mergeCell ref="B41:D41"/>
    <mergeCell ref="B32:D32"/>
    <mergeCell ref="B4:D4"/>
    <mergeCell ref="B35:D35"/>
    <mergeCell ref="B26:D26"/>
    <mergeCell ref="B50:D50"/>
    <mergeCell ref="B25:D25"/>
    <mergeCell ref="B47:D47"/>
    <mergeCell ref="B16:D16"/>
    <mergeCell ref="B54:D54"/>
    <mergeCell ref="B46:D46"/>
    <mergeCell ref="B27:D27"/>
    <mergeCell ref="B56:D56"/>
    <mergeCell ref="B52:D52"/>
    <mergeCell ref="B21:D21"/>
    <mergeCell ref="A2:D2"/>
    <mergeCell ref="B43:D43"/>
    <mergeCell ref="B12:D12"/>
    <mergeCell ref="B48:D48"/>
  </mergeCells>
  <pageMargins left="0.75" right="0.75" top="1" bottom="1" header="0.5" footer="0.5"/>
</worksheet>
</file>

<file path=xl/worksheets/sheet7.xml><?xml version="1.0" encoding="utf-8"?>
<worksheet xmlns="http://schemas.openxmlformats.org/spreadsheetml/2006/main">
  <sheetPr>
    <tabColor rgb="00D5DBE1"/>
    <outlinePr summaryBelow="1" summaryRight="1"/>
    <pageSetUpPr/>
  </sheetPr>
  <dimension ref="A1:AB100"/>
  <sheetViews>
    <sheetView showGridLines="0" workbookViewId="0">
      <selection activeCell="A1" sqref="A1"/>
    </sheetView>
  </sheetViews>
  <sheetFormatPr baseColWidth="8" defaultRowHeight="15"/>
  <sheetData>
    <row r="1">
      <c r="A1" s="172" t="inlineStr">
        <is>
          <t>CALC — engine sheet (do not edit, do not delete)</t>
        </is>
      </c>
      <c r="AA1" s="173" t="inlineStr">
        <is>
          <t>MONTH LIST (dropdown)</t>
        </is>
      </c>
      <c r="AB1" s="174" t="inlineStr">
        <is>
          <t>All</t>
        </is>
      </c>
    </row>
    <row r="2">
      <c r="A2" s="175" t="inlineStr">
        <is>
          <t>Every dashboard number is computed from here — the two filters are typed on the Dashboard.</t>
        </is>
      </c>
      <c r="AA2" s="176">
        <f>$A$23</f>
        <v/>
      </c>
      <c r="AB2" s="174">
        <f>IF(Setup!$A$63="","",Setup!$A$63)</f>
        <v/>
      </c>
    </row>
    <row r="3">
      <c r="A3" s="177" t="inlineStr">
        <is>
          <t>Selected month</t>
        </is>
      </c>
      <c r="B3" s="178">
        <f>IF(Dashboard!$C$4="","",DATE(YEAR(Dashboard!$C$4),MONTH(Dashboard!$C$4),1))</f>
        <v/>
      </c>
      <c r="AA3" s="176">
        <f>$A$24</f>
        <v/>
      </c>
      <c r="AB3" s="174">
        <f>IF(Setup!$A$64="","",Setup!$A$64)</f>
        <v/>
      </c>
    </row>
    <row r="4">
      <c r="A4" s="177" t="inlineStr">
        <is>
          <t>Selected truck</t>
        </is>
      </c>
      <c r="B4" s="179">
        <f>Dashboard!$F$4</f>
        <v/>
      </c>
      <c r="AA4" s="176">
        <f>$A$25</f>
        <v/>
      </c>
      <c r="AB4" s="174">
        <f>IF(Setup!$A$65="","",Setup!$A$65)</f>
        <v/>
      </c>
    </row>
    <row r="5">
      <c r="Q5" s="180" t="inlineStr">
        <is>
          <t>P&amp;L — selected month (filtered)</t>
        </is>
      </c>
      <c r="R5" s="180" t="inlineStr">
        <is>
          <t>LINE</t>
        </is>
      </c>
      <c r="X5" s="93" t="inlineStr">
        <is>
          <t>fuel rows typed in Expenses this month (not bulk)</t>
        </is>
      </c>
      <c r="Y5" s="181">
        <f>SUMIFS(Expenses!$M5:$M1004,Expenses!$J5:$J1004,$B$3)</f>
        <v/>
      </c>
      <c r="AA5" s="176">
        <f>$A$26</f>
        <v/>
      </c>
      <c r="AB5" s="174">
        <f>IF(Setup!$A$66="","",Setup!$A$66)</f>
        <v/>
      </c>
    </row>
    <row r="6">
      <c r="A6" s="182" t="inlineStr">
        <is>
          <t>KEY FIGURES (read by the dashboard)</t>
        </is>
      </c>
      <c r="B6" s="183" t="inlineStr"/>
      <c r="C6" s="180" t="inlineStr">
        <is>
          <t>KPI</t>
        </is>
      </c>
      <c r="D6" s="183" t="inlineStr"/>
      <c r="E6" s="183" t="inlineStr"/>
      <c r="F6" s="183" t="inlineStr"/>
      <c r="X6" s="93" t="inlineStr">
        <is>
          <t>fuel booked in Expenses this month</t>
        </is>
      </c>
      <c r="Y6" s="184">
        <f>SUMIFS(Expenses!$F5:$F1004,Expenses!$N5:$N1004,1,Expenses!$J5:$J1004,$B$3)</f>
        <v/>
      </c>
      <c r="AA6" s="176">
        <f>$A$27</f>
        <v/>
      </c>
      <c r="AB6" s="174">
        <f>IF(Setup!$A$67="","",Setup!$A$67)</f>
        <v/>
      </c>
    </row>
    <row r="7">
      <c r="B7" s="185">
        <f>IF($B$4="All",SUMIFS(Trips!$K5:$K1004,Trips!$Z5:$Z1004,$B$3),SUMIFS(Trips!$K5:$K1004,Trips!$Z5:$Z1004,$B$3,Trips!$C5:$C1004,$B$4))</f>
        <v/>
      </c>
      <c r="C7" s="186" t="inlineStr">
        <is>
          <t>Revenue — selected month</t>
        </is>
      </c>
      <c r="Q7" s="187">
        <f>IF($B$4="All",SUMIFS(Trips!$K5:$K1004,Trips!$Z5:$Z1004,$B$3),SUMIFS(Trips!$K5:$K1004,Trips!$Z5:$Z1004,$B$3,Trips!$C5:$C1004,$B$4))</f>
        <v/>
      </c>
      <c r="R7" s="186" t="inlineStr">
        <is>
          <t>Gross hauling fee</t>
        </is>
      </c>
      <c r="X7" s="93" t="inlineStr">
        <is>
          <t>trip fuel booked this month</t>
        </is>
      </c>
      <c r="Y7" s="184">
        <f>SUMIFS(Trips!$R5:$R1004,Trips!$Z5:$Z1004,$B$3)</f>
        <v/>
      </c>
      <c r="AA7" s="176">
        <f>$A$28</f>
        <v/>
      </c>
      <c r="AB7" s="174">
        <f>IF(Setup!$A$68="","",Setup!$A$68)</f>
        <v/>
      </c>
    </row>
    <row r="8">
      <c r="B8" s="185">
        <f>IF($B$4="All",SUMIFS(Trips!$V5:$V1004,Trips!$Z5:$Z1004,$B$3),SUMIFS(Trips!$V5:$V1004,Trips!$Z5:$Z1004,$B$3,Trips!$C5:$C1004,$B$4))</f>
        <v/>
      </c>
      <c r="C8" s="186" t="inlineStr">
        <is>
          <t>Net profit — selected month</t>
        </is>
      </c>
      <c r="Q8" s="187">
        <f>IF($B$4="All",SUMIFS(Trips!$L5:$L1004,Trips!$Z5:$Z1004,$B$3),SUMIFS(Trips!$L5:$L1004,Trips!$Z5:$Z1004,$B$3,Trips!$C5:$C1004,$B$4))</f>
        <v/>
      </c>
      <c r="R8" s="186" t="inlineStr">
        <is>
          <t>Withholding tax (2%)</t>
        </is>
      </c>
      <c r="X8" s="93" t="inlineStr">
        <is>
          <t>expense rows auto-classified this month</t>
        </is>
      </c>
      <c r="AA8" s="176">
        <f>$A$29</f>
        <v/>
      </c>
      <c r="AB8" s="174">
        <f>IF(Setup!$A$69="","",Setup!$A$69)</f>
        <v/>
      </c>
    </row>
    <row r="9">
      <c r="B9" s="188">
        <f>IF($B$7=0,"",$B$8/$B$7)</f>
        <v/>
      </c>
      <c r="C9" s="186" t="inlineStr">
        <is>
          <t>Gross margin — selected month</t>
        </is>
      </c>
      <c r="Q9" s="187">
        <f>Q7-Q8</f>
        <v/>
      </c>
      <c r="R9" s="186" t="inlineStr">
        <is>
          <t>Net hauling fee</t>
        </is>
      </c>
      <c r="Y9" s="181">
        <f>SUMIFS(Expenses!$K5:$K1004,Expenses!$J5:$J1004,$B$3)</f>
        <v/>
      </c>
      <c r="AA9" s="176">
        <f>$A$30</f>
        <v/>
      </c>
      <c r="AB9" s="174">
        <f>IF(Setup!$A$70="","",Setup!$A$70)</f>
        <v/>
      </c>
    </row>
    <row r="10">
      <c r="B10" s="189">
        <f>IF($B$4="All",COUNTIFS(Trips!$Z5:$Z1004,$B$3),COUNTIFS(Trips!$Z5:$Z1004,$B$3,Trips!$C5:$C1004,$B$4))</f>
        <v/>
      </c>
      <c r="C10" s="186" t="inlineStr">
        <is>
          <t>Trips — selected month</t>
        </is>
      </c>
      <c r="Q10" s="187">
        <f>IF($B$4="All",SUMIFS(Trips!$N5:$N1004,Trips!$Z5:$Z1004,$B$3),SUMIFS(Trips!$N5:$N1004,Trips!$Z5:$Z1004,$B$3,Trips!$C5:$C1004,$B$4))</f>
        <v/>
      </c>
      <c r="R10" s="186" t="inlineStr">
        <is>
          <t>Driver share</t>
        </is>
      </c>
      <c r="X10" s="93" t="inlineStr">
        <is>
          <t>guard text</t>
        </is>
      </c>
      <c r="Y10" s="190">
        <f>IF($Y$5&gt;0,"⚠  DOUBLE COUNT RISK — "&amp;$Y$5&amp;" row(s) in EXPENSES are fuel bought for a specific trip. Trip diesel already comes from the Trips sheet: delete those rows, or rename them ‘Fuel – Bulk Purchase’ if it really was a tank delivery.",IF($Y$9&gt;0,"ℹ  "&amp;$Y$9&amp;" expense row(s) this month use a type that is not in Setup §6, so the cost group was guessed from the wording. They are counted — open EXPENSES, check the amber COST GROUP cells, and add the exact wording to Setup §6 if you want it filed precisely.",IF(AND($Y$6&gt;0,$Y$7&gt;0),"ℹ  Both bulk fuel in Expenses (₱"&amp;ROUND($Y$6,0)&amp;") and trip fuel in Trips (₱"&amp;ROUND($Y$7,0)&amp;") are booked this month. That is only correct if they are different liters — see Read Me §5.","")))</f>
        <v/>
      </c>
      <c r="AA10" s="176">
        <f>$A$31</f>
        <v/>
      </c>
      <c r="AB10" s="174">
        <f>IF(Setup!$A$71="","",Setup!$A$71)</f>
        <v/>
      </c>
    </row>
    <row r="11">
      <c r="B11" s="191">
        <f>IF($B$4="All",SUMIFS(Trips!$H5:$H1004,Trips!$Z5:$Z1004,$B$3),SUMIFS(Trips!$H5:$H1004,Trips!$Z5:$Z1004,$B$3,Trips!$C5:$C1004,$B$4))</f>
        <v/>
      </c>
      <c r="C11" s="186" t="inlineStr">
        <is>
          <t>Tons hauled — selected month</t>
        </is>
      </c>
      <c r="Q11" s="187">
        <f>IF($B$4="All",SUMIFS(Trips!$O5:$O1004,Trips!$Z5:$Z1004,$B$3),SUMIFS(Trips!$O5:$O1004,Trips!$Z5:$Z1004,$B$3,Trips!$C5:$C1004,$B$4))</f>
        <v/>
      </c>
      <c r="R11" s="186" t="inlineStr">
        <is>
          <t>Helper share</t>
        </is>
      </c>
      <c r="AA11" s="176">
        <f>$A$32</f>
        <v/>
      </c>
      <c r="AB11" s="174">
        <f>IF(Setup!$A$72="","",Setup!$A$72)</f>
        <v/>
      </c>
    </row>
    <row r="12">
      <c r="B12" s="185">
        <f>IF($B$4="All",SUM(Trips!$K5:$K1004),SUMIFS(Trips!$K5:$K1004,Trips!$C5:$C1004,$B$4))</f>
        <v/>
      </c>
      <c r="C12" s="186" t="inlineStr">
        <is>
          <t>Revenue — all months</t>
        </is>
      </c>
      <c r="Q12" s="187">
        <f>IF($B$4="All",SUMIFS(Trips!$P5:$P1004,Trips!$Z5:$Z1004,$B$3),SUMIFS(Trips!$P5:$P1004,Trips!$Z5:$Z1004,$B$3,Trips!$C5:$C1004,$B$4))</f>
        <v/>
      </c>
      <c r="R12" s="186" t="inlineStr">
        <is>
          <t>Driver allowance</t>
        </is>
      </c>
      <c r="AA12" s="176">
        <f>$A$33</f>
        <v/>
      </c>
    </row>
    <row r="13">
      <c r="B13" s="185">
        <f>IF($B$4="All",SUM(Trips!$V5:$V1004),SUMIFS(Trips!$V5:$V1004,Trips!$C5:$C1004,$B$4))</f>
        <v/>
      </c>
      <c r="C13" s="186" t="inlineStr">
        <is>
          <t>Net profit — all months</t>
        </is>
      </c>
      <c r="Q13" s="187">
        <f>IF($B$4="All",SUMIFS(Trips!$Q5:$Q1004,Trips!$Z5:$Z1004,$B$3),SUMIFS(Trips!$Q5:$Q1004,Trips!$Z5:$Z1004,$B$3,Trips!$C5:$C1004,$B$4))</f>
        <v/>
      </c>
      <c r="R13" s="186" t="inlineStr">
        <is>
          <t>Reimbursable expenses</t>
        </is>
      </c>
      <c r="AA13" s="176">
        <f>$A$34</f>
        <v/>
      </c>
    </row>
    <row r="14">
      <c r="B14" s="185">
        <f>IF($B$4="All",SUMIFS(Trips!$U5:$U1004,Trips!$Z5:$Z1004,$B$3),SUMIFS(Trips!$U5:$U1004,Trips!$Z5:$Z1004,$B$3,Trips!$C5:$C1004,$B$4))</f>
        <v/>
      </c>
      <c r="C14" s="186" t="inlineStr">
        <is>
          <t>Direct cost — selected month</t>
        </is>
      </c>
      <c r="Q14" s="187">
        <f>Q9-Q10-Q11-Q12-Q13</f>
        <v/>
      </c>
      <c r="R14" s="186" t="inlineStr">
        <is>
          <t>Gross profit</t>
        </is>
      </c>
      <c r="AA14" s="176">
        <f>$A$35</f>
        <v/>
      </c>
    </row>
    <row r="15">
      <c r="B15" s="185">
        <f>IF($B$4="All",SUMIFS(Trips!$N5:$N1004,Trips!$Z5:$Z1004,$B$3)+SUMIFS(Trips!$O5:$O1004,Trips!$Z5:$Z1004,$B$3)+SUMIFS(Trips!$P5:$P1004,Trips!$Z5:$Z1004,$B$3),SUMIFS(Trips!$N5:$N1004,Trips!$Z5:$Z1004,$B$3,Trips!$C5:$C1004,$B$4)+SUMIFS(Trips!$O5:$O1004,Trips!$Z5:$Z1004,$B$3,Trips!$C5:$C1004,$B$4)+SUMIFS(Trips!$P5:$P1004,Trips!$Z5:$Z1004,$B$3,Trips!$C5:$C1004,$B$4))</f>
        <v/>
      </c>
      <c r="C15" s="186" t="inlineStr">
        <is>
          <t>Crew cost (share + allowance) — selected month</t>
        </is>
      </c>
      <c r="Q15" s="187">
        <f>IF($B$4="All",SUMIFS(Trips!$R5:$R1004,Trips!$Z5:$Z1004,$B$3),SUMIFS(Trips!$R5:$R1004,Trips!$Z5:$Z1004,$B$3,Trips!$C5:$C1004,$B$4))</f>
        <v/>
      </c>
      <c r="R15" s="186" t="inlineStr">
        <is>
          <t>Fuel</t>
        </is>
      </c>
      <c r="AA15" s="176">
        <f>$A$36</f>
        <v/>
      </c>
    </row>
    <row r="16">
      <c r="B16" s="185">
        <f>IF($B$4="All",SUMIFS(Expenses!$F5:$F1004,Expenses!$J5:$J1004,$B$3),SUMIFS(Expenses!$F5:$F1004,Expenses!$J5:$J1004,$B$3,Expenses!$D5:$D1004,$B$4))</f>
        <v/>
      </c>
      <c r="C16" s="186" t="inlineStr">
        <is>
          <t>Expenses booked — selected month</t>
        </is>
      </c>
      <c r="Q16" s="187">
        <f>IF($B$4="All",SUMIFS(Trips!$S5:$S1004,Trips!$Z5:$Z1004,$B$3),SUMIFS(Trips!$S5:$S1004,Trips!$Z5:$Z1004,$B$3,Trips!$C5:$C1004,$B$4))</f>
        <v/>
      </c>
      <c r="R16" s="186" t="inlineStr">
        <is>
          <t>Toll &amp; parking</t>
        </is>
      </c>
      <c r="AA16" s="176">
        <f>$A$37</f>
        <v/>
      </c>
    </row>
    <row r="17">
      <c r="Q17" s="187">
        <f>IF($B$4="All",SUMIFS(Trips!$T5:$T1004,Trips!$Z5:$Z1004,$B$3),SUMIFS(Trips!$T5:$T1004,Trips!$Z5:$Z1004,$B$3,Trips!$C5:$C1004,$B$4))</f>
        <v/>
      </c>
      <c r="R17" s="186" t="inlineStr">
        <is>
          <t>Other trip costs</t>
        </is>
      </c>
      <c r="AA17" s="176">
        <f>$A$38</f>
        <v/>
      </c>
    </row>
    <row r="18">
      <c r="Q18" s="187">
        <f>SUM(Q15:Q17)</f>
        <v/>
      </c>
      <c r="R18" s="186" t="inlineStr">
        <is>
          <t>Total trip cost</t>
        </is>
      </c>
      <c r="AA18" s="176">
        <f>$A$39</f>
        <v/>
      </c>
    </row>
    <row r="19">
      <c r="Q19" s="187">
        <f>Q14-Q18</f>
        <v/>
      </c>
      <c r="R19" s="186" t="inlineStr">
        <is>
          <t>Trip net profit</t>
        </is>
      </c>
      <c r="AA19" s="176">
        <f>$A$40</f>
        <v/>
      </c>
    </row>
    <row r="20">
      <c r="Q20" s="187">
        <f>IF($B$4="All",SUMIFS(Expenses!$F5:$F1004,Expenses!$J5:$J1004,$B$3,Expenses!$I5:$I1004,"Vehicle"),SUMIFS(Expenses!$F5:$F1004,Expenses!$J5:$J1004,$B$3,Expenses!$I5:$I1004,"Vehicle",Expenses!$D5:$D1004,$B$4))</f>
        <v/>
      </c>
      <c r="R20" s="186" t="inlineStr">
        <is>
          <t>Vehicle costs booked in Expenses</t>
        </is>
      </c>
      <c r="AA20" s="176">
        <f>$A$41</f>
        <v/>
      </c>
    </row>
    <row r="21">
      <c r="A21" s="182" t="inlineStr">
        <is>
          <t>MONTHLY LEDGER (all trucks) → feeds the trend charts</t>
        </is>
      </c>
      <c r="Q21" s="187">
        <f>IF($B$4="All",SUMIFS(Expenses!$F5:$F1004,Expenses!$J5:$J1004,$B$3,Expenses!$I5:$I1004,"Overhead"),SUMIFS(Expenses!$F5:$F1004,Expenses!$J5:$J1004,$B$3,Expenses!$I5:$I1004,"Overhead",Expenses!$D5:$D1004,$B$4))</f>
        <v/>
      </c>
      <c r="R21" s="186" t="inlineStr">
        <is>
          <t>Overhead (rent, office, salaries…)</t>
        </is>
      </c>
      <c r="AA21" s="176">
        <f>$A$42</f>
        <v/>
      </c>
    </row>
    <row r="22">
      <c r="A22" s="192" t="inlineStr">
        <is>
          <t>MONTH KEY</t>
        </is>
      </c>
      <c r="B22" s="192" t="inlineStr">
        <is>
          <t>LABEL</t>
        </is>
      </c>
      <c r="C22" s="192" t="inlineStr">
        <is>
          <t>TRIPS</t>
        </is>
      </c>
      <c r="D22" s="192" t="inlineStr">
        <is>
          <t>TONS</t>
        </is>
      </c>
      <c r="E22" s="192" t="inlineStr">
        <is>
          <t>GROSS FEE</t>
        </is>
      </c>
      <c r="F22" s="192" t="inlineStr">
        <is>
          <t>TAX</t>
        </is>
      </c>
      <c r="G22" s="192" t="inlineStr">
        <is>
          <t>NET FEE</t>
        </is>
      </c>
      <c r="H22" s="192" t="inlineStr">
        <is>
          <t>CREW PAY</t>
        </is>
      </c>
      <c r="I22" s="192" t="inlineStr">
        <is>
          <t>ALLOWANCE</t>
        </is>
      </c>
      <c r="J22" s="192" t="inlineStr">
        <is>
          <t>REIMBURSED</t>
        </is>
      </c>
      <c r="K22" s="192" t="inlineStr">
        <is>
          <t>DIRECT COST</t>
        </is>
      </c>
      <c r="L22" s="192" t="inlineStr">
        <is>
          <t>TOTAL COST</t>
        </is>
      </c>
      <c r="M22" s="192" t="inlineStr">
        <is>
          <t>NET PROFIT</t>
        </is>
      </c>
      <c r="N22" s="192" t="inlineStr">
        <is>
          <t>MARGIN</t>
        </is>
      </c>
      <c r="O22" s="192" t="inlineStr">
        <is>
          <t>AVG PROFIT / TRIP</t>
        </is>
      </c>
      <c r="Q22" s="187">
        <f>Q19-Q20-Q21</f>
        <v/>
      </c>
      <c r="R22" s="186" t="inlineStr">
        <is>
          <t>Operating profit</t>
        </is>
      </c>
      <c r="AA22" s="176">
        <f>$A$43</f>
        <v/>
      </c>
    </row>
    <row r="23">
      <c r="A23" s="193" t="n">
        <v>46023</v>
      </c>
      <c r="B23" s="194" t="inlineStr">
        <is>
          <t>Jan 2026</t>
        </is>
      </c>
      <c r="C23" s="195">
        <f>COUNTIFS(Trips!$Z5:$Z1004,$A23)</f>
        <v/>
      </c>
      <c r="D23" s="196">
        <f>SUMIFS(Trips!$H5:$H1004,Trips!$Z5:$Z1004,$A23)</f>
        <v/>
      </c>
      <c r="E23" s="187">
        <f>SUMIFS(Trips!$K5:$K1004,Trips!$Z5:$Z1004,$A23)</f>
        <v/>
      </c>
      <c r="F23" s="187">
        <f>SUMIFS(Trips!$L5:$L1004,Trips!$Z5:$Z1004,$A23)</f>
        <v/>
      </c>
      <c r="G23" s="187">
        <f>SUMIFS(Trips!$M5:$M1004,Trips!$Z5:$Z1004,$A23)</f>
        <v/>
      </c>
      <c r="H23" s="187">
        <f>SUMIFS(Trips!$N5:$N1004,Trips!$Z5:$Z1004,$A23)+SUMIFS(Trips!$O5:$O1004,Trips!$Z5:$Z1004,$A23)</f>
        <v/>
      </c>
      <c r="I23" s="187">
        <f>SUMIFS(Trips!$P5:$P1004,Trips!$Z5:$Z1004,$A23)</f>
        <v/>
      </c>
      <c r="J23" s="187">
        <f>SUMIFS(Trips!$Q5:$Q1004,Trips!$Z5:$Z1004,$A23)</f>
        <v/>
      </c>
      <c r="K23" s="187">
        <f>SUMIFS(Trips!$U5:$U1004,Trips!$Z5:$Z1004,$A23)</f>
        <v/>
      </c>
      <c r="L23" s="187">
        <f>H23+I23+J23+K23</f>
        <v/>
      </c>
      <c r="M23" s="197">
        <f>E23-L23</f>
        <v/>
      </c>
      <c r="N23" s="198">
        <f>IF(E23=0,"",M23/E23)</f>
        <v/>
      </c>
      <c r="O23" s="199">
        <f>IF(C23=0,"",M23/C23)</f>
        <v/>
      </c>
      <c r="Q23" s="187">
        <f>IF($B$4="All",SUMIFS(Expenses!$F5:$F1004,Expenses!$J5:$J1004,$B$3,Expenses!$I5:$I1004,"Financing"),SUMIFS(Expenses!$F5:$F1004,Expenses!$J5:$J1004,$B$3,Expenses!$I5:$I1004,"Financing",Expenses!$D5:$D1004,$B$4))</f>
        <v/>
      </c>
      <c r="R23" s="186" t="inlineStr">
        <is>
          <t>Loan amortisation paid</t>
        </is>
      </c>
      <c r="AA23" s="176">
        <f>$A$44</f>
        <v/>
      </c>
    </row>
    <row r="24">
      <c r="A24" s="193" t="n">
        <v>46054</v>
      </c>
      <c r="B24" s="194" t="inlineStr">
        <is>
          <t>Feb 2026</t>
        </is>
      </c>
      <c r="C24" s="195">
        <f>COUNTIFS(Trips!$Z5:$Z1004,$A24)</f>
        <v/>
      </c>
      <c r="D24" s="196">
        <f>SUMIFS(Trips!$H5:$H1004,Trips!$Z5:$Z1004,$A24)</f>
        <v/>
      </c>
      <c r="E24" s="187">
        <f>SUMIFS(Trips!$K5:$K1004,Trips!$Z5:$Z1004,$A24)</f>
        <v/>
      </c>
      <c r="F24" s="187">
        <f>SUMIFS(Trips!$L5:$L1004,Trips!$Z5:$Z1004,$A24)</f>
        <v/>
      </c>
      <c r="G24" s="187">
        <f>SUMIFS(Trips!$M5:$M1004,Trips!$Z5:$Z1004,$A24)</f>
        <v/>
      </c>
      <c r="H24" s="187">
        <f>SUMIFS(Trips!$N5:$N1004,Trips!$Z5:$Z1004,$A24)+SUMIFS(Trips!$O5:$O1004,Trips!$Z5:$Z1004,$A24)</f>
        <v/>
      </c>
      <c r="I24" s="187">
        <f>SUMIFS(Trips!$P5:$P1004,Trips!$Z5:$Z1004,$A24)</f>
        <v/>
      </c>
      <c r="J24" s="187">
        <f>SUMIFS(Trips!$Q5:$Q1004,Trips!$Z5:$Z1004,$A24)</f>
        <v/>
      </c>
      <c r="K24" s="187">
        <f>SUMIFS(Trips!$U5:$U1004,Trips!$Z5:$Z1004,$A24)</f>
        <v/>
      </c>
      <c r="L24" s="187">
        <f>H24+I24+J24+K24</f>
        <v/>
      </c>
      <c r="M24" s="197">
        <f>E24-L24</f>
        <v/>
      </c>
      <c r="N24" s="198">
        <f>IF(E24=0,"",M24/E24)</f>
        <v/>
      </c>
      <c r="O24" s="199">
        <f>IF(C24=0,"",M24/C24)</f>
        <v/>
      </c>
      <c r="Q24" s="187">
        <f>Q22-Q23</f>
        <v/>
      </c>
      <c r="R24" s="186" t="inlineStr">
        <is>
          <t>Cash profit after loans</t>
        </is>
      </c>
      <c r="AA24" s="176">
        <f>$A$45</f>
        <v/>
      </c>
    </row>
    <row r="25">
      <c r="A25" s="193" t="n">
        <v>46082</v>
      </c>
      <c r="B25" s="194" t="inlineStr">
        <is>
          <t>Mar 2026</t>
        </is>
      </c>
      <c r="C25" s="195">
        <f>COUNTIFS(Trips!$Z5:$Z1004,$A25)</f>
        <v/>
      </c>
      <c r="D25" s="196">
        <f>SUMIFS(Trips!$H5:$H1004,Trips!$Z5:$Z1004,$A25)</f>
        <v/>
      </c>
      <c r="E25" s="187">
        <f>SUMIFS(Trips!$K5:$K1004,Trips!$Z5:$Z1004,$A25)</f>
        <v/>
      </c>
      <c r="F25" s="187">
        <f>SUMIFS(Trips!$L5:$L1004,Trips!$Z5:$Z1004,$A25)</f>
        <v/>
      </c>
      <c r="G25" s="187">
        <f>SUMIFS(Trips!$M5:$M1004,Trips!$Z5:$Z1004,$A25)</f>
        <v/>
      </c>
      <c r="H25" s="187">
        <f>SUMIFS(Trips!$N5:$N1004,Trips!$Z5:$Z1004,$A25)+SUMIFS(Trips!$O5:$O1004,Trips!$Z5:$Z1004,$A25)</f>
        <v/>
      </c>
      <c r="I25" s="187">
        <f>SUMIFS(Trips!$P5:$P1004,Trips!$Z5:$Z1004,$A25)</f>
        <v/>
      </c>
      <c r="J25" s="187">
        <f>SUMIFS(Trips!$Q5:$Q1004,Trips!$Z5:$Z1004,$A25)</f>
        <v/>
      </c>
      <c r="K25" s="187">
        <f>SUMIFS(Trips!$U5:$U1004,Trips!$Z5:$Z1004,$A25)</f>
        <v/>
      </c>
      <c r="L25" s="187">
        <f>H25+I25+J25+K25</f>
        <v/>
      </c>
      <c r="M25" s="197">
        <f>E25-L25</f>
        <v/>
      </c>
      <c r="N25" s="198">
        <f>IF(E25=0,"",M25/E25)</f>
        <v/>
      </c>
      <c r="O25" s="199">
        <f>IF(C25=0,"",M25/C25)</f>
        <v/>
      </c>
      <c r="Q25" s="198">
        <f>IF(Q7=0,"",Q24/Q7)</f>
        <v/>
      </c>
      <c r="R25" s="186" t="inlineStr">
        <is>
          <t>Margin on hauling fee</t>
        </is>
      </c>
      <c r="AA25" s="176">
        <f>$A$46</f>
        <v/>
      </c>
    </row>
    <row r="26">
      <c r="A26" s="193" t="n">
        <v>46113</v>
      </c>
      <c r="B26" s="194" t="inlineStr">
        <is>
          <t>Apr 2026</t>
        </is>
      </c>
      <c r="C26" s="195">
        <f>COUNTIFS(Trips!$Z5:$Z1004,$A26)</f>
        <v/>
      </c>
      <c r="D26" s="196">
        <f>SUMIFS(Trips!$H5:$H1004,Trips!$Z5:$Z1004,$A26)</f>
        <v/>
      </c>
      <c r="E26" s="187">
        <f>SUMIFS(Trips!$K5:$K1004,Trips!$Z5:$Z1004,$A26)</f>
        <v/>
      </c>
      <c r="F26" s="187">
        <f>SUMIFS(Trips!$L5:$L1004,Trips!$Z5:$Z1004,$A26)</f>
        <v/>
      </c>
      <c r="G26" s="187">
        <f>SUMIFS(Trips!$M5:$M1004,Trips!$Z5:$Z1004,$A26)</f>
        <v/>
      </c>
      <c r="H26" s="187">
        <f>SUMIFS(Trips!$N5:$N1004,Trips!$Z5:$Z1004,$A26)+SUMIFS(Trips!$O5:$O1004,Trips!$Z5:$Z1004,$A26)</f>
        <v/>
      </c>
      <c r="I26" s="187">
        <f>SUMIFS(Trips!$P5:$P1004,Trips!$Z5:$Z1004,$A26)</f>
        <v/>
      </c>
      <c r="J26" s="187">
        <f>SUMIFS(Trips!$Q5:$Q1004,Trips!$Z5:$Z1004,$A26)</f>
        <v/>
      </c>
      <c r="K26" s="187">
        <f>SUMIFS(Trips!$U5:$U1004,Trips!$Z5:$Z1004,$A26)</f>
        <v/>
      </c>
      <c r="L26" s="187">
        <f>H26+I26+J26+K26</f>
        <v/>
      </c>
      <c r="M26" s="197">
        <f>E26-L26</f>
        <v/>
      </c>
      <c r="N26" s="198">
        <f>IF(E26=0,"",M26/E26)</f>
        <v/>
      </c>
      <c r="O26" s="199">
        <f>IF(C26=0,"",M26/C26)</f>
        <v/>
      </c>
      <c r="Q26" s="187">
        <f>IF($B$4="All",SUMIFS(Expenses!$F5:$F1004,Expenses!$J5:$J1004,$B$3,Expenses!$I5:$I1004,"Transfer"),SUMIFS(Expenses!$F5:$F1004,Expenses!$J5:$J1004,$B$3,Expenses!$I5:$I1004,"Transfer",Expenses!$D5:$D1004,$B$4))</f>
        <v/>
      </c>
      <c r="R26" s="186" t="inlineStr">
        <is>
          <t>Memo: advances &amp; payouts (not a cost)</t>
        </is>
      </c>
    </row>
    <row r="27">
      <c r="A27" s="193" t="n">
        <v>46143</v>
      </c>
      <c r="B27" s="194" t="inlineStr">
        <is>
          <t>May 2026</t>
        </is>
      </c>
      <c r="C27" s="195">
        <f>COUNTIFS(Trips!$Z5:$Z1004,$A27)</f>
        <v/>
      </c>
      <c r="D27" s="196">
        <f>SUMIFS(Trips!$H5:$H1004,Trips!$Z5:$Z1004,$A27)</f>
        <v/>
      </c>
      <c r="E27" s="187">
        <f>SUMIFS(Trips!$K5:$K1004,Trips!$Z5:$Z1004,$A27)</f>
        <v/>
      </c>
      <c r="F27" s="187">
        <f>SUMIFS(Trips!$L5:$L1004,Trips!$Z5:$Z1004,$A27)</f>
        <v/>
      </c>
      <c r="G27" s="187">
        <f>SUMIFS(Trips!$M5:$M1004,Trips!$Z5:$Z1004,$A27)</f>
        <v/>
      </c>
      <c r="H27" s="187">
        <f>SUMIFS(Trips!$N5:$N1004,Trips!$Z5:$Z1004,$A27)+SUMIFS(Trips!$O5:$O1004,Trips!$Z5:$Z1004,$A27)</f>
        <v/>
      </c>
      <c r="I27" s="187">
        <f>SUMIFS(Trips!$P5:$P1004,Trips!$Z5:$Z1004,$A27)</f>
        <v/>
      </c>
      <c r="J27" s="187">
        <f>SUMIFS(Trips!$Q5:$Q1004,Trips!$Z5:$Z1004,$A27)</f>
        <v/>
      </c>
      <c r="K27" s="187">
        <f>SUMIFS(Trips!$U5:$U1004,Trips!$Z5:$Z1004,$A27)</f>
        <v/>
      </c>
      <c r="L27" s="187">
        <f>H27+I27+J27+K27</f>
        <v/>
      </c>
      <c r="M27" s="197">
        <f>E27-L27</f>
        <v/>
      </c>
      <c r="N27" s="198">
        <f>IF(E27=0,"",M27/E27)</f>
        <v/>
      </c>
      <c r="O27" s="199">
        <f>IF(C27=0,"",M27/C27)</f>
        <v/>
      </c>
    </row>
    <row r="28">
      <c r="A28" s="193" t="n">
        <v>46174</v>
      </c>
      <c r="B28" s="194" t="inlineStr">
        <is>
          <t>Jun 2026</t>
        </is>
      </c>
      <c r="C28" s="195">
        <f>COUNTIFS(Trips!$Z5:$Z1004,$A28)</f>
        <v/>
      </c>
      <c r="D28" s="196">
        <f>SUMIFS(Trips!$H5:$H1004,Trips!$Z5:$Z1004,$A28)</f>
        <v/>
      </c>
      <c r="E28" s="187">
        <f>SUMIFS(Trips!$K5:$K1004,Trips!$Z5:$Z1004,$A28)</f>
        <v/>
      </c>
      <c r="F28" s="187">
        <f>SUMIFS(Trips!$L5:$L1004,Trips!$Z5:$Z1004,$A28)</f>
        <v/>
      </c>
      <c r="G28" s="187">
        <f>SUMIFS(Trips!$M5:$M1004,Trips!$Z5:$Z1004,$A28)</f>
        <v/>
      </c>
      <c r="H28" s="187">
        <f>SUMIFS(Trips!$N5:$N1004,Trips!$Z5:$Z1004,$A28)+SUMIFS(Trips!$O5:$O1004,Trips!$Z5:$Z1004,$A28)</f>
        <v/>
      </c>
      <c r="I28" s="187">
        <f>SUMIFS(Trips!$P5:$P1004,Trips!$Z5:$Z1004,$A28)</f>
        <v/>
      </c>
      <c r="J28" s="187">
        <f>SUMIFS(Trips!$Q5:$Q1004,Trips!$Z5:$Z1004,$A28)</f>
        <v/>
      </c>
      <c r="K28" s="187">
        <f>SUMIFS(Trips!$U5:$U1004,Trips!$Z5:$Z1004,$A28)</f>
        <v/>
      </c>
      <c r="L28" s="187">
        <f>H28+I28+J28+K28</f>
        <v/>
      </c>
      <c r="M28" s="197">
        <f>E28-L28</f>
        <v/>
      </c>
      <c r="N28" s="198">
        <f>IF(E28=0,"",M28/E28)</f>
        <v/>
      </c>
      <c r="O28" s="199">
        <f>IF(C28=0,"",M28/C28)</f>
        <v/>
      </c>
    </row>
    <row r="29">
      <c r="A29" s="193" t="n">
        <v>46204</v>
      </c>
      <c r="B29" s="194" t="inlineStr">
        <is>
          <t>Jul 2026</t>
        </is>
      </c>
      <c r="C29" s="195">
        <f>COUNTIFS(Trips!$Z5:$Z1004,$A29)</f>
        <v/>
      </c>
      <c r="D29" s="196">
        <f>SUMIFS(Trips!$H5:$H1004,Trips!$Z5:$Z1004,$A29)</f>
        <v/>
      </c>
      <c r="E29" s="187">
        <f>SUMIFS(Trips!$K5:$K1004,Trips!$Z5:$Z1004,$A29)</f>
        <v/>
      </c>
      <c r="F29" s="187">
        <f>SUMIFS(Trips!$L5:$L1004,Trips!$Z5:$Z1004,$A29)</f>
        <v/>
      </c>
      <c r="G29" s="187">
        <f>SUMIFS(Trips!$M5:$M1004,Trips!$Z5:$Z1004,$A29)</f>
        <v/>
      </c>
      <c r="H29" s="187">
        <f>SUMIFS(Trips!$N5:$N1004,Trips!$Z5:$Z1004,$A29)+SUMIFS(Trips!$O5:$O1004,Trips!$Z5:$Z1004,$A29)</f>
        <v/>
      </c>
      <c r="I29" s="187">
        <f>SUMIFS(Trips!$P5:$P1004,Trips!$Z5:$Z1004,$A29)</f>
        <v/>
      </c>
      <c r="J29" s="187">
        <f>SUMIFS(Trips!$Q5:$Q1004,Trips!$Z5:$Z1004,$A29)</f>
        <v/>
      </c>
      <c r="K29" s="187">
        <f>SUMIFS(Trips!$U5:$U1004,Trips!$Z5:$Z1004,$A29)</f>
        <v/>
      </c>
      <c r="L29" s="187">
        <f>H29+I29+J29+K29</f>
        <v/>
      </c>
      <c r="M29" s="197">
        <f>E29-L29</f>
        <v/>
      </c>
      <c r="N29" s="198">
        <f>IF(E29=0,"",M29/E29)</f>
        <v/>
      </c>
      <c r="O29" s="199">
        <f>IF(C29=0,"",M29/C29)</f>
        <v/>
      </c>
    </row>
    <row r="30">
      <c r="A30" s="193" t="n">
        <v>46235</v>
      </c>
      <c r="B30" s="194">
        <f>IFERROR(SUMIFS(Payroll!$K$5:$K$340,Payroll!$R$5:$R$340,$B$3,Payroll!$K$5:$K$340,"&gt;0.5"),0)</f>
        <v/>
      </c>
      <c r="C30" s="195">
        <f>COUNTIFS(Trips!$Z5:$Z1004,$A30)</f>
        <v/>
      </c>
      <c r="D30" s="196">
        <f>SUMIFS(Trips!$H5:$H1004,Trips!$Z5:$Z1004,$A30)</f>
        <v/>
      </c>
      <c r="E30" s="187">
        <f>SUMIFS(Trips!$K5:$K1004,Trips!$Z5:$Z1004,$A30)</f>
        <v/>
      </c>
      <c r="F30" s="187">
        <f>SUMIFS(Trips!$L5:$L1004,Trips!$Z5:$Z1004,$A30)</f>
        <v/>
      </c>
      <c r="G30" s="187">
        <f>SUMIFS(Trips!$M5:$M1004,Trips!$Z5:$Z1004,$A30)</f>
        <v/>
      </c>
      <c r="H30" s="187">
        <f>SUMIFS(Trips!$N5:$N1004,Trips!$Z5:$Z1004,$A30)+SUMIFS(Trips!$O5:$O1004,Trips!$Z5:$Z1004,$A30)</f>
        <v/>
      </c>
      <c r="I30" s="187">
        <f>SUMIFS(Trips!$P5:$P1004,Trips!$Z5:$Z1004,$A30)</f>
        <v/>
      </c>
      <c r="J30" s="187">
        <f>SUMIFS(Trips!$Q5:$Q1004,Trips!$Z5:$Z1004,$A30)</f>
        <v/>
      </c>
      <c r="K30" s="187">
        <f>SUMIFS(Trips!$U5:$U1004,Trips!$Z5:$Z1004,$A30)</f>
        <v/>
      </c>
      <c r="L30" s="187">
        <f>H30+I30+J30+K30</f>
        <v/>
      </c>
      <c r="M30" s="197">
        <f>E30-L30</f>
        <v/>
      </c>
      <c r="N30" s="198">
        <f>IF(E30=0,"",M30/E30)</f>
        <v/>
      </c>
      <c r="O30" s="199">
        <f>IF(C30=0,"",M30/C30)</f>
        <v/>
      </c>
      <c r="Q30" s="180" t="inlineStr">
        <is>
          <t>TRUCK ROLL-UP (selected month)</t>
        </is>
      </c>
    </row>
    <row r="31">
      <c r="A31" s="193" t="n">
        <v>46266</v>
      </c>
      <c r="B31" s="194">
        <f>SUMIFS(Trips!$K5:$K1004,Trips!$Z5:$Z1004,$B$3)-SUMIFS(Trips!$K5:$K1004,Trips!$Z5:$Z1004,$B$3,Trips!$W5:$W1004,"Paid")</f>
        <v/>
      </c>
      <c r="C31" s="195">
        <f>COUNTIFS(Trips!$Z5:$Z1004,$A31)</f>
        <v/>
      </c>
      <c r="D31" s="196">
        <f>SUMIFS(Trips!$H5:$H1004,Trips!$Z5:$Z1004,$A31)</f>
        <v/>
      </c>
      <c r="E31" s="187">
        <f>SUMIFS(Trips!$K5:$K1004,Trips!$Z5:$Z1004,$A31)</f>
        <v/>
      </c>
      <c r="F31" s="187">
        <f>SUMIFS(Trips!$L5:$L1004,Trips!$Z5:$Z1004,$A31)</f>
        <v/>
      </c>
      <c r="G31" s="187">
        <f>SUMIFS(Trips!$M5:$M1004,Trips!$Z5:$Z1004,$A31)</f>
        <v/>
      </c>
      <c r="H31" s="187">
        <f>SUMIFS(Trips!$N5:$N1004,Trips!$Z5:$Z1004,$A31)+SUMIFS(Trips!$O5:$O1004,Trips!$Z5:$Z1004,$A31)</f>
        <v/>
      </c>
      <c r="I31" s="187">
        <f>SUMIFS(Trips!$P5:$P1004,Trips!$Z5:$Z1004,$A31)</f>
        <v/>
      </c>
      <c r="J31" s="187">
        <f>SUMIFS(Trips!$Q5:$Q1004,Trips!$Z5:$Z1004,$A31)</f>
        <v/>
      </c>
      <c r="K31" s="187">
        <f>SUMIFS(Trips!$U5:$U1004,Trips!$Z5:$Z1004,$A31)</f>
        <v/>
      </c>
      <c r="L31" s="187">
        <f>H31+I31+J31+K31</f>
        <v/>
      </c>
      <c r="M31" s="197">
        <f>E31-L31</f>
        <v/>
      </c>
      <c r="N31" s="198">
        <f>IF(E31=0,"",M31/E31)</f>
        <v/>
      </c>
      <c r="O31" s="199">
        <f>IF(C31=0,"",M31/C31)</f>
        <v/>
      </c>
      <c r="Q31" s="200" t="inlineStr">
        <is>
          <t>TRUCK</t>
        </is>
      </c>
      <c r="R31" s="200" t="inlineStr">
        <is>
          <t>TRIPS</t>
        </is>
      </c>
      <c r="S31" s="200" t="inlineStr">
        <is>
          <t>TONS</t>
        </is>
      </c>
      <c r="T31" s="200" t="inlineStr">
        <is>
          <t>GROSS FEE</t>
        </is>
      </c>
      <c r="U31" s="200" t="inlineStr">
        <is>
          <t>TRIP PROFIT</t>
        </is>
      </c>
      <c r="V31" s="200" t="inlineStr">
        <is>
          <t>MARGIN</t>
        </is>
      </c>
    </row>
    <row r="32">
      <c r="A32" s="193" t="n">
        <v>46296</v>
      </c>
      <c r="B32" s="194" t="inlineStr">
        <is>
          <t>Oct 2026</t>
        </is>
      </c>
      <c r="C32" s="195">
        <f>COUNTIFS(Trips!$Z5:$Z1004,$A32)</f>
        <v/>
      </c>
      <c r="D32" s="196">
        <f>SUMIFS(Trips!$H5:$H1004,Trips!$Z5:$Z1004,$A32)</f>
        <v/>
      </c>
      <c r="E32" s="187">
        <f>SUMIFS(Trips!$K5:$K1004,Trips!$Z5:$Z1004,$A32)</f>
        <v/>
      </c>
      <c r="F32" s="187">
        <f>SUMIFS(Trips!$L5:$L1004,Trips!$Z5:$Z1004,$A32)</f>
        <v/>
      </c>
      <c r="G32" s="187">
        <f>SUMIFS(Trips!$M5:$M1004,Trips!$Z5:$Z1004,$A32)</f>
        <v/>
      </c>
      <c r="H32" s="187">
        <f>SUMIFS(Trips!$N5:$N1004,Trips!$Z5:$Z1004,$A32)+SUMIFS(Trips!$O5:$O1004,Trips!$Z5:$Z1004,$A32)</f>
        <v/>
      </c>
      <c r="I32" s="187">
        <f>SUMIFS(Trips!$P5:$P1004,Trips!$Z5:$Z1004,$A32)</f>
        <v/>
      </c>
      <c r="J32" s="187">
        <f>SUMIFS(Trips!$Q5:$Q1004,Trips!$Z5:$Z1004,$A32)</f>
        <v/>
      </c>
      <c r="K32" s="187">
        <f>SUMIFS(Trips!$U5:$U1004,Trips!$Z5:$Z1004,$A32)</f>
        <v/>
      </c>
      <c r="L32" s="187">
        <f>H32+I32+J32+K32</f>
        <v/>
      </c>
      <c r="M32" s="197">
        <f>E32-L32</f>
        <v/>
      </c>
      <c r="N32" s="198">
        <f>IF(E32=0,"",M32/E32)</f>
        <v/>
      </c>
      <c r="O32" s="199">
        <f>IF(C32=0,"",M32/C32)</f>
        <v/>
      </c>
      <c r="Q32" s="194">
        <f>IF(Setup!$A63="","",Setup!$A63)</f>
        <v/>
      </c>
      <c r="R32" s="195">
        <f>IF($Q32="","",COUNTIFS(Trips!$Z5:$Z1004,$B$3,Trips!$C5:$C1004,$Q32))</f>
        <v/>
      </c>
      <c r="S32" s="196">
        <f>IF($Q32="","",SUMIFS(Trips!$H5:$H1004,Trips!$Z5:$Z1004,$B$3,Trips!$C5:$C1004,$Q32))</f>
        <v/>
      </c>
      <c r="T32" s="187">
        <f>IF($Q32="","",SUMIFS(Trips!$K5:$K1004,Trips!$Z5:$Z1004,$B$3,Trips!$C5:$C1004,$Q32))</f>
        <v/>
      </c>
      <c r="U32" s="187">
        <f>IF($Q32="","",SUMIFS(Trips!$V5:$V1004,Trips!$Z5:$Z1004,$B$3,Trips!$C5:$C1004,$Q32))</f>
        <v/>
      </c>
      <c r="V32" s="198">
        <f>IF($Q32="","",IF($T32=0,"",$U32/$T32))</f>
        <v/>
      </c>
    </row>
    <row r="33">
      <c r="A33" s="193" t="n">
        <v>46327</v>
      </c>
      <c r="B33" s="194" t="inlineStr">
        <is>
          <t>Nov 2026</t>
        </is>
      </c>
      <c r="C33" s="195">
        <f>COUNTIFS(Trips!$Z5:$Z1004,$A33)</f>
        <v/>
      </c>
      <c r="D33" s="196">
        <f>SUMIFS(Trips!$H5:$H1004,Trips!$Z5:$Z1004,$A33)</f>
        <v/>
      </c>
      <c r="E33" s="187">
        <f>SUMIFS(Trips!$K5:$K1004,Trips!$Z5:$Z1004,$A33)</f>
        <v/>
      </c>
      <c r="F33" s="187">
        <f>SUMIFS(Trips!$L5:$L1004,Trips!$Z5:$Z1004,$A33)</f>
        <v/>
      </c>
      <c r="G33" s="187">
        <f>SUMIFS(Trips!$M5:$M1004,Trips!$Z5:$Z1004,$A33)</f>
        <v/>
      </c>
      <c r="H33" s="187">
        <f>SUMIFS(Trips!$N5:$N1004,Trips!$Z5:$Z1004,$A33)+SUMIFS(Trips!$O5:$O1004,Trips!$Z5:$Z1004,$A33)</f>
        <v/>
      </c>
      <c r="I33" s="187">
        <f>SUMIFS(Trips!$P5:$P1004,Trips!$Z5:$Z1004,$A33)</f>
        <v/>
      </c>
      <c r="J33" s="187">
        <f>SUMIFS(Trips!$Q5:$Q1004,Trips!$Z5:$Z1004,$A33)</f>
        <v/>
      </c>
      <c r="K33" s="187">
        <f>SUMIFS(Trips!$U5:$U1004,Trips!$Z5:$Z1004,$A33)</f>
        <v/>
      </c>
      <c r="L33" s="187">
        <f>H33+I33+J33+K33</f>
        <v/>
      </c>
      <c r="M33" s="197">
        <f>E33-L33</f>
        <v/>
      </c>
      <c r="N33" s="198">
        <f>IF(E33=0,"",M33/E33)</f>
        <v/>
      </c>
      <c r="O33" s="199">
        <f>IF(C33=0,"",M33/C33)</f>
        <v/>
      </c>
      <c r="Q33" s="194">
        <f>IF(Setup!$A64="","",Setup!$A64)</f>
        <v/>
      </c>
      <c r="R33" s="195">
        <f>IF($Q33="","",COUNTIFS(Trips!$Z5:$Z1004,$B$3,Trips!$C5:$C1004,$Q33))</f>
        <v/>
      </c>
      <c r="S33" s="196">
        <f>IF($Q33="","",SUMIFS(Trips!$H5:$H1004,Trips!$Z5:$Z1004,$B$3,Trips!$C5:$C1004,$Q33))</f>
        <v/>
      </c>
      <c r="T33" s="187">
        <f>IF($Q33="","",SUMIFS(Trips!$K5:$K1004,Trips!$Z5:$Z1004,$B$3,Trips!$C5:$C1004,$Q33))</f>
        <v/>
      </c>
      <c r="U33" s="187">
        <f>IF($Q33="","",SUMIFS(Trips!$V5:$V1004,Trips!$Z5:$Z1004,$B$3,Trips!$C5:$C1004,$Q33))</f>
        <v/>
      </c>
      <c r="V33" s="198">
        <f>IF($Q33="","",IF($T33=0,"",$U33/$T33))</f>
        <v/>
      </c>
    </row>
    <row r="34">
      <c r="A34" s="193" t="n">
        <v>46357</v>
      </c>
      <c r="B34" s="194" t="inlineStr">
        <is>
          <t>Dec 2026</t>
        </is>
      </c>
      <c r="C34" s="195">
        <f>COUNTIFS(Trips!$Z5:$Z1004,$A34)</f>
        <v/>
      </c>
      <c r="D34" s="196">
        <f>SUMIFS(Trips!$H5:$H1004,Trips!$Z5:$Z1004,$A34)</f>
        <v/>
      </c>
      <c r="E34" s="187">
        <f>SUMIFS(Trips!$K5:$K1004,Trips!$Z5:$Z1004,$A34)</f>
        <v/>
      </c>
      <c r="F34" s="187">
        <f>SUMIFS(Trips!$L5:$L1004,Trips!$Z5:$Z1004,$A34)</f>
        <v/>
      </c>
      <c r="G34" s="187">
        <f>SUMIFS(Trips!$M5:$M1004,Trips!$Z5:$Z1004,$A34)</f>
        <v/>
      </c>
      <c r="H34" s="187">
        <f>SUMIFS(Trips!$N5:$N1004,Trips!$Z5:$Z1004,$A34)+SUMIFS(Trips!$O5:$O1004,Trips!$Z5:$Z1004,$A34)</f>
        <v/>
      </c>
      <c r="I34" s="187">
        <f>SUMIFS(Trips!$P5:$P1004,Trips!$Z5:$Z1004,$A34)</f>
        <v/>
      </c>
      <c r="J34" s="187">
        <f>SUMIFS(Trips!$Q5:$Q1004,Trips!$Z5:$Z1004,$A34)</f>
        <v/>
      </c>
      <c r="K34" s="187">
        <f>SUMIFS(Trips!$U5:$U1004,Trips!$Z5:$Z1004,$A34)</f>
        <v/>
      </c>
      <c r="L34" s="187">
        <f>H34+I34+J34+K34</f>
        <v/>
      </c>
      <c r="M34" s="197">
        <f>E34-L34</f>
        <v/>
      </c>
      <c r="N34" s="198">
        <f>IF(E34=0,"",M34/E34)</f>
        <v/>
      </c>
      <c r="O34" s="199">
        <f>IF(C34=0,"",M34/C34)</f>
        <v/>
      </c>
      <c r="Q34" s="194">
        <f>IF(Setup!$A65="","",Setup!$A65)</f>
        <v/>
      </c>
      <c r="R34" s="195">
        <f>IF($Q34="","",COUNTIFS(Trips!$Z5:$Z1004,$B$3,Trips!$C5:$C1004,$Q34))</f>
        <v/>
      </c>
      <c r="S34" s="196">
        <f>IF($Q34="","",SUMIFS(Trips!$H5:$H1004,Trips!$Z5:$Z1004,$B$3,Trips!$C5:$C1004,$Q34))</f>
        <v/>
      </c>
      <c r="T34" s="187">
        <f>IF($Q34="","",SUMIFS(Trips!$K5:$K1004,Trips!$Z5:$Z1004,$B$3,Trips!$C5:$C1004,$Q34))</f>
        <v/>
      </c>
      <c r="U34" s="187">
        <f>IF($Q34="","",SUMIFS(Trips!$V5:$V1004,Trips!$Z5:$Z1004,$B$3,Trips!$C5:$C1004,$Q34))</f>
        <v/>
      </c>
      <c r="V34" s="198">
        <f>IF($Q34="","",IF($T34=0,"",$U34/$T34))</f>
        <v/>
      </c>
    </row>
    <row r="35">
      <c r="A35" s="193" t="n">
        <v>46388</v>
      </c>
      <c r="B35" s="194" t="inlineStr">
        <is>
          <t>Jan 2027</t>
        </is>
      </c>
      <c r="C35" s="195">
        <f>COUNTIFS(Trips!$Z5:$Z1004,$A35)</f>
        <v/>
      </c>
      <c r="D35" s="196">
        <f>SUMIFS(Trips!$H5:$H1004,Trips!$Z5:$Z1004,$A35)</f>
        <v/>
      </c>
      <c r="E35" s="187">
        <f>SUMIFS(Trips!$K5:$K1004,Trips!$Z5:$Z1004,$A35)</f>
        <v/>
      </c>
      <c r="F35" s="187">
        <f>SUMIFS(Trips!$L5:$L1004,Trips!$Z5:$Z1004,$A35)</f>
        <v/>
      </c>
      <c r="G35" s="187">
        <f>SUMIFS(Trips!$M5:$M1004,Trips!$Z5:$Z1004,$A35)</f>
        <v/>
      </c>
      <c r="H35" s="187">
        <f>SUMIFS(Trips!$N5:$N1004,Trips!$Z5:$Z1004,$A35)+SUMIFS(Trips!$O5:$O1004,Trips!$Z5:$Z1004,$A35)</f>
        <v/>
      </c>
      <c r="I35" s="187">
        <f>SUMIFS(Trips!$P5:$P1004,Trips!$Z5:$Z1004,$A35)</f>
        <v/>
      </c>
      <c r="J35" s="187">
        <f>SUMIFS(Trips!$Q5:$Q1004,Trips!$Z5:$Z1004,$A35)</f>
        <v/>
      </c>
      <c r="K35" s="187">
        <f>SUMIFS(Trips!$U5:$U1004,Trips!$Z5:$Z1004,$A35)</f>
        <v/>
      </c>
      <c r="L35" s="187">
        <f>H35+I35+J35+K35</f>
        <v/>
      </c>
      <c r="M35" s="197">
        <f>E35-L35</f>
        <v/>
      </c>
      <c r="N35" s="198">
        <f>IF(E35=0,"",M35/E35)</f>
        <v/>
      </c>
      <c r="O35" s="199">
        <f>IF(C35=0,"",M35/C35)</f>
        <v/>
      </c>
      <c r="Q35" s="194">
        <f>IF(Setup!$A66="","",Setup!$A66)</f>
        <v/>
      </c>
      <c r="R35" s="195">
        <f>IF($Q35="","",COUNTIFS(Trips!$Z5:$Z1004,$B$3,Trips!$C5:$C1004,$Q35))</f>
        <v/>
      </c>
      <c r="S35" s="196">
        <f>IF($Q35="","",SUMIFS(Trips!$H5:$H1004,Trips!$Z5:$Z1004,$B$3,Trips!$C5:$C1004,$Q35))</f>
        <v/>
      </c>
      <c r="T35" s="187">
        <f>IF($Q35="","",SUMIFS(Trips!$K5:$K1004,Trips!$Z5:$Z1004,$B$3,Trips!$C5:$C1004,$Q35))</f>
        <v/>
      </c>
      <c r="U35" s="187">
        <f>IF($Q35="","",SUMIFS(Trips!$V5:$V1004,Trips!$Z5:$Z1004,$B$3,Trips!$C5:$C1004,$Q35))</f>
        <v/>
      </c>
      <c r="V35" s="198">
        <f>IF($Q35="","",IF($T35=0,"",$U35/$T35))</f>
        <v/>
      </c>
    </row>
    <row r="36">
      <c r="A36" s="193" t="n">
        <v>46419</v>
      </c>
      <c r="B36" s="194" t="inlineStr">
        <is>
          <t>Feb 2027</t>
        </is>
      </c>
      <c r="C36" s="195">
        <f>COUNTIFS(Trips!$Z5:$Z1004,$A36)</f>
        <v/>
      </c>
      <c r="D36" s="196">
        <f>SUMIFS(Trips!$H5:$H1004,Trips!$Z5:$Z1004,$A36)</f>
        <v/>
      </c>
      <c r="E36" s="187">
        <f>SUMIFS(Trips!$K5:$K1004,Trips!$Z5:$Z1004,$A36)</f>
        <v/>
      </c>
      <c r="F36" s="187">
        <f>SUMIFS(Trips!$L5:$L1004,Trips!$Z5:$Z1004,$A36)</f>
        <v/>
      </c>
      <c r="G36" s="187">
        <f>SUMIFS(Trips!$M5:$M1004,Trips!$Z5:$Z1004,$A36)</f>
        <v/>
      </c>
      <c r="H36" s="187">
        <f>SUMIFS(Trips!$N5:$N1004,Trips!$Z5:$Z1004,$A36)+SUMIFS(Trips!$O5:$O1004,Trips!$Z5:$Z1004,$A36)</f>
        <v/>
      </c>
      <c r="I36" s="187">
        <f>SUMIFS(Trips!$P5:$P1004,Trips!$Z5:$Z1004,$A36)</f>
        <v/>
      </c>
      <c r="J36" s="187">
        <f>SUMIFS(Trips!$Q5:$Q1004,Trips!$Z5:$Z1004,$A36)</f>
        <v/>
      </c>
      <c r="K36" s="187">
        <f>SUMIFS(Trips!$U5:$U1004,Trips!$Z5:$Z1004,$A36)</f>
        <v/>
      </c>
      <c r="L36" s="187">
        <f>H36+I36+J36+K36</f>
        <v/>
      </c>
      <c r="M36" s="197">
        <f>E36-L36</f>
        <v/>
      </c>
      <c r="N36" s="198">
        <f>IF(E36=0,"",M36/E36)</f>
        <v/>
      </c>
      <c r="O36" s="199">
        <f>IF(C36=0,"",M36/C36)</f>
        <v/>
      </c>
      <c r="Q36" s="194">
        <f>IF(Setup!$A67="","",Setup!$A67)</f>
        <v/>
      </c>
      <c r="R36" s="195">
        <f>IF($Q36="","",COUNTIFS(Trips!$Z5:$Z1004,$B$3,Trips!$C5:$C1004,$Q36))</f>
        <v/>
      </c>
      <c r="S36" s="196">
        <f>IF($Q36="","",SUMIFS(Trips!$H5:$H1004,Trips!$Z5:$Z1004,$B$3,Trips!$C5:$C1004,$Q36))</f>
        <v/>
      </c>
      <c r="T36" s="187">
        <f>IF($Q36="","",SUMIFS(Trips!$K5:$K1004,Trips!$Z5:$Z1004,$B$3,Trips!$C5:$C1004,$Q36))</f>
        <v/>
      </c>
      <c r="U36" s="187">
        <f>IF($Q36="","",SUMIFS(Trips!$V5:$V1004,Trips!$Z5:$Z1004,$B$3,Trips!$C5:$C1004,$Q36))</f>
        <v/>
      </c>
      <c r="V36" s="198">
        <f>IF($Q36="","",IF($T36=0,"",$U36/$T36))</f>
        <v/>
      </c>
    </row>
    <row r="37">
      <c r="A37" s="193" t="n">
        <v>46447</v>
      </c>
      <c r="B37" s="194" t="inlineStr">
        <is>
          <t>Mar 2027</t>
        </is>
      </c>
      <c r="C37" s="195">
        <f>COUNTIFS(Trips!$Z5:$Z1004,$A37)</f>
        <v/>
      </c>
      <c r="D37" s="196">
        <f>SUMIFS(Trips!$H5:$H1004,Trips!$Z5:$Z1004,$A37)</f>
        <v/>
      </c>
      <c r="E37" s="187">
        <f>SUMIFS(Trips!$K5:$K1004,Trips!$Z5:$Z1004,$A37)</f>
        <v/>
      </c>
      <c r="F37" s="187">
        <f>SUMIFS(Trips!$L5:$L1004,Trips!$Z5:$Z1004,$A37)</f>
        <v/>
      </c>
      <c r="G37" s="187">
        <f>SUMIFS(Trips!$M5:$M1004,Trips!$Z5:$Z1004,$A37)</f>
        <v/>
      </c>
      <c r="H37" s="187">
        <f>SUMIFS(Trips!$N5:$N1004,Trips!$Z5:$Z1004,$A37)+SUMIFS(Trips!$O5:$O1004,Trips!$Z5:$Z1004,$A37)</f>
        <v/>
      </c>
      <c r="I37" s="187">
        <f>SUMIFS(Trips!$P5:$P1004,Trips!$Z5:$Z1004,$A37)</f>
        <v/>
      </c>
      <c r="J37" s="187">
        <f>SUMIFS(Trips!$Q5:$Q1004,Trips!$Z5:$Z1004,$A37)</f>
        <v/>
      </c>
      <c r="K37" s="187">
        <f>SUMIFS(Trips!$U5:$U1004,Trips!$Z5:$Z1004,$A37)</f>
        <v/>
      </c>
      <c r="L37" s="187">
        <f>H37+I37+J37+K37</f>
        <v/>
      </c>
      <c r="M37" s="197">
        <f>E37-L37</f>
        <v/>
      </c>
      <c r="N37" s="198">
        <f>IF(E37=0,"",M37/E37)</f>
        <v/>
      </c>
      <c r="O37" s="199">
        <f>IF(C37=0,"",M37/C37)</f>
        <v/>
      </c>
      <c r="Q37" s="194">
        <f>IF(Setup!$A68="","",Setup!$A68)</f>
        <v/>
      </c>
      <c r="R37" s="195">
        <f>IF($Q37="","",COUNTIFS(Trips!$Z5:$Z1004,$B$3,Trips!$C5:$C1004,$Q37))</f>
        <v/>
      </c>
      <c r="S37" s="196">
        <f>IF($Q37="","",SUMIFS(Trips!$H5:$H1004,Trips!$Z5:$Z1004,$B$3,Trips!$C5:$C1004,$Q37))</f>
        <v/>
      </c>
      <c r="T37" s="187">
        <f>IF($Q37="","",SUMIFS(Trips!$K5:$K1004,Trips!$Z5:$Z1004,$B$3,Trips!$C5:$C1004,$Q37))</f>
        <v/>
      </c>
      <c r="U37" s="187">
        <f>IF($Q37="","",SUMIFS(Trips!$V5:$V1004,Trips!$Z5:$Z1004,$B$3,Trips!$C5:$C1004,$Q37))</f>
        <v/>
      </c>
      <c r="V37" s="198">
        <f>IF($Q37="","",IF($T37=0,"",$U37/$T37))</f>
        <v/>
      </c>
    </row>
    <row r="38">
      <c r="A38" s="193" t="n">
        <v>46478</v>
      </c>
      <c r="B38" s="194" t="inlineStr">
        <is>
          <t>Apr 2027</t>
        </is>
      </c>
      <c r="C38" s="195">
        <f>COUNTIFS(Trips!$Z5:$Z1004,$A38)</f>
        <v/>
      </c>
      <c r="D38" s="196">
        <f>SUMIFS(Trips!$H5:$H1004,Trips!$Z5:$Z1004,$A38)</f>
        <v/>
      </c>
      <c r="E38" s="187">
        <f>SUMIFS(Trips!$K5:$K1004,Trips!$Z5:$Z1004,$A38)</f>
        <v/>
      </c>
      <c r="F38" s="187">
        <f>SUMIFS(Trips!$L5:$L1004,Trips!$Z5:$Z1004,$A38)</f>
        <v/>
      </c>
      <c r="G38" s="187">
        <f>SUMIFS(Trips!$M5:$M1004,Trips!$Z5:$Z1004,$A38)</f>
        <v/>
      </c>
      <c r="H38" s="187">
        <f>SUMIFS(Trips!$N5:$N1004,Trips!$Z5:$Z1004,$A38)+SUMIFS(Trips!$O5:$O1004,Trips!$Z5:$Z1004,$A38)</f>
        <v/>
      </c>
      <c r="I38" s="187">
        <f>SUMIFS(Trips!$P5:$P1004,Trips!$Z5:$Z1004,$A38)</f>
        <v/>
      </c>
      <c r="J38" s="187">
        <f>SUMIFS(Trips!$Q5:$Q1004,Trips!$Z5:$Z1004,$A38)</f>
        <v/>
      </c>
      <c r="K38" s="187">
        <f>SUMIFS(Trips!$U5:$U1004,Trips!$Z5:$Z1004,$A38)</f>
        <v/>
      </c>
      <c r="L38" s="187">
        <f>H38+I38+J38+K38</f>
        <v/>
      </c>
      <c r="M38" s="197">
        <f>E38-L38</f>
        <v/>
      </c>
      <c r="N38" s="198">
        <f>IF(E38=0,"",M38/E38)</f>
        <v/>
      </c>
      <c r="O38" s="199">
        <f>IF(C38=0,"",M38/C38)</f>
        <v/>
      </c>
      <c r="Q38" s="194">
        <f>IF(Setup!$A69="","",Setup!$A69)</f>
        <v/>
      </c>
      <c r="R38" s="195">
        <f>IF($Q38="","",COUNTIFS(Trips!$Z5:$Z1004,$B$3,Trips!$C5:$C1004,$Q38))</f>
        <v/>
      </c>
      <c r="S38" s="196">
        <f>IF($Q38="","",SUMIFS(Trips!$H5:$H1004,Trips!$Z5:$Z1004,$B$3,Trips!$C5:$C1004,$Q38))</f>
        <v/>
      </c>
      <c r="T38" s="187">
        <f>IF($Q38="","",SUMIFS(Trips!$K5:$K1004,Trips!$Z5:$Z1004,$B$3,Trips!$C5:$C1004,$Q38))</f>
        <v/>
      </c>
      <c r="U38" s="187">
        <f>IF($Q38="","",SUMIFS(Trips!$V5:$V1004,Trips!$Z5:$Z1004,$B$3,Trips!$C5:$C1004,$Q38))</f>
        <v/>
      </c>
      <c r="V38" s="198">
        <f>IF($Q38="","",IF($T38=0,"",$U38/$T38))</f>
        <v/>
      </c>
    </row>
    <row r="39">
      <c r="A39" s="193" t="n">
        <v>46508</v>
      </c>
      <c r="B39" s="194" t="inlineStr">
        <is>
          <t>May 2027</t>
        </is>
      </c>
      <c r="C39" s="195">
        <f>COUNTIFS(Trips!$Z5:$Z1004,$A39)</f>
        <v/>
      </c>
      <c r="D39" s="196">
        <f>SUMIFS(Trips!$H5:$H1004,Trips!$Z5:$Z1004,$A39)</f>
        <v/>
      </c>
      <c r="E39" s="187">
        <f>SUMIFS(Trips!$K5:$K1004,Trips!$Z5:$Z1004,$A39)</f>
        <v/>
      </c>
      <c r="F39" s="187">
        <f>SUMIFS(Trips!$L5:$L1004,Trips!$Z5:$Z1004,$A39)</f>
        <v/>
      </c>
      <c r="G39" s="187">
        <f>SUMIFS(Trips!$M5:$M1004,Trips!$Z5:$Z1004,$A39)</f>
        <v/>
      </c>
      <c r="H39" s="187">
        <f>SUMIFS(Trips!$N5:$N1004,Trips!$Z5:$Z1004,$A39)+SUMIFS(Trips!$O5:$O1004,Trips!$Z5:$Z1004,$A39)</f>
        <v/>
      </c>
      <c r="I39" s="187">
        <f>SUMIFS(Trips!$P5:$P1004,Trips!$Z5:$Z1004,$A39)</f>
        <v/>
      </c>
      <c r="J39" s="187">
        <f>SUMIFS(Trips!$Q5:$Q1004,Trips!$Z5:$Z1004,$A39)</f>
        <v/>
      </c>
      <c r="K39" s="187">
        <f>SUMIFS(Trips!$U5:$U1004,Trips!$Z5:$Z1004,$A39)</f>
        <v/>
      </c>
      <c r="L39" s="187">
        <f>H39+I39+J39+K39</f>
        <v/>
      </c>
      <c r="M39" s="197">
        <f>E39-L39</f>
        <v/>
      </c>
      <c r="N39" s="198">
        <f>IF(E39=0,"",M39/E39)</f>
        <v/>
      </c>
      <c r="O39" s="199">
        <f>IF(C39=0,"",M39/C39)</f>
        <v/>
      </c>
      <c r="Q39" s="194">
        <f>IF(Setup!$A70="","",Setup!$A70)</f>
        <v/>
      </c>
      <c r="R39" s="195">
        <f>IF($Q39="","",COUNTIFS(Trips!$Z5:$Z1004,$B$3,Trips!$C5:$C1004,$Q39))</f>
        <v/>
      </c>
      <c r="S39" s="196">
        <f>IF($Q39="","",SUMIFS(Trips!$H5:$H1004,Trips!$Z5:$Z1004,$B$3,Trips!$C5:$C1004,$Q39))</f>
        <v/>
      </c>
      <c r="T39" s="187">
        <f>IF($Q39="","",SUMIFS(Trips!$K5:$K1004,Trips!$Z5:$Z1004,$B$3,Trips!$C5:$C1004,$Q39))</f>
        <v/>
      </c>
      <c r="U39" s="187">
        <f>IF($Q39="","",SUMIFS(Trips!$V5:$V1004,Trips!$Z5:$Z1004,$B$3,Trips!$C5:$C1004,$Q39))</f>
        <v/>
      </c>
      <c r="V39" s="198">
        <f>IF($Q39="","",IF($T39=0,"",$U39/$T39))</f>
        <v/>
      </c>
    </row>
    <row r="40">
      <c r="A40" s="201" t="inlineStr">
        <is>
          <t>previous month fee</t>
        </is>
      </c>
      <c r="B40" s="184">
        <f>SUMIFS(Trips!$K5:$K1004,Trips!$Z5:$Z1004,EDATE($B$3,-1))</f>
        <v/>
      </c>
      <c r="C40" s="195">
        <f>COUNTIFS(Trips!$Z5:$Z1004,$A40)</f>
        <v/>
      </c>
      <c r="D40" s="196">
        <f>SUMIFS(Trips!$H5:$H1004,Trips!$Z5:$Z1004,$A40)</f>
        <v/>
      </c>
      <c r="E40" s="187">
        <f>SUMIFS(Trips!$K5:$K1004,Trips!$Z5:$Z1004,$A40)</f>
        <v/>
      </c>
      <c r="F40" s="187">
        <f>SUMIFS(Trips!$L5:$L1004,Trips!$Z5:$Z1004,$A40)</f>
        <v/>
      </c>
      <c r="G40" s="187">
        <f>SUMIFS(Trips!$M5:$M1004,Trips!$Z5:$Z1004,$A40)</f>
        <v/>
      </c>
      <c r="H40" s="187">
        <f>SUMIFS(Trips!$N5:$N1004,Trips!$Z5:$Z1004,$A40)+SUMIFS(Trips!$O5:$O1004,Trips!$Z5:$Z1004,$A40)</f>
        <v/>
      </c>
      <c r="I40" s="187">
        <f>SUMIFS(Trips!$P5:$P1004,Trips!$Z5:$Z1004,$A40)</f>
        <v/>
      </c>
      <c r="J40" s="187">
        <f>SUMIFS(Trips!$Q5:$Q1004,Trips!$Z5:$Z1004,$A40)</f>
        <v/>
      </c>
      <c r="K40" s="187">
        <f>SUMIFS(Trips!$U5:$U1004,Trips!$Z5:$Z1004,$A40)</f>
        <v/>
      </c>
      <c r="L40" s="187">
        <f>H40+I40+J40+K40</f>
        <v/>
      </c>
      <c r="M40" s="197">
        <f>E40-L40</f>
        <v/>
      </c>
      <c r="N40" s="198">
        <f>IF(E40=0,"",M40/E40)</f>
        <v/>
      </c>
      <c r="O40" s="199">
        <f>IF(C40=0,"",M40/C40)</f>
        <v/>
      </c>
      <c r="Q40" s="194">
        <f>IF(Setup!$A71="","",Setup!$A71)</f>
        <v/>
      </c>
      <c r="R40" s="195">
        <f>IF($Q40="","",COUNTIFS(Trips!$Z5:$Z1004,$B$3,Trips!$C5:$C1004,$Q40))</f>
        <v/>
      </c>
      <c r="S40" s="196">
        <f>IF($Q40="","",SUMIFS(Trips!$H5:$H1004,Trips!$Z5:$Z1004,$B$3,Trips!$C5:$C1004,$Q40))</f>
        <v/>
      </c>
      <c r="T40" s="187">
        <f>IF($Q40="","",SUMIFS(Trips!$K5:$K1004,Trips!$Z5:$Z1004,$B$3,Trips!$C5:$C1004,$Q40))</f>
        <v/>
      </c>
      <c r="U40" s="187">
        <f>IF($Q40="","",SUMIFS(Trips!$V5:$V1004,Trips!$Z5:$Z1004,$B$3,Trips!$C5:$C1004,$Q40))</f>
        <v/>
      </c>
      <c r="V40" s="198">
        <f>IF($Q40="","",IF($T40=0,"",$U40/$T40))</f>
        <v/>
      </c>
    </row>
    <row r="41">
      <c r="A41" s="201" t="inlineStr">
        <is>
          <t>previous month trips</t>
        </is>
      </c>
      <c r="B41" s="181">
        <f>COUNTIFS(Trips!$Z5:$Z1004,EDATE($B$3,-1))</f>
        <v/>
      </c>
      <c r="C41" s="195">
        <f>COUNTIFS(Trips!$Z5:$Z1004,$A41)</f>
        <v/>
      </c>
      <c r="D41" s="196">
        <f>SUMIFS(Trips!$H5:$H1004,Trips!$Z5:$Z1004,$A41)</f>
        <v/>
      </c>
      <c r="E41" s="187">
        <f>SUMIFS(Trips!$K5:$K1004,Trips!$Z5:$Z1004,$A41)</f>
        <v/>
      </c>
      <c r="F41" s="187">
        <f>SUMIFS(Trips!$L5:$L1004,Trips!$Z5:$Z1004,$A41)</f>
        <v/>
      </c>
      <c r="G41" s="187">
        <f>SUMIFS(Trips!$M5:$M1004,Trips!$Z5:$Z1004,$A41)</f>
        <v/>
      </c>
      <c r="H41" s="187">
        <f>SUMIFS(Trips!$N5:$N1004,Trips!$Z5:$Z1004,$A41)+SUMIFS(Trips!$O5:$O1004,Trips!$Z5:$Z1004,$A41)</f>
        <v/>
      </c>
      <c r="I41" s="187">
        <f>SUMIFS(Trips!$P5:$P1004,Trips!$Z5:$Z1004,$A41)</f>
        <v/>
      </c>
      <c r="J41" s="187">
        <f>SUMIFS(Trips!$Q5:$Q1004,Trips!$Z5:$Z1004,$A41)</f>
        <v/>
      </c>
      <c r="K41" s="187">
        <f>SUMIFS(Trips!$U5:$U1004,Trips!$Z5:$Z1004,$A41)</f>
        <v/>
      </c>
      <c r="L41" s="187">
        <f>H41+I41+J41+K41</f>
        <v/>
      </c>
      <c r="M41" s="197">
        <f>E41-L41</f>
        <v/>
      </c>
      <c r="N41" s="198">
        <f>IF(E41=0,"",M41/E41)</f>
        <v/>
      </c>
      <c r="O41" s="199">
        <f>IF(C41=0,"",M41/C41)</f>
        <v/>
      </c>
      <c r="Q41" s="194">
        <f>IF(Setup!$A72="","",Setup!$A72)</f>
        <v/>
      </c>
      <c r="R41" s="195">
        <f>IF($Q41="","",COUNTIFS(Trips!$Z5:$Z1004,$B$3,Trips!$C5:$C1004,$Q41))</f>
        <v/>
      </c>
      <c r="S41" s="196">
        <f>IF($Q41="","",SUMIFS(Trips!$H5:$H1004,Trips!$Z5:$Z1004,$B$3,Trips!$C5:$C1004,$Q41))</f>
        <v/>
      </c>
      <c r="T41" s="187">
        <f>IF($Q41="","",SUMIFS(Trips!$K5:$K1004,Trips!$Z5:$Z1004,$B$3,Trips!$C5:$C1004,$Q41))</f>
        <v/>
      </c>
      <c r="U41" s="187">
        <f>IF($Q41="","",SUMIFS(Trips!$V5:$V1004,Trips!$Z5:$Z1004,$B$3,Trips!$C5:$C1004,$Q41))</f>
        <v/>
      </c>
      <c r="V41" s="198">
        <f>IF($Q41="","",IF($T41=0,"",$U41/$T41))</f>
        <v/>
      </c>
    </row>
    <row r="42">
      <c r="A42" s="201" t="inlineStr">
        <is>
          <t>previous month tons</t>
        </is>
      </c>
      <c r="B42" s="202">
        <f>SUMIFS(Trips!$H5:$H1004,Trips!$Z5:$Z1004,EDATE($B$3,-1))</f>
        <v/>
      </c>
      <c r="C42" s="195">
        <f>COUNTIFS(Trips!$Z5:$Z1004,$A42)</f>
        <v/>
      </c>
      <c r="D42" s="196">
        <f>SUMIFS(Trips!$H5:$H1004,Trips!$Z5:$Z1004,$A42)</f>
        <v/>
      </c>
      <c r="E42" s="187">
        <f>SUMIFS(Trips!$K5:$K1004,Trips!$Z5:$Z1004,$A42)</f>
        <v/>
      </c>
      <c r="F42" s="187">
        <f>SUMIFS(Trips!$L5:$L1004,Trips!$Z5:$Z1004,$A42)</f>
        <v/>
      </c>
      <c r="G42" s="187">
        <f>SUMIFS(Trips!$M5:$M1004,Trips!$Z5:$Z1004,$A42)</f>
        <v/>
      </c>
      <c r="H42" s="187">
        <f>SUMIFS(Trips!$N5:$N1004,Trips!$Z5:$Z1004,$A42)+SUMIFS(Trips!$O5:$O1004,Trips!$Z5:$Z1004,$A42)</f>
        <v/>
      </c>
      <c r="I42" s="187">
        <f>SUMIFS(Trips!$P5:$P1004,Trips!$Z5:$Z1004,$A42)</f>
        <v/>
      </c>
      <c r="J42" s="187">
        <f>SUMIFS(Trips!$Q5:$Q1004,Trips!$Z5:$Z1004,$A42)</f>
        <v/>
      </c>
      <c r="K42" s="187">
        <f>SUMIFS(Trips!$U5:$U1004,Trips!$Z5:$Z1004,$A42)</f>
        <v/>
      </c>
      <c r="L42" s="187">
        <f>H42+I42+J42+K42</f>
        <v/>
      </c>
      <c r="M42" s="197">
        <f>E42-L42</f>
        <v/>
      </c>
      <c r="N42" s="198">
        <f>IF(E42=0,"",M42/E42)</f>
        <v/>
      </c>
      <c r="O42" s="199">
        <f>IF(C42=0,"",M42/C42)</f>
        <v/>
      </c>
    </row>
    <row r="43">
      <c r="A43" s="193" t="n">
        <v>46631</v>
      </c>
      <c r="B43" s="194" t="inlineStr">
        <is>
          <t>Sep 2027</t>
        </is>
      </c>
      <c r="C43" s="195">
        <f>COUNTIFS(Trips!$Z5:$Z1004,$A43)</f>
        <v/>
      </c>
      <c r="D43" s="196">
        <f>SUMIFS(Trips!$H5:$H1004,Trips!$Z5:$Z1004,$A43)</f>
        <v/>
      </c>
      <c r="E43" s="187">
        <f>SUMIFS(Trips!$K5:$K1004,Trips!$Z5:$Z1004,$A43)</f>
        <v/>
      </c>
      <c r="F43" s="187">
        <f>SUMIFS(Trips!$L5:$L1004,Trips!$Z5:$Z1004,$A43)</f>
        <v/>
      </c>
      <c r="G43" s="187">
        <f>SUMIFS(Trips!$M5:$M1004,Trips!$Z5:$Z1004,$A43)</f>
        <v/>
      </c>
      <c r="H43" s="187">
        <f>SUMIFS(Trips!$N5:$N1004,Trips!$Z5:$Z1004,$A43)+SUMIFS(Trips!$O5:$O1004,Trips!$Z5:$Z1004,$A43)</f>
        <v/>
      </c>
      <c r="I43" s="187">
        <f>SUMIFS(Trips!$P5:$P1004,Trips!$Z5:$Z1004,$A43)</f>
        <v/>
      </c>
      <c r="J43" s="187">
        <f>SUMIFS(Trips!$Q5:$Q1004,Trips!$Z5:$Z1004,$A43)</f>
        <v/>
      </c>
      <c r="K43" s="187">
        <f>SUMIFS(Trips!$U5:$U1004,Trips!$Z5:$Z1004,$A43)</f>
        <v/>
      </c>
      <c r="L43" s="187">
        <f>H43+I43+J43+K43</f>
        <v/>
      </c>
      <c r="M43" s="197">
        <f>E43-L43</f>
        <v/>
      </c>
      <c r="N43" s="198">
        <f>IF(E43=0,"",M43/E43)</f>
        <v/>
      </c>
      <c r="O43" s="199">
        <f>IF(C43=0,"",M43/C43)</f>
        <v/>
      </c>
    </row>
    <row r="44">
      <c r="A44" s="193" t="n">
        <v>46661</v>
      </c>
      <c r="B44" s="194" t="inlineStr">
        <is>
          <t>Oct 2027</t>
        </is>
      </c>
      <c r="C44" s="195">
        <f>COUNTIFS(Trips!$Z5:$Z1004,$A44)</f>
        <v/>
      </c>
      <c r="D44" s="196">
        <f>SUMIFS(Trips!$H5:$H1004,Trips!$Z5:$Z1004,$A44)</f>
        <v/>
      </c>
      <c r="E44" s="187">
        <f>SUMIFS(Trips!$K5:$K1004,Trips!$Z5:$Z1004,$A44)</f>
        <v/>
      </c>
      <c r="F44" s="187">
        <f>SUMIFS(Trips!$L5:$L1004,Trips!$Z5:$Z1004,$A44)</f>
        <v/>
      </c>
      <c r="G44" s="187">
        <f>SUMIFS(Trips!$M5:$M1004,Trips!$Z5:$Z1004,$A44)</f>
        <v/>
      </c>
      <c r="H44" s="187">
        <f>SUMIFS(Trips!$N5:$N1004,Trips!$Z5:$Z1004,$A44)+SUMIFS(Trips!$O5:$O1004,Trips!$Z5:$Z1004,$A44)</f>
        <v/>
      </c>
      <c r="I44" s="187">
        <f>SUMIFS(Trips!$P5:$P1004,Trips!$Z5:$Z1004,$A44)</f>
        <v/>
      </c>
      <c r="J44" s="187">
        <f>SUMIFS(Trips!$Q5:$Q1004,Trips!$Z5:$Z1004,$A44)</f>
        <v/>
      </c>
      <c r="K44" s="187">
        <f>SUMIFS(Trips!$U5:$U1004,Trips!$Z5:$Z1004,$A44)</f>
        <v/>
      </c>
      <c r="L44" s="187">
        <f>H44+I44+J44+K44</f>
        <v/>
      </c>
      <c r="M44" s="197">
        <f>E44-L44</f>
        <v/>
      </c>
      <c r="N44" s="198">
        <f>IF(E44=0,"",M44/E44)</f>
        <v/>
      </c>
      <c r="O44" s="199">
        <f>IF(C44=0,"",M44/C44)</f>
        <v/>
      </c>
    </row>
    <row r="45">
      <c r="A45" s="193" t="n">
        <v>46692</v>
      </c>
      <c r="B45" s="194" t="inlineStr">
        <is>
          <t>Nov 2027</t>
        </is>
      </c>
      <c r="C45" s="195">
        <f>COUNTIFS(Trips!$Z5:$Z1004,$A45)</f>
        <v/>
      </c>
      <c r="D45" s="196">
        <f>SUMIFS(Trips!$H5:$H1004,Trips!$Z5:$Z1004,$A45)</f>
        <v/>
      </c>
      <c r="E45" s="187">
        <f>SUMIFS(Trips!$K5:$K1004,Trips!$Z5:$Z1004,$A45)</f>
        <v/>
      </c>
      <c r="F45" s="187">
        <f>SUMIFS(Trips!$L5:$L1004,Trips!$Z5:$Z1004,$A45)</f>
        <v/>
      </c>
      <c r="G45" s="187">
        <f>SUMIFS(Trips!$M5:$M1004,Trips!$Z5:$Z1004,$A45)</f>
        <v/>
      </c>
      <c r="H45" s="187">
        <f>SUMIFS(Trips!$N5:$N1004,Trips!$Z5:$Z1004,$A45)+SUMIFS(Trips!$O5:$O1004,Trips!$Z5:$Z1004,$A45)</f>
        <v/>
      </c>
      <c r="I45" s="187">
        <f>SUMIFS(Trips!$P5:$P1004,Trips!$Z5:$Z1004,$A45)</f>
        <v/>
      </c>
      <c r="J45" s="187">
        <f>SUMIFS(Trips!$Q5:$Q1004,Trips!$Z5:$Z1004,$A45)</f>
        <v/>
      </c>
      <c r="K45" s="187">
        <f>SUMIFS(Trips!$U5:$U1004,Trips!$Z5:$Z1004,$A45)</f>
        <v/>
      </c>
      <c r="L45" s="187">
        <f>H45+I45+J45+K45</f>
        <v/>
      </c>
      <c r="M45" s="197">
        <f>E45-L45</f>
        <v/>
      </c>
      <c r="N45" s="198">
        <f>IF(E45=0,"",M45/E45)</f>
        <v/>
      </c>
      <c r="O45" s="199">
        <f>IF(C45=0,"",M45/C45)</f>
        <v/>
      </c>
    </row>
    <row r="46">
      <c r="A46" s="193" t="n">
        <v>46722</v>
      </c>
      <c r="B46" s="194" t="inlineStr">
        <is>
          <t>Dec 2027</t>
        </is>
      </c>
      <c r="C46" s="195">
        <f>COUNTIFS(Trips!$Z5:$Z1004,$A46)</f>
        <v/>
      </c>
      <c r="D46" s="196">
        <f>SUMIFS(Trips!$H5:$H1004,Trips!$Z5:$Z1004,$A46)</f>
        <v/>
      </c>
      <c r="E46" s="187">
        <f>SUMIFS(Trips!$K5:$K1004,Trips!$Z5:$Z1004,$A46)</f>
        <v/>
      </c>
      <c r="F46" s="187">
        <f>SUMIFS(Trips!$L5:$L1004,Trips!$Z5:$Z1004,$A46)</f>
        <v/>
      </c>
      <c r="G46" s="187">
        <f>SUMIFS(Trips!$M5:$M1004,Trips!$Z5:$Z1004,$A46)</f>
        <v/>
      </c>
      <c r="H46" s="187">
        <f>SUMIFS(Trips!$N5:$N1004,Trips!$Z5:$Z1004,$A46)+SUMIFS(Trips!$O5:$O1004,Trips!$Z5:$Z1004,$A46)</f>
        <v/>
      </c>
      <c r="I46" s="187">
        <f>SUMIFS(Trips!$P5:$P1004,Trips!$Z5:$Z1004,$A46)</f>
        <v/>
      </c>
      <c r="J46" s="187">
        <f>SUMIFS(Trips!$Q5:$Q1004,Trips!$Z5:$Z1004,$A46)</f>
        <v/>
      </c>
      <c r="K46" s="187">
        <f>SUMIFS(Trips!$U5:$U1004,Trips!$Z5:$Z1004,$A46)</f>
        <v/>
      </c>
      <c r="L46" s="187">
        <f>H46+I46+J46+K46</f>
        <v/>
      </c>
      <c r="M46" s="197">
        <f>E46-L46</f>
        <v/>
      </c>
      <c r="N46" s="198">
        <f>IF(E46=0,"",M46/E46)</f>
        <v/>
      </c>
      <c r="O46" s="199">
        <f>IF(C46=0,"",M46/C46)</f>
        <v/>
      </c>
    </row>
    <row r="49">
      <c r="A49" s="182" t="inlineStr">
        <is>
          <t>RANKING BY DESTINATION</t>
        </is>
      </c>
      <c r="J49" s="203" t="inlineStr">
        <is>
          <t>TOP DESTINATIONS (sorted by gross fee)</t>
        </is>
      </c>
    </row>
    <row r="50">
      <c r="A50" s="192" t="inlineStr">
        <is>
          <t>DESTINATION</t>
        </is>
      </c>
      <c r="B50" s="192" t="inlineStr">
        <is>
          <t>TRIPS</t>
        </is>
      </c>
      <c r="C50" s="192" t="inlineStr">
        <is>
          <t>TONS</t>
        </is>
      </c>
      <c r="D50" s="192" t="inlineStr">
        <is>
          <t>GROSS FEE</t>
        </is>
      </c>
      <c r="E50" s="192" t="inlineStr">
        <is>
          <t>TOTAL COST</t>
        </is>
      </c>
      <c r="F50" s="192" t="inlineStr">
        <is>
          <t>NET PROFIT</t>
        </is>
      </c>
      <c r="G50" s="192" t="inlineStr">
        <is>
          <t>MARGIN</t>
        </is>
      </c>
      <c r="J50" s="200" t="inlineStr">
        <is>
          <t>DESTINATION</t>
        </is>
      </c>
      <c r="K50" s="200" t="inlineStr">
        <is>
          <t>TRIPS</t>
        </is>
      </c>
      <c r="L50" s="200" t="inlineStr">
        <is>
          <t>TONS</t>
        </is>
      </c>
      <c r="M50" s="200" t="inlineStr">
        <is>
          <t>GROSS FEE</t>
        </is>
      </c>
      <c r="N50" s="200" t="inlineStr">
        <is>
          <t>TRIP PROFIT</t>
        </is>
      </c>
      <c r="O50" s="200" t="inlineStr">
        <is>
          <t>MARGIN</t>
        </is>
      </c>
    </row>
    <row r="51">
      <c r="A51" s="194">
        <f>IF(Setup!$A145="","",Setup!$A145)</f>
        <v/>
      </c>
      <c r="B51" s="195">
        <f>IF($A51="","",IF($B$4="All",COUNTIFS(Trips!$G5:$G1004,$A51,Trips!$Z5:$Z1004,$B$3),COUNTIFS(Trips!$G5:$G1004,$A51,Trips!$Z5:$Z1004,$B$3,Trips!$C5:$C1004,$B$4)))</f>
        <v/>
      </c>
      <c r="C51" s="196">
        <f>IF($A51="","",IF($B$4="All",SUMIFS(Trips!$H5:$H1004,Trips!$G5:$G1004,$A51,Trips!$Z5:$Z1004,$B$3),SUMIFS(Trips!$H5:$H1004,Trips!$G5:$G1004,$A51,Trips!$Z5:$Z1004,$B$3,Trips!$C5:$C1004,$B$4)))</f>
        <v/>
      </c>
      <c r="D51" s="187">
        <f>IF($A51="","",IF($B$4="All",SUMIFS(Trips!$K5:$K1004,Trips!$G5:$G1004,$A51,Trips!$Z5:$Z1004,$B$3),SUMIFS(Trips!$K5:$K1004,Trips!$G5:$G1004,$A51,Trips!$Z5:$Z1004,$B$3,Trips!$C5:$C1004,$B$4)))</f>
        <v/>
      </c>
      <c r="E51" s="187">
        <f>IF($A51="","",IF($B$4="All",SUMIFS(Trips!$U5:$U1004,Trips!$G5:$G1004,$A51,Trips!$Z5:$Z1004,$B$3),SUMIFS(Trips!$U5:$U1004,Trips!$G5:$G1004,$A51,Trips!$Z5:$Z1004,$B$3,Trips!$C5:$C1004,$B$4)))</f>
        <v/>
      </c>
      <c r="F51" s="187">
        <f>IF($A51="","",IF($B$4="All",SUMIFS(Trips!$V5:$V1004,Trips!$G5:$G1004,$A51,Trips!$Z5:$Z1004,$B$3),SUMIFS(Trips!$V5:$V1004,Trips!$G5:$G1004,$A51,Trips!$Z5:$Z1004,$B$3,Trips!$C5:$C1004,$B$4)))</f>
        <v/>
      </c>
      <c r="G51" s="198">
        <f>IF($A51="","",IF($D51=0,"",$F51/$D51))</f>
        <v/>
      </c>
      <c r="H51" s="204">
        <f>IF($A51="","",COUNTIF($D$51:$D$70,"&gt;"&amp;$D51)+COUNTIF($D$51:$D51,$D51))</f>
        <v/>
      </c>
      <c r="J51" s="194">
        <f>IFERROR(INDEX($A$51:$A$70,MATCH(1,$H$51:$H$70,0)),"")</f>
        <v/>
      </c>
      <c r="K51" s="195">
        <f>IFERROR(INDEX($B$51:$B$70,MATCH(1,$H$51:$H$70,0)),"")</f>
        <v/>
      </c>
      <c r="L51" s="196">
        <f>IFERROR(INDEX($C$51:$C$70,MATCH(1,$H$51:$H$70,0)),"")</f>
        <v/>
      </c>
      <c r="M51" s="187">
        <f>IFERROR(INDEX($D$51:$D$70,MATCH(1,$H$51:$H$70,0)),"")</f>
        <v/>
      </c>
      <c r="N51" s="187">
        <f>IFERROR(INDEX($F$51:$F$70,MATCH(1,$H$51:$H$70,0)),"")</f>
        <v/>
      </c>
      <c r="O51" s="198">
        <f>IF($J51="","",IF($M51=0,"",$N51/$M51))</f>
        <v/>
      </c>
    </row>
    <row r="52">
      <c r="A52" s="194">
        <f>IF(Setup!$A146="","",Setup!$A146)</f>
        <v/>
      </c>
      <c r="B52" s="195">
        <f>IF($A52="","",IF($B$4="All",COUNTIFS(Trips!$G5:$G1004,$A52,Trips!$Z5:$Z1004,$B$3),COUNTIFS(Trips!$G5:$G1004,$A52,Trips!$Z5:$Z1004,$B$3,Trips!$C5:$C1004,$B$4)))</f>
        <v/>
      </c>
      <c r="C52" s="196">
        <f>IF($A52="","",IF($B$4="All",SUMIFS(Trips!$H5:$H1004,Trips!$G5:$G1004,$A52,Trips!$Z5:$Z1004,$B$3),SUMIFS(Trips!$H5:$H1004,Trips!$G5:$G1004,$A52,Trips!$Z5:$Z1004,$B$3,Trips!$C5:$C1004,$B$4)))</f>
        <v/>
      </c>
      <c r="D52" s="187">
        <f>IF($A52="","",IF($B$4="All",SUMIFS(Trips!$K5:$K1004,Trips!$G5:$G1004,$A52,Trips!$Z5:$Z1004,$B$3),SUMIFS(Trips!$K5:$K1004,Trips!$G5:$G1004,$A52,Trips!$Z5:$Z1004,$B$3,Trips!$C5:$C1004,$B$4)))</f>
        <v/>
      </c>
      <c r="E52" s="187">
        <f>IF($A52="","",IF($B$4="All",SUMIFS(Trips!$U5:$U1004,Trips!$G5:$G1004,$A52,Trips!$Z5:$Z1004,$B$3),SUMIFS(Trips!$U5:$U1004,Trips!$G5:$G1004,$A52,Trips!$Z5:$Z1004,$B$3,Trips!$C5:$C1004,$B$4)))</f>
        <v/>
      </c>
      <c r="F52" s="187">
        <f>IF($A52="","",IF($B$4="All",SUMIFS(Trips!$V5:$V1004,Trips!$G5:$G1004,$A52,Trips!$Z5:$Z1004,$B$3),SUMIFS(Trips!$V5:$V1004,Trips!$G5:$G1004,$A52,Trips!$Z5:$Z1004,$B$3,Trips!$C5:$C1004,$B$4)))</f>
        <v/>
      </c>
      <c r="G52" s="198">
        <f>IF($A52="","",IF($D52=0,"",$F52/$D52))</f>
        <v/>
      </c>
      <c r="H52" s="204">
        <f>IF($A52="","",COUNTIF($D$51:$D$70,"&gt;"&amp;$D52)+COUNTIF($D$51:$D52,$D52))</f>
        <v/>
      </c>
      <c r="J52" s="194">
        <f>IFERROR(INDEX($A$51:$A$70,MATCH(2,$H$51:$H$70,0)),"")</f>
        <v/>
      </c>
      <c r="K52" s="195">
        <f>IFERROR(INDEX($B$51:$B$70,MATCH(2,$H$51:$H$70,0)),"")</f>
        <v/>
      </c>
      <c r="L52" s="196">
        <f>IFERROR(INDEX($C$51:$C$70,MATCH(2,$H$51:$H$70,0)),"")</f>
        <v/>
      </c>
      <c r="M52" s="187">
        <f>IFERROR(INDEX($D$51:$D$70,MATCH(2,$H$51:$H$70,0)),"")</f>
        <v/>
      </c>
      <c r="N52" s="187">
        <f>IFERROR(INDEX($F$51:$F$70,MATCH(2,$H$51:$H$70,0)),"")</f>
        <v/>
      </c>
      <c r="O52" s="198">
        <f>IF($J52="","",IF($M52=0,"",$N52/$M52))</f>
        <v/>
      </c>
    </row>
    <row r="53">
      <c r="A53" s="194">
        <f>IF(Setup!$A147="","",Setup!$A147)</f>
        <v/>
      </c>
      <c r="B53" s="195">
        <f>IF($A53="","",IF($B$4="All",COUNTIFS(Trips!$G5:$G1004,$A53,Trips!$Z5:$Z1004,$B$3),COUNTIFS(Trips!$G5:$G1004,$A53,Trips!$Z5:$Z1004,$B$3,Trips!$C5:$C1004,$B$4)))</f>
        <v/>
      </c>
      <c r="C53" s="196">
        <f>IF($A53="","",IF($B$4="All",SUMIFS(Trips!$H5:$H1004,Trips!$G5:$G1004,$A53,Trips!$Z5:$Z1004,$B$3),SUMIFS(Trips!$H5:$H1004,Trips!$G5:$G1004,$A53,Trips!$Z5:$Z1004,$B$3,Trips!$C5:$C1004,$B$4)))</f>
        <v/>
      </c>
      <c r="D53" s="187">
        <f>IF($A53="","",IF($B$4="All",SUMIFS(Trips!$K5:$K1004,Trips!$G5:$G1004,$A53,Trips!$Z5:$Z1004,$B$3),SUMIFS(Trips!$K5:$K1004,Trips!$G5:$G1004,$A53,Trips!$Z5:$Z1004,$B$3,Trips!$C5:$C1004,$B$4)))</f>
        <v/>
      </c>
      <c r="E53" s="187">
        <f>IF($A53="","",IF($B$4="All",SUMIFS(Trips!$U5:$U1004,Trips!$G5:$G1004,$A53,Trips!$Z5:$Z1004,$B$3),SUMIFS(Trips!$U5:$U1004,Trips!$G5:$G1004,$A53,Trips!$Z5:$Z1004,$B$3,Trips!$C5:$C1004,$B$4)))</f>
        <v/>
      </c>
      <c r="F53" s="187">
        <f>IF($A53="","",IF($B$4="All",SUMIFS(Trips!$V5:$V1004,Trips!$G5:$G1004,$A53,Trips!$Z5:$Z1004,$B$3),SUMIFS(Trips!$V5:$V1004,Trips!$G5:$G1004,$A53,Trips!$Z5:$Z1004,$B$3,Trips!$C5:$C1004,$B$4)))</f>
        <v/>
      </c>
      <c r="G53" s="198">
        <f>IF($A53="","",IF($D53=0,"",$F53/$D53))</f>
        <v/>
      </c>
      <c r="H53" s="204">
        <f>IF($A53="","",COUNTIF($D$51:$D$70,"&gt;"&amp;$D53)+COUNTIF($D$51:$D53,$D53))</f>
        <v/>
      </c>
      <c r="J53" s="194">
        <f>IFERROR(INDEX($A$51:$A$70,MATCH(3,$H$51:$H$70,0)),"")</f>
        <v/>
      </c>
      <c r="K53" s="195">
        <f>IFERROR(INDEX($B$51:$B$70,MATCH(3,$H$51:$H$70,0)),"")</f>
        <v/>
      </c>
      <c r="L53" s="196">
        <f>IFERROR(INDEX($C$51:$C$70,MATCH(3,$H$51:$H$70,0)),"")</f>
        <v/>
      </c>
      <c r="M53" s="187">
        <f>IFERROR(INDEX($D$51:$D$70,MATCH(3,$H$51:$H$70,0)),"")</f>
        <v/>
      </c>
      <c r="N53" s="187">
        <f>IFERROR(INDEX($F$51:$F$70,MATCH(3,$H$51:$H$70,0)),"")</f>
        <v/>
      </c>
      <c r="O53" s="198">
        <f>IF($J53="","",IF($M53=0,"",$N53/$M53))</f>
        <v/>
      </c>
    </row>
    <row r="54">
      <c r="A54" s="194">
        <f>IF(Setup!$A148="","",Setup!$A148)</f>
        <v/>
      </c>
      <c r="B54" s="195">
        <f>IF($A54="","",IF($B$4="All",COUNTIFS(Trips!$G5:$G1004,$A54,Trips!$Z5:$Z1004,$B$3),COUNTIFS(Trips!$G5:$G1004,$A54,Trips!$Z5:$Z1004,$B$3,Trips!$C5:$C1004,$B$4)))</f>
        <v/>
      </c>
      <c r="C54" s="196">
        <f>IF($A54="","",IF($B$4="All",SUMIFS(Trips!$H5:$H1004,Trips!$G5:$G1004,$A54,Trips!$Z5:$Z1004,$B$3),SUMIFS(Trips!$H5:$H1004,Trips!$G5:$G1004,$A54,Trips!$Z5:$Z1004,$B$3,Trips!$C5:$C1004,$B$4)))</f>
        <v/>
      </c>
      <c r="D54" s="187">
        <f>IF($A54="","",IF($B$4="All",SUMIFS(Trips!$K5:$K1004,Trips!$G5:$G1004,$A54,Trips!$Z5:$Z1004,$B$3),SUMIFS(Trips!$K5:$K1004,Trips!$G5:$G1004,$A54,Trips!$Z5:$Z1004,$B$3,Trips!$C5:$C1004,$B$4)))</f>
        <v/>
      </c>
      <c r="E54" s="187">
        <f>IF($A54="","",IF($B$4="All",SUMIFS(Trips!$U5:$U1004,Trips!$G5:$G1004,$A54,Trips!$Z5:$Z1004,$B$3),SUMIFS(Trips!$U5:$U1004,Trips!$G5:$G1004,$A54,Trips!$Z5:$Z1004,$B$3,Trips!$C5:$C1004,$B$4)))</f>
        <v/>
      </c>
      <c r="F54" s="187">
        <f>IF($A54="","",IF($B$4="All",SUMIFS(Trips!$V5:$V1004,Trips!$G5:$G1004,$A54,Trips!$Z5:$Z1004,$B$3),SUMIFS(Trips!$V5:$V1004,Trips!$G5:$G1004,$A54,Trips!$Z5:$Z1004,$B$3,Trips!$C5:$C1004,$B$4)))</f>
        <v/>
      </c>
      <c r="G54" s="198">
        <f>IF($A54="","",IF($D54=0,"",$F54/$D54))</f>
        <v/>
      </c>
      <c r="H54" s="204">
        <f>IF($A54="","",COUNTIF($D$51:$D$70,"&gt;"&amp;$D54)+COUNTIF($D$51:$D54,$D54))</f>
        <v/>
      </c>
      <c r="J54" s="194">
        <f>IFERROR(INDEX($A$51:$A$70,MATCH(4,$H$51:$H$70,0)),"")</f>
        <v/>
      </c>
      <c r="K54" s="195">
        <f>IFERROR(INDEX($B$51:$B$70,MATCH(4,$H$51:$H$70,0)),"")</f>
        <v/>
      </c>
      <c r="L54" s="196">
        <f>IFERROR(INDEX($C$51:$C$70,MATCH(4,$H$51:$H$70,0)),"")</f>
        <v/>
      </c>
      <c r="M54" s="187">
        <f>IFERROR(INDEX($D$51:$D$70,MATCH(4,$H$51:$H$70,0)),"")</f>
        <v/>
      </c>
      <c r="N54" s="187">
        <f>IFERROR(INDEX($F$51:$F$70,MATCH(4,$H$51:$H$70,0)),"")</f>
        <v/>
      </c>
      <c r="O54" s="198">
        <f>IF($J54="","",IF($M54=0,"",$N54/$M54))</f>
        <v/>
      </c>
    </row>
    <row r="55">
      <c r="A55" s="194">
        <f>IF(Setup!$A149="","",Setup!$A149)</f>
        <v/>
      </c>
      <c r="B55" s="195">
        <f>IF($A55="","",IF($B$4="All",COUNTIFS(Trips!$G5:$G1004,$A55,Trips!$Z5:$Z1004,$B$3),COUNTIFS(Trips!$G5:$G1004,$A55,Trips!$Z5:$Z1004,$B$3,Trips!$C5:$C1004,$B$4)))</f>
        <v/>
      </c>
      <c r="C55" s="196">
        <f>IF($A55="","",IF($B$4="All",SUMIFS(Trips!$H5:$H1004,Trips!$G5:$G1004,$A55,Trips!$Z5:$Z1004,$B$3),SUMIFS(Trips!$H5:$H1004,Trips!$G5:$G1004,$A55,Trips!$Z5:$Z1004,$B$3,Trips!$C5:$C1004,$B$4)))</f>
        <v/>
      </c>
      <c r="D55" s="187">
        <f>IF($A55="","",IF($B$4="All",SUMIFS(Trips!$K5:$K1004,Trips!$G5:$G1004,$A55,Trips!$Z5:$Z1004,$B$3),SUMIFS(Trips!$K5:$K1004,Trips!$G5:$G1004,$A55,Trips!$Z5:$Z1004,$B$3,Trips!$C5:$C1004,$B$4)))</f>
        <v/>
      </c>
      <c r="E55" s="187">
        <f>IF($A55="","",IF($B$4="All",SUMIFS(Trips!$U5:$U1004,Trips!$G5:$G1004,$A55,Trips!$Z5:$Z1004,$B$3),SUMIFS(Trips!$U5:$U1004,Trips!$G5:$G1004,$A55,Trips!$Z5:$Z1004,$B$3,Trips!$C5:$C1004,$B$4)))</f>
        <v/>
      </c>
      <c r="F55" s="187">
        <f>IF($A55="","",IF($B$4="All",SUMIFS(Trips!$V5:$V1004,Trips!$G5:$G1004,$A55,Trips!$Z5:$Z1004,$B$3),SUMIFS(Trips!$V5:$V1004,Trips!$G5:$G1004,$A55,Trips!$Z5:$Z1004,$B$3,Trips!$C5:$C1004,$B$4)))</f>
        <v/>
      </c>
      <c r="G55" s="198">
        <f>IF($A55="","",IF($D55=0,"",$F55/$D55))</f>
        <v/>
      </c>
      <c r="H55" s="204">
        <f>IF($A55="","",COUNTIF($D$51:$D$70,"&gt;"&amp;$D55)+COUNTIF($D$51:$D55,$D55))</f>
        <v/>
      </c>
      <c r="J55" s="194">
        <f>IFERROR(INDEX($A$51:$A$70,MATCH(5,$H$51:$H$70,0)),"")</f>
        <v/>
      </c>
      <c r="K55" s="195">
        <f>IFERROR(INDEX($B$51:$B$70,MATCH(5,$H$51:$H$70,0)),"")</f>
        <v/>
      </c>
      <c r="L55" s="196">
        <f>IFERROR(INDEX($C$51:$C$70,MATCH(5,$H$51:$H$70,0)),"")</f>
        <v/>
      </c>
      <c r="M55" s="187">
        <f>IFERROR(INDEX($D$51:$D$70,MATCH(5,$H$51:$H$70,0)),"")</f>
        <v/>
      </c>
      <c r="N55" s="187">
        <f>IFERROR(INDEX($F$51:$F$70,MATCH(5,$H$51:$H$70,0)),"")</f>
        <v/>
      </c>
      <c r="O55" s="198">
        <f>IF($J55="","",IF($M55=0,"",$N55/$M55))</f>
        <v/>
      </c>
    </row>
    <row r="56">
      <c r="A56" s="194">
        <f>IF(Setup!$A150="","",Setup!$A150)</f>
        <v/>
      </c>
      <c r="B56" s="195">
        <f>IF($A56="","",IF($B$4="All",COUNTIFS(Trips!$G5:$G1004,$A56,Trips!$Z5:$Z1004,$B$3),COUNTIFS(Trips!$G5:$G1004,$A56,Trips!$Z5:$Z1004,$B$3,Trips!$C5:$C1004,$B$4)))</f>
        <v/>
      </c>
      <c r="C56" s="196">
        <f>IF($A56="","",IF($B$4="All",SUMIFS(Trips!$H5:$H1004,Trips!$G5:$G1004,$A56,Trips!$Z5:$Z1004,$B$3),SUMIFS(Trips!$H5:$H1004,Trips!$G5:$G1004,$A56,Trips!$Z5:$Z1004,$B$3,Trips!$C5:$C1004,$B$4)))</f>
        <v/>
      </c>
      <c r="D56" s="187">
        <f>IF($A56="","",IF($B$4="All",SUMIFS(Trips!$K5:$K1004,Trips!$G5:$G1004,$A56,Trips!$Z5:$Z1004,$B$3),SUMIFS(Trips!$K5:$K1004,Trips!$G5:$G1004,$A56,Trips!$Z5:$Z1004,$B$3,Trips!$C5:$C1004,$B$4)))</f>
        <v/>
      </c>
      <c r="E56" s="187">
        <f>IF($A56="","",IF($B$4="All",SUMIFS(Trips!$U5:$U1004,Trips!$G5:$G1004,$A56,Trips!$Z5:$Z1004,$B$3),SUMIFS(Trips!$U5:$U1004,Trips!$G5:$G1004,$A56,Trips!$Z5:$Z1004,$B$3,Trips!$C5:$C1004,$B$4)))</f>
        <v/>
      </c>
      <c r="F56" s="187">
        <f>IF($A56="","",IF($B$4="All",SUMIFS(Trips!$V5:$V1004,Trips!$G5:$G1004,$A56,Trips!$Z5:$Z1004,$B$3),SUMIFS(Trips!$V5:$V1004,Trips!$G5:$G1004,$A56,Trips!$Z5:$Z1004,$B$3,Trips!$C5:$C1004,$B$4)))</f>
        <v/>
      </c>
      <c r="G56" s="198">
        <f>IF($A56="","",IF($D56=0,"",$F56/$D56))</f>
        <v/>
      </c>
      <c r="H56" s="204">
        <f>IF($A56="","",COUNTIF($D$51:$D$70,"&gt;"&amp;$D56)+COUNTIF($D$51:$D56,$D56))</f>
        <v/>
      </c>
      <c r="J56" s="194">
        <f>IFERROR(INDEX($A$51:$A$70,MATCH(6,$H$51:$H$70,0)),"")</f>
        <v/>
      </c>
      <c r="K56" s="195">
        <f>IFERROR(INDEX($B$51:$B$70,MATCH(6,$H$51:$H$70,0)),"")</f>
        <v/>
      </c>
      <c r="L56" s="196">
        <f>IFERROR(INDEX($C$51:$C$70,MATCH(6,$H$51:$H$70,0)),"")</f>
        <v/>
      </c>
      <c r="M56" s="187">
        <f>IFERROR(INDEX($D$51:$D$70,MATCH(6,$H$51:$H$70,0)),"")</f>
        <v/>
      </c>
      <c r="N56" s="187">
        <f>IFERROR(INDEX($F$51:$F$70,MATCH(6,$H$51:$H$70,0)),"")</f>
        <v/>
      </c>
      <c r="O56" s="198">
        <f>IF($J56="","",IF($M56=0,"",$N56/$M56))</f>
        <v/>
      </c>
    </row>
    <row r="57">
      <c r="A57" s="194">
        <f>IF(Setup!$A151="","",Setup!$A151)</f>
        <v/>
      </c>
      <c r="B57" s="195">
        <f>IF($A57="","",IF($B$4="All",COUNTIFS(Trips!$G5:$G1004,$A57,Trips!$Z5:$Z1004,$B$3),COUNTIFS(Trips!$G5:$G1004,$A57,Trips!$Z5:$Z1004,$B$3,Trips!$C5:$C1004,$B$4)))</f>
        <v/>
      </c>
      <c r="C57" s="196">
        <f>IF($A57="","",IF($B$4="All",SUMIFS(Trips!$H5:$H1004,Trips!$G5:$G1004,$A57,Trips!$Z5:$Z1004,$B$3),SUMIFS(Trips!$H5:$H1004,Trips!$G5:$G1004,$A57,Trips!$Z5:$Z1004,$B$3,Trips!$C5:$C1004,$B$4)))</f>
        <v/>
      </c>
      <c r="D57" s="187">
        <f>IF($A57="","",IF($B$4="All",SUMIFS(Trips!$K5:$K1004,Trips!$G5:$G1004,$A57,Trips!$Z5:$Z1004,$B$3),SUMIFS(Trips!$K5:$K1004,Trips!$G5:$G1004,$A57,Trips!$Z5:$Z1004,$B$3,Trips!$C5:$C1004,$B$4)))</f>
        <v/>
      </c>
      <c r="E57" s="187">
        <f>IF($A57="","",IF($B$4="All",SUMIFS(Trips!$U5:$U1004,Trips!$G5:$G1004,$A57,Trips!$Z5:$Z1004,$B$3),SUMIFS(Trips!$U5:$U1004,Trips!$G5:$G1004,$A57,Trips!$Z5:$Z1004,$B$3,Trips!$C5:$C1004,$B$4)))</f>
        <v/>
      </c>
      <c r="F57" s="187">
        <f>IF($A57="","",IF($B$4="All",SUMIFS(Trips!$V5:$V1004,Trips!$G5:$G1004,$A57,Trips!$Z5:$Z1004,$B$3),SUMIFS(Trips!$V5:$V1004,Trips!$G5:$G1004,$A57,Trips!$Z5:$Z1004,$B$3,Trips!$C5:$C1004,$B$4)))</f>
        <v/>
      </c>
      <c r="G57" s="198">
        <f>IF($A57="","",IF($D57=0,"",$F57/$D57))</f>
        <v/>
      </c>
      <c r="H57" s="204">
        <f>IF($A57="","",COUNTIF($D$51:$D$70,"&gt;"&amp;$D57)+COUNTIF($D$51:$D57,$D57))</f>
        <v/>
      </c>
      <c r="J57" s="194">
        <f>IFERROR(INDEX($A$51:$A$70,MATCH(7,$H$51:$H$70,0)),"")</f>
        <v/>
      </c>
      <c r="K57" s="195">
        <f>IFERROR(INDEX($B$51:$B$70,MATCH(7,$H$51:$H$70,0)),"")</f>
        <v/>
      </c>
      <c r="L57" s="196">
        <f>IFERROR(INDEX($C$51:$C$70,MATCH(7,$H$51:$H$70,0)),"")</f>
        <v/>
      </c>
      <c r="M57" s="187">
        <f>IFERROR(INDEX($D$51:$D$70,MATCH(7,$H$51:$H$70,0)),"")</f>
        <v/>
      </c>
      <c r="N57" s="187">
        <f>IFERROR(INDEX($F$51:$F$70,MATCH(7,$H$51:$H$70,0)),"")</f>
        <v/>
      </c>
      <c r="O57" s="198">
        <f>IF($J57="","",IF($M57=0,"",$N57/$M57))</f>
        <v/>
      </c>
    </row>
    <row r="58">
      <c r="A58" s="194">
        <f>IF(Setup!$A152="","",Setup!$A152)</f>
        <v/>
      </c>
      <c r="B58" s="195">
        <f>IF($A58="","",IF($B$4="All",COUNTIFS(Trips!$G5:$G1004,$A58,Trips!$Z5:$Z1004,$B$3),COUNTIFS(Trips!$G5:$G1004,$A58,Trips!$Z5:$Z1004,$B$3,Trips!$C5:$C1004,$B$4)))</f>
        <v/>
      </c>
      <c r="C58" s="196">
        <f>IF($A58="","",IF($B$4="All",SUMIFS(Trips!$H5:$H1004,Trips!$G5:$G1004,$A58,Trips!$Z5:$Z1004,$B$3),SUMIFS(Trips!$H5:$H1004,Trips!$G5:$G1004,$A58,Trips!$Z5:$Z1004,$B$3,Trips!$C5:$C1004,$B$4)))</f>
        <v/>
      </c>
      <c r="D58" s="187">
        <f>IF($A58="","",IF($B$4="All",SUMIFS(Trips!$K5:$K1004,Trips!$G5:$G1004,$A58,Trips!$Z5:$Z1004,$B$3),SUMIFS(Trips!$K5:$K1004,Trips!$G5:$G1004,$A58,Trips!$Z5:$Z1004,$B$3,Trips!$C5:$C1004,$B$4)))</f>
        <v/>
      </c>
      <c r="E58" s="187">
        <f>IF($A58="","",IF($B$4="All",SUMIFS(Trips!$U5:$U1004,Trips!$G5:$G1004,$A58,Trips!$Z5:$Z1004,$B$3),SUMIFS(Trips!$U5:$U1004,Trips!$G5:$G1004,$A58,Trips!$Z5:$Z1004,$B$3,Trips!$C5:$C1004,$B$4)))</f>
        <v/>
      </c>
      <c r="F58" s="187">
        <f>IF($A58="","",IF($B$4="All",SUMIFS(Trips!$V5:$V1004,Trips!$G5:$G1004,$A58,Trips!$Z5:$Z1004,$B$3),SUMIFS(Trips!$V5:$V1004,Trips!$G5:$G1004,$A58,Trips!$Z5:$Z1004,$B$3,Trips!$C5:$C1004,$B$4)))</f>
        <v/>
      </c>
      <c r="G58" s="198">
        <f>IF($A58="","",IF($D58=0,"",$F58/$D58))</f>
        <v/>
      </c>
      <c r="H58" s="204">
        <f>IF($A58="","",COUNTIF($D$51:$D$70,"&gt;"&amp;$D58)+COUNTIF($D$51:$D58,$D58))</f>
        <v/>
      </c>
      <c r="J58" s="194">
        <f>IFERROR(INDEX($A$51:$A$70,MATCH(8,$H$51:$H$70,0)),"")</f>
        <v/>
      </c>
      <c r="K58" s="195">
        <f>IFERROR(INDEX($B$51:$B$70,MATCH(8,$H$51:$H$70,0)),"")</f>
        <v/>
      </c>
      <c r="L58" s="196">
        <f>IFERROR(INDEX($C$51:$C$70,MATCH(8,$H$51:$H$70,0)),"")</f>
        <v/>
      </c>
      <c r="M58" s="187">
        <f>IFERROR(INDEX($D$51:$D$70,MATCH(8,$H$51:$H$70,0)),"")</f>
        <v/>
      </c>
      <c r="N58" s="187">
        <f>IFERROR(INDEX($F$51:$F$70,MATCH(8,$H$51:$H$70,0)),"")</f>
        <v/>
      </c>
      <c r="O58" s="198">
        <f>IF($J58="","",IF($M58=0,"",$N58/$M58))</f>
        <v/>
      </c>
    </row>
    <row r="59">
      <c r="A59" s="194">
        <f>IF(Setup!$A153="","",Setup!$A153)</f>
        <v/>
      </c>
      <c r="B59" s="195">
        <f>IF($A59="","",IF($B$4="All",COUNTIFS(Trips!$G5:$G1004,$A59,Trips!$Z5:$Z1004,$B$3),COUNTIFS(Trips!$G5:$G1004,$A59,Trips!$Z5:$Z1004,$B$3,Trips!$C5:$C1004,$B$4)))</f>
        <v/>
      </c>
      <c r="C59" s="196">
        <f>IF($A59="","",IF($B$4="All",SUMIFS(Trips!$H5:$H1004,Trips!$G5:$G1004,$A59,Trips!$Z5:$Z1004,$B$3),SUMIFS(Trips!$H5:$H1004,Trips!$G5:$G1004,$A59,Trips!$Z5:$Z1004,$B$3,Trips!$C5:$C1004,$B$4)))</f>
        <v/>
      </c>
      <c r="D59" s="187">
        <f>IF($A59="","",IF($B$4="All",SUMIFS(Trips!$K5:$K1004,Trips!$G5:$G1004,$A59,Trips!$Z5:$Z1004,$B$3),SUMIFS(Trips!$K5:$K1004,Trips!$G5:$G1004,$A59,Trips!$Z5:$Z1004,$B$3,Trips!$C5:$C1004,$B$4)))</f>
        <v/>
      </c>
      <c r="E59" s="187">
        <f>IF($A59="","",IF($B$4="All",SUMIFS(Trips!$U5:$U1004,Trips!$G5:$G1004,$A59,Trips!$Z5:$Z1004,$B$3),SUMIFS(Trips!$U5:$U1004,Trips!$G5:$G1004,$A59,Trips!$Z5:$Z1004,$B$3,Trips!$C5:$C1004,$B$4)))</f>
        <v/>
      </c>
      <c r="F59" s="187">
        <f>IF($A59="","",IF($B$4="All",SUMIFS(Trips!$V5:$V1004,Trips!$G5:$G1004,$A59,Trips!$Z5:$Z1004,$B$3),SUMIFS(Trips!$V5:$V1004,Trips!$G5:$G1004,$A59,Trips!$Z5:$Z1004,$B$3,Trips!$C5:$C1004,$B$4)))</f>
        <v/>
      </c>
      <c r="G59" s="198">
        <f>IF($A59="","",IF($D59=0,"",$F59/$D59))</f>
        <v/>
      </c>
      <c r="H59" s="204">
        <f>IF($A59="","",COUNTIF($D$51:$D$70,"&gt;"&amp;$D59)+COUNTIF($D$51:$D59,$D59))</f>
        <v/>
      </c>
      <c r="J59" s="194">
        <f>IFERROR(INDEX($A$51:$A$70,MATCH(9,$H$51:$H$70,0)),"")</f>
        <v/>
      </c>
      <c r="K59" s="195">
        <f>IFERROR(INDEX($B$51:$B$70,MATCH(9,$H$51:$H$70,0)),"")</f>
        <v/>
      </c>
      <c r="L59" s="196">
        <f>IFERROR(INDEX($C$51:$C$70,MATCH(9,$H$51:$H$70,0)),"")</f>
        <v/>
      </c>
      <c r="M59" s="187">
        <f>IFERROR(INDEX($D$51:$D$70,MATCH(9,$H$51:$H$70,0)),"")</f>
        <v/>
      </c>
      <c r="N59" s="187">
        <f>IFERROR(INDEX($F$51:$F$70,MATCH(9,$H$51:$H$70,0)),"")</f>
        <v/>
      </c>
      <c r="O59" s="198">
        <f>IF($J59="","",IF($M59=0,"",$N59/$M59))</f>
        <v/>
      </c>
    </row>
    <row r="60">
      <c r="A60" s="194">
        <f>IF(Setup!$A154="","",Setup!$A154)</f>
        <v/>
      </c>
      <c r="B60" s="195">
        <f>IF($A60="","",IF($B$4="All",COUNTIFS(Trips!$G5:$G1004,$A60,Trips!$Z5:$Z1004,$B$3),COUNTIFS(Trips!$G5:$G1004,$A60,Trips!$Z5:$Z1004,$B$3,Trips!$C5:$C1004,$B$4)))</f>
        <v/>
      </c>
      <c r="C60" s="196">
        <f>IF($A60="","",IF($B$4="All",SUMIFS(Trips!$H5:$H1004,Trips!$G5:$G1004,$A60,Trips!$Z5:$Z1004,$B$3),SUMIFS(Trips!$H5:$H1004,Trips!$G5:$G1004,$A60,Trips!$Z5:$Z1004,$B$3,Trips!$C5:$C1004,$B$4)))</f>
        <v/>
      </c>
      <c r="D60" s="187">
        <f>IF($A60="","",IF($B$4="All",SUMIFS(Trips!$K5:$K1004,Trips!$G5:$G1004,$A60,Trips!$Z5:$Z1004,$B$3),SUMIFS(Trips!$K5:$K1004,Trips!$G5:$G1004,$A60,Trips!$Z5:$Z1004,$B$3,Trips!$C5:$C1004,$B$4)))</f>
        <v/>
      </c>
      <c r="E60" s="187">
        <f>IF($A60="","",IF($B$4="All",SUMIFS(Trips!$U5:$U1004,Trips!$G5:$G1004,$A60,Trips!$Z5:$Z1004,$B$3),SUMIFS(Trips!$U5:$U1004,Trips!$G5:$G1004,$A60,Trips!$Z5:$Z1004,$B$3,Trips!$C5:$C1004,$B$4)))</f>
        <v/>
      </c>
      <c r="F60" s="187">
        <f>IF($A60="","",IF($B$4="All",SUMIFS(Trips!$V5:$V1004,Trips!$G5:$G1004,$A60,Trips!$Z5:$Z1004,$B$3),SUMIFS(Trips!$V5:$V1004,Trips!$G5:$G1004,$A60,Trips!$Z5:$Z1004,$B$3,Trips!$C5:$C1004,$B$4)))</f>
        <v/>
      </c>
      <c r="G60" s="198">
        <f>IF($A60="","",IF($D60=0,"",$F60/$D60))</f>
        <v/>
      </c>
      <c r="H60" s="204">
        <f>IF($A60="","",COUNTIF($D$51:$D$70,"&gt;"&amp;$D60)+COUNTIF($D$51:$D60,$D60))</f>
        <v/>
      </c>
      <c r="J60" s="194">
        <f>IFERROR(INDEX($A$51:$A$70,MATCH(10,$H$51:$H$70,0)),"")</f>
        <v/>
      </c>
      <c r="K60" s="195">
        <f>IFERROR(INDEX($B$51:$B$70,MATCH(10,$H$51:$H$70,0)),"")</f>
        <v/>
      </c>
      <c r="L60" s="196">
        <f>IFERROR(INDEX($C$51:$C$70,MATCH(10,$H$51:$H$70,0)),"")</f>
        <v/>
      </c>
      <c r="M60" s="187">
        <f>IFERROR(INDEX($D$51:$D$70,MATCH(10,$H$51:$H$70,0)),"")</f>
        <v/>
      </c>
      <c r="N60" s="187">
        <f>IFERROR(INDEX($F$51:$F$70,MATCH(10,$H$51:$H$70,0)),"")</f>
        <v/>
      </c>
      <c r="O60" s="198">
        <f>IF($J60="","",IF($M60=0,"",$N60/$M60))</f>
        <v/>
      </c>
    </row>
    <row r="61">
      <c r="A61" s="194">
        <f>IF(Setup!$A155="","",Setup!$A155)</f>
        <v/>
      </c>
      <c r="B61" s="195">
        <f>IF($A61="","",IF($B$4="All",COUNTIFS(Trips!$G5:$G1004,$A61,Trips!$Z5:$Z1004,$B$3),COUNTIFS(Trips!$G5:$G1004,$A61,Trips!$Z5:$Z1004,$B$3,Trips!$C5:$C1004,$B$4)))</f>
        <v/>
      </c>
      <c r="C61" s="196">
        <f>IF($A61="","",IF($B$4="All",SUMIFS(Trips!$H5:$H1004,Trips!$G5:$G1004,$A61,Trips!$Z5:$Z1004,$B$3),SUMIFS(Trips!$H5:$H1004,Trips!$G5:$G1004,$A61,Trips!$Z5:$Z1004,$B$3,Trips!$C5:$C1004,$B$4)))</f>
        <v/>
      </c>
      <c r="D61" s="187">
        <f>IF($A61="","",IF($B$4="All",SUMIFS(Trips!$K5:$K1004,Trips!$G5:$G1004,$A61,Trips!$Z5:$Z1004,$B$3),SUMIFS(Trips!$K5:$K1004,Trips!$G5:$G1004,$A61,Trips!$Z5:$Z1004,$B$3,Trips!$C5:$C1004,$B$4)))</f>
        <v/>
      </c>
      <c r="E61" s="187">
        <f>IF($A61="","",IF($B$4="All",SUMIFS(Trips!$U5:$U1004,Trips!$G5:$G1004,$A61,Trips!$Z5:$Z1004,$B$3),SUMIFS(Trips!$U5:$U1004,Trips!$G5:$G1004,$A61,Trips!$Z5:$Z1004,$B$3,Trips!$C5:$C1004,$B$4)))</f>
        <v/>
      </c>
      <c r="F61" s="187">
        <f>IF($A61="","",IF($B$4="All",SUMIFS(Trips!$V5:$V1004,Trips!$G5:$G1004,$A61,Trips!$Z5:$Z1004,$B$3),SUMIFS(Trips!$V5:$V1004,Trips!$G5:$G1004,$A61,Trips!$Z5:$Z1004,$B$3,Trips!$C5:$C1004,$B$4)))</f>
        <v/>
      </c>
      <c r="G61" s="198">
        <f>IF($A61="","",IF($D61=0,"",$F61/$D61))</f>
        <v/>
      </c>
      <c r="H61" s="204">
        <f>IF($A61="","",COUNTIF($D$51:$D$70,"&gt;"&amp;$D61)+COUNTIF($D$51:$D61,$D61))</f>
        <v/>
      </c>
      <c r="J61" s="194">
        <f>IFERROR(INDEX($A$51:$A$70,MATCH(11,$H$51:$H$70,0)),"")</f>
        <v/>
      </c>
      <c r="K61" s="195">
        <f>IFERROR(INDEX($B$51:$B$70,MATCH(11,$H$51:$H$70,0)),"")</f>
        <v/>
      </c>
      <c r="L61" s="196">
        <f>IFERROR(INDEX($C$51:$C$70,MATCH(11,$H$51:$H$70,0)),"")</f>
        <v/>
      </c>
      <c r="M61" s="187">
        <f>IFERROR(INDEX($D$51:$D$70,MATCH(11,$H$51:$H$70,0)),"")</f>
        <v/>
      </c>
      <c r="N61" s="187">
        <f>IFERROR(INDEX($F$51:$F$70,MATCH(11,$H$51:$H$70,0)),"")</f>
        <v/>
      </c>
      <c r="O61" s="198">
        <f>IF($J61="","",IF($M61=0,"",$N61/$M61))</f>
        <v/>
      </c>
    </row>
    <row r="62">
      <c r="A62" s="194">
        <f>IF(Setup!$A156="","",Setup!$A156)</f>
        <v/>
      </c>
      <c r="B62" s="195">
        <f>IF($A62="","",IF($B$4="All",COUNTIFS(Trips!$G5:$G1004,$A62,Trips!$Z5:$Z1004,$B$3),COUNTIFS(Trips!$G5:$G1004,$A62,Trips!$Z5:$Z1004,$B$3,Trips!$C5:$C1004,$B$4)))</f>
        <v/>
      </c>
      <c r="C62" s="196">
        <f>IF($A62="","",IF($B$4="All",SUMIFS(Trips!$H5:$H1004,Trips!$G5:$G1004,$A62,Trips!$Z5:$Z1004,$B$3),SUMIFS(Trips!$H5:$H1004,Trips!$G5:$G1004,$A62,Trips!$Z5:$Z1004,$B$3,Trips!$C5:$C1004,$B$4)))</f>
        <v/>
      </c>
      <c r="D62" s="187">
        <f>IF($A62="","",IF($B$4="All",SUMIFS(Trips!$K5:$K1004,Trips!$G5:$G1004,$A62,Trips!$Z5:$Z1004,$B$3),SUMIFS(Trips!$K5:$K1004,Trips!$G5:$G1004,$A62,Trips!$Z5:$Z1004,$B$3,Trips!$C5:$C1004,$B$4)))</f>
        <v/>
      </c>
      <c r="E62" s="187">
        <f>IF($A62="","",IF($B$4="All",SUMIFS(Trips!$U5:$U1004,Trips!$G5:$G1004,$A62,Trips!$Z5:$Z1004,$B$3),SUMIFS(Trips!$U5:$U1004,Trips!$G5:$G1004,$A62,Trips!$Z5:$Z1004,$B$3,Trips!$C5:$C1004,$B$4)))</f>
        <v/>
      </c>
      <c r="F62" s="187">
        <f>IF($A62="","",IF($B$4="All",SUMIFS(Trips!$V5:$V1004,Trips!$G5:$G1004,$A62,Trips!$Z5:$Z1004,$B$3),SUMIFS(Trips!$V5:$V1004,Trips!$G5:$G1004,$A62,Trips!$Z5:$Z1004,$B$3,Trips!$C5:$C1004,$B$4)))</f>
        <v/>
      </c>
      <c r="G62" s="198">
        <f>IF($A62="","",IF($D62=0,"",$F62/$D62))</f>
        <v/>
      </c>
      <c r="H62" s="204">
        <f>IF($A62="","",COUNTIF($D$51:$D$70,"&gt;"&amp;$D62)+COUNTIF($D$51:$D62,$D62))</f>
        <v/>
      </c>
      <c r="J62" s="194">
        <f>IFERROR(INDEX($A$51:$A$70,MATCH(12,$H$51:$H$70,0)),"")</f>
        <v/>
      </c>
      <c r="K62" s="195">
        <f>IFERROR(INDEX($B$51:$B$70,MATCH(12,$H$51:$H$70,0)),"")</f>
        <v/>
      </c>
      <c r="L62" s="196">
        <f>IFERROR(INDEX($C$51:$C$70,MATCH(12,$H$51:$H$70,0)),"")</f>
        <v/>
      </c>
      <c r="M62" s="187">
        <f>IFERROR(INDEX($D$51:$D$70,MATCH(12,$H$51:$H$70,0)),"")</f>
        <v/>
      </c>
      <c r="N62" s="187">
        <f>IFERROR(INDEX($F$51:$F$70,MATCH(12,$H$51:$H$70,0)),"")</f>
        <v/>
      </c>
      <c r="O62" s="198">
        <f>IF($J62="","",IF($M62=0,"",$N62/$M62))</f>
        <v/>
      </c>
    </row>
    <row r="63">
      <c r="A63" s="194">
        <f>IF(Setup!$A157="","",Setup!$A157)</f>
        <v/>
      </c>
      <c r="B63" s="195">
        <f>IF($A63="","",IF($B$4="All",COUNTIFS(Trips!$G5:$G1004,$A63,Trips!$Z5:$Z1004,$B$3),COUNTIFS(Trips!$G5:$G1004,$A63,Trips!$Z5:$Z1004,$B$3,Trips!$C5:$C1004,$B$4)))</f>
        <v/>
      </c>
      <c r="C63" s="196">
        <f>IF($A63="","",IF($B$4="All",SUMIFS(Trips!$H5:$H1004,Trips!$G5:$G1004,$A63,Trips!$Z5:$Z1004,$B$3),SUMIFS(Trips!$H5:$H1004,Trips!$G5:$G1004,$A63,Trips!$Z5:$Z1004,$B$3,Trips!$C5:$C1004,$B$4)))</f>
        <v/>
      </c>
      <c r="D63" s="187">
        <f>IF($A63="","",IF($B$4="All",SUMIFS(Trips!$K5:$K1004,Trips!$G5:$G1004,$A63,Trips!$Z5:$Z1004,$B$3),SUMIFS(Trips!$K5:$K1004,Trips!$G5:$G1004,$A63,Trips!$Z5:$Z1004,$B$3,Trips!$C5:$C1004,$B$4)))</f>
        <v/>
      </c>
      <c r="E63" s="187">
        <f>IF($A63="","",IF($B$4="All",SUMIFS(Trips!$U5:$U1004,Trips!$G5:$G1004,$A63,Trips!$Z5:$Z1004,$B$3),SUMIFS(Trips!$U5:$U1004,Trips!$G5:$G1004,$A63,Trips!$Z5:$Z1004,$B$3,Trips!$C5:$C1004,$B$4)))</f>
        <v/>
      </c>
      <c r="F63" s="187">
        <f>IF($A63="","",IF($B$4="All",SUMIFS(Trips!$V5:$V1004,Trips!$G5:$G1004,$A63,Trips!$Z5:$Z1004,$B$3),SUMIFS(Trips!$V5:$V1004,Trips!$G5:$G1004,$A63,Trips!$Z5:$Z1004,$B$3,Trips!$C5:$C1004,$B$4)))</f>
        <v/>
      </c>
      <c r="G63" s="198">
        <f>IF($A63="","",IF($D63=0,"",$F63/$D63))</f>
        <v/>
      </c>
      <c r="H63" s="204">
        <f>IF($A63="","",COUNTIF($D$51:$D$70,"&gt;"&amp;$D63)+COUNTIF($D$51:$D63,$D63))</f>
        <v/>
      </c>
      <c r="J63" s="194">
        <f>IFERROR(INDEX($A$51:$A$70,MATCH(13,$H$51:$H$70,0)),"")</f>
        <v/>
      </c>
      <c r="K63" s="195">
        <f>IFERROR(INDEX($B$51:$B$70,MATCH(13,$H$51:$H$70,0)),"")</f>
        <v/>
      </c>
      <c r="L63" s="196">
        <f>IFERROR(INDEX($C$51:$C$70,MATCH(13,$H$51:$H$70,0)),"")</f>
        <v/>
      </c>
      <c r="M63" s="187">
        <f>IFERROR(INDEX($D$51:$D$70,MATCH(13,$H$51:$H$70,0)),"")</f>
        <v/>
      </c>
      <c r="N63" s="187">
        <f>IFERROR(INDEX($F$51:$F$70,MATCH(13,$H$51:$H$70,0)),"")</f>
        <v/>
      </c>
      <c r="O63" s="198">
        <f>IF($J63="","",IF($M63=0,"",$N63/$M63))</f>
        <v/>
      </c>
    </row>
    <row r="64">
      <c r="A64" s="194">
        <f>IF(Setup!$A158="","",Setup!$A158)</f>
        <v/>
      </c>
      <c r="B64" s="195">
        <f>IF($A64="","",IF($B$4="All",COUNTIFS(Trips!$G5:$G1004,$A64,Trips!$Z5:$Z1004,$B$3),COUNTIFS(Trips!$G5:$G1004,$A64,Trips!$Z5:$Z1004,$B$3,Trips!$C5:$C1004,$B$4)))</f>
        <v/>
      </c>
      <c r="C64" s="196">
        <f>IF($A64="","",IF($B$4="All",SUMIFS(Trips!$H5:$H1004,Trips!$G5:$G1004,$A64,Trips!$Z5:$Z1004,$B$3),SUMIFS(Trips!$H5:$H1004,Trips!$G5:$G1004,$A64,Trips!$Z5:$Z1004,$B$3,Trips!$C5:$C1004,$B$4)))</f>
        <v/>
      </c>
      <c r="D64" s="187">
        <f>IF($A64="","",IF($B$4="All",SUMIFS(Trips!$K5:$K1004,Trips!$G5:$G1004,$A64,Trips!$Z5:$Z1004,$B$3),SUMIFS(Trips!$K5:$K1004,Trips!$G5:$G1004,$A64,Trips!$Z5:$Z1004,$B$3,Trips!$C5:$C1004,$B$4)))</f>
        <v/>
      </c>
      <c r="E64" s="187">
        <f>IF($A64="","",IF($B$4="All",SUMIFS(Trips!$U5:$U1004,Trips!$G5:$G1004,$A64,Trips!$Z5:$Z1004,$B$3),SUMIFS(Trips!$U5:$U1004,Trips!$G5:$G1004,$A64,Trips!$Z5:$Z1004,$B$3,Trips!$C5:$C1004,$B$4)))</f>
        <v/>
      </c>
      <c r="F64" s="187">
        <f>IF($A64="","",IF($B$4="All",SUMIFS(Trips!$V5:$V1004,Trips!$G5:$G1004,$A64,Trips!$Z5:$Z1004,$B$3),SUMIFS(Trips!$V5:$V1004,Trips!$G5:$G1004,$A64,Trips!$Z5:$Z1004,$B$3,Trips!$C5:$C1004,$B$4)))</f>
        <v/>
      </c>
      <c r="G64" s="198">
        <f>IF($A64="","",IF($D64=0,"",$F64/$D64))</f>
        <v/>
      </c>
      <c r="H64" s="204">
        <f>IF($A64="","",COUNTIF($D$51:$D$70,"&gt;"&amp;$D64)+COUNTIF($D$51:$D64,$D64))</f>
        <v/>
      </c>
      <c r="J64" s="194">
        <f>IFERROR(INDEX($A$51:$A$70,MATCH(14,$H$51:$H$70,0)),"")</f>
        <v/>
      </c>
      <c r="K64" s="195">
        <f>IFERROR(INDEX($B$51:$B$70,MATCH(14,$H$51:$H$70,0)),"")</f>
        <v/>
      </c>
      <c r="L64" s="196">
        <f>IFERROR(INDEX($C$51:$C$70,MATCH(14,$H$51:$H$70,0)),"")</f>
        <v/>
      </c>
      <c r="M64" s="187">
        <f>IFERROR(INDEX($D$51:$D$70,MATCH(14,$H$51:$H$70,0)),"")</f>
        <v/>
      </c>
      <c r="N64" s="187">
        <f>IFERROR(INDEX($F$51:$F$70,MATCH(14,$H$51:$H$70,0)),"")</f>
        <v/>
      </c>
      <c r="O64" s="198">
        <f>IF($J64="","",IF($M64=0,"",$N64/$M64))</f>
        <v/>
      </c>
    </row>
    <row r="65">
      <c r="A65" s="194">
        <f>IF(Setup!$A159="","",Setup!$A159)</f>
        <v/>
      </c>
      <c r="B65" s="195">
        <f>IF($A65="","",IF($B$4="All",COUNTIFS(Trips!$G5:$G1004,$A65,Trips!$Z5:$Z1004,$B$3),COUNTIFS(Trips!$G5:$G1004,$A65,Trips!$Z5:$Z1004,$B$3,Trips!$C5:$C1004,$B$4)))</f>
        <v/>
      </c>
      <c r="C65" s="196">
        <f>IF($A65="","",IF($B$4="All",SUMIFS(Trips!$H5:$H1004,Trips!$G5:$G1004,$A65,Trips!$Z5:$Z1004,$B$3),SUMIFS(Trips!$H5:$H1004,Trips!$G5:$G1004,$A65,Trips!$Z5:$Z1004,$B$3,Trips!$C5:$C1004,$B$4)))</f>
        <v/>
      </c>
      <c r="D65" s="187">
        <f>IF($A65="","",IF($B$4="All",SUMIFS(Trips!$K5:$K1004,Trips!$G5:$G1004,$A65,Trips!$Z5:$Z1004,$B$3),SUMIFS(Trips!$K5:$K1004,Trips!$G5:$G1004,$A65,Trips!$Z5:$Z1004,$B$3,Trips!$C5:$C1004,$B$4)))</f>
        <v/>
      </c>
      <c r="E65" s="187">
        <f>IF($A65="","",IF($B$4="All",SUMIFS(Trips!$U5:$U1004,Trips!$G5:$G1004,$A65,Trips!$Z5:$Z1004,$B$3),SUMIFS(Trips!$U5:$U1004,Trips!$G5:$G1004,$A65,Trips!$Z5:$Z1004,$B$3,Trips!$C5:$C1004,$B$4)))</f>
        <v/>
      </c>
      <c r="F65" s="187">
        <f>IF($A65="","",IF($B$4="All",SUMIFS(Trips!$V5:$V1004,Trips!$G5:$G1004,$A65,Trips!$Z5:$Z1004,$B$3),SUMIFS(Trips!$V5:$V1004,Trips!$G5:$G1004,$A65,Trips!$Z5:$Z1004,$B$3,Trips!$C5:$C1004,$B$4)))</f>
        <v/>
      </c>
      <c r="G65" s="198">
        <f>IF($A65="","",IF($D65=0,"",$F65/$D65))</f>
        <v/>
      </c>
      <c r="H65" s="204">
        <f>IF($A65="","",COUNTIF($D$51:$D$70,"&gt;"&amp;$D65)+COUNTIF($D$51:$D65,$D65))</f>
        <v/>
      </c>
      <c r="J65" s="194">
        <f>IFERROR(INDEX($A$51:$A$70,MATCH(15,$H$51:$H$70,0)),"")</f>
        <v/>
      </c>
      <c r="K65" s="195">
        <f>IFERROR(INDEX($B$51:$B$70,MATCH(15,$H$51:$H$70,0)),"")</f>
        <v/>
      </c>
      <c r="L65" s="196">
        <f>IFERROR(INDEX($C$51:$C$70,MATCH(15,$H$51:$H$70,0)),"")</f>
        <v/>
      </c>
      <c r="M65" s="187">
        <f>IFERROR(INDEX($D$51:$D$70,MATCH(15,$H$51:$H$70,0)),"")</f>
        <v/>
      </c>
      <c r="N65" s="187">
        <f>IFERROR(INDEX($F$51:$F$70,MATCH(15,$H$51:$H$70,0)),"")</f>
        <v/>
      </c>
      <c r="O65" s="198">
        <f>IF($J65="","",IF($M65=0,"",$N65/$M65))</f>
        <v/>
      </c>
    </row>
    <row r="66">
      <c r="A66" s="194">
        <f>IF(Setup!$A160="","",Setup!$A160)</f>
        <v/>
      </c>
      <c r="B66" s="195">
        <f>IF($A66="","",IF($B$4="All",COUNTIFS(Trips!$G5:$G1004,$A66,Trips!$Z5:$Z1004,$B$3),COUNTIFS(Trips!$G5:$G1004,$A66,Trips!$Z5:$Z1004,$B$3,Trips!$C5:$C1004,$B$4)))</f>
        <v/>
      </c>
      <c r="C66" s="196">
        <f>IF($A66="","",IF($B$4="All",SUMIFS(Trips!$H5:$H1004,Trips!$G5:$G1004,$A66,Trips!$Z5:$Z1004,$B$3),SUMIFS(Trips!$H5:$H1004,Trips!$G5:$G1004,$A66,Trips!$Z5:$Z1004,$B$3,Trips!$C5:$C1004,$B$4)))</f>
        <v/>
      </c>
      <c r="D66" s="187">
        <f>IF($A66="","",IF($B$4="All",SUMIFS(Trips!$K5:$K1004,Trips!$G5:$G1004,$A66,Trips!$Z5:$Z1004,$B$3),SUMIFS(Trips!$K5:$K1004,Trips!$G5:$G1004,$A66,Trips!$Z5:$Z1004,$B$3,Trips!$C5:$C1004,$B$4)))</f>
        <v/>
      </c>
      <c r="E66" s="187">
        <f>IF($A66="","",IF($B$4="All",SUMIFS(Trips!$U5:$U1004,Trips!$G5:$G1004,$A66,Trips!$Z5:$Z1004,$B$3),SUMIFS(Trips!$U5:$U1004,Trips!$G5:$G1004,$A66,Trips!$Z5:$Z1004,$B$3,Trips!$C5:$C1004,$B$4)))</f>
        <v/>
      </c>
      <c r="F66" s="187">
        <f>IF($A66="","",IF($B$4="All",SUMIFS(Trips!$V5:$V1004,Trips!$G5:$G1004,$A66,Trips!$Z5:$Z1004,$B$3),SUMIFS(Trips!$V5:$V1004,Trips!$G5:$G1004,$A66,Trips!$Z5:$Z1004,$B$3,Trips!$C5:$C1004,$B$4)))</f>
        <v/>
      </c>
      <c r="G66" s="198">
        <f>IF($A66="","",IF($D66=0,"",$F66/$D66))</f>
        <v/>
      </c>
      <c r="H66" s="204">
        <f>IF($A66="","",COUNTIF($D$51:$D$70,"&gt;"&amp;$D66)+COUNTIF($D$51:$D66,$D66))</f>
        <v/>
      </c>
      <c r="J66" s="194">
        <f>IFERROR(INDEX($A$51:$A$70,MATCH(16,$H$51:$H$70,0)),"")</f>
        <v/>
      </c>
      <c r="K66" s="195">
        <f>IFERROR(INDEX($B$51:$B$70,MATCH(16,$H$51:$H$70,0)),"")</f>
        <v/>
      </c>
      <c r="L66" s="196">
        <f>IFERROR(INDEX($C$51:$C$70,MATCH(16,$H$51:$H$70,0)),"")</f>
        <v/>
      </c>
      <c r="M66" s="187">
        <f>IFERROR(INDEX($D$51:$D$70,MATCH(16,$H$51:$H$70,0)),"")</f>
        <v/>
      </c>
      <c r="N66" s="187">
        <f>IFERROR(INDEX($F$51:$F$70,MATCH(16,$H$51:$H$70,0)),"")</f>
        <v/>
      </c>
      <c r="O66" s="198">
        <f>IF($J66="","",IF($M66=0,"",$N66/$M66))</f>
        <v/>
      </c>
    </row>
    <row r="67">
      <c r="A67" s="194">
        <f>IF(Setup!$A161="","",Setup!$A161)</f>
        <v/>
      </c>
      <c r="B67" s="195">
        <f>IF($A67="","",IF($B$4="All",COUNTIFS(Trips!$G5:$G1004,$A67,Trips!$Z5:$Z1004,$B$3),COUNTIFS(Trips!$G5:$G1004,$A67,Trips!$Z5:$Z1004,$B$3,Trips!$C5:$C1004,$B$4)))</f>
        <v/>
      </c>
      <c r="C67" s="196">
        <f>IF($A67="","",IF($B$4="All",SUMIFS(Trips!$H5:$H1004,Trips!$G5:$G1004,$A67,Trips!$Z5:$Z1004,$B$3),SUMIFS(Trips!$H5:$H1004,Trips!$G5:$G1004,$A67,Trips!$Z5:$Z1004,$B$3,Trips!$C5:$C1004,$B$4)))</f>
        <v/>
      </c>
      <c r="D67" s="187">
        <f>IF($A67="","",IF($B$4="All",SUMIFS(Trips!$K5:$K1004,Trips!$G5:$G1004,$A67,Trips!$Z5:$Z1004,$B$3),SUMIFS(Trips!$K5:$K1004,Trips!$G5:$G1004,$A67,Trips!$Z5:$Z1004,$B$3,Trips!$C5:$C1004,$B$4)))</f>
        <v/>
      </c>
      <c r="E67" s="187">
        <f>IF($A67="","",IF($B$4="All",SUMIFS(Trips!$U5:$U1004,Trips!$G5:$G1004,$A67,Trips!$Z5:$Z1004,$B$3),SUMIFS(Trips!$U5:$U1004,Trips!$G5:$G1004,$A67,Trips!$Z5:$Z1004,$B$3,Trips!$C5:$C1004,$B$4)))</f>
        <v/>
      </c>
      <c r="F67" s="187">
        <f>IF($A67="","",IF($B$4="All",SUMIFS(Trips!$V5:$V1004,Trips!$G5:$G1004,$A67,Trips!$Z5:$Z1004,$B$3),SUMIFS(Trips!$V5:$V1004,Trips!$G5:$G1004,$A67,Trips!$Z5:$Z1004,$B$3,Trips!$C5:$C1004,$B$4)))</f>
        <v/>
      </c>
      <c r="G67" s="198">
        <f>IF($A67="","",IF($D67=0,"",$F67/$D67))</f>
        <v/>
      </c>
      <c r="H67" s="204">
        <f>IF($A67="","",COUNTIF($D$51:$D$70,"&gt;"&amp;$D67)+COUNTIF($D$51:$D67,$D67))</f>
        <v/>
      </c>
      <c r="J67" s="194">
        <f>IFERROR(INDEX($A$51:$A$70,MATCH(17,$H$51:$H$70,0)),"")</f>
        <v/>
      </c>
      <c r="K67" s="195">
        <f>IFERROR(INDEX($B$51:$B$70,MATCH(17,$H$51:$H$70,0)),"")</f>
        <v/>
      </c>
      <c r="L67" s="196">
        <f>IFERROR(INDEX($C$51:$C$70,MATCH(17,$H$51:$H$70,0)),"")</f>
        <v/>
      </c>
      <c r="M67" s="187">
        <f>IFERROR(INDEX($D$51:$D$70,MATCH(17,$H$51:$H$70,0)),"")</f>
        <v/>
      </c>
      <c r="N67" s="187">
        <f>IFERROR(INDEX($F$51:$F$70,MATCH(17,$H$51:$H$70,0)),"")</f>
        <v/>
      </c>
      <c r="O67" s="198">
        <f>IF($J67="","",IF($M67=0,"",$N67/$M67))</f>
        <v/>
      </c>
    </row>
    <row r="68">
      <c r="A68" s="194">
        <f>IF(Setup!$A162="","",Setup!$A162)</f>
        <v/>
      </c>
      <c r="B68" s="195">
        <f>IF($A68="","",IF($B$4="All",COUNTIFS(Trips!$G5:$G1004,$A68,Trips!$Z5:$Z1004,$B$3),COUNTIFS(Trips!$G5:$G1004,$A68,Trips!$Z5:$Z1004,$B$3,Trips!$C5:$C1004,$B$4)))</f>
        <v/>
      </c>
      <c r="C68" s="196">
        <f>IF($A68="","",IF($B$4="All",SUMIFS(Trips!$H5:$H1004,Trips!$G5:$G1004,$A68,Trips!$Z5:$Z1004,$B$3),SUMIFS(Trips!$H5:$H1004,Trips!$G5:$G1004,$A68,Trips!$Z5:$Z1004,$B$3,Trips!$C5:$C1004,$B$4)))</f>
        <v/>
      </c>
      <c r="D68" s="187">
        <f>IF($A68="","",IF($B$4="All",SUMIFS(Trips!$K5:$K1004,Trips!$G5:$G1004,$A68,Trips!$Z5:$Z1004,$B$3),SUMIFS(Trips!$K5:$K1004,Trips!$G5:$G1004,$A68,Trips!$Z5:$Z1004,$B$3,Trips!$C5:$C1004,$B$4)))</f>
        <v/>
      </c>
      <c r="E68" s="187">
        <f>IF($A68="","",IF($B$4="All",SUMIFS(Trips!$U5:$U1004,Trips!$G5:$G1004,$A68,Trips!$Z5:$Z1004,$B$3),SUMIFS(Trips!$U5:$U1004,Trips!$G5:$G1004,$A68,Trips!$Z5:$Z1004,$B$3,Trips!$C5:$C1004,$B$4)))</f>
        <v/>
      </c>
      <c r="F68" s="187">
        <f>IF($A68="","",IF($B$4="All",SUMIFS(Trips!$V5:$V1004,Trips!$G5:$G1004,$A68,Trips!$Z5:$Z1004,$B$3),SUMIFS(Trips!$V5:$V1004,Trips!$G5:$G1004,$A68,Trips!$Z5:$Z1004,$B$3,Trips!$C5:$C1004,$B$4)))</f>
        <v/>
      </c>
      <c r="G68" s="198">
        <f>IF($A68="","",IF($D68=0,"",$F68/$D68))</f>
        <v/>
      </c>
      <c r="H68" s="204">
        <f>IF($A68="","",COUNTIF($D$51:$D$70,"&gt;"&amp;$D68)+COUNTIF($D$51:$D68,$D68))</f>
        <v/>
      </c>
      <c r="J68" s="194">
        <f>IFERROR(INDEX($A$51:$A$70,MATCH(18,$H$51:$H$70,0)),"")</f>
        <v/>
      </c>
      <c r="K68" s="195">
        <f>IFERROR(INDEX($B$51:$B$70,MATCH(18,$H$51:$H$70,0)),"")</f>
        <v/>
      </c>
      <c r="L68" s="196">
        <f>IFERROR(INDEX($C$51:$C$70,MATCH(18,$H$51:$H$70,0)),"")</f>
        <v/>
      </c>
      <c r="M68" s="187">
        <f>IFERROR(INDEX($D$51:$D$70,MATCH(18,$H$51:$H$70,0)),"")</f>
        <v/>
      </c>
      <c r="N68" s="187">
        <f>IFERROR(INDEX($F$51:$F$70,MATCH(18,$H$51:$H$70,0)),"")</f>
        <v/>
      </c>
      <c r="O68" s="198">
        <f>IF($J68="","",IF($M68=0,"",$N68/$M68))</f>
        <v/>
      </c>
    </row>
    <row r="69">
      <c r="A69" s="194">
        <f>IF(Setup!$A163="","",Setup!$A163)</f>
        <v/>
      </c>
      <c r="B69" s="195">
        <f>IF($A69="","",IF($B$4="All",COUNTIFS(Trips!$G5:$G1004,$A69,Trips!$Z5:$Z1004,$B$3),COUNTIFS(Trips!$G5:$G1004,$A69,Trips!$Z5:$Z1004,$B$3,Trips!$C5:$C1004,$B$4)))</f>
        <v/>
      </c>
      <c r="C69" s="196">
        <f>IF($A69="","",IF($B$4="All",SUMIFS(Trips!$H5:$H1004,Trips!$G5:$G1004,$A69,Trips!$Z5:$Z1004,$B$3),SUMIFS(Trips!$H5:$H1004,Trips!$G5:$G1004,$A69,Trips!$Z5:$Z1004,$B$3,Trips!$C5:$C1004,$B$4)))</f>
        <v/>
      </c>
      <c r="D69" s="187">
        <f>IF($A69="","",IF($B$4="All",SUMIFS(Trips!$K5:$K1004,Trips!$G5:$G1004,$A69,Trips!$Z5:$Z1004,$B$3),SUMIFS(Trips!$K5:$K1004,Trips!$G5:$G1004,$A69,Trips!$Z5:$Z1004,$B$3,Trips!$C5:$C1004,$B$4)))</f>
        <v/>
      </c>
      <c r="E69" s="187">
        <f>IF($A69="","",IF($B$4="All",SUMIFS(Trips!$U5:$U1004,Trips!$G5:$G1004,$A69,Trips!$Z5:$Z1004,$B$3),SUMIFS(Trips!$U5:$U1004,Trips!$G5:$G1004,$A69,Trips!$Z5:$Z1004,$B$3,Trips!$C5:$C1004,$B$4)))</f>
        <v/>
      </c>
      <c r="F69" s="187">
        <f>IF($A69="","",IF($B$4="All",SUMIFS(Trips!$V5:$V1004,Trips!$G5:$G1004,$A69,Trips!$Z5:$Z1004,$B$3),SUMIFS(Trips!$V5:$V1004,Trips!$G5:$G1004,$A69,Trips!$Z5:$Z1004,$B$3,Trips!$C5:$C1004,$B$4)))</f>
        <v/>
      </c>
      <c r="G69" s="198">
        <f>IF($A69="","",IF($D69=0,"",$F69/$D69))</f>
        <v/>
      </c>
      <c r="H69" s="204">
        <f>IF($A69="","",COUNTIF($D$51:$D$70,"&gt;"&amp;$D69)+COUNTIF($D$51:$D69,$D69))</f>
        <v/>
      </c>
      <c r="J69" s="194">
        <f>IFERROR(INDEX($A$51:$A$70,MATCH(19,$H$51:$H$70,0)),"")</f>
        <v/>
      </c>
      <c r="K69" s="195">
        <f>IFERROR(INDEX($B$51:$B$70,MATCH(19,$H$51:$H$70,0)),"")</f>
        <v/>
      </c>
      <c r="L69" s="196">
        <f>IFERROR(INDEX($C$51:$C$70,MATCH(19,$H$51:$H$70,0)),"")</f>
        <v/>
      </c>
      <c r="M69" s="187">
        <f>IFERROR(INDEX($D$51:$D$70,MATCH(19,$H$51:$H$70,0)),"")</f>
        <v/>
      </c>
      <c r="N69" s="187">
        <f>IFERROR(INDEX($F$51:$F$70,MATCH(19,$H$51:$H$70,0)),"")</f>
        <v/>
      </c>
      <c r="O69" s="198">
        <f>IF($J69="","",IF($M69=0,"",$N69/$M69))</f>
        <v/>
      </c>
    </row>
    <row r="70">
      <c r="A70" s="194">
        <f>IF(Setup!$A164="","",Setup!$A164)</f>
        <v/>
      </c>
      <c r="B70" s="195">
        <f>IF($A70="","",IF($B$4="All",COUNTIFS(Trips!$G5:$G1004,$A70,Trips!$Z5:$Z1004,$B$3),COUNTIFS(Trips!$G5:$G1004,$A70,Trips!$Z5:$Z1004,$B$3,Trips!$C5:$C1004,$B$4)))</f>
        <v/>
      </c>
      <c r="C70" s="196">
        <f>IF($A70="","",IF($B$4="All",SUMIFS(Trips!$H5:$H1004,Trips!$G5:$G1004,$A70,Trips!$Z5:$Z1004,$B$3),SUMIFS(Trips!$H5:$H1004,Trips!$G5:$G1004,$A70,Trips!$Z5:$Z1004,$B$3,Trips!$C5:$C1004,$B$4)))</f>
        <v/>
      </c>
      <c r="D70" s="187">
        <f>IF($A70="","",IF($B$4="All",SUMIFS(Trips!$K5:$K1004,Trips!$G5:$G1004,$A70,Trips!$Z5:$Z1004,$B$3),SUMIFS(Trips!$K5:$K1004,Trips!$G5:$G1004,$A70,Trips!$Z5:$Z1004,$B$3,Trips!$C5:$C1004,$B$4)))</f>
        <v/>
      </c>
      <c r="E70" s="187">
        <f>IF($A70="","",IF($B$4="All",SUMIFS(Trips!$U5:$U1004,Trips!$G5:$G1004,$A70,Trips!$Z5:$Z1004,$B$3),SUMIFS(Trips!$U5:$U1004,Trips!$G5:$G1004,$A70,Trips!$Z5:$Z1004,$B$3,Trips!$C5:$C1004,$B$4)))</f>
        <v/>
      </c>
      <c r="F70" s="187">
        <f>IF($A70="","",IF($B$4="All",SUMIFS(Trips!$V5:$V1004,Trips!$G5:$G1004,$A70,Trips!$Z5:$Z1004,$B$3),SUMIFS(Trips!$V5:$V1004,Trips!$G5:$G1004,$A70,Trips!$Z5:$Z1004,$B$3,Trips!$C5:$C1004,$B$4)))</f>
        <v/>
      </c>
      <c r="G70" s="198">
        <f>IF($A70="","",IF($D70=0,"",$F70/$D70))</f>
        <v/>
      </c>
      <c r="H70" s="204">
        <f>IF($A70="","",COUNTIF($D$51:$D$70,"&gt;"&amp;$D70)+COUNTIF($D$51:$D70,$D70))</f>
        <v/>
      </c>
      <c r="J70" s="194">
        <f>IFERROR(INDEX($A$51:$A$70,MATCH(20,$H$51:$H$70,0)),"")</f>
        <v/>
      </c>
      <c r="K70" s="195">
        <f>IFERROR(INDEX($B$51:$B$70,MATCH(20,$H$51:$H$70,0)),"")</f>
        <v/>
      </c>
      <c r="L70" s="196">
        <f>IFERROR(INDEX($C$51:$C$70,MATCH(20,$H$51:$H$70,0)),"")</f>
        <v/>
      </c>
      <c r="M70" s="187">
        <f>IFERROR(INDEX($D$51:$D$70,MATCH(20,$H$51:$H$70,0)),"")</f>
        <v/>
      </c>
      <c r="N70" s="187">
        <f>IFERROR(INDEX($F$51:$F$70,MATCH(20,$H$51:$H$70,0)),"")</f>
        <v/>
      </c>
      <c r="O70" s="198">
        <f>IF($J70="","",IF($M70=0,"",$N70/$M70))</f>
        <v/>
      </c>
    </row>
    <row r="73">
      <c r="A73" s="182" t="inlineStr">
        <is>
          <t>CREW ROLL-UP (selected month)</t>
        </is>
      </c>
    </row>
    <row r="74">
      <c r="A74" s="192" t="inlineStr">
        <is>
          <t>NAME</t>
        </is>
      </c>
      <c r="B74" s="192" t="inlineStr">
        <is>
          <t>ROLE</t>
        </is>
      </c>
      <c r="C74" s="192" t="inlineStr">
        <is>
          <t>TRIPS</t>
        </is>
      </c>
      <c r="D74" s="192" t="inlineStr">
        <is>
          <t>GROSS FEE HANDLED</t>
        </is>
      </c>
      <c r="E74" s="192" t="inlineStr">
        <is>
          <t>SHARE EARNED</t>
        </is>
      </c>
      <c r="F74" s="192" t="inlineStr">
        <is>
          <t>ALLOWANCE</t>
        </is>
      </c>
      <c r="G74" s="192" t="inlineStr">
        <is>
          <t>REIMBURSED</t>
        </is>
      </c>
      <c r="H74" s="192" t="inlineStr">
        <is>
          <t>ADVANCE</t>
        </is>
      </c>
      <c r="I74" s="192" t="inlineStr">
        <is>
          <t>RELEASED</t>
        </is>
      </c>
      <c r="J74" s="192" t="inlineStr">
        <is>
          <t>BALANCE</t>
        </is>
      </c>
    </row>
    <row r="75">
      <c r="A75" s="194">
        <f>IF(Setup!$A76="","",Setup!$A76)</f>
        <v/>
      </c>
      <c r="B75" s="194">
        <f>IF($A75="","",Setup!$B76)</f>
        <v/>
      </c>
      <c r="C75" s="195">
        <f>IF($A75="","",COUNTIFS(Trips!$Z5:$Z1004,$B$3,Trips!$D5:$D1004,$A75)+COUNTIFS(Trips!$Z5:$Z1004,$B$3,Trips!$E5:$E1004,$A75))</f>
        <v/>
      </c>
      <c r="D75" s="187">
        <f>IF($A75="","",SUMIFS(Trips!$K5:$K1004,Trips!$Z5:$Z1004,$B$3,Trips!$D5:$D1004,$A75)+SUMIFS(Trips!$K5:$K1004,Trips!$Z5:$Z1004,$B$3,Trips!$E5:$E1004,$A75))</f>
        <v/>
      </c>
      <c r="E75" s="187">
        <f>IF($A75="","",SUMIFS(Trips!$N5:$N1004,Trips!$Z5:$Z1004,$B$3,Trips!$D5:$D1004,$A75)+SUMIFS(Trips!$O5:$O1004,Trips!$Z5:$Z1004,$B$3,Trips!$E5:$E1004,$A75))</f>
        <v/>
      </c>
      <c r="F75" s="187">
        <f>IF($A75="","",SUMIFS(Trips!$P5:$P1004,Trips!$Z5:$Z1004,$B$3,Trips!$D5:$D1004,$A75))</f>
        <v/>
      </c>
      <c r="G75" s="187">
        <f>IF($A75="","",SUMIFS(Trips!$Q5:$Q1004,Trips!$Z5:$Z1004,$B$3,Trips!$D5:$D1004,$A75))</f>
        <v/>
      </c>
      <c r="H75" s="187">
        <f>IF($A75="","",SUMIFS(Expenses!$F5:$F1004,Expenses!$L5:$L1004,"ADV",Expenses!$J5:$J1004,$B$3,Expenses!$E5:$E1004,$A75))</f>
        <v/>
      </c>
      <c r="I75" s="187">
        <f>IF($A75="","",SUMIFS(Expenses!$F5:$F1004,Expenses!$L5:$L1004,"PAY",Expenses!$J5:$J1004,$B$3,Expenses!$E5:$E1004,$A75))</f>
        <v/>
      </c>
      <c r="J75" s="197">
        <f>IF($A75="","",$E75+$F75+$G75-$H75-$I75)</f>
        <v/>
      </c>
    </row>
    <row r="76">
      <c r="A76" s="194">
        <f>IF(Setup!$A77="","",Setup!$A77)</f>
        <v/>
      </c>
      <c r="B76" s="194">
        <f>IF($A76="","",Setup!$B77)</f>
        <v/>
      </c>
      <c r="C76" s="195">
        <f>IF($A76="","",COUNTIFS(Trips!$Z5:$Z1004,$B$3,Trips!$D5:$D1004,$A76)+COUNTIFS(Trips!$Z5:$Z1004,$B$3,Trips!$E5:$E1004,$A76))</f>
        <v/>
      </c>
      <c r="D76" s="187">
        <f>IF($A76="","",SUMIFS(Trips!$K5:$K1004,Trips!$Z5:$Z1004,$B$3,Trips!$D5:$D1004,$A76)+SUMIFS(Trips!$K5:$K1004,Trips!$Z5:$Z1004,$B$3,Trips!$E5:$E1004,$A76))</f>
        <v/>
      </c>
      <c r="E76" s="187">
        <f>IF($A76="","",SUMIFS(Trips!$N5:$N1004,Trips!$Z5:$Z1004,$B$3,Trips!$D5:$D1004,$A76)+SUMIFS(Trips!$O5:$O1004,Trips!$Z5:$Z1004,$B$3,Trips!$E5:$E1004,$A76))</f>
        <v/>
      </c>
      <c r="F76" s="187">
        <f>IF($A76="","",SUMIFS(Trips!$P5:$P1004,Trips!$Z5:$Z1004,$B$3,Trips!$D5:$D1004,$A76))</f>
        <v/>
      </c>
      <c r="G76" s="187">
        <f>IF($A76="","",SUMIFS(Trips!$Q5:$Q1004,Trips!$Z5:$Z1004,$B$3,Trips!$D5:$D1004,$A76))</f>
        <v/>
      </c>
      <c r="H76" s="187">
        <f>IF($A76="","",SUMIFS(Expenses!$F5:$F1004,Expenses!$L5:$L1004,"ADV",Expenses!$J5:$J1004,$B$3,Expenses!$E5:$E1004,$A76))</f>
        <v/>
      </c>
      <c r="I76" s="187">
        <f>IF($A76="","",SUMIFS(Expenses!$F5:$F1004,Expenses!$L5:$L1004,"PAY",Expenses!$J5:$J1004,$B$3,Expenses!$E5:$E1004,$A76))</f>
        <v/>
      </c>
      <c r="J76" s="197">
        <f>IF($A76="","",$E76+$F76+$G76-$H76-$I76)</f>
        <v/>
      </c>
    </row>
    <row r="77">
      <c r="A77" s="194">
        <f>IF(Setup!$A78="","",Setup!$A78)</f>
        <v/>
      </c>
      <c r="B77" s="194">
        <f>IF($A77="","",Setup!$B78)</f>
        <v/>
      </c>
      <c r="C77" s="195">
        <f>IF($A77="","",COUNTIFS(Trips!$Z5:$Z1004,$B$3,Trips!$D5:$D1004,$A77)+COUNTIFS(Trips!$Z5:$Z1004,$B$3,Trips!$E5:$E1004,$A77))</f>
        <v/>
      </c>
      <c r="D77" s="187">
        <f>IF($A77="","",SUMIFS(Trips!$K5:$K1004,Trips!$Z5:$Z1004,$B$3,Trips!$D5:$D1004,$A77)+SUMIFS(Trips!$K5:$K1004,Trips!$Z5:$Z1004,$B$3,Trips!$E5:$E1004,$A77))</f>
        <v/>
      </c>
      <c r="E77" s="187">
        <f>IF($A77="","",SUMIFS(Trips!$N5:$N1004,Trips!$Z5:$Z1004,$B$3,Trips!$D5:$D1004,$A77)+SUMIFS(Trips!$O5:$O1004,Trips!$Z5:$Z1004,$B$3,Trips!$E5:$E1004,$A77))</f>
        <v/>
      </c>
      <c r="F77" s="187">
        <f>IF($A77="","",SUMIFS(Trips!$P5:$P1004,Trips!$Z5:$Z1004,$B$3,Trips!$D5:$D1004,$A77))</f>
        <v/>
      </c>
      <c r="G77" s="187">
        <f>IF($A77="","",SUMIFS(Trips!$Q5:$Q1004,Trips!$Z5:$Z1004,$B$3,Trips!$D5:$D1004,$A77))</f>
        <v/>
      </c>
      <c r="H77" s="187">
        <f>IF($A77="","",SUMIFS(Expenses!$F5:$F1004,Expenses!$L5:$L1004,"ADV",Expenses!$J5:$J1004,$B$3,Expenses!$E5:$E1004,$A77))</f>
        <v/>
      </c>
      <c r="I77" s="187">
        <f>IF($A77="","",SUMIFS(Expenses!$F5:$F1004,Expenses!$L5:$L1004,"PAY",Expenses!$J5:$J1004,$B$3,Expenses!$E5:$E1004,$A77))</f>
        <v/>
      </c>
      <c r="J77" s="197">
        <f>IF($A77="","",$E77+$F77+$G77-$H77-$I77)</f>
        <v/>
      </c>
    </row>
    <row r="78">
      <c r="A78" s="194">
        <f>IF(Setup!$A79="","",Setup!$A79)</f>
        <v/>
      </c>
      <c r="B78" s="194">
        <f>IF($A78="","",Setup!$B79)</f>
        <v/>
      </c>
      <c r="C78" s="195">
        <f>IF($A78="","",COUNTIFS(Trips!$Z5:$Z1004,$B$3,Trips!$D5:$D1004,$A78)+COUNTIFS(Trips!$Z5:$Z1004,$B$3,Trips!$E5:$E1004,$A78))</f>
        <v/>
      </c>
      <c r="D78" s="187">
        <f>IF($A78="","",SUMIFS(Trips!$K5:$K1004,Trips!$Z5:$Z1004,$B$3,Trips!$D5:$D1004,$A78)+SUMIFS(Trips!$K5:$K1004,Trips!$Z5:$Z1004,$B$3,Trips!$E5:$E1004,$A78))</f>
        <v/>
      </c>
      <c r="E78" s="187">
        <f>IF($A78="","",SUMIFS(Trips!$N5:$N1004,Trips!$Z5:$Z1004,$B$3,Trips!$D5:$D1004,$A78)+SUMIFS(Trips!$O5:$O1004,Trips!$Z5:$Z1004,$B$3,Trips!$E5:$E1004,$A78))</f>
        <v/>
      </c>
      <c r="F78" s="187">
        <f>IF($A78="","",SUMIFS(Trips!$P5:$P1004,Trips!$Z5:$Z1004,$B$3,Trips!$D5:$D1004,$A78))</f>
        <v/>
      </c>
      <c r="G78" s="187">
        <f>IF($A78="","",SUMIFS(Trips!$Q5:$Q1004,Trips!$Z5:$Z1004,$B$3,Trips!$D5:$D1004,$A78))</f>
        <v/>
      </c>
      <c r="H78" s="187">
        <f>IF($A78="","",SUMIFS(Expenses!$F5:$F1004,Expenses!$L5:$L1004,"ADV",Expenses!$J5:$J1004,$B$3,Expenses!$E5:$E1004,$A78))</f>
        <v/>
      </c>
      <c r="I78" s="187">
        <f>IF($A78="","",SUMIFS(Expenses!$F5:$F1004,Expenses!$L5:$L1004,"PAY",Expenses!$J5:$J1004,$B$3,Expenses!$E5:$E1004,$A78))</f>
        <v/>
      </c>
      <c r="J78" s="197">
        <f>IF($A78="","",$E78+$F78+$G78-$H78-$I78)</f>
        <v/>
      </c>
    </row>
    <row r="79">
      <c r="A79" s="194">
        <f>IF(Setup!$A80="","",Setup!$A80)</f>
        <v/>
      </c>
      <c r="B79" s="194">
        <f>IF($A79="","",Setup!$B80)</f>
        <v/>
      </c>
      <c r="C79" s="195">
        <f>IF($A79="","",COUNTIFS(Trips!$Z5:$Z1004,$B$3,Trips!$D5:$D1004,$A79)+COUNTIFS(Trips!$Z5:$Z1004,$B$3,Trips!$E5:$E1004,$A79))</f>
        <v/>
      </c>
      <c r="D79" s="187">
        <f>IF($A79="","",SUMIFS(Trips!$K5:$K1004,Trips!$Z5:$Z1004,$B$3,Trips!$D5:$D1004,$A79)+SUMIFS(Trips!$K5:$K1004,Trips!$Z5:$Z1004,$B$3,Trips!$E5:$E1004,$A79))</f>
        <v/>
      </c>
      <c r="E79" s="187">
        <f>IF($A79="","",SUMIFS(Trips!$N5:$N1004,Trips!$Z5:$Z1004,$B$3,Trips!$D5:$D1004,$A79)+SUMIFS(Trips!$O5:$O1004,Trips!$Z5:$Z1004,$B$3,Trips!$E5:$E1004,$A79))</f>
        <v/>
      </c>
      <c r="F79" s="187">
        <f>IF($A79="","",SUMIFS(Trips!$P5:$P1004,Trips!$Z5:$Z1004,$B$3,Trips!$D5:$D1004,$A79))</f>
        <v/>
      </c>
      <c r="G79" s="187">
        <f>IF($A79="","",SUMIFS(Trips!$Q5:$Q1004,Trips!$Z5:$Z1004,$B$3,Trips!$D5:$D1004,$A79))</f>
        <v/>
      </c>
      <c r="H79" s="187">
        <f>IF($A79="","",SUMIFS(Expenses!$F5:$F1004,Expenses!$L5:$L1004,"ADV",Expenses!$J5:$J1004,$B$3,Expenses!$E5:$E1004,$A79))</f>
        <v/>
      </c>
      <c r="I79" s="187">
        <f>IF($A79="","",SUMIFS(Expenses!$F5:$F1004,Expenses!$L5:$L1004,"PAY",Expenses!$J5:$J1004,$B$3,Expenses!$E5:$E1004,$A79))</f>
        <v/>
      </c>
      <c r="J79" s="197">
        <f>IF($A79="","",$E79+$F79+$G79-$H79-$I79)</f>
        <v/>
      </c>
    </row>
    <row r="80">
      <c r="A80" s="194">
        <f>IF(Setup!$A81="","",Setup!$A81)</f>
        <v/>
      </c>
      <c r="B80" s="194">
        <f>IF($A80="","",Setup!$B81)</f>
        <v/>
      </c>
      <c r="C80" s="195">
        <f>IF($A80="","",COUNTIFS(Trips!$Z5:$Z1004,$B$3,Trips!$D5:$D1004,$A80)+COUNTIFS(Trips!$Z5:$Z1004,$B$3,Trips!$E5:$E1004,$A80))</f>
        <v/>
      </c>
      <c r="D80" s="187">
        <f>IF($A80="","",SUMIFS(Trips!$K5:$K1004,Trips!$Z5:$Z1004,$B$3,Trips!$D5:$D1004,$A80)+SUMIFS(Trips!$K5:$K1004,Trips!$Z5:$Z1004,$B$3,Trips!$E5:$E1004,$A80))</f>
        <v/>
      </c>
      <c r="E80" s="187">
        <f>IF($A80="","",SUMIFS(Trips!$N5:$N1004,Trips!$Z5:$Z1004,$B$3,Trips!$D5:$D1004,$A80)+SUMIFS(Trips!$O5:$O1004,Trips!$Z5:$Z1004,$B$3,Trips!$E5:$E1004,$A80))</f>
        <v/>
      </c>
      <c r="F80" s="187">
        <f>IF($A80="","",SUMIFS(Trips!$P5:$P1004,Trips!$Z5:$Z1004,$B$3,Trips!$D5:$D1004,$A80))</f>
        <v/>
      </c>
      <c r="G80" s="187">
        <f>IF($A80="","",SUMIFS(Trips!$Q5:$Q1004,Trips!$Z5:$Z1004,$B$3,Trips!$D5:$D1004,$A80))</f>
        <v/>
      </c>
      <c r="H80" s="187">
        <f>IF($A80="","",SUMIFS(Expenses!$F5:$F1004,Expenses!$L5:$L1004,"ADV",Expenses!$J5:$J1004,$B$3,Expenses!$E5:$E1004,$A80))</f>
        <v/>
      </c>
      <c r="I80" s="187">
        <f>IF($A80="","",SUMIFS(Expenses!$F5:$F1004,Expenses!$L5:$L1004,"PAY",Expenses!$J5:$J1004,$B$3,Expenses!$E5:$E1004,$A80))</f>
        <v/>
      </c>
      <c r="J80" s="197">
        <f>IF($A80="","",$E80+$F80+$G80-$H80-$I80)</f>
        <v/>
      </c>
    </row>
    <row r="81">
      <c r="A81" s="194">
        <f>IF(Setup!$A82="","",Setup!$A82)</f>
        <v/>
      </c>
      <c r="B81" s="194">
        <f>IF($A81="","",Setup!$B82)</f>
        <v/>
      </c>
      <c r="C81" s="195">
        <f>IF($A81="","",COUNTIFS(Trips!$Z5:$Z1004,$B$3,Trips!$D5:$D1004,$A81)+COUNTIFS(Trips!$Z5:$Z1004,$B$3,Trips!$E5:$E1004,$A81))</f>
        <v/>
      </c>
      <c r="D81" s="187">
        <f>IF($A81="","",SUMIFS(Trips!$K5:$K1004,Trips!$Z5:$Z1004,$B$3,Trips!$D5:$D1004,$A81)+SUMIFS(Trips!$K5:$K1004,Trips!$Z5:$Z1004,$B$3,Trips!$E5:$E1004,$A81))</f>
        <v/>
      </c>
      <c r="E81" s="187">
        <f>IF($A81="","",SUMIFS(Trips!$N5:$N1004,Trips!$Z5:$Z1004,$B$3,Trips!$D5:$D1004,$A81)+SUMIFS(Trips!$O5:$O1004,Trips!$Z5:$Z1004,$B$3,Trips!$E5:$E1004,$A81))</f>
        <v/>
      </c>
      <c r="F81" s="187">
        <f>IF($A81="","",SUMIFS(Trips!$P5:$P1004,Trips!$Z5:$Z1004,$B$3,Trips!$D5:$D1004,$A81))</f>
        <v/>
      </c>
      <c r="G81" s="187">
        <f>IF($A81="","",SUMIFS(Trips!$Q5:$Q1004,Trips!$Z5:$Z1004,$B$3,Trips!$D5:$D1004,$A81))</f>
        <v/>
      </c>
      <c r="H81" s="187">
        <f>IF($A81="","",SUMIFS(Expenses!$F5:$F1004,Expenses!$L5:$L1004,"ADV",Expenses!$J5:$J1004,$B$3,Expenses!$E5:$E1004,$A81))</f>
        <v/>
      </c>
      <c r="I81" s="187">
        <f>IF($A81="","",SUMIFS(Expenses!$F5:$F1004,Expenses!$L5:$L1004,"PAY",Expenses!$J5:$J1004,$B$3,Expenses!$E5:$E1004,$A81))</f>
        <v/>
      </c>
      <c r="J81" s="197">
        <f>IF($A81="","",$E81+$F81+$G81-$H81-$I81)</f>
        <v/>
      </c>
    </row>
    <row r="82">
      <c r="A82" s="194">
        <f>IF(Setup!$A83="","",Setup!$A83)</f>
        <v/>
      </c>
      <c r="B82" s="194">
        <f>IF($A82="","",Setup!$B83)</f>
        <v/>
      </c>
      <c r="C82" s="195">
        <f>IF($A82="","",COUNTIFS(Trips!$Z5:$Z1004,$B$3,Trips!$D5:$D1004,$A82)+COUNTIFS(Trips!$Z5:$Z1004,$B$3,Trips!$E5:$E1004,$A82))</f>
        <v/>
      </c>
      <c r="D82" s="187">
        <f>IF($A82="","",SUMIFS(Trips!$K5:$K1004,Trips!$Z5:$Z1004,$B$3,Trips!$D5:$D1004,$A82)+SUMIFS(Trips!$K5:$K1004,Trips!$Z5:$Z1004,$B$3,Trips!$E5:$E1004,$A82))</f>
        <v/>
      </c>
      <c r="E82" s="187">
        <f>IF($A82="","",SUMIFS(Trips!$N5:$N1004,Trips!$Z5:$Z1004,$B$3,Trips!$D5:$D1004,$A82)+SUMIFS(Trips!$O5:$O1004,Trips!$Z5:$Z1004,$B$3,Trips!$E5:$E1004,$A82))</f>
        <v/>
      </c>
      <c r="F82" s="187">
        <f>IF($A82="","",SUMIFS(Trips!$P5:$P1004,Trips!$Z5:$Z1004,$B$3,Trips!$D5:$D1004,$A82))</f>
        <v/>
      </c>
      <c r="G82" s="187">
        <f>IF($A82="","",SUMIFS(Trips!$Q5:$Q1004,Trips!$Z5:$Z1004,$B$3,Trips!$D5:$D1004,$A82))</f>
        <v/>
      </c>
      <c r="H82" s="187">
        <f>IF($A82="","",SUMIFS(Expenses!$F5:$F1004,Expenses!$L5:$L1004,"ADV",Expenses!$J5:$J1004,$B$3,Expenses!$E5:$E1004,$A82))</f>
        <v/>
      </c>
      <c r="I82" s="187">
        <f>IF($A82="","",SUMIFS(Expenses!$F5:$F1004,Expenses!$L5:$L1004,"PAY",Expenses!$J5:$J1004,$B$3,Expenses!$E5:$E1004,$A82))</f>
        <v/>
      </c>
      <c r="J82" s="197">
        <f>IF($A82="","",$E82+$F82+$G82-$H82-$I82)</f>
        <v/>
      </c>
    </row>
    <row r="83">
      <c r="A83" s="194">
        <f>IF(Setup!$A84="","",Setup!$A84)</f>
        <v/>
      </c>
      <c r="B83" s="194">
        <f>IF($A83="","",Setup!$B84)</f>
        <v/>
      </c>
      <c r="C83" s="195">
        <f>IF($A83="","",COUNTIFS(Trips!$Z5:$Z1004,$B$3,Trips!$D5:$D1004,$A83)+COUNTIFS(Trips!$Z5:$Z1004,$B$3,Trips!$E5:$E1004,$A83))</f>
        <v/>
      </c>
      <c r="D83" s="187">
        <f>IF($A83="","",SUMIFS(Trips!$K5:$K1004,Trips!$Z5:$Z1004,$B$3,Trips!$D5:$D1004,$A83)+SUMIFS(Trips!$K5:$K1004,Trips!$Z5:$Z1004,$B$3,Trips!$E5:$E1004,$A83))</f>
        <v/>
      </c>
      <c r="E83" s="187">
        <f>IF($A83="","",SUMIFS(Trips!$N5:$N1004,Trips!$Z5:$Z1004,$B$3,Trips!$D5:$D1004,$A83)+SUMIFS(Trips!$O5:$O1004,Trips!$Z5:$Z1004,$B$3,Trips!$E5:$E1004,$A83))</f>
        <v/>
      </c>
      <c r="F83" s="187">
        <f>IF($A83="","",SUMIFS(Trips!$P5:$P1004,Trips!$Z5:$Z1004,$B$3,Trips!$D5:$D1004,$A83))</f>
        <v/>
      </c>
      <c r="G83" s="187">
        <f>IF($A83="","",SUMIFS(Trips!$Q5:$Q1004,Trips!$Z5:$Z1004,$B$3,Trips!$D5:$D1004,$A83))</f>
        <v/>
      </c>
      <c r="H83" s="187">
        <f>IF($A83="","",SUMIFS(Expenses!$F5:$F1004,Expenses!$L5:$L1004,"ADV",Expenses!$J5:$J1004,$B$3,Expenses!$E5:$E1004,$A83))</f>
        <v/>
      </c>
      <c r="I83" s="187">
        <f>IF($A83="","",SUMIFS(Expenses!$F5:$F1004,Expenses!$L5:$L1004,"PAY",Expenses!$J5:$J1004,$B$3,Expenses!$E5:$E1004,$A83))</f>
        <v/>
      </c>
      <c r="J83" s="197">
        <f>IF($A83="","",$E83+$F83+$G83-$H83-$I83)</f>
        <v/>
      </c>
    </row>
    <row r="84">
      <c r="A84" s="194">
        <f>IF(Setup!$A85="","",Setup!$A85)</f>
        <v/>
      </c>
      <c r="B84" s="194">
        <f>IF($A84="","",Setup!$B85)</f>
        <v/>
      </c>
      <c r="C84" s="195">
        <f>IF($A84="","",COUNTIFS(Trips!$Z5:$Z1004,$B$3,Trips!$D5:$D1004,$A84)+COUNTIFS(Trips!$Z5:$Z1004,$B$3,Trips!$E5:$E1004,$A84))</f>
        <v/>
      </c>
      <c r="D84" s="187">
        <f>IF($A84="","",SUMIFS(Trips!$K5:$K1004,Trips!$Z5:$Z1004,$B$3,Trips!$D5:$D1004,$A84)+SUMIFS(Trips!$K5:$K1004,Trips!$Z5:$Z1004,$B$3,Trips!$E5:$E1004,$A84))</f>
        <v/>
      </c>
      <c r="E84" s="187">
        <f>IF($A84="","",SUMIFS(Trips!$N5:$N1004,Trips!$Z5:$Z1004,$B$3,Trips!$D5:$D1004,$A84)+SUMIFS(Trips!$O5:$O1004,Trips!$Z5:$Z1004,$B$3,Trips!$E5:$E1004,$A84))</f>
        <v/>
      </c>
      <c r="F84" s="187">
        <f>IF($A84="","",SUMIFS(Trips!$P5:$P1004,Trips!$Z5:$Z1004,$B$3,Trips!$D5:$D1004,$A84))</f>
        <v/>
      </c>
      <c r="G84" s="187">
        <f>IF($A84="","",SUMIFS(Trips!$Q5:$Q1004,Trips!$Z5:$Z1004,$B$3,Trips!$D5:$D1004,$A84))</f>
        <v/>
      </c>
      <c r="H84" s="187">
        <f>IF($A84="","",SUMIFS(Expenses!$F5:$F1004,Expenses!$L5:$L1004,"ADV",Expenses!$J5:$J1004,$B$3,Expenses!$E5:$E1004,$A84))</f>
        <v/>
      </c>
      <c r="I84" s="187">
        <f>IF($A84="","",SUMIFS(Expenses!$F5:$F1004,Expenses!$L5:$L1004,"PAY",Expenses!$J5:$J1004,$B$3,Expenses!$E5:$E1004,$A84))</f>
        <v/>
      </c>
      <c r="J84" s="197">
        <f>IF($A84="","",$E84+$F84+$G84-$H84-$I84)</f>
        <v/>
      </c>
    </row>
    <row r="85">
      <c r="A85" s="194">
        <f>IF(Setup!$A86="","",Setup!$A86)</f>
        <v/>
      </c>
      <c r="B85" s="194">
        <f>IF($A85="","",Setup!$B86)</f>
        <v/>
      </c>
      <c r="C85" s="195">
        <f>IF($A85="","",COUNTIFS(Trips!$Z5:$Z1004,$B$3,Trips!$D5:$D1004,$A85)+COUNTIFS(Trips!$Z5:$Z1004,$B$3,Trips!$E5:$E1004,$A85))</f>
        <v/>
      </c>
      <c r="D85" s="187">
        <f>IF($A85="","",SUMIFS(Trips!$K5:$K1004,Trips!$Z5:$Z1004,$B$3,Trips!$D5:$D1004,$A85)+SUMIFS(Trips!$K5:$K1004,Trips!$Z5:$Z1004,$B$3,Trips!$E5:$E1004,$A85))</f>
        <v/>
      </c>
      <c r="E85" s="187">
        <f>IF($A85="","",SUMIFS(Trips!$N5:$N1004,Trips!$Z5:$Z1004,$B$3,Trips!$D5:$D1004,$A85)+SUMIFS(Trips!$O5:$O1004,Trips!$Z5:$Z1004,$B$3,Trips!$E5:$E1004,$A85))</f>
        <v/>
      </c>
      <c r="F85" s="187">
        <f>IF($A85="","",SUMIFS(Trips!$P5:$P1004,Trips!$Z5:$Z1004,$B$3,Trips!$D5:$D1004,$A85))</f>
        <v/>
      </c>
      <c r="G85" s="187">
        <f>IF($A85="","",SUMIFS(Trips!$Q5:$Q1004,Trips!$Z5:$Z1004,$B$3,Trips!$D5:$D1004,$A85))</f>
        <v/>
      </c>
      <c r="H85" s="187">
        <f>IF($A85="","",SUMIFS(Expenses!$F5:$F1004,Expenses!$L5:$L1004,"ADV",Expenses!$J5:$J1004,$B$3,Expenses!$E5:$E1004,$A85))</f>
        <v/>
      </c>
      <c r="I85" s="187">
        <f>IF($A85="","",SUMIFS(Expenses!$F5:$F1004,Expenses!$L5:$L1004,"PAY",Expenses!$J5:$J1004,$B$3,Expenses!$E5:$E1004,$A85))</f>
        <v/>
      </c>
      <c r="J85" s="197">
        <f>IF($A85="","",$E85+$F85+$G85-$H85-$I85)</f>
        <v/>
      </c>
    </row>
    <row r="86">
      <c r="A86" s="194">
        <f>IF(Setup!$A87="","",Setup!$A87)</f>
        <v/>
      </c>
      <c r="B86" s="194">
        <f>IF($A86="","",Setup!$B87)</f>
        <v/>
      </c>
      <c r="C86" s="195">
        <f>IF($A86="","",COUNTIFS(Trips!$Z5:$Z1004,$B$3,Trips!$D5:$D1004,$A86)+COUNTIFS(Trips!$Z5:$Z1004,$B$3,Trips!$E5:$E1004,$A86))</f>
        <v/>
      </c>
      <c r="D86" s="187">
        <f>IF($A86="","",SUMIFS(Trips!$K5:$K1004,Trips!$Z5:$Z1004,$B$3,Trips!$D5:$D1004,$A86)+SUMIFS(Trips!$K5:$K1004,Trips!$Z5:$Z1004,$B$3,Trips!$E5:$E1004,$A86))</f>
        <v/>
      </c>
      <c r="E86" s="187">
        <f>IF($A86="","",SUMIFS(Trips!$N5:$N1004,Trips!$Z5:$Z1004,$B$3,Trips!$D5:$D1004,$A86)+SUMIFS(Trips!$O5:$O1004,Trips!$Z5:$Z1004,$B$3,Trips!$E5:$E1004,$A86))</f>
        <v/>
      </c>
      <c r="F86" s="187">
        <f>IF($A86="","",SUMIFS(Trips!$P5:$P1004,Trips!$Z5:$Z1004,$B$3,Trips!$D5:$D1004,$A86))</f>
        <v/>
      </c>
      <c r="G86" s="187">
        <f>IF($A86="","",SUMIFS(Trips!$Q5:$Q1004,Trips!$Z5:$Z1004,$B$3,Trips!$D5:$D1004,$A86))</f>
        <v/>
      </c>
      <c r="H86" s="187">
        <f>IF($A86="","",SUMIFS(Expenses!$F5:$F1004,Expenses!$L5:$L1004,"ADV",Expenses!$J5:$J1004,$B$3,Expenses!$E5:$E1004,$A86))</f>
        <v/>
      </c>
      <c r="I86" s="187">
        <f>IF($A86="","",SUMIFS(Expenses!$F5:$F1004,Expenses!$L5:$L1004,"PAY",Expenses!$J5:$J1004,$B$3,Expenses!$E5:$E1004,$A86))</f>
        <v/>
      </c>
      <c r="J86" s="197">
        <f>IF($A86="","",$E86+$F86+$G86-$H86-$I86)</f>
        <v/>
      </c>
    </row>
    <row r="89">
      <c r="A89" s="182" t="inlineStr">
        <is>
          <t>EXPENSES BY COST GROUP (selected month)</t>
        </is>
      </c>
    </row>
    <row r="90">
      <c r="A90" s="200" t="inlineStr">
        <is>
          <t>GROUP</t>
        </is>
      </c>
      <c r="B90" s="200" t="inlineStr">
        <is>
          <t>AMOUNT</t>
        </is>
      </c>
    </row>
    <row r="91">
      <c r="A91" s="194" t="inlineStr">
        <is>
          <t>Vehicle</t>
        </is>
      </c>
      <c r="B91" s="187">
        <f>IF($B$4="All",SUMIFS(Expenses!$F5:$F1004,Expenses!$J5:$J1004,$B$3,Expenses!$I5:$I1004,$A91),SUMIFS(Expenses!$F5:$F1004,Expenses!$J5:$J1004,$B$3,Expenses!$I5:$I1004,$A91,Expenses!$D5:$D1004,$B$4))</f>
        <v/>
      </c>
    </row>
    <row r="92">
      <c r="A92" s="194" t="inlineStr">
        <is>
          <t>Financing</t>
        </is>
      </c>
      <c r="B92" s="187">
        <f>IF($B$4="All",SUMIFS(Expenses!$F5:$F1004,Expenses!$J5:$J1004,$B$3,Expenses!$I5:$I1004,$A92),SUMIFS(Expenses!$F5:$F1004,Expenses!$J5:$J1004,$B$3,Expenses!$I5:$I1004,$A92,Expenses!$D5:$D1004,$B$4))</f>
        <v/>
      </c>
    </row>
    <row r="93">
      <c r="A93" s="194" t="inlineStr">
        <is>
          <t>Transfer</t>
        </is>
      </c>
      <c r="B93" s="187">
        <f>IF($B$4="All",SUMIFS(Expenses!$F5:$F1004,Expenses!$J5:$J1004,$B$3,Expenses!$I5:$I1004,$A93),SUMIFS(Expenses!$F5:$F1004,Expenses!$J5:$J1004,$B$3,Expenses!$I5:$I1004,$A93,Expenses!$D5:$D1004,$B$4))</f>
        <v/>
      </c>
    </row>
    <row r="94">
      <c r="A94" s="194" t="inlineStr">
        <is>
          <t>Overhead</t>
        </is>
      </c>
      <c r="B94" s="187">
        <f>IF($B$4="All",SUMIFS(Expenses!$F5:$F1004,Expenses!$J5:$J1004,$B$3,Expenses!$I5:$I1004,$A94),SUMIFS(Expenses!$F5:$F1004,Expenses!$J5:$J1004,$B$3,Expenses!$I5:$I1004,$A94,Expenses!$D5:$D1004,$B$4))</f>
        <v/>
      </c>
    </row>
    <row r="95">
      <c r="A95" s="194" t="inlineStr">
        <is>
          <t>Other</t>
        </is>
      </c>
      <c r="B95" s="187">
        <f>IF($B$4="All",SUMIFS(Expenses!$F5:$F1004,Expenses!$J5:$J1004,$B$3,Expenses!$I5:$I1004,$A95),SUMIFS(Expenses!$F5:$F1004,Expenses!$J5:$J1004,$B$3,Expenses!$I5:$I1004,$A95,Expenses!$D5:$D1004,$B$4))</f>
        <v/>
      </c>
    </row>
    <row r="97">
      <c r="A97" s="205" t="inlineStr">
        <is>
          <t>TOTAL BOOKED EXPENSES</t>
        </is>
      </c>
      <c r="B97" s="197">
        <f>SUM(B91:B95)</f>
        <v/>
      </c>
    </row>
    <row r="98">
      <c r="A98" s="206" t="inlineStr">
        <is>
          <t>Loan totals</t>
        </is>
      </c>
      <c r="B98" s="197">
        <f>SUM(Setup!$I$133:$I$138)</f>
        <v/>
      </c>
      <c r="C98" s="93" t="inlineStr">
        <is>
          <t>monthly amortisation</t>
        </is>
      </c>
    </row>
    <row r="99">
      <c r="A99" s="206" t="inlineStr">
        <is>
          <t>Loan balance</t>
        </is>
      </c>
      <c r="B99" s="197">
        <f>SUM(Setup!$K$133:$K$138)</f>
        <v/>
      </c>
      <c r="C99" s="93" t="inlineStr">
        <is>
          <t>remaining principal</t>
        </is>
      </c>
    </row>
    <row r="100">
      <c r="A100" s="206" t="inlineStr">
        <is>
          <t>Loan obligation</t>
        </is>
      </c>
      <c r="B100" s="197">
        <f>SUM(Setup!$L$133:$L$138)</f>
        <v/>
      </c>
      <c r="C100" s="93" t="inlineStr">
        <is>
          <t>cash still to be produced</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J&amp;Z Trucking</dc:creator>
  <dc:title>J&amp;Z Trucking Command Center</dc:title>
  <dc:subject>Trip profitability, expenses, payroll and loan tracking (Philippines)</dc:subject>
  <dcterms:created xsi:type="dcterms:W3CDTF">2026-10-22T06:49:05Z</dcterms:created>
  <dcterms:modified xsi:type="dcterms:W3CDTF">2026-10-22T06:49:09Z</dcterms:modified>
  <cp:keywords>trucking, P&amp;L, payroll, loans, Philippines, dashboard</cp:keywords>
</cp:coreProperties>
</file>